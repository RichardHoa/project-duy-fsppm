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1335" documentId="13_ncr:1_{8DA829A7-D392-410C-B92C-4D9E531A3674}" xr6:coauthVersionLast="47" xr6:coauthVersionMax="47" xr10:uidLastSave="{CE1615CF-86B5-444F-9A43-982DC5F1D86D}"/>
  <bookViews>
    <workbookView xWindow="-98" yWindow="-98" windowWidth="21795" windowHeight="13875" firstSheet="6" activeTab="4" xr2:uid="{00000000-000D-0000-FFFF-FFFF00000000}"/>
  </bookViews>
  <sheets>
    <sheet name="step2_raw_simulation" sheetId="13" r:id="rId1"/>
    <sheet name="interview_responses" sheetId="14" r:id="rId2"/>
    <sheet name="step2_combined_data" sheetId="12" r:id="rId3"/>
    <sheet name="EMD" sheetId="15" r:id="rId4"/>
    <sheet name="SUMMARY_REPORT" sheetId="10" r:id="rId5"/>
    <sheet name="CM_REPORT" sheetId="11" r:id="rId6"/>
    <sheet name="CM_ENF1" sheetId="1" r:id="rId7"/>
    <sheet name="CM_ENF2" sheetId="2" r:id="rId8"/>
    <sheet name="CM_FAC1" sheetId="3" r:id="rId9"/>
    <sheet name="CM_FAC2" sheetId="4" r:id="rId10"/>
    <sheet name="CM_TRU1" sheetId="5" r:id="rId11"/>
    <sheet name="CM_TRU2" sheetId="6" r:id="rId12"/>
    <sheet name="CM_TRU3" sheetId="7" r:id="rId13"/>
    <sheet name="CM_TRU4" sheetId="8" r:id="rId14"/>
    <sheet name="CM_OUT1" sheetId="9" r:id="rId15"/>
  </sheets>
  <externalReferences>
    <externalReference r:id="rId16"/>
  </externalReferences>
  <definedNames>
    <definedName name="ExternalData_1" localSheetId="1" hidden="1">interview_responses!$A$1:$Z$26</definedName>
    <definedName name="ExternalData_1" localSheetId="0" hidden="1">step2_raw_simulation!$A$1:$BC$126</definedName>
  </definedNames>
  <calcPr calcId="191029"/>
  <pivotCaches>
    <pivotCache cacheId="0"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7" i="14" l="1"/>
  <c r="AB27" i="14"/>
  <c r="AA27" i="14"/>
  <c r="AE27" i="14" s="1"/>
  <c r="AC26" i="14"/>
  <c r="AB26" i="14"/>
  <c r="AA26" i="14"/>
  <c r="AE26" i="14" s="1"/>
  <c r="AE25" i="14"/>
  <c r="AE24" i="14"/>
  <c r="AE23" i="14"/>
  <c r="AE22" i="14"/>
  <c r="AE21" i="14"/>
  <c r="AE20" i="14"/>
  <c r="AE19" i="14"/>
  <c r="AE18" i="14"/>
  <c r="AE17" i="14"/>
  <c r="AE16" i="14"/>
  <c r="AE15" i="14"/>
  <c r="AE14" i="14"/>
  <c r="AE13" i="14"/>
  <c r="AE12" i="14"/>
  <c r="AE11" i="14"/>
  <c r="AE10" i="14"/>
  <c r="AE9" i="14"/>
  <c r="AE8" i="14"/>
  <c r="AE7" i="14"/>
  <c r="AE6" i="14"/>
  <c r="AE5" i="14"/>
  <c r="AE4" i="14"/>
  <c r="AE3" i="14"/>
  <c r="AE2" i="14"/>
  <c r="F10" i="10"/>
  <c r="F9" i="10"/>
  <c r="F8" i="10"/>
  <c r="F7" i="10"/>
  <c r="F6" i="10"/>
  <c r="F5" i="10"/>
  <c r="F4" i="10"/>
  <c r="F3" i="10"/>
  <c r="F2" i="10"/>
  <c r="AA26" i="15" l="1"/>
  <c r="X26" i="15"/>
  <c r="U26" i="15"/>
  <c r="R26" i="15"/>
  <c r="O26" i="15"/>
  <c r="L26" i="15"/>
  <c r="I26" i="15"/>
  <c r="F26" i="15"/>
  <c r="C26" i="15"/>
  <c r="AA25" i="15"/>
  <c r="X25" i="15"/>
  <c r="U25" i="15"/>
  <c r="R25" i="15"/>
  <c r="O25" i="15"/>
  <c r="L25" i="15"/>
  <c r="I25" i="15"/>
  <c r="F25" i="15"/>
  <c r="C25" i="15"/>
  <c r="AA24" i="15"/>
  <c r="X24" i="15"/>
  <c r="U24" i="15"/>
  <c r="R24" i="15"/>
  <c r="O24" i="15"/>
  <c r="L24" i="15"/>
  <c r="I24" i="15"/>
  <c r="F24" i="15"/>
  <c r="C24" i="15"/>
  <c r="AA23" i="15"/>
  <c r="X23" i="15"/>
  <c r="U23" i="15"/>
  <c r="R23" i="15"/>
  <c r="O23" i="15"/>
  <c r="L23" i="15"/>
  <c r="I23" i="15"/>
  <c r="F23" i="15"/>
  <c r="C23" i="15"/>
  <c r="AA22" i="15"/>
  <c r="X22" i="15"/>
  <c r="U22" i="15"/>
  <c r="R22" i="15"/>
  <c r="O22" i="15"/>
  <c r="L22" i="15"/>
  <c r="I22" i="15"/>
  <c r="F22" i="15"/>
  <c r="C22" i="15"/>
  <c r="AA21" i="15"/>
  <c r="X21" i="15"/>
  <c r="U21" i="15"/>
  <c r="R21" i="15"/>
  <c r="O21" i="15"/>
  <c r="L21" i="15"/>
  <c r="I21" i="15"/>
  <c r="F21" i="15"/>
  <c r="C21" i="15"/>
  <c r="AA20" i="15"/>
  <c r="X20" i="15"/>
  <c r="U20" i="15"/>
  <c r="R20" i="15"/>
  <c r="O20" i="15"/>
  <c r="L20" i="15"/>
  <c r="I20" i="15"/>
  <c r="F20" i="15"/>
  <c r="C20" i="15"/>
  <c r="AA19" i="15"/>
  <c r="X19" i="15"/>
  <c r="U19" i="15"/>
  <c r="R19" i="15"/>
  <c r="O19" i="15"/>
  <c r="L19" i="15"/>
  <c r="I19" i="15"/>
  <c r="F19" i="15"/>
  <c r="C19" i="15"/>
  <c r="AA18" i="15"/>
  <c r="X18" i="15"/>
  <c r="U18" i="15"/>
  <c r="R18" i="15"/>
  <c r="O18" i="15"/>
  <c r="L18" i="15"/>
  <c r="I18" i="15"/>
  <c r="F18" i="15"/>
  <c r="C18" i="15"/>
  <c r="AA17" i="15"/>
  <c r="X17" i="15"/>
  <c r="U17" i="15"/>
  <c r="R17" i="15"/>
  <c r="O17" i="15"/>
  <c r="L17" i="15"/>
  <c r="I17" i="15"/>
  <c r="F17" i="15"/>
  <c r="C17" i="15"/>
  <c r="AA16" i="15"/>
  <c r="X16" i="15"/>
  <c r="U16" i="15"/>
  <c r="R16" i="15"/>
  <c r="O16" i="15"/>
  <c r="L16" i="15"/>
  <c r="I16" i="15"/>
  <c r="F16" i="15"/>
  <c r="C16" i="15"/>
  <c r="AA15" i="15"/>
  <c r="X15" i="15"/>
  <c r="U15" i="15"/>
  <c r="R15" i="15"/>
  <c r="O15" i="15"/>
  <c r="L15" i="15"/>
  <c r="I15" i="15"/>
  <c r="F15" i="15"/>
  <c r="C15" i="15"/>
  <c r="AA14" i="15"/>
  <c r="X14" i="15"/>
  <c r="U14" i="15"/>
  <c r="R14" i="15"/>
  <c r="O14" i="15"/>
  <c r="L14" i="15"/>
  <c r="I14" i="15"/>
  <c r="F14" i="15"/>
  <c r="C14" i="15"/>
  <c r="AA13" i="15"/>
  <c r="X13" i="15"/>
  <c r="U13" i="15"/>
  <c r="R13" i="15"/>
  <c r="O13" i="15"/>
  <c r="L13" i="15"/>
  <c r="I13" i="15"/>
  <c r="F13" i="15"/>
  <c r="C13" i="15"/>
  <c r="AA12" i="15"/>
  <c r="X12" i="15"/>
  <c r="U12" i="15"/>
  <c r="R12" i="15"/>
  <c r="O12" i="15"/>
  <c r="L12" i="15"/>
  <c r="I12" i="15"/>
  <c r="F12" i="15"/>
  <c r="C12" i="15"/>
  <c r="AA11" i="15"/>
  <c r="X11" i="15"/>
  <c r="U11" i="15"/>
  <c r="R11" i="15"/>
  <c r="O11" i="15"/>
  <c r="L11" i="15"/>
  <c r="I11" i="15"/>
  <c r="F11" i="15"/>
  <c r="C11" i="15"/>
  <c r="AA10" i="15"/>
  <c r="X10" i="15"/>
  <c r="U10" i="15"/>
  <c r="R10" i="15"/>
  <c r="O10" i="15"/>
  <c r="L10" i="15"/>
  <c r="I10" i="15"/>
  <c r="F10" i="15"/>
  <c r="C10" i="15"/>
  <c r="AA9" i="15"/>
  <c r="X9" i="15"/>
  <c r="U9" i="15"/>
  <c r="R9" i="15"/>
  <c r="O9" i="15"/>
  <c r="L9" i="15"/>
  <c r="I9" i="15"/>
  <c r="F9" i="15"/>
  <c r="C9" i="15"/>
  <c r="AA8" i="15"/>
  <c r="X8" i="15"/>
  <c r="U8" i="15"/>
  <c r="R8" i="15"/>
  <c r="O8" i="15"/>
  <c r="L8" i="15"/>
  <c r="I8" i="15"/>
  <c r="F8" i="15"/>
  <c r="C8" i="15"/>
  <c r="AA7" i="15"/>
  <c r="X7" i="15"/>
  <c r="U7" i="15"/>
  <c r="R7" i="15"/>
  <c r="O7" i="15"/>
  <c r="L7" i="15"/>
  <c r="I7" i="15"/>
  <c r="F7" i="15"/>
  <c r="C7" i="15"/>
  <c r="AA6" i="15"/>
  <c r="X6" i="15"/>
  <c r="U6" i="15"/>
  <c r="R6" i="15"/>
  <c r="O6" i="15"/>
  <c r="L6" i="15"/>
  <c r="I6" i="15"/>
  <c r="F6" i="15"/>
  <c r="C6" i="15"/>
  <c r="AA5" i="15"/>
  <c r="X5" i="15"/>
  <c r="U5" i="15"/>
  <c r="R5" i="15"/>
  <c r="O5" i="15"/>
  <c r="L5" i="15"/>
  <c r="I5" i="15"/>
  <c r="F5" i="15"/>
  <c r="C5" i="15"/>
  <c r="AA4" i="15"/>
  <c r="X4" i="15"/>
  <c r="U4" i="15"/>
  <c r="R4" i="15"/>
  <c r="O4" i="15"/>
  <c r="L4" i="15"/>
  <c r="I4" i="15"/>
  <c r="F4" i="15"/>
  <c r="C4" i="15"/>
  <c r="AA3" i="15"/>
  <c r="AA27" i="15" s="1"/>
  <c r="X3" i="15"/>
  <c r="U3" i="15"/>
  <c r="U27" i="15" s="1"/>
  <c r="R3" i="15"/>
  <c r="R27" i="15" s="1"/>
  <c r="O3" i="15"/>
  <c r="L3" i="15"/>
  <c r="I3" i="15"/>
  <c r="F3" i="15"/>
  <c r="F27" i="15" s="1"/>
  <c r="C3" i="15"/>
  <c r="C27" i="15" s="1"/>
  <c r="AA2" i="15"/>
  <c r="X2" i="15"/>
  <c r="X27" i="15" s="1"/>
  <c r="U2" i="15"/>
  <c r="R2" i="15"/>
  <c r="O2" i="15"/>
  <c r="O27" i="15" s="1"/>
  <c r="L2" i="15"/>
  <c r="L27" i="15" s="1"/>
  <c r="I2" i="15"/>
  <c r="I27" i="15" s="1"/>
  <c r="F2" i="15"/>
  <c r="C2" i="15"/>
  <c r="H2" i="12" a="1"/>
  <c r="H2" i="12" s="1"/>
  <c r="I2" i="12"/>
  <c r="H3" i="12" a="1"/>
  <c r="H3" i="12" s="1"/>
  <c r="I3" i="12"/>
  <c r="H4" i="12" a="1"/>
  <c r="H4" i="12"/>
  <c r="I4" i="12"/>
  <c r="H5" i="12" a="1"/>
  <c r="H5" i="12" s="1"/>
  <c r="I5" i="12"/>
  <c r="H6" i="12" a="1"/>
  <c r="H6" i="12" s="1"/>
  <c r="I6" i="12"/>
  <c r="H7" i="12" a="1"/>
  <c r="H7" i="12" s="1"/>
  <c r="I7" i="12"/>
  <c r="H8" i="12" a="1"/>
  <c r="H8" i="12"/>
  <c r="I8" i="12"/>
  <c r="H9" i="12" a="1"/>
  <c r="H9" i="12" s="1"/>
  <c r="I9" i="12"/>
  <c r="H10" i="12" a="1"/>
  <c r="H10" i="12" s="1"/>
  <c r="I10" i="12"/>
  <c r="H11" i="12" a="1"/>
  <c r="H11" i="12" s="1"/>
  <c r="I11" i="12"/>
  <c r="H12" i="12" a="1"/>
  <c r="H12" i="12" s="1"/>
  <c r="I12" i="12"/>
  <c r="H13" i="12" a="1"/>
  <c r="H13" i="12" s="1"/>
  <c r="I13" i="12"/>
  <c r="H14" i="12" a="1"/>
  <c r="H14" i="12" s="1"/>
  <c r="I14" i="12"/>
  <c r="H15" i="12" a="1"/>
  <c r="H15" i="12" s="1"/>
  <c r="I15" i="12"/>
  <c r="H16" i="12" a="1"/>
  <c r="H16" i="12"/>
  <c r="I16" i="12"/>
  <c r="H17" i="12" a="1"/>
  <c r="H17" i="12"/>
  <c r="I17" i="12"/>
  <c r="H18" i="12" a="1"/>
  <c r="H18" i="12" s="1"/>
  <c r="I18" i="12"/>
  <c r="H19" i="12" a="1"/>
  <c r="H19" i="12" s="1"/>
  <c r="I19" i="12"/>
  <c r="H20" i="12" a="1"/>
  <c r="H20" i="12" s="1"/>
  <c r="I20" i="12"/>
  <c r="H21" i="12" a="1"/>
  <c r="H21" i="12" s="1"/>
  <c r="I21" i="12"/>
  <c r="H22" i="12" a="1"/>
  <c r="H22" i="12" s="1"/>
  <c r="I22" i="12"/>
  <c r="H23" i="12" a="1"/>
  <c r="H23" i="12" s="1"/>
  <c r="I23" i="12"/>
  <c r="H24" i="12" a="1"/>
  <c r="H24" i="12" s="1"/>
  <c r="I24" i="12"/>
  <c r="H25" i="12" a="1"/>
  <c r="H25" i="12"/>
  <c r="I25" i="12"/>
  <c r="H26" i="12" a="1"/>
  <c r="H26" i="12"/>
  <c r="I26" i="12"/>
  <c r="CB3" i="12"/>
  <c r="CB4" i="12"/>
  <c r="CB5" i="12"/>
  <c r="CB6" i="12"/>
  <c r="CB7" i="12"/>
  <c r="CB8" i="12"/>
  <c r="CB9" i="12"/>
  <c r="CB10" i="12"/>
  <c r="CB11" i="12"/>
  <c r="CB12" i="12"/>
  <c r="CB13" i="12"/>
  <c r="CB14" i="12"/>
  <c r="CB15" i="12"/>
  <c r="CB16" i="12"/>
  <c r="CB17" i="12"/>
  <c r="CB18" i="12"/>
  <c r="CB19" i="12"/>
  <c r="CB20" i="12"/>
  <c r="CB21" i="12"/>
  <c r="CB22" i="12"/>
  <c r="CB23" i="12"/>
  <c r="CB24" i="12"/>
  <c r="CB25" i="12"/>
  <c r="CB26" i="12"/>
  <c r="CB2" i="12"/>
  <c r="CA3" i="12" a="1"/>
  <c r="CA3" i="12" s="1"/>
  <c r="CA4" i="12" a="1"/>
  <c r="CA4" i="12" s="1"/>
  <c r="CA5" i="12" a="1"/>
  <c r="CA5" i="12" s="1"/>
  <c r="CA6" i="12" a="1"/>
  <c r="CA6" i="12" s="1"/>
  <c r="CA7" i="12" a="1"/>
  <c r="CA7" i="12" s="1"/>
  <c r="CA8" i="12" a="1"/>
  <c r="CA8" i="12" s="1"/>
  <c r="CA9" i="12" a="1"/>
  <c r="CA9" i="12" s="1"/>
  <c r="CA10" i="12" a="1"/>
  <c r="CA10" i="12" s="1"/>
  <c r="CA11" i="12" a="1"/>
  <c r="CA11" i="12" s="1"/>
  <c r="CA12" i="12" a="1"/>
  <c r="CA12" i="12" s="1"/>
  <c r="CA13" i="12" a="1"/>
  <c r="CA13" i="12" s="1"/>
  <c r="CA14" i="12" a="1"/>
  <c r="CA14" i="12" s="1"/>
  <c r="CA15" i="12" a="1"/>
  <c r="CA15" i="12" s="1"/>
  <c r="CA16" i="12" a="1"/>
  <c r="CA16" i="12" s="1"/>
  <c r="CA17" i="12" a="1"/>
  <c r="CA17" i="12" s="1"/>
  <c r="CA18" i="12" a="1"/>
  <c r="CA18" i="12" s="1"/>
  <c r="CA19" i="12" a="1"/>
  <c r="CA19" i="12" s="1"/>
  <c r="CA20" i="12" a="1"/>
  <c r="CA20" i="12" s="1"/>
  <c r="CA21" i="12" a="1"/>
  <c r="CA21" i="12" s="1"/>
  <c r="CA22" i="12" a="1"/>
  <c r="CA22" i="12" s="1"/>
  <c r="CA23" i="12" a="1"/>
  <c r="CA23" i="12" s="1"/>
  <c r="CA24" i="12" a="1"/>
  <c r="CA24" i="12" s="1"/>
  <c r="CA25" i="12" a="1"/>
  <c r="CA25" i="12" s="1"/>
  <c r="CA26" i="12" a="1"/>
  <c r="CA26" i="12" s="1"/>
  <c r="CA2" i="12" a="1"/>
  <c r="CA2" i="12" s="1"/>
  <c r="BX3" i="12"/>
  <c r="BY3" i="12" s="1"/>
  <c r="BX4" i="12"/>
  <c r="BY4" i="12" s="1"/>
  <c r="BX5" i="12"/>
  <c r="BY5" i="12" s="1"/>
  <c r="BX6" i="12"/>
  <c r="BY6" i="12" s="1"/>
  <c r="BX7" i="12"/>
  <c r="BY7" i="12" s="1"/>
  <c r="BX8" i="12"/>
  <c r="BY8" i="12" s="1"/>
  <c r="BX9" i="12"/>
  <c r="BY9" i="12" s="1"/>
  <c r="BX10" i="12"/>
  <c r="BY10" i="12" s="1"/>
  <c r="BX11" i="12"/>
  <c r="BY11" i="12" s="1"/>
  <c r="BX12" i="12"/>
  <c r="BY12" i="12" s="1"/>
  <c r="BX13" i="12"/>
  <c r="BY13" i="12" s="1"/>
  <c r="BX14" i="12"/>
  <c r="BY14" i="12" s="1"/>
  <c r="BX15" i="12"/>
  <c r="BY15" i="12" s="1"/>
  <c r="BX16" i="12"/>
  <c r="BY16" i="12" s="1"/>
  <c r="BX17" i="12"/>
  <c r="BY17" i="12" s="1"/>
  <c r="BX18" i="12"/>
  <c r="BY18" i="12" s="1"/>
  <c r="BX19" i="12"/>
  <c r="BY19" i="12" s="1"/>
  <c r="BX20" i="12"/>
  <c r="BY20" i="12" s="1"/>
  <c r="BX21" i="12"/>
  <c r="BY21" i="12" s="1"/>
  <c r="BX22" i="12"/>
  <c r="BY22" i="12" s="1"/>
  <c r="BX23" i="12"/>
  <c r="BY23" i="12" s="1"/>
  <c r="BX24" i="12"/>
  <c r="BY24" i="12" s="1"/>
  <c r="BX25" i="12"/>
  <c r="BY25" i="12" s="1"/>
  <c r="BX26" i="12"/>
  <c r="BY26" i="12" s="1"/>
  <c r="BX2" i="12"/>
  <c r="BY2" i="12" s="1"/>
  <c r="BV3" i="12"/>
  <c r="BV4" i="12"/>
  <c r="BW4" i="12" s="1"/>
  <c r="BV5" i="12"/>
  <c r="BV6" i="12"/>
  <c r="BV7" i="12"/>
  <c r="BV8" i="12"/>
  <c r="BV9" i="12"/>
  <c r="BV10" i="12"/>
  <c r="BV11" i="12"/>
  <c r="BV12" i="12"/>
  <c r="BW12" i="12" s="1"/>
  <c r="BV13" i="12"/>
  <c r="BW13" i="12" s="1"/>
  <c r="BV14" i="12"/>
  <c r="BV15" i="12"/>
  <c r="BW15" i="12" s="1"/>
  <c r="BV16" i="12"/>
  <c r="BV17" i="12"/>
  <c r="BV18" i="12"/>
  <c r="BV19" i="12"/>
  <c r="BV20" i="12"/>
  <c r="BW20" i="12" s="1"/>
  <c r="BV21" i="12"/>
  <c r="BV22" i="12"/>
  <c r="BV23" i="12"/>
  <c r="BV24" i="12"/>
  <c r="BV25" i="12"/>
  <c r="BV26" i="12"/>
  <c r="BV2" i="12"/>
  <c r="BU3" i="12"/>
  <c r="BU4" i="12"/>
  <c r="BU5" i="12"/>
  <c r="BU6" i="12"/>
  <c r="BU7" i="12"/>
  <c r="BU8" i="12"/>
  <c r="BU9" i="12"/>
  <c r="BU10" i="12"/>
  <c r="BU11" i="12"/>
  <c r="BU12" i="12"/>
  <c r="BU13" i="12"/>
  <c r="BU14" i="12"/>
  <c r="BU15" i="12"/>
  <c r="BU16" i="12"/>
  <c r="BU17" i="12"/>
  <c r="BU18" i="12"/>
  <c r="BU19" i="12"/>
  <c r="BU20" i="12"/>
  <c r="BU21" i="12"/>
  <c r="BU22" i="12"/>
  <c r="BU23" i="12"/>
  <c r="BU24" i="12"/>
  <c r="BU25" i="12"/>
  <c r="BU26" i="12"/>
  <c r="BU2" i="12"/>
  <c r="BT3" i="12" a="1"/>
  <c r="BT3" i="12" s="1"/>
  <c r="BT4" i="12" a="1"/>
  <c r="BT4" i="12" s="1"/>
  <c r="BT5" i="12" a="1"/>
  <c r="BT5" i="12" s="1"/>
  <c r="BT6" i="12" a="1"/>
  <c r="BT6" i="12" s="1"/>
  <c r="BT7" i="12" a="1"/>
  <c r="BT7" i="12" s="1"/>
  <c r="BT8" i="12" a="1"/>
  <c r="BT8" i="12" s="1"/>
  <c r="BT9" i="12" a="1"/>
  <c r="BT9" i="12"/>
  <c r="BT10" i="12" a="1"/>
  <c r="BT10" i="12" s="1"/>
  <c r="BT11" i="12" a="1"/>
  <c r="BT11" i="12" s="1"/>
  <c r="BT12" i="12" a="1"/>
  <c r="BT12" i="12" s="1"/>
  <c r="BT13" i="12" a="1"/>
  <c r="BT13" i="12" s="1"/>
  <c r="BT14" i="12" a="1"/>
  <c r="BT14" i="12" s="1"/>
  <c r="BT15" i="12" a="1"/>
  <c r="BT15" i="12" s="1"/>
  <c r="BT16" i="12" a="1"/>
  <c r="BT16" i="12" s="1"/>
  <c r="BT17" i="12" a="1"/>
  <c r="BT17" i="12" s="1"/>
  <c r="BT18" i="12" a="1"/>
  <c r="BT18" i="12" s="1"/>
  <c r="BT19" i="12" a="1"/>
  <c r="BT19" i="12" s="1"/>
  <c r="BT20" i="12" a="1"/>
  <c r="BT20" i="12" s="1"/>
  <c r="BT21" i="12" a="1"/>
  <c r="BT21" i="12" s="1"/>
  <c r="BT22" i="12" a="1"/>
  <c r="BT22" i="12" s="1"/>
  <c r="BT23" i="12" a="1"/>
  <c r="BT23" i="12" s="1"/>
  <c r="BT24" i="12" a="1"/>
  <c r="BT24" i="12" s="1"/>
  <c r="BT25" i="12" a="1"/>
  <c r="BT25" i="12" s="1"/>
  <c r="BT26" i="12" a="1"/>
  <c r="BT26" i="12" s="1"/>
  <c r="BT2" i="12" a="1"/>
  <c r="BT2" i="12" s="1"/>
  <c r="BQ3" i="12"/>
  <c r="BQ4" i="12"/>
  <c r="BR4" i="12" s="1"/>
  <c r="BQ5" i="12"/>
  <c r="BQ6" i="12"/>
  <c r="BQ7" i="12"/>
  <c r="BR7" i="12" s="1"/>
  <c r="BQ8" i="12"/>
  <c r="BR8" i="12" s="1"/>
  <c r="BQ9" i="12"/>
  <c r="BR9" i="12" s="1"/>
  <c r="BQ10" i="12"/>
  <c r="BQ11" i="12"/>
  <c r="BQ12" i="12"/>
  <c r="BQ13" i="12"/>
  <c r="BQ14" i="12"/>
  <c r="BQ15" i="12"/>
  <c r="BR15" i="12" s="1"/>
  <c r="BQ16" i="12"/>
  <c r="BR16" i="12" s="1"/>
  <c r="BQ17" i="12"/>
  <c r="BQ18" i="12"/>
  <c r="BQ19" i="12"/>
  <c r="BQ20" i="12"/>
  <c r="BR20" i="12" s="1"/>
  <c r="BQ21" i="12"/>
  <c r="BQ22" i="12"/>
  <c r="BQ23" i="12"/>
  <c r="BR23" i="12" s="1"/>
  <c r="BQ24" i="12"/>
  <c r="BR24" i="12" s="1"/>
  <c r="BQ25" i="12"/>
  <c r="BR25" i="12" s="1"/>
  <c r="BQ26" i="12"/>
  <c r="BQ2" i="12"/>
  <c r="BO3" i="12"/>
  <c r="BP3" i="12" s="1"/>
  <c r="BO4" i="12"/>
  <c r="BP4" i="12" s="1"/>
  <c r="BO5" i="12"/>
  <c r="BP5" i="12" s="1"/>
  <c r="BO6" i="12"/>
  <c r="BP6" i="12" s="1"/>
  <c r="BO7" i="12"/>
  <c r="BP7" i="12" s="1"/>
  <c r="BO8" i="12"/>
  <c r="BP8" i="12" s="1"/>
  <c r="BO9" i="12"/>
  <c r="BP9" i="12" s="1"/>
  <c r="BO10" i="12"/>
  <c r="BP10" i="12" s="1"/>
  <c r="BO11" i="12"/>
  <c r="BP11" i="12" s="1"/>
  <c r="BO12" i="12"/>
  <c r="BP12" i="12" s="1"/>
  <c r="BO13" i="12"/>
  <c r="BP13" i="12" s="1"/>
  <c r="BO14" i="12"/>
  <c r="BP14" i="12" s="1"/>
  <c r="BO15" i="12"/>
  <c r="BP15" i="12" s="1"/>
  <c r="BO16" i="12"/>
  <c r="BP16" i="12" s="1"/>
  <c r="BO17" i="12"/>
  <c r="BP17" i="12" s="1"/>
  <c r="BO18" i="12"/>
  <c r="BP18" i="12" s="1"/>
  <c r="BO19" i="12"/>
  <c r="BP19" i="12" s="1"/>
  <c r="BO20" i="12"/>
  <c r="BP20" i="12" s="1"/>
  <c r="BO21" i="12"/>
  <c r="BP21" i="12" s="1"/>
  <c r="BO22" i="12"/>
  <c r="BP22" i="12" s="1"/>
  <c r="BO23" i="12"/>
  <c r="BP23" i="12" s="1"/>
  <c r="BO24" i="12"/>
  <c r="BP24" i="12" s="1"/>
  <c r="BO25" i="12"/>
  <c r="BP25" i="12" s="1"/>
  <c r="BO26" i="12"/>
  <c r="BP26" i="12" s="1"/>
  <c r="BO2" i="12"/>
  <c r="BP2" i="12" s="1"/>
  <c r="BN3" i="12"/>
  <c r="BN4" i="12"/>
  <c r="BN5" i="12"/>
  <c r="BN6" i="12"/>
  <c r="BN7" i="12"/>
  <c r="BN8" i="12"/>
  <c r="BN9" i="12"/>
  <c r="BN10" i="12"/>
  <c r="BN11" i="12"/>
  <c r="BN12" i="12"/>
  <c r="BN13" i="12"/>
  <c r="BN14" i="12"/>
  <c r="BN15" i="12"/>
  <c r="BN16" i="12"/>
  <c r="BN17" i="12"/>
  <c r="BN18" i="12"/>
  <c r="BN19" i="12"/>
  <c r="BN20" i="12"/>
  <c r="BN21" i="12"/>
  <c r="BN22" i="12"/>
  <c r="BN23" i="12"/>
  <c r="BN24" i="12"/>
  <c r="BN25" i="12"/>
  <c r="BN26" i="12"/>
  <c r="BM3" i="12" a="1"/>
  <c r="BM3" i="12" s="1"/>
  <c r="BM4" i="12" a="1"/>
  <c r="BM4" i="12" s="1"/>
  <c r="BM5" i="12" a="1"/>
  <c r="BM5" i="12" s="1"/>
  <c r="BM6" i="12" a="1"/>
  <c r="BM6" i="12" s="1"/>
  <c r="BM7" i="12" a="1"/>
  <c r="BM7" i="12" s="1"/>
  <c r="BM8" i="12" a="1"/>
  <c r="BM8" i="12" s="1"/>
  <c r="BM9" i="12" a="1"/>
  <c r="BM9" i="12" s="1"/>
  <c r="BM10" i="12" a="1"/>
  <c r="BM10" i="12" s="1"/>
  <c r="BM11" i="12" a="1"/>
  <c r="BM11" i="12" s="1"/>
  <c r="BM12" i="12" a="1"/>
  <c r="BM12" i="12" s="1"/>
  <c r="BM13" i="12" a="1"/>
  <c r="BM13" i="12" s="1"/>
  <c r="BM14" i="12" a="1"/>
  <c r="BM14" i="12" s="1"/>
  <c r="BM15" i="12" a="1"/>
  <c r="BM15" i="12" s="1"/>
  <c r="BM16" i="12" a="1"/>
  <c r="BM16" i="12" s="1"/>
  <c r="BM17" i="12" a="1"/>
  <c r="BM17" i="12" s="1"/>
  <c r="BM18" i="12" a="1"/>
  <c r="BM18" i="12" s="1"/>
  <c r="BM19" i="12" a="1"/>
  <c r="BM19" i="12" s="1"/>
  <c r="BM20" i="12" a="1"/>
  <c r="BM20" i="12" s="1"/>
  <c r="BM21" i="12" a="1"/>
  <c r="BM21" i="12" s="1"/>
  <c r="BM22" i="12" a="1"/>
  <c r="BM22" i="12" s="1"/>
  <c r="BM23" i="12" a="1"/>
  <c r="BM23" i="12" s="1"/>
  <c r="BM24" i="12" a="1"/>
  <c r="BM24" i="12" s="1"/>
  <c r="BM25" i="12" a="1"/>
  <c r="BM25" i="12" s="1"/>
  <c r="BM26" i="12" a="1"/>
  <c r="BM26" i="12" s="1"/>
  <c r="BN2" i="12"/>
  <c r="BM2" i="12" a="1"/>
  <c r="BM2" i="12" s="1"/>
  <c r="BJ3" i="12"/>
  <c r="BK3" i="12" s="1"/>
  <c r="BJ4" i="12"/>
  <c r="BK4" i="12" s="1"/>
  <c r="BJ5" i="12"/>
  <c r="BK5" i="12" s="1"/>
  <c r="BJ6" i="12"/>
  <c r="BJ7" i="12"/>
  <c r="BJ8" i="12"/>
  <c r="BJ9" i="12"/>
  <c r="BJ10" i="12"/>
  <c r="BJ11" i="12"/>
  <c r="BJ12" i="12"/>
  <c r="BJ13" i="12"/>
  <c r="BK13" i="12" s="1"/>
  <c r="BJ14" i="12"/>
  <c r="BJ15" i="12"/>
  <c r="BJ16" i="12"/>
  <c r="BJ17" i="12"/>
  <c r="BJ18" i="12"/>
  <c r="BK18" i="12" s="1"/>
  <c r="BJ19" i="12"/>
  <c r="BK19" i="12" s="1"/>
  <c r="BJ20" i="12"/>
  <c r="BK20" i="12" s="1"/>
  <c r="BJ21" i="12"/>
  <c r="BK21" i="12" s="1"/>
  <c r="BJ22" i="12"/>
  <c r="BJ23" i="12"/>
  <c r="BJ24" i="12"/>
  <c r="BJ25" i="12"/>
  <c r="BJ26" i="12"/>
  <c r="BJ2" i="12"/>
  <c r="BK2" i="12" s="1"/>
  <c r="BH3" i="12"/>
  <c r="BI3" i="12" s="1"/>
  <c r="BH4" i="12"/>
  <c r="BI4" i="12" s="1"/>
  <c r="BH5" i="12"/>
  <c r="BI5" i="12" s="1"/>
  <c r="BH6" i="12"/>
  <c r="BI6" i="12" s="1"/>
  <c r="BH7" i="12"/>
  <c r="BI7" i="12" s="1"/>
  <c r="BH8" i="12"/>
  <c r="BI8" i="12" s="1"/>
  <c r="BH9" i="12"/>
  <c r="BI9" i="12" s="1"/>
  <c r="BH10" i="12"/>
  <c r="BI10" i="12" s="1"/>
  <c r="BH11" i="12"/>
  <c r="BI11" i="12" s="1"/>
  <c r="BH12" i="12"/>
  <c r="BI12" i="12" s="1"/>
  <c r="BH13" i="12"/>
  <c r="BI13" i="12" s="1"/>
  <c r="BH14" i="12"/>
  <c r="BI14" i="12" s="1"/>
  <c r="BH15" i="12"/>
  <c r="BI15" i="12" s="1"/>
  <c r="BH16" i="12"/>
  <c r="BI16" i="12" s="1"/>
  <c r="BH17" i="12"/>
  <c r="BI17" i="12" s="1"/>
  <c r="BH18" i="12"/>
  <c r="BI18" i="12" s="1"/>
  <c r="BH19" i="12"/>
  <c r="BI19" i="12" s="1"/>
  <c r="BH20" i="12"/>
  <c r="BI20" i="12" s="1"/>
  <c r="BH21" i="12"/>
  <c r="BI21" i="12" s="1"/>
  <c r="BH22" i="12"/>
  <c r="BI22" i="12" s="1"/>
  <c r="BH23" i="12"/>
  <c r="BI23" i="12" s="1"/>
  <c r="BH24" i="12"/>
  <c r="BI24" i="12" s="1"/>
  <c r="BH25" i="12"/>
  <c r="BI25" i="12" s="1"/>
  <c r="BH26" i="12"/>
  <c r="BI26" i="12" s="1"/>
  <c r="BH2" i="12"/>
  <c r="BI2" i="12" s="1"/>
  <c r="BG3" i="12"/>
  <c r="BG4" i="12"/>
  <c r="BG5" i="12"/>
  <c r="BG6" i="12"/>
  <c r="BG7" i="12"/>
  <c r="BG8" i="12"/>
  <c r="BG9" i="12"/>
  <c r="BG10" i="12"/>
  <c r="BG11" i="12"/>
  <c r="BG12" i="12"/>
  <c r="BG13" i="12"/>
  <c r="BG14" i="12"/>
  <c r="BG15" i="12"/>
  <c r="BG16" i="12"/>
  <c r="BG17" i="12"/>
  <c r="BG18" i="12"/>
  <c r="BG19" i="12"/>
  <c r="BG20" i="12"/>
  <c r="BG21" i="12"/>
  <c r="BG22" i="12"/>
  <c r="BG23" i="12"/>
  <c r="BG24" i="12"/>
  <c r="BG25" i="12"/>
  <c r="BG26" i="12"/>
  <c r="BG2" i="12"/>
  <c r="BF3" i="12" a="1"/>
  <c r="BF3" i="12" s="1"/>
  <c r="BF4" i="12" a="1"/>
  <c r="BF4" i="12" s="1"/>
  <c r="BF5" i="12" a="1"/>
  <c r="BF5" i="12" s="1"/>
  <c r="BF6" i="12" a="1"/>
  <c r="BF6" i="12" s="1"/>
  <c r="BF7" i="12" a="1"/>
  <c r="BF7" i="12" s="1"/>
  <c r="BF8" i="12" a="1"/>
  <c r="BF8" i="12" s="1"/>
  <c r="BF9" i="12" a="1"/>
  <c r="BF9" i="12" s="1"/>
  <c r="BF10" i="12" a="1"/>
  <c r="BF10" i="12" s="1"/>
  <c r="BF11" i="12" a="1"/>
  <c r="BF11" i="12" s="1"/>
  <c r="BF12" i="12" a="1"/>
  <c r="BF12" i="12" s="1"/>
  <c r="BF13" i="12" a="1"/>
  <c r="BF13" i="12" s="1"/>
  <c r="BF14" i="12" a="1"/>
  <c r="BF14" i="12" s="1"/>
  <c r="BF15" i="12" a="1"/>
  <c r="BF15" i="12" s="1"/>
  <c r="BF16" i="12" a="1"/>
  <c r="BF16" i="12" s="1"/>
  <c r="BF17" i="12" a="1"/>
  <c r="BF17" i="12" s="1"/>
  <c r="BF18" i="12" a="1"/>
  <c r="BF18" i="12" s="1"/>
  <c r="BF19" i="12" a="1"/>
  <c r="BF19" i="12" s="1"/>
  <c r="BF20" i="12" a="1"/>
  <c r="BF20" i="12" s="1"/>
  <c r="BF21" i="12" a="1"/>
  <c r="BF21" i="12" s="1"/>
  <c r="BF22" i="12" a="1"/>
  <c r="BF22" i="12" s="1"/>
  <c r="BF23" i="12" a="1"/>
  <c r="BF23" i="12" s="1"/>
  <c r="BF24" i="12" a="1"/>
  <c r="BF24" i="12" s="1"/>
  <c r="BF25" i="12" a="1"/>
  <c r="BF25" i="12" s="1"/>
  <c r="BF26" i="12" a="1"/>
  <c r="BF26" i="12" s="1"/>
  <c r="BF2" i="12" a="1"/>
  <c r="BF2" i="12" s="1"/>
  <c r="BC3" i="12"/>
  <c r="BC4" i="12"/>
  <c r="BC5" i="12"/>
  <c r="BC6" i="12"/>
  <c r="BC7" i="12"/>
  <c r="BC8" i="12"/>
  <c r="BD8" i="12" s="1"/>
  <c r="BC9" i="12"/>
  <c r="BC10" i="12"/>
  <c r="BC11" i="12"/>
  <c r="BD11" i="12" s="1"/>
  <c r="BC12" i="12"/>
  <c r="BD12" i="12" s="1"/>
  <c r="BC13" i="12"/>
  <c r="BC14" i="12"/>
  <c r="BC15" i="12"/>
  <c r="BC16" i="12"/>
  <c r="BD16" i="12" s="1"/>
  <c r="BC17" i="12"/>
  <c r="BD17" i="12" s="1"/>
  <c r="BC18" i="12"/>
  <c r="BD18" i="12" s="1"/>
  <c r="BC19" i="12"/>
  <c r="BC20" i="12"/>
  <c r="BC21" i="12"/>
  <c r="BC22" i="12"/>
  <c r="BC23" i="12"/>
  <c r="BC24" i="12"/>
  <c r="BD24" i="12" s="1"/>
  <c r="BC25" i="12"/>
  <c r="BC26" i="12"/>
  <c r="BC2" i="12"/>
  <c r="BD2" i="12" s="1"/>
  <c r="BA3" i="12"/>
  <c r="BB3" i="12" s="1"/>
  <c r="BA4" i="12"/>
  <c r="BB4" i="12" s="1"/>
  <c r="BA5" i="12"/>
  <c r="BB5" i="12" s="1"/>
  <c r="BA6" i="12"/>
  <c r="BB6" i="12" s="1"/>
  <c r="BA7" i="12"/>
  <c r="BB7" i="12" s="1"/>
  <c r="BA8" i="12"/>
  <c r="BB8" i="12" s="1"/>
  <c r="BA9" i="12"/>
  <c r="BB9" i="12" s="1"/>
  <c r="BA10" i="12"/>
  <c r="BB10" i="12" s="1"/>
  <c r="BA11" i="12"/>
  <c r="BB11" i="12" s="1"/>
  <c r="BA12" i="12"/>
  <c r="BB12" i="12" s="1"/>
  <c r="BA13" i="12"/>
  <c r="BB13" i="12" s="1"/>
  <c r="BA14" i="12"/>
  <c r="BB14" i="12" s="1"/>
  <c r="BA15" i="12"/>
  <c r="BB15" i="12" s="1"/>
  <c r="BA16" i="12"/>
  <c r="BB16" i="12" s="1"/>
  <c r="BA17" i="12"/>
  <c r="BB17" i="12" s="1"/>
  <c r="BA18" i="12"/>
  <c r="BB18" i="12" s="1"/>
  <c r="BA19" i="12"/>
  <c r="BB19" i="12" s="1"/>
  <c r="BA20" i="12"/>
  <c r="BB20" i="12" s="1"/>
  <c r="BA21" i="12"/>
  <c r="BB21" i="12" s="1"/>
  <c r="BA22" i="12"/>
  <c r="BB22" i="12" s="1"/>
  <c r="BA23" i="12"/>
  <c r="BB23" i="12" s="1"/>
  <c r="BA24" i="12"/>
  <c r="BB24" i="12" s="1"/>
  <c r="BA25" i="12"/>
  <c r="BB25" i="12" s="1"/>
  <c r="BA26" i="12"/>
  <c r="BB26" i="12" s="1"/>
  <c r="BA2" i="12"/>
  <c r="BB2"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 i="12"/>
  <c r="AY3" i="12" a="1"/>
  <c r="AY3" i="12" s="1"/>
  <c r="AY4" i="12" a="1"/>
  <c r="AY4" i="12" s="1"/>
  <c r="AY5" i="12" a="1"/>
  <c r="AY5" i="12" s="1"/>
  <c r="AY6" i="12" a="1"/>
  <c r="AY6" i="12" s="1"/>
  <c r="AY7" i="12" a="1"/>
  <c r="AY7" i="12" s="1"/>
  <c r="AY8" i="12" a="1"/>
  <c r="AY8" i="12" s="1"/>
  <c r="AY9" i="12" a="1"/>
  <c r="AY9" i="12" s="1"/>
  <c r="AY10" i="12" a="1"/>
  <c r="AY10" i="12" s="1"/>
  <c r="AY11" i="12" a="1"/>
  <c r="AY11" i="12" s="1"/>
  <c r="AY12" i="12" a="1"/>
  <c r="AY12" i="12" s="1"/>
  <c r="AY13" i="12" a="1"/>
  <c r="AY13" i="12" s="1"/>
  <c r="AY14" i="12" a="1"/>
  <c r="AY14" i="12" s="1"/>
  <c r="AY15" i="12" a="1"/>
  <c r="AY15" i="12" s="1"/>
  <c r="AY16" i="12" a="1"/>
  <c r="AY16" i="12" s="1"/>
  <c r="AY17" i="12" a="1"/>
  <c r="AY17" i="12" s="1"/>
  <c r="AY18" i="12" a="1"/>
  <c r="AY18" i="12" s="1"/>
  <c r="AY19" i="12" a="1"/>
  <c r="AY19" i="12" s="1"/>
  <c r="AY20" i="12" a="1"/>
  <c r="AY20" i="12" s="1"/>
  <c r="AY21" i="12" a="1"/>
  <c r="AY21" i="12" s="1"/>
  <c r="AY22" i="12" a="1"/>
  <c r="AY22" i="12" s="1"/>
  <c r="AY23" i="12" a="1"/>
  <c r="AY23" i="12" s="1"/>
  <c r="AY24" i="12" a="1"/>
  <c r="AY24" i="12" s="1"/>
  <c r="AY25" i="12" a="1"/>
  <c r="AY25" i="12" s="1"/>
  <c r="AY26" i="12" a="1"/>
  <c r="AY26" i="12" s="1"/>
  <c r="AY2" i="12" a="1"/>
  <c r="AY2" i="12" s="1"/>
  <c r="AV3" i="12"/>
  <c r="AV4" i="12"/>
  <c r="AV5" i="12"/>
  <c r="AV6" i="12"/>
  <c r="AV7" i="12"/>
  <c r="AW7" i="12" s="1"/>
  <c r="AV8" i="12"/>
  <c r="AW8" i="12" s="1"/>
  <c r="AV9" i="12"/>
  <c r="AW9" i="12" s="1"/>
  <c r="AV10" i="12"/>
  <c r="AW10" i="12" s="1"/>
  <c r="AV11" i="12"/>
  <c r="AV12" i="12"/>
  <c r="AW12" i="12" s="1"/>
  <c r="AV13" i="12"/>
  <c r="AW13" i="12" s="1"/>
  <c r="AV14" i="12"/>
  <c r="AV15" i="12"/>
  <c r="AW15" i="12" s="1"/>
  <c r="AV16" i="12"/>
  <c r="AW16" i="12" s="1"/>
  <c r="AV17" i="12"/>
  <c r="AV18" i="12"/>
  <c r="AV19" i="12"/>
  <c r="AV20" i="12"/>
  <c r="AW20" i="12" s="1"/>
  <c r="AV21" i="12"/>
  <c r="AV22" i="12"/>
  <c r="AV23" i="12"/>
  <c r="AW23" i="12" s="1"/>
  <c r="AV24" i="12"/>
  <c r="AV25" i="12"/>
  <c r="AV26" i="12"/>
  <c r="AW26" i="12" s="1"/>
  <c r="AV2" i="12"/>
  <c r="AT3" i="12"/>
  <c r="AU3" i="12" s="1"/>
  <c r="AT4" i="12"/>
  <c r="AU4" i="12" s="1"/>
  <c r="AT5" i="12"/>
  <c r="AU5" i="12" s="1"/>
  <c r="AT6" i="12"/>
  <c r="AU6" i="12" s="1"/>
  <c r="AT7" i="12"/>
  <c r="AU7" i="12" s="1"/>
  <c r="AT8" i="12"/>
  <c r="AU8" i="12" s="1"/>
  <c r="AT9" i="12"/>
  <c r="AU9" i="12" s="1"/>
  <c r="AT10" i="12"/>
  <c r="AU10" i="12" s="1"/>
  <c r="AT11" i="12"/>
  <c r="AU11" i="12" s="1"/>
  <c r="AT12" i="12"/>
  <c r="AU12" i="12" s="1"/>
  <c r="AT13" i="12"/>
  <c r="AU13" i="12" s="1"/>
  <c r="AT14" i="12"/>
  <c r="AU14" i="12" s="1"/>
  <c r="AT15" i="12"/>
  <c r="AU15" i="12" s="1"/>
  <c r="AT16" i="12"/>
  <c r="AU16" i="12" s="1"/>
  <c r="AT17" i="12"/>
  <c r="AU17" i="12" s="1"/>
  <c r="AT18" i="12"/>
  <c r="AU18" i="12" s="1"/>
  <c r="AT19" i="12"/>
  <c r="AU19" i="12" s="1"/>
  <c r="AT20" i="12"/>
  <c r="AT21" i="12"/>
  <c r="AU21" i="12" s="1"/>
  <c r="AT22" i="12"/>
  <c r="AU22" i="12" s="1"/>
  <c r="AT23" i="12"/>
  <c r="AU23" i="12" s="1"/>
  <c r="AT24" i="12"/>
  <c r="AU24" i="12" s="1"/>
  <c r="AT25" i="12"/>
  <c r="AU25" i="12" s="1"/>
  <c r="AT26" i="12"/>
  <c r="AU26" i="12" s="1"/>
  <c r="AT2" i="12"/>
  <c r="AU2" i="12" s="1"/>
  <c r="AR3" i="12" a="1"/>
  <c r="AR3" i="12" s="1"/>
  <c r="AR4" i="12" a="1"/>
  <c r="AR4" i="12" s="1"/>
  <c r="AR5" i="12" a="1"/>
  <c r="AR5" i="12" s="1"/>
  <c r="AR6" i="12" a="1"/>
  <c r="AR6" i="12" s="1"/>
  <c r="AR7" i="12" a="1"/>
  <c r="AR7" i="12" s="1"/>
  <c r="AR8" i="12" a="1"/>
  <c r="AR8" i="12" s="1"/>
  <c r="AR9" i="12" a="1"/>
  <c r="AR9" i="12" s="1"/>
  <c r="AR10" i="12" a="1"/>
  <c r="AR10" i="12" s="1"/>
  <c r="AR11" i="12" a="1"/>
  <c r="AR11" i="12" s="1"/>
  <c r="AR12" i="12" a="1"/>
  <c r="AR12" i="12" s="1"/>
  <c r="AR13" i="12" a="1"/>
  <c r="AR13" i="12" s="1"/>
  <c r="AR14" i="12" a="1"/>
  <c r="AR14" i="12" s="1"/>
  <c r="AR15" i="12" a="1"/>
  <c r="AR15" i="12" s="1"/>
  <c r="AR16" i="12" a="1"/>
  <c r="AR16" i="12" s="1"/>
  <c r="AR17" i="12" a="1"/>
  <c r="AR17" i="12" s="1"/>
  <c r="AR18" i="12" a="1"/>
  <c r="AR18" i="12" s="1"/>
  <c r="AR19" i="12" a="1"/>
  <c r="AR19" i="12" s="1"/>
  <c r="AR20" i="12" a="1"/>
  <c r="AR20" i="12" s="1"/>
  <c r="AR21" i="12" a="1"/>
  <c r="AR21" i="12" s="1"/>
  <c r="AR22" i="12" a="1"/>
  <c r="AR22" i="12" s="1"/>
  <c r="AR23" i="12" a="1"/>
  <c r="AR23" i="12" s="1"/>
  <c r="AR24" i="12" a="1"/>
  <c r="AR24" i="12" s="1"/>
  <c r="AR25" i="12" a="1"/>
  <c r="AR25" i="12" s="1"/>
  <c r="AR26" i="12" a="1"/>
  <c r="AR26" i="12" s="1"/>
  <c r="AR2" i="12" a="1"/>
  <c r="AR2" i="12" s="1"/>
  <c r="AS3" i="12"/>
  <c r="AS4" i="12"/>
  <c r="AS5" i="12"/>
  <c r="AS6" i="12"/>
  <c r="AS7" i="12"/>
  <c r="AS8" i="12"/>
  <c r="AS9" i="12"/>
  <c r="AS10" i="12"/>
  <c r="AS11" i="12"/>
  <c r="AS12" i="12"/>
  <c r="AS13" i="12"/>
  <c r="AS14" i="12"/>
  <c r="AS15" i="12"/>
  <c r="AS16" i="12"/>
  <c r="AS17" i="12"/>
  <c r="AS18" i="12"/>
  <c r="AS19" i="12"/>
  <c r="AS20" i="12"/>
  <c r="AS21" i="12"/>
  <c r="AS22" i="12"/>
  <c r="AS23" i="12"/>
  <c r="AS24" i="12"/>
  <c r="AS25" i="12"/>
  <c r="AS26" i="12"/>
  <c r="AS2" i="12"/>
  <c r="AO3" i="12"/>
  <c r="AO4" i="12"/>
  <c r="AO5" i="12"/>
  <c r="AP5" i="12" s="1"/>
  <c r="AO6" i="12"/>
  <c r="AP6" i="12" s="1"/>
  <c r="AO7" i="12"/>
  <c r="AO8" i="12"/>
  <c r="AP8" i="12" s="1"/>
  <c r="AO9" i="12"/>
  <c r="AO10" i="12"/>
  <c r="AO11" i="12"/>
  <c r="AO12" i="12"/>
  <c r="AO13" i="12"/>
  <c r="AP13" i="12" s="1"/>
  <c r="AO14" i="12"/>
  <c r="AP14" i="12" s="1"/>
  <c r="AO15" i="12"/>
  <c r="AP15" i="12" s="1"/>
  <c r="AO16" i="12"/>
  <c r="AP16" i="12" s="1"/>
  <c r="AO17" i="12"/>
  <c r="AO18" i="12"/>
  <c r="AO19" i="12"/>
  <c r="AO20" i="12"/>
  <c r="AO21" i="12"/>
  <c r="AP21" i="12" s="1"/>
  <c r="AO22" i="12"/>
  <c r="AP22" i="12" s="1"/>
  <c r="AO23" i="12"/>
  <c r="AP23" i="12" s="1"/>
  <c r="AO24" i="12"/>
  <c r="AP24" i="12" s="1"/>
  <c r="AO25" i="12"/>
  <c r="AO26" i="12"/>
  <c r="AO2" i="12"/>
  <c r="AM3" i="12"/>
  <c r="AN3" i="12" s="1"/>
  <c r="AM4" i="12"/>
  <c r="AN4" i="12" s="1"/>
  <c r="AM5" i="12"/>
  <c r="AM6" i="12"/>
  <c r="AN6" i="12" s="1"/>
  <c r="AM7" i="12"/>
  <c r="AN7" i="12" s="1"/>
  <c r="AM8" i="12"/>
  <c r="AM9" i="12"/>
  <c r="AN9" i="12" s="1"/>
  <c r="AM10" i="12"/>
  <c r="AN10" i="12" s="1"/>
  <c r="AM11" i="12"/>
  <c r="AN11" i="12" s="1"/>
  <c r="AM12" i="12"/>
  <c r="AN12" i="12" s="1"/>
  <c r="AM13" i="12"/>
  <c r="AM14" i="12"/>
  <c r="AN14" i="12" s="1"/>
  <c r="AM15" i="12"/>
  <c r="AN15" i="12" s="1"/>
  <c r="AM16" i="12"/>
  <c r="AM17" i="12"/>
  <c r="AN17" i="12" s="1"/>
  <c r="AM18" i="12"/>
  <c r="AN18" i="12" s="1"/>
  <c r="AM19" i="12"/>
  <c r="AN19" i="12" s="1"/>
  <c r="AM20" i="12"/>
  <c r="AN20" i="12" s="1"/>
  <c r="AM21" i="12"/>
  <c r="AM22" i="12"/>
  <c r="AN22" i="12" s="1"/>
  <c r="AM23" i="12"/>
  <c r="AN23" i="12" s="1"/>
  <c r="AM24" i="12"/>
  <c r="AM25" i="12"/>
  <c r="AN25" i="12" s="1"/>
  <c r="AM26" i="12"/>
  <c r="AN26" i="12" s="1"/>
  <c r="AM2" i="12"/>
  <c r="AN2" i="12" s="1"/>
  <c r="AL3" i="12"/>
  <c r="AL4" i="12"/>
  <c r="AL5" i="12"/>
  <c r="AL6" i="12"/>
  <c r="AL7" i="12"/>
  <c r="AL8" i="12"/>
  <c r="AL9" i="12"/>
  <c r="AL10" i="12"/>
  <c r="AL11" i="12"/>
  <c r="AL12" i="12"/>
  <c r="AL13" i="12"/>
  <c r="AL14" i="12"/>
  <c r="AL15" i="12"/>
  <c r="AL16" i="12"/>
  <c r="AL17" i="12"/>
  <c r="AL18" i="12"/>
  <c r="AL19" i="12"/>
  <c r="AL20" i="12"/>
  <c r="AL21" i="12"/>
  <c r="AL22" i="12"/>
  <c r="AL23" i="12"/>
  <c r="AL24" i="12"/>
  <c r="AL25" i="12"/>
  <c r="AL26" i="12"/>
  <c r="AL2" i="12"/>
  <c r="AK3" i="12" a="1"/>
  <c r="AK3" i="12" s="1"/>
  <c r="AK4" i="12" a="1"/>
  <c r="AK4" i="12" s="1"/>
  <c r="AK5" i="12" a="1"/>
  <c r="AK5" i="12" s="1"/>
  <c r="AK6" i="12" a="1"/>
  <c r="AK6" i="12" s="1"/>
  <c r="AK7" i="12" a="1"/>
  <c r="AK7" i="12" s="1"/>
  <c r="AK8" i="12" a="1"/>
  <c r="AK8" i="12" s="1"/>
  <c r="AK9" i="12" a="1"/>
  <c r="AK9" i="12" s="1"/>
  <c r="AK10" i="12" a="1"/>
  <c r="AK10" i="12" s="1"/>
  <c r="AK11" i="12" a="1"/>
  <c r="AK11" i="12" s="1"/>
  <c r="AK12" i="12" a="1"/>
  <c r="AK12" i="12" s="1"/>
  <c r="AK13" i="12" a="1"/>
  <c r="AK13" i="12" s="1"/>
  <c r="AK14" i="12" a="1"/>
  <c r="AK14" i="12" s="1"/>
  <c r="AK15" i="12" a="1"/>
  <c r="AK15" i="12" s="1"/>
  <c r="AK16" i="12" a="1"/>
  <c r="AK16" i="12" s="1"/>
  <c r="AK17" i="12" a="1"/>
  <c r="AK17" i="12" s="1"/>
  <c r="AK18" i="12" a="1"/>
  <c r="AK18" i="12" s="1"/>
  <c r="AK19" i="12" a="1"/>
  <c r="AK19" i="12" s="1"/>
  <c r="AK20" i="12" a="1"/>
  <c r="AK20" i="12" s="1"/>
  <c r="AK21" i="12" a="1"/>
  <c r="AK21" i="12" s="1"/>
  <c r="AK22" i="12" a="1"/>
  <c r="AK22" i="12" s="1"/>
  <c r="AK23" i="12" a="1"/>
  <c r="AK23" i="12" s="1"/>
  <c r="AK24" i="12" a="1"/>
  <c r="AK24" i="12" s="1"/>
  <c r="AK25" i="12" a="1"/>
  <c r="AK25" i="12" s="1"/>
  <c r="AK26" i="12" a="1"/>
  <c r="AK26" i="12" s="1"/>
  <c r="AK2" i="12" a="1"/>
  <c r="AK2" i="12" s="1"/>
  <c r="AH3" i="12"/>
  <c r="AH4" i="12"/>
  <c r="AI4" i="12" s="1"/>
  <c r="AH5" i="12"/>
  <c r="AI5" i="12" s="1"/>
  <c r="AH6" i="12"/>
  <c r="AI6" i="12" s="1"/>
  <c r="AH7" i="12"/>
  <c r="AI7" i="12" s="1"/>
  <c r="AH8" i="12"/>
  <c r="AI8" i="12" s="1"/>
  <c r="AH9" i="12"/>
  <c r="AH10" i="12"/>
  <c r="AI10" i="12" s="1"/>
  <c r="AH11" i="12"/>
  <c r="AH12" i="12"/>
  <c r="AI12" i="12" s="1"/>
  <c r="AH13" i="12"/>
  <c r="AI13" i="12" s="1"/>
  <c r="AH14" i="12"/>
  <c r="AI14" i="12" s="1"/>
  <c r="AH15" i="12"/>
  <c r="AI15" i="12" s="1"/>
  <c r="AH16" i="12"/>
  <c r="AH17" i="12"/>
  <c r="AH18" i="12"/>
  <c r="AI18" i="12" s="1"/>
  <c r="AH19" i="12"/>
  <c r="AI19" i="12" s="1"/>
  <c r="AH20" i="12"/>
  <c r="AH21" i="12"/>
  <c r="AI21" i="12" s="1"/>
  <c r="AH22" i="12"/>
  <c r="AI22" i="12" s="1"/>
  <c r="AH23" i="12"/>
  <c r="AI23" i="12" s="1"/>
  <c r="AH24" i="12"/>
  <c r="AI24" i="12" s="1"/>
  <c r="AH25" i="12"/>
  <c r="AH26" i="12"/>
  <c r="AI26" i="12" s="1"/>
  <c r="AH2" i="12"/>
  <c r="AI2" i="12" s="1"/>
  <c r="AF3" i="12"/>
  <c r="AG3" i="12" s="1"/>
  <c r="AF4" i="12"/>
  <c r="AG4" i="12" s="1"/>
  <c r="AF5" i="12"/>
  <c r="AG5" i="12" s="1"/>
  <c r="AF6" i="12"/>
  <c r="AG6" i="12" s="1"/>
  <c r="AF7" i="12"/>
  <c r="AG7" i="12" s="1"/>
  <c r="AF8" i="12"/>
  <c r="AG8" i="12" s="1"/>
  <c r="AF9" i="12"/>
  <c r="AG9" i="12" s="1"/>
  <c r="AF10" i="12"/>
  <c r="AG10" i="12" s="1"/>
  <c r="AF11" i="12"/>
  <c r="AG11" i="12" s="1"/>
  <c r="AF12" i="12"/>
  <c r="AF13" i="12"/>
  <c r="AG13" i="12" s="1"/>
  <c r="AF14" i="12"/>
  <c r="AG14" i="12" s="1"/>
  <c r="AF15" i="12"/>
  <c r="AG15" i="12" s="1"/>
  <c r="AF16" i="12"/>
  <c r="AG16" i="12" s="1"/>
  <c r="AF17" i="12"/>
  <c r="AG17" i="12" s="1"/>
  <c r="AF18" i="12"/>
  <c r="AG18" i="12" s="1"/>
  <c r="AF19" i="12"/>
  <c r="AG19" i="12" s="1"/>
  <c r="AF20" i="12"/>
  <c r="AG20" i="12" s="1"/>
  <c r="AF21" i="12"/>
  <c r="AG21" i="12" s="1"/>
  <c r="AF22" i="12"/>
  <c r="AG22" i="12" s="1"/>
  <c r="AF23" i="12"/>
  <c r="AG23" i="12" s="1"/>
  <c r="AF24" i="12"/>
  <c r="AG24" i="12" s="1"/>
  <c r="AF25" i="12"/>
  <c r="AG25" i="12" s="1"/>
  <c r="AF26" i="12"/>
  <c r="AG26" i="12" s="1"/>
  <c r="AF2" i="12"/>
  <c r="AG2" i="12" s="1"/>
  <c r="AD3" i="12" a="1"/>
  <c r="AD3" i="12" s="1"/>
  <c r="AD4" i="12" a="1"/>
  <c r="AD4" i="12" s="1"/>
  <c r="AD5" i="12" a="1"/>
  <c r="AD5" i="12" s="1"/>
  <c r="AD6" i="12" a="1"/>
  <c r="AD6" i="12" s="1"/>
  <c r="AD7" i="12" a="1"/>
  <c r="AD7" i="12" s="1"/>
  <c r="AD8" i="12" a="1"/>
  <c r="AD8" i="12" s="1"/>
  <c r="AD9" i="12" a="1"/>
  <c r="AD9" i="12" s="1"/>
  <c r="AD10" i="12" a="1"/>
  <c r="AD10" i="12" s="1"/>
  <c r="AD11" i="12" a="1"/>
  <c r="AD11" i="12" s="1"/>
  <c r="AD12" i="12" a="1"/>
  <c r="AD12" i="12" s="1"/>
  <c r="AD13" i="12" a="1"/>
  <c r="AD13" i="12" s="1"/>
  <c r="AD14" i="12" a="1"/>
  <c r="AD14" i="12" s="1"/>
  <c r="AD15" i="12" a="1"/>
  <c r="AD15" i="12" s="1"/>
  <c r="AD16" i="12" a="1"/>
  <c r="AD16" i="12" s="1"/>
  <c r="AD17" i="12" a="1"/>
  <c r="AD17" i="12" s="1"/>
  <c r="AD18" i="12" a="1"/>
  <c r="AD18" i="12" s="1"/>
  <c r="AD19" i="12" a="1"/>
  <c r="AD19" i="12" s="1"/>
  <c r="AD20" i="12" a="1"/>
  <c r="AD20" i="12" s="1"/>
  <c r="AD21" i="12" a="1"/>
  <c r="AD21" i="12" s="1"/>
  <c r="AD22" i="12" a="1"/>
  <c r="AD22" i="12" s="1"/>
  <c r="AD23" i="12" a="1"/>
  <c r="AD23" i="12" s="1"/>
  <c r="AD24" i="12" a="1"/>
  <c r="AD24" i="12" s="1"/>
  <c r="AD25" i="12" a="1"/>
  <c r="AD25" i="12" s="1"/>
  <c r="AD26" i="12" a="1"/>
  <c r="AD26" i="12" s="1"/>
  <c r="AD2" i="12" a="1"/>
  <c r="AD2" i="12" s="1"/>
  <c r="AE3" i="12"/>
  <c r="AE4" i="12"/>
  <c r="AE5" i="12"/>
  <c r="AE6" i="12"/>
  <c r="AE7" i="12"/>
  <c r="AE8" i="12"/>
  <c r="AE9" i="12"/>
  <c r="AE10" i="12"/>
  <c r="AE11" i="12"/>
  <c r="AE12" i="12"/>
  <c r="AE13" i="12"/>
  <c r="AE14" i="12"/>
  <c r="AE15" i="12"/>
  <c r="AE16" i="12"/>
  <c r="AE17" i="12"/>
  <c r="AE18" i="12"/>
  <c r="AE19" i="12"/>
  <c r="AE20" i="12"/>
  <c r="AE21" i="12"/>
  <c r="AE22" i="12"/>
  <c r="AE23" i="12"/>
  <c r="AE24" i="12"/>
  <c r="AE25" i="12"/>
  <c r="AE26" i="12"/>
  <c r="AE2" i="12"/>
  <c r="AA3" i="12"/>
  <c r="AB3" i="12" s="1"/>
  <c r="AA4" i="12"/>
  <c r="AA5" i="12"/>
  <c r="AB5" i="12" s="1"/>
  <c r="AA6" i="12"/>
  <c r="AB6" i="12" s="1"/>
  <c r="AA7" i="12"/>
  <c r="AB7" i="12" s="1"/>
  <c r="AA8" i="12"/>
  <c r="AA9" i="12"/>
  <c r="AA10" i="12"/>
  <c r="AA11" i="12"/>
  <c r="AB11" i="12" s="1"/>
  <c r="AA12" i="12"/>
  <c r="AB12" i="12" s="1"/>
  <c r="AA13" i="12"/>
  <c r="AB13" i="12" s="1"/>
  <c r="AA14" i="12"/>
  <c r="AA15" i="12"/>
  <c r="AA16" i="12"/>
  <c r="AA17" i="12"/>
  <c r="AA18" i="12"/>
  <c r="AA19" i="12"/>
  <c r="AB19" i="12" s="1"/>
  <c r="AA20" i="12"/>
  <c r="AB20" i="12" s="1"/>
  <c r="AA21" i="12"/>
  <c r="AA22" i="12"/>
  <c r="AB22" i="12" s="1"/>
  <c r="AA23" i="12"/>
  <c r="AA24" i="12"/>
  <c r="AA25" i="12"/>
  <c r="AA26" i="12"/>
  <c r="AA2" i="12"/>
  <c r="Y3" i="12"/>
  <c r="Z3" i="12" s="1"/>
  <c r="Y4" i="12"/>
  <c r="Z4" i="12" s="1"/>
  <c r="Y5" i="12"/>
  <c r="Z5" i="12" s="1"/>
  <c r="Y6" i="12"/>
  <c r="Z6" i="12" s="1"/>
  <c r="Y7" i="12"/>
  <c r="Z7" i="12" s="1"/>
  <c r="Y8" i="12"/>
  <c r="Z8" i="12" s="1"/>
  <c r="Y9" i="12"/>
  <c r="Z9" i="12" s="1"/>
  <c r="Y10" i="12"/>
  <c r="Z10" i="12" s="1"/>
  <c r="Y11" i="12"/>
  <c r="Z11" i="12" s="1"/>
  <c r="Y12" i="12"/>
  <c r="Z12" i="12" s="1"/>
  <c r="Y13" i="12"/>
  <c r="Y14" i="12"/>
  <c r="Z14" i="12" s="1"/>
  <c r="Y15" i="12"/>
  <c r="Z15" i="12" s="1"/>
  <c r="Y16" i="12"/>
  <c r="Z16" i="12" s="1"/>
  <c r="Y17" i="12"/>
  <c r="Z17" i="12" s="1"/>
  <c r="Y18" i="12"/>
  <c r="Z18" i="12" s="1"/>
  <c r="Y19" i="12"/>
  <c r="Z19" i="12" s="1"/>
  <c r="Y20" i="12"/>
  <c r="Z20" i="12" s="1"/>
  <c r="Y21" i="12"/>
  <c r="Z21" i="12" s="1"/>
  <c r="Y22" i="12"/>
  <c r="Z22" i="12" s="1"/>
  <c r="Y23" i="12"/>
  <c r="Z23" i="12" s="1"/>
  <c r="Y24" i="12"/>
  <c r="Z24" i="12" s="1"/>
  <c r="Y25" i="12"/>
  <c r="Z25" i="12" s="1"/>
  <c r="Y26" i="12"/>
  <c r="Z26" i="12" s="1"/>
  <c r="Y2" i="12"/>
  <c r="Z2" i="12" s="1"/>
  <c r="T3" i="12"/>
  <c r="T4" i="12"/>
  <c r="T5" i="12"/>
  <c r="U5" i="12" s="1"/>
  <c r="T6" i="12"/>
  <c r="U6" i="12" s="1"/>
  <c r="T7" i="12"/>
  <c r="U7" i="12" s="1"/>
  <c r="T8" i="12"/>
  <c r="U8" i="12" s="1"/>
  <c r="T9" i="12"/>
  <c r="U9" i="12" s="1"/>
  <c r="T10" i="12"/>
  <c r="U10" i="12" s="1"/>
  <c r="T11" i="12"/>
  <c r="T12" i="12"/>
  <c r="T13" i="12"/>
  <c r="T14" i="12"/>
  <c r="T15" i="12"/>
  <c r="T16" i="12"/>
  <c r="U16" i="12" s="1"/>
  <c r="T17" i="12"/>
  <c r="U17" i="12" s="1"/>
  <c r="T18" i="12"/>
  <c r="U18" i="12" s="1"/>
  <c r="T19" i="12"/>
  <c r="T20" i="12"/>
  <c r="T21" i="12"/>
  <c r="U21" i="12" s="1"/>
  <c r="T22" i="12"/>
  <c r="U22" i="12" s="1"/>
  <c r="T23" i="12"/>
  <c r="U23" i="12" s="1"/>
  <c r="T24" i="12"/>
  <c r="U24" i="12" s="1"/>
  <c r="T25" i="12"/>
  <c r="U25" i="12" s="1"/>
  <c r="T26" i="12"/>
  <c r="U26" i="12" s="1"/>
  <c r="X3" i="12"/>
  <c r="X4" i="12"/>
  <c r="X5" i="12"/>
  <c r="X6" i="12"/>
  <c r="X7" i="12"/>
  <c r="X8" i="12"/>
  <c r="X9" i="12"/>
  <c r="X10" i="12"/>
  <c r="X11" i="12"/>
  <c r="X12" i="12"/>
  <c r="X13" i="12"/>
  <c r="X14" i="12"/>
  <c r="X15" i="12"/>
  <c r="X16" i="12"/>
  <c r="X17" i="12"/>
  <c r="X18" i="12"/>
  <c r="X19" i="12"/>
  <c r="X20" i="12"/>
  <c r="X21" i="12"/>
  <c r="X22" i="12"/>
  <c r="X23" i="12"/>
  <c r="X24" i="12"/>
  <c r="X25" i="12"/>
  <c r="X26" i="12"/>
  <c r="X2" i="12"/>
  <c r="W3" i="12" a="1"/>
  <c r="W3" i="12" s="1"/>
  <c r="W4" i="12" a="1"/>
  <c r="W4" i="12" s="1"/>
  <c r="W5" i="12" a="1"/>
  <c r="W5" i="12" s="1"/>
  <c r="W6" i="12" a="1"/>
  <c r="W6" i="12" s="1"/>
  <c r="W7" i="12" a="1"/>
  <c r="W7" i="12" s="1"/>
  <c r="W8" i="12" a="1"/>
  <c r="W8" i="12" s="1"/>
  <c r="W9" i="12" a="1"/>
  <c r="W9" i="12" s="1"/>
  <c r="W10" i="12" a="1"/>
  <c r="W10" i="12" s="1"/>
  <c r="W11" i="12" a="1"/>
  <c r="W11" i="12" s="1"/>
  <c r="W12" i="12" a="1"/>
  <c r="W12" i="12" s="1"/>
  <c r="W13" i="12" a="1"/>
  <c r="W13" i="12" s="1"/>
  <c r="W14" i="12" a="1"/>
  <c r="W14" i="12" s="1"/>
  <c r="W15" i="12" a="1"/>
  <c r="W15" i="12" s="1"/>
  <c r="W16" i="12" a="1"/>
  <c r="W16" i="12" s="1"/>
  <c r="W17" i="12" a="1"/>
  <c r="W17" i="12" s="1"/>
  <c r="W18" i="12" a="1"/>
  <c r="W18" i="12" s="1"/>
  <c r="W19" i="12" a="1"/>
  <c r="W19" i="12" s="1"/>
  <c r="W20" i="12" a="1"/>
  <c r="W20" i="12" s="1"/>
  <c r="W21" i="12" a="1"/>
  <c r="W21" i="12" s="1"/>
  <c r="W22" i="12" a="1"/>
  <c r="W22" i="12" s="1"/>
  <c r="W23" i="12" a="1"/>
  <c r="W23" i="12" s="1"/>
  <c r="W24" i="12" a="1"/>
  <c r="W24" i="12" s="1"/>
  <c r="W25" i="12" a="1"/>
  <c r="W25" i="12" s="1"/>
  <c r="W26" i="12" a="1"/>
  <c r="W26" i="12" s="1"/>
  <c r="W2" i="12" a="1"/>
  <c r="W2" i="12" s="1"/>
  <c r="T2" i="12"/>
  <c r="R3" i="12"/>
  <c r="S3" i="12" s="1"/>
  <c r="R26" i="12"/>
  <c r="S26" i="12" s="1"/>
  <c r="R25" i="12"/>
  <c r="S25" i="12" s="1"/>
  <c r="R24" i="12"/>
  <c r="S24" i="12" s="1"/>
  <c r="R23" i="12"/>
  <c r="S23" i="12" s="1"/>
  <c r="R22" i="12"/>
  <c r="S22" i="12" s="1"/>
  <c r="R21" i="12"/>
  <c r="S21" i="12" s="1"/>
  <c r="R20" i="12"/>
  <c r="S20" i="12" s="1"/>
  <c r="R19" i="12"/>
  <c r="S19" i="12" s="1"/>
  <c r="R18" i="12"/>
  <c r="S18" i="12" s="1"/>
  <c r="R17" i="12"/>
  <c r="S17" i="12" s="1"/>
  <c r="R16" i="12"/>
  <c r="R15" i="12"/>
  <c r="S15" i="12" s="1"/>
  <c r="R14" i="12"/>
  <c r="S14" i="12" s="1"/>
  <c r="R13" i="12"/>
  <c r="S13" i="12" s="1"/>
  <c r="R12" i="12"/>
  <c r="S12" i="12" s="1"/>
  <c r="R11" i="12"/>
  <c r="S11" i="12" s="1"/>
  <c r="R10" i="12"/>
  <c r="S10" i="12" s="1"/>
  <c r="R9" i="12"/>
  <c r="S9" i="12" s="1"/>
  <c r="R8" i="12"/>
  <c r="R7" i="12"/>
  <c r="S7" i="12" s="1"/>
  <c r="R6" i="12"/>
  <c r="S6" i="12" s="1"/>
  <c r="R5" i="12"/>
  <c r="S5" i="12" s="1"/>
  <c r="R4" i="12"/>
  <c r="S4" i="12" s="1"/>
  <c r="R2" i="12"/>
  <c r="S2" i="12" s="1"/>
  <c r="P3" i="12" a="1"/>
  <c r="P3" i="12" s="1"/>
  <c r="P4" i="12" a="1"/>
  <c r="P4" i="12" s="1"/>
  <c r="P5" i="12" a="1"/>
  <c r="P5" i="12" s="1"/>
  <c r="P6" i="12" a="1"/>
  <c r="P6" i="12" s="1"/>
  <c r="P7" i="12" a="1"/>
  <c r="P7" i="12" s="1"/>
  <c r="P8" i="12" a="1"/>
  <c r="P8" i="12" s="1"/>
  <c r="P9" i="12" a="1"/>
  <c r="P9" i="12" s="1"/>
  <c r="P10" i="12" a="1"/>
  <c r="P10" i="12" s="1"/>
  <c r="P11" i="12" a="1"/>
  <c r="P11" i="12" s="1"/>
  <c r="P12" i="12" a="1"/>
  <c r="P12" i="12" s="1"/>
  <c r="P13" i="12" a="1"/>
  <c r="P13" i="12" s="1"/>
  <c r="P14" i="12" a="1"/>
  <c r="P14" i="12" s="1"/>
  <c r="P15" i="12" a="1"/>
  <c r="P15" i="12" s="1"/>
  <c r="P16" i="12" a="1"/>
  <c r="P16" i="12" s="1"/>
  <c r="P17" i="12" a="1"/>
  <c r="P17" i="12" s="1"/>
  <c r="P18" i="12" a="1"/>
  <c r="P18" i="12" s="1"/>
  <c r="P19" i="12" a="1"/>
  <c r="P19" i="12" s="1"/>
  <c r="P20" i="12" a="1"/>
  <c r="P20" i="12" s="1"/>
  <c r="P21" i="12" a="1"/>
  <c r="P21" i="12" s="1"/>
  <c r="P22" i="12" a="1"/>
  <c r="P22" i="12" s="1"/>
  <c r="P23" i="12" a="1"/>
  <c r="P23" i="12" s="1"/>
  <c r="P24" i="12" a="1"/>
  <c r="P24" i="12" s="1"/>
  <c r="P25" i="12" a="1"/>
  <c r="P25" i="12" s="1"/>
  <c r="P26" i="12" a="1"/>
  <c r="P26" i="12" s="1"/>
  <c r="P2" i="12" a="1"/>
  <c r="P2" i="12" s="1"/>
  <c r="N3" i="12" a="1"/>
  <c r="N3" i="12" s="1"/>
  <c r="N4" i="12" a="1"/>
  <c r="N4" i="12" s="1"/>
  <c r="N5" i="12" a="1"/>
  <c r="N5" i="12" s="1"/>
  <c r="N6" i="12" a="1"/>
  <c r="N6" i="12" s="1"/>
  <c r="N7" i="12" a="1"/>
  <c r="N7" i="12" s="1"/>
  <c r="N8" i="12" a="1"/>
  <c r="N8" i="12" s="1"/>
  <c r="N9" i="12" a="1"/>
  <c r="N9" i="12" s="1"/>
  <c r="N10" i="12" a="1"/>
  <c r="N10" i="12" s="1"/>
  <c r="N11" i="12" a="1"/>
  <c r="N11" i="12" s="1"/>
  <c r="N12" i="12" a="1"/>
  <c r="N12" i="12" s="1"/>
  <c r="N13" i="12" a="1"/>
  <c r="N13" i="12" s="1"/>
  <c r="N14" i="12" a="1"/>
  <c r="N14" i="12" s="1"/>
  <c r="N15" i="12" a="1"/>
  <c r="N15" i="12" s="1"/>
  <c r="N16" i="12" a="1"/>
  <c r="N16" i="12" s="1"/>
  <c r="N17" i="12" a="1"/>
  <c r="N17" i="12" s="1"/>
  <c r="N18" i="12" a="1"/>
  <c r="N18" i="12" s="1"/>
  <c r="N19" i="12" a="1"/>
  <c r="N19" i="12" s="1"/>
  <c r="N20" i="12" a="1"/>
  <c r="N20" i="12" s="1"/>
  <c r="N21" i="12" a="1"/>
  <c r="N21" i="12" s="1"/>
  <c r="N22" i="12" a="1"/>
  <c r="N22" i="12" s="1"/>
  <c r="N23" i="12" a="1"/>
  <c r="N23" i="12" s="1"/>
  <c r="N24" i="12" a="1"/>
  <c r="N24" i="12" s="1"/>
  <c r="N25" i="12" a="1"/>
  <c r="N25" i="12" s="1"/>
  <c r="N26" i="12" a="1"/>
  <c r="N26" i="12" s="1"/>
  <c r="N2" i="12" a="1"/>
  <c r="N2" i="12" s="1"/>
  <c r="L3" i="12" a="1"/>
  <c r="L3" i="12" s="1"/>
  <c r="L4" i="12" a="1"/>
  <c r="L4" i="12" s="1"/>
  <c r="L5" i="12" a="1"/>
  <c r="L5" i="12" s="1"/>
  <c r="L6" i="12" a="1"/>
  <c r="L6" i="12" s="1"/>
  <c r="L7" i="12" a="1"/>
  <c r="L7" i="12" s="1"/>
  <c r="L8" i="12" a="1"/>
  <c r="L8" i="12" s="1"/>
  <c r="L9" i="12" a="1"/>
  <c r="L9" i="12" s="1"/>
  <c r="L10" i="12" a="1"/>
  <c r="L10" i="12" s="1"/>
  <c r="L11" i="12" a="1"/>
  <c r="L11" i="12" s="1"/>
  <c r="L12" i="12" a="1"/>
  <c r="L12" i="12" s="1"/>
  <c r="L13" i="12" a="1"/>
  <c r="L13" i="12" s="1"/>
  <c r="L14" i="12" a="1"/>
  <c r="L14" i="12" s="1"/>
  <c r="L15" i="12" a="1"/>
  <c r="L15" i="12" s="1"/>
  <c r="L16" i="12" a="1"/>
  <c r="L16" i="12" s="1"/>
  <c r="L17" i="12" a="1"/>
  <c r="L17" i="12" s="1"/>
  <c r="L18" i="12" a="1"/>
  <c r="L18" i="12" s="1"/>
  <c r="L19" i="12" a="1"/>
  <c r="L19" i="12" s="1"/>
  <c r="L20" i="12" a="1"/>
  <c r="L20" i="12" s="1"/>
  <c r="L21" i="12" a="1"/>
  <c r="L21" i="12" s="1"/>
  <c r="L22" i="12" a="1"/>
  <c r="L22" i="12" s="1"/>
  <c r="L23" i="12" a="1"/>
  <c r="L23" i="12" s="1"/>
  <c r="L24" i="12" a="1"/>
  <c r="L24" i="12" s="1"/>
  <c r="L25" i="12" a="1"/>
  <c r="L25" i="12" s="1"/>
  <c r="L26" i="12" a="1"/>
  <c r="L26" i="12" s="1"/>
  <c r="L2" i="12" a="1"/>
  <c r="L2" i="12" s="1"/>
  <c r="J3" i="12" a="1"/>
  <c r="J3" i="12" s="1"/>
  <c r="J4" i="12" a="1"/>
  <c r="J4" i="12" s="1"/>
  <c r="J5" i="12" a="1"/>
  <c r="J5" i="12" s="1"/>
  <c r="J6" i="12" a="1"/>
  <c r="J6" i="12" s="1"/>
  <c r="J7" i="12" a="1"/>
  <c r="J7" i="12" s="1"/>
  <c r="J8" i="12" a="1"/>
  <c r="J8" i="12" s="1"/>
  <c r="J9" i="12" a="1"/>
  <c r="J9" i="12" s="1"/>
  <c r="J10" i="12" a="1"/>
  <c r="J10" i="12" s="1"/>
  <c r="J11" i="12" a="1"/>
  <c r="J11" i="12" s="1"/>
  <c r="J12" i="12" a="1"/>
  <c r="J12" i="12" s="1"/>
  <c r="J13" i="12" a="1"/>
  <c r="J13" i="12" s="1"/>
  <c r="J14" i="12" a="1"/>
  <c r="J14" i="12" s="1"/>
  <c r="J15" i="12" a="1"/>
  <c r="J15" i="12" s="1"/>
  <c r="J16" i="12" a="1"/>
  <c r="J16" i="12" s="1"/>
  <c r="J17" i="12" a="1"/>
  <c r="J17" i="12" s="1"/>
  <c r="J18" i="12" a="1"/>
  <c r="J18" i="12" s="1"/>
  <c r="J19" i="12" a="1"/>
  <c r="J19" i="12" s="1"/>
  <c r="J20" i="12" a="1"/>
  <c r="J20" i="12" s="1"/>
  <c r="J21" i="12" a="1"/>
  <c r="J21" i="12" s="1"/>
  <c r="J22" i="12" a="1"/>
  <c r="J22" i="12" s="1"/>
  <c r="J23" i="12" a="1"/>
  <c r="J23" i="12" s="1"/>
  <c r="J24" i="12" a="1"/>
  <c r="J24" i="12" s="1"/>
  <c r="J25" i="12" a="1"/>
  <c r="J25" i="12" s="1"/>
  <c r="J26" i="12" a="1"/>
  <c r="J26" i="12" s="1"/>
  <c r="J2" i="12" a="1"/>
  <c r="J2" i="12" s="1"/>
  <c r="F3" i="12" a="1"/>
  <c r="F3" i="12" s="1"/>
  <c r="F4" i="12" a="1"/>
  <c r="F4" i="12" s="1"/>
  <c r="F5" i="12" a="1"/>
  <c r="F5" i="12" s="1"/>
  <c r="F6" i="12" a="1"/>
  <c r="F6" i="12" s="1"/>
  <c r="F7" i="12" a="1"/>
  <c r="F7" i="12" s="1"/>
  <c r="F8" i="12" a="1"/>
  <c r="F8" i="12" s="1"/>
  <c r="F9" i="12" a="1"/>
  <c r="F9" i="12" s="1"/>
  <c r="F10" i="12" a="1"/>
  <c r="F10" i="12" s="1"/>
  <c r="F11" i="12" a="1"/>
  <c r="F11" i="12" s="1"/>
  <c r="F12" i="12" a="1"/>
  <c r="F12" i="12" s="1"/>
  <c r="F13" i="12" a="1"/>
  <c r="F13" i="12" s="1"/>
  <c r="F14" i="12" a="1"/>
  <c r="F14" i="12" s="1"/>
  <c r="F15" i="12" a="1"/>
  <c r="F15" i="12" s="1"/>
  <c r="F16" i="12" a="1"/>
  <c r="F16" i="12" s="1"/>
  <c r="F17" i="12" a="1"/>
  <c r="F17" i="12" s="1"/>
  <c r="F18" i="12" a="1"/>
  <c r="F18" i="12" s="1"/>
  <c r="F19" i="12" a="1"/>
  <c r="F19" i="12" s="1"/>
  <c r="F20" i="12" a="1"/>
  <c r="F20" i="12" s="1"/>
  <c r="F21" i="12" a="1"/>
  <c r="F21" i="12" s="1"/>
  <c r="F22" i="12" a="1"/>
  <c r="F22" i="12" s="1"/>
  <c r="F23" i="12" a="1"/>
  <c r="F23" i="12" s="1"/>
  <c r="F24" i="12" a="1"/>
  <c r="F24" i="12" s="1"/>
  <c r="F25" i="12" a="1"/>
  <c r="F25" i="12" s="1"/>
  <c r="F26" i="12" a="1"/>
  <c r="F26" i="12" s="1"/>
  <c r="F2" i="12" a="1"/>
  <c r="F2" i="12" s="1"/>
  <c r="D3" i="12" a="1"/>
  <c r="D3" i="12" s="1"/>
  <c r="D4" i="12" a="1"/>
  <c r="D4" i="12" s="1"/>
  <c r="D5" i="12" a="1"/>
  <c r="D5" i="12" s="1"/>
  <c r="D6" i="12" a="1"/>
  <c r="D6" i="12" s="1"/>
  <c r="D7" i="12" a="1"/>
  <c r="D7" i="12" s="1"/>
  <c r="D8" i="12" a="1"/>
  <c r="D8" i="12" s="1"/>
  <c r="D9" i="12" a="1"/>
  <c r="D9" i="12" s="1"/>
  <c r="D10" i="12" a="1"/>
  <c r="D10" i="12" s="1"/>
  <c r="D11" i="12" a="1"/>
  <c r="D11" i="12" s="1"/>
  <c r="D12" i="12" a="1"/>
  <c r="D12" i="12" s="1"/>
  <c r="D13" i="12" a="1"/>
  <c r="D13" i="12" s="1"/>
  <c r="D14" i="12" a="1"/>
  <c r="D14" i="12" s="1"/>
  <c r="D15" i="12" a="1"/>
  <c r="D15" i="12" s="1"/>
  <c r="D16" i="12" a="1"/>
  <c r="D16" i="12" s="1"/>
  <c r="D17" i="12" a="1"/>
  <c r="D17" i="12" s="1"/>
  <c r="D18" i="12" a="1"/>
  <c r="D18" i="12" s="1"/>
  <c r="D19" i="12" a="1"/>
  <c r="D19" i="12" s="1"/>
  <c r="D20" i="12" a="1"/>
  <c r="D20" i="12" s="1"/>
  <c r="D21" i="12" a="1"/>
  <c r="D21" i="12" s="1"/>
  <c r="D22" i="12" a="1"/>
  <c r="D22" i="12" s="1"/>
  <c r="D23" i="12" a="1"/>
  <c r="D23" i="12" s="1"/>
  <c r="D24" i="12" a="1"/>
  <c r="D24" i="12" s="1"/>
  <c r="D25" i="12" a="1"/>
  <c r="D25" i="12" s="1"/>
  <c r="D26" i="12" a="1"/>
  <c r="D26" i="12" s="1"/>
  <c r="D2" i="12" a="1"/>
  <c r="D2" i="12" s="1"/>
  <c r="C3" i="12" a="1"/>
  <c r="C3" i="12" s="1"/>
  <c r="C4" i="12" a="1"/>
  <c r="C4" i="12" s="1"/>
  <c r="C5" i="12" a="1"/>
  <c r="C5" i="12" s="1"/>
  <c r="C6" i="12" a="1"/>
  <c r="C6" i="12" s="1"/>
  <c r="C7" i="12" a="1"/>
  <c r="C7" i="12" s="1"/>
  <c r="C8" i="12" a="1"/>
  <c r="C8" i="12" s="1"/>
  <c r="C9" i="12" a="1"/>
  <c r="C9" i="12" s="1"/>
  <c r="C10" i="12" a="1"/>
  <c r="C10" i="12" s="1"/>
  <c r="C11" i="12" a="1"/>
  <c r="C11" i="12" s="1"/>
  <c r="C12" i="12" a="1"/>
  <c r="C12" i="12" s="1"/>
  <c r="C13" i="12" a="1"/>
  <c r="C13" i="12" s="1"/>
  <c r="C14" i="12" a="1"/>
  <c r="C14" i="12" s="1"/>
  <c r="C15" i="12" a="1"/>
  <c r="C15" i="12" s="1"/>
  <c r="C16" i="12" a="1"/>
  <c r="C16" i="12" s="1"/>
  <c r="C17" i="12" a="1"/>
  <c r="C17" i="12" s="1"/>
  <c r="C18" i="12" a="1"/>
  <c r="C18" i="12" s="1"/>
  <c r="C19" i="12" a="1"/>
  <c r="C19" i="12" s="1"/>
  <c r="C20" i="12" a="1"/>
  <c r="C20" i="12" s="1"/>
  <c r="C21" i="12" a="1"/>
  <c r="C21" i="12" s="1"/>
  <c r="C22" i="12" a="1"/>
  <c r="C22" i="12" s="1"/>
  <c r="C23" i="12" a="1"/>
  <c r="C23" i="12" s="1"/>
  <c r="C24" i="12" a="1"/>
  <c r="C24" i="12" s="1"/>
  <c r="C25" i="12" a="1"/>
  <c r="C25" i="12" s="1"/>
  <c r="C26" i="12" a="1"/>
  <c r="C26" i="12" s="1"/>
  <c r="C2" i="12" a="1"/>
  <c r="C2" i="12" s="1"/>
  <c r="B3" i="12" a="1"/>
  <c r="B3" i="12" s="1"/>
  <c r="B4" i="12" a="1"/>
  <c r="B4" i="12" s="1"/>
  <c r="B5" i="12" a="1"/>
  <c r="B5" i="12" s="1"/>
  <c r="B6" i="12" a="1"/>
  <c r="B6" i="12" s="1"/>
  <c r="B7" i="12" a="1"/>
  <c r="B7" i="12" s="1"/>
  <c r="B8" i="12" a="1"/>
  <c r="B8" i="12" s="1"/>
  <c r="B9" i="12" a="1"/>
  <c r="B9" i="12" s="1"/>
  <c r="B10" i="12" a="1"/>
  <c r="B10" i="12" s="1"/>
  <c r="B11" i="12" a="1"/>
  <c r="B11" i="12" s="1"/>
  <c r="B12" i="12" a="1"/>
  <c r="B12" i="12" s="1"/>
  <c r="B13" i="12" a="1"/>
  <c r="B13" i="12" s="1"/>
  <c r="B14" i="12" a="1"/>
  <c r="B14" i="12" s="1"/>
  <c r="B15" i="12" a="1"/>
  <c r="B15" i="12" s="1"/>
  <c r="B16" i="12" a="1"/>
  <c r="B16" i="12" s="1"/>
  <c r="B17" i="12" a="1"/>
  <c r="B17" i="12" s="1"/>
  <c r="B18" i="12" a="1"/>
  <c r="B18" i="12" s="1"/>
  <c r="B19" i="12" a="1"/>
  <c r="B19" i="12" s="1"/>
  <c r="B20" i="12" a="1"/>
  <c r="B20" i="12" s="1"/>
  <c r="B21" i="12" a="1"/>
  <c r="B21" i="12" s="1"/>
  <c r="B22" i="12" a="1"/>
  <c r="B22" i="12" s="1"/>
  <c r="B23" i="12" a="1"/>
  <c r="B23" i="12" s="1"/>
  <c r="B24" i="12" a="1"/>
  <c r="B24" i="12" s="1"/>
  <c r="B25" i="12" a="1"/>
  <c r="B25" i="12" s="1"/>
  <c r="B26" i="12" a="1"/>
  <c r="B26" i="12" s="1"/>
  <c r="B2" i="12" a="1"/>
  <c r="B2" i="12" s="1"/>
  <c r="A26" i="12" a="1"/>
  <c r="A26" i="12" s="1"/>
  <c r="Q26" i="12"/>
  <c r="O26" i="12"/>
  <c r="M26" i="12"/>
  <c r="K26" i="12"/>
  <c r="G26" i="12"/>
  <c r="E26" i="12"/>
  <c r="A3" i="12" a="1"/>
  <c r="A3" i="12" s="1"/>
  <c r="A4" i="12" a="1"/>
  <c r="A4" i="12" s="1"/>
  <c r="A5" i="12" a="1"/>
  <c r="A5" i="12" s="1"/>
  <c r="A6" i="12" a="1"/>
  <c r="A6" i="12" s="1"/>
  <c r="A7" i="12" a="1"/>
  <c r="A7" i="12" s="1"/>
  <c r="A8" i="12" a="1"/>
  <c r="A8" i="12" s="1"/>
  <c r="A9" i="12" a="1"/>
  <c r="A9" i="12" s="1"/>
  <c r="A10" i="12" a="1"/>
  <c r="A10" i="12" s="1"/>
  <c r="A11" i="12" a="1"/>
  <c r="A11" i="12" s="1"/>
  <c r="A12" i="12" a="1"/>
  <c r="A12" i="12" s="1"/>
  <c r="A13" i="12" a="1"/>
  <c r="A13" i="12" s="1"/>
  <c r="A14" i="12" a="1"/>
  <c r="A14" i="12" s="1"/>
  <c r="A15" i="12" a="1"/>
  <c r="A15" i="12" s="1"/>
  <c r="A16" i="12" a="1"/>
  <c r="A16" i="12" s="1"/>
  <c r="A17" i="12" a="1"/>
  <c r="A17" i="12" s="1"/>
  <c r="A18" i="12" a="1"/>
  <c r="A18" i="12" s="1"/>
  <c r="A19" i="12" a="1"/>
  <c r="A19" i="12" s="1"/>
  <c r="A20" i="12" a="1"/>
  <c r="A20" i="12" s="1"/>
  <c r="A21" i="12" a="1"/>
  <c r="A21" i="12" s="1"/>
  <c r="A22" i="12" a="1"/>
  <c r="A22" i="12" s="1"/>
  <c r="A23" i="12" a="1"/>
  <c r="A23" i="12" s="1"/>
  <c r="A24" i="12" a="1"/>
  <c r="A24" i="12" s="1"/>
  <c r="A25" i="12" a="1"/>
  <c r="A25" i="12" s="1"/>
  <c r="A2" i="12" a="1"/>
  <c r="A2" i="12" s="1"/>
  <c r="Q3" i="12"/>
  <c r="Q4" i="12"/>
  <c r="Q5" i="12"/>
  <c r="Q6" i="12"/>
  <c r="Q7" i="12"/>
  <c r="Q8" i="12"/>
  <c r="Q9" i="12"/>
  <c r="Q10" i="12"/>
  <c r="Q11" i="12"/>
  <c r="Q12" i="12"/>
  <c r="Q13" i="12"/>
  <c r="Q14" i="12"/>
  <c r="Q15" i="12"/>
  <c r="Q16" i="12"/>
  <c r="Q17" i="12"/>
  <c r="Q18" i="12"/>
  <c r="Q19" i="12"/>
  <c r="Q20" i="12"/>
  <c r="Q21" i="12"/>
  <c r="Q22" i="12"/>
  <c r="Q23" i="12"/>
  <c r="Q24" i="12"/>
  <c r="Q25" i="12"/>
  <c r="Q2" i="12"/>
  <c r="O3" i="12"/>
  <c r="O4" i="12"/>
  <c r="O5" i="12"/>
  <c r="O6" i="12"/>
  <c r="O7" i="12"/>
  <c r="O8" i="12"/>
  <c r="O9" i="12"/>
  <c r="O10" i="12"/>
  <c r="O11" i="12"/>
  <c r="O12" i="12"/>
  <c r="O13" i="12"/>
  <c r="O14" i="12"/>
  <c r="O15" i="12"/>
  <c r="O16" i="12"/>
  <c r="O17" i="12"/>
  <c r="O18" i="12"/>
  <c r="O19" i="12"/>
  <c r="O20" i="12"/>
  <c r="O21" i="12"/>
  <c r="O22" i="12"/>
  <c r="O23" i="12"/>
  <c r="O24" i="12"/>
  <c r="O25" i="12"/>
  <c r="O2" i="12"/>
  <c r="M3" i="12"/>
  <c r="M4" i="12"/>
  <c r="M5" i="12"/>
  <c r="M6" i="12"/>
  <c r="M7" i="12"/>
  <c r="M8" i="12"/>
  <c r="M9" i="12"/>
  <c r="M10" i="12"/>
  <c r="M11" i="12"/>
  <c r="M12" i="12"/>
  <c r="M13" i="12"/>
  <c r="M14" i="12"/>
  <c r="M15" i="12"/>
  <c r="M16" i="12"/>
  <c r="M17" i="12"/>
  <c r="M18" i="12"/>
  <c r="M19" i="12"/>
  <c r="M20" i="12"/>
  <c r="M21" i="12"/>
  <c r="M22" i="12"/>
  <c r="M23" i="12"/>
  <c r="M24" i="12"/>
  <c r="M25" i="12"/>
  <c r="M2" i="12"/>
  <c r="K3" i="12"/>
  <c r="K4" i="12"/>
  <c r="K5" i="12"/>
  <c r="K6" i="12"/>
  <c r="K7" i="12"/>
  <c r="K8" i="12"/>
  <c r="K9" i="12"/>
  <c r="K10" i="12"/>
  <c r="K11" i="12"/>
  <c r="K12" i="12"/>
  <c r="K13" i="12"/>
  <c r="K14" i="12"/>
  <c r="K15" i="12"/>
  <c r="K16" i="12"/>
  <c r="K17" i="12"/>
  <c r="K18" i="12"/>
  <c r="K19" i="12"/>
  <c r="K20" i="12"/>
  <c r="K21" i="12"/>
  <c r="K22" i="12"/>
  <c r="K23" i="12"/>
  <c r="K24" i="12"/>
  <c r="K25" i="12"/>
  <c r="K2" i="12"/>
  <c r="G25" i="12"/>
  <c r="G24" i="12"/>
  <c r="G23" i="12"/>
  <c r="G22" i="12"/>
  <c r="G21" i="12"/>
  <c r="G20" i="12"/>
  <c r="G19" i="12"/>
  <c r="G18" i="12"/>
  <c r="G17" i="12"/>
  <c r="G16" i="12"/>
  <c r="G15" i="12"/>
  <c r="G14" i="12"/>
  <c r="G13" i="12"/>
  <c r="G12" i="12"/>
  <c r="G11" i="12"/>
  <c r="G10" i="12"/>
  <c r="G9" i="12"/>
  <c r="G8" i="12"/>
  <c r="G7" i="12"/>
  <c r="G6" i="12"/>
  <c r="G5" i="12"/>
  <c r="G4" i="12"/>
  <c r="G3" i="12"/>
  <c r="G2" i="12"/>
  <c r="E3" i="12"/>
  <c r="E4" i="12"/>
  <c r="E5" i="12"/>
  <c r="E6" i="12"/>
  <c r="E7" i="12"/>
  <c r="E8" i="12"/>
  <c r="E9" i="12"/>
  <c r="E10" i="12"/>
  <c r="E11" i="12"/>
  <c r="E12" i="12"/>
  <c r="E13" i="12"/>
  <c r="E14" i="12"/>
  <c r="E15" i="12"/>
  <c r="E16" i="12"/>
  <c r="E17" i="12"/>
  <c r="E18" i="12"/>
  <c r="E19" i="12"/>
  <c r="E20" i="12"/>
  <c r="E21" i="12"/>
  <c r="E22" i="12"/>
  <c r="E23" i="12"/>
  <c r="E24" i="12"/>
  <c r="E25" i="12"/>
  <c r="E2" i="12"/>
  <c r="C33" i="10"/>
  <c r="C14" i="10"/>
  <c r="C40" i="10"/>
  <c r="C41" i="10"/>
  <c r="C51" i="10"/>
  <c r="C22" i="10"/>
  <c r="C34" i="10"/>
  <c r="C52" i="10"/>
  <c r="C21" i="10"/>
  <c r="C20" i="10"/>
  <c r="C42" i="10"/>
  <c r="C44" i="10"/>
  <c r="C15" i="10"/>
  <c r="C39" i="10"/>
  <c r="C27" i="10"/>
  <c r="C50" i="10"/>
  <c r="C28" i="10"/>
  <c r="C43" i="10"/>
  <c r="C49" i="10"/>
  <c r="BZ24" i="12" l="1"/>
  <c r="BZ16" i="12"/>
  <c r="BZ2" i="12"/>
  <c r="BZ19" i="12"/>
  <c r="BZ11" i="12"/>
  <c r="BZ3" i="12"/>
  <c r="B3" i="9"/>
  <c r="C82" i="11" s="1"/>
  <c r="B2" i="9"/>
  <c r="C81" i="11" s="1"/>
  <c r="B4" i="9"/>
  <c r="C83" i="11" s="1"/>
  <c r="BZ26" i="12"/>
  <c r="BZ18" i="12"/>
  <c r="BZ10" i="12"/>
  <c r="BZ25" i="12"/>
  <c r="BZ17" i="12"/>
  <c r="BZ9" i="12"/>
  <c r="BZ8" i="12"/>
  <c r="BZ23" i="12"/>
  <c r="BZ7" i="12"/>
  <c r="AQ24" i="12"/>
  <c r="AQ16" i="12"/>
  <c r="AQ8" i="12"/>
  <c r="BZ22" i="12"/>
  <c r="BZ14" i="12"/>
  <c r="BZ6" i="12"/>
  <c r="BZ21" i="12"/>
  <c r="BZ5" i="12"/>
  <c r="C53" i="10"/>
  <c r="C45" i="10"/>
  <c r="C35" i="10"/>
  <c r="C29" i="10"/>
  <c r="C23" i="10"/>
  <c r="C16" i="10"/>
  <c r="K8" i="10"/>
  <c r="BW11" i="12"/>
  <c r="BW19" i="12"/>
  <c r="BZ13" i="12"/>
  <c r="L8" i="10"/>
  <c r="BW2" i="12"/>
  <c r="BZ15" i="12"/>
  <c r="J9" i="10"/>
  <c r="BW3" i="12"/>
  <c r="K9" i="10"/>
  <c r="J7" i="10"/>
  <c r="L9" i="10"/>
  <c r="K7" i="10"/>
  <c r="L7" i="10"/>
  <c r="BW21" i="12"/>
  <c r="BW23" i="12"/>
  <c r="J8" i="10"/>
  <c r="BS8" i="12"/>
  <c r="BW5" i="12"/>
  <c r="BW7" i="12"/>
  <c r="BS21" i="12"/>
  <c r="BS13" i="12"/>
  <c r="BS5" i="12"/>
  <c r="BS20" i="12"/>
  <c r="BS12" i="12"/>
  <c r="BS4" i="12"/>
  <c r="BS15" i="12"/>
  <c r="BS16" i="12"/>
  <c r="BW6" i="12"/>
  <c r="BW14" i="12"/>
  <c r="BW22" i="12"/>
  <c r="BZ4" i="12"/>
  <c r="BZ12" i="12"/>
  <c r="BZ20" i="12"/>
  <c r="BW8" i="12"/>
  <c r="BW16" i="12"/>
  <c r="BW24" i="12"/>
  <c r="BS23" i="12"/>
  <c r="BW9" i="12"/>
  <c r="BW17" i="12"/>
  <c r="BW25" i="12"/>
  <c r="BW10" i="12"/>
  <c r="BW18" i="12"/>
  <c r="BW26" i="12"/>
  <c r="BS11" i="12"/>
  <c r="BS26" i="12"/>
  <c r="BR13" i="12"/>
  <c r="BS7" i="12"/>
  <c r="BS3" i="12"/>
  <c r="BR5" i="12"/>
  <c r="BR21" i="12"/>
  <c r="BS2" i="12"/>
  <c r="BS19" i="12"/>
  <c r="BS18" i="12"/>
  <c r="BS10" i="12"/>
  <c r="BS25" i="12"/>
  <c r="BS17" i="12"/>
  <c r="BS9" i="12"/>
  <c r="BR12" i="12"/>
  <c r="B2" i="8" s="1"/>
  <c r="C71" i="11" s="1"/>
  <c r="BS24" i="12"/>
  <c r="BS22" i="12"/>
  <c r="BS14" i="12"/>
  <c r="BS6" i="12"/>
  <c r="BR17" i="12"/>
  <c r="BL14" i="12"/>
  <c r="BL22" i="12"/>
  <c r="BL6" i="12"/>
  <c r="BR2" i="12"/>
  <c r="BR10" i="12"/>
  <c r="BR18" i="12"/>
  <c r="BR26" i="12"/>
  <c r="BR3" i="12"/>
  <c r="BR11" i="12"/>
  <c r="BR19" i="12"/>
  <c r="BL12" i="12"/>
  <c r="BL11" i="12"/>
  <c r="BK12" i="12"/>
  <c r="BL26" i="12"/>
  <c r="BL10" i="12"/>
  <c r="BR6" i="12"/>
  <c r="BR14" i="12"/>
  <c r="BR22" i="12"/>
  <c r="BL20" i="12"/>
  <c r="BE13" i="12"/>
  <c r="BE5" i="12"/>
  <c r="BK26" i="12"/>
  <c r="BL25" i="12"/>
  <c r="BL24" i="12"/>
  <c r="BL16" i="12"/>
  <c r="BL8" i="12"/>
  <c r="BL3" i="12"/>
  <c r="BE21" i="12"/>
  <c r="BK10" i="12"/>
  <c r="BL19" i="12"/>
  <c r="BL17" i="12"/>
  <c r="BL9" i="12"/>
  <c r="BK11" i="12"/>
  <c r="BL2" i="12"/>
  <c r="BL23" i="12"/>
  <c r="BL15" i="12"/>
  <c r="BL7" i="12"/>
  <c r="BL4" i="12"/>
  <c r="BL18" i="12"/>
  <c r="BL21" i="12"/>
  <c r="BL13" i="12"/>
  <c r="BL5" i="12"/>
  <c r="BE20" i="12"/>
  <c r="BE19" i="12"/>
  <c r="BE3" i="12"/>
  <c r="BD19" i="12"/>
  <c r="BD21" i="12"/>
  <c r="BK6" i="12"/>
  <c r="BK14" i="12"/>
  <c r="BK22" i="12"/>
  <c r="BE8" i="12"/>
  <c r="BK7" i="12"/>
  <c r="BK15" i="12"/>
  <c r="BK23" i="12"/>
  <c r="BE16" i="12"/>
  <c r="BK8" i="12"/>
  <c r="BK16" i="12"/>
  <c r="BK24" i="12"/>
  <c r="AX20" i="12"/>
  <c r="BK9" i="12"/>
  <c r="BK17" i="12"/>
  <c r="BK25" i="12"/>
  <c r="BD5" i="12"/>
  <c r="BE4" i="12"/>
  <c r="BD3" i="12"/>
  <c r="BD4" i="12"/>
  <c r="BD20" i="12"/>
  <c r="BE12" i="12"/>
  <c r="BE26" i="12"/>
  <c r="BE10" i="12"/>
  <c r="BE17" i="12"/>
  <c r="BE2" i="12"/>
  <c r="BE23" i="12"/>
  <c r="BE15" i="12"/>
  <c r="BE7" i="12"/>
  <c r="BE24" i="12"/>
  <c r="BE25" i="12"/>
  <c r="BE9" i="12"/>
  <c r="BD9" i="12"/>
  <c r="BD25" i="12"/>
  <c r="BE22" i="12"/>
  <c r="BE14" i="12"/>
  <c r="BE6" i="12"/>
  <c r="BD13" i="12"/>
  <c r="BE11" i="12"/>
  <c r="BD10" i="12"/>
  <c r="BD26" i="12"/>
  <c r="AX21" i="12"/>
  <c r="AX18" i="12"/>
  <c r="BD6" i="12"/>
  <c r="BD14" i="12"/>
  <c r="BD22" i="12"/>
  <c r="AX13" i="12"/>
  <c r="AX5" i="12"/>
  <c r="AU20" i="12"/>
  <c r="BE18" i="12"/>
  <c r="AX7" i="12"/>
  <c r="BD7" i="12"/>
  <c r="BD15" i="12"/>
  <c r="BD23" i="12"/>
  <c r="AX4" i="12"/>
  <c r="AW4" i="12"/>
  <c r="AQ21" i="12"/>
  <c r="AQ13" i="12"/>
  <c r="AQ5" i="12"/>
  <c r="AX24" i="12"/>
  <c r="AX12" i="12"/>
  <c r="AX22" i="12"/>
  <c r="AX14" i="12"/>
  <c r="AX6" i="12"/>
  <c r="AW21" i="12"/>
  <c r="AX16" i="12"/>
  <c r="AX25" i="12"/>
  <c r="AX17" i="12"/>
  <c r="AX9" i="12"/>
  <c r="AX8" i="12"/>
  <c r="AW17" i="12"/>
  <c r="AX15" i="12"/>
  <c r="AW24" i="12"/>
  <c r="AW5" i="12"/>
  <c r="AW25" i="12"/>
  <c r="AX23" i="12"/>
  <c r="AQ15" i="12"/>
  <c r="AX2" i="12"/>
  <c r="AX19" i="12"/>
  <c r="AX11" i="12"/>
  <c r="AX3" i="12"/>
  <c r="AQ12" i="12"/>
  <c r="AW2" i="12"/>
  <c r="AW18" i="12"/>
  <c r="AQ14" i="12"/>
  <c r="AW3" i="12"/>
  <c r="AW11" i="12"/>
  <c r="AW19" i="12"/>
  <c r="AX10" i="12"/>
  <c r="AX26" i="12"/>
  <c r="AQ4" i="12"/>
  <c r="AN16" i="12"/>
  <c r="AQ23" i="12"/>
  <c r="AW6" i="12"/>
  <c r="AW14" i="12"/>
  <c r="AW22" i="12"/>
  <c r="AQ20" i="12"/>
  <c r="AQ22" i="12"/>
  <c r="AJ20" i="12"/>
  <c r="AQ7" i="12"/>
  <c r="AP12" i="12"/>
  <c r="AQ2" i="12"/>
  <c r="AQ19" i="12"/>
  <c r="AQ3" i="12"/>
  <c r="AQ10" i="12"/>
  <c r="AQ17" i="12"/>
  <c r="AP20" i="12"/>
  <c r="AN24" i="12"/>
  <c r="AP4" i="12"/>
  <c r="AQ11" i="12"/>
  <c r="AQ26" i="12"/>
  <c r="AQ18" i="12"/>
  <c r="AQ25" i="12"/>
  <c r="AQ9" i="12"/>
  <c r="AI20" i="12"/>
  <c r="AN8" i="12"/>
  <c r="AP7" i="12"/>
  <c r="AQ6" i="12"/>
  <c r="AJ12" i="12"/>
  <c r="AP9" i="12"/>
  <c r="AP17" i="12"/>
  <c r="AP25" i="12"/>
  <c r="AJ11" i="12"/>
  <c r="AJ3" i="12"/>
  <c r="AG12" i="12"/>
  <c r="K4" i="10" s="1"/>
  <c r="AP2" i="12"/>
  <c r="AP10" i="12"/>
  <c r="AP18" i="12"/>
  <c r="AP26" i="12"/>
  <c r="AJ4" i="12"/>
  <c r="AP3" i="12"/>
  <c r="AP11" i="12"/>
  <c r="AP19" i="12"/>
  <c r="AJ5" i="12"/>
  <c r="AN21" i="12"/>
  <c r="AN5" i="12"/>
  <c r="AN13" i="12"/>
  <c r="AJ21" i="12"/>
  <c r="AJ19" i="12"/>
  <c r="AC4" i="12"/>
  <c r="AJ2" i="12"/>
  <c r="AI11" i="12"/>
  <c r="AJ25" i="12"/>
  <c r="AJ9" i="12"/>
  <c r="AJ16" i="12"/>
  <c r="AI16" i="12"/>
  <c r="AI3" i="12"/>
  <c r="AJ17" i="12"/>
  <c r="AB4" i="12"/>
  <c r="AJ24" i="12"/>
  <c r="AJ8" i="12"/>
  <c r="AC24" i="12"/>
  <c r="AC16" i="12"/>
  <c r="AC8" i="12"/>
  <c r="AC13" i="12"/>
  <c r="AJ13" i="12"/>
  <c r="AJ26" i="12"/>
  <c r="AI17" i="12"/>
  <c r="AJ18" i="12"/>
  <c r="AI9" i="12"/>
  <c r="AI25" i="12"/>
  <c r="AC12" i="12"/>
  <c r="AJ10" i="12"/>
  <c r="AJ6" i="12"/>
  <c r="AJ14" i="12"/>
  <c r="AJ22" i="12"/>
  <c r="AC2" i="12"/>
  <c r="AJ7" i="12"/>
  <c r="AJ15" i="12"/>
  <c r="AJ23" i="12"/>
  <c r="AC21" i="12"/>
  <c r="Z13" i="12"/>
  <c r="AC23" i="12"/>
  <c r="AC7" i="12"/>
  <c r="AB23" i="12"/>
  <c r="AC22" i="12"/>
  <c r="AC14" i="12"/>
  <c r="AC6" i="12"/>
  <c r="AC5" i="12"/>
  <c r="AB14" i="12"/>
  <c r="AC15" i="12"/>
  <c r="AB15" i="12"/>
  <c r="AC26" i="12"/>
  <c r="AC18" i="12"/>
  <c r="AC10" i="12"/>
  <c r="AC20" i="12"/>
  <c r="AC25" i="12"/>
  <c r="AC17" i="12"/>
  <c r="AC9" i="12"/>
  <c r="AB21" i="12"/>
  <c r="AC11" i="12"/>
  <c r="AB8" i="12"/>
  <c r="AB16" i="12"/>
  <c r="AB24" i="12"/>
  <c r="AC3" i="12"/>
  <c r="AC19" i="12"/>
  <c r="AB9" i="12"/>
  <c r="AB17" i="12"/>
  <c r="AB25" i="12"/>
  <c r="AB2" i="12"/>
  <c r="AB10" i="12"/>
  <c r="AB18" i="12"/>
  <c r="AB26" i="12"/>
  <c r="V13" i="12"/>
  <c r="V14" i="12"/>
  <c r="V20" i="12"/>
  <c r="V12" i="12"/>
  <c r="V4" i="12"/>
  <c r="V15" i="12"/>
  <c r="V8" i="12"/>
  <c r="V16" i="12"/>
  <c r="V25" i="12"/>
  <c r="V18" i="12"/>
  <c r="V2" i="12"/>
  <c r="V19" i="12"/>
  <c r="V11" i="12"/>
  <c r="V3" i="12"/>
  <c r="V26" i="12"/>
  <c r="V10" i="12"/>
  <c r="S8" i="12"/>
  <c r="U15" i="12"/>
  <c r="U14" i="12"/>
  <c r="V7" i="12"/>
  <c r="U13" i="12"/>
  <c r="V6" i="12"/>
  <c r="U20" i="12"/>
  <c r="U12" i="12"/>
  <c r="U4" i="12"/>
  <c r="V21" i="12"/>
  <c r="V5" i="12"/>
  <c r="V17" i="12"/>
  <c r="V24" i="12"/>
  <c r="V23" i="12"/>
  <c r="V22" i="12"/>
  <c r="U2" i="12"/>
  <c r="U19" i="12"/>
  <c r="U11" i="12"/>
  <c r="U3" i="12"/>
  <c r="S16" i="12"/>
  <c r="V9" i="12"/>
  <c r="C84" i="11" l="1"/>
  <c r="C4" i="8"/>
  <c r="D73" i="11" s="1"/>
  <c r="B3" i="4"/>
  <c r="C33" i="11" s="1"/>
  <c r="D3" i="8"/>
  <c r="E72" i="11" s="1"/>
  <c r="D3" i="2"/>
  <c r="E13" i="11" s="1"/>
  <c r="B4" i="1"/>
  <c r="C5" i="11" s="1"/>
  <c r="B3" i="3"/>
  <c r="C23" i="11" s="1"/>
  <c r="C4" i="5"/>
  <c r="D44" i="11" s="1"/>
  <c r="C3" i="6"/>
  <c r="D53" i="11" s="1"/>
  <c r="B2" i="7"/>
  <c r="C62" i="11" s="1"/>
  <c r="D2" i="8"/>
  <c r="E71" i="11" s="1"/>
  <c r="B4" i="8"/>
  <c r="C73" i="11" s="1"/>
  <c r="B4" i="7"/>
  <c r="C64" i="11" s="1"/>
  <c r="D3" i="7"/>
  <c r="E63" i="11" s="1"/>
  <c r="C3" i="8"/>
  <c r="D72" i="11" s="1"/>
  <c r="B4" i="3"/>
  <c r="C24" i="11" s="1"/>
  <c r="D4" i="6"/>
  <c r="E54" i="11" s="1"/>
  <c r="D4" i="2"/>
  <c r="E14" i="11" s="1"/>
  <c r="D4" i="5"/>
  <c r="E44" i="11" s="1"/>
  <c r="C4" i="7"/>
  <c r="D64" i="11" s="1"/>
  <c r="B2" i="6"/>
  <c r="C52" i="11" s="1"/>
  <c r="B3" i="8"/>
  <c r="C72" i="11" s="1"/>
  <c r="B3" i="6"/>
  <c r="C53" i="11" s="1"/>
  <c r="D2" i="5"/>
  <c r="E42" i="11" s="1"/>
  <c r="B4" i="2"/>
  <c r="C14" i="11" s="1"/>
  <c r="B3" i="2"/>
  <c r="C13" i="11" s="1"/>
  <c r="B2" i="2"/>
  <c r="C12" i="11" s="1"/>
  <c r="D4" i="7"/>
  <c r="E64" i="11" s="1"/>
  <c r="C3" i="7"/>
  <c r="D63" i="11" s="1"/>
  <c r="C4" i="6"/>
  <c r="D54" i="11" s="1"/>
  <c r="D3" i="5"/>
  <c r="E43" i="11" s="1"/>
  <c r="C2" i="6"/>
  <c r="D52" i="11" s="1"/>
  <c r="D2" i="1"/>
  <c r="E3" i="11" s="1"/>
  <c r="D4" i="3"/>
  <c r="E24" i="11" s="1"/>
  <c r="B4" i="4"/>
  <c r="C34" i="11" s="1"/>
  <c r="B4" i="6"/>
  <c r="C54" i="11" s="1"/>
  <c r="D2" i="2"/>
  <c r="E12" i="11" s="1"/>
  <c r="C2" i="5"/>
  <c r="D42" i="11" s="1"/>
  <c r="B3" i="7"/>
  <c r="C63" i="11" s="1"/>
  <c r="D3" i="6"/>
  <c r="E53" i="11" s="1"/>
  <c r="B2" i="4"/>
  <c r="C32" i="11" s="1"/>
  <c r="D2" i="6"/>
  <c r="E52" i="11" s="1"/>
  <c r="D3" i="3"/>
  <c r="E23" i="11" s="1"/>
  <c r="D4" i="8"/>
  <c r="E73" i="11" s="1"/>
  <c r="B2" i="3"/>
  <c r="C22" i="11" s="1"/>
  <c r="C2" i="8"/>
  <c r="D71" i="11" s="1"/>
  <c r="D2" i="3"/>
  <c r="E22" i="11" s="1"/>
  <c r="B3" i="1"/>
  <c r="C4" i="11" s="1"/>
  <c r="B4" i="5"/>
  <c r="C44" i="11" s="1"/>
  <c r="B2" i="1"/>
  <c r="C3" i="11" s="1"/>
  <c r="C3" i="5"/>
  <c r="D43" i="11" s="1"/>
  <c r="D2" i="7"/>
  <c r="E62" i="11" s="1"/>
  <c r="C2" i="7"/>
  <c r="D62" i="11" s="1"/>
  <c r="C2" i="1"/>
  <c r="D3" i="11" s="1"/>
  <c r="C4" i="2"/>
  <c r="D14" i="11" s="1"/>
  <c r="E8" i="10"/>
  <c r="B3" i="5"/>
  <c r="C43" i="11" s="1"/>
  <c r="D2" i="4"/>
  <c r="E32" i="11" s="1"/>
  <c r="C4" i="4"/>
  <c r="D34" i="11" s="1"/>
  <c r="M9" i="10"/>
  <c r="M8" i="10"/>
  <c r="E7" i="10"/>
  <c r="E9" i="10"/>
  <c r="K5" i="10"/>
  <c r="D3" i="1"/>
  <c r="E4" i="11" s="1"/>
  <c r="D4" i="4"/>
  <c r="E34" i="11" s="1"/>
  <c r="D4" i="1"/>
  <c r="E5" i="11" s="1"/>
  <c r="L5" i="10"/>
  <c r="B2" i="5"/>
  <c r="C42" i="11" s="1"/>
  <c r="L4" i="10"/>
  <c r="J3" i="10"/>
  <c r="C4" i="3"/>
  <c r="D24" i="11" s="1"/>
  <c r="D3" i="4"/>
  <c r="E33" i="11" s="1"/>
  <c r="K6" i="10"/>
  <c r="C3" i="4"/>
  <c r="D33" i="11" s="1"/>
  <c r="J6" i="10"/>
  <c r="C3" i="3"/>
  <c r="D23" i="11" s="1"/>
  <c r="D4" i="9"/>
  <c r="E83" i="11" s="1"/>
  <c r="L10" i="10"/>
  <c r="K10" i="10"/>
  <c r="J10" i="10"/>
  <c r="D3" i="9"/>
  <c r="E82" i="11" s="1"/>
  <c r="D2" i="9"/>
  <c r="E81" i="11" s="1"/>
  <c r="L6" i="10"/>
  <c r="J2" i="10"/>
  <c r="C3" i="2"/>
  <c r="D13" i="11" s="1"/>
  <c r="C2" i="3"/>
  <c r="D22" i="11" s="1"/>
  <c r="C2" i="2"/>
  <c r="D12" i="11" s="1"/>
  <c r="J4" i="10"/>
  <c r="C4" i="1"/>
  <c r="D5" i="11" s="1"/>
  <c r="C3" i="1"/>
  <c r="D4" i="11" s="1"/>
  <c r="C2" i="4"/>
  <c r="D32" i="11" s="1"/>
  <c r="J5" i="10"/>
  <c r="L3" i="10"/>
  <c r="K3" i="10"/>
  <c r="K2" i="10"/>
  <c r="M7" i="10"/>
  <c r="L2" i="10"/>
  <c r="C4" i="9"/>
  <c r="D83" i="11" s="1"/>
  <c r="C3" i="9"/>
  <c r="D82" i="11" s="1"/>
  <c r="C2" i="9"/>
  <c r="D81" i="11" s="1"/>
  <c r="BZ27" i="12"/>
  <c r="B10" i="10" s="1"/>
  <c r="BE27" i="12"/>
  <c r="B7" i="10" s="1"/>
  <c r="AC27" i="12"/>
  <c r="B3" i="10" s="1"/>
  <c r="V27" i="12"/>
  <c r="B2" i="10" s="1"/>
  <c r="AQ27" i="12"/>
  <c r="B5" i="10" s="1"/>
  <c r="AX27" i="12"/>
  <c r="B6" i="10" s="1"/>
  <c r="BS27" i="12"/>
  <c r="B9" i="10" s="1"/>
  <c r="AJ27" i="12"/>
  <c r="B4" i="10" s="1"/>
  <c r="BL27" i="12"/>
  <c r="B8" i="10" s="1"/>
  <c r="F73" i="11" l="1"/>
  <c r="D65" i="11"/>
  <c r="F71" i="11"/>
  <c r="G65" i="11"/>
  <c r="F64" i="11"/>
  <c r="F54" i="11"/>
  <c r="E74" i="11"/>
  <c r="F63" i="11"/>
  <c r="G74" i="11"/>
  <c r="D45" i="11"/>
  <c r="F12" i="11"/>
  <c r="F44" i="11"/>
  <c r="C35" i="11"/>
  <c r="E56" i="11"/>
  <c r="C7" i="10" s="1"/>
  <c r="E75" i="11"/>
  <c r="C9" i="10" s="1"/>
  <c r="F72" i="11"/>
  <c r="F42" i="11"/>
  <c r="E65" i="11"/>
  <c r="C74" i="11"/>
  <c r="C6" i="11"/>
  <c r="E55" i="11"/>
  <c r="E15" i="11"/>
  <c r="E66" i="11"/>
  <c r="C8" i="10" s="1"/>
  <c r="F14" i="11"/>
  <c r="D55" i="11"/>
  <c r="E45" i="11"/>
  <c r="E25" i="11"/>
  <c r="C65" i="11"/>
  <c r="F62" i="11"/>
  <c r="F4" i="11"/>
  <c r="F3" i="11"/>
  <c r="G45" i="11"/>
  <c r="F24" i="11"/>
  <c r="G55" i="11"/>
  <c r="E26" i="11"/>
  <c r="C4" i="10" s="1"/>
  <c r="F43" i="11"/>
  <c r="C25" i="11"/>
  <c r="F53" i="11"/>
  <c r="C55" i="11"/>
  <c r="D74" i="11"/>
  <c r="F52" i="11"/>
  <c r="C15" i="11"/>
  <c r="F34" i="11"/>
  <c r="E7" i="11"/>
  <c r="C2" i="10" s="1"/>
  <c r="M3" i="10"/>
  <c r="E46" i="11"/>
  <c r="C6" i="10" s="1"/>
  <c r="F5" i="11"/>
  <c r="C45" i="11"/>
  <c r="E84" i="11"/>
  <c r="E35" i="11"/>
  <c r="E6" i="11"/>
  <c r="M2" i="10"/>
  <c r="E2" i="10"/>
  <c r="E10" i="10"/>
  <c r="M10" i="10"/>
  <c r="F83" i="11"/>
  <c r="E5" i="10"/>
  <c r="M5" i="10"/>
  <c r="G6" i="11"/>
  <c r="F81" i="11"/>
  <c r="D84" i="11"/>
  <c r="D35" i="11"/>
  <c r="F32" i="11"/>
  <c r="E3" i="10"/>
  <c r="D25" i="11"/>
  <c r="F22" i="11"/>
  <c r="F23" i="11"/>
  <c r="G25" i="11"/>
  <c r="D6" i="11"/>
  <c r="F33" i="11"/>
  <c r="G35" i="11"/>
  <c r="E36" i="11"/>
  <c r="C5" i="10" s="1"/>
  <c r="M4" i="10"/>
  <c r="E4" i="10"/>
  <c r="G84" i="11"/>
  <c r="E85" i="11"/>
  <c r="C10" i="10" s="1"/>
  <c r="F82" i="11"/>
  <c r="F13" i="11"/>
  <c r="G15" i="11"/>
  <c r="E16" i="11"/>
  <c r="C3" i="10" s="1"/>
  <c r="M6" i="10"/>
  <c r="E6" i="10"/>
  <c r="D15" i="11"/>
  <c r="J74" i="11" l="1"/>
  <c r="J45" i="11"/>
  <c r="I65" i="11"/>
  <c r="J65" i="11"/>
  <c r="I55" i="11"/>
  <c r="J6" i="11"/>
  <c r="H65" i="11"/>
  <c r="F65" i="11"/>
  <c r="J15" i="11"/>
  <c r="H74" i="11"/>
  <c r="J55" i="11"/>
  <c r="F55" i="11"/>
  <c r="I74" i="11"/>
  <c r="F74" i="11"/>
  <c r="H55" i="11"/>
  <c r="F45" i="11"/>
  <c r="I45" i="11"/>
  <c r="H45" i="11"/>
  <c r="H6" i="11"/>
  <c r="I6" i="11"/>
  <c r="F6" i="11"/>
  <c r="J35" i="11"/>
  <c r="H35" i="11"/>
  <c r="I15" i="11"/>
  <c r="F15" i="11"/>
  <c r="F35" i="11"/>
  <c r="I35" i="11"/>
  <c r="H15" i="11"/>
  <c r="J25" i="11"/>
  <c r="H25" i="11"/>
  <c r="F25" i="11"/>
  <c r="I25" i="11"/>
  <c r="I84" i="11"/>
  <c r="F84" i="11"/>
  <c r="J84" i="11"/>
  <c r="H84" i="11"/>
  <c r="E67" i="11" l="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<sst xmlns="http://schemas.openxmlformats.org/spreadsheetml/2006/main" count="3763" uniqueCount="1546">
  <si>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</si>
  <si>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</si>
  <si>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</si>
  <si>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</si>
  <si>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</si>
  <si>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</si>
  <si>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</si>
  <si>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</si>
  <si>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</si>
  <si>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</si>
  <si>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</si>
  <si>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</si>
  <si>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</si>
  <si>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</si>
  <si>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</si>
  <si>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</si>
  <si>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</si>
  <si>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</si>
  <si>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</si>
  <si>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</si>
  <si>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</si>
  <si>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</si>
  <si>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</si>
  <si>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</si>
  <si>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</si>
  <si>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</si>
  <si>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</si>
  <si>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</si>
  <si>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</si>
  <si>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</si>
  <si>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</si>
  <si>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</si>
  <si>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</si>
  <si>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</si>
  <si>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</si>
  <si>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</si>
  <si>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</si>
  <si>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</si>
  <si>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Run_ID</t>
  </si>
  <si>
    <t>Used_Seed</t>
  </si>
  <si>
    <t>Gender</t>
  </si>
  <si>
    <t>Age</t>
  </si>
  <si>
    <t>Region</t>
  </si>
  <si>
    <t>Education</t>
  </si>
  <si>
    <t>Employment</t>
  </si>
  <si>
    <t>Income_Mil</t>
  </si>
  <si>
    <t>Dependents</t>
  </si>
  <si>
    <t>AI_ENF1_Score</t>
  </si>
  <si>
    <t>Human_ENF1</t>
  </si>
  <si>
    <t>Delta_ENF1</t>
  </si>
  <si>
    <t>AI_ENF1_Reason</t>
  </si>
  <si>
    <t>Human_ENF1_Reason</t>
  </si>
  <si>
    <t>AI_ENF2_Score</t>
  </si>
  <si>
    <t>Human_ENF2</t>
  </si>
  <si>
    <t>Delta_ENF2</t>
  </si>
  <si>
    <t>AI_ENF2_Reason</t>
  </si>
  <si>
    <t>Human_ENF2_Reason</t>
  </si>
  <si>
    <t>AI_FAC1_Score</t>
  </si>
  <si>
    <t>Human_FAC1</t>
  </si>
  <si>
    <t>Delta_FAC1</t>
  </si>
  <si>
    <t>AI_FAC1_Reason</t>
  </si>
  <si>
    <t>Human_FAC1_Reason</t>
  </si>
  <si>
    <t>AI_FAC2_Score</t>
  </si>
  <si>
    <t>Human_FAC2</t>
  </si>
  <si>
    <t>Delta_FAC2</t>
  </si>
  <si>
    <t>AI_FAC2_Reason</t>
  </si>
  <si>
    <t>Human_FAC2_Reason</t>
  </si>
  <si>
    <t>AI_TRU1_Score</t>
  </si>
  <si>
    <t>Human_TRU1</t>
  </si>
  <si>
    <t>Delta_TRU1</t>
  </si>
  <si>
    <t>AI_TRU1_Reason</t>
  </si>
  <si>
    <t>Human_TRU1_Reason</t>
  </si>
  <si>
    <t>AI_TRU2_Score</t>
  </si>
  <si>
    <t>Human_TRU2</t>
  </si>
  <si>
    <t>Delta_TRU2</t>
  </si>
  <si>
    <t>AI_TRU2_Reason</t>
  </si>
  <si>
    <t>Human_TRU2_Reason</t>
  </si>
  <si>
    <t>AI_TRU3_Score</t>
  </si>
  <si>
    <t>Human_TRU3</t>
  </si>
  <si>
    <t>Delta_TRU3</t>
  </si>
  <si>
    <t>AI_TRU3_Reason</t>
  </si>
  <si>
    <t>Human_TRU3_Reason</t>
  </si>
  <si>
    <t>AI_TRU4_Score</t>
  </si>
  <si>
    <t>Human_TRU4</t>
  </si>
  <si>
    <t>Delta_TRU4</t>
  </si>
  <si>
    <t>AI_TRU4_Reason</t>
  </si>
  <si>
    <t>Human_TRU4_Reason</t>
  </si>
  <si>
    <t>AI_OUT1_Score</t>
  </si>
  <si>
    <t>Human_OUT1</t>
  </si>
  <si>
    <t>Delta_OUT1</t>
  </si>
  <si>
    <t>AI_OUT1_Reason</t>
  </si>
  <si>
    <t>Human_OUT1_Reason</t>
  </si>
  <si>
    <t>Nữ</t>
  </si>
  <si>
    <t>30 - 39</t>
  </si>
  <si>
    <t>Thành thị</t>
  </si>
  <si>
    <t>Sau Đại học</t>
  </si>
  <si>
    <t>Chính thức</t>
  </si>
  <si>
    <t>Chưa thấy nhiều thay đổi về các chế tài pháp lý hay xử phạt, chỉ dừng lại ở việc giảm bậc thuế.</t>
  </si>
  <si>
    <t>Các thay đổi hiện tại chỉ mới dừng lại ở việc giảm bậc thuế, giúp người đóng thuế cảm thấy đơn giản và nhẹ gánh trong việc đóng thuế TNCN. Chưa thấy nhiều thay đổi về các chế tài pháp lý hay xử phạt.</t>
  </si>
  <si>
    <t>Cơ quan thuế chưa thực sự có khả năng và công nghệ để phát hiện trốn thuế hiệu quả.</t>
  </si>
  <si>
    <t>Đồng ý. Quan trọng là cơ quan thuế có muốn thực thi hay không.</t>
  </si>
  <si>
    <t>Form khai báo/phản ánh không đồng bộ, thông tin liên hệ không đầy đủ, hỗ trợ hạn chế.</t>
  </si>
  <si>
    <t>Form khai báo/phản ánh không đồng bộ, thông tin liên hệ không có, không có người tiếp nhận, hỗ trợ. Phần mềm eTax cũng không có phản hồi người nộp thuế. 
Người khai báo thuế gặp vấn đề bị người khác sử dụng CCCD để đăng ký mã số thuế tại 1 DN không làm việc mà cơ quan thuế không biết/không xử lý dù đã phản ánh nhiều lần.</t>
  </si>
  <si>
    <t>Phương án mới đơn giản hơn so với trước đây nhưng vẫn còn phức tạp về mặt thủ tục và tính toán.</t>
  </si>
  <si>
    <t>Hoàn toàn đồng ý vì trước đây 7 bậc là quá nhiều, khó để tính toán.</t>
  </si>
  <si>
    <t>Chưa có chế tài pháp lý mạnh mẽ nên lòng tin vào việc thực thi chính sách chưa cao.</t>
  </si>
  <si>
    <t>Mức thuế mới công bằng, phù hợp với thu nhập hiện tại của tôi.</t>
  </si>
  <si>
    <t>Vì theo chính sách mới, tôi không phải đóng thuế nữa. Hoàn toàn đồng ý.</t>
  </si>
  <si>
    <t>Thuê đóng góp cho sự phát triển quốc gia và dịch vụ công như y tế, đường xá...</t>
  </si>
  <si>
    <t>Khi nào các chính sách chế tài được xử lý nghiêm, giải quyết vấn đề tham nhũng thì lòng tin của tôi sẽ cao hơn.</t>
  </si>
  <si>
    <t>Đã giải thích rõ ràng về mục tiêu cải cách thuế nhưng còn nhiều câu hỏi chưa được trả lời.</t>
  </si>
  <si>
    <t>Hoàn toàn đồng ý về việc truyền thông và giải thích của Chính phủ.</t>
  </si>
  <si>
    <t>Nhìn chung, vì chính sách mới giúp tôi không phải đóng thuế nữa nên mức độ ủng hộ cao. Tuy nhiên, lòng tin vào thực thi chế tài pháp lý vẫn còn thấp.</t>
  </si>
  <si>
    <t>Ủng hộ việc giảm bậc, tăng mức giảm trừ gia cảnh nhưng niềm tin về việc thực thi chính sách thì không cao cho đến khi việc thực thi các chế tài là rõ ràng, minh bạch, nghiêm khắc. Nhìn chung, vì chính sách mới giúp tôi không phải đóng thuế nữa nên mức độ ủng hộ cao.</t>
  </si>
  <si>
    <t>Chưa thấy nhiều thay đổi về các chế tài pháp lý hay xử phạt, chỉ giảm bậc thuế.</t>
  </si>
  <si>
    <t>Cơ quan thuế có đủ khả năng và công nghệ để phát hiện nhưng thực tế chưa rõ ràng.</t>
  </si>
  <si>
    <t>Form khai báo/phản ánh không đồng bộ, thông tin liên hệ không có, hỗ trợ hạn chế.</t>
  </si>
  <si>
    <t>Đơn giản hóa biểu thuế giúp dễ dàng tính toán hơn so với trước đây.</t>
  </si>
  <si>
    <t>Mức thuế mới theo chính sách giúp tôi không phải đóng thuế nữa nên cảm giác công bằng hơn.</t>
  </si>
  <si>
    <t>Thuế giảm giúp cải thiện dịch vụ công, nhưng thực tế chưa rõ ràng về sử dụng hiệu quả.</t>
  </si>
  <si>
    <t>Chính phủ đã giải thích minh bạch về lý do và mục tiêu của việc sửa đổi thuế lần này.</t>
  </si>
  <si>
    <t>Đây là cải cách tốt, giảm gánh nặng thuế cho người dân nhưng niềm tin thực thi còn thấp.</t>
  </si>
  <si>
    <t>Chưa thấy nhiều thay đổi về các chế tài pháp lý hay xử phạt, cơ quan thuế cần tăng cường thực thi.</t>
  </si>
  <si>
    <t>Cơ quan thuế có khả năng và công nghệ để phát hiện trốn thuế nhưng phụ thuộc vào việc thực thi</t>
  </si>
  <si>
    <t>Form khai báo/phản ánh không đồng bộ, thông tin liên hệ không đầy đủ</t>
  </si>
  <si>
    <t>Biểu thuế đơn giản hơn nhưng quá trình khai báo thuế vẫn còn gặp nhiều vấn đề</t>
  </si>
  <si>
    <t>Chưa thấy nhiều thay đổi về các chế tài pháp lý hay xử phạt, cần minh bạch hơn trong thực thi chính sách</t>
  </si>
  <si>
    <t>Mức thuế mới giảm nên tôi cảm thấy công bằng nhưng vẫn lo ngại về việc thực thi</t>
  </si>
  <si>
    <t>Thuế giảm nên tin rằng tiền đóng sẽ được sử dụng hiệu quả để cải thiện dịch vụ công</t>
  </si>
  <si>
    <t>Chính phủ đã giải thích rõ ràng về mục tiêu của việc sửa đổi thuế lần này</t>
  </si>
  <si>
    <t>Mức độ ủng hộ cao vì giảm thuế nhưng vẫn lo ngại về thực thi các chế tài pháp lý</t>
  </si>
  <si>
    <t>Chưa thấy nhiều thay đổi về các chế tài pháp lý hay xử phạt. Chỉ cải cách giảm bậc thuế.</t>
  </si>
  <si>
    <t>Cơ quan thuế có đủ khả năng và công nghệ để phát hiện trốn thuế nhưng thực tế chưa rõ ràng.</t>
  </si>
  <si>
    <t>Form khai báo/phản ánh không đồng bộ, thông tin liên hệ không có, phần mềm eTax không phản hồi người nộp thuế. Trước đây 7 bậc là quá nhiều, khó để tính toán.</t>
  </si>
  <si>
    <t>Bậc thuế mới đơn giản, dễ hiểu và thực hiện hơn so với trước</t>
  </si>
  <si>
    <t>Các thay đổi chỉ mới dừng lại ở việc giảm bậc thuế. Chưa thấy nhiều thay đổi về các chế tài pháp lý hay xử phạt.</t>
  </si>
  <si>
    <t>Mức thuế mới là công bằng và hợp lý cho thu nhập của tôi</t>
  </si>
  <si>
    <t>Thuế đóng sẽ được sử dụng hiệu quả để cải thiện dịch vụ công nhưng lòng tin chưa cao do không rõ ràng về việc thực thi</t>
  </si>
  <si>
    <t>Chính phủ đã giải thích rõ ràng, minh bạch về lý do và mục tiêu của việc sửa đổi thuế lần này. Tuy nhiên, lòng tin vào việc thực hiện vẫn còn thấp</t>
  </si>
  <si>
    <t>Cải cách thuế giúp tôi không phải đóng thuế nữa nên ủng hộ cao nhưng chưa hoàn toàn tin tưởng vào việc thực thi chính sách mới</t>
  </si>
  <si>
    <t>Công nghệ và hệ thống eTax đã cải thiện đáng kể nhưng vẫn còn hạn chế trong việc phát hiện gian lận.</t>
  </si>
  <si>
    <t>Khả năng phát hiện và xử lý trốn thuế phụ thuộc vào sự nghiêm túc của cơ quan chức năng, chưa có thông tin rõ ràng về hiệu quả thực thi.</t>
  </si>
  <si>
    <t>Thủ tục khai báo thuế đơn giản hơn nhưng vẫn gặp khó khăn về tính đồng bộ và hỗ trợ khách hàng.</t>
  </si>
  <si>
    <t>Bậc thuế mới đơn giản, dễ hiểu và thực hiện thuận lợi hơn so với trước đây.</t>
  </si>
  <si>
    <t>Tôi tin rằng cơ quan thuế sẽ xử lý công bằng nhưng lo ngại về sự thực thi các chế tài pháp lý chưa rõ ràng.</t>
  </si>
  <si>
    <t>Mức thuế mới giảm đáng kể, cảm thấy công bằng và hợp lý với thu nhập hiện tại của tôi.</t>
  </si>
  <si>
    <t>Hiện tôi không hoàn toàn tin rằng số tiền thuế đóng được sử dụng hiệu quả cho dịch vụ công</t>
  </si>
  <si>
    <t>Chính phủ đã giải thích rõ ràng về mục tiêu của chính sách mới nhưng cần minh bạch hơn trong thực thi.</t>
  </si>
  <si>
    <t>Dù thuế giảm đáng kể, tôi vẫn lo ngại về vấn đề tham nhũng và hiệu quả sử dụng số tiền đóng thuế</t>
  </si>
  <si>
    <t>Đại học</t>
  </si>
  <si>
    <t xml:space="preserve">Dù khâu thực thi được chú trọng và nhiều cải thiện. Người dân hiểu và tuân thủ hơn. Nhưng thay đổi chỉ mới gần đây, chưa chắc được hiệu quả trong tương lai. </t>
  </si>
  <si>
    <t>Có cải thiện nhưng đang trong quá trình chuyển giao, thay đổi từ offline sang online nên mọi thứ vẫn còn ngổn ngang, không biết liên hệ ai.</t>
  </si>
  <si>
    <t>Không thay đổi về mức độ đóng thuế dù thay đổi bậc thuế, ngưỡng thuế.</t>
  </si>
  <si>
    <t>Tôi thấy mức thuế tôi phải đóng theo phương án mới là công bằng (người thu nhập như tôi đóng mức này là hợp lý).</t>
  </si>
  <si>
    <t>Giống với quan điểm trước đó vì mọi thứ vẫn chưa rõ ràng.</t>
  </si>
  <si>
    <t>Dù khâu thực thi được chú trọng và nhiều cải thiện, nhưng thay đổi chỉ mới gần đây, chưa chắc được hiệu quả trong tương lai.</t>
  </si>
  <si>
    <t>So với trước đây, cách tính thuế và các bậc thuế trong phương án mới đơn giản, dễ hiểu và dễ thực hiện hơn.</t>
  </si>
  <si>
    <t>Dù khâu thực thi được chú trọng và nhiều cải thiện. Người dân hiểu và tuân thủ hơn. Nhưng thay đổi chỉ mới gần đây, chưa chắc được hiệu quả trong tương lai.</t>
  </si>
  <si>
    <t>Mức thuế tôi phải đóng theo phương án mới là công bằng (người thu nhập như tôi đóng mức này là hợp lý).</t>
  </si>
  <si>
    <t>Dù khâu thực thi được chú trọng và nhiều cải thiện, nhưng thay đổi chỉ mới gần đây nên chưa chắc hiệu quả trong tương lai.</t>
  </si>
  <si>
    <t>Nhà nước đã giải thích rõ ràng, minh bạch về lý do và mục tiêu của việc sửa đổi thuế lần này.</t>
  </si>
  <si>
    <t>Nam</t>
  </si>
  <si>
    <t>40 - 49</t>
  </si>
  <si>
    <t>Áp dụng công nghệ định danh, rà soát tài khoản tự động các nguồn thu thông qua yêu cầu bên trung gian thanh toán, phán đoán cá nhân.</t>
  </si>
  <si>
    <t>Công nghệ hiện đại</t>
  </si>
  <si>
    <t>Vẫn thấy có nhiều khó khăn khi dùng Etax mobile. Chưa rõ phần mềm có cập nhật, thay đổi theo chính sách mới hay không.</t>
  </si>
  <si>
    <t>Chưa làm theo quy định mới nhưng từ truyền thông giải thích thì cảm giác có sự tốt hơn</t>
  </si>
  <si>
    <t>Vì còn mới và chưa triển khai, nên phỏng đoán sẽ tốt hơn cách làm trước đây. Dựa trên kinh nghiệm từ quá khứ thì mọi thứ vẫn làm tốt, nhưng chưa chắc tương lai thế nào vì không biết quá trình chuyển đổi thế nào.</t>
  </si>
  <si>
    <t>Do sức mua bị giảm bởi lạm phát do cung tiền cho các dự án quốc gia, nên cảm thấy 6/10. Thay đổi chưa phù hợp với mức sống thực tế.</t>
  </si>
  <si>
    <t>Tính hiệu quả từ tiền thuế thu được chưa được minh bạch và giải trình đầy đủ, còn nhiều vụ án tham nhũng khi triển khai dự án công, trong đó có phần tiền thuế đóng góp.</t>
  </si>
  <si>
    <t>Chỉ tham khảo từ nguồn truyền thông. Chưa thấy thông tin từ cơ quan thuế, giới học thuật (sách vở).</t>
  </si>
  <si>
    <t xml:space="preserve">Đóng thuế ít hơn, các khung thuế cũng đơn giản hơn. Nhưng tổng thể không đáp ứng được mong đợi so với thực mức sống thực tế. Tuy nhiên, sẽ ủng hộ nếu thu thuế tốt cho cả quốc gia nếu xài tiền thuế thu được hiệu quả. </t>
  </si>
  <si>
    <t>Tuy luật thuế mới đơn giản hơn nhưng việc quản lý thuế đối với người dân không dễ dàng, đặc biệt là những người có thu nhập phi chính thức. Điều này làm tôi nghi ngờ khả năng phát hiện và xử lý các hành vi trốn thuế.</t>
  </si>
  <si>
    <t>Người có thu nhập phi chính thức còn nhiều và Nhà nước hiện nay chưa quản lý được.</t>
  </si>
  <si>
    <t>Hiện tại cơ quan thuế đang nâng cao công nghệ quản lý, nhưng việc thực thi vẫn còn hạn chế đối với người dân không có mối quan hệ hoặc hiểu biết về quy trình khai báo thuế.</t>
  </si>
  <si>
    <t>Hiện nay các khoản doanh thu bán lẻ không xuất hóa đơn vẫn còn cao, như doanh thu bán lẻ, cái này chưa có công nghệ quản lý.</t>
  </si>
  <si>
    <t>So với trước đây, quy trình làm việc với cơ quan thuế trở nên đơn giản hơn. Việc tăng giảm trừ gia cảnh cũng giúp quá trình khai báo thuận lợi hơn.</t>
  </si>
  <si>
    <t>Thủ tục khai báo phức tạp, tôi phải thường nhờ dịch vụ làm thì sẽ thuận tiện, nhanh chóng hơn. Còn người dân bình thường sẽ khó xử lý vì không có mối quan hệ để hỏi người chịu trách nhiệm chính, hỗ trợ.</t>
  </si>
  <si>
    <t>Các bậc thuế mới rõ ràng và dễ hiểu hơn so với trước đây, giúp tôi nắm bắt nhanh chóng.</t>
  </si>
  <si>
    <t>Đơn giản hơn vì nó ít bậc hơn.</t>
  </si>
  <si>
    <t>Tôi hy vọng Nhà nước sẽ thực thi chính sách một cách công bằng nhưng vẫn còn lo ngại về khả năng quản lý và xử lý các vấn đề phát sinh.</t>
  </si>
  <si>
    <t>Tôi hi vọng thế. Hiện tại, Nhà nước cũng đang cố gắng minh bạch, đưa ra nhiều chính sách cải tiến để giúp việc thực thi chính sách tốt hơn.</t>
  </si>
  <si>
    <t>Mức thuế mới có phần hợp lý hơn với thu nhập của tôi, giúp tôi thấy công bằng trong việc đóng góp cho xã hội.</t>
  </si>
  <si>
    <t>Mức giảm trừ được nâng lên, và các bậc thuế cũng thấp hơn. Tuy nhiên, chưa phản ánh đúng với thực tế, mức sống hiện nay.</t>
  </si>
  <si>
    <t>Tôi tin rằng số tiền thuế đóng sẽ được sử dụng hiệu quả để cải thiện dịch vụ công, mặc dù vẫn còn những vấn đề về quản lý tài chính của Nhà nước.</t>
  </si>
  <si>
    <t>Tôi không quá tin vào điều này vì hàng năm vẫn thấy sự thất thoát, tuy nhiên tôi tin năng lực quản lý nhà nước sẽ tăng lên.</t>
  </si>
  <si>
    <t>Chính phủ đã giải thích rõ ràng về mục tiêu và lý do sửa đổi thuế lần này. Tuy nhiên, việc minh bạch đầy đủ vẫn cần được cải thiện hơn nữa.</t>
  </si>
  <si>
    <t>Nó được lấy ý kiến từ người dân và công khai thông tin rõ ràng. Truyền thông rõ ràng từng chặng, từng bước quá trình luật hình thành.</t>
  </si>
  <si>
    <t>Dù có những hạn chế nhưng chính sách mới đáp ứng tốt nhu cầu của tôi về mặt tài chính và tiện ích, do đó tôi ủng hộ và tuân thủ.</t>
  </si>
  <si>
    <t>Vì đóng thuế là nghĩa vụ công dân để xây dựng đất nước và mức thuế này cũng hợp lý. Tuy nhiên, chưa phản ánh hoàn toàn thực tế hiện nay.</t>
  </si>
  <si>
    <t>Dù có tăng giảm trừ gia cảnh, nhưng vẫn còn nhiều người dân không tuân thủ. Công nghệ quản lý thuế chưa phát triển đầy đủ.</t>
  </si>
  <si>
    <t>Công nghệ quản lý thuế ngày càng tiến bộ, tuy nhiên việc áp dụng rộng rãi vẫn còn hạn chế.</t>
  </si>
  <si>
    <t>Đơn giản hóa quy trình khai báo có thể giúp người dân dễ dàng hơn, nhưng các thủ tục vẫn phức tạp và cần sự hỗ trợ từ dịch vụ thuế.</t>
  </si>
  <si>
    <t>Biểu thuế mới đơn giản hơn so với trước, tuy nhiên việc tính toán còn phụ thuộc vào nhiều yếu tố như giảm trừ gia cảnh, người phụ thuộc.</t>
  </si>
  <si>
    <t>Tôi tin Nhà nước sẽ thực thi công bằng, nhưng vẫn có lo ngại về khả năng quản lý và thất thoát thuế.</t>
  </si>
  <si>
    <t>Mức thuế mới hợp lý cho thu nhập của tôi, tuy nhiên chưa phản ánh đầy đủ thực tế chi tiêu hàng ngày.</t>
  </si>
  <si>
    <t>Tôi tin số tiền đóng thuế sẽ được sử dụng hiệu quả, nhưng không thể chắc chắn tuyệt đối.</t>
  </si>
  <si>
    <t>Đã có nhiều thông tin minh bạch từ cơ quan thuế về việc sửa đổi thuế, tôi thấy hợp lý.</t>
  </si>
  <si>
    <t>Chính sách mới hỗ trợ tốt hơn cho thu nhập của tôi và người phụ thuộc, nên tôi ủng hộ và tuân thủ</t>
  </si>
  <si>
    <t>Dựa trên thông tin thực thi thuế hiện nay, tôi cho rằng mặc dù có tiến bộ nhưng vẫn còn nhiều khó khăn trong việc phát hiện và xử lý gian lận. Việc quản lý doanh thu bán lẻ không xuất hóa đơn chưa hoàn thiện.</t>
  </si>
  <si>
    <t>Nhìn chung, tôi tin rằng Nhà nước có đủ khả năng và công nghệ để thực hiện tốt hơn so với trước đây, nhưng vẫn cần cải thiện trong quản lý thuế đối với doanh thu bán lẻ không xuất hóa đơn.</t>
  </si>
  <si>
    <t>Tuy quy trình khai báo thuế đơn giản hơn, nhưng tôi cho rằng thủ tục vẫn còn phức tạp vì phải liên hệ nhiều bên để hiểu rõ về các vấn đề phát sinh. Tuy nhiên, so với trước đây, nó đã cải thiện đáng kể.</t>
  </si>
  <si>
    <t>Các bậc thuế được đơn giản hóa giúp việc tính toán dễ dàng hơn, nhưng mức giảm trừ gia cảnh tăng lên có thể làm giảm số tiền phải nộp thuế, tạo cảm giác công bằng.</t>
  </si>
  <si>
    <t>Tôi tin rằng Nhà nước sẽ thực thi chính sách một cách khách quan và công tâm, mặc dù vẫn còn lo ngại về việc quản lý hiệu quả trong thực tế.</t>
  </si>
  <si>
    <t>Với mức giảm trừ gia cảnh và bậc thuế mới, tôi thấy số tiền phải đóng là hợp lý. Tuy nhiên, mức sống hiện tại chưa phản ánh đầy đủ vào các bậc thuế.</t>
  </si>
  <si>
    <t>Tôi tin rằng số tiền thuế đóng sẽ được sử dụng hiệu quả để cải thiện dịch vụ công. Mặc dù còn lo ngại về vấn đề quản lý, nhưng tôi ủng hộ việc đầu tư cho xã hội.</t>
  </si>
  <si>
    <t>Nhà nước đã giải thích rõ ràng về mục tiêu và lý do của việc sửa đổi thuế, tạo niềm tin vào quyết định này. Tuy nhiên, vẫn cần cải thiện trong việc công khai thông tin chi tiết hơn.</t>
  </si>
  <si>
    <t>Tôi ủng hộ chính sách mới vì nó giúp giảm gánh nặng tài chính và đơn giản hóa quy trình làm việc với cơ quan thuế. Tuy nhiên, tôi mong chờ cải tiến thêm để nâng cao hiệu quả quản lý.</t>
  </si>
  <si>
    <t>Dù tôi đồng ý rằng Nhà nước đang cố gắng quản lý chặt chẽ hơn, nhưng thực tế vẫn còn nhiều hành vi gian lận không bị phát hiện.</t>
  </si>
  <si>
    <t>Tăng cường công nghệ có thể giúp, nhưng với quy mô lớn và sự phức tạp của hệ thống thuế hiện nay, việc kiểm soát hoàn toàn vẫn còn khó khăn.</t>
  </si>
  <si>
    <t>So với trước đây, việc tính thuế và khai báo dễ dàng hơn do số bậc thuế giảm. Tuy nhiên, thủ tục vẫn còn phức tạp đối với người dân không có mối quan hệ.</t>
  </si>
  <si>
    <t>Biểu thuế đơn giản hóa đã làm việc tính toán thuế trở nên thuận tiện hơn nhiều, đặc biệt là với mức thu nhập ổn định như tôi.</t>
  </si>
  <si>
    <t>Tôi tin Nhà nước sẽ thực thi công bằng nhưng vẫn lo ngại về sự thất thoát và khả năng quản lý hiệu quả của cơ quan thuế.</t>
  </si>
  <si>
    <t>Mức giảm trừ gia cảnh cao hơn, kèm theo số bậc thuế ít đi đã giúp tôi tiết kiệm được nhiều tiền, tạo niềm tin về tính công bằng của chính sách mới.</t>
  </si>
  <si>
    <t>Tôi tin rằng số tiền thuế đóng sẽ được sử dụng hiệu quả cho các dịch vụ công. Việc minh bạch và giải thích rõ ràng cũng tăng thêm sự ủng hộ của tôi.</t>
  </si>
  <si>
    <t>Nhà nước đã giải thích chi tiết về mục tiêu cải cách, giúp tôi hiểu được ý nghĩa thực tế của việc điều chỉnh thuế.</t>
  </si>
  <si>
    <t>Dù vẫn còn nghi ngờ về mức độ thực thi, nhưng tôi sẽ tiếp tục ủng hộ và tuân thủ chính sách mới vì lợi ích cá nhân và cộng đồng.</t>
  </si>
  <si>
    <t>Dù nhận thức rằng thực thi thuế còn nhiều hạn chế, nhưng tôi hy vọng Nhà nước sẽ có biện pháp khắc phục.</t>
  </si>
  <si>
    <t>Công nghệ quản lý thuế ngày càng phát triển nên khả năng phát hiện trốn thuế được cải thiện.</t>
  </si>
  <si>
    <t>Thuật toán tính thuế đơn giản hơn, nhưng thủ tục vẫn còn phức tạp vì cần sự hỗ trợ từ các dịch vụ chuyên nghiệp.</t>
  </si>
  <si>
    <t>Bậc thuế ít đi nên việc khai báo trở nên dễ dàng hơn, nhưng chưa phải là quá đơn giản đối với người dân bình thường.</t>
  </si>
  <si>
    <t>Tôi tin Nhà nước sẽ công tâm trong việc thực thi chính sách mới, nhưng vẫn có sự nghi ngờ về khả năng quản lý hiệu quả.</t>
  </si>
  <si>
    <t>Mức thuế mới được giảm đi đáng kể, nên tôi thấy là hợp lý với thu nhập hiện tại của mình.</t>
  </si>
  <si>
    <t>Tuy không hoàn toàn tin rằng số tiền đóng sẽ được sử dụng hiệu quả, nhưng tôi hy vọng điều đó sẽ trở thành sự thật.</t>
  </si>
  <si>
    <t>Nhà nước đã công bố rõ mục tiêu cải cách thuế và giải thích phương án mới một cách minh bạch.</t>
  </si>
  <si>
    <t>Chính sách mới giúp tôi tiết kiệm được chi phí thuế, nên tôi ủng hộ việc thực hiện nó.</t>
  </si>
  <si>
    <t>Tăng mức giảm trừ gia cảnh và đơn giản hóa biểu thuế có thể làm giảm gian lận, nhưng thực tế chưa nắm bắt được những người không khai báo.</t>
  </si>
  <si>
    <t>Khi cảm giác về gánh nặng thuế giảm sẽ khuyến khích người đóng thuế tích cực kê khai nộp thuế hơn. Hiện nay, cơ quan thuế cũng đang triển khai rất quyết liệt, nhanh và hiệu quả.</t>
  </si>
  <si>
    <t>Cơ quan thuế triển khai nhanh và hiệu quả các công nghệ mới như hệ thống hoá đơn điện tử, tuy nhiên vẫn còn hạn chế với những người không khai báo trực tiếp.</t>
  </si>
  <si>
    <t>Qua kinh nghiệm hệ thống hoá đơn điện tử từ VAT hay thuế DN thì làm rất hiệu quả. Hiện nay, cơ quan thuế cũng đang triển khai rất quyết liệt, nhanh và hiệu quả.</t>
  </si>
  <si>
    <t>Quy trình làm việc với cơ quan thuế đã đơn giản hơn so với trước đây, nhưng cần thêm thời gian để mọi người nắm bắt và áp dụng.</t>
  </si>
  <si>
    <t>Không khai báo trực tiếp nên không trả lời được chính xác. Do công ty đóng nên chưa nhiều trải nghiệm. Nghe qua một vài chia sẻ thì thấy tích cực, tốt. Tuy nhiên, trong quá khứ thì có trải nghiệm chưa tốt, dù hiện tại trải nghiệm tốt hơn từ chia sẻ bạn bè, người thân. Có sự cải tiến nhiều.</t>
  </si>
  <si>
    <t>Biểu thuế mới có ít bậc hơn nên dễ hiểu hơn, song vẫn chưa tối ưu hóa được cho những trường hợp thu nhập đặc biệt cao.</t>
  </si>
  <si>
    <t>Có sự giãn cách giữa các bậc. Cơ bản cũng không quan tâm nhiều do nhân sự, kế toán làm hết rồi. Qua truyền thông, báo chí thì thấy có sự đơn giản, dễ hiểu.</t>
  </si>
  <si>
    <t>Công bằng về mặt giảm trừ gia cảnh và biểu thuế đơn giản hơn, nhưng còn nhiều người không khai báo nên chưa thực sự công bằng đối với tất cả.</t>
  </si>
  <si>
    <t>Hiện mới chỉ nắm được người có tóc, chưa xử lý được những người nằm ngoài tầm kiểm soát hay khó quản lý. Chưa có chính sách khuyến khích người thu nhập cao chủ động khai báo thuế, minh bạch các nguồn thu.</t>
  </si>
  <si>
    <t>Mức thuế mới có vẻ hợp lý cho thu nhập như tôi, tuy nhiên vẫn lo ngại về việc những người có thu nhập cao hơn sẽ trốn thuế hiệu quả hơn.</t>
  </si>
  <si>
    <t>Tương tự câu trên, mới nắm được người có tóc</t>
  </si>
  <si>
    <t>Tài nguyên được sử dụng để cải thiện dịch vụ công là quan trọng, nhưng không chắc chắn liệu những khoản thuế này đã được sử dụng hiệu quả hay chưa.</t>
  </si>
  <si>
    <t>Chưa “cảm nhận” được. Không biết tiền đi đâu, về đâu, làm gì. Vẫn thấy được nguồn thu được sử dụng nhưng vấn đề là chưa rõ ràng, chưa thấy hiệu quả, minh bạch.</t>
  </si>
  <si>
    <t>Nhận thức về mục tiêu của chính sách mới đang dần cải thiện thông qua các truyền thông, nhưng vẫn còn nhiều người đa nghi về việc thực thi.</t>
  </si>
  <si>
    <t>Đọc nhiều tin bài, hội thảo, truyền thông tốt, giải thích dễ hiểu.</t>
  </si>
  <si>
    <t>Tổng thể, tôi thấy mức thuế mới hợp lý và sẽ tuân thủ vì lợi ích tài chính rõ ràng, mặc dù có lo ngại về việc quản lý nguồn thu từ các khoản thuế.</t>
  </si>
  <si>
    <t xml:space="preserve">Buộc phải tuân thủ nhưng kỳ vọng có chính sách bao trùm hơn. Chính sách mới có những nỗ lực điều chỉnh tích cực hơn nhưng vẫn chưa hướng tới được những người có thu nhập đáng lẽ chịu thuế phải tự động khai báo thay vì phải đi thanh tra, xử phạt. Phải có cơ chế thưởng phạt. Hiện tại chỉ dừng lại ở phạt, chưa có chính sách khuyến khích. </t>
  </si>
  <si>
    <t>Đồng ý. Luật thuế mới đã đơn giản hóa quy trình khai báo và giảm trừ, giúp cơ quan thuế dễ dàng phát hiện hành vi trốn thuế hơn.</t>
  </si>
  <si>
    <t>Tuyệt vời. Công nghệ hiện đại của cơ quan thuế đã góp phần đáng kể trong việc ngăn chặn gian lận và trốn thuế.</t>
  </si>
  <si>
    <t>Đồng ý. Các quy trình khai báo và làm việc với cơ quan thuế trở nên dễ dàng hơn, tiết kiệm thời gian của tôi.</t>
  </si>
  <si>
    <t>Tốt. Số bậc thuế giảm giúp việc tính toán thuế đơn giản hơn rất nhiều so với trước đây.</t>
  </si>
  <si>
    <t>Đồng ý. Chính sách mới công bằng và khách quan, tạo cảm giác tin tưởng khi nộp thuế.</t>
  </si>
  <si>
    <t>Tốt. Thuế tôi phải đóng phù hợp với thu nhập của mình và những người cùng ngành nghề khác.</t>
  </si>
  <si>
    <t>Đồng ý. Tôi tin rằng số tiền thuế đóng sẽ được sử dụng hiệu quả để cải thiện dịch vụ công.</t>
  </si>
  <si>
    <t>Tất nhiên. Nhà nước đã giải thích rõ ràng về mục tiêu và lý do của việc sửa đổi thuế lần này.</t>
  </si>
  <si>
    <t>Hoàn toàn đồng ý. Các quy định mới công bằng, dễ hiểu, tôi sẽ tuân thủ.</t>
  </si>
  <si>
    <t>Việc cải cách thuế thu nhập cá nhân có thể làm giảm khả năng gian lận, song vẫn cần thêm thời gian để xem xét hiệu quả thực tế.</t>
  </si>
  <si>
    <t>Cơ quan thuế đã triển khai nhiều biện pháp công nghệ nhằm phát hiện hành vi trốn thuế, nhưng sự giám sát còn phụ thuộc vào việc tuân thủ của cá nhân.</t>
  </si>
  <si>
    <t>Hệ thống hoá đơn điện tử và giảm số bậc thuế có thể làm các quy trình đơn giản hơn so với trước đây.</t>
  </si>
  <si>
    <t>Biểu thuế mới đơn giản hóa việc tính toán, song người dân cần thời gian để quen thuộc và nắm bắt.</t>
  </si>
  <si>
    <t>Tôi tin rằng cơ quan thuế sẽ cố gắng thực thi công bằng nhưng vẫn có thể gặp khó khăn trong quản lý đối với người không khai báo.</t>
  </si>
  <si>
    <t>Nếu xét theo thu nhập của tôi, mức thuế mới có vẻ hợp lý, song chưa rõ ràng về việc sử dụng nguồn thu vào công tác xã hội.</t>
  </si>
  <si>
    <t>Tôi tin rằng số tiền đóng thuế sẽ được sử dụng hiệu quả, nhưng vẫn cần thêm thông tin cụ thể về cách sử dụng.</t>
  </si>
  <si>
    <t>Việc giải thích về mục tiêu và lý do của việc cải cách thuế đã cải thiện so với trước đây.</t>
  </si>
  <si>
    <t>Chính sách mới có lợi cho tôi, song vẫn chưa đủ hấp dẫn để tự động tuân thủ hoàn toàn mà không cần đến các biện pháp giám sát chặt chẽ.</t>
  </si>
  <si>
    <t>Đồng ý. Cải cách thuế có thể tăng cường giám sát và xử lý nghiêm minh, giảm gian lận.</t>
  </si>
  <si>
    <t>Tuyệt vời. Cơ quan thuế đã triển khai mạnh mẽ các công nghệ hiện đại để phát hiện trốn thuế.</t>
  </si>
  <si>
    <t>Đồng ý. Thủ tục đơn giản hơn, dễ thực hiện hơn với việc áp dụng hệ thống hoá đơn điện tử.</t>
  </si>
  <si>
    <t>Tốt. Các bậc thuế rõ ràng hơn, giảm bớt sự phức tạp.</t>
  </si>
  <si>
    <t>Đồng ý. Cơ quan thuế đang thực hiện công bằng trong việc áp dụng chính sách.</t>
  </si>
  <si>
    <t>Tất nhiên. Thuế mới được tính dựa trên thu nhập, tôi thấy hợp lý.</t>
  </si>
  <si>
    <t>Đồng ý. Tiết kiệm thuế có thể mang lại lợi ích cho dịch vụ công</t>
  </si>
  <si>
    <t>Tất nhiên. Chính sách mới đã được giải thích rõ ràng và minh bạch.</t>
  </si>
  <si>
    <t>Đồng ý. Tôi ủng hộ cải cách thuế vì lợi ích mà nó mang lại cho tôi</t>
  </si>
  <si>
    <t>Tăng mức giảm trừ gia cảnh và đơn giản hóa biểu thuế tạo nên sự công bằng hơn, cộng với việc cơ quan thuế triển khai quyết liệt, nhanh chóng.</t>
  </si>
  <si>
    <t>Cơ sở hạ tầng công nghệ thông tin của cơ quan thuế được cải thiện đáng kể, giúp phát hiện và xử lý trốn thuế dễ dàng hơn.</t>
  </si>
  <si>
    <t>Thu nhập cao hơn trước nên mức giảm trừ gia cảnh tăng, thủ tục khai báo trở nên đơn giản hơn.</t>
  </si>
  <si>
    <t>Bậc thuế được giảm từ 7 xuống 5, dễ hiểu và thực hiện thuận tiện hơn.</t>
  </si>
  <si>
    <t>Cải cách thuế tạo thêm niềm tin vào công bằng trong việc áp dụng chính sách.</t>
  </si>
  <si>
    <t>Thuế mới có thể coi là hợp lý khi so với mức thu nhập hiện tại, nhưng vẫn còn thiếu minh bạch về sử dụng nguồn thuế.</t>
  </si>
  <si>
    <t>Hiểu được tiền thuế đóng sẽ được dùng vào các dịch vụ công hữu ích, tạo cảm giác tin tưởng.</t>
  </si>
  <si>
    <t>Nhìn chung đã giải thích rõ về mục tiêu cải cách nhưng chưa đủ minh bạch trong việc sử dụng nguồn thuế.</t>
  </si>
  <si>
    <t>Chấp nhận chính sách mới vì lợi ích tài chính và niềm tin vào công bằng, đồng thời hy vọng có thêm nhiều cải tiến về minh bạch trong tương lai.</t>
  </si>
  <si>
    <t>Bậc thuế và mức thuế này vẫn là quá cao, làm giảm động lực làm việc và tăng khả năng gian lận. Sự thay đổi không nhiều so với trước đây với những người có thu nhập cao.</t>
  </si>
  <si>
    <t xml:space="preserve">Nếu áp dụng công nghệ thì việc thực thi sẽ dễ dàng, không khó khăn. Tuy nhiên, trong quá trình thực thi, bằng nhiều cách thức, đối tượng có thể thoát được thuế, đặc biệt thông qua lạm dụng quyền và lợi ích nhóm, trong đó có lao động ở các cơ quan nhà nước có khả năng tự ra luật để mình được đặc quyền.  </t>
  </si>
  <si>
    <t>Tôi thấy cơ quan thuế Quận 7 thật tệ. Ngoài ra, đang trong quá trình chuyển đổi, sáp nhập nên khâu thực thi, hỗ trợ người dân gặp nhiều khó khăn. Và còn có nhiều vấn đề tiêu cực, nhũng nhiễu, gây khó khăn cho người dân. Tuy nhiên, đây là trải nghiệm cá nhân ở một cơ quan, chưa thể đánh giá toàn bộ hệ thống nên nếu chấm điểm quá thấp thì sẽ không công bằng. Vì thế cho điểm trung bình.</t>
  </si>
  <si>
    <t>Đồng ý khi có sự thay đổi tốt hơn.</t>
  </si>
  <si>
    <t>Cái này là hy vọng thôi chứ trong giai đoạn nhiều chuyển đổi này thì tôi lo là sẽ nhiều khó khăn và phúc tạp ngoài mong đợi. Vẫn phải chờ đợi thêm.</t>
  </si>
  <si>
    <t>Mức và biểu thuế hiện vẫn quá cao, làm giảm động lực làm việc, đặc biệt của tầng lớp trung lưu, không phản ánh đúng với thực tế, mức sống của người dân. Ngoài ra, không phản ánh đúng theo từng vùng. Người dân ở các thành phố lớn có chi phí sống cao hơn nhưng vẫn phải đóng thuế giống với người dân ở các vùng có chi phí sống thấp hơn.</t>
  </si>
  <si>
    <t xml:space="preserve">Tôi lo ngại về hiệu quả đầu tư công của Việt Nam từ xưa đến nay. Có những trải nghiệm không tốt, tiêu cực về các dự án, tài sản công bị thất thoát, lãng phí, tham nhũng. Người dân cũng không được tham gia phản biện vào các dự án lớn và không biết đồng thuế có sử dụng hiệu quả, đúng mục đích hay không. Tuy nhiên, so với các nước kém phát triển, nghèo đói khác thì vẫn có tín hiệu tích cực, tiền thuế vẫn được sử dụng chứ không quá tồi tệ. Sống thì buộc phải hy vọng thôi. </t>
  </si>
  <si>
    <t xml:space="preserve">Có ai hỏi tôi về cải cách thuế này đâu. Vấn đề truyền thông còn hạn chế nên cho điểm trung bình. </t>
  </si>
  <si>
    <t>Tôi không ủng hộ lắm nhưng sẽ tuân thủ. Trừ 2 điểm thiết kế và trừ 2 điểm thực thi.</t>
  </si>
  <si>
    <t>Công nghệ ngày càng phát triển, nhưng việc thực thi thuế vẫn phụ thuộc vào khả năng kiểm soát thu nhập của cá nhân và tổ chức. Việc tăng mức giảm trừ gia cảnh có thể làm giảm cơ hội phát hiện trốn thuế.</t>
  </si>
  <si>
    <t>Cần thêm thu nhập của tổ chức/cá nhân chịu thuế phải rõ ràng, minh bạch. Để phát hiện được hành vi gian lận, trốn thuế thì phải đi từ đầu vào là đo kiểm được thu nhập của tổ chức/cá nhân - nó giải thích cho niềm tin không cao vì lý do này.</t>
  </si>
  <si>
    <t>Việc cải cách thuế có thể giúp cải thiện khả năng phát hiện trốn thuế, nhưng vẫn cần thời gian để thực thi và giám sát hiệu quả.</t>
  </si>
  <si>
    <t>Tôi chỉ nhận định chủ quan trên cơ sở nhà nước đã thu được thuế gia tăng trong thời gian gần đây</t>
  </si>
  <si>
    <t>Thủ tục đơn giản hơn đã làm cho việc khai báo thuế dễ dàng hơn. Điều này cũng giúp giảm áp lực cho người nộp thuế, đặc biệt là đối với những người không chuyên về lĩnh vực này.</t>
  </si>
  <si>
    <t xml:space="preserve">Thủ tục hoàn thuế đơn giản hơn </t>
  </si>
  <si>
    <t>Biểu thuế mới đơn giản hóa quy trình tính thuế và làm rõ các bậc thuế suất, điều này giúp người dân hiểu và thực hiện dễ dàng hơn.</t>
  </si>
  <si>
    <t>Đối với cá nhân tôi thi tôi cảm thấy có đơn giản hơn, tuy nhiên với tổ chức khi phải hỗ trợ ưu đãi thuế cho những cá nhân thuộc đối tượng miễn giảm (nhà khoa hoc, nghiên cứu,...) thì vẫn còn sự phức tạp trong kê khai (thông tin này được nghe phản ánh lại từ bộ phận hỗ trợ thuế)</t>
  </si>
  <si>
    <t>Nhà nước đã cải cách để đảm bảo công bằng trong việc đánh thuế. Tuy nhiên, mức giảm trừ gia cảnh tăng lên có thể làm giảm sự phức tạp cho người nộp thuế.</t>
  </si>
  <si>
    <t>Niềm tin cá nhân đối với chính sách của nhà nước</t>
  </si>
  <si>
    <t>Mức thuế mới theo phương án này tôi thấy là hợp lý và công bằng. Nó giảm gánh nặng tài chính cho tôi mà vẫn đảm bảo việc đóng góp của tôi vào ngân sách nhà nước.</t>
  </si>
  <si>
    <t>Mức giảm trừ gia cảnh nên được điều chỉnh theo khu vực sinh sống, phù hợp hơn với thực tế.</t>
  </si>
  <si>
    <t>Tiết kiệm được nhiều tiền thuế có thể giúp cải thiện chất lượng dịch vụ công, nhưng cần giám sát chặt chẽ để đảm bảo số tiền này được sử dụng hiệu quả.</t>
  </si>
  <si>
    <t>Nhà nước cần công khai minh bạch dữ liệu thu thuế và đầu tư công tùy theo thẩm quyền quản lý để người dân được biết và giám sát theo quy định pháp luật. Thường thì chọn trung bình là mức trung tính trong những vấn đề còn băn khoăn</t>
  </si>
  <si>
    <t>Nhà nước đã giải thích rõ ràng về mục tiêu và lý do của việc cải cách thuế. Tuy nhiên, tôi vẫn mong muốn có thêm thông tin minh bạch hơn về việc sử dụng số tiền thuế.</t>
  </si>
  <si>
    <t>Cảm nhận cá nhân. Cảm thấy truyền thông về thuế TNCN trong thời gian qua có tốt hơn.</t>
  </si>
  <si>
    <t>Sau khi xem xét tác động tài chính tích cực và sự đơn giản hóa thủ tục, tôi đồng ý ủng hộ chính sách mới. Điều này giúp giảm gánh nặng tài chính cho tôi mà vẫn đảm bảo đóng góp vào ngân sách nhà nước.</t>
  </si>
  <si>
    <t>Trách nhiệm công dân nên ủng hộ.</t>
  </si>
  <si>
    <t>Tôi chỉ nhận định chủ quan trên cơ sở nhà nước đã thu được thuế gia tăng trong thời gian gần đây, nhưng không có bằng chứng rõ ràng về khả năng phát hiện hành vi trốn thuế.</t>
  </si>
  <si>
    <t>Việc áp dụng công nghệ để theo dõi và xử lý các vấn đề thuế có thể giúp cải thiện hiệu quả quản lý, nhưng vẫn cần thời gian để triển khai đầy đủ.</t>
  </si>
  <si>
    <t>Đơn giản hóa biểu thuế đã làm cho quá trình khai báo thuế dễ dàng hơn, giảm bớt sự phức tạp đối với người dân và doanh nghiệp.</t>
  </si>
  <si>
    <t>Biểu thuế mới rõ ràng hơn so với trước đây, giúp việc tính thuế trở nên dễ dàng hơn, nhưng vẫn có thể gặp khó khăn trong quá trình kê khai chi tiết cho người phụ thuộc.</t>
  </si>
  <si>
    <t>Tôi tin rằng nhà nước sẽ thực thi chính sách một cách khách quan và công bằng, nhưng tôi cũng lo ngại về khả năng kiểm soát thuế đầy đủ.</t>
  </si>
  <si>
    <t>Mức giảm trừ gia cảnh mới giúp tôi tiết kiệm được nhiều tiền thuế, điều này thể hiện sự công bằng trong việc phân chia gánh nặng thuế giữa người dân và doanh nghiệp.</t>
  </si>
  <si>
    <t>Sau khi xem xét lợi ích của chính sách mới, tôi tin rằng số tiền thuế đóng sẽ được sử dụng hiệu quả để cải thiện dịch vụ công cho cộng đồng.</t>
  </si>
  <si>
    <t>Nhà nước đã giải thích rõ ràng về mục tiêu và lý do của việc sửa đổi thuế lần này, nhưng tôi vẫn mong muốn có thêm thông tin chi tiết về cách sử dụng nguồn thu thuế.</t>
  </si>
  <si>
    <t>Sau khi tính toán tác động tài chính tích cực từ chính sách mới, tôi ủng hộ và tuân thủ chính sách này vì lợi ích cá nhân và cộng đồng.</t>
  </si>
  <si>
    <t>Tôi vẫn giữ quan điểm rằng cần minh bạch thu nhập cá nhân để phát hiện gian lận, nhưng với mức giảm trừ gia cảnh tăng lên, tôi thấy mình được ưu đãi hơn và tin tưởng vào việc quản lý thuế sẽ công bằng.</t>
  </si>
  <si>
    <t>Công nghệ ngày càng phát triển nên tôi tin rằng cơ quan thuế có khả năng kiểm soát tốt hơn, nhưng vẫn cần cải thiện về minh bạch thông tin thu nhập.</t>
  </si>
  <si>
    <t>Thủ tục đơn giản hơn trước và dễ hiểu hơn, đặc biệt là với mức giảm trừ gia cảnh tăng lên cho cả bản thân và người phụ thuộc.</t>
  </si>
  <si>
    <t>Biểu thuế mới rõ ràng hơn so với trước đây, giúp tôi dễ dàng tính toán và nộp thuế đúng hạn.</t>
  </si>
  <si>
    <t>Tôi tin rằng Nhà nước sẽ thực thi công bằng nhưng vẫn cần minh bạch thông tin hơn để người dân hiểu rõ hơn về chính sách mới.</t>
  </si>
  <si>
    <t>Mức thuế mới phù hợp với thu nhập của tôi và người phụ thuộc, khiến tôi cảm thấy đóng góp công bằng cho xã hội.</t>
  </si>
  <si>
    <t>Thuê được sử dụng hiệu quả cho các dịch vụ công như y tế, giáo dục, giúp cải thiện chất lượng cuộc sống của tôi và người dân khác.</t>
  </si>
  <si>
    <t>Nhà nước đã giải thích rõ về mục tiêu cải cách thuế nhưng vẫn cần thêm thông tin cụ thể hơn về nguồn thu và sử dụng.</t>
  </si>
  <si>
    <t>Chính sách mới có lợi cho người dân như tôi, giảm gánh nặng tài chính nên tôi ủng hộ.</t>
  </si>
  <si>
    <t>Dựa trên kinh nghiệm cá nhân, tôi không hoàn toàn tin tưởng rằng hành vi gian lận hoặc trốn thuế sẽ dễ dàng bị phát hiện và xử lý nghiêm. Mức tiết kiệm thuế đáng kể như vậy có thể khiến người dân nghi ngờ về khả năng quản lý của cơ quan thuế.</t>
  </si>
  <si>
    <t>Đối với cá nhân, việc đơn giản hóa quy trình khai báo và nộp thuế đã cải thiện đáng kể. Tuy nhiên, đối với tổ chức, vẫn còn một số thủ tục phức tạp cần được tiếp tục tối ưu.</t>
  </si>
  <si>
    <t>Các quy định mới đơn giản hơn so với trước đây và quá trình khai báo thuế cũng dễ dàng hơn. Tuy nhiên, việc hỗ trợ thuế cho các đối tượng miễn giảm vẫn còn một số khó khăn.</t>
  </si>
  <si>
    <t>Bậc thuế mới đơn giản hóa quy trình tính thuế và thực hiện dễ dàng hơn so với trước đây. Mức thuế đã được điều chỉnh phù hợp với thu nhập cá nhân của tôi, tạo cảm giác công bằng.</t>
  </si>
  <si>
    <t>Tôi tin rằng Nhà nước sẽ thực thi chính sách một cách khách quan và công bằng đối với tất cả các bên nộp thuế. Tuy nhiên, vẫn cần thêm minh bạch về quá trình quản lý và sử dụng số tiền thuế.</t>
  </si>
  <si>
    <t>Mức thuế mới đã được điều chỉnh phù hợp với thu nhập của tôi. Tuy nhiên, mức giảm trừ gia cảnh nên được điều chỉnh theo khu vực sinh sống để tạo thêm sự công bằng.</t>
  </si>
  <si>
    <t>Tôi tin rằng số tiền thuế đóng sẽ được sử dụng hiệu quả cho việc cải thiện dịch vụ công. Tuy nhiên, vẫn cần minh bạch hơn về cách thức sử dụng nguồn thu thuế này.</t>
  </si>
  <si>
    <t>Chính phủ đã giải thích rõ ràng lý do và mục tiêu của việc sửa đổi thuế lần này. Tuy nhiên, tôi hy vọng có thể thấy thêm thông tin chi tiết về cách sử dụng nguồn thu thuế để tăng niềm tin hơn.</t>
  </si>
  <si>
    <t>Chính sách mới đã tạo ra lợi ích thực tế cho cá nhân tôi. Tôi đồng ý và ủng hộ việc áp dụng chính sách này.</t>
  </si>
  <si>
    <t>Dựa trên lý thuyết, việc tăng mức giảm trừ gia cảnh và đơn giản hóa biểu thuế có thể làm giảm hành vi gian lận, nhưng thực tế tôi vẫn lo ngại về khả năng phát hiện trốn thuế do thiếu kiểm soát thu nhập của cá nhân. Thực tế cho thấy vẫn còn nhiều trường hợp trốn thuế chưa được xử lý triệt để.</t>
  </si>
  <si>
    <t>Như đã nêu, cơ quan thuế có thể gặp khó khăn trong việc phát hiện trốn thuế nếu không kiểm soát được thu nhập của cá nhân. Tuy nhiên, với các cải cách về giảm trừ gia cảnh và đơn giản hóa biểu thuế, khả năng này có thể được cải thiện.</t>
  </si>
  <si>
    <t>Đơn giản hóa quy trình khai báo và mức thuế dễ hiểu hơn giúp việc làm thủ tục với cơ quan thuế thuận tiện hơn. Tuy nhiên, đối với tổ chức, vẫn còn phức tạp khi phải hỗ trợ ưu đãi cho người thuộc đối tượng miễn giảm.</t>
  </si>
  <si>
    <t>Bậc thuế và bảng tính đơn giản hơn so với trước đây, dễ hiểu và thực hiện thuận tiện. Điều này giúp cá nhân nắm bắt nhanh chóng</t>
  </si>
  <si>
    <t>Tôi tin rằng Nhà nước sẽ cố gắng thực thi công bằng, nhưng vẫn có mối lo ngại về việc kiểm soát thu nhập của cá nhân và khả năng phát hiện trốn thuế.</t>
  </si>
  <si>
    <t>Mức giảm trừ gia cảnh tăng lên giúp tôi đóng mức thuế phù hợp với thu nhập thực tế, điều này thể hiện tính công bằng.</t>
  </si>
  <si>
    <t>Tiết kiệm được số tiền thuế lớn giúp tôi tin rằng Nhà nước sẽ sử dụng hiệu quả để cải thiện dịch vụ công</t>
  </si>
  <si>
    <t>Việc giải thích rõ ràng về mục tiêu và lý do của việc sửa đổi thuế lần này tạo niềm tin đối với chính sách mới</t>
  </si>
  <si>
    <t>Nhìn chung, tôi ủng hộ các cải cách nhằm đơn giản hóa quy trình khai báo và giảm mức thuế. Điều này giúp cải thiện đáng kể trải nghiệm làm thủ tục thuế cho cá nhân.</t>
  </si>
  <si>
    <t>Công cụ và phần mềm kiểm soát thuế của cơ quan thuế có thể phát hiện gian lận, nhưng sự thực thi vẫn chưa hoàn hảo.</t>
  </si>
  <si>
    <t xml:space="preserve">Hoàn toàn đồng ý. Chính phủ tăng cường kiểm soát giao dịch ngân hàng để minh bạch dòng tiền cá nhân và chống rửa tiền. </t>
  </si>
  <si>
    <t>Nhà nước có công nghệ để theo dõi giao dịch tài chính cá nhân, giúp phát hiện trốn thuế hiệu quả hơn trước.</t>
  </si>
  <si>
    <t xml:space="preserve">Khi làm việc với cơ quan thuế thì biết rằng cơ quan thuế đang có những công cụ, phần mềm hỗ trợ kiểm tra thuế cũng như truy cập được nhiều nguồn dữ liệu khác nhau. Tuy nhiên, các phần mềm của chính phù hiện nay chưa được tối ưu, một số doanh nghiệp vẫn có cách trốn thuế. </t>
  </si>
  <si>
    <t>Thủ tục khai thuế đơn giản hóa nhưng vẫn gặp vấn đề về lỗi phần mềm và khó khăn trong việc làm thủ tục.</t>
  </si>
  <si>
    <t>Hiện tại phần mềm khai thuế vẫn chưa được friendly và hay gặp lỗi, trải nghiệm không tốt. Phải thuê người làm giúp. Gặp vấn đề thì không biết hỏi ai.</t>
  </si>
  <si>
    <t>Biểu thuế mới ít bậc hơn, dễ hiểu hơn so với trước đây, giúp người dân dễ thực hiện hơn.</t>
  </si>
  <si>
    <t>5 bậc sẽ ít hơn 7 bậc tuy nhiên mức giảm trừ gia cảnh chưa hợp lý, chưa sát với thực tế. Chưa phản ánh những vấn đề như nuôi con, vay tiền mua nhà, vay ngân hàng.</t>
  </si>
  <si>
    <t>Tôi tin rằng cơ quan thuế sẽ cố gắng thực thi công bằng, nhưng chưa chắc chắn do mức giảm trừ gia cảnh chưa phản ánh đầy đủ thực tế.</t>
  </si>
  <si>
    <t>Chính phủ đang siết chặt thu thuế, trong khi đó chưa áp dụng các chính sách hỗ trợ người dân giảm trừ như mua nhà, con đi học. Chưa có đánh giá tác động cho các nhóm đối tượng khác nhau cũng như đánh giá tác động trong tương lai.</t>
  </si>
  <si>
    <t>Thuế mới có thể hợp lý hơn so với trước đây, nhưng tôi vẫn lo ngại về mức độ công bằng khi áp dụng cho các nhóm đối tượng khác nhau.</t>
  </si>
  <si>
    <t>Tôi chưa tính được khi áp dụng thuế mới mức đóng cụ thể là bao nhiêu. Không thay đổi khi chính sách mới áp dụng.</t>
  </si>
  <si>
    <t>Tôi tin số thuế đóng sẽ được sử dụng hiệu quả, nhưng chưa chắc chắn do không có đánh giá cụ thể về tác động.</t>
  </si>
  <si>
    <t>Chưa chắc, k có niềm tin lắm nhưng vẫn có niềm tin. Vẫn đánh giá thuế có sử dụng cho dịch vụ công. Chính phủ có lắng nghe phản hồi của người dân, có một chút thay đổi. Vì thế cho điểm số ở mức trung bình.</t>
  </si>
  <si>
    <t>Nhà nước đã giải thích mục tiêu của chính sách mới nhưng tôi vẫn lo ngại về sự thực thi công bằng và minh bạch.</t>
  </si>
  <si>
    <t>Mục tiêu chính thì hiểu, rationale đưa ra ngưỡng thì chưa hiểu lắm, Chính phủ cũng chưa forseen được mức trượt giá, lạm phát + giảm trừ gia cảnh.</t>
  </si>
  <si>
    <t>Chính sách mới có lợi cho tôi, nhưng tôi chưa chắc chắn về tác động dài hạn nên không hoàn toàn ủng hộ ngay lập tức.</t>
  </si>
  <si>
    <t>Không ủng hộ cũng k được.</t>
  </si>
  <si>
    <t>Chính phủ tăng cường kiểm soát giao dịch ngân hàng để minh bạch dòng tiền cá nhân và chống rửa tiền. Tuy nhiên, các phần mềm của chính phủ hiện nay chưa được tối ưu, một số doanh nghiệp vẫn có cách trốn thuế.</t>
  </si>
  <si>
    <t>Cơ quan thuế đang có những công cụ, phần mềm hỗ trợ kiểm tra thuế cũng như truy cập được nhiều nguồn dữ liệu khác nhau. Tuy nhiên, doanh nghiệp vẫn có cách để trốn thuế.</t>
  </si>
  <si>
    <t>Trình tự khai thuế và quy trình làm việc với cơ quan thuế hiện tại chưa thực sự-friendly và thường gặp lỗi, điều này khiến trải nghiệm không thuận tiện. Tuy nhiên, số bậc thuế giảm từ 7 xuống 5 đã đơn giản hóa quy trình.</t>
  </si>
  <si>
    <t>Mức giảm trừ gia cảnh được cải thiện đáng kể và số bậc thuế giảm, điều này giúp việc tính toán thuế trở nên dễ dàng hơn. Tuy nhiên, mức giảm trừ chưa phản ánh đầy đủ thực tế</t>
  </si>
  <si>
    <t>Chính phủ đang siết chặt thu thuế nhưng chưa áp dụng chính sách hỗ trợ người dân như mua nhà, con đi học. Mức giảm trừ gia cảnh vẫn còn hạn chế.</t>
  </si>
  <si>
    <t>Mức thuế mới có thể được xem là công bằng đối với thu nhập của tôi, nhưng chưa phải là hoàn hảo. Cần cải thiện hơn nữa về mức độ giảm trừ gia cảnh.</t>
  </si>
  <si>
    <t>Tôi tin rằng số tiền thuế đóng sẽ được sử dụng hiệu quả để cải thiện dịch vụ công, tuy nhiên chưa có đánh giá cụ thể về tác động của chính sách mới.</t>
  </si>
  <si>
    <t>Chính phủ đã giải thích mục tiêu và lý do của việc sửa đổi thuế lần này. Tuy nhiên, mức trượt giá, lạm phát chưa được xem xét trong các ngưỡng chịu thuế</t>
  </si>
  <si>
    <t>Sau khi tính toán tác động tài chính, tôi tiết kiệm được một khoản tiền đáng kể. Mặc dù không hoàn toàn ủng hộ việc áp dụng mới này nhưng vẫn sẽ tuân thủ vì lợi ích tài chính.</t>
  </si>
  <si>
    <t>Khi làm việc với cơ quan thuế thì biết rằng cơ quan thuế đang có những công cụ, phần mềm hỗ trợ kiểm tra thuế cũng như truy cập được nhiều nguồn dữ liệu khác nhau. Tuy nhiên, các phần mềm của chính phù hiện nay chưa được tối ưu, một số doanh nghiệp vẫn có cách trốn thuế.</t>
  </si>
  <si>
    <t>Phần mềm khai thuế vẫn chưa được friendly và hay gặp lỗi, trải nghiệm không tốt. Phải thuê người làm giúp. Gặp vấn đề thì không biết hỏi ai. Tuy nhiên, số bậc thuế giảm đi nên thủ tục đơn giản hơn.</t>
  </si>
  <si>
    <t>So với trước đây, cách tính thuế và các bậc thuế trong phương án mới đơn giản, dễ hiểu và dễ thực hiện hơn. Số bậc thuế giảm từ 7 xuống còn 5.</t>
  </si>
  <si>
    <t>Chính phủ đang siết chặt thu thuế, trong khi chưa áp dụng các chính sách hỗ trợ người dân giảm trừ như mua nhà, con đi học. Chưa có đánh giá tác động cho các nhóm đối tượng khác nhau cũng như đánh giá tác động trong tương lai.</t>
  </si>
  <si>
    <t>Mức thuế mới tăng mức giảm trừ gia cảnh, người phụ thuộc nên tôi thấy mức thuế tôi phải đóng theo phương án mới là công bằng. Tuy nhiên, mức trượt giá và lạm phát chưa được xem xét.</t>
  </si>
  <si>
    <t>Chính phủ có lắng nghe phản hồi của người dân, có một chút thay đổi. Số tiền thuế tôi đóng sẽ được sử dụng hiệu quả để cải thiện dịch vụ công như y tế, đường xá.</t>
  </si>
  <si>
    <t>Chính phủ đã giải thích rõ ràng về mục tiêu của việc sửa đổi thuế lần này. Tuy nhiên, tôi vẫn chưa hiểu rõ về lý do và mức trượt giá, lạm phát trong chính sách mới.</t>
  </si>
  <si>
    <t>Thu nhập giả định cao nên sau khi áp dụng giảm trừ gia cảnh, thu nhập chịu thuế ít đi. Tuy nhiên, tôi vẫn chưa chắc chắn về mức độ sử dụng hiệu quả số tiền thuế đóng vào dịch vụ công.</t>
  </si>
  <si>
    <t>Cơ quan thuế có công cụ kiểm tra và truy cập dữ liệu, nhưng chưa tối ưu dẫn đến vẫn còn tình trạng trốn thuế. Thuế mới có giảm trừ gia cảnh nhiều hơn nên khả năng phát hiện gian lận sẽ tăng.</t>
  </si>
  <si>
    <t>Công nghệ và nguồn lực của cơ quan thuế được cải thiện, nhưng vẫn chưa tối ưu, doanh nghiệp nhỏ có thể lợi dụng</t>
  </si>
  <si>
    <t>Thủ tục khai thuế đơn giản hơn trước, nhưng phần mềm vẫn gặp lỗi và khó sử dụng.</t>
  </si>
  <si>
    <t>Bậc thuế giảm từ 7 thành 5, dễ hiểu và thực hiện thuận tiện hơn</t>
  </si>
  <si>
    <t>Chính phủ cải thiện khả năng phát hiện trốn thuế nhưng chưa chắc đã công bằng với tất cả các đối tượng</t>
  </si>
  <si>
    <t>Thu nhập và mức giảm trừ gia cảnh tăng, tôi tin rằng mức thuế mới là hợp lý</t>
  </si>
  <si>
    <t>Tiết kiệm được tiền thuế nên sẽ có niềm tin vào việc sử dụng hiệu quả cho dịch vụ công</t>
  </si>
  <si>
    <t>Chính phủ giải thích rõ mục tiêu của chính sách mới, nhưng chưa minh bạch về cách tính mức giảm trừ</t>
  </si>
  <si>
    <t>Sau khi cân nhắc, tôi đồng ý với chính sách mới vì lợi ích tài chính và khả năng phát hiện trốn thuế tăng.</t>
  </si>
  <si>
    <t>Chính phủ tăng cường kiểm soát giao dịch ngân hàng để minh bạch dòng tiền cá nhân và chống rửa tiền, do đó hành vi gian lận hoặc trốn thuế sẽ dễ dàng bị phát hiện. Tuy nhiên, các phần mềm của chính phủ hiện nay chưa được tối ưu nên một số doanh nghiệp vẫn có cách trốn thuế.</t>
  </si>
  <si>
    <t>Nhà nước và cơ quan thuế đang có những công cụ, phần mềm hỗ trợ kiểm tra thuế cũng như truy cập được nhiều nguồn dữ liệu khác nhau. Tuy nhiên, do các phần mềm chưa được tối ưu nên một số doanh nghiệp vẫn có cách trốn thuế.</t>
  </si>
  <si>
    <t>Phần mềm khai thuế hiện tại chưa friendly và hay gặp lỗi, trải nghiệm không tốt. Tuy nhiên, với việc đơn giản hóa biểu thuế từ 7 bậc xuống còn 5 bậc, quy trình làm việc trở nên đơn giản hơn.</t>
  </si>
  <si>
    <t>Với việc đơn giản hóa biểu thuế từ 7 bậc xuống còn 5 bậc, cách tính thuế và các bậc thuế trong phương án mới đơn giản, dễ hiểu và dễ thực hiện hơn. Tuy nhiên, mức giảm trừ gia cảnh chưa hợp lý, chưa sát với thực tế.</t>
  </si>
  <si>
    <t>Chính phủ đang siết chặt thu thuế nhưng chưa áp dụng các chính sách hỗ trợ người dân như mua nhà, con đi học. Mức giảm trừ gia cảnh chưa phản ánh đầy đủ những vấn đề thực tế.</t>
  </si>
  <si>
    <t>Mức thuế tôi phải đóng theo phương án mới là công bằng, nhưng mức giảm trừ gia cảnh chưa sát với thực tế. Chưa có đánh giá tác động cho các nhóm đối tượng khác nhau cũng như đánh giá tác động trong tương lai.</t>
  </si>
  <si>
    <t>Thuê tôi tin số tiền thuế tôi đóng sẽ được Nhà nước sử dụng hiệu quả để cải thiện dịch vụ công. Tuy nhiên, mức giảm trừ gia cảnh chưa sát với thực tế và chưa có đánh giá tác động cho các nhóm đối tượng khác nhau.</t>
  </si>
  <si>
    <t>Chính phủ đã giải thích rõ ràng, minh bạch về lý do và mục tiêu của việc sửa đổi thuế lần này. Tuy nhiên, mức giảm trừ gia cảnh chưa sát với thực tế và chưa có đánh giá tác động cho các nhóm đối tượng khác nhau.</t>
  </si>
  <si>
    <t>Chính sách mới giúp tôi tiết kiệm được tiền thuế, nhưng mức giảm trừ gia cảnh chưa hợp lý. Mặc dù vậy, tôi vẫn ủng hộ và tuân thủ chính sách mới vì mục tiêu của nó là tốt cho người dân.</t>
  </si>
  <si>
    <t>Trả lời ENF: Theo quan điểm của tôi, việc phát hiện hành vi gian lận hoặc trốn thuế không hoàn toàn dễ dàng. Tuy nhiên, với mức thuế giảm và cải cách đơn giản hóa, tôi tin rằng có sự công bằng trong việc quản lý thuế.</t>
  </si>
  <si>
    <t>Nếu là người lao động trong nhóm chính thức thì thực sự dễ dàng quản lý và cũng khó để trốn thuế, tuy nhiên 2 nhóm còn lại ở khu vực tự do và đã nghỉ hưu thì điều này không thể chắc chắn. Niềm tin chỉ ở mức tương đối.</t>
  </si>
  <si>
    <t>Công nghệ ngày nay giúp cơ quan thuế theo dõi nhiều hơn nhưng không phải tất cả doanh nghiệp đều tuân thủ. Cần thời gian để kiểm soát hoàn toàn, tuy nhiên cải cách này tốt cho người nộp thuế.</t>
  </si>
  <si>
    <t>Sẽ có thể phát hiện nhưng không thể toàn bộ và ngay lập tức, vì những doanh nghiệp không tuân thủ quy định thì nếu có cơ quan thuế sẽ phải tiến hành điều tra chứ không có hệ thống để nhận diện hành vi vi phạm ngay lập tức.</t>
  </si>
  <si>
    <t>So với trước đây, quy trình khai thuế đơn giản hơn và thuận tiện hơn nhiều. Kế toán công ty cũng hỗ trợ làm việc này nên tôi không gặp khó khăn.</t>
  </si>
  <si>
    <t>Tôi không rõ vấn đề này vì có bộ phận kế toán/nhân sự của công ty xử lý giúp. Chưa có trải nghiệm gì với cơ quan thuế.</t>
  </si>
  <si>
    <t>Bậc thuế đã giảm từ 7 xuống còn 5, dễ hiểu hơn và người lao động sẽ đóng ít hơn. Điều này tạo cảm giác thuận lợi cho người nộp thuế</t>
  </si>
  <si>
    <t>Thực ra thì phương thức lũy tiến như nhau, nhưng giản lược số bậc thuế, và giảm tỷ lệ đóng thì tốt cho người lao động. Cá nhân đóng thuế ít hơn so với trước đây.</t>
  </si>
  <si>
    <t>Đối với tôi, Nhà nước thực thi công bằng trong việc điều chỉnh mức giảm trừ gia cảnh và bậc thuế mới. Mức thuế hiện tại là phù hợp với thu nhập của mình.</t>
  </si>
  <si>
    <t>Nhà nước có chủ động điều chỉnh chính sách thuế mới, như vậy là rất tốt. tuy nhiên cần sự phối hợp của doanh nghiệp thì chính sách thuế mới thực sự hiệu quả. Các doanh nghiệp FDI thì có thể đảm bảo nhưng băn khoăn về các doanh nghiệp SME, doanh nghiệp trong nước hoặc các hộ kinh doanh. Ngoài ra, vấn đề khi thực thi có phụ thuộc vào các cấp cơ quan nhà nước ở dưới, nhỏ hơn có thể không thực hiện đúng với chính sách đề ra.</t>
  </si>
  <si>
    <t>Mức thuế tôi phải đóng là công bằng so với thu nhập của mình. Tuy nhiên, việc sử dụng thuế vào cải thiện dịch vụ công còn phụ thuộc vào thực tế tại địa phương.</t>
  </si>
  <si>
    <t>Thấp hơn thì sẽ tốt hơn, hiện giờ mức đóng vẫn cao nhưng, giảm trừ gia cảnh và cá nhân còn khá thấp so với mức sống của khu vực thành thị. đặc biệt nhóm người chưa sở hữu nhà riêng. Cá nhân cảm thấy hài lòng vì giảm được thuế so với trước đây.</t>
  </si>
  <si>
    <t>Thuế tôi đóng sẽ được sử dụng hiệu quả để cải thiện các dịch vụ công như y tế và giao thông. Tuy nhiên, cần kiểm tra cụ thể hơn về việc này</t>
  </si>
  <si>
    <t>Tôi không thấy rằng giữa người đóng thuế cao và thấp có sự khác biệt trong việc hưởng các dịch vụ công tốt hơn, tất cả là như nhau. và qua các năm thì dịch vụ y tế hay đường xá đều không thay đổi dù tiền thuế đóng nhiều hơn, thông qua ở TPHCM hầu như không có nhiều cải thiện về đầu tư hạ tầng công, các trung tâm khám chữa bệnh công chất lượng hơn hay các trung tâm giải trí, bảo tàng nghệ thuật miễn phí cho người dân, hầu hết đều thu phí, và chất lượng không tốt. Mặc dù không hài lòng nhưng nhìn nhận thực tế vì có sự cải thiện, đặc biệt là có Metro ở Hồ Chí Minh.</t>
  </si>
  <si>
    <t>Nếu Nhà nước giải thích rõ ràng mục tiêu của chính sách mới, tôi sẽ tin tưởng hơn. Hiện tại, tôi thấy cải cách thuế là hướng đi đúng.</t>
  </si>
  <si>
    <t>Tôi thấy ko quá cần thiết, vì cơ bản là có cải thiện cho đối tượng thu nhập của tôi. tuy nhiên việc sử dụng thuế vào đâu thì cần làm rõ. Không theo dõi quá trình chính sách để hình thành nên không nắm rõ thông tin. Quan trọng là giảm thuế thì cũng không cần giải thích nhiều.</t>
  </si>
  <si>
    <t>Chính sách mới mang lại lợi ích cho người lao động như tôi. Mức thuế giảm giúp tiết kiệm được một khoản tiền đáng kể mỗi tháng</t>
  </si>
  <si>
    <t>Là công dân thì phải tuân thủ theo quy định tuyệt đối nhưng về mặt ủng hộ thì ở mức khá.</t>
  </si>
  <si>
    <t>So với trước đây, tôi thấy cách tính thuế và các bậc thuế trong phương án mới đơn giản, dễ hiểu và dễ thực hiện hơn. Thủ tục khai báo thuế cũng thuận tiện hơn.</t>
  </si>
  <si>
    <t>Các bước tính thuế và biểu thuế đã được đơn giản hóa, giảm số bậc thuế từ 7 xuống còn 5, giúp việc đóng thuế dễ dàng hơn cho người dân. Đây là một cải tiến đáng kể.</t>
  </si>
  <si>
    <t>Nhà nước có chủ động điều chỉnh chính sách thuế mới, như vậy là rất tốt. tuy nhiên cần sự phối hợp của doanh nghiệp thì chính sách thuế mới thực sự hiệu quả. Các doanh nghiệp FDI thì có thể đảm bảo nhưng băn khoăn về các doanh nghiệp SME, doanh nghiệp trong nước hoặc các hộ kinh doanh.</t>
  </si>
  <si>
    <t>Mức thuế tôi phải đóng theo phương án mới là công bằng (người thu nhập như tôi đóng mức này là hợp lý). Tuy nhiên, giảm trừ gia cảnh và cá nhân còn khá thấp so với mức sống của khu vực thành thị.</t>
  </si>
  <si>
    <t>Tôi tin tưởng số tiền thuế tôi đóng sẽ được Nhà nước sử dụng hiệu quả để cải thiện dịch vụ công (y tế, đường xá...). Mặc dù không hài lòng nhưng nhìn nhận thực tế vì có sự cải thiện, đặc biệt là có Metro ở Hồ Chí Minh.</t>
  </si>
  <si>
    <t>Tôi thấy Nhà nước đã giải thích rõ ràng, minh bạch về lý do và mục tiêu của việc sửa đổi thuế lần này. Tuy nhiên, việc sử dụng thuế vào đâu thì cần làm rõ hơn.</t>
  </si>
  <si>
    <t>Là công dân thì phải tuân thủ theo quy định tuyệt đối nhưng về mặt ủng hộ thì ở mức khá. Dù chính sách tốt lên nhưng vẫn đa nghi một phần nên không thể đồng ý hoàn toàn.</t>
  </si>
  <si>
    <t>Việc quản lý thuế hiện nay chủ yếu phụ thuộc vào doanh nghiệp và cơ quan thuế, không phải là hoàn toàn chắc chắn để phát hiện trốn thuế ngay lập tức. Do đó mức độ tin tưởng ở mức tương đối.</t>
  </si>
  <si>
    <t>Như đã nêu trước đây, mặc dù có thể phát hiện nhưng không thể đảm bảo phát hiện và xử lý kịp thời các hành vi trốn thuế, nhất là trong hệ thống quản lý chưa hoàn thiện.</t>
  </si>
  <si>
    <t>Thủ tục khai báo thuế đơn giản hơn và quy trình làm việc với cơ quan thuế nhanh chóng, tiện lợi hơn so với trước đây. Do đó mức độ thuận tiện được cải thiện.</t>
  </si>
  <si>
    <t>Bậc thuế mới đơn giản hóa quy trình tính toán và dễ hiểu hơn. Điều này làm cho việc thực hiện thuế trở nên dễ dàng, giảm bớt gánh nặng quản lý về mặt thủ tục.</t>
  </si>
  <si>
    <t>Nhà nước đã công bố rõ ràng các quy định mới và cách thực thi chính sách. Mặc dù không hoàn toàn tin tưởng tuyệt đối nhưng mức độ công bằng trong việc áp dụng thuế được cải thiện.</t>
  </si>
  <si>
    <t>Với mức giảm trừ gia cảnh tăng lên, số tiền tôi phải đóng thuế thấp hơn so với trước đây. Điều này cho thấy mức thuế là hợp lý và công bằng</t>
  </si>
  <si>
    <t>Giảm trừ gia cảnh cao hơn giúp tôi tiết kiệm được nhiều thuế. Tuy nhiên, chất lượng dịch vụ công chưa có sự cải thiện đáng kể nên không hoàn toàn tin tưởng.</t>
  </si>
  <si>
    <t>Nhà nước đã giải thích rõ ràng về mục tiêu và lý do của việc sửa đổi chính sách thuế. Tuy nhiên, để đánh giá hiệu quả sử dụng số tiền thuế đóng còn cần thời gian.</t>
  </si>
  <si>
    <t>Chính sách mới có lợi cho người thu nhập cao như tôi nên được ủng hộ. Tuy nhiên, việc cải thiện chất lượng dịch vụ công vẫn chưa rõ ràng</t>
  </si>
  <si>
    <t>Tôi nghĩ hành vi gian lận hoặc trốn thuế sẽ có thể bị phát hiện, nhưng không chắc chắn và ngay lập tức. Thực thi vẫn phụ thuộc vào hiệu quả của các cơ quan quản lý.</t>
  </si>
  <si>
    <t>Tôi tin rằng Nhà nước có khả năng phát hiện và xử lý nghiêm trốn thuế, mặc dù không hoàn toàn chắc chắn mà không có hệ thống giám sát mạnh mẽ hơn.</t>
  </si>
  <si>
    <t>Quy trình khai báo thuế trở nên đơn giản hơn với số bậc thuế giảm, nhưng vẫn cần thời gian để quen thuộc và điều chỉnh.</t>
  </si>
  <si>
    <t>Phương án mới có thể dễ hiểu hơn và đơn giản hóa quy trình, giúp người dân nộp thuế thuận lợi hơn so với trước đây.</t>
  </si>
  <si>
    <t>Tôi tin rằng cơ quan thuế sẽ cố gắng thực hiện chính sách một cách công bằng, nhưng vẫn có lo ngại về sự tuân thủ của doanh nghiệp và các hộ kinh doanh nhỏ hơn.</t>
  </si>
  <si>
    <t>Đối với thu nhập của tôi, mức thuế mới là hợp lý. Tuy nhiên, giảm trừ gia cảnh và cá nhân vẫn còn thấp so với khu vực thành thị.</t>
  </si>
  <si>
    <t>Tôi tin rằng số tiền thuế đóng sẽ được sử dụng để cải thiện dịch vụ công, nhưng hiệu quả cụ thể còn phụ thuộc vào thực thi chính sách tại các cấp dưới.</t>
  </si>
  <si>
    <t>Chính phủ đã giải thích rõ ràng về mục tiêu của việc sửa đổi thuế, nhưng tôi vẫn muốn có thêm thông tin về cách sử dụng số tiền thuế này.</t>
  </si>
  <si>
    <t>Tôi ủng hộ chính sách mới vì nó giảm gánh nặng tài chính cho người dân, mặc dù không hoàn toàn hài lòng với mức độ cải thiện dịch vụ công.</t>
  </si>
  <si>
    <t>Tuy mức thuế giảm nhưng tôi vẫn lo ngại hành vi gian lận có thể không được phát hiện ngay lập tức, nhất là ở các doanh nghiệp nhỏ và doanh nghiệp tư nhân.</t>
  </si>
  <si>
    <t>Cơ quan thuế có đủ khả năng để kiểm soát nhưng thực tế việc phát hiện hành vi trốn thuế không phải lúc nào cũng nhanh chóng và hiệu quả.</t>
  </si>
  <si>
    <t>Kể từ khi công ty tôi sử dụng phần mềm khai thuế, quy trình trở nên đơn giản hơn nhiều. Tuy nhiên, không có thay đổi lớn so với trước đây.</t>
  </si>
  <si>
    <t>Biểu thuế mới đơn giản hơn và số bậc giảm đi giúp việc tính toán dễ dàng hơn cho người lao động.</t>
  </si>
  <si>
    <t>Tôi tin rằng chính sách sẽ được thực thi công bằng nhưng lo ngại về sự tuân thủ của doanh nghiệp tư nhân có thể gây ra vấn đề phát hiện và xử lý trốn thuế.</t>
  </si>
  <si>
    <t>Thuế tôi phải đóng giảm xuống, mức tăng từ giảm trừ gia cảnh là một điều kiện tốt. Tuy nhiên, việc đầu tư công chưa đủ để tạo ra sự khác biệt lớn trong chất lượng dịch vụ.</t>
  </si>
  <si>
    <t>Tôi nghĩ thuế tôi đóng sẽ được sử dụng hiệu quả cho các dịch vụ công nhưng không có nhiều cải tiến thực tế về hạ tầng và dịch vụ công.</t>
  </si>
  <si>
    <t>Chính phủ đã giải thích rõ ràng mục tiêu của việc sửa đổi thuế, tôi đồng ý với những thay đổi này.</t>
  </si>
  <si>
    <t>Sau khi xem xét các quyền lợi và nghĩa vụ mới, tôi ủng hộ chính sách cải cách thuế nhưng không quá lạc quan về hiệu quả thực tế của nó.</t>
  </si>
  <si>
    <t>Nông thôn</t>
  </si>
  <si>
    <t>Tôi tin rằng nếu đã có Luật thì ai muốn trốn sẽ có cách lách để k bị phát hiện</t>
  </si>
  <si>
    <t>Do họ có thể truy thu dựa vào dòng tiền ra vào tài khoản</t>
  </si>
  <si>
    <t>Có thể làm online, nên tôi thấy tiện a</t>
  </si>
  <si>
    <t>Tôi thấy như nhau</t>
  </si>
  <si>
    <t>Tại cán bộ thuế ở tôi rất tốt ạ</t>
  </si>
  <si>
    <t>Tôi thấy phần trăm đóng thuế còn cao so với tôi</t>
  </si>
  <si>
    <t>Dạ do tôi dễ tin người ạ</t>
  </si>
  <si>
    <t>Dạ, về cơ bản là đã khá chi tiết và rõ ràng ạ</t>
  </si>
  <si>
    <t>Dạ, là công dân thì phải tuân thủ, vì không có phương án khác ạ</t>
  </si>
  <si>
    <t>Tôi tin rằng Nhà nước, cơ quan thuế có đủ khả năng và công nghệ để phát hiện, xử lý nghiêm các hành vi trốn thuế.</t>
  </si>
  <si>
    <t>So với trước đây, tôi thấy cách tính thuế và các bậc thuế trong phương án mới đơn giản, dễ hiểu và dễ thực hiện hơn.</t>
  </si>
  <si>
    <t>Tôi thấy Nhà nước đã giải thích rõ ràng, minh bạch về lý do và mục tiêu của việc sửa đổi thuế lần này.</t>
  </si>
  <si>
    <t>Tôi tin rằng Nhà nước, cơ quan thuế có đủ khả năng và công nghệ để phát hiện, xử lý nghiêm các hành vi trốn thuế</t>
  </si>
  <si>
    <t>So với trước đây, tôi thấy cách tính thuế và các bậc thuế trong phương án mới đơn giản, dễ hiểu và dễ thực hiện hơn</t>
  </si>
  <si>
    <t>Tôi tin rằng nếu đã có Luật thì ai muốn trốn sẽ có cách lách để k bị phát hiện; Do họ có thể truy thu dựa vào dòng tiền ra vào tài khoản</t>
  </si>
  <si>
    <t>Dù quy định quản lý thuế hiện nay đã được cải thiện nhưng vẫn còn tham nhũng và kẽ hở cho hành vi gian lận, giảm điểm 2</t>
  </si>
  <si>
    <t>Vì tham nhũng, nhũng nhiễu</t>
  </si>
  <si>
    <t>Khả năng phát hiện trốn thuế phụ thuộc nhiều vào sự giám sát của cơ quan thuế, nhưng vẫn còn có kẽ hở, giảm điểm 3</t>
  </si>
  <si>
    <t>Vì hệ thống và luật định còn mơ hồ, nhiều kẽ hỡ</t>
  </si>
  <si>
    <t>Hệ thống khai báo và làm việc với cơ quan thuế đã đơn giản hơn so với trước, cải thiện đáng kể, tăng điểm 4</t>
  </si>
  <si>
    <t>Quy trình đơn giản hơn, nhưng hệ thống vẫn chưa kiện toàn, nhân sự chưa sắp xếp ổn</t>
  </si>
  <si>
    <t>Biểu thuế mới rõ ràng hơn nhưng vẫn có nhiều bậc thuế, giảm độ phức tạp so với trước nên tăng điểm 3</t>
  </si>
  <si>
    <t>Không khác lắm</t>
  </si>
  <si>
    <t>Tôi tin rằng cơ quan thuế sẽ công tâm trong việc thực thi chính sách mới, nhưng mức thuế cao và lạm phát vẫn là vấn đề, giảm điểm 2</t>
  </si>
  <si>
    <t>Với tôi, thuế vẫn đang nắm trên những người tầng lớp trung lưu, làm công ăn lương</t>
  </si>
  <si>
    <t>Mức thuế mới không còn quá nặng so với thu nhập của tôi, nhưng vẫn cao hơn nhiều so với mặt bằng chung trong khu vực, giảm điểm 3</t>
  </si>
  <si>
    <t>Mức bắt đầu đóng thuế ở mỗi mức quá cao so với mặt bằng chung trong khu vực</t>
  </si>
  <si>
    <t>Tôi tin số tiền thuế đóng sẽ được sử dụng hiệu quả cho dịch vụ công, nhưng mức thuế hiện tại còn quá cao so với khả năng chi trả</t>
  </si>
  <si>
    <t>Tham nhũng, không minh bạch,</t>
  </si>
  <si>
    <t>Cơ quan thuế đã giải thích rõ ràng về chính sách mới và mục tiêu, nhưng vẫn có sự đa nghi vì tham nhũng và không minh bạch</t>
  </si>
  <si>
    <t>Đã giải thích nhưng không thuyết phục, chủ yếu là thiếu data support cho việc ra quyết định</t>
  </si>
  <si>
    <t>Tôi ủng hộ chính sách mới vì giảm trừ gia cảnh tăng mạnh và mức thuế đơn giản hơn, nhưng mức thuế hiện tại vẫn quá cao</t>
  </si>
  <si>
    <t>Tôi tuân thủ, nhưng với tôi mức thuế hiện tại đang đóng quá cao, trong khi lạm phát đang phi mã</t>
  </si>
  <si>
    <t>Do kinh nghiệm cá nhân, tôi cho rằng với hệ thống quản lý thuế hiện tại vẫn còn nhiều kẽ hở để gian lận. Việc phát hiện và xử lý nghiêm các hành vi trốn thuế phụ thuộc vào sự quyết tâm của cơ quan chức năng.</t>
  </si>
  <si>
    <t>Như đã đề cập, tôi không tin rằng Nhà nước có đủ khả năng phát hiện mọi trường hợp gian lận. Công nghệ quản lý thuế cần được cải thiện hơn nữa để đảm bảo công bằng.</t>
  </si>
  <si>
    <t>Quy trình khai báo thuế đã đơn giản hơn, nhưng việc thực hiện vẫn còn gặp nhiều khó khăn do thiếu nhân sự và hệ thống chưa hoàn thiện.</t>
  </si>
  <si>
    <t>Biểu thuế được đơn giản hóa từ 7 bậc xuống 5 bậc, giúp tôi dễ dàng hiểu và tính toán hơn. Tuy nhiên, việc áp dụng các mức thuế mới vẫn còn phức tạp đối với một số người.</t>
  </si>
  <si>
    <t>Tôi tin rằng Nhà nước sẽ công bằng trong việc thực thi chính sách mới, nhưng sự minh bạch về cách sử dụng số tiền thuế thu được cần được cải thiện hơn nữa.</t>
  </si>
  <si>
    <t>Mức thuế mới đã giảm so với trước đây. Tuy nhiên, mức bắt đầu chịu thuế vẫn khá cao đối với tôi và những người có thu nhập tương tự.</t>
  </si>
  <si>
    <t>Tôi tin rằng số tiền thuế đóng sẽ được sử dụng hiệu quả để cải thiện dịch vụ công. Tuy nhiên, việc này cần được minh bạch hơn để tăng niềm tin của người dân.</t>
  </si>
  <si>
    <t>Nhà nước đã giải thích rõ ràng về mục tiêu của chính sách mới, nhưng tôi vẫn nghi ngờ về khả năng thực hiện và hiệu quả sử dụng ngân sách thuế thu được.</t>
  </si>
  <si>
    <t>Dù mức thuế mới đã giảm, nhưng với lạm phát cao, tôi cho rằng mức thuế hiện tại vẫn quá cao đối với thu nhập của tôi. Tuy nhiên, tôi sẽ tuân thủ vì lợi ích chung.</t>
  </si>
  <si>
    <t>Vì tham nhũng, nhũng nhiễu; việc thực thi pháp luật còn mơ hồ nhiều kẽ hỡ</t>
  </si>
  <si>
    <t>Do hệ thống và công nghệ chưa hoàn thiện, khả năng phát hiện trốn thuế vẫn hạn chế</t>
  </si>
  <si>
    <t>Quy trình đơn giản hơn nhưng thực tế việc làm thủ tục với cơ quan thuế vẫn còn nhiều khó khăn</t>
  </si>
  <si>
    <t>Biểu thuế mới rõ ràng hơn, nhưng mức thuế cao so với lạm phát</t>
  </si>
  <si>
    <t>Công bằng trong việc thực thi chưa cao do tham nhũng</t>
  </si>
  <si>
    <t>Mức thuế mới là hợp lý nhưng không thuyết phục vì thiếu data hỗ trợ</t>
  </si>
  <si>
    <t>Số tiền thuế đóng sẽ được sử dụng hiệu quả trong cải thiện dịch vụ công</t>
  </si>
  <si>
    <t>Nhà nước đã giải thích về mục tiêu nhưng chưa thuyết phục</t>
  </si>
  <si>
    <t>Tác động tài chính tốt, giảm được tiền thuế nên ủng hộ và tuân thủ</t>
  </si>
  <si>
    <t>Vì tham nhũng, nhũng nhiễu và hệ thống thuế vẫn còn mơ hồ, nhiều kẽ hở cho hành vi gian lận.</t>
  </si>
  <si>
    <t>Hệ thống vẫn chưa kiện toàn, nhân sự chưa sắp xếp ổn định do thay đổi lớn</t>
  </si>
  <si>
    <t>Quy trình đơn giản hơn so với trước đây, nhưng không hoàn toàn tiện lợi vì thiếu chuẩn hóa trong hệ thống thuế.</t>
  </si>
  <si>
    <t>Biểu thuế được đơn giản hóa, dễ hiểu và thực hiện thuận lợi hơn</t>
  </si>
  <si>
    <t>Với mức thu nhập cao, tôi vẫn thấy thuế đang nắm trên người trung lưu. Mức giảm trừ chưa đủ để mọi người đều cảm thấy công bằng.</t>
  </si>
  <si>
    <t>Mức thuế mới không phản ánh đúng tình hình thực tế và có thể bị coi là cao so với mặt bằng chung</t>
  </si>
  <si>
    <t>Tôi tin số tiền thuế đóng sẽ được sử dụng hiệu quả, nhưng cần minh bạch hơn về cách sử dụng khoản thu này.</t>
  </si>
  <si>
    <t>Công bố lý do và mục tiêu của việc sửa đổi thuế chưa thuyết phục hoàn toàn</t>
  </si>
  <si>
    <t>Tôi tuân thủ vì mức giảm trừ gia cảnh tăng nhưng vẫn thấy mức thuế cao, trong khi lạm phát đang phi mã.</t>
  </si>
  <si>
    <t>Do kinh nghiệm của tôi, tham nhũng và nhũng nhiễu vẫn còn phổ biến trong hệ thống quản lý thuế hiện tại, việc phát hiện trốn thuế vẫn còn khó khăn.</t>
  </si>
  <si>
    <t>Dù cơ quan thuế có công nghệ mới, nhưng quy trình quản lý thuế vẫn chưa hoàn thiện và nhân sự cũng chưa được sắp xếp ổn định.</t>
  </si>
  <si>
    <t>Quy trình khai báo và làm việc với cơ quan thuế đơn giản hơn so với trước đây, nhưng hệ thống vẫn còn nhiều kẽ hở để cải thiện.</t>
  </si>
  <si>
    <t>Bậc thuế mới đơn giản hóa quy trình tính toán, nhưng mức thuế hiện tại tôi thấy vẫn quá cao so với thu nhập thực tế của mình.</t>
  </si>
  <si>
    <t>Tôi tin rằng Nhà nước sẽ cố gắng công bằng trong việc thực thi chính sách mới, song do thiếu minh bạch nên còn nhiều điều chưa thuyết phục.</t>
  </si>
  <si>
    <t>Mức thuế mới tôi thấy vẫn quá cao so với thu nhập của mình, và lạm phát đang tăng cao khiến mức thuế trở nên bất công.</t>
  </si>
  <si>
    <t>Tôi tin rằng số tiền thuế đóng sẽ được sử dụng hiệu quả cho dịch vụ công, nhưng do mức thuế quá cao nên sự tin tưởng bị giảm đi.</t>
  </si>
  <si>
    <t>Dù Nhà nước đã giải thích rõ mục tiêu của việc sửa đổi thuế, nhưng do tham nhũng và thiếu minh bạch, tôi vẫn nghi ngờ về tính công bằng của chính sách mới.</t>
  </si>
  <si>
    <t>Sau khi xem xét tác động tài chính tích cực từ việc giảm thuế, tuy nhiên mức thuế hiện tại tôi thấy vẫn quá cao nên chưa sẵn lòng ủng hộ hoàn toàn.</t>
  </si>
  <si>
    <t>Nếu Nhà nước số hóa dần, nộp thuế trên ETax thì và có barem cụ thể thì khả năng gian lận sẽ giảm xuống, tuy nhiên có thể đang trong quá trình làm nên vẫn cần thêm thời gian; tôi không tin tưởng nhiều vào việc này do lịch sử của nhà nước trong vấn đề công nghệ.</t>
  </si>
  <si>
    <t>Nếu Nhà nước số hóa dần, nộp thuế trên ETax thì và có barem cụ thể thì khả năng gian lận sẽ giảm xuống, tuy nhiên có thể đang trong quá trình làm nên vẫn cần thêm thời gian.</t>
  </si>
  <si>
    <t>Tôi nghĩ rằng Nhà nước và cơ quan thuế có đủ khả năng để phát hiện và xử lý các hành vi trốn thuế, nhưng vẫn cần thời gian để hoàn thiện hệ thống; mức độ tin tưởng còn thấp hơn ENF1.</t>
  </si>
  <si>
    <t>Tôi có lòng tin chưa cao lắm với Nhà nước trong nhiều vấn đề, trong đó có vấn đề công nghệ.</t>
  </si>
  <si>
    <t>So với trước đây, quy trình khai báo thuế trên ETax đã dễ dàng và tiện lợi hơn nhiều; việc đơn giản hóa biểu thuế cũng giúp tôi hiểu rõ cách tính thuế hơn.</t>
  </si>
  <si>
    <t>Cái này thì tôi thấy có cải thiện, do 2 năm khai thuế bằng ETax thì tiện hơn.</t>
  </si>
  <si>
    <t>Các bậc thuế mới có ít bậc hơn nên cách tính thuế trở nên rõ ràng và dễ thực hiện hơn, nhưng vẫn giữ được tính logic của trước đây.</t>
  </si>
  <si>
    <t>Tôi thấy logic cơ bản thì ko khác gì, chỉ điều chỉnh mốc con số nên về tính đơn giản, dễ hiểu, dễ thực hiện thì vẫn không thay đổi, nhưng cách tính thì vẫn khá dễ hiểu.</t>
  </si>
  <si>
    <t>Tôi tin rằng Nhà nước sẽ công tâm trong việc thực thi chính sách, nhưng mức độ tin tưởng chung về dịch vụ công của nhà nước ở mức trung bình đến thấp.</t>
  </si>
  <si>
    <t>Tôi ko có cơ sở nào nhưng lòng tin thì ở mức trung bình khá.</t>
  </si>
  <si>
    <t>Với mức giảm trừ gia cảnh cao hơn và thu nhập hàng tháng dưới ngưỡng chịu thuế, tôi thấy rằng mức thuế mới là hợp lý cho thu nhập hiện tại của mình.</t>
  </si>
  <si>
    <t xml:space="preserve">Tôi thấy điều chỉnh theo hướng cải thiện nên vẫn ok. </t>
  </si>
  <si>
    <t>Tôi tin tưởng rằng số tiền thuế đóng sẽ được sử dụng hiệu quả để cải thiện các dịch vụ công, nhưng mức độ tin tưởng còn phụ thuộc vào hiệu quả thực tế trong việc sử dụng ngân sách.</t>
  </si>
  <si>
    <t>Tôi không tin tưởng việc này, nhìn thấy dịch vụ và hàng hóa công ở mức trung bình đến tệ.</t>
  </si>
  <si>
    <t>Nhà nước đã giải thích rõ ràng về mục tiêu của chính sách mới, mặc dù tôi vẫn có một chút nghi ngờ về cách họ sẽ thực hiện nó.</t>
  </si>
  <si>
    <t>Tôi thấy cũng có chia sẻ, truyền thông báo chí về việc này nên cũng tạm ok.</t>
  </si>
  <si>
    <t>Tôi ủng hộ vì nhìn chung mức thuế suất có điều chỉnh tốt hơn; vấn đề còn lại là Nhà nước dùng thuế hiệu quả đến đâu thôi. Với mức thu nhập và giảm trừ gia cảnh mới, tôi không phải nộp thuế nên tôi thấy chính sách này có lợi cho mình.</t>
  </si>
  <si>
    <t>Tôi ủng hộ vì nhìn chung mức thuế suất có điều chỉnh tốt hơn; vấn đề còn lại là Nhà nước dùng thuế hiệu quả đến đâu thôi.</t>
  </si>
  <si>
    <t>Điều chỉnh mức thuế và giảm trừ gia cảnh tốt lên nhưng tôi vẫn chưa hoàn toàn tin tưởng vào khả năng quản lý của Nhà nước về việc phát hiện gian lận.</t>
  </si>
  <si>
    <t>Nhà nước có thể đã cải thiện công nghệ để giám sát thuế nhưng tôi không chắc chắn về mức độ hiệu quả.</t>
  </si>
  <si>
    <t>Khai thuế điện tử đã đơn giản hơn nhiều, thủ tục cũng dễ dàng và nhanh chóng hơn. Điều này giúp quá trình nộp thuế trở nên tiện lợi hơn đối với người dân.</t>
  </si>
  <si>
    <t>So với trước đây, phương án mới có ít bậc thuế nhưng cách tính vẫn tương tự, không quá thay đổi về mặt đơn giản hóa.</t>
  </si>
  <si>
    <t>Tôi tin rằng Nhà nước sẽ cố gắng thực thi công bằng và khách quan với chính sách mới này, mặc dù tôi chưa hoàn toàn tin tưởng tuyệt đối.</t>
  </si>
  <si>
    <t>Mức thuế sau khi điều chỉnh phù hợp với thu nhập của tôi nên tôi thấy là công bằng. Tuy nhiên, mức độ sử dụng hiệu quả còn phụ thuộc vào cách quản lý của Nhà nước.</t>
  </si>
  <si>
    <t>Tôi tin rằng số tiền thuế đóng sẽ được dùng để cải thiện dịch vụ công nhưng chưa chắc chắn về mức độ hiệu quả cụ thể.</t>
  </si>
  <si>
    <t>Nhà nước đã giải thích rõ ràng về mục tiêu của chính sách mới, tuy nhiên tôi vẫn có một chút nghi ngờ về khả năng thực hiện.</t>
  </si>
  <si>
    <t>Chính sách mới này cải thiện đáng kể cho người dân nên tôi ủng hộ và sẽ tuân thủ. Tuy nhiên, tôi hy vọng rằng Nhà nước sẽ sử dụng thuế hiệu quả để phát triển đất nước.</t>
  </si>
  <si>
    <t>Tôi tin rằng việc Nhà nước số hóa và cải tiến hệ thống ETax sẽ giúp giảm gian lận, nhưng vẫn cần thời gian để hoàn thiện.</t>
  </si>
  <si>
    <t>Tôi không có lòng tin cao với các cơ quan nhà nước trong việc ứng dụng công nghệ, nên điểm này thấp.</t>
  </si>
  <si>
    <t>Thủ tục khai thuế bằng ETax đã đơn giản hơn so với trước đây, nhưng vẫn còn cần cải thiện.</t>
  </si>
  <si>
    <t>Bậc thuế được giảm từ 7 xuống 5, giúp việc tính toán dễ dàng hơn và hợp lý với thu nhập hiện tại của tôi.</t>
  </si>
  <si>
    <t>Tôi tin rằng Nhà nước sẽ thực thi chính sách một cách công bằng nhưng vẫn giữ mức độ nghi ngờ cao về hiệu quả quản lý.</t>
  </si>
  <si>
    <t>Thu nhập của tôi nay nằm ở bậc thuế thấp hơn, nên tôi thấy mức thuế mới là hợp lý đối với thu nhập hiện tại.</t>
  </si>
  <si>
    <t>Tôi tin số tiền thuế đóng sẽ được sử dụng hiệu quả để cải thiện dịch vụ công, nhưng vẫn giữ một phần nghi ngờ.</t>
  </si>
  <si>
    <t>Nhà nước đã giải thích rõ ràng về mục tiêu và lý do của việc sửa đổi thuế lần này.</t>
  </si>
  <si>
    <t>Tôi ủng hộ vì mức thuế mới thấp hơn so với trước đây, giúp tôi tiết kiệm được một khoản tiền đáng kể.</t>
  </si>
  <si>
    <t>Dù có cải tiến trong quản lý thuế, tôi vẫn giữ thái độ thận trọng với khả năng phát hiện gian lận. Hiện chưa có đủ thời gian để đánh giá hiệu quả.</t>
  </si>
  <si>
    <t>Tôi không hoàn toàn tin tưởng vào công nghệ và khả năng quản lý thuế của Nhà nước, nhưng vẫn mong rằng họ sẽ cải thiện.</t>
  </si>
  <si>
    <t>Quy trình khai thuế trực tuyến đã đơn giản hơn rất nhiều so với trước đây. Việc sử dụng ETax là bước tiến đúng đắn.</t>
  </si>
  <si>
    <t>Biểu thuế mới rõ ràng và dễ hiểu hơn, mức độ phức tạp giảm đi đáng kể từ 7 bậc xuống còn 5 bậc.</t>
  </si>
  <si>
    <t>Tôi tin rằng Nhà nước sẽ cố gắng thực thi chính sách một cách công bằng, nhưng lòng tin vẫn chưa hoàn toàn chắc chắn.</t>
  </si>
  <si>
    <t>Mức thuế mới giảm đi đáng kể so với trước đây. Với mức thu nhập của tôi, điều chỉnh này là hợp lý và công bằng.</t>
  </si>
  <si>
    <t>Giảm trừ gia cảnh cao hơn giúp tiết kiệm thuế cho người dân. Tuy nhiên, tôi vẫn lo ngại về cách sử dụng nguồn thu mới.</t>
  </si>
  <si>
    <t>Dịch vụ công còn nhiều hạn chế, nhưng thông qua truyền thông và minh bạch, tôi thấy Nhà nước có cố gắng cải thiện.</t>
  </si>
  <si>
    <t>Chính sách mới giảm gánh nặng thuế cho người dân. Tôi ủng hộ những thay đổi này để tạo điều kiện thuận lợi hơn trong việc nộp thuế.</t>
  </si>
  <si>
    <t>Tôi tin rằng việc tăng cường quản lý thuế và sử dụng công nghệ như ETax sẽ giúp phát hiện gian lận, nhưng vẫn cần thêm thời gian để thực thi hiệu quả.</t>
  </si>
  <si>
    <t>Nhà nước đã có khả năng và công nghệ để xử lý thuế nên tôi tin rằng họ sẽ thực hiện tốt các biện pháp quản lý.</t>
  </si>
  <si>
    <t>Hệ thống khai báo thuế qua ETax đã giúp việc nộp thuế trở nên dễ dàng hơn, mặc dù vẫn có một số thủ tục phức tạp.</t>
  </si>
  <si>
    <t>Số bậc thuế giảm đi và mức thu nhập chịu thuế tăng lên làm cho việc tính thuế trở nên đơn giản hơn, dễ hiểu hơn.</t>
  </si>
  <si>
    <t>Tôi tin rằng Nhà nước sẽ công bằng trong việc áp dụng chính sách mới vì có sự cải thiện về mức giảm trừ gia cảnh và bậc thuế.</t>
  </si>
  <si>
    <t>Mức thuế mà tôi phải đóng là hợp lý so với thu nhập của mình, do đó tôi thấy nó công bằng.</t>
  </si>
  <si>
    <t>Nhìn chung, tôi tin rằng số tiền thuế tôi đóng sẽ được sử dụng hiệu quả để cải thiện dịch vụ công</t>
  </si>
  <si>
    <t>Dịch vụ và thông tin về chính sách mới đã được giải thích rõ ràng, mặc dù tôi vẫn giữ một phần nghi ngờ với các cơ quan công quyền.</t>
  </si>
  <si>
    <t>Chính sách mới giúp giảm gánh nặng thuế cho người dân như tôi, nên tôi ủng hộ và sẽ tuân thủ</t>
  </si>
  <si>
    <t>Theo nhận định của tôi, áp lực từ cơ quan thuế đối với các hành vi gian lận hoặc trốn thuế chủ yếu đến từ cách triển khai thực thi quy định hơn là qui định chính nó. Dù có nhiều biện pháp như công nghệ và cross-check, nhưng không thể loại bỏ hoàn toàn rủi ro trốn thuế.</t>
  </si>
  <si>
    <t>Thực tế cơ quan thuế dễ dàng phát hiện hạng vi gian lận thuế không phải đến từ các qui định của Luật Thuế TNCN mà đến từ cách triển khai, tuyên truyền ở bước thực thi: áp dụng công nghệ, data cross - check,  thanh tra thuế, CQĐT .</t>
  </si>
  <si>
    <t>Nếu cơ quan thuế áp dụng các biện pháp như công nghệ, data cross-check hiệu quả hơn, khả năng phát hiện và xử lý nghiêm sẽ tăng. Tuy nhiên, thực tế vẫn còn phụ thuộc vào cách triển khai.</t>
  </si>
  <si>
    <t>Khuyến khích hành vi tiêu dùng cashless của cá nhân, siết chặt các giao dịch cash của hộ kinh doanh cá thể và DN</t>
  </si>
  <si>
    <t>Trang web của cơ quan thuế chưa hỗ trợ đầy đủ chức năng truy suất lịch sử hồ sơ, nhưng việc rút gọn bậc thuế có thể làm thủ tục đơn giản hơn. So với trước đây, tôi thấy có sự cải thiện.</t>
  </si>
  <si>
    <t>Trang web cau co quan thue vẫn chưa hỗ trợ chức năngtruy suất thông tin lịch sử về hồ sơ kê khai và nộp thúe cá nhân ( chỉ kiểm tra được các thông tin cơ bản, không thể hiênn chi tiết như Canada/ Mỹ)</t>
  </si>
  <si>
    <t>Bậc thuế từ 7 xuống còn 5 đã giảm độ phức tạp và dễ dàng tính toán hơn, nhưng việc không hỗ trợ truy suất lịch sử trên trang web vẫn là vấn đề cần cải thiện.</t>
  </si>
  <si>
    <t>Bậc tính thuế ít hơn --&gt; tính toán đơn giản hơn.</t>
  </si>
  <si>
    <t>Tôi tin rằng cơ quan thuế sẽ thực thi chính sách một cách công tâm, nhưng mức độ tuân thủ và hiệu quả sử dụng ngân sách còn phụ thuộc vào địa phương và ngành cụ thể.</t>
  </si>
  <si>
    <t>Không có cơ sở để tin việc này, vì hiện nay các loại dữ liệu để support cơ quan thuế kiểm tra việc tuân thủ thuế chưa đồng bộ giữa các địa phương và các ngành --&gt; nên nếu công dân nào làm trong lĩnh vực buộc phải tuân thủ thì tuân thủ, sống ở địa phương nào mà cơ quan thuế làm gắt hơn thi sẽ
nộp thuế đầy đủ hơn..</t>
  </si>
  <si>
    <t>Mức thuế mới phù hợp với thu nhập của tôi, nhưng do cơ chế thực thi không đồng bộ giữa các địa phương nên mức độ công bằng vẫn chưa hoàn hảo.</t>
  </si>
  <si>
    <t>Mức thuế hợp lý nhưng nói công bằng thì không hẳn, nhưu đã nói trên, tuỳ vào linh  vực và địa bàn sinh sống thì mức độ nộp thuế khác nhau ( do cơ quan thực thi quyết định)</t>
  </si>
  <si>
    <t>Thuế đóng góp vào dịch vụ công, nhưng việc sử dụng hiệu quả nguồn lực còn phụ thuộc vào nhiều yếu tố quản lý khác của nhà nước.</t>
  </si>
  <si>
    <t>Luật ngân sách của VN không phản ánh được điều này, đại biểu QH VN không có nhiều cơ hội để phản biện ngân sách QG một cách phù hợp</t>
  </si>
  <si>
    <t>Cơ quan thuế đã giải thích rõ ràng về chính sách mới, nhưng tôi vẫn có nghi ngờ về khả năng thực thi đồng bộ giữa các địa phương và ngành.</t>
  </si>
  <si>
    <t>Theo quy định của Luật Ban hành VB pháp luật, Bộ TC đã giải thích đầy đủ nhưng không thuyết phục.</t>
  </si>
  <si>
    <t>Chính sách cải cách thuế mang lại lợi ích tài chính cho tôi, giảm gánh nặng chi phí. Tôi sẽ tiếp tục tuân thủ vì nó phù hợp với thu nhập của tôi.</t>
  </si>
  <si>
    <t>Tôi không có cơ hội để không tuân thủ</t>
  </si>
  <si>
    <t>Dựa trên kinh nghiệm, tôi thấy cơ quan thuế có nhiều biện pháp để phát hiện hành vi gian lận thuế như áp dụng công nghệ và cross-check dữ liệu. Điều này tạo cảm giác an toàn cho người nộp thuế.</t>
  </si>
  <si>
    <t>Như đã đề cập, việc áp dụng công nghệ giúp cơ quan thuế dễ dàng phát hiện các hành vi gian lận hơn so với trước đây.</t>
  </si>
  <si>
    <t>Trang web của cơ quan thuế đã cải tiến và đơn giản hóa quy trình khai báo, tạo thuận lợi cho người nộp thuế.</t>
  </si>
  <si>
    <t>Biểu thuế được rút gọn từ 7 bậc xuống còn 5 bậc, giúp việc tính toán và thực hiện dễ dàng hơn nhiều.</t>
  </si>
  <si>
    <t>Tôi tin rằng cơ quan thuế sẽ thực thi chính sách một cách khách quan và công bằng, không phân biệt ai nộp bao nhiêu thuế.</t>
  </si>
  <si>
    <t>Mức thuế mới được giảm đáng kể so với trước đây, đặc biệt là mức thu nhập cao. Điều này cho thấy mức thuế hiện tại là hợp lý và công bằng đối với người có thu nhập như tôi.</t>
  </si>
  <si>
    <t>Thuế đóng góp vào cải thiện dịch vụ công, nhưng tôi cũng đồng ý rằng cơ quan thực thi quyết định mức độ nộp thuế khác nhau tại các địa phương và lĩnh vực.</t>
  </si>
  <si>
    <t>Bộ Tài chính đã giải thích rõ ràng về mục tiêu của việc sửa đổi, tuy nhiên, tôi vẫn cảm thấy có sự thiếu minh bạch ở một số điểm.</t>
  </si>
  <si>
    <t>Việc giảm thuế và đơn giản hóa quy trình làm cho tôi ủng hộ chính sách mới. Tuy nhiên, vẫn còn những vấn đề về minh bạch cần được cải thiện.</t>
  </si>
  <si>
    <t>Nói chung tôi đồng ý với nhận định này, vì các biện pháp quản lý thuế như công nghệ và thanh tra đã được cải thiện nhiều hơn trước đây.</t>
  </si>
  <si>
    <t>Có sự nâng cao rõ rệt về mặt kỹ thuật trong việc phát hiện trốn thuế. Tuy nhiên, tôi vẫn giữ một thái độ cẩn trọng vì còn phụ thuộc vào cách triển khai thực tế.</t>
  </si>
  <si>
    <t>So với trước đây, quá trình khai báo thuế và làm việc với cơ quan thuế đã trở nên tiện lợi hơn nhiều. Điều này góp phần nâng cao sự hài lòng của người nộp thuế.</t>
  </si>
  <si>
    <t>Biểu thuế đơn giản hơn, dễ hiểu hơn nhưng vẫn cần thêm thời gian để làm quen với các mức thuế mới.</t>
  </si>
  <si>
    <t>Tôi đồng ý rằng cơ quan thuế sẽ cố gắng thực thi công bằng. Mức thuế mới có thể coi là công bằng hơn so với trước đây.</t>
  </si>
  <si>
    <t>Nhìn chung, mức thuế mới này hợp lý cho thu nhập của tôi nhưng cần thời gian để thích nghi.</t>
  </si>
  <si>
    <t>Thuế đóng góp vào các dịch vụ công là điều tất yếu. Tôi tin rằng số tiền thuế tôi đóng sẽ được sử dụng hiệu quả.</t>
  </si>
  <si>
    <t>Nhà nước đã giải thích khá rõ ràng về mục tiêu và lý do của việc thay đổi thuế nhưng vẫn có một số điểm chưa thuyết phục hoàn toàn.</t>
  </si>
  <si>
    <t>Tôi ủng hộ chính sách mới vì nó phù hợp hơn với thực tế kinh tế cá nhân tôi. Tuy nhiên, tôi sẽ tiếp tục theo dõi để đảm bảo rằng những lợi ích được hưởng thực sự hiệu quả.</t>
  </si>
  <si>
    <t>Tôi đồng ý với nhận định rằng hành vi gian lận thuế khó phát hiện, vì thực tế, việc kiểm soát thuế chủ yếu dựa vào cách triển khai và áp dụng của cơ quan thuế.</t>
  </si>
  <si>
    <t>Tôi đồng ý với nhận định về khả năng của Nhà nước trong việc phát hiện gian lận thuế, nhưng vẫn tin rằng cần cải thiện hơn nữa về công nghệ và quy trình.</t>
  </si>
  <si>
    <t>Các thủ tục đơn giản hóa đã làm cho quá trình khai báo thuế dễ dàng hơn. Tuy nhiên, việc truy suất thông tin lịch sử trên web chưa thuận tiện như mong đợi.</t>
  </si>
  <si>
    <t>Biểu thuế ít bậc hơn và mức giảm trừ gia cảnh cao hơn đã làm cho quá trình tính thuế dễ hiểu hơn. Điều này giúp tôi không cảm thấy bối rối khi khai báo.</t>
  </si>
  <si>
    <t>Tôi tin rằng cơ quan thuế sẽ công bằng trong việc thực thi, nhưng vẫn lo ngại về sự bất đồng giữa các địa phương và ngành.</t>
  </si>
  <si>
    <t>Mức thuế mới phù hợp với thu nhập của tôi. Tuy nhiên, do mức độ tuân thủ khác nhau giữa các khu vực, tôi không hoàn toàn tin rằng nó công bằng cho tất cả mọi người.</t>
  </si>
  <si>
    <t>Thuế đóng góp vào sự cải thiện dịch vụ công. Tuy nhiên, do thiếu thông tin về cách sử dụng số tiền thuế, tôi có một chút lo ngại.</t>
  </si>
  <si>
    <t>Đã giải thích rõ ràng về mục tiêu sửa đổi thuế, nhưng tôi nghĩ cần làm rõ hơn về hiệu quả của việc thực thi chính sách mới.</t>
  </si>
  <si>
    <t>Tôi ủng hộ và tuân thủ chính sách mới vì lợi ích tài chính cá nhân. Tuy nhiên, tôi vẫn giữ một thái độ thận trọng đối với sự công bằng và hiệu quả của chính sách.</t>
  </si>
  <si>
    <t>Tôi cho rằng các quy định quản lý thuế hiện nay vẫn chưa đủ mạnh để phát hiện hành vi gian lận thuế, nhất là khi áp dụng công nghệ và data cross-check còn hạn chế. Cơ quan thuế thường tập trung vào các trường hợp rõ ràng hơn thay vì theo dõi toàn diện.</t>
  </si>
  <si>
    <t>Tuy nhiên, tôi đồng ý rằng cơ quan thuế có thể cải thiện khả năng phát hiện gian lận nếu được hỗ trợ bởi công nghệ tốt hơn và nguồn lực thích đáng. Tăng cường thực thi pháp luật sẽ giúp giảm thiểu hành vi trốn thuế.</t>
  </si>
  <si>
    <t>Các thủ tục khai báo thuế đã đơn giản hơn so với trước đây, nhưng vẫn còn một số vấn đề như chưa hỗ trợ truy suất lịch sử hồ sơ. Tuy nhiên, cải cách này làm việc làm việc với cơ quan thuế trở nên dễ dàng hơn.</t>
  </si>
  <si>
    <t>Biểu thuế mới đơn giản hơn và dễ hiểu hơn so với trước đây, đặc biệt là khi số bậc thuế được giảm từ 7 xuống còn 5. Điều này làm cho việc tính toán thuế trở nên dễ dàng hơn.</t>
  </si>
  <si>
    <t>Tôi tin rằng cơ quan thuế sẽ cố gắng thực thi chính sách một cách công bằng, nhưng vẫn có sự khác biệt về mức độ kiểm soát giữa các địa phương và ngành nghề. Điều này làm giảm niềm tin vào tính khách quan của việc áp dụng pháp luật.</t>
  </si>
  <si>
    <t>Mức thuế mới được tính toán dựa trên thu nhập, điều này đối với tôi là hợp lý vì mức thuế sẽ thay đổi theo thu nhập. Tuy nhiên, cần có sự minh bạch hơn về cách thức tính thuế để tăng thêm niềm tin vào hệ thống.</t>
  </si>
  <si>
    <t>Niềm tin của tôi vào việc số tiền thuế đóng sẽ được sử dụng hiệu quả để cải thiện dịch vụ công vẫn còn hạn chế. Cần có nhiều thông tin hơn về cách sử dụng nguồn thu từ thuế để tăng niềm tin.</t>
  </si>
  <si>
    <t>Nhà nước đã giải thích rõ ràng về mục tiêu của việc sửa đổi thuế, nhưng tôi cho rằng cần phải minh bạch hơn trong quá trình lập pháp và thực thi. Điều này sẽ làm tăng niềm tin vào tính minh bạch.</t>
  </si>
  <si>
    <t>Tôi ủng hộ chính sách mới vì mức giảm trừ gia cảnh và số bậc thuế đơn giản đã giúp tiết kiệm được một khoản tiền đáng kể mỗi tháng, nhưng vẫn giữ mức thuế hợp lý. Tôi sẽ tuân thủ theo các quy định mới.</t>
  </si>
  <si>
    <t>25 - 29</t>
  </si>
  <si>
    <t>Hiện nay, mức giảm trừ gia cảnh cao hơn thu nhập nên tôi không phải đóng thuế. Tuy nhiên, quy định quản lý thuế hiện tại chưa có biện pháp chế tài rõ ràng, dẫn đến việc gian lận dễ dàng.</t>
  </si>
  <si>
    <t>Quy định hiện nay chưa có biện pháp chế tài cũng như kiểm soát được giao dịch dòng tiền của cá nhân có phải là thu nhập hay không.
Chưa có quy định cụ thể thu nhập từ tiền lương, tiền công phải bắt buộc chuyển khoản qua tài khoản ngân hàng công ty, dẫn đến thu nhập thực tế cao hơn so với mức công ty kê khai.</t>
  </si>
  <si>
    <t>Dù Nhà nước và cơ quan thuế có khả năng phát hiện hành vi trốn thuế nhưng quy trình thực thi còn thiếu đồng bộ và chưa đầy đủ chức năng trên app Etax mobile.</t>
  </si>
  <si>
    <t>Đồng ý vì Nhà nước và cơ quan thuể có đủ công cụ để thực thi.</t>
  </si>
  <si>
    <t>Thủ tục khai báo thuế đơn giản hơn trước, tuy nhiên việc làm việc với cơ quan thuế vẫn chưa hoàn toàn thuận tiện do quy trình phân cấp, phân quyền chưa đồng bộ.</t>
  </si>
  <si>
    <t>Hiên nay, đang khuyến khích, triển khai cá nhân sử dụng app Etax mobile để thực hiện việc nộp thuế, hoàn thuế thu nhập cá nhân. Tuy nhiên, hiện tại app vẫn chưa đầy đủ chức năng (kê khai thuế, thay đổi thông tin cá nhân, hủy mã số thuế không đúng, đăng ký người phụ thuộc,...) để đảm bảo thực hiện các thủ tục, thao tác so với trang thuedientucanhan của Cục Thuế.
Do quy định phân cấp, phân quyền nên chưa được đồng bộ quy trình đối với cùng cấp thuế (Thuế cơ sở,...). Đơn vị thì làm việc trực tiếp, đơn vị làm việc qua zalo, mail, điện thoại, đơn vị chỉ làm việc trên hệ thống mà không có thông tin cán bộ quản lý thuế, gây khó khăn trong việc xử lý.</t>
  </si>
  <si>
    <t>Biểu thuế đã đơn giản hóa nhưng cách tính thuế vẫn phức tạp, đòi hỏi người nộp thuế phải hiểu rõ các bậc thuế mới.</t>
  </si>
  <si>
    <t xml:space="preserve">Chỉ thay đổi bậc thuế, đối với cách tính, cách thực hiện vẫn như cũ. </t>
  </si>
  <si>
    <t>Nhà nước đang triển khai nhiều chính sách bao trùm và tôi thấy mình đóng thuế ít hơn so với trước đây, nên có niềm tin vào sự công bằng trong việc thực thi chính sách.</t>
  </si>
  <si>
    <t>Đồng ý vì Nhà nước đang triển khai các chính sách bao trùm.</t>
  </si>
  <si>
    <t>Mức giảm trừ gia cảnh cao hơn thu nhập nên mức thuế tôi phải đóng là hợp lý. Tôi đồng ý vì Nhà nước đang triển khai nhiều dự án mang lại lợi ích cho người dân.</t>
  </si>
  <si>
    <t>Đồng ý. Tôi cảm thấy mình đóng thuế ít hơn so với trước đây.</t>
  </si>
  <si>
    <t>Tôi tin số tiền thuế tôi đóng sẽ được sử dụng hiệu quả để cải thiện dịch vụ công, như y tế và đường xá.</t>
  </si>
  <si>
    <t>Đồng ý vì Nhà nước đang triển khai nhiều dự án, công trình mang lại lợi ích cho người dân.</t>
  </si>
  <si>
    <t>Nhà nước đã giải thích rõ ràng về mục tiêu của việc sửa đổi chính sách thuế lần này. Các thông tin này được truyền thông rộng rãi qua báo đài.</t>
  </si>
  <si>
    <t>Đồng ý. Thông tin đã được truyền thông rộng rãi qua báo đài.</t>
  </si>
  <si>
    <t>Dù quy định quản lý thuế còn bất cập nhưng tôi ủng hộ và tuân thủ chính sách mới vì lợi ích chung cho cộng đồng.</t>
  </si>
  <si>
    <t>Đồng ý. Vì đó là nghĩa vụ của công dân và tôi tin chính sách mới tốt hơn nên sẽ tuân theo.</t>
  </si>
  <si>
    <t>Thuế hiện nay không có biện pháp chế tài rõ ràng, việc theo dõi giao dịch cũng chưa hiệu quả nên vẫn có nguy cơ trốn thuế.</t>
  </si>
  <si>
    <t>Công nghệ và hệ thống quản lý thuế đã tiến bộ nhưng chưa đồng bộ giữa các cấp, gây khó khăn trong thực thi.</t>
  </si>
  <si>
    <t>App Etax có nhiều cải thiện nhưng vẫn còn thiếu chức năng quan trọng như thay đổi thông tin cá nhân.</t>
  </si>
  <si>
    <t>Bậc thuế giảm từ 7 xuống 5, dễ hiểu hơn nhưng cách tính và quy trình thực hiện chưa có nhiều thay đổi.</t>
  </si>
  <si>
    <t>Tôi tin Nhà nước sẽ công bằng trong việc quản lý thuế nhưng vẫn nghi ngờ về sự đồng bộ giữa các cấp.</t>
  </si>
  <si>
    <t>Thuế mới giảm trừ gia cảnh nhiều hơn, tôi cảm thấy công bằng hơn so với trước đây.</t>
  </si>
  <si>
    <t>Đồng ý vì thuế mới giúp cải thiện chất lượng dịch vụ công và tạo ra môi trường kinh doanh tốt hơn.</t>
  </si>
  <si>
    <t>Nhà nước đã giải thích rõ mục tiêu của chính sách mới, tôi tin họ sẽ thực hiện theo đúng cam kết.</t>
  </si>
  <si>
    <t>Sau khi xem xét giảm trừ gia cảnh nhiều hơn và cách tính thuế đơn giản hơn, tôi ủng hộ chính sách mới.</t>
  </si>
  <si>
    <t>Quy định hiện nay chưa có biện pháp chế tài cũng như kiểm soát được giao dịch dòng tiền của cá nhân có phải là thu nhập hay không. Điều này khiến hành vi gian lận hoặc trốn thuế trở nên phức tạp.</t>
  </si>
  <si>
    <t>Đồng ý vì Nhà nước và cơ quan thuế có đủ công cụ để thực thi nhưng chưa hoàn thiện.</t>
  </si>
  <si>
    <t>Hiện nay, khuyến khích sử dụng app Etax mobile nhưng chức năng còn hạn chế. Quy trình làm việc với cơ quan thuế vẫn phức tạp và không đồng bộ.</t>
  </si>
  <si>
    <t>Cách tính thuế đơn giản hơn nhưng quy định phân cấp, phân quyền chưa đồng bộ gây khó khăn trong quá trình thực hiện.</t>
  </si>
  <si>
    <t>Đồng ý vì Nhà nước đang triển khai các chính sách bao trùm. Tuy nhiên, vẫn còn nghi ngờ về khả năng thực thi một cách khách quan, công tâm.</t>
  </si>
  <si>
    <t>Mức thuế mới giảm hơn so với trước đây nên thấy mình đóng thuế ít hơn. Điều này làm tăng niềm tin vào tính công bằng của chính sách.</t>
  </si>
  <si>
    <t>Tin tưởng số tiền thuế đóng sẽ được sử dụng hiệu quả để cải thiện dịch vụ công nhưng còn lo ngại về khả năng quản lý và sử dụng.</t>
  </si>
  <si>
    <t>Đồng ý. Nhà nước đã giải thích rõ ràng, minh bạch về mục tiêu của việc sửa đổi thuế lần này</t>
  </si>
  <si>
    <t>Sau khi xem xét các quyền lợi và nghĩa vụ, ủng hộ chính sách mới hiện nay do mức giảm trừ gia cảnh cao hơn thu nhập.</t>
  </si>
  <si>
    <t>Hiện nay, quy định về thuế TNCN chưa có biện pháp chế tài và kiểm soát rõ ràng đối với giao dịch tiền lương, dẫn đến khó khăn trong phát hiện hành vi trốn thuế.</t>
  </si>
  <si>
    <t>Nhà nước đang có các công cụ để thực thi nhưng không đủ mạnh mẽ do thiếu chế tài và quy định cụ thể về giao dịch tiền lương qua tài khoản ngân hàng.</t>
  </si>
  <si>
    <t>App Etax mobile giúp việc khai báo thuế dễ dàng hơn, mặc dù vẫn còn hạn chế chức năng so với trang web chính thức của Cục Thuế.</t>
  </si>
  <si>
    <t>Biểu thuế mới đơn giản hóa các bậc thuế nhưng chưa thay đổi cách tính thuế và thủ tục phức tạp, chỉ có sự phân cấp trong quy trình làm việc với cơ quan thuế.</t>
  </si>
  <si>
    <t>Nhà nước đang cải thiện công bằng trong việc áp dụng chính sách thuế nhưng chưa thể kiểm soát được giao dịch tiền lương qua tài khoản ngân hàng.</t>
  </si>
  <si>
    <t>Mức giảm trừ gia cảnh cao hơn thu nhập của tôi nên không phải đóng thuế, điều này tạo cảm giác công bằng cho tôi.</t>
  </si>
  <si>
    <t>Thuế được sử dụng hiệu quả để cải thiện dịch vụ công như y tế và đường xá, mặc dù mức thuế vẫn còn thấp đối với thu nhập của tôi.</t>
  </si>
  <si>
    <t>Chính phủ đã giải thích rõ ràng về mục tiêu cải cách thuế nhưng chưa có nhiều thông tin cụ thể về hiệu quả sử dụng nguồn thu thuế.</t>
  </si>
  <si>
    <t>Dù còn một số điểm phức tạp nhưng tôi vẫn ủng hộ và tuân thủ chính sách mới vì mức giảm trừ gia cảnh cao và tạo cảm giác công bằng.</t>
  </si>
  <si>
    <t>Quy định hiện tại chưa có biện pháp chế tài cũng như kiểm soát được giao dịch dòng tiền của cá nhân, do đó việc phát hiện và xử lý hành vi gian lận hoặc trốn thuế còn hạn chế.</t>
  </si>
  <si>
    <t>Cơ quan thuế có đủ khả năng để phát hiện các hành vi gian lận nhưng thực tế chưa đầy đủ công cụ kiểm soát và chế tài, do đó mức độ tin tưởng thấp hơn so với mong đợi.</t>
  </si>
  <si>
    <t>Hiện nay, việc sử dụng app Etax mobile đã đơn giản hóa một số thủ tục nhưng vẫn còn hạn chế về chức năng và đồng bộ trong quy trình làm việc giữa các cơ quan thuế</t>
  </si>
  <si>
    <t>Các bậc thuế mới được đơn giản hóa, dễ hiểu hơn so với trước đây, giúp người dân dễ dàng tính toán.</t>
  </si>
  <si>
    <t>Tôi tin rằng Nhà nước sẽ thực thi chính sách một cách công bằng nhưng vẫn còn lo ngại về việc kiểm soát và xử lý gian lận thuế.</t>
  </si>
  <si>
    <t>Mức giảm trừ gia cảnh cao hơn so với thu nhập nên tôi không phải đóng thuế, điều này cho thấy mức thuế hiện nay là công bằng đối với người có thu nhập như tôi.</t>
  </si>
  <si>
    <t>Thuế của tôi sẽ được sử dụng hiệu quả để cải thiện các dịch vụ công, tuy nhiên vẫn cần thêm minh bạch hơn về cách sử dụng nguồn thuế.</t>
  </si>
  <si>
    <t>Nhà nước đã giải thích rõ ràng mục tiêu và lý do sửa đổi thuế lần này, tăng sự tin tưởng của tôi vào các chính sách mới.</t>
  </si>
  <si>
    <t>Tôi ủng hộ chính sách mới vì nó đơn giản hóa quy trình và giảm gánh nặng về thuế cho người dân.</t>
  </si>
  <si>
    <t>Theo thông tin, eTax đang liên thông dữ liệu giữa CQT, BHXH và tờ khai của DN khá tốt để đối chiếu cơ sở dữ liệu này. Điều này giúp giảm thiểu hành vi gian lận.</t>
  </si>
  <si>
    <t>Với thuế TNCN từ tiền lương, tiền công thì trước khi QH sửa đổi để cải cách biểu thuế, tình trạng gian lận đã rất ít xảy ra. Nếu như có thì chỉ ở đối tượng thuộc diện tự QTT trực tiếp với CQT, còn nếu QTT với công ty thì khó gian lận</t>
  </si>
  <si>
    <t>Có công nghệ hiện đại như eTax, tôi tin rằng Nhà nước có khả năng phát hiện và xử lý nghiêm các hành vi trốn thuế.</t>
  </si>
  <si>
    <t>eTax đang liên thông dữ liệu giữa CQT, BHXH và tờ khai của DN khá tốt để đối chiếu cơ sở dữ liệu này</t>
  </si>
  <si>
    <t>So với trước đây, quy trình khai báo thuế đơn giản hơn. Việc giảm bậc thuế cũng giúp việc tính toán dễ dàng hơn.</t>
  </si>
  <si>
    <t>Biểu thuế mới đơn giản hóa các bậc thuế và công thức tính, điều này làm cho quá trình tính thuế trở nên rõ ràng hơn.</t>
  </si>
  <si>
    <t>Tính thuế thì có công thức sẵn để tính, quan trọng là tính đúng hay sai</t>
  </si>
  <si>
    <t>Tôi tin rằng Nhà nước sẽ thực thi chính sách một cách khách quan vì lợi ích chung của người dân. Các mức giảm trừ gia cảnh đã được điều chỉnh phù hợp với thu nhập trung bình tại thành thị.</t>
  </si>
  <si>
    <t>Không nhận ra sự khác biệt giữa quan điểm thực thi của Luật sửa đổi này với trước đây</t>
  </si>
  <si>
    <t>Tôi thấy mức thuế mới là công bằng, vì nó phản ánh đúng mức thu nhập của tôi và các đồng nghiệp khác trong khu vực.</t>
  </si>
  <si>
    <t>Phần cập nhật GTGC và NPT đã có bậc tiệm cận với mức sống của thành thị</t>
  </si>
  <si>
    <t>Tôi tin rằng số tiền thuế đóng sẽ được sử dụng hiệu quả để cải thiện dịch vụ công như y tế, giáo dục và giao thông</t>
  </si>
  <si>
    <t>Đất nước đang vươn mình và chống tham nhũng, lãng phí. Thì tiền thuế đổ vào đầu tư công để phát triển đất nước cũng hợp lý</t>
  </si>
  <si>
    <t>Nhà nước đã giải thích rõ ràng về mục tiêu của việc sửa đổi biểu thuế lần này. Tôi cảm thấy họ đang cố gắng minh bạch hóa quy trình.</t>
  </si>
  <si>
    <t>Tranh luận rất sôi nổi trên báo chí và các diễn đàn MXH cả năm nay</t>
  </si>
  <si>
    <t>Tôi ủng hộ và tuân thủ chính sách mới vì lợi ích tài chính của tôi tăng lên và mức thuế mới phù hợp với thu nhập hiện tại của tôi.</t>
  </si>
  <si>
    <t>Không nhìn ra có khía cạnh nào chưa tốt ở biểu thuế luỹ tiến hết</t>
  </si>
  <si>
    <t>Theo tôi, cơ quan thuế đã cải thiện đáng kể khả năng phát hiện hành vi trốn thuế thông qua việc liên thông dữ liệu giữa các cơ quan. Tuy nhiên, vẫn còn một số rủi ro về gian lận.</t>
  </si>
  <si>
    <t>Cơ quan thuế đã cải thiện khả năng phát hiện và xử lý nghiêm minh hành vi trốn thuế thông qua eTax. Đây là một bước tiến lớn.</t>
  </si>
  <si>
    <t>So với trước đây, quá trình khai thuế trở nên đơn giản hơn nhờ việc rút gọn bậc thuế và công thức tính thuế rõ ràng.</t>
  </si>
  <si>
    <t>Phương án mới có các bậc thuế rõ ràng và dễ hiểu, giúp người dân dễ dàng nắm bắt quy trình tính thuế.</t>
  </si>
  <si>
    <t>Tôi tin rằng cơ quan thuế sẽ thực thi chính sách một cách công bằng, nhưng vẫn cần thêm thời gian để thấy kết quả.</t>
  </si>
  <si>
    <t>Mức thuế mới phù hợp với thu nhập của tôi và người dân thành thị. Đây là một cải tiến đáng giá.</t>
  </si>
  <si>
    <t>Tôi tin rằng số tiền thuế đóng sẽ được sử dụng hiệu quả để nâng cao chất lượng dịch vụ công cho cả xã hội.</t>
  </si>
  <si>
    <t>Nhà nước đã giải thích rõ ràng về mục tiêu và lý do của việc sửa đổi thuế lần này, tạo niềm tin cho người dân.</t>
  </si>
  <si>
    <t>Chính sách mới có lợi cho tôi và người dân thành thị. Tôi sẽ ủng hộ và tuân thủ chính sách này.</t>
  </si>
  <si>
    <t>Tôi đồng ý với quan điểm rằng việc cải cách biểu thuế đã giảm thiểu gian lận, và hệ thống eTax giúp phát hiện trốn thuế dễ dàng hơn.</t>
  </si>
  <si>
    <t>Cơ quan thuế đã cải thiện khả năng giám sát thông qua liên thông dữ liệu, tăng cường hiệu quả quản lý thuế.</t>
  </si>
  <si>
    <t>Quy trình khai thuế và tính thuế trở nên đơn giản hơn, thuận lợi cho người nộp thuế.</t>
  </si>
  <si>
    <t>Biểu thuế mới có ít bậc hơn, dễ hiểu và thực hiện nhanh chóng hơn so với trước đây.</t>
  </si>
  <si>
    <t>Tôi tin tưởng rằng cơ quan thuế sẽ công bằng trong việc áp dụng chính sách mới.</t>
  </si>
  <si>
    <t>Thuế mới được điều chỉnh phù hợp với thu nhập hiện tại, tôi thấy mức đóng là công bằng.</t>
  </si>
  <si>
    <t>Tôi tin rằng số tiền thuế sẽ được sử dụng hiệu quả để cải thiện dịch vụ công và hạ tầng cơ sở.</t>
  </si>
  <si>
    <t>Nhà nước đã giải thích rõ ràng về mục tiêu của chính sách mới, tôi cảm thấy minh bạch.</t>
  </si>
  <si>
    <t>Chính sách mới phù hợp với thu nhập và giảm trừ gia cảnh hiện tại, tôi ủng hộ và tuân thủ.</t>
  </si>
  <si>
    <t>Trước đây, tình trạng gian lận thuế đã giảm đáng kể, và eTax cũng liên thông tốt dữ liệu giữa các cơ quan, nên tôi tin rằng việc phát hiện hành vi trốn thuế sẽ không gặp nhiều khó khăn.</t>
  </si>
  <si>
    <t>Cơ quan thuế có hệ thống công nghệ như eTax giúp họ dễ dàng hơn trong việc kiểm soát và quản lý các giao dịch tài chính, từ đó phát hiện trốn thuế một cách hiệu quả.</t>
  </si>
  <si>
    <t>Việc đơn giản hóa quy trình khai báo thuế và liên thông dữ liệu giữa các cơ quan đã giúp thủ tục trở nên thuận tiện hơn cho người dân, giảm thời gian chờ đợi và rườm rà.</t>
  </si>
  <si>
    <t>Biểu thuế mới đơn giản với ít bậc hơn, dễ hiểu và thực hiện nhanh chóng hơn so với trước đây, giúp tôi không phải lo lắng nhiều về các vấn đề phức tạp trong việc tính thuế</t>
  </si>
  <si>
    <t>Mức giảm trừ gia cảnh và số bậc thuế mới đã phản ánh tốt hơn mức sống thực tế của người dân thành thị, tạo sự công bằng cho họ.</t>
  </si>
  <si>
    <t>Dựa trên các thay đổi về giảm trừ gia cảnh và bậc thuế suất, tôi thấy chính sách mới này là hợp lý đối với thu nhập như tôi</t>
  </si>
  <si>
    <t>Trong bối cảnh đất nước đang phát triển, đầu tư công vào các dịch vụ công có thể giúp cải thiện cuộc sống của người dân, do đó tôi tin rằng số thuế đóng góp sẽ được sử dụng hiệu quả</t>
  </si>
  <si>
    <t>Nhà nước đã giải thích rõ về mục tiêu và lý do của việc sửa đổi biểu thuế, tạo niềm tin cho người dân trong việc thực thi chính sách mới</t>
  </si>
  <si>
    <t>Sau khi xem xét tất cả các yếu tố trên, tôi ủng hộ và tuân thủ chính sách mới vì nó mang lại lợi ích cho người dân như tôi.</t>
  </si>
  <si>
    <t>Theo quan điểm của tôi, với sự liên thông dữ liệu giữa cơ quan thuế, BHXH và các DN như hiện nay, việc phát hiện gian lận sẽ dễ dàng hơn. Tuy nhiên, vẫn còn một số rủi ro nhỏ</t>
  </si>
  <si>
    <t>Nhà nước đã đầu tư công nghệ và hệ thống eTax để hỗ trợ quản lý thuế hiệu quả hơn, giảm thiểu khả năng gian lận</t>
  </si>
  <si>
    <t>So với trước đây, quy trình khai báo thuế trở nên đơn giản hơn nhiều. Việc liên thông dữ liệu giúp tôi nhanh chóng hoàn thiện hồ sơ</t>
  </si>
  <si>
    <t>Biểu thuế mới có ít bậc và công thức tính thuận tiện hơn, dễ dàng áp dụng trong thực tế</t>
  </si>
  <si>
    <t>Tôi tin rằng cơ quan thuế sẽ xử lý công bằng với mọi người nộp thuế. Tuy nhiên, việc cải cách này vẫn còn một số điểm chưa rõ ràng</t>
  </si>
  <si>
    <t>Mức giảm trừ gia cảnh và bảng thuế mới phù hợp với thu nhập của tôi, khiến tôi cảm thấy công bằng hơn</t>
  </si>
  <si>
    <t>Tôi tin rằng số tiền thuế đóng sẽ được sử dụng hiệu quả cho việc cải thiện hạ tầng và dịch vụ công</t>
  </si>
  <si>
    <t>Nhà nước đã giải thích rõ ràng về mục tiêu và lý do của chính sách mới, tuy nhiên vẫn còn một số khía cạnh chưa thuyết phục hoàn toàn</t>
  </si>
  <si>
    <t>Dựa trên các quyền lợi và nghĩa vụ cải thiện sau khi áp dụng thuế mới, tôi ủng hộ và tuân thủ chính sách này. Tuy nhiên, vẫn còn một số lo ngại về tính công bằng trong thực thi</t>
  </si>
  <si>
    <t>Tôi không hoàn toàn đồng ý. Dù cơ quan thuế có khả năng phát hiện và xử lý trốn thuế, nhưng thực tế vẫn chủ yếu dựa trên tự nguyện khai báo, dẫn đến nhiều rủi ro cho những người dễ bị lôi kéo bởi lợi ích vật chất.</t>
  </si>
  <si>
    <t>Quy định về quản lý thuế TNCN chưa có cơ chế thực thi và giám sát chặt. Ví dụ người lao động được người sử dụng lao động cho ESOP được yêu cầu phải nộp thuế khi bán cổ phiếu nhưng hoàn toàn dựa trên tự nguyện khai báo của người lao động và cũng chưa có cách thức để giám sát cổ phiếu được mua vào bán ra là cổ phiếu ESOP</t>
  </si>
  <si>
    <t>Tôi đồng ý. Việc sử dụng công nghệ như eTax giúp quá trình khai báo thuế trở nên thuận tiện hơn, giảm bớt thủ tục và rủi ro cho người nộp thuế.</t>
  </si>
  <si>
    <t>Nhà nước có khả năng phát hiện và xử lý hành vi trốn thuế nhưng chỉ là manual, case by case; chưa có tính hệ thống và truy vết theo batch. Đã biết nhiều case nhà nước có thể trực tiếp truy thu thuế từ tài khoản ngân hàng của người trốn thuế mà người trốn thuế chỉ biết khi đã bị trừ tiền. Tuy nhiên, tôi tin rằng đây là những trường hợp lọt vào tầm ngắm của cơ quan do giàu có, nổi tiếng, tố cáo</t>
  </si>
  <si>
    <t>Tôi thấy các quy định mới đơn giản hóa quy trình khai báo thuế, nhưng vẫn còn nhiều chi tiết cần làm rõ để thuận tiện hơn nữa. Ví dụ, cách tính thuế đối với một số trường hợp cụ thể chưa rõ ràng.</t>
  </si>
  <si>
    <t>Đồng ý, với ứng dụng eTax việc tra cứu thuế, nộp thuế thuận tiện bao gồm cả thuế kinh doanh, thuế bán tài sản, thuế trước bạ</t>
  </si>
  <si>
    <t>Chúng tôi có thể hiểu và áp dụng các bậc thuế mới dễ dàng hơn so với trước đây, do giảm bớt sự phức tạp. Tuy nhiên, việc thay đổi không hoàn toàn đồng nghĩa với việc đơn giản hóa mọi quy trình.</t>
  </si>
  <si>
    <t>chỉ thay đổi các tham số và bậc, cách tính ko thay đổi</t>
  </si>
  <si>
    <t>Tôi tin rằng cơ quan thuế sẽ thực thi chính sách một cách khách quan nhưng vẫn lo ngại về khả năng công khai và minh bạch trong quá trình quản lý thuế</t>
  </si>
  <si>
    <t>thay đổi tham số ko làm thay đổi các ứng xử của cơ quan thuế</t>
  </si>
  <si>
    <t>Thuế mới giảm, điều này làm cho tôi cảm thấy hợp lý hơn. Tuy nhiên, mức sống khác nhau giữa các vùng miền chưa được phản ánh đủ.</t>
  </si>
  <si>
    <t>tôi thấy phương án giảm trừ gia cảnh mới phù hợp hơn với thực tế đời sống nhưng vẫn chưa phản ánh đúng, đặc biệt là mức sống rất khác nhau theo vùng miền</t>
  </si>
  <si>
    <t>Tôi tin rằng số thuế thu được sẽ được sử dụng hiệu quả nhưng vẫn lo ngại về việc công khai và minh bạch trong quá trình sử dụng nguồn tài chính này</t>
  </si>
  <si>
    <t>tôi ko rõ tiền thuế được sử dụng như thế nào</t>
  </si>
  <si>
    <t>Nhà nước đã giải thích một cách tổng quát, nhưng chi tiết về lý do và mục tiêu cụ thể của việc sửa đổi thuế chưa đủ. Tuy nhiên, tôi ủng hộ việc giảm gánh nặng thuế cho người dân.</t>
  </si>
  <si>
    <t>tôi không tìm thấy nhiều thông tin về lý do và mục tiêu sửa đổi</t>
  </si>
  <si>
    <t>Chính sách mới có lợi hơn so với trước đây, nhưng vẫn cần cải thiện về mặt minh bạch và công khai. Tôi sẽ tuân thủ vì lợi ích cá nhân cũng như đóng góp chung cho xã hội.</t>
  </si>
  <si>
    <t>tôi đóng ít hơn nên tôi ủng hộ :)</t>
  </si>
  <si>
    <t>Cơ quan thuế chưa có khả năng truy cứu gian lận và trốn thuế hệ thống, chỉ dựa vào tự nguyện khai báo của người nộp thuế. Điều này khiến tôi không tin rằng hành vi gian lận sẽ dễ dàng bị phát hiện.</t>
  </si>
  <si>
    <t>Nguyên nhân giống như ENF1, nhà nước thiếu công cụ để truy cứu gian lận và trốn thuế hệ thống nên khả năng xử lý nghiêm các hành vi này không cao.</t>
  </si>
  <si>
    <t>Ứng dụng eTax giúp việc khai báo dễ dàng hơn, thủ tục cũng đơn giản hơn so với trước đây. Đây là một cải tiến đáng kể về mặt thuận tiện cho người nộp thuế.</t>
  </si>
  <si>
    <t>Các bậc thuế mới có số lượng ít hơn và rõ ràng hơn, dễ thực hiện hơn so với trước đây. Việc này giúp người dân hiểu rõ cách tính thuế của mình.</t>
  </si>
  <si>
    <t>Nhiều quy định quản lý thuế vẫn chưa công khai minh bạch nên tôi không tin rằng các quy định sẽ được thực thi một cách khách quan và công bằng đối với tất cả mọi người.</t>
  </si>
  <si>
    <t>Mức giảm trừ gia cảnh mới phù hợp hơn với thực tế đời sống, tuy nhiên vẫn chưa phản ánh đúng mức sống ở các khu vực khác nhau. Điều này làm tôi nghi ngờ tính công bằng của thuế.</t>
  </si>
  <si>
    <t>Tôi không biết rõ số tiền thuế mình đóng sẽ được sử dụng như thế nào, điều này khiến tôi không tin rằng chúng sẽ được sử dụng hiệu quả cho mục đích cải thiện dịch vụ công.</t>
  </si>
  <si>
    <t>Các thông tin về lý do và mục tiêu của việc sửa đổi thuế lần này chưa rõ ràng. Điều này làm giảm niềm tin của tôi vào tính minh bạch của quy định mới.</t>
  </si>
  <si>
    <t>Sau khi xem xét tác động tài chính, tôi tiết kiệm được một số tiền đáng kể và việc cải thiện về thuận tiện cũng khiến tôi ủng hộ chính sách mới. Tuy nhiên, sự nghi ngờ của tôi vẫn tồn tại đối với vấn đề quản lý thuế.</t>
  </si>
  <si>
    <t>Dựa trên kinh nghiệm, tôi cho rằng thực thi thuế hiện tại vẫn còn nhiều hạn chế. Việc phát hiện và xử lý gian lận trốn thuế chủ yếu dựa vào tố cáo và tự giác của người nộp thuế, không có hệ thống giám sát chặt chẽ.</t>
  </si>
  <si>
    <t>Việc sử dụng công nghệ eTax đã cải thiện đáng kể, nhưng vẫn chưa hoàn toàn hiệu quả. Việc xử lý gian lận trốn thuế chủ yếu dựa vào tố cáo cá nhân và không có hệ thống giám sát theo batch.</t>
  </si>
  <si>
    <t>Việc sử dụng eTax đã đơn giản hóa quy trình nộp thuế, đặc biệt là đối với những người quen thuộc với công nghệ. Tuy nhiên, vẫn còn nhiều thủ tục phức tạp cần cải thiện.</t>
  </si>
  <si>
    <t>Các bậc thuế mới đã đơn giản và dễ hiểu hơn so với trước đây, giúp giảm bớt sự phức tạp cho người nộp thuế.</t>
  </si>
  <si>
    <t>Tôi tin rằng Nhà nước sẽ thực thi chính sách một cách công bằng, nhưng vẫn còn nhiều yếu tố không chắc chắn về việc sử dụng nguồn thu từ thuế.</t>
  </si>
  <si>
    <t>Với mức giảm trừ gia cảnh và bậc thuế mới, tôi cho rằng mức đóng thuế đã trở nên hợp lý hơn, phản ánh đúng hơn tình hình thực tế.</t>
  </si>
  <si>
    <t>Tôi đồng ý với việc sử dụng nguồn thu từ thuế để cải thiện dịch vụ công, nhưng vẫn không biết cụ thể số tiền mình đóng sẽ được sử dụng như thế nào.</t>
  </si>
  <si>
    <t>Các lý do và mục tiêu của chính sách mới chưa được giải thích rõ ràng, khiến tôi có cảm giác thiếu minh bạch.</t>
  </si>
  <si>
    <t>Sau khi xem xét các quyền lợi và nghĩa vụ, tôi ủng hộ chính sách mới. Mức thuế giảm và đơn giản hóa quy trình nộp thuế đã mang lại nhiều thuận lợi cho người dân.</t>
  </si>
  <si>
    <t>Dựa trên thực tế, tôi vẫn nghi ngờ về khả năng phát hiện trốn thuế của cơ quan thuế. Các quy định quản lý thuế chưa có hệ thống và truy vết theo batch. Nghiêm trọng hơn là việc xử lý các trường hợp trốn thuế chủ yếu dựa vào tự nguyện khai báo.</t>
  </si>
  <si>
    <t>Tôi không tin rằng cơ quan thuế có đủ khả năng và công nghệ để phát hiện, xử lý nghiêm tất cả các hành vi trốn thuế. Nhiều trường hợp chỉ bị phát hiện khi người trốn thuế lọt vào tầm ngắm của cơ quan do giàu có, nổi tiếng.</t>
  </si>
  <si>
    <t>Ứng dụng eTax đã cải thiện đáng kể sự thuận tiện trong việc khai báo và nộp thuế. Tuy nhiên, quy trình làm việc với cơ quan thuế vẫn còn khá phức tạp và tốn thời gian.</t>
  </si>
  <si>
    <t>Cách tính thuế mới đơn giản hơn nhưng chưa thay đổi cách thức tính. Điều này giúp tôi dễ dàng hơn trong việc quản lý và xác định mức thuế phải nộp.</t>
  </si>
  <si>
    <t>Tôi tin rằng Nhà nước sẽ thực thi chính sách một cách công bằng, nhưng vẫn có nghi ngờ về cách sử dụng số tiền thuế thu được. Việc giải thích rõ ràng về mục tiêu của việc sửa đổi chưa đầy đủ.</t>
  </si>
  <si>
    <t>Mức giảm trừ gia cảnh mới phù hợp hơn với thực tế cuộc sống, nhưng vẫn chưa phản ánh đúng mức sống khác nhau giữa các vùng miền. Tôi đồng ý với phương án này vì nó giúp tôi đóng thuế ít hơn.</t>
  </si>
  <si>
    <t>Tôi tin rằng số tiền thuế tôi đóng sẽ được sử dụng hiệu quả để cải thiện dịch vụ công, nhưng chưa có thông tin cụ thể về cách thức sử dụng và hiệu quả đạt được.</t>
  </si>
  <si>
    <t>Nhà nước đã giải thích một cách tổng quát về mục tiêu của việc sửa đổi thuế, nhưng chi tiết về lý do cụ thể vẫn còn thiếu. Tuy nhiên, tôi ủng hộ các thay đổi vì nó giúp tôi đóng ít hơn.</t>
  </si>
  <si>
    <t>Tôi sẽ ủng hộ và tuân thủ chính sách mới vì nó giúp tôi tiết kiệm được một khoản tiền đáng kể mỗi tháng và đơn giản hóa quy trình làm việc với cơ quan thuế.</t>
  </si>
  <si>
    <t>Dựa trên trải nghiệm thực tế, tôi cho rằng các quy định về quản lý thuế chưa được thực thi chặt chẽ và hiệu quả. Các biện pháp giám sát hiện tại chủ yếu dựa vào tự nguyện khai báo của người dân, nên khả năng phát hiện trốn thuế vẫn còn hạn chế.</t>
  </si>
  <si>
    <t>Với sự phát triển của công nghệ số, việc phát hiện và xử lý trốn thuế có thể được cải thiện nhưng không đáng kể. Tuy nhiên, cơ quan thuế đã cố gắng áp dụng nhiều công cụ kỹ thuật để giám sát.</t>
  </si>
  <si>
    <t>Ứng dụng eTax đã giúp quy trình khai báo thuế trở nên thuận tiện hơn, giảm bớt thời gian và thủ tục. Tuy nhiên, các thay đổi về cấu trúc biểu thuế không ảnh hưởng nhiều đến sự thuận lợi của người dân.</t>
  </si>
  <si>
    <t>Các bậc thuế mới đơn giản hóa việc tính toán nhưng không thực sự thay đổi cách thức hoạt động. Việc áp dụng các tham số mới có thể giúp giảm bớt sự phức tạp đối với người dân.</t>
  </si>
  <si>
    <t>Tôi tin rằng cơ quan thuế sẽ thực hiện chính sách một cách công bằng nhưng không chắc chắn về việc kiểm soát và giám sát toàn diện. Việc tăng giảm trừ gia cảnh có thể giúp cải thiện sự công bằng.</t>
  </si>
  <si>
    <t>Dựa trên mức thu nhập của tôi, các thay đổi về thuế suất và giảm trừ gia cảnh là hợp lý nhưng chưa phản ánh đầy đủ thực tế cuộc sống. Mức thuế mới vẫn còn cao so với chi tiêu hàng ngày của tôi.</t>
  </si>
  <si>
    <t>Tôi không hoàn toàn tin rằng số tiền thuế đóng sẽ được sử dụng hiệu quả. Việc cải thiện dịch vụ công là mục tiêu quan trọng nhưng cần có thêm thông tin về cách sử dụng nguồn thu thuế.</t>
  </si>
  <si>
    <t>Những thay đổi về thuế đã được giải thích một phần, tuy nhiên tôi vẫn mong muốn có thêm thông tin chi tiết về mục tiêu chính xác của việc sửa đổi này. Việc minh bạch hơn sẽ tăng niềm tin.</t>
  </si>
  <si>
    <t>Tính từ góc độ tài chính, tôi sẽ ủng hộ vì giảm trừ gia cảnh mới giúp tôi tiết kiệm được tiền thuế. Tuy nhiên, do sự phức tạp và thiếu minh bạch, tôi vẫn có chút lo ngại về việc thực thi.</t>
  </si>
  <si>
    <t>Dù các quy định quản lý thuế hiện nay được sửa đổi chặt chẽ hơn, nhưng vẫn có thể chưa đủ mức kiểm soát 100% đối với hành vi gian lận tinh vi.</t>
  </si>
  <si>
    <t>Các quy định quản lý thuế hiện nay được sửa đổi chặt chẽ hơn, nhưng có thể chưa đủ mức kiểm soát 100% đối với hành vi gian lận tinh vi.</t>
  </si>
  <si>
    <t>Nhà nước, cơ quan thuế đang tăng cường khả năng và công nghệ để phát hiện, xử lý nghiêm các hành vi trốn thuế, nhưng vẫn chưa đủ mức phát hiện 100% đối với hành vi gian lận tinh vi.</t>
  </si>
  <si>
    <t>Nhà nước, cơ quan thuế đang tăng cường khả năng và công nghệ để phát hiện, xử lý nghiêm các hành vi trốn thuế, nhưng có thể chưa đủ mức phát hiện 100% đối với hành vi gian lận tinh vi.</t>
  </si>
  <si>
    <t>Các thủ tục chuyển từ trực tiếp sang trực tuyến thì nhanh chóng hơn. Nhưng vì các thủ tục kiểm soát được tăng cường nên không đơn giản hơn đối với cá nhân.</t>
  </si>
  <si>
    <t>Các thủ tục chuyển từ trực tiếp sang trực tuyến thì nhanh chóng hơn. Nhưng vì các thủ tục kiểm soát được tăng cường nên có thể không đơn giản hơn.</t>
  </si>
  <si>
    <t>So với trước đây, cách tính thuế và các bậc thuế trong phương án mới đơn giản, dễ hiểu và dễ thực hiện hơn. Điều này giúp giảm độ phức tạp cho người nộp thuế.</t>
  </si>
  <si>
    <t>Đối với riêng cá nhân thì tôi thấy dễ thực hiện hơn vì biểu thuế ít bậc hơn.</t>
  </si>
  <si>
    <t>Chính sách thuế của Nhà nước luôn có mục tiêu khách quan, công tâm và đối xử bình đẳng với mọi người nộp thuế. Tuy nhiên, do là cá nhân, tôi cũng nhận thấy có thiên kiến riêng.</t>
  </si>
  <si>
    <t>Chính sách thuế của Nhà nước luôn có mục tiêu khách quan, công tâm và đối xử bình đẳng với mọi người nộp thuế. Nhưng người thực thi là cá nhân, cũng giống như mọi công dân sẽ có thiên kiến riêng của mình.</t>
  </si>
  <si>
    <t>Mức thuế tôi phải đóng theo phương án mới được xem xét kỹ lưỡng và hợp lý so với thu nhập của tôi. So với biểu thuế cũ thì mức thuế mới được cải thiện đáng kể.</t>
  </si>
  <si>
    <t>Tôi thấy công bằng ở mức độ tương đối. Nếu so sánh với biểu thuế cũ thì biểu thuế mới được sửa đổi tốt hơn rồi.</t>
  </si>
  <si>
    <t>Tôi tin số tiền thuế tôi đóng sẽ được sử dụng hiệu quả để cải thiện dịch vụ công, nhưng việc đánh giá hiệu quả chưa có KPI rõ ràng để xem xét.</t>
  </si>
  <si>
    <t>Tôi nhận thấy Nhà nước đã nỗ lực sử dụng nhiều nguồn ngân sách để đầu tư công, phát triển cơ sở hạ tầng và cải thiện đời sống người dân gần đây trong năm 2025. Tuy nhiên, việc đánh giá hiệu quả chưa có KPI rõ ràng để xem xét.</t>
  </si>
  <si>
    <t>Nhà nước đã truyền thông minh bạch về lý do và mục tiêu của việc sửa đổi thuế lần này. Tuy nhiên, để nâng cao niềm tin, cần có thêm nhiều thông tin chi tiết hơn.</t>
  </si>
  <si>
    <t xml:space="preserve">Nhà nước đã truyền thông rõ ràng, minh bạch về lý do và mục tiêu của việc sửa đổi thuế lần này một cách tương đối. </t>
  </si>
  <si>
    <t>Tôi thấy chính sách mới có hướng sửa đổi tích cực so với trước đây nên ủng hộ và tuân thủ chính sách mới. Việc giảm thuế cho bản thân và người phụ thuộc giúp cải thiện mức sống.</t>
  </si>
  <si>
    <t>Tôi thấy chính sách mới có hướng sửa đổi tích cực so với trước đây nên ủng hộ và tuân thủ chính sách mới.</t>
  </si>
  <si>
    <t>Các quy định quản lý thuế hiện nay được sửa đổi chặt chẽ hơn, nhưng không thể kiểm soát 100% hành vi gian lận tinh vi. Điều này làm giảm độ tin cậy trong việc phát hiện và xử lý nghiêm các hành vi trốn thuế.</t>
  </si>
  <si>
    <t>Nhà nước, cơ quan thuế đang tăng cường khả năng và công nghệ để phát hiện, nhưng không thể phát hiện hoàn toàn các hành vi gian lận tinh vi. Điều này cũng làm giảm độ tin cậy.</t>
  </si>
  <si>
    <t>Thủ tục chuyển từ trực tiếp sang trực tuyến nhanh chóng hơn, dễ thực hiện hơn. Tuy nhiên, do các thủ tục kiểm soát được tăng cường nên không đơn giản hóa hoàn toàn so với trước đây.</t>
  </si>
  <si>
    <t>Biểu thuế mới có ít bậc hơn và dễ hiểu hơn. Điều này làm giảm độ phức tạp và giúp việc tính toán thuế trở nên dễ dàng hơn cho người dân.</t>
  </si>
  <si>
    <t>Nhà nước, cơ quan thuế sẽ thực thi chính sách một cách khách quan và công bằng, nhưng vẫn có thể tồn tại thiên kiến từ phía cá nhân thực thi. Điều này làm giảm độ tin cậy.</t>
  </si>
  <si>
    <t>Mức thuế mới được sửa đổi tốt hơn so với trước đây, người dân như tôi thấy mức thuế đóng là hợp lý. Tuy nhiên, vẫn chưa có KPI rõ ràng để đánh giá hiệu quả sử dụng ngân sách.</t>
  </si>
  <si>
    <t>Đóng góp của cá nhân vào cải thiện dịch vụ công là quan trọng, nhưng cần có KPI cụ thể để đánh giá hiệu quả sử dụng số tiền thuế. Điều này làm giảm độ tin cậy.</t>
  </si>
  <si>
    <t>Nhà nước đã giải thích rõ ràng về mục tiêu của việc sửa đổi thuế, nhưng vẫn chưa giải thích đầy đủ về chi tiết cụ thể hơn về các biện pháp thực thi. Điều này làm giảm độ tin cậy.</t>
  </si>
  <si>
    <t>Chính sách mới có hướng sửa đổi tích cực so với trước đây nên ủng hộ và tuân thủ, mặc dù vẫn còn nhiều vấn đề cần cải thiện.</t>
  </si>
  <si>
    <t>Dù các quy định quản lý thuế hiện nay được sửa đổi chặt chẽ hơn, nhưng tôi cho rằng chưa đủ mức kiểm soát 100% đối với hành vi gian lận tinh vi.</t>
  </si>
  <si>
    <t>Nhà nước, cơ quan thuế đang tăng cường khả năng và công nghệ để phát hiện, xử lý nghiêm các hành vi trốn thuế, nhưng tôi cho rằng chưa đủ mức phát hiện 100% đối với hành vi gian lận tinh vi.</t>
  </si>
  <si>
    <t>Các thủ tục chuyển từ trực tiếp sang trực tuyến thì nhanh chóng hơn, nhưng do các thủ tục kiểm soát được tăng cường nên có thể không đơn giản hơn. Tôi thấy dễ thực hiện hơn so với trước đây vì biểu thuế ít bậc hơn.</t>
  </si>
  <si>
    <t>So với biểu thuế cũ thì biểu thuế mới được đơn giản hóa, dễ hiểu và dễ thực hiện hơn. Mặc dù số bậc thuế giảm nhưng việc tính toán thuế vẫn cần sự cẩn trọng.</t>
  </si>
  <si>
    <t>Tôi tin rằng Nhà nước sẽ thực thi chính sách một cách khách quan, công tâm và đối xử bình đẳng với mọi người nộp thuế. Các quy định mới này hướng tới tính công bằng hơn.</t>
  </si>
  <si>
    <t>Mức thuế tôi phải đóng theo phương án mới được xem xét kỹ lưỡng, tôi cho rằng mức này là hợp lý so với thu nhập của mình và người dân cùng nhóm.</t>
  </si>
  <si>
    <t>Tôi tin số tiền thuế tôi đóng sẽ được sử dụng hiệu quả để cải thiện dịch vụ công. Nhà nước đã truyền thông rõ ràng về mục tiêu của việc sửa đổi thuế lần này, điều này làm tăng niềm tin của tôi.</t>
  </si>
  <si>
    <t>Nhà nước đã giải thích rõ ràng và minh bạch về lý do và mục tiêu của việc sửa đổi thuế lần này. Điều này làm tăng sự tin tưởng của tôi vào quyết định này.</t>
  </si>
  <si>
    <t>Tôi thấy chính sách mới có hướng sửa đổi tích cực so với trước đây, nên ủng hộ và tuân thủ chính sách mới.</t>
  </si>
  <si>
    <t>Đối với hành vi gian lận tinh vi, các quy định quản lý thuế hiện nay chưa đủ để phát hiện 100%. Tuy nhiên, tôi nhận thấy việc tăng cường khả năng và công nghệ của cơ quan thuế giúp giảm đáng kể tỷ lệ trốn thuế.</t>
  </si>
  <si>
    <t>Nhà nước đã tăng cường khả năng phát hiện và xử lý nghiêm các hành vi trốn thuế, nhưng vẫn chưa thể kiểm soát hoàn toàn do tính chất tinh vi của gian lận.</t>
  </si>
  <si>
    <t>Các thủ tục chuyển từ trực tiếp sang trực tuyến giúp việc khai báo thuế đơn giản và nhanh chóng hơn, nhưng số bậc thuế giảm đi cũng làm cho quy trình thực hiện dễ dàng hơn.</t>
  </si>
  <si>
    <t>Biểu thuế mới có ít bậc hơn, điều này làm cho cách tính thuế dễ hiểu và dễ thực hiện hơn so với biểu thuế cũ.</t>
  </si>
  <si>
    <t>Tôi tin rằng Nhà nước sẽ thực thi chính sách một cách công bằng và khách quan. Mặc dù có thể vẫn còn thiên kiến, nhưng tôi thấy sự cải thiện là rõ ràng.</t>
  </si>
  <si>
    <t>Các bậc thuế mới đã được điều chỉnh phù hợp với thu nhập của tôi, do đó mức thuế mới mà tôi phải đóng là công bằng.</t>
  </si>
  <si>
    <t>Tôi tin rằng số tiền thuế tôi đóng sẽ được sử dụng hiệu quả để cải thiện các dịch vụ công. Tuy nhiên, việc đánh giá hiệu quả của ngân sách vẫn chưa rõ ràng.</t>
  </si>
  <si>
    <t>Nhà nước đã truyền thông rõ ràng về mục tiêu và lý do của việc sửa đổi thuế lần này, điều này làm tăng niềm tin vào quyết định của họ.</t>
  </si>
  <si>
    <t>Sau khi xem xét các quyền lợi và nghĩa vụ mới, tôi ủng hộ và tuân thủ chính sách mới vì nó mang lại nhiều lợi ích hơn cho tôi.</t>
  </si>
  <si>
    <t>Dù các quy định quản lý thuế hiện nay được tăng cường, nhưng hành vi gian lận tinh vi vẫn có thể bị bỏ sót.</t>
  </si>
  <si>
    <t>Nhà nước đang đầu tư vào công nghệ để phát hiện trốn thuế, nhưng chưa chắc đã đủ để phát hiện toàn bộ các trường hợp trốn thuế tinh vi.</t>
  </si>
  <si>
    <t>So với trước đây, quy trình khai báo thuế trở nên đơn giản hơn và thuận tiện hơn khi chuyển sang trực tuyến.</t>
  </si>
  <si>
    <t>Biểu thuế mới có ít bậc hơn, dễ hiểu và thực hiện nhanh chóng hơn so với biểu thuế cũ.</t>
  </si>
  <si>
    <t>Tôi tin rằng Nhà nước sẽ công bằng trong việc thực thi chính sách thuế mới, nhưng vẫn có thể gặp vấn đề về thiên kiến của cá nhân người thực thi.</t>
  </si>
  <si>
    <t>Mức thuế tôi phải đóng theo phương án mới là hợp lý và công bằng cho thu nhập của tôi.</t>
  </si>
  <si>
    <t>Tôi tin rằng số tiền thuế tôi đóng sẽ được sử dụng hiệu quả để cải thiện dịch vụ công, mặc dù không có KPI cụ thể.</t>
  </si>
  <si>
    <t>Nhà nước đã giải thích rõ ràng về lý do và mục tiêu của việc sửa đổi thuế lần này.</t>
  </si>
  <si>
    <t>Chính sách mới có hướng cải thiện tích cực so với trước đây, tôi ủng hộ và sẽ tuân thủ.</t>
  </si>
  <si>
    <t>Công nghệ truy xuất và rà soát toàn bộ hoạt động kinh tế chưa phát triển, nhưng với thuế điện tử, khả năng phát hiện gian lận tăng. Tăng thuế đối với người nộp thuế là một biện pháp răn đe.</t>
  </si>
  <si>
    <t>Đô thị là nơi tập trung kinh tế, tại đó giao dịch thanh toán phần lớn bằng điện tử, các dấu vết dễ dàng truy xuất, lưu lại dấu vết. Hoá đơn cũng bắt buộc xuất điện tử. Chế tài xử phạt tăng, điều tra xử lý vi phạm trên diện rộng đã tăng tính răn đe.</t>
  </si>
  <si>
    <t>Công nghệ hiện đại giúp Nhà nước dễ dàng phát hiện và xử lý trốn thuế, nhưng nguồn lực thực thi pháp luật chưa đồng đều.</t>
  </si>
  <si>
    <t>Khi điều tra sẽ phát hiện, nhưng nguồn lực và công nghệ để rà soát toàn bộ hoạt động kinh tế ở giai đoạn hiện tại thì chưa</t>
  </si>
  <si>
    <t>So với trước đây, việc tính thuế đơn giản hơn nhiều, thuận tiện cho người nộp thuế.</t>
  </si>
  <si>
    <t>Ko biết do tôi chưa từng làm thủ tục</t>
  </si>
  <si>
    <t>Bậc thuế và biểu thuế mới dễ hiểu, việc tính toán thu nhập chịu thuế và thuế phải đóng trở nên rõ ràng hơn.</t>
  </si>
  <si>
    <t>Câu hỏi chưa rõ. Dễ tính - dễ thực hiện với ai? Với người làm ctac khấu trừ thuế hay với cơ quan nhà nước?nếu với người lao động bình thường thì do tôi ko tự đọc quy định, ko tự tính nên ko biết có dễ hiểu ko, tôi sẽ hỏi chat GPT hoặc các web và nhập số liệu chờ kết quả. Tôi cũng ko phải người tính thuế ở cty nên ko biết so vs trước đây dễ hay khó hơn.</t>
  </si>
  <si>
    <t>Cải cách thuế hướng đến công bằng, nhưng chưa chắc chắn về sự thực thi khách quan giữa người lao động với doanh nghiệp nhỏ lẻ.</t>
  </si>
  <si>
    <t>Nếu đối với những người cùng đối tượng chịu thuế tại cùng khu vực sống sẽ bình đẳng, nhưng giữa người làm công với người kinh doanh nhỏ lẻ thì ko biết vì tôi ko tìm hiểu quy định, giữa người sống ở thành thị với nông thôn ko biết có áp dụng hệ số và chênh lệch theo chi phí sinh hoạt hay ko, nếu ko thì ko bình đẳng</t>
  </si>
  <si>
    <t>Thuế mới phù hợp với thu nhập của tôi và giảm gánh nặng tài chính, khiến tôi cảm thấy công bằng hơn.</t>
  </si>
  <si>
    <t>Số thuế nhỏ , phù hợp để đóng góp 1 chút cho ngân sách nn</t>
  </si>
  <si>
    <t>Thuốc đóng góp cho ngân sách nhà nước để cải thiện dịch vụ công, nhưng còn nhiều thắc mắc về cách sử dụng nguồn thu.</t>
  </si>
  <si>
    <t>Chiến lược cải cách đang thực hiện trên diện rộng, tôi tin chính sách chung là đúng đắn nhưng ko biết năng lực thực thi của cả hệ thống có đáp ứng đc ko, lãnh đạo đất nước ko phải người đc đào tạo bài bản về kinh tế, ko tin lắm sẽ làm đc</t>
  </si>
  <si>
    <t>Chính phủ đã giải thích rõ ràng về mục tiêu và lý do của việc sửa đổi thuế, tạo ra sự tin tưởng nhất định.</t>
  </si>
  <si>
    <t>Ko nghe, ko đọc giải thích nên ko biết</t>
  </si>
  <si>
    <t>Nhìn chung, tôi ủng hộ chính sách mới vì nó giảm gánh nặng cho người nộp thuế và đơn giản hóa thủ tục.</t>
  </si>
  <si>
    <t>Tôi đóng ít hơn và phù hợp thì ủng hộ thôi</t>
  </si>
  <si>
    <t>Dù đô thị tập trung nhiều kinh tế, nhưng nguồn lực và công nghệ để rà soát toàn bộ hoạt động kinh tế chưa đủ mạnh mẽ.</t>
  </si>
  <si>
    <t>Nếu có đủ nguồn lực và công nghệ, tôi tin sẽ phát hiện hành vi trốn thuế hiệu quả hơn.</t>
  </si>
  <si>
    <t>Thủ tục đơn giản hóa giúp việc khai báo dễ dàng hơn, nhưng vẫn cần thời gian để làm quen.</t>
  </si>
  <si>
    <t>Cách tính thuế rõ ràng hơn, nhưng tôi chưa tự tính thuế bao giờ nên không chắc chắn.</t>
  </si>
  <si>
    <t>Chính sách mới tăng giảm trừ gia cảnh giúp công bằng cho người thu nhập thấp như tôi.</t>
  </si>
  <si>
    <t>Thuế mới phù hợp với thu nhập của tôi, nhưng không chắc chắn về áp dụng chung đối với mọi người.</t>
  </si>
  <si>
    <t>Tăng thuế cho thu nhập cao hơn giúp cải thiện dịch vụ công, nhưng chưa rõ cụ thể.</t>
  </si>
  <si>
    <t>Chính phủ đã giải thích về mục tiêu sửa đổi thuế, nhưng chưa biết thực hiện đến đâu.</t>
  </si>
  <si>
    <t>Thuế giảm đáng kể và phương án mới rõ ràng hơn, nên tôi ủng hộ.</t>
  </si>
  <si>
    <t>Tôi đồng ý với ENF1 vì đô thị có hệ thống quản lý thuế chặt chẽ, dễ dàng phát hiện gian lận. Tuy nhiên, nguồn lực và công nghệ để rà soát toàn bộ hoạt động kinh tế chưa đầy đủ.</t>
  </si>
  <si>
    <t>Tôi đồng ý với ENF2 vì Nhà nước có nhiều khả năng và công nghệ để phát hiện trốn thuế. Tuy nhiên, thực tế vẫn còn những vụ việc gian lận không bị phát hiện kịp thời.</t>
  </si>
  <si>
    <t>Tôi cho rằng các thủ tục khai báo thuế dễ dàng hơn, nhưng việc áp dụng và làm việc với cơ quan thuế chưa thực sự thuận tiện. Việc tự tính toán và nộp thuế qua điện tử đã đơn giản hóa quy trình.</t>
  </si>
  <si>
    <t>Tôi thấy cách tính thuế và các bậc thuế mới đơn giản hơn, dễ hiểu. Tuy nhiên, việc áp dụng các mức thuế cụ thể đối với từng trường hợp còn phức tạp đối với người dân bình thường.</t>
  </si>
  <si>
    <t>Tôi tin rằng Nhà nước sẽ thực thi chính sách một cách công bằng và khách quan. Tuy nhiên, giữa người làm công và kinh doanh nhỏ lẻ có thể còn chênh lệch.</t>
  </si>
  <si>
    <t>Mức thuế mới phù hợp với thu nhập của tôi và giảm gánh nặng tài chính. Tôi đồng ý với mức thuế này</t>
  </si>
  <si>
    <t>Số tiền thuế đóng sẽ được sử dụng hiệu quả để cải thiện dịch vụ công, nhưng không biết chi tiết về cách sử dụng.</t>
  </si>
  <si>
    <t>Tôi đồng ý với việc giải thích về mục tiêu của chính sách mới. Tuy nhiên, tôi chưa đọc các tài liệu cụ thể nên còn nghi ngờ về tính minh bạch.</t>
  </si>
  <si>
    <t>Sau khi xem xét, tôi ủng hộ và tuân thủ chính sách mới vì nó giúp giảm gánh nặng thuế cho tôi. Tuy nhiên, cần cải thiện thêm trong việc thực thi để tăng niềm tin.</t>
  </si>
  <si>
    <t>Chỉ tăng thuế điện tử và rà soát toàn bộ hoạt động kinh tế chưa hoàn thiện, nguồn lực hạn chế.</t>
  </si>
  <si>
    <t>Cơ quan thuế có khả năng phát hiện gian lận với công nghệ hiện đại nhưng chưa thực thi rộng rãi.</t>
  </si>
  <si>
    <t>Thuế đơn giản hóa và dễ hiểu hơn so với trước, thủ tục cải thiện đáng kể.</t>
  </si>
  <si>
    <t>Bậc thuế ít hơn và rõ ràng hơn, nhưng tôi vẫn cần hướng dẫn để tính toán chính xác.</t>
  </si>
  <si>
    <t>Công bằng đối với thu nhập như tôi, mức giảm trừ gia cảnh tăng đáng kể.</t>
  </si>
  <si>
    <t>Thuế mới phù hợp với thu nhập của tôi, nhưng không chắc chắn áp dụng cho người kinh doanh nhỏ lẻ và nông thôn.</t>
  </si>
  <si>
    <t>Số thuế đóng thấp hơn trước, tin rằng tiền sẽ được sử dụng hiệu quả để cải thiện dịch vụ công.</t>
  </si>
  <si>
    <t>Chưa rõ ràng về mục tiêu và hiệu quả của chính sách mới, nhưng thấy hợp lý đối với thu nhập như tôi.</t>
  </si>
  <si>
    <t>Đóng thuế ít hơn so với trước, ủng hộ cải cách thuế để giảm gánh nặng cho người dân.</t>
  </si>
  <si>
    <t>Tin rằng hành vi gian lận trốn thuế sẽ dễ bị phát hiện, nhưng không tin rằng tất cả hoạt động kinh tế đều dễ rà soát. Thuế điện tử và quy định rõ ràng giúp tăng tính răn đe.</t>
  </si>
  <si>
    <t>Tin rằng Nhà nước có công nghệ để phát hiện, nhưng không chắc chắn về nguồn lực thực thi.</t>
  </si>
  <si>
    <t>Thuật ngữ và quy trình đơn giản hơn, dễ hiểu hơn so với trước đây.</t>
  </si>
  <si>
    <t>Biểu thuế đơn giản, dễ tính toán. Tuy nhiên, chưa thực sự quen thuộc nên cần thêm thời gian để nắm bắt.</t>
  </si>
  <si>
    <t>Tin rằng sẽ công bằng, nhưng không chắc chắn về việc áp dụng cho mọi đối tượng và khu vực.</t>
  </si>
  <si>
    <t>Thuế mới phù hợp với thu nhập của tôi nên thấy công bằng. Tuy nhiên, chưa hiểu rõ chi tiết mức thuế cụ thể hơn.</t>
  </si>
  <si>
    <t>Tin rằng số tiền đóng sẽ được sử dụng hiệu quả cho dịch vụ công</t>
  </si>
  <si>
    <t>Chưa hiểu rõ về việc giải thích của Nhà nước, cần thêm thông tin.</t>
  </si>
  <si>
    <t>Dù thuế giảm, nhưng vẫn có nghi ngờ về việc thực thi chính sách. Tuy nhiên, ủng hộ vì lợi ích cụ thể</t>
  </si>
  <si>
    <t>Theo tôi, mặc dù đã có sự cải thiện trong quản lý thuế nhưng vẫn còn nhiều vấn đề chưa được giải quyết triệt để. Việc truy thu và xử lý gian lận thuế không hiệu quả, dẫn đến tình trạng trốn thuế vẫn diễn ra.</t>
  </si>
  <si>
    <t>Tôi không thấy nhà nước có giải pháp truy thu thuế hiệu quả, cụ thể là tình trạng trốn thuế/đóng thuế không đúng theo quy định vẫn diễn ra. Ngoài ra, như báo đài đưa tin, 1 số truong hợp người Việt không được thông quan khi đi nước ngoài chỉ vì chưa hoàn tất nợ thuế . Tuy nhiên số nợ đó họ không hề biết đến =&gt; chứng tỏ bộ máy quản lý đang còn rất lỏng lẻo.</t>
  </si>
  <si>
    <t>Cơ quan thuế có công nghệ hiện đại hơn nhưng nguồn nhân lực quản lý thuế vẫn chưa được nâng cao, tạo nên rủi ro về việc gian lận vẫn còn nhiều.</t>
  </si>
  <si>
    <t>Điểm này tôi đồng ý, quan trọng Nhà nước có tiến hành làm 1 cách triệt để hay không. Vấn đề chủ yếu theo tôi xuất phát từ nguồn nhân lực quản ly bên Thuế (khả năng quản lý, tính chịu trách nhiệm, kế hoạch triển khai - bao gồm cả vấn đề truyền thông đến người nộp thuế)</t>
  </si>
  <si>
    <t>So với trước đây, quy trình khai báo thuế đơn giản hơn. Tuy nhiên, việc vẫn cần phải in giấy tờ và ký xác nhận khiến thủ tục chưa thật sự tiện lợi.</t>
  </si>
  <si>
    <t>Có sự thay đổi nhưng vấn đề về thủ tục giấy tờ vẫn còn nhiêu khê, chưa có tính thống nhất. Chưa hoàn toàn automation mà vẫn phải làm đơn từ thông qua in writing. Ví dụ: hằng năm, công ty tôi vẫn yêu cầu từng nhân viên điền &amp; ký giấy tờ xác nhận uỷ quyền khai báo, confirm chỉ có 1 nguồn thu nhập, rồi từ đó Hr mới có cơ sở làm thủ tục =&gt; tại sao đã có phần mềm etax mà không tận dụng? Ngoài ra, Nhà nước đang sử dụng quá nhiều app. Tại sao không tích hợp thông tin tax vào app vssid để tiện quản lý?</t>
  </si>
  <si>
    <t>Số bậc thuế giảm từ 7 xuống còn 5, giúp dễ dàng tính toán và hiểu rõ hơn. Tuy nhiên, việc tích hợp hoàn toàn vào app điện tử vẫn chưa được thực hiện.</t>
  </si>
  <si>
    <t xml:space="preserve">Đồng ý. Việc giảm thiểu bớt số bậc tính thuế giúp dễ nhớ &amp; dễ tính toán. </t>
  </si>
  <si>
    <t>Tôi đồng ý về mặt khách quan nhưng vẫn có sự nghi ngờ về cách thực thi chính sách mới, nhất là vấn đề minh bạch và công bằng trong quản lý thuế</t>
  </si>
  <si>
    <t>Cho đến khi các hành vi tiêu cực, bao gồm cách thức quản lý lỏng lẻo còn diễn ra thì sự công tâm, bình đẳng sẽ không thể tồn tại</t>
  </si>
  <si>
    <t>Mức giảm trừ gia cảnh tăng lên giúp giảm gánh nặng thuế, nhưng mức thuế vẫn còn cao so với thu nhập thực tế.</t>
  </si>
  <si>
    <t>Trên thực tế với mức lương như tôi đang hưởng, mức giảm trừ thuế theo quy định mới không giúp giảm được nhiều</t>
  </si>
  <si>
    <t>Tôi đồng ý về mặt nguyên tắc nhưng lo ngại về việc số tiền thuế đóng có được sử dụng hiệu quả hay không. Việc truyền thông chưa thật rõ ràng khiến tôi cảm thấy nghi ngờ.</t>
  </si>
  <si>
    <t xml:space="preserve">Mức độ đồng ý của tôi khá thấp, vì tôi không thấy các thông tin này được công khai rộng rãi, nên tôi ko rõ phần thuế mình đóng được Nhà nước sử dụng như thế nào. Chưa kể việc ăn chặn tiền Thuế của 1 số cán bộ khiến tôi không thể đặt sự tin tưởng được. </t>
  </si>
  <si>
    <t>Công bố chính sách mới khá rõ ràng, tuy nhiên việc thực hiện và công khai minh bạch hơn nữa là cần thiết để tăng niềm tin của người dân</t>
  </si>
  <si>
    <t xml:space="preserve">Neutral. Tôi đồng ý trong các văn bản hiện hành (bao gồm báo đài) thông tin rất rõ ràng. Tuy nhiên, tính minh bạch, rõ ràng còn thể hiện qua mức độ truyền thông tin của Nhà nước đến với người lao động. Tôi đánh giá chưa thật sự hiệu quả. Tôi tin ở thời điểm hiện tại, vẫn có những người chưa hề hay biết về mục đích, tinh hiệu quả của sự thay đổi này. </t>
  </si>
  <si>
    <t>Sau khi xem xét các thay đổi về thuế, tôi đồng ý với chính sách mới nhưng vẫn có những lo ngại và hi vọng nhà nước sẽ tiếp tục cải thiện.</t>
  </si>
  <si>
    <t>Tôi vẫn sẽ tuân thủ nhưng tôi mong nhà nước cần đánh giá lại cách tính thuế với những người có mức lương như tôi. Tôi nhận thấy người làm công ăn lương khi tuân thủ các nghĩa vụ đóng các khoản theo quy định nhà nước, nhưng khi hưởng chỉ được hưởng ở 1 mức nhất định. Ví dụ bảo hiểm thất nghiệp maximum là 12 tháng dù đi làm 12 năm hay 15 năm. Vậy tại sao đối với thuế thu nhập, không áp dụng mức trần phù hợp với người làm công ăn lương, để những người như chúng tôi cảm thấy nhẹ nhàng hơn khi đóng thuế.</t>
  </si>
  <si>
    <t>Dù tôi đồng ý rằng các quy định mới sẽ giảm thiểu hành vi gian lận, nhưng vấn đề quản lý vẫn còn nhiều lỗ hổng và thiếu minh bạch. Tôi cho rằng cần thời gian để thực thi hiệu quả.</t>
  </si>
  <si>
    <t>Tương tự như ENF1, tôi đồng ý với phần thuận lợi của chính sách mới nhưng lo ngại về khả năng quản lý và minh bạch. Cần cải thiện hơn nữa.</t>
  </si>
  <si>
    <t>Thủ tục khai báo thuế đã đơn giản hóa nhiều so với trước đây, tuy nhiên việc sử dụng giấy tờ in writing vẫn còn là một trở ngại. Tôi đánh giá cao sự tiến bộ này.</t>
  </si>
  <si>
    <t>Biểu thuế mới có ít bậc hơn và dễ hiểu hơn, nhưng tôi cho rằng cần tích hợp thêm tự động hóa để nâng cao hiệu quả.</t>
  </si>
  <si>
    <t>Tôi đồng ý về tính công bằng của chính sách mới, đặc biệt là mức giảm trừ gia cảnh tăng lên. Tuy nhiên, việc truyền thông chưa đầy đủ khiến tôi vẫn không hoàn toàn tin tưởng.</t>
  </si>
  <si>
    <t>Mức thuế mới có thể coi là công bằng cho người như tôi với mức thu nhập hiện tại.</t>
  </si>
  <si>
    <t>Tôi tin rằng số tiền thuế đóng sẽ được sử dụng hiệu quả để cải thiện dịch vụ công, nhưng cần minh bạch hơn về cách sử dụng</t>
  </si>
  <si>
    <t>Nhà nước đã giải thích rõ ràng về mục tiêu của việc sửa đổi thuế, nhưng tôi cho rằng vẫn còn nhiều thông tin chưa được truyền thông rộng rãi.</t>
  </si>
  <si>
    <t>Chính sách mới có lợi cho tôi và phù hợp với thu nhập hiện tại. Tôi sẽ tiếp tục tuân thủ, mong muốn nhà nước cải tiến hơn nữa về minh bạch và hiệu quả sử dụng thuế.</t>
  </si>
  <si>
    <t>Tôi không đồng ý, vì hiện nay vẫn còn tình trạng trốn thuế và quản lý thuế chưa chặt chẽ.</t>
  </si>
  <si>
    <t>Dù có công nghệ, nhưng hiệu quả thực thi thuế phụ thuộc vào nguồn nhân lực, mà theo tôi, nguồn này hiện chưa đầy đủ năng lực.</t>
  </si>
  <si>
    <t>Đồng ý với việc đơn giản hóa quy trình khai báo, tuy nhiên vẫn còn nhiều thủ tục phức tạp do phải in giấy tờ và xác nhận từ phía nhân viên.</t>
  </si>
  <si>
    <t>Đơn giản hóa biểu thuế giúp dễ nhớ và tính toán hơn, nhưng chưa tự động hóa hoàn toàn quy trình khai báo.</t>
  </si>
  <si>
    <t>Niềm tin vào cách thực thi không cao vì vẫn còn nhiều bất cập trong quản lý thuế, dẫn đến tình trạng gian lận.</t>
  </si>
  <si>
    <t>Mức giảm trừ gia cảnh mới giúp tiết kiệm tiền thuế, nhưng so với thu nhập hiện tại, mức giảm này không đáng kể.</t>
  </si>
  <si>
    <t>Tôi tin rằng số tiền thuế đóng sẽ được sử dụng hiệu quả nếu thông tin minh bạch và công khai hơn.</t>
  </si>
  <si>
    <t>Nhà nước đã giải thích rõ mục tiêu của việc sửa đổi, nhưng tôi vẫn lo ngại về sự thực thi và quản lý thuế còn lỏng lẻo.</t>
  </si>
  <si>
    <t>Mặc dù có nhiều cải tiến, nhưng do mức giảm trừ thuế không đáng kể so với thu nhập hiện tại nên tôi chỉ phần nào ủng hộ chính sách mới.</t>
  </si>
  <si>
    <t>Tôi không đồng ý. Việc quản lý thuế hiện tại vẫn còn nhiều lỗ hổng, đặc biệt là việc trốn thuế và không thông quan khi đi nước ngoài vì nợ thuế chưa rõ ràng.</t>
  </si>
  <si>
    <t>Tương tự ENF1, tôi không đồng ý. Việc quản lý thuế vẫn còn nhiều vấn đề cần cải thiện.</t>
  </si>
  <si>
    <t>Tôi đồng ý vì số bậc thuế đã giảm và quy trình khai báo trở nên đơn giản hơn.</t>
  </si>
  <si>
    <t>Tính toán thuế mới dễ hiểu và thực hiện nhanh chóng hơn so với trước đây.</t>
  </si>
  <si>
    <t>Tôi đồng ý vì tôi tin rằng Nhà nước sẽ công bằng trong việc áp dụng chính sách.</t>
  </si>
  <si>
    <t>Tuy nhiên, mức độ giảm trừ thuế không giúp giảm bớt gánh nặng cho người có thu nhập như tôi. Tôi thấy việc cải cách chưa thực sự công bằng.</t>
  </si>
  <si>
    <t>Tôi tin rằng số tiền thuế đóng sẽ được sử dụng hiệu quả, nhưng do mức độ minh bạch còn thấp nên tôi không hoàn toàn tin tưởng.</t>
  </si>
  <si>
    <t>Tôi đồng ý vì thông tin về cải cách đã được truyền đạt rõ ràng đến người dân.</t>
  </si>
  <si>
    <t>Dù có sự thay đổi, tôi vẫn sẽ tuân thủ nhưng mong Nhà nước xem xét lại cách tính thuế cho người như tôi.</t>
  </si>
  <si>
    <t>Tôi không đồng ý. Mặc dù Luật mới đơn giản hơn nhưng vẫn có nhiều lỗ hổng về quản lý, dễ bị trốn thuế.</t>
  </si>
  <si>
    <t>Tương tự ENF1, tôi cho rằng Nhà nước cần cải thiện khả năng quản lý và xử lý nghiêm các hành vi gian lận.</t>
  </si>
  <si>
    <t>Đồng ý. Thủ tục thuế đã đơn giản hơn, dễ dàng thực hiện hơn so với trước đây</t>
  </si>
  <si>
    <t>Đồng ý. Các bậc thuế mới rõ ràng và dễ tính toán hơn so với trước đây.</t>
  </si>
  <si>
    <t>Neutral. Tôi đồng ý về mặt nguyên tắc, nhưng thực tế tôi không thấy Nhà nước thực thi công bằng đối với tất cả mọi người.</t>
  </si>
  <si>
    <t>Phức tạp. Mức thuế mới có thể phù hợp với những người thu nhập cao hơn, nhưng với mức lương hiện tại của tôi, không giảm tải nhiều.</t>
  </si>
  <si>
    <t>Neutral. Tôi tin rằng tiền thuế sẽ được sử dụng hiệu quả, nhưng truyền thông về mục tiêu và hiệu quả còn chưa rõ ràng.</t>
  </si>
  <si>
    <t>Phức tạp. Nhà nước đã giải thích một cách minh bạch, nhưng tôi vẫn nghi ngờ mức độ thực hiện chính sách.</t>
  </si>
  <si>
    <t>Đồng ý sau khi xem xét, mặc dù thuế mới chỉ giảm nhẹ so với trước đây, tôi vẫn sẽ tuân thủ.</t>
  </si>
  <si>
    <t>Dựa trên nhận thức hiện tại, tôi đồng ý rằng Nhà nước đang tăng cường quản lý thuế và công nghệ để phát hiện gian lận. Tuy nhiên, việc nửa online nửa offline vẫn còn gây bất tiện.</t>
  </si>
  <si>
    <t xml:space="preserve">Thời gian gần đây Nhà nước bắt đầu có sự gay gắt hơn trong việc truy thu thuế, đặc biệt hộ kinh doanh (bao gồm offline &amp; online), đồng thời đưa ra nhiều quy định để kiểm soát chặt vấn đề này từ năm 2026. </t>
  </si>
  <si>
    <t>Nhà nước có đủ khả năng với sự hỗ trợ của công nghệ như etax, nhưng thực tế cho thấy việc áp dụng hoàn toàn vẫn chưa phổ biến.</t>
  </si>
  <si>
    <t>Nhìn chung, trong 2-3 năm trở lại đây, Nhà nước đã đầu tư khá nhiều vào công nghệ nhằm hỗ trợ cho các thủ tục hành chính trở nên tiện lợi hơn, ví dụ như etax nên tôi đồng ý với nhận định này. Tuy nhiên, Nhà nước cần tận dụng tối đa tính năng của ứng dụng trong việc quản lý thuế, tránh việc nửa online nửa offline như hiện tại.</t>
  </si>
  <si>
    <t>So với trước đây, thủ tục đơn giản hơn nhưng chỉ là mức độ tạm chấp nhận. Việc trực tuyến hóa còn hạn chế.</t>
  </si>
  <si>
    <t xml:space="preserve">So với trước đây thì đúng là thủ tục có phần đơn giản hơn nhưng chỉ ở mức tạm chấp nhận. </t>
  </si>
  <si>
    <t>Biểu thuế mới có phần dễ hiểu và thực hiện đơn giản hơn, giảm bớt sự phức tạp so với trước đây.</t>
  </si>
  <si>
    <t>Việc giảm thiểu số bậc thuế giúp cho việc tính toán trở nên đơn giản và nhanh chóng</t>
  </si>
  <si>
    <t>Tôi tin rằng Nhà nước sẽ công bằng trong việc thực thi chính sách nhưng cần minh bạch rõ ràng hơn về cách sử dụng tiền thuế.</t>
  </si>
  <si>
    <t xml:space="preserve">Các thay đổi gần đây dù ít hay nhiều đều mang lại tín hiệu tích cực, đặc biệt việc thay đổi mức giảm trừ gia cảnh &amp; người phụ thuộc giúp giảm thiểu gánh nặng tài chính cho người lao động có thu nhập thấp nên tôi đồng ý với câu này. </t>
  </si>
  <si>
    <t>Mức giảm trừ gia cảnh và người phụ thuộc tăng lên giúp tôi thấy thuế mới là hợp lý với thu nhập hiện tại.</t>
  </si>
  <si>
    <t>Dù giảm không quá nhiều nhưng tôi vẫn cảm thấy hài lòng với sự thay đổi này.</t>
  </si>
  <si>
    <t>Thuế mới sẽ được sử dụng hiệu quả để cải thiện dịch vụ công nhưng cần minh bạch hơn về cách sử dụng.</t>
  </si>
  <si>
    <t>Ở phần này tôi cần Nhà nước đưa ra thông tin minh bạch hơn vì hiện tôi không biết nhà nước đang thu bao nhiêu, chi bao nhiêu, tỷ trọng chi như thế nào.</t>
  </si>
  <si>
    <t>Nhà nước đã giải thích rõ ràng về mục tiêu của chính sách thuế mới, tôi tin tưởng điều này.</t>
  </si>
  <si>
    <t xml:space="preserve">Phần này tôi có đọc qua các thông tin trên báo đài nên thấy mọi thứ đều rõ ràng. </t>
  </si>
  <si>
    <t>Chính sách mới giúp giảm gánh nặng thuế cho người lao động và nhân viên, tạo cảm giác công bằng và tự nguyện tuân thủ.</t>
  </si>
  <si>
    <t>Việc thay đổi thuế TNCN đâu đó giúp cho chính tôi và cả nhân viên bên dưới cảm thấy nhẹ gánh trong việc đóng thuế. Mặc dù mọi việc đều có 2 mặt nhưng tổng quan chung đây vẫn là 1 chính sách tốt từ phía Nhà nước đối với người lao động.</t>
  </si>
  <si>
    <t xml:space="preserve">Dù Nhà nước đã đầu tư vào công nghệ để hỗ trợ quản lý thuế, tôi vẫn lo ngại về việc nửa online nửa offline có thể gây ra sự thiếu đồng bộ và rủi ro trong quá trình truy thu. </t>
  </si>
  <si>
    <t>Việc ứng dụng công nghệ như eTax đã giúp cải thiện đáng kể khả năng phát hiện và xử lý gian lận, nhưng cần tiếp tục tối ưu hóa để tránh tình trạng nửa online nửa offline.</t>
  </si>
  <si>
    <t>Thủ tục thuế đã đơn giản hơn so với trước đây, đặc biệt là việc giảm từ 7 bậc xuống còn 5. Điều này giúp quá trình khai báo và tính toán trở nên dễ dàng hơn.</t>
  </si>
  <si>
    <t>Các mức thuế mới có vẻ đơn giản hơn nhưng tôi vẫn thấy nó khá phức tạp khi phải phân loại thu nhập vào từng bậc. Tuy nhiên, so với trước đây thì cải thiện rõ rệt.</t>
  </si>
  <si>
    <t xml:space="preserve">Tôi tin rằng Nhà nước sẽ thực thi chính sách một cách công bằng nhưng vẫn lo ngại về việc minh bạch trong quản lý và sử dụng ngân sách thuế. </t>
  </si>
  <si>
    <t>Mức thuế mới phù hợp với thu nhập của tôi, giảm gánh nặng tài chính đáng kể. Đây là một bước tiến rất tích cực.</t>
  </si>
  <si>
    <t>Tôi tin rằng số tiền thuế đóng sẽ được sử dụng hiệu quả để cải thiện các dịch vụ công nhưng cần có thêm thông tin về cách chi tiêu cụ thể từ ngân sách thuế.</t>
  </si>
  <si>
    <t xml:space="preserve">Nhà nước đã giải thích rõ ràng về mục đích của việc thay đổi thuế lần này, tạo niềm tin cho người dân. </t>
  </si>
  <si>
    <t>Chính sách mới giúp giảm gánh nặng thuế cho tôi và đồng nghiệp nhưng vẫn giữ được tính công bằng với các mức thu nhập khác nhau.</t>
  </si>
  <si>
    <t>Dù nhà nước có thể sử dụng công nghệ để phát hiện trốn thuế, nhưng thực tế cho thấy vẫn còn nhiều hành vi gian lận chưa được phát hiện kịp thời. Điều này khiến tôi lo ngại.</t>
  </si>
  <si>
    <t>Nhà nước đã đầu tư vào công nghệ như ETAX để cải thiện thủ tục, nhưng việc quản lý thuế vẫn chưa hoàn toàn tối ưu.</t>
  </si>
  <si>
    <t>Các quy trình khai thuế trở nên đơn giản hơn, nhưng tôi vẫn thấy có một số bước phức tạp cần cải tiến thêm.</t>
  </si>
  <si>
    <t>Bậc thuế được giảm từ 7 xuống còn 5, giúp việc tính toán thuế dễ dàng hơn. Tuy nhiên, mức thuế mới vẫn chưa phản ánh đúng tình hình thực tế do thu nhập của tôi không thay đổi nhiều.</t>
  </si>
  <si>
    <t>Tôi tin rằng Nhà nước sẽ công bằng trong việc áp dụng chính sách mới, nhưng cần có thêm minh bạch về cách sử dụng nguồn thuế để tăng niềm tin.</t>
  </si>
  <si>
    <t>Mức thuế mới giúp giảm gánh nặng cho người lao động như tôi. Tuy nhiên, do thu nhập không thay đổi nhiều nên cảm giác công bằng vẫn còn hạn chế.</t>
  </si>
  <si>
    <t>Tôi tin rằng số tiền thuế đóng sẽ được sử dụng hiệu quả cho các dịch vụ công, nhưng cần có thêm thông tin về cách thức và kết quả sử dụng nguồn thuế này.</t>
  </si>
  <si>
    <t>Nhà nước đã giải thích rõ ràng mục tiêu của chính sách mới, giúp tôi hiểu hơn về việc thay đổi này. Tuy nhiên, cần có thêm thông tin chi tiết về quy trình quản lý nguồn thuế.</t>
  </si>
  <si>
    <t>Sau khi xem xét tác động tài chính và các quyền lợi mới, tôi ủng hộ chính sách mới và tuân thủ nó. Tuy nhiên, vẫn có một số lo ngại về việc thực thi và minh bạch.</t>
  </si>
  <si>
    <t>Nhà nước đã tăng cường công nghệ quản lý thuế, như ứng dụng etax. Tuy nhiên, vẫn còn vấn đề nửa online nửa offline.</t>
  </si>
  <si>
    <t>Công nghệ và ứng dụng hỗ trợ kiểm soát thuế tốt hơn, giảm thiểu hành vi trốn thuế.</t>
  </si>
  <si>
    <t>Thủ tục đơn giản hóa giúp tiết kiệm thời gian và công sức cho người nộp thuế.</t>
  </si>
  <si>
    <t>Biểu thuế mới rõ ràng, dễ dàng tính toán, phù hợp với tình hình hiện nay của tôi.</t>
  </si>
  <si>
    <t>Nhà nước đã công bố thông tin minh bạch về chính sách mới, nhưng vẫn có sự nghi ngờ về cách sử dụng ngân sách thuế.</t>
  </si>
  <si>
    <t>Thuế mới phù hợp với thu nhập của tôi, giảm gánh nặng tài chính một phần.</t>
  </si>
  <si>
    <t>Tiết kiệm được tiền thuế giúp cải thiện chất lượng cuộc sống và đầu tư vào các dịch vụ công.</t>
  </si>
  <si>
    <t>Nhà nước đã giải thích rõ về mục tiêu của chính sách mới, nhưng cần minh bạch hơn về chi tiêu từ ngân sách thuế.</t>
  </si>
  <si>
    <t>Chính sách mới giúp giảm gánh nặng thuế cho người lao động như tôi, tạo cảm giác công bằng và ủng hộ.</t>
  </si>
  <si>
    <t>Dù Nhà nước đã tăng cường công nghệ để truy thu thuế, nhưng thực tế các quy định quản lý thuế vẫn còn phức tạp và nửa online nửa offline. Điều này khiến tôi không hoàn toàn tin tưởng.</t>
  </si>
  <si>
    <t>Nhìn chung, với sự hỗ trợ của công nghệ như etax, việc phát hiện trốn thuế đã dễ dàng hơn nhưng vẫn còn nhiều bất cập nên chỉ ở mức tạm chấp nhận.</t>
  </si>
  <si>
    <t>Thủ tục khai báo thuế và quy trình làm việc với cơ quan thuế được đơn giản hóa, giảm bớt sự phức tạp. Điều này giúp thuận tiện hơn cho người nộp thuế.</t>
  </si>
  <si>
    <t>Bậc thuế mới có thể dễ hiểu hơn nhưng vẫn còn cần tối ưu hóa để đảm bảo tính minh bạch và công bằng trong việc áp dụng.</t>
  </si>
  <si>
    <t>Tôi tin rằng Nhà nước sẽ thực thi chính sách một cách công tâm, nhưng vẫn có sự nghi ngờ về việc xử lý cụ thể đối với các trường hợp cụ thể.</t>
  </si>
  <si>
    <t>Đối với thu nhập của tôi, mức thuế mới là hợp lý và công bằng, giúp giảm gánh nặng tài chính đáng kể.</t>
  </si>
  <si>
    <t>Nhìn chung, tôi tin rằng số tiền thuế tôi đóng sẽ được sử dụng hiệu quả cho các dịch vụ công, nhưng vẫn có sự thắc mắc về việc quản lý chi tiêu cụ thể của Nhà nước.</t>
  </si>
  <si>
    <t>Tôi thấy thông tin về việc sửa đổi thuế lần này khá minh bạch qua báo đài và các kênh thông tin chính thức, nhưng vẫn mong muốn có thêm thông tin chi tiết về mục tiêu cụ thể của chính sách.</t>
  </si>
  <si>
    <t>Chính sách mới giúp giảm gánh nặng tài chính cho người lao động như tôi nên tôi ủng hộ và sẽ tuân thủ.</t>
  </si>
  <si>
    <t>Dựa trên dữ liệu, tôi tin rằng cơ quan thuế có nhiều khả năng phát hiện và xử lý gian lận hoặc trốn thuế.</t>
  </si>
  <si>
    <t>cơ quan thuế có nhiều dữ liệu để truy xuất và quản lý hơn</t>
  </si>
  <si>
    <t>Tuy nhiên, tôi vẫn lo ngại về khả năng thực thi khách quan của họ.</t>
  </si>
  <si>
    <t>công nghệ có thể đủ, còn về khả năng tôi không chắc</t>
  </si>
  <si>
    <t>Quy trình mới đơn giản hơn và tiện lợi hơn so với trước đây.</t>
  </si>
  <si>
    <t xml:space="preserve">Không rõ do tôi chưa thực hiện bao giờ. </t>
  </si>
  <si>
    <t>Biểu thuế mới rõ ràng, dễ hiểu và thực hiện đơn giản hơn.</t>
  </si>
  <si>
    <t>Đồng ý. Các bậc giảm đơn giản hơn trước.</t>
  </si>
  <si>
    <t>Tôi tin rằng cơ quan thuế sẽ công bằng trong việc thực thi chính sách mới.</t>
  </si>
  <si>
    <t>Dựa vào dữ liệu quá khứ, tôi cảm thấy chưa đủ thuyết phục Nhà nước, cơ quan thuế thực thi khách quan, công bằng.</t>
  </si>
  <si>
    <t>Mức thuế mới mà tôi phải đóng phù hợp với thu nhập của mình và được giảm trừ gia cảnh một cách công bằng.</t>
  </si>
  <si>
    <t>Quyền lợi đi kèm chưa phù hợp so với mức thuế phải đóng.</t>
  </si>
  <si>
    <t>Tôi tin rằng số tiền thuế đóng sẽ được sử dụng hiệu quả cho các dịch vụ công.</t>
  </si>
  <si>
    <t>Không thấy rõ số tiền thuế này được sử dụng hiệu quả thế nào.</t>
  </si>
  <si>
    <t>Nhà nước đã giải thích rõ ràng về mục tiêu của việc cải cách thuế này.</t>
  </si>
  <si>
    <t>Đồng ý. Tôi thấy nhà nước có truyền thông rõ ràng trên báo chí.</t>
  </si>
  <si>
    <t>Tổng thể, chính sách mới này có lợi cho tôi và tôi sẽ ủng hộ nó.</t>
  </si>
  <si>
    <t>Đồng ý theo góc độ tuân thủ của công dân.</t>
  </si>
  <si>
    <t>Tôi đồng ý với phần nào của nhận định này. Cơ quan thuế có nhiều dữ liệu để truy xuất và quản lý, nhưng tôi không chắc về khả năng thực thi của họ.</t>
  </si>
  <si>
    <t>Tương tự như ENF1, tôi đồng ý với phần nào của nhận định này. Công nghệ có thể đủ, nhưng tôi không chắc chắn về việc áp dụng hiệu quả trong thực tế.</t>
  </si>
  <si>
    <t>Tôi thấy các thủ tục khai báo thuế và quy trình làm việc với cơ quan thuế đơn giản hơn so với trước đây. Điều này giúp cải thiện sự thuận tiện cho người dân.</t>
  </si>
  <si>
    <t>Các bậc thuế mới đơn giản, dễ hiểu và dễ thực hiện hơn so với trước đây. Điều này góp phần làm giảm độ phức tạp cho người nộp thuế.</t>
  </si>
  <si>
    <t>Tôi đồng ý một phần với nhận định này. Dựa vào dữ liệu quá khứ, tôi cảm thấy chưa đủ thuyết phục về sự khách quan và công bằng của cơ quan thuế trong việc thực thi chính sách.</t>
  </si>
  <si>
    <t>Tôi đồng ý một phần với nhận định này. Mức thuế mới được xem là hợp lý cho thu nhập của tôi, nhưng tôi không chắc chắn về cách sử dụng số tiền thuế này hiệu quả.</t>
  </si>
  <si>
    <t>Tôi tin rằng số tiền thuế tôi đóng sẽ được sử dụng hiệu quả để cải thiện dịch vụ công. Tuy nhiên, thông tin về việc sử dụng số tiền thuế cụ thể còn hạn chế.</t>
  </si>
  <si>
    <t>Tôi đồng ý một phần với nhận định này. Nhà nước đã giải thích rõ ràng về mục tiêu của việc sửa đổi thuế lần này, nhưng tôi hy vọng thông tin được cung cấp thêm trong tương lai.</t>
  </si>
  <si>
    <t>Dựa trên các quyền lợi và nghĩa vụ mới, tôi đồng ý với chính sách mới. Việc giảm trừ gia cảnh tăng lên và đơn giản hóa biểu thuế giúp cải thiện trải nghiệm cho người nộp thuế.</t>
  </si>
  <si>
    <t>Tôi đồng ý, cơ quan thuế có nhiều dữ liệu để truy xuất và quản lý hơn, nhưng tôi không chắc về khả năng xử lý của cá nhân.</t>
  </si>
  <si>
    <t>Công nghệ hiện đại có thể giúp cải thiện khả năng phát hiện hành vi gian lận, tuy nhiên, vẫn còn nhiều yếu tố khác ảnh hưởng đến sự công bằng trong thực thi thuế.</t>
  </si>
  <si>
    <t>Quy trình khai báo và làm việc với cơ quan thuế đã đơn giản hơn trước đây, nhưng tôi cho rằng nó vẫn chưa hoàn hảo.</t>
  </si>
  <si>
    <t>Biểu thuế mới có ít bậc hơn, dễ hiểu và thực hiện hơn so với trước đây, điều này làm tăng tính tiện lợi cho người dân.</t>
  </si>
  <si>
    <t>Tôi không hoàn toàn tin tưởng vào sự khách quan trong việc thực thi chính sách mới của cơ quan thuế, nhưng tôi hy vọng họ sẽ thực hiện công bằng với mọi người nộp thuế.</t>
  </si>
  <si>
    <t>Mức thuế mới theo quy định có vẻ hợp lý so với thu nhập của tôi, giúp giảm gánh nặng tài chính.</t>
  </si>
  <si>
    <t>Tôi tin rằng số tiền thuế đóng sẽ được sử dụng hiệu quả để cải thiện dịch vụ công</t>
  </si>
  <si>
    <t>Nhà nước đã giải thích rõ ràng về lý do và mục tiêu của việc sửa đổi thuế, giúp tôi hiểu rõ hơn về vấn đề này.</t>
  </si>
  <si>
    <t>Tôi ủng hộ chính sách mới vì nó có lợi cho người dân như tôi, giảm gánh nặng tài chính và đơn giản hóa quy trình nộp thuế.</t>
  </si>
  <si>
    <t>Dựa trên dữ liệu của tôi, cơ quan thuế có nhiều khả năng phát hiện hành vi gian lận do có công nghệ quản lý, nhưng thực tế bản thân tôi chưa từng trải nghiệm việc bị kiểm tra hoặc xử lý nghiêm.</t>
  </si>
  <si>
    <t>Tôi đồng ý với nhận định này vì quy trình đơn giản hơn và số bậc thuế ít đi, giảm khả năng bị nhầm lẫn.</t>
  </si>
  <si>
    <t>So với trước đây, tôi thấy các bước khai báo dễ dàng hơn và không còn nhiều loại giấy tờ rườm rà như trước.</t>
  </si>
  <si>
    <t>Biểu thuế mới rõ ràng và dễ hiểu, giảm bớt sự phức tạp so với trước đây.</t>
  </si>
  <si>
    <t>Tôi tin rằng Nhà nước sẽ thực thi chính sách công bằng nhưng vẫn có lo ngại về việc quản lý và xử lý khách quan.</t>
  </si>
  <si>
    <t>Với mức thu nhập của tôi, giảm trừ gia cảnh cao hơn giúp tôi thấy hợp lý hơn so với trước đây.</t>
  </si>
  <si>
    <t>Tôi tin số tiền thuế đóng sẽ được sử dụng hiệu quả nhưng vẫn có một chút nghi ngờ về cách quản lý chi tiêu của Nhà nước.</t>
  </si>
  <si>
    <t>Nhà nước đã minh bạch về mục đích và lý do sửa đổi, tôi đồng ý với các giải thích này.</t>
  </si>
  <si>
    <t>Dù còn một số lo ngại nhưng quyền lợi mới mang lại cảm giác công bằng nên tôi ủng hộ chính sách mới.</t>
  </si>
  <si>
    <t>Dựa trên dữ liệu quản lý thuế hiện đại, tôi tin rằng hành vi gian lận hoặc trốn thuế sẽ bị phát hiện và xử lý nghiêm. Tuy nhiên, khả năng thực thi của cơ quan thuế còn phụ thuộc vào sự tuân thủ của công dân.</t>
  </si>
  <si>
    <t>Cơ quan thuế có nhiều dữ liệu để truy xuất và quản lý hơn, tôi tin rằng họ sẽ đủ khả năng và công nghệ để phát hiện các hành vi trốn thuế. Tuy nhiên, về mặt cá nhân, tôi chưa chắc chắn.</t>
  </si>
  <si>
    <t>So với trước đây, quy trình khai báo thuế và làm việc với cơ quan thuế đơn giản hơn nhiều, do đó tiện lợi và nhanh chóng hơn.</t>
  </si>
  <si>
    <t>Bậc thuế được giảm từ 7 xuống 5, nên cách tính thuế và các bậc thuế dễ hiểu và thực hiện hơn. Điều này làm tăng độ thuận tiện cho người nộp thuế.</t>
  </si>
  <si>
    <t>Dựa vào dữ liệu quá khứ, tôi chưa cảm thấy thuyết phục về sự khách quan và công bằng của Nhà nước trong việc thực thi chính sách. Tuy nhiên, theo thông tin mới, tôi đồng ý hơn với cách xử lý thuế hiện tại.</t>
  </si>
  <si>
    <t>Mức thuế mới được giảm đi đáng kể so với trước đây và phù hợp với thu nhập của tôi, điều này làm tăng cảm giác công bằng. Tuy nhiên, vẫn còn lo ngại về việc sử dụng hiệu quả số tiền thuế đã đóng.</t>
  </si>
  <si>
    <t>Tôi tin rằng số tiền thuế tôi đóng sẽ được sử dụng để cải thiện dịch vụ công như y tế và đường xá. Tuy nhiên, vẫn cần nhiều thông tin hơn về cách thức quản lý và sử dụng nguồn lực này.</t>
  </si>
  <si>
    <t>Nhà nước đã giải thích rõ ràng về mục tiêu của việc sửa đổi thuế lần này trên báo chí. Điều này làm tăng niềm tin vào sự minh bạch trong việc thực thi chính sách.</t>
  </si>
  <si>
    <t>Tôi ủng hộ và tuân thủ chính sách mới vì nó mang lại lợi ích cho tôi, giảm gánh nặng về thuế, đồng thời cải thiện chất lượng dịch vụ công. Tuy nhiên, vẫn có một số lo ngại chưa giải quyết.</t>
  </si>
  <si>
    <t>Tôi chưa thấy cách quản lý thuế của các nguồn thu nhập không chính thức hoặc từ nước ngoài không qua hợp đồng lao động; tương tự câu trước.</t>
  </si>
  <si>
    <t>Tôi chưa thấy cách quản lý thuế của các nguồn thu nhập không chính thức hoặc từ nước ngoài không qua hợp đồng lao động</t>
  </si>
  <si>
    <t>Khi có vấn đề liên hệ với cơ quan thuế vẫn còn rất khó khăn;</t>
  </si>
  <si>
    <t>Tương tự câu trước.</t>
  </si>
  <si>
    <t>So với trước đây, các thủ tục khai báo thuế và quy trình làm việc với cơ quan thuế trở nên đơn giản hơn.</t>
  </si>
  <si>
    <t>Khi có vấn đề liên hệ với cơ quan thuế vẫn còn rất khó khăn.</t>
  </si>
  <si>
    <t>Cách tính thuế và các bậc thuế trong phương án mới đơn giản, dễ hiểu và dễ thực hiện hơn; nguyên tắc tính cũng tương tự trước nên không thể kết luận là dễ thực hiện hơn.</t>
  </si>
  <si>
    <t>Đơn giản hơn về từ 7 còn 5 bậc. Nguyên tắc tính cũng tương tự trước nên không thể kết luận là dễ hiểu hơn và dễ thực hiện hơn.</t>
  </si>
  <si>
    <t>Tôi tin rằng Nhà nước, cơ quan thuế sẽ thực thi chính sách mới một cách khách quan, công tâm và đối xử bình đẳng với mọi người nộp thuế; mức thuế tôi phải đóng theo phương án mới là hợp lý vì có sự tăng giảm các bậc thuế phù hợp.</t>
  </si>
  <si>
    <t>Để kết luận được điều này cần nhiều dữ liệu hơn.</t>
  </si>
  <si>
    <t>Tôi thấy mức thuế tôi phải đóng theo phương án mới là công bằng (người thu nhập như tôi đóng mức này là hợp lý); tuy nhiên, vẫn cần thêm dữ liệu để so sánh với các đối tượng khác.</t>
  </si>
  <si>
    <t>Cần thêm dữ liệu và cần biết là đang so sánh với điều gì để kết luận là công bằng hay không. Hiện tại chỉ có thể kết luận là mức đóng ít hơn thì thích hơn.</t>
  </si>
  <si>
    <t>Tôi tin tưởng số tiền thuế tôi đóng sẽ được Nhà nước sử dụng hiệu quả để cải thiện dịch vụ công (y tế, đường xá...); cần thêm dữ liệu về cách sử dụng nguồn thu từ thuế.</t>
  </si>
  <si>
    <t>Tôi chưa thấy sự minh bạch trong việc sử dụng tiền thuế của dân.</t>
  </si>
  <si>
    <t>Tôi thấy Nhà nước đã giải thích rõ ràng, minh bạch về lý do và mục tiêu của việc sửa đổi thuế lần này; mặc dù chưa chủ động tìm hiểu nhưng theo tôi kênh truyền thông của nhà nước nên mạnh hơn.</t>
  </si>
  <si>
    <t>Tôi chưa chủ động tìm hiểu nhà nước đã giải thích những gì về đợt sửa đổi thuế lần này. Nếu là minh bạch thì theo tôi kênh truyền thông của nhà nước nên mạnh hơn và tiếp cận người nghe rộng rãi hơn.</t>
  </si>
  <si>
    <t>Ngoài việc tuân thủ, dường như không còn lựa chọn nào khác; tuy nhiên, với sự đơn giản hóa các bậc thuế và tăng giảm mức giảm trừ gia cảnh, tôi ủng hộ chính sách mới.</t>
  </si>
  <si>
    <t>Ngoài việc tuân thủ, dường như không còn lựa chọn nào khác.</t>
  </si>
  <si>
    <t>So với trước đây, quy trình làm việc với cơ quan thuế đơn giản hơn do giảm số bậc thuế từ 7 xuống 5 nhưng không phải mọi thủ tục đều dễ dàng và tiện lợi hơn;</t>
  </si>
  <si>
    <t>Cách tính thuế và các bậc thuế trong phương án mới đơn giản, dễ hiểu và dễ thực hiện hơn.</t>
  </si>
  <si>
    <t>Tôi tin rằng Nhà nước, cơ quan thuế sẽ thực thi chính sách mới một cách khách quan, công tâm và đối xử bình đẳng với mọi người nộp thuế. Dù vậy, cần thêm dữ liệu để đánh giá cụ thể.</t>
  </si>
  <si>
    <t>Tôi tin tưởng số tiền thuế tôi đóng sẽ được Nhà nước sử dụng hiệu quả để cải thiện dịch vụ công (y tế, đường xá...). Tuy nhiên, vẫn chưa thấy sự minh bạch trong việc sử dụng tiền thuế của dân.</t>
  </si>
  <si>
    <t>Tôi thấy Nhà nước đã giải thích rõ ràng, minh bạch về lý do và mục tiêu của việc sửa đổi thuế lần này. Tuy nhiên, kênh truyền thông của nhà nước nên mạnh hơn và tiếp cận người nghe rộng rãi hơn.</t>
  </si>
  <si>
    <t>Ngoài việc tuân thủ, dường như không còn lựa chọn nào khác. Dù vậy, tôi ủng hộ chính sách mới vì nó mang lại lợi ích về mặt tài chính cho tôi.</t>
  </si>
  <si>
    <t>Cần nhiều cải thiện trong quản lý thuế các nguồn thu nhập không chính thức hoặc từ nước ngoài; hiện chưa rõ ràng.</t>
  </si>
  <si>
    <t>Khả năng phát hiện và xử lý trốn thuế vẫn còn khó khăn, cần tăng cường hơn nữa.</t>
  </si>
  <si>
    <t>Số bậc thuế giảm từ 7 xuống 5 nhưng việc tính toán vẫn phức tạp; thủ tục liên lạc với cơ quan thuế chưa đơn giản.</t>
  </si>
  <si>
    <t>Cách tính thuế đơn giản hơn nhưng nguyên tắc vẫn còn khó hiểu; cần thêm hướng dẫn cụ thể.</t>
  </si>
  <si>
    <t>Chưa có dữ liệu đầy đủ để đánh giá khách quan về thực thi chính sách công tâm và bình đẳng.</t>
  </si>
  <si>
    <t>Mức thuế mới thấp hơn nhưng chưa rõ ràng về sự công bằng giữa các tầng lớp thu nhập khác nhau.</t>
  </si>
  <si>
    <t>Cần thêm minh bạch trong việc sử dụng tiền thuế; chưa có thông tin cụ thể về hiệu quả đầu tư của nhà nước.</t>
  </si>
  <si>
    <t>Chưa thấy giải thích đầy đủ từ chính phủ về mục tiêu và lý do của đợt sửa đổi này.</t>
  </si>
  <si>
    <t>Đóng thuế ít hơn nhưng vẫn chưa có nhiều lựa chọn khác ngoài việc tuân thủ.</t>
  </si>
  <si>
    <t>Tài liệu không đề cập rõ về cách quản lý thuế cho các nguồn thu nhập không chính thức hoặc từ nước ngoài, do đó tôi vẫn giữ nguyên quan điểm trước đây.</t>
  </si>
  <si>
    <t>Tương tự câu trước</t>
  </si>
  <si>
    <t>Thuế suất và bậc thuế được đơn giản hóa, giảm từ 7 bậc xuống còn 5 bậc. Điều này giúp việc tính toán thuế trở nên dễ dàng hơn đối với người dân.</t>
  </si>
  <si>
    <t>Nguyên tắc tính cũng tương tự trước đây nên không thể kết luận là dễ hiểu và thực hiện hơn, chỉ đơn giản hóa về mặt số bậc.</t>
  </si>
  <si>
    <t>Để kết luận được điều này cần nhiều dữ liệu hơn. Hiện tại tôi chưa có đủ thông tin để đánh giá mức độ khách quan và công tâm của việc thực thi chính sách mới.</t>
  </si>
  <si>
    <t>Mức thuế theo phương án mới giảm so với trước đây, điều này làm tăng cảm giác công bằng đối với tôi. Tuy nhiên, để kết luận mức thuế là hợp lý cần nhiều thông tin hơn về chi phí hoạt động và mục tiêu sử dụng tiền thuế.</t>
  </si>
  <si>
    <t>Tôi chưa thấy sự minh bạch trong việc sử dụng tiền thuế của dân. Nếu là minh bạch thì theo tôi kênh truyền thông của nhà nước nên mạnh hơn và tiếp cận người nghe rộng rãi hơn.</t>
  </si>
  <si>
    <t>Ngoài việc tuân thủ, dường như không còn lựa chọn nào khác. Tuy nhiên, mức giảm trừ gia cảnh và đơn giản hóa thuế suất giúp tôi cảm thấy chính sách mới có lợi cho người dân.</t>
  </si>
  <si>
    <t>Khi có vấn đề liên hệ với cơ quan thuế vẫn còn rất khó khăn</t>
  </si>
  <si>
    <t>Đơn giản hơn về từ 7 còn 5 bậc. Nguyên tắc tính cũng tương tự trước nên không thể kết luận là dễ hiểu hơn và dễ thực hiện hơn</t>
  </si>
  <si>
    <t>Tôi tin rằng Nhà nước, cơ quan thuế sẽ thực thi chính sách mới một cách khách quan, công tâm và đối xử bình đẳng với mọi người nộp thuế</t>
  </si>
  <si>
    <t>Người thu nhập như tôi đóng mức này là hợp lý. Tuy nhiên, để kết luận được điều này cần nhiều dữ liệu hơn</t>
  </si>
  <si>
    <t>Tôi tin tưởng số tiền thuế tôi đóng sẽ được Nhà nước sử dụng hiệu quả để cải thiện dịch vụ công (y tế, đường xá...). Tuy nhiên, tôi chưa thấy sự minh bạch trong việc sử dụng tiền thuế của dân</t>
  </si>
  <si>
    <t>Tôi thấy Nhà nước đã giải thích rõ ràng, minh bạch về lý do và mục tiêu của việc sửa đổi thuế lần này. Tuy nhiên, nếu là minh bạch thì theo tôi kênh truyền thông của nhà nước nên mạnh hơn và tiếp cận người nghe rộng rãi hơn</t>
  </si>
  <si>
    <t>Ngoài việc tuân thủ, dường như không còn lựa chọn nào khác. Tuy nhiên, với mức thuế tiết kiệm được tôi có thể dành cho các mục đích cá nhân hoặc đầu tư</t>
  </si>
  <si>
    <t>Dù cơ quan thuế có nỗ lực ứng dụng công nghệ nhưng nguồn lực và nhân sự vẫn còn hạn chế, nên việc phát hiện trốn/né thuế chưa dễ dàng.</t>
  </si>
  <si>
    <t>trên thực tế còn nhiều trường hợp trốn/né thuế khá tinh vi, và sự thiếu minh bạch của chính cán bộ xử lý nên dù cơ quan quản lý có nỗ lực để siết chặt nhưng chưa đến mức "dễ dàng bị phát hiện" và "xử lý nghiêm minh"</t>
  </si>
  <si>
    <t>Cơ quan thuế đã cải thiện đáng kể trong việc quản lý và giám sát thông qua công nghệ nhưng nguồn lực vẫn chưa đồng bộ trên toàn hệ thống.</t>
  </si>
  <si>
    <t>mặc dù cơ quan quản lý đã có những nỗ lực ứng dụng công nghệ vào việc quản lý và giám sát nhưng còn bị hạn chế ở nguồn lực - nhân sự thực hiện - năng lực triển khai một cách đồng bộ trên toàn hệ thống.</t>
  </si>
  <si>
    <t>Trình tự làm việc với cơ quan thuế có đơn giản hơn, tuy nhiên còn nhiều bước thủ tục cần cải thiện. Việc tính toán thuế đã được giải quyết bởi người khác nên tôi không quá quan tâm.</t>
  </si>
  <si>
    <t xml:space="preserve">mặc dù đã và đang đẩy mạnh các thủ tục thực hiện online nhưng còn nhiều bước và nhiều loại giấy tờ thủ tục, doanh nghiệp bắt buộc vẫn phải liên hệ trực tiếp cán bộ thuế. </t>
  </si>
  <si>
    <t>Biểu thuế mới đơn giản hóa so với trước nhưng vẫn cần thêm thời gian để làm quen.</t>
  </si>
  <si>
    <t>không quan tâm lắm, việc tính toán này đã có người khác làm</t>
  </si>
  <si>
    <t>Hi vọng chính phủ sẽ công bằng trong việc thực thi, nhưng e rằng sự khác biệt giữa các địa phương vẫn còn tồn tại.</t>
  </si>
  <si>
    <t>hi vọng là vậy, e rằng sẽ vẫn tồn tại sự khác biệt/cách biệt trong việc hiểu và vận dụng chính sách thuế ở các địa phương</t>
  </si>
  <si>
    <t>Mức thuế mới được xem là hợp lý cho thu nhập của tôi, mặc dù có thể cần thêm thời gian để làm quen với các quy định mới.</t>
  </si>
  <si>
    <t xml:space="preserve">đành phải chấp nhận vì trước nay đã có tổ chức/hiệp hội/đại biểu quốc hội nào thành công trong việc thuyết phục sự diều chỉnh đâu. Còn nhiều khoản chi phí thực tế cũng như các ngưỡng chịu thuế cần được tính toán và xem xét. </t>
  </si>
  <si>
    <t>Tin rằng số tiền thuế đóng sẽ được sử dụng hiệu quả nhưng cần giám sát thường xuyên hơn từ cơ quan quản lý.</t>
  </si>
  <si>
    <t xml:space="preserve">hi vọng là thế, cần có cơ quan giám sát tách bạch và có cơ chế minh bạch/giải trình về việc sử dụng tiền thuế vào các dịch vụ công nào, định kỳ hàng năm trước đại diện người dân </t>
  </si>
  <si>
    <t>Nhà nước đã giải thích rõ ràng về mục tiêu sửa đổi, tuy nhiên việc cải thiện dịch vụ công cần thêm thời gian để thấy hiệu quả.</t>
  </si>
  <si>
    <t>không phản đối cũng không hoàn toàn đồng ý, cơ bản là nhà nước truyền thông cũng đủ và tạo diễn đàn tranh luận cũng ở mức vừa đủ khi điều chỉnh chính sách về thuế TNCN, không quá khó hiểu hay phức tạp với mặt bằng chung người dân. Nhưng nó vừa đủ với dân trí thức là chính, còn phần đông người dân còn lại thì không nắm được gì nhiều.</t>
  </si>
  <si>
    <t>Sẵn sàng tuân thủ vì không có lựa chọn khác, nhưng hy vọng các chính sách sẽ được cải thiện trong tương lai.</t>
  </si>
  <si>
    <t>sẵn sàng tuân thủ vì không có lựa chọn, tuy nhiên tôi cũng k phản đối, chỉ hi vọng trong tương lai sẽ có nhiều chính sách đc cải thiện</t>
  </si>
  <si>
    <t>mặc dù cơ quan quản lý có nỗ lực nhưng hạn chế về nguồn lực và năng lực triển khai đồng bộ, khiến việc phát hiện trốn thuế vẫn còn khó khăn</t>
  </si>
  <si>
    <t>như ENF1, mặc dù công nghệ đã được ứng dụng nhưng chưa đủ mạnh mẽ để kiểm soát toàn diện các hành vi trốn thuế</t>
  </si>
  <si>
    <t>thủ tục có cải thiện nhưng vẫn còn nhiều bước và loại giấy tờ cần thiết</t>
  </si>
  <si>
    <t>bậc thuế giảm đi khiến tính toán đơn giản hơn, nhưng vẫn chưa phải là quá dễ dàng đối với người không rành về tài chính</t>
  </si>
  <si>
    <t>hi vọng sẽ công tâm nhưng thực tế còn nhiều khác biệt giữa các địa phương và cách hiểu thuế</t>
  </si>
  <si>
    <t>mức thuế mới phù hợp với thu nhập của tôi, thể hiện sự công bằng trong việc phân chia gánh nặng</t>
  </si>
  <si>
    <t>tin tưởng số tiền đóng sẽ được sử dụng hiệu quả cho các dịch vụ công nhưng chưa có thông tin cụ thể về cách quản lý</t>
  </si>
  <si>
    <t>nhà nước đã giải thích rõ ràng mục tiêu của việc sửa đổi thuế, tạo ra diễn đàn để người dân góp ý</t>
  </si>
  <si>
    <t>sẵn sàng tuân thủ vì không có lựa chọn khác và hy vọng các chính sách sẽ được cải thiện trong tương lai</t>
  </si>
  <si>
    <t>tin rằng với các quy định quản lý thuế hiện nay, hành vi gian lận hoặc trốn thuế sẽ dễ dàng bị phát hiện và xử lý nghiêm không cao do còn nhiều trường hợp trốn/né thuế khá tinh vi. nguồn lực - nhân sự thực hiện - năng lực triển khai của cán bộ thuế chưa đồng bộ trên toàn hệ thống.</t>
  </si>
  <si>
    <t>cơ quan thuế có đủ khả năng và công nghệ để phát hiện, xử lý nghiêm các hành vi trốn thuế không nhiều do hạn chế về nguồn lực thực hiện</t>
  </si>
  <si>
    <t>thủ tục khai báo thuế và quy trình làm việc với cơ quan thuế đơn giản, tiện lợi hơn nhưng vẫn cần liên hệ trực tiếp cán bộ thuế</t>
  </si>
  <si>
    <t>cách tính thuế và các bậc thuế trong phương án mới đơn giản, dễ hiểu hơn so với trước đây</t>
  </si>
  <si>
    <t>tin rằng nhà nước sẽ thực thi chính sách một cách khách quan nhưng e ngại sự khác biệt/cách biệt giữa các địa phương</t>
  </si>
  <si>
    <t>mức thuế mới là công bằng, hợp lý với thu nhập của tôi</t>
  </si>
  <si>
    <t>tin rằng số tiền thuế đóng sẽ được sử dụng hiệu quả để cải thiện dịch vụ công nhưng muốn có cơ chế giám sát tách bạch hơn</t>
  </si>
  <si>
    <t>nhà nước đã giải thích rõ ràng về lý do và mục tiêu của việc sửa đổi thuế lần này</t>
  </si>
  <si>
    <t>sẵn sàng tuân thủ vì không có lựa chọn khác nhưng hi vọng trong tương lai sẽ cải thiện nhiều hơn</t>
  </si>
  <si>
    <t>Tôi không hoàn toàn tin rằng hành vi gian lận hoặc trốn thuế sẽ dễ dàng bị phát hiện và xử lý nghiêm. Trong thực tế, còn nhiều trường hợp trốn/né thuế khá tinh vi, và sự thiếu minh bạch của chính cán bộ xử lý nên dù cơ quan quản lý có nỗ lực để siết chặt nhưng chưa đến mức 'dễ dàng bị phát hiện' và 'xử lý nghiêm minh'.</t>
  </si>
  <si>
    <t>Tôi không hoàn toàn tin rằng Nhà nước, cơ quan thuế có đủ khả năng và công nghệ để phát hiện, xử lý nghiêm các hành vi trốn thuế. Mặc dù đã có những nỗ lực ứng dụng công nghệ vào việc quản lý và giám sát nhưng còn bị hạn chế ở nguồn lực - nhân sự thực hiện - năng lực triển khai một cách đồng bộ trên toàn hệ thống.</t>
  </si>
  <si>
    <t>Tôi thấy các thủ tục khai báo thuế đơn giản hơn so với trước đây, nhưng vẫn còn nhiều bước và loại giấy tờ thủ tục. Doanh nghiệp bắt buộc vẫn phải liên hệ trực tiếp cán bộ thuế. Mặc dù đã và đang đẩy mạnh việc thực hiện online, tôi không quan tâm lắm vì đã có người khác làm việc này.</t>
  </si>
  <si>
    <t>Cách tính thuế và các bậc thuế trong phương án mới đơn giản hơn nhưng vẫn chưa phải là rất dễ hiểu. Số bậc thuế giảm đi giúp việc thực hiện đơn giản hơn, tuy nhiên, tôi không quá quan tâm đến vấn đề này vì đã có người khác lo liệu.</t>
  </si>
  <si>
    <t>Tôi hy vọng Nhà nước sẽ thực thi chính sách mới một cách khách quan và công bằng nhưng e rằng vẫn tồn tại sự khác biệt trong việc hiểu và vận dụng chính sách thuế ở các địa phương. Hiểu biết về luật pháp cũng không đồng đều giữa các vùng miền.</t>
  </si>
  <si>
    <t>Mức thuế tôi phải đóng theo phương án mới là hợp lý nhưng vẫn cần xem xét thêm nhiều yếu tố như mức độ phức tạp của thu nhập và chi phí thực tế. Dù vậy, nó đã được cải thiện so với trước đây.</t>
  </si>
  <si>
    <t>Tôi tin số tiền thuế tôi đóng sẽ được sử dụng hiệu quả để cải thiện dịch vụ công nhưng cần có cơ quan giám sát tách bạch và minh bạch hơn trong việc sử dụng nguồn thu. Hi vọng Nhà nước sẽ thực hiện điều này định kỳ hàng năm.</t>
  </si>
  <si>
    <t>Nhà nước đã giải thích rõ ràng về lý do và mục tiêu của việc sửa đổi thuế lần này nhưng vẫn chưa đủ cho mọi người hiểu đầy đủ. Tuy nhiên, mức độ minh bạch hiện tại là vừa đủ với dân trí thức và phần đông người dân.</t>
  </si>
  <si>
    <t>Tôi sẵn sàng tuân thủ vì không có lựa chọn khác nhưng hy vọng trong tương lai sẽ có nhiều chính sách cải thiện hơn nữa. Dù vậy, tôi tin rằng việc cải cách thuế là cần thiết và hướng đi tốt.</t>
  </si>
  <si>
    <t>Dựa trên kinh nghiệm, tôi thấy hành vi gian lận hoặc trốn thuế vẫn còn tồn tại và khó phát hiện hoàn toàn. Tuy nhiên, các nỗ lực cải thiện của cơ quan quản lý đã giúp tăng cường giám sát.</t>
  </si>
  <si>
    <t>Cơ sở hạ tầng công nghệ thông tin đã được cải thiện nhưng còn hạn chế về nguồn lực và đồng bộ hóa trên toàn hệ thống. Điều này có thể làm giảm hiệu quả phát hiện các hành vi trốn thuế.</t>
  </si>
  <si>
    <t>Tính toán thuế theo phương án mới đơn giản hơn, nhưng vẫn cần liên hệ trực tiếp với cơ quan thuế để xử lý một số vấn đề phức tạp. Tuy nhiên, việc thực hiện thủ tục online đã giúp cải thiện đáng kể.</t>
  </si>
  <si>
    <t>Biểu thuế mới đơn giản hơn so với trước đây và dễ hiểu hơn, nhưng vẫn có nhiều bước cần thực hiện. Điều này làm cho quá trình tính toán trở nên phức tạp đối với một số người.</t>
  </si>
  <si>
    <t>Tôi tin rằng cơ quan thuế sẽ cố gắng đảm bảo công bằng trong việc áp dụng chính sách, nhưng vẫn có thể tồn tại sự khác biệt giữa các địa phương.</t>
  </si>
  <si>
    <t>Mức giảm trừ gia cảnh và bậc thuế mới là hợp lý cho thu nhập của tôi, tuy nhiên, còn nhiều khoản chi phí thực tế cần được xem xét thêm.</t>
  </si>
  <si>
    <t>Tôi hy vọng số tiền thuế đóng sẽ được sử dụng hiệu quả để cải thiện dịch vụ công, nhưng cần có cơ quan giám sát tách bạch hơn.</t>
  </si>
  <si>
    <t>Nhà nước đã giải thích rõ ràng về mục tiêu của việc sửa đổi luật thuế và tôi thấy có diễn đàn tranh luận để người dân góp ý, nhưng vẫn còn nhiều điểm khó hiểu đối với một số người.</t>
  </si>
  <si>
    <t>Sau khi xem xét các quyền lợi và nghĩa vụ mới, tôi cho rằng chính sách thuế mới mang lại lợi ích cho tôi. Tôi sẽ tuân thủ vì không có lựa chọn khác.</t>
  </si>
  <si>
    <t>Điều này phức tạp vì mặc dù công nghệ VNeID giúp phát hiện trốn thuế dễ hơn, nhưng đối với nguồn thu đa dạng như đầu tư tài sản, rủi ro gian lận vẫn còn tồn tại. Với thu nhập của tôi, mức thuế giảm nên không quá ảnh hưởng.</t>
  </si>
  <si>
    <t>Với nhóm thu nhập từ tiền lương, tiền công, cơ chế khấu trừ tại nguồn và hóa đơn – chứng từ điện tử giúp tăng tính minh bạch, nên trốn thuế ‘thô’ sẽ khó hơn và khả năng bị phát hiện cao hơn. Tuy nhiên, ở các nguồn thu khác—nhất là giao dịch tài sản, thu nhập đa nguồn hoặc cấu trúc giao dịch phức tạp—rủi ro gian lận vẫn tồn tại do hạn chế về liên thông dữ liệu, định danh chủ thể hưởng lợi cuối cùng và khả năng theo dõi dòng tiền. Vì vậy, phát hiện được hay không còn phụ thuộc vào mức độ liên thông dữ liệu và năng lực kiểm tra theo rủi ro</t>
  </si>
  <si>
    <t>Điều này phức tạp vì mặc dù công nghệ VNeID giúp phát hiện trốn thuế dễ hơn, nhưng đối với nguồn thu đa dạng như đầu tư tài sản, rủi ro gian lận vẫn còn tồn tại.</t>
  </si>
  <si>
    <t>Với công nghệ hiện tại và việc kiểm soát dữ liệu các nhân khá chặt chẽ thông qua VNeID, nhà nước có thể phát hiện các hành vi trốn thuế và xử lý. Mức độ nghiêm khắc sẽ cần tùy thuộc vào tình huống để đánh giá.</t>
  </si>
  <si>
    <t>Đoạn này đơn giản vì quy trình khai báo thuế qua ứng dụng etax đã dễ dàng hơn và không cần tiếp xúc nhiều với cán bộ thuế, giảm thời gian làm thủ tục.</t>
  </si>
  <si>
    <t>(Câu trả lời được dựa trên quá trình khai thuế trước 1/5/2025) Việc khai báo thuế hiện nay có thể thực hiện qua ứng dụng etax khá tiện lợi, cá nhân nộp thuế không cần mất thời gian đến cơ quan thuế để làm thủ tục, do đó, quy trình khai báo thuế, nộp thuế đã giảm được thời gian cũng như không cần phải tiếp xúc nhiều với cán bộ thuế, tránh những mâu thuẫn xảy ra trong quá trình làm thủ tục. Thủ tục khai thuế của năm 2024 cũng cải thiện hơn trước đó nhiều khi cá nhân nộp thuế không phải tự tìm các giấy tờ nộp thuế liên quan mà đã được tích hợp sẵn. Tuy nhiên, quá trình phản hồi trên hệ thống online chậm hơn kỳ vọng (mất hơn 7 ngày). Vấn đề nộp/nhận thuế qua ngân hàng cũng giới hạn ở các ngân hàng liên kết như BIDV mà không mở cho tất cả các ngân hàng khác,</t>
  </si>
  <si>
    <t>Đoạn này tốt vì cách tính thuế và biểu thuế mới đơn giản hóa quy trình, phù hợp với thu nhập từ tiền lương của tôi. Thuế bậc thấp giúp giảm bớt nỗi lo về việc tăng thu nhập không đáng kể nhưng mức thuế tăng.</t>
  </si>
  <si>
    <t>Nhìn chung, cách tính thuế và các bậc thuế trong phương án mới đơn giản và dễ hiểu hơn vì đã giảm từ 7 bậc thuế xuống còn 5 bậc. Đơn giản hơn vì mức thu nhập chịu thuế không bị xé nhỏ ra để tính mức thuê TNCN và khoảng thu nhập để nhảy bậc cũng rộng hơn, do đó, người nộp thuế ở bậc 2, bậc 3 có thể giảm bớt nỗi lo về việc thu nhập tăng thêm không đáng kể nhưng mức thu nhập chịu thuế thì tính ở 1 mức khác. 
- Về tính dễ thực hiện: Cách tính thuế và biểu thuế mới sẽ nhìn chung sẽ dễ thực hiện với người nộp thuế có 1 nguồn thu nhập và mức thu nhập hàng tháng từ dưới 40 triệu, nghĩa là bậc thuế sẽ nằm ở mức 1 và 2 do đây là 2 mức có khoản thuế phải đóng từ 5-10%. Đối với những cá nhân có khoản thu nhập chịu thuế ở bậc 3, 4 và 5, cách tính thuế này có thể sẽ gây khó thực hiện do mức thuế từ 20%-35% là rất cao. Điều này dễ dẫn đến việc các cá nhân nộp thuế sẽ chuyển thu thập ....</t>
  </si>
  <si>
    <t>Đoạn này phức tạp vì mức thuế mới chưa công bằng với người có nhiều nguồn thu, đặc biệt là những người ở khu vực thành thị. Thuế giảm chủ yếu cho người có thu nhập thấp và trung bình.</t>
  </si>
  <si>
    <t>Bản thân quy định đã chưa thể hiện sự công tâm và bình đẳng với mọi người nộp thuế. Do đó, khi thực thi, cơ quan thuế sẽ dễ dàng thực thi chính sách với những người lao động có 1 nguồn thu nhập tại các doanh nghiệp. Đối với người có nhiều nguồn thu nhập ngoài tiền lương như thu nhập từ đầu tư vốn, chuyển nhượng bất động sản thì việc quản lý nguồn thu nhập sẽ khó hơn cũng như mức thuế đang thấp hơn nhiều so với khấu trừ thuế từ tiền lương. Điều này dẫn đến hành vi cơ quan thuế sẽ đẩy mạnh việc thu thuế đối với những cá nhân có mức thu nhập thấp và trung bình thấp do có nguồn thu cố định và dễ thu, dễ quản lý trong khi bỏ qua những cá nhân có mức thu nhập cao khác. Tóm lại, ai đi làm công ăn lương mà ký hợp đồng lao động là đối tượng phải chấp hành nhiều nhất</t>
  </si>
  <si>
    <t>Mức đóng thuế hiện này chưa cân nhắc đến 2 yếu tố: (1) lạm phát; (2) điều kiện kinh tế xã hội từng vùng. Mặc dù mức giảm trừ gia cảnh tăng, biểu thuế thay đổi theo hướng giảm gánh nặng, nhưng mức tăng này chưa tương xứng với mức lạm phát hiện nay. Thu nhập bình quân của VN ở mức 8,1 triệu/tháng và hàng năm đều lương cơ bản đều tăng nhưng tăng lương cơ bản để bù đắp với lạm phát. Hay nói cách khác là thu nhập thực, sức mua hàng hóa của người dân là không thay đổi trong khi thu nhập danh nghĩa - mức thu nhập được căn cứ để tính thuế lại tăng. Bên cạnh đó, người ở khu vực thành thị, đặc biệt các thành phố như HN-HCM sẽ phải chịu các chi phí về nhà ở/giá thuê, y tế, giáo dục cao hoen nhiều hơn nhiều so với khu vực nông thôn hoặc các tỉnh thành nhỏ khác. Giá nhà ở HN, HCM so với các tỉnh khác là một ví dụ</t>
  </si>
  <si>
    <t>Đoạn này phức tạp vì mặc dù thuế giảm nhưng gánh nặng về chi phí sinh hoạt cao tại khu vực thành thị chưa được bù đắp. Thuê sẽ chỉ thực hiện công bằng khi cải thiện dịch vụ công cho người yếu thế.</t>
  </si>
  <si>
    <t>Nhà nước chưa công bố phân bổ đầu tư công cho các lĩnh vực/dịch vụ công mà chủ yếu liệt kê các dự án trọng điểm mà vốn đầu tư công sẽ ưu tiên. Cách truyền thông và minh bạch dữ liệu này không chứng minh được việc nhà nước sẽ sử dụng tiền thuế cho việc cải thiện các dịch vụ công. Trên thực tế, chỉ các bệnh viện tuyến tỉnh hoặc bệnh viện đa khoa ở TP lớn được phân bổ ngân sách để sửa chữa, cải tạo, trong khi các bệnh viện tuyến huyện (trước sát nhập) - nơi gần người dân và người yếu thế hơn thì hầu như không được phân bổ ngân sách để xây mới trong khi nhiều cơ sở đã xuống cấp.</t>
  </si>
  <si>
    <t>Nhà nước đã nêu khá rõ mục tiêu của sửa đổi thuế là để giảm gánh nặng thuế, tuy nhiên, việc triển khai sao cho minh bạch thì chưa được đề cập rõ ràng. Hầu hết các bài viết, bài báo  liên quan đền chỉ nhấn mạnh việc tăng mức GTGC, hạ biểu thuế mà chưa giải thích rõ ràng cách áp dụng như thế nào. Đơn cử các khoản chi cho y tế, giáo dục - đào tạo của người nộp thuế và người phụ thuộc là một trong các khoản được miễn giảm thuế nhưng chưa được hướng dẫn cụ thể.</t>
  </si>
  <si>
    <t>Mặc dù thuế giảm, nhưng mức lạm phát và chi phí sinh hoạt cao không tương ứng với sự giảm gánh nặng. Tuy nhiên, tôi sẽ tuân thủ vì tôn trọng pháp luật.</t>
  </si>
  <si>
    <t>Ủng hộ 1 phần vì định hướng của Nhà nước cho thấy có mục tiêu giảm gánh nặng cho người nộp thuế nhưng thực tế, chính sách này chưa thể hiện sự công tâm, bình đẳng như truyền thông nêu ra. Về việc tuân thủ: mặc dù không ủng hộ hoàn toàn nhưng sẽ tuân thủ do tôn trọng pháp luật và cũng không có cách nào khác ngoài việc tuân thủ ^_^</t>
  </si>
  <si>
    <t>Dựa trên thông tin, Nhà nước có công nghệ và VNeID để theo dõi hành vi gian lận, nhưng mức độ chính xác còn phụ thuộc vào chất lượng dữ liệu và khả năng kiểm tra của cơ quan thuế.</t>
  </si>
  <si>
    <t>Nếu Nhà nước thực hiện tốt việc liên thông dữ liệu và kiểm tra theo rủi ro, khả năng phát hiện gian lận sẽ tăng lên. Tuy nhiên, thực tế chưa rõ ràng.</t>
  </si>
  <si>
    <t>Khai thuế qua ứng dụng etax đã đơn giản hóa quy trình, nhưng việc phản hồi chậm và chỉ mở rộng cho một số ngân hàng là hạn chế.</t>
  </si>
  <si>
    <t>Biểu thuế mới đơn giản hơn, nhưng mức thuế cao ở bậc 3,4,5 có thể gây khó khăn đối với người nộp thuế có thu nhập ổn định từ nhiều nguồn.</t>
  </si>
  <si>
    <t>Dù Nhà nước cố gắng thực thi công bằng, nhưng việc giảm trừ gia cảnh chưa tương xứng với lạm phát và chi phí sống cao ở thành thị gây nghi ngờ về sự công bằng trong thực tế.</t>
  </si>
  <si>
    <t>Thuế tôi phải đóng có thể coi là hợp lý, nhưng mức giảm trừ gia cảnh chưa bù đắp được lạm phát và chi phí sống cao, gây nghi ngờ về sự công bằng.</t>
  </si>
  <si>
    <t>Tôi tin rằng số tiền thuế tôi đóng sẽ được sử dụng hiệu quả, nhưng minh bạch trong việc phân bổ ngân sách cho dịch vụ công chưa rõ ràng.</t>
  </si>
  <si>
    <t>Nhà nước đã giải thích mục tiêu của chính sách mới là giảm gánh nặng thuế, nhưng cách thức thực hiện và minh bạch chưa được đầy đủ.</t>
  </si>
  <si>
    <t>Chính sách cải cách thuế có mục đích tốt, nhưng thực tế chưa thể hiện sự công bằng như mong đợi. Tôi sẽ tuân thủ vì tôn trọng pháp luật.</t>
  </si>
  <si>
    <t>Dựa trên thông tin về việc áp dụng công nghệ VNeID và cải thiện liên thông dữ liệu, tôi đồng ý rằng hành vi gian lận hoặc trốn thuế có thể khó hơn để thực hiện. Tuy nhiên, các nguồn thu khác như đầu tư tài sản vẫn tiềm ẩn rủi ro.</t>
  </si>
  <si>
    <t>Nhà nước đã cải thiện đáng kể khả năng theo dõi và phát hiện thông qua VNeID và ứng dụng etax, do đó tôi tin rằng các hành vi trốn thuế sẽ bị phát hiện và xử lý nghiêm.</t>
  </si>
  <si>
    <t>So với quy trình khai báo trước đây, việc nộp thuế trực tuyến qua ứng dụng etax tiện lợi hơn nhiều. Tuy nhiên, thời gian phản hồi trên hệ thống còn chậm.</t>
  </si>
  <si>
    <t>Biểu thuế mới đơn giản hóa bậc thuế từ 7 xuống 5, giảm bớt nỗi lo về việc tính toán phức tạp và nâng cao khả năng hiểu rõ mức thuế phải đóng.</t>
  </si>
  <si>
    <t>Tôi đồng ý với nguyên tắc của Nhà nước rằng mục tiêu là giảm gánh nặng cho người nộp thuế, nhưng thực tế chưa thể hiện sự công bằng đối với những người có nhiều nguồn thu nhập khác nhau.</t>
  </si>
  <si>
    <t>Theo phương án mới, mức thuế tôi phải đóng phù hợp với mức thu nhập của mình và giảm gánh nặng so với trước đây. Tuy nhiên, mức tăng này chưa tương xứng với lạm phát.</t>
  </si>
  <si>
    <t>Tôi tin rằng số tiền thuế tôi đóng sẽ được sử dụng hiệu quả để cải thiện dịch vụ công, đặc biệt là y tế và giáo dục ở các khu vực nông thôn chưa được hỗ trợ đầy đủ.</t>
  </si>
  <si>
    <t>Đoạn văn đã nêu rõ mục tiêu của việc sửa đổi thuế nhưng chưa giải thích cụ thể cách áp dụng. Tôi đồng ý với nguyên tắc, nhưng cần thêm minh bạch hơn về cách sử dụng nguồn thu.</t>
  </si>
  <si>
    <t>Dù còn một số nghi ngờ về sự công bằng của chính sách mới, tôi sẽ tuân thủ do tôn trọng pháp luật và không có cách nào khác. Tôi hy vọng các cải tiến này sẽ thực hiện được mục tiêu giảm gánh nặng thuế.</t>
  </si>
  <si>
    <t xml:space="preserve">Dù cơ chế thuế mới đơn giản hơn, việc liên thông dữ liệu và kiểm soát minh bạch thông qua VNeID có thể giúp phát hiện hành vi trốn thuế. Tuy nhiên, vẫn còn rủi ro với các nguồn thu phức tạp., </t>
  </si>
  <si>
    <t xml:space="preserve">Nâng cao mức giảm trừ gia cảnh và đơn giản hóa biểu thuế giúp tăng tính minh bạch và khả năng kiểm soát. Tuy nhiên, vẫn cần cải thiện liên thông dữ liệu để phát hiện gian lận., </t>
  </si>
  <si>
    <t xml:space="preserve">Thủ tục khai thuế qua ứng dụng etax đơn giản hơn so với trước đây. Tuy nhiên, việc phản hồi chậm từ hệ thống và hạn chế ngân hàng liên kết vẫn là điểm yếu., </t>
  </si>
  <si>
    <t xml:space="preserve">Biểu thuế mới đơn giản hóa bậc thuế xuống còn 5 bậc, dễ thực hiện hơn so với trước đây. Mức thu nhập để nhảy bậc cũng rộng hơn, giảm nỗi lo về việc tăng thu nhập nhưng mức thuế khác., </t>
  </si>
  <si>
    <t xml:space="preserve">Chính sách mới có mục tiêu giảm gánh nặng cho người nộp thuế nhưng chưa thể hiện công bằng với tất cả mọi người. Hạng thu nhập thấp và trung bình bị kiểm soát nhiều hơn, trong khi những cá nhân có thu nhập cao khác thì ít được quan tâm., </t>
  </si>
  <si>
    <t xml:space="preserve">Mức thuế mới công bằng với thu nhập của tôi. Tuy nhiên, mức lạm phát chưa được xem xét đầy đủ trong biểu thuế, ảnh hưởng đến sức mua thực tế., </t>
  </si>
  <si>
    <t xml:space="preserve">Tôi tin số tiền thuế đóng sẽ được sử dụng hiệu quả để cải thiện dịch vụ công. Tuy nhiên, việc minh bạch về phân bổ ngân sách chưa rõ ràng gây nghi ngờ., </t>
  </si>
  <si>
    <t xml:space="preserve">Nhà nước đã giải thích mục tiêu của chính sách mới nhưng cách thực hiện và quản lý tiền thuế chưa được minh bạch đầy đủ. Đơn cử, việc sử dụng ngân sách cho y tế, giáo dục chưa rõ ràng., </t>
  </si>
  <si>
    <t xml:space="preserve">Chính sách mới hướng đến mục tiêu giảm gánh nặng thuế nhưng thực tế chưa công bằng với tất cả mọi người. Tuy nhiên, tôi tôn trọng pháp luật và sẽ tuân thủ vì không có cách khác., </t>
  </si>
  <si>
    <t>Công nghệ VNeID giúp phát hiện trốn thuế khó hơn, nhưng rủi ro vẫn tồn tại ở các nguồn thu khác phức tạp. Thuế mới giảm nên ít bị phát hiện.</t>
  </si>
  <si>
    <t>Nâng cấp công nghệ và VNeID giúp Nhà nước có khả năng xử lý nhanh hơn, nhưng rủi ro gian lận vẫn còn ở các nguồn thu phức tạp.</t>
  </si>
  <si>
    <t>Khai thuế qua ứng dụng etax tiện lợi, giảm thời gian và tiếp xúc với cán bộ thuế. Tuy nhiên, phản hồi online chậm hơn kỳ vọng.</t>
  </si>
  <si>
    <t>Biểu thuế đơn giản hóa dễ hiểu, nhưng mức thuế từ bậc 3 trở lên vẫn khá cao cho người thu nhập trung bình.</t>
  </si>
  <si>
    <t>Nhà nước tăng giảm trừ gia cảnh, đơn giản hóa biểu thuế để giảm gánh nặng. Tuy nhiên, chưa công bằng với người có nhiều nguồn thu khác nhau.</t>
  </si>
  <si>
    <t>Thuế mới giảm so với trước nhưng mức lạm phát cao nên chưa công bằng. Người ở thành thị chịu chi phí sinh hoạt cao hơn nên gánh nặng tương đối lớn hơn.</t>
  </si>
  <si>
    <t>Nhà nước chưa minh bạch rõ cách sử dụng tiền thuế vào dịch vụ công, đặc biệt là ở các địa phương nghèo và các cơ sở y tế tuyến huyện.</t>
  </si>
  <si>
    <t>Chính sách mới giảm gánh nặng cho người nộp thuế nhưng chưa minh bạch rõ về mục tiêu thực hiện.</t>
  </si>
  <si>
    <t>Dù thuế giảm nhưng chưa công bằng với người có nhiều nguồn thu khác nhau. Tuân thủ vì tôn trọng pháp luật và không có cách nào khác.</t>
  </si>
  <si>
    <t>Nhà nước đã đơn giản hóa quy trình quản lý thuế, tăng cường công nghệ để phát hiện gian lận. Thuật toán phân tích dữ liệu sẽ giúp nhanh chóng xác định các hành vi trốn thuế.</t>
  </si>
  <si>
    <t>rõ ràng, minh bạch hơn</t>
  </si>
  <si>
    <t>Cơ quan thuế có nhiều nguồn lực và công nghệ hiện đại hơn, đảm bảo xử lý nghiêm minh đối với những người không tuân thủ.</t>
  </si>
  <si>
    <t>quản lý cơ sở dữ liệu khoa học, hiện đại hơn</t>
  </si>
  <si>
    <t>Quy trình khai báo thuế trở nên đơn giản, dễ hiểu, giảm bớt các rào cản về thời gian và công sức cho người nộp thuế.</t>
  </si>
  <si>
    <t>đã có thủ tục hành chính rõ ràng cụ thể, dịch vụ hành chính công</t>
  </si>
  <si>
    <t>Biểu thuế mới với số bậc giảm từ 7 xuống còn 5 đã làm việc tính toán trở nên dễ dàng, phù hợp hơn đối với người dân thường.</t>
  </si>
  <si>
    <t>có phương án tính rõ ràng</t>
  </si>
  <si>
    <t>Nhà nước công khai quy định về quản lý thuế và xử phạt gian lận, tạo niềm tin cho người nộp thuế.</t>
  </si>
  <si>
    <t>vì chính sách, quy định, thủ tục minh bạch, rõ ràng, công khai</t>
  </si>
  <si>
    <t>Mức giảm trừ gia cảnh cao hơn trong biểu thuế mới làm tôi thấy hợp lý khi chỉ phải đóng thuế từ thu nhập vượt quá mức này.</t>
  </si>
  <si>
    <t>người thu nhập như tôi đóng mức này là hợp lý</t>
  </si>
  <si>
    <t>Thuế được sử dụng hiệu quả để cải thiện dịch vụ công, như y tế và giao thông, giúp nâng cao chất lượng cuộc sống.</t>
  </si>
  <si>
    <t>Nhà nước đang sử dụng rất hiệu quả để cải thiện hàng hoá công và dịch vụ công</t>
  </si>
  <si>
    <t>Nhà nước đã giải thích rõ mục đích của việc sửa đổi thuế qua các phương tiện truyền thông, tạo sự minh bạch trong quản lý tài chính.</t>
  </si>
  <si>
    <t>giải thích rõ ràng, công khai trên các phương tiện truyền thông</t>
  </si>
  <si>
    <t>Tôi ủng hộ và tuân thủ chính sách mới này vì nó công bằng đối với thu nhập như tôi và có lợi cho cộng đồng.</t>
  </si>
  <si>
    <t>tôi ủng hộ và tuân thủ chính sách thuế của Nhà nước</t>
  </si>
  <si>
    <t>Việc tăng mức giảm trừ gia cảnh và đơn giản hóa biểu thuế cho thấy Nhà nước đã cải thiện quản lý thuế, giảm thiểu cơ hội trốn thuế.</t>
  </si>
  <si>
    <t>Cơ quan thuế với công nghệ hiện đại sẽ dễ dàng phát hiện các hành vi gian lận hoặc trốn thuế.</t>
  </si>
  <si>
    <t>Quy định mới đơn giản hóa quy trình khai báo, giảm tải cho người nộp thuế.</t>
  </si>
  <si>
    <t>Bậc thuế rõ ràng và dễ hiểu hơn so với trước đây, thuận tiện cho việc tính toán.</t>
  </si>
  <si>
    <t>Nhà nước đã công khai và minh bạch trong việc thực thi chính sách, tạo niềm tin cho người dân.</t>
  </si>
  <si>
    <t>Với mức giảm trừ gia cảnh cao và thu nhập của tôi không vượt ngưỡng chịu thuế, việc đóng thuế công bằng.</t>
  </si>
  <si>
    <t>Nhà nước sử dụng số tiền thuế để cải thiện dịch vụ công, mang lại lợi ích cho người dân như tôi.</t>
  </si>
  <si>
    <t>Những giải thích rõ ràng về mục tiêu và lý do sửa đổi thuế giúp tôi tin tưởng vào sự minh bạch của Nhà nước.</t>
  </si>
  <si>
    <t>Sau khi xem xét, tôi ủng hộ và sẽ tuân thủ chính sách mới vì nó tạo ra nhiều lợi ích cho người dân như tôi.</t>
  </si>
  <si>
    <t>Quy định quản lý thuế hiện nay rõ ràng và khoa học, dễ dàng phát hiện các hành vi gian lận.</t>
  </si>
  <si>
    <t>Nhà nước có đủ khả năng và công nghệ để xử lý nghiêm các hành vi trốn thuế.</t>
  </si>
  <si>
    <t>Thủ tục khai báo thuế đơn giản, tiện lợi hơn so với trước đây.</t>
  </si>
  <si>
    <t>Phương án tính thuế mới dễ hiểu và thực hiện thuận lợi hơn.</t>
  </si>
  <si>
    <t>Nhà nước sẽ thực thi chính sách một cách công tâm, mọi người nộp thuế đều được đối xử bình đẳng.</t>
  </si>
  <si>
    <t>Mức thuế mới phù hợp với thu nhập của tôi và được giảm trừ gia cảnh cao hơn.</t>
  </si>
  <si>
    <t>Thuế đóng sẽ được sử dụng hiệu quả để cải thiện dịch vụ công.</t>
  </si>
  <si>
    <t>Nhà nước đã giải thích rõ ràng mục tiêu và lý do của việc sửa đổi thuế lần này.</t>
  </si>
  <si>
    <t>Tôi ủng hộ và tuân thủ chính sách mới vì nó công bằng và thuận lợi hơn.</t>
  </si>
  <si>
    <t>Quy định quản lý thuế hiện đại sẽ ngăn chặn hành vi gian lận, xử lý nghiêm các trường hợp trốn thuế.</t>
  </si>
  <si>
    <t>Nhà nước và cơ quan thuế có đủ năng lực công nghệ để phát hiện và xử lý trốn thuế hiệu quả.</t>
  </si>
  <si>
    <t>Thủ tục khai báo thuế đơn giản, tiện lợi hơn trước, tiết kiệm thời gian cho người dân.</t>
  </si>
  <si>
    <t>Phương án mới giảm bớt số bậc thuế và dễ dàng tính toán hơn so với trước đây.</t>
  </si>
  <si>
    <t>Công bằng vì mức thu nhập của tôi thuộc nhóm không phải đóng thuế, thể hiện sự công tâm trong chính sách.</t>
  </si>
  <si>
    <t>Thuế giảm trừ gia cảnh cao hơn thu nhập nên tôi không phải đóng thuế, thấy rằng quy định này hợp lý.</t>
  </si>
  <si>
    <t>Nhà nước sử dụng số tiền thuế để cải thiện dịch vụ công như y tế và giao thông, tạo niềm tin vào mục tiêu chính sách.</t>
  </si>
  <si>
    <t>Đã có các giải thích rõ ràng về chính sách mới trên truyền thông, minh bạch về mục đích của việc sửa đổi thuế.</t>
  </si>
  <si>
    <t>Xem xét quy định mới, tôi ủng hộ và tuân thủ vì nó công bằng với mức thu nhập hiện tại của tôi.</t>
  </si>
  <si>
    <t>Việc tăng giảm trừ gia cảnh và đơn giản hóa biểu thuế làm giảm khả năng trốn thuế, thêm vào đó công nghệ hiện đại giúp nhà nước quản lý hiệu quả.</t>
  </si>
  <si>
    <t>Nhà nước có đủ nguồn lực và công nghệ để giám sát và xử lý các hành vi gian lận thuế một cách nhanh chóng và chính xác.</t>
  </si>
  <si>
    <t>Thủ tục khai báo thuế đơn giản hơn, dễ thực hiện và ít rườm rà so với trước đây.</t>
  </si>
  <si>
    <t>Bậc thuế mới rõ ràng và dễ hiểu hơn, giảm bớt sự phức tạp khi tính toán thuế.</t>
  </si>
  <si>
    <t>Nhà nước đã cải cách thuế một cách công bằng và khách quan, đảm bảo mọi người nộp thuế đều được đối xử bình đẳng.</t>
  </si>
  <si>
    <t>Dựa trên mức giảm trừ gia cảnh cao hơn thu nhập của tôi, tôi thấy mức thuế mới là hợp lý.</t>
  </si>
  <si>
    <t>Nhà nước đang sử dụng số tiền thuế này để cải thiện chất lượng các dịch vụ công và cơ sở hạ tầng.</t>
  </si>
  <si>
    <t>Các biện pháp cải cách thuế đã được giải thích rõ ràng trên các phương tiện truyền thông, thể hiện sự minh bạch của chính phủ.</t>
  </si>
  <si>
    <t>Tôi ủng hộ và tuân thủ chính sách mới vì nó công bằng hơn so với trước đây.</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</si>
  <si>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</si>
  <si>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</si>
  <si>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</si>
  <si>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</si>
  <si>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</si>
  <si>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</si>
  <si>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</si>
  <si>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</si>
  <si>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</si>
  <si>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Lý do - HUMAN-ENF1</t>
  </si>
  <si>
    <t>Tôi tin rằng Nhà nước, cơ quan thuế có đủ khả năng và công nghệ để phát hiện, xử lý nghiêm các hành vi trốn thuế. - HUMAN-ENF2</t>
  </si>
  <si>
    <t>Lý do - HUMAN-ENF2</t>
  </si>
  <si>
    <t>Các thủ tục khai báo thuế VÀ/HOẶC quy trình làm việc với cơ quan thuế đơn giản, tiện lợi, nhanh chóng hơn so với trước đây. - HUMAN-FAC1</t>
  </si>
  <si>
    <t>Lý do - HUMAN-FAC1</t>
  </si>
  <si>
    <t>So với trước đây, tôi thấy cách tính thuế và các bậc thuế trong phương án mới đơn giản, dễ hiểu và dễ thực hiện hơn. - HUMAN-FAC2</t>
  </si>
  <si>
    <t>Lý do - HUMAN-FAC2</t>
  </si>
  <si>
    <t>Tôi tin rằng Nhà nước, cơ quan thuế sẽ thực thi chính sách mới một cách khách quan, công tâm và đối xử bình đẳng với mọi người nộp thuế.  - HUMAN-TRU1</t>
  </si>
  <si>
    <t>Lý do - HUMAN-TRU1</t>
  </si>
  <si>
    <t>Tôi thấy mức thuế tôi phải đóng theo phương án mới là công bằng (người thu nhập như tôi đóng mức này là hợp lý). - HUMAN-TRU2</t>
  </si>
  <si>
    <t>Lý do - HUMAN-TRU2</t>
  </si>
  <si>
    <t>Tôi tin tưởng số tiền thuế tôi đóng sẽ được Nhà nước sử dụng hiệu quả để cải thiện dịch vụ công (y tế, đường xá...). - HUMAN-TRU3</t>
  </si>
  <si>
    <t>Lý do - HUMAN-TRU3</t>
  </si>
  <si>
    <t>Tôi thấy Nhà nước đã giải thích rõ ràng, minh bạch về lý do và mục tiêu của việc sửa đổi thuế lần này. - HUMAN-TRU4</t>
  </si>
  <si>
    <t>Lý do - HUMAN-TRU4</t>
  </si>
  <si>
    <t>Sau khi xem xét các quyền lợi và nghĩa vụ, bạn có ủng hộ và tuân thủ chính sách mới hiện nay? - HUMAN-OUT1</t>
  </si>
  <si>
    <t>Lý do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</si>
  <si>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</si>
  <si>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</si>
  <si>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</si>
  <si>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</si>
  <si>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</si>
  <si>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</si>
  <si>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</si>
  <si>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</si>
  <si>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</si>
  <si>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</si>
  <si>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</si>
  <si>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</si>
  <si>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</si>
  <si>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</si>
  <si>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</si>
  <si>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</si>
  <si>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</si>
  <si>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</si>
  <si>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</si>
  <si>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</si>
  <si>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</si>
  <si>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</si>
  <si>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</si>
  <si>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</si>
  <si>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</si>
  <si>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</si>
  <si>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</si>
  <si>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</si>
  <si>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</si>
  <si>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</si>
  <si>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</si>
  <si>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</si>
  <si>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</si>
  <si>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</si>
  <si>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</si>
  <si>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</si>
  <si>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</si>
  <si>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</si>
  <si>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</si>
  <si>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</si>
  <si>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</si>
  <si>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</si>
  <si>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</si>
  <si>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</si>
  <si>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</si>
  <si>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</si>
  <si>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</si>
  <si>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</si>
  <si>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</si>
  <si>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</si>
  <si>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</si>
  <si>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</si>
  <si>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</si>
  <si>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</si>
  <si>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</si>
  <si>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</si>
  <si>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</si>
  <si>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</si>
  <si>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</si>
  <si>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</si>
  <si>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</si>
  <si>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</si>
  <si>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</si>
  <si>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Sau khi giảm bớt mức độ phức tạp, quy trình làm việc với cơ quan thuế đã đơn giản hơn và tiện lợi hơn so với trước đây.</t>
  </si>
  <si>
    <t>Biểu thuế mới có ít bậc hơn nên dễ hiểu và thực hiện hơn. Tuy nhiên, vẫn còn ngổn ngang khi chuyển giao từ offline sang online.</t>
  </si>
  <si>
    <t>Tôi tin rằng Nhà nước sẽ thực thi chính sách một cách khách quan, công tâm và đối xử bình đẳng với mọi người nộp thuế, mặc dù thay đổi mới chỉ vừa được áp dụng.</t>
  </si>
  <si>
    <t>Nhìn chung mức thuế tôi phải đóng theo phương án mới là hợp lý. Mức giảm trừ gia cảnh cao hơn giúp giảm gánh nặng tài chính cho người dân.</t>
  </si>
  <si>
    <t>Tôi tin tưởng số tiền thuế tôi đóng sẽ được Nhà nước sử dụng hiệu quả để cải thiện dịch vụ công, mặc dù chưa rõ ràng về chi tiết cụ thể.</t>
  </si>
  <si>
    <t>Nhà nước đã giải thích rõ ràng về mục tiêu của việc sửa đổi thuế lần này. Mặc dù thay đổi mới chỉ vừa được áp dụng, nhưng tôi thấy có sự minh bạch hơn.</t>
  </si>
  <si>
    <t>Dù vẫn còn nhiều vấn đề cần cải thiện, nhưng chính sách mới đã giúp giảm gánh nặng thuế cho người dân và làm đơn giản hóa quy trình khai báo thuế. Tôi ủng hộ và tuân thủ chính sách này.</t>
  </si>
  <si>
    <t>So với trước đây, cách tính thuế và các bậc thuế trong phương án mới đơn giản, dễ hiểu và dễ thực hiện hơn. Tuy nhiên, do chưa quen thuộc nên điểm số không cao.</t>
  </si>
  <si>
    <t>Sau khi xem xét các quyền lợi và nghĩa vụ, tôi ủng hộ và tuân thủ chính sách mới hiện nay. Đây là bước tiến tốt nhưng cần thời gian để thích ứng.</t>
  </si>
  <si>
    <t>So với trước đây, cách tính thuế và các bậc thuế trong phương án mới đơn giản, dễ hiểu và dễ thực hiện hơn nhưng chưa rõ ràng hết.</t>
  </si>
  <si>
    <t>Mức thuế tôi phải đóng theo phương án mới là công bằng (người thu nhập như tôi đóng mức này là hợp lý) nhưng còn cần thời gian để quen thuộc.</t>
  </si>
  <si>
    <t>Tôi tin tưởng số tiền thuế tôi đóng sẽ được Nhà nước sử dụng hiệu quả để cải thiện dịch vụ công (y tế, đường xá...).</t>
  </si>
  <si>
    <t>Sau khi xem xét các quyền lợi và nghĩa vụ, tôi ủng hộ và tuân thủ chính sách mới hiện nay vì mức giảm trừ gia cảnh cao hơn thu nhập của tôi.</t>
  </si>
  <si>
    <t>Dù khâu thực thi được chú trọng và nhiều cải thiện, nhưng thay đổi chỉ mới gần đây nên chưa chắc chắn về hiệu quả trong tương lai.</t>
  </si>
  <si>
    <t>Cách tính thuế và các bậc thuế đơn giản hơn so với trước đây, nhưng quy trình làm việc với cơ quan thuế vẫn còn ngổn ngang.</t>
  </si>
  <si>
    <t>Số bậc thuế giảm đi, thủ tục khai báo thuế cũng đơn giản và dễ hiểu hơn</t>
  </si>
  <si>
    <t>Tôi tin rằng Nhà nước, cơ quan thuế sẽ thực thi chính sách mới một cách khách quan, công tâm và đối xử bình đẳng với mọi người nộp thuế.</t>
  </si>
  <si>
    <t>Mức giảm trừ gia cảnh cao hơn thu nhập nên tôi không phải đóng thuế. Đây là mức thuế hợp lý cho thu nhập của tôi</t>
  </si>
  <si>
    <t>Dù các thay đổi mang lại nhiều lợi ích cho tôi nhưng chưa chắc chắn về hiệu quả thực thi trong tương lai nên vẫn còn nghi ngờ</t>
  </si>
  <si>
    <t>Dù khâu thực thi được chú trọng và nhiều cải thiện nhưng thay đổi chỉ mới gần đây, chưa chắc được hiệu quả trong tương lai.</t>
  </si>
  <si>
    <t>Giống với quan điểm trước đó vì mọi thứ vẫn chưa rõ ràng nhưng tôi tin rằng với mức giảm trừ gia cảnh cao hơn, mình không cần phải đóng thuế nữa.</t>
  </si>
  <si>
    <t>Dù công nghệ hiện đại giúp phát hiện gian lận, nhưng tôi vẫn lo ngại về khả năng thực thi và sự công bằng trong quá trình xử lý.</t>
  </si>
  <si>
    <t>Tôi tin rằng cơ quan thuế có đủ nguồn lực để quản lý thuế hiệu quả hơn nhờ các cải cách này.</t>
  </si>
  <si>
    <t>Các quy trình khai báo đã đơn giản hơn, nhưng tôi vẫn cảm thấy chưa thật sự thuận tiện do chưa quen với hệ thống mới.</t>
  </si>
  <si>
    <t>Biểu thuế đơn giản hơn, dễ hiểu và thực hiện dễ dàng hơn so với trước đây.</t>
  </si>
  <si>
    <t>Tôi hy vọng rằng sự công bằng sẽ được duy trì trong quá trình áp dụng chính sách mới, nhưng vẫn có hoài nghi về thực tế.</t>
  </si>
  <si>
    <t>Đối với thu nhập của tôi, mức thuế mới này là hợp lý và công bằng.</t>
  </si>
  <si>
    <t>Tôi tin rằng tiền thuế đóng góp sẽ được sử dụng hiệu quả để cải thiện các dịch vụ công, nhưng vẫn lo ngại về minh bạch trong quá trình sử dụng.</t>
  </si>
  <si>
    <t>Những giải thích về chính sách mới chưa đủ chi tiết và rõ ràng như tôi mong đợi, nhưng tôi hy vọng rằng sự minh bạch sẽ được cải thiện.</t>
  </si>
  <si>
    <t>Thuế giảm đi đáng kể, cộng với mức thuế đơn giản hơn, đã làm tăng niềm tin của tôi về chính sách mới. Tuy nhiên, vẫn có một số lo ngại cần giải quyết.</t>
  </si>
  <si>
    <t>Hiện nay có nhiều công nghệ định danh và rà soát tự động, nhưng tôi vẫn lo ngại về khả năng phát hiện trốn thuế của cơ quan thuế.</t>
  </si>
  <si>
    <t>Cơ quan thuế sử dụng công nghệ là điều tốt, nhưng tôi chưa chắc chắn liệu họ có đủ năng lực và nguồn lực thực hiện hiệu quả</t>
  </si>
  <si>
    <t>Mức độ thuận tiện đã tăng do số bậc thuế giảm và giảm trừ gia cảnh lớn hơn. Tuy nhiên, việc chuyển đổi từ hệ thống cũ sang mới có thể gây thêm khó khăn.</t>
  </si>
  <si>
    <t>Biểu thuế đơn giản hóa nhiều nhưng tôi vẫn thấy cần cải thiện thêm trong việc hướng dẫn và hỗ trợ người nộp thuế</t>
  </si>
  <si>
    <t>Tôi tin Nhà nước sẽ công tâm khi thực thi, nhưng không có thông tin cụ thể về quy trình mới nên còn nghi ngờ</t>
  </si>
  <si>
    <t>Mức thuế mới giảm so với trước đây, nhưng tôi vẫn lo ngại về hiệu quả sử dụng nguồn thu</t>
  </si>
  <si>
    <t>Tôi tin số tiền thuế đóng sẽ được sử dụng hiệu quả cho dịch vụ công, nhưng cần nhiều thông tin hơn về cách chi tiêu</t>
  </si>
  <si>
    <t>Nhà nước đã giải thích rõ mục đích của việc sửa đổi, nhưng tôi vẫn mong muốn có thêm minh bạch trong quy trình thực thi</t>
  </si>
  <si>
    <t>Sau khi tính toán tác động tài chính và thay đổi về biểu thuế, tôi thấy ủng hộ chính sách mới, mặc dù còn nhiều lo ngại.</t>
  </si>
  <si>
    <t>Hiện tại, công nghệ định danh và tự động rà soát tài khoản đã giúp tăng cường quản lý thuế. Tuy nhiên, vẫn còn nhiều khó khăn trong việc phát hiện hành vi trốn thuế do thông tin cá nhân chưa được cập nhật đầy đủ.</t>
  </si>
  <si>
    <t>Cơ quan thuế có khả năng sử dụng công nghệ để giám sát và xử lý, nhưng mức độ thực thi cần thời gian để nâng cao hiệu quả.</t>
  </si>
  <si>
    <t>So với quy trình trước đây, quá trình khai báo và làm việc với cơ quan thuế đã đơn giản hơn, nhưng vẫn còn một số rào cản về phần mềm Etax mobile chưa ổn định.</t>
  </si>
  <si>
    <t>Biểu thuế mới có ít bậc hơn và dễ hiểu hơn so với trước đây, giúp người dân dễ dàng tính toán thu nhập chịu thuế.</t>
  </si>
  <si>
    <t>Tôi tin rằng cơ quan thuế sẽ thực hiện chính sách một cách công bằng, nhưng vẫn lo ngại về khả năng giám sát đầy đủ trên toàn quốc.</t>
  </si>
  <si>
    <t>Mức giảm trừ gia cảnh mới giúp tôi tiết kiệm được nhiều tiền thuế, cảm thấy mức thuế này là hợp lý đối với thu nhập hiện tại của mình.</t>
  </si>
  <si>
    <t>Tôi tin rằng số tiền thuế đóng sẽ được sử dụng hiệu quả để cải thiện dịch vụ công. Tuy nhiên, việc minh bạch chi tiêu cụ thể vẫn chưa rõ ràng.</t>
  </si>
  <si>
    <t>Chính phủ đã giải thích chính sách mới khá rõ ràng về mục tiêu và lý do, nhưng cần thêm thông tin từ học thuật để đánh giá hiệu quả dài hạn.</t>
  </si>
  <si>
    <t>Tôi ủng hộ chính sách mới vì giảm gánh nặng thuế cho người dân, tuy nhiên, vẫn có lo ngại về việc sử dụng hiệu quả nguồn thu thuế.</t>
  </si>
  <si>
    <t>Tôi cho rằng với các công nghệ hiện đại như định danh và rà soát tự động, hành vi gian lận sẽ khó trốn tránh. Tuy nhiên, tôi không chắc chắn về việc thực thi cụ thể.</t>
  </si>
  <si>
    <t>Tôi tin rằng Nhà nước có đủ nguồn lực để phát hiện và xử lý gian lận thuế, nhưng tôi chưa thấy thông tin rõ ràng về khả năng này.</t>
  </si>
  <si>
    <t>So với trước đây, quy trình làm việc đơn giản hơn. Tuy nhiên, tôi vẫn gặp khó khăn khi sử dụng Etax mobile và không chắc chắn liệu phần mềm có cập nhật theo chính sách mới hay không.</t>
  </si>
  <si>
    <t>Biểu thuế đã được đơn giản hóa nên dễ hiểu hơn. Tuy nhiên, tôi chưa thể đánh giá cao vì chưa thấy thực tế về cách tính thuế.</t>
  </si>
  <si>
    <t>Tôi tin rằng Nhà nước sẽ xử lý công bằng nhưng không chắc chắn về việc áp dụng quy định mới một cách khách quan và công tâm.</t>
  </si>
  <si>
    <t>Mức thuế mới là hợp lý với thu nhập của tôi. Tuy nhiên, tôi vẫn lo ngại về hiệu quả sử dụng tiền thuế.</t>
  </si>
  <si>
    <t>Tôi tin rằng số tiền thuế đóng sẽ được dùng hiệu quả cho các dịch vụ công nhưng chưa có thông tin cụ thể.</t>
  </si>
  <si>
    <t>Nhà nước đã giải thích về mục tiêu của việc sửa đổi chính sách, tuy nhiên, tôi vẫn hi vọng có thêm thông tin chi tiết hơn.</t>
  </si>
  <si>
    <t>Chính sách mới mang lại lợi ích tài chính cho tôi và đơn giản hóa quy trình. Tuy nhiên, tôi không quá tin tưởng vào hiệu quả thực tế của nó.</t>
  </si>
  <si>
    <t>Công nghệ định danh và tự động hóa rà soát tài khoản có thể phát hiện gian lận, nhưng vẫn lo ngại về khả năng thực thi.</t>
  </si>
  <si>
    <t>Hiện đại hóa công nghệ giúp xử lý trốn thuế hiệu quả hơn, nhưng chưa chắc chắn về độ chính xác của hệ thống.</t>
  </si>
  <si>
    <t>Thủ tục đơn giản hơn so với trước đây, giảm bớt thời gian và công sức cho người dân</t>
  </si>
  <si>
    <t>Biểu thuế đơn giản hóa giúp tính toán dễ dàng hơn, nhưng vẫn chưa thực sự phù hợp với mức sống hiện tại.</t>
  </si>
  <si>
    <t>Tin rằng cơ quan thuế sẽ cố gắng công bằng, nhưng lo ngại về việc minh bạch và quản lý hiệu quả</t>
  </si>
  <si>
    <t>Mức thuế mới phù hợp với thu nhập cá nhân hiện tại, nhưng chưa giải quyết được vấn đề lạm phát và sự bất công</t>
  </si>
  <si>
    <t>Tin rằng tiền thuế đóng góp sẽ được sử dụng hiệu quả để cải thiện dịch vụ công, nhưng cần thêm minh bạch về cách sử dụng</t>
  </si>
  <si>
    <t>Đã có thông tin giải thích từ truyền thông, nhưng chưa thấy đầy đủ minh bạch từ cơ quan thuế chính thức</t>
  </si>
  <si>
    <t>Thuế giảm và biểu thuế đơn giản hơn, cải thiện đáng kể so với trước đây. Tuy nhiên, mức sống thực tế vẫn chưa đáp ứng tốt</t>
  </si>
  <si>
    <t>Tôi vẫn lo ngại về khả năng phát hiện hành vi trốn thuế do sự phức tạp và nhũng nhiễu trong việc thực thi. Mặc dù có công nghệ hỗ trợ, nhưng quyền lợi nhóm vẫn có thể gây ra nhiều vấn đề.</t>
  </si>
  <si>
    <t>Cơ quan thuế cần tăng cường hơn nữa để giảm thiểu hành vi trốn thuế và gian lận. Tuy nhiên, việc cải thiện hệ thống quản lý thuế là hướng đi đúng.</t>
  </si>
  <si>
    <t>Quy trình khai báo thuế trở nên đơn giản hơn, nhưng vẫn cần thêm thời gian để người dân quen với các thay đổi mới.</t>
  </si>
  <si>
    <t>Bậc thuế ít hơn và giảm trừ gia cảnh cao hơn giúp việc tính toán thuế dễ dàng hơn, phù hợp với trình độ hiểu biết của tôi.</t>
  </si>
  <si>
    <t>Tôi hy vọng rằng Nhà nước sẽ thực thi chính sách một cách công bằng, nhưng vẫn lo ngại về sự tham nhũng và lợi ích nhóm.</t>
  </si>
  <si>
    <t>Mức thuế mới có thể hợp lý hơn so với trước đây, nhưng tôi vẫn lo ngại rằng nó chưa phản ánh đúng thực tế chi phí sống của người dân ở thành thị.</t>
  </si>
  <si>
    <t>Tôi tin tưởng rằng số tiền thuế đóng sẽ được sử dụng hiệu quả cho các dịch vụ công, nhưng có thể chưa tận dụng tối đa do tham nhũng và lãng phí tài chính.</t>
  </si>
  <si>
    <t>Các giải thích về mục tiêu cải cách thuế còn hạn chế, nên tôi không cảm thấy rằng mình đã hiểu đầy đủ.</t>
  </si>
  <si>
    <t>Sau khi xem xét tất cả các yếu tố, tôi sẽ tuân thủ chính sách mới, nhưng hy vọng rằng nó sẽ mang lại những thay đổi tích cực cho người dân và nền kinh tế.</t>
  </si>
  <si>
    <t>Chưa chắc chắn, mặc dù mức thuế giảm nhưng vẫn lo ngại về khả năng thực thi và gian lận.</t>
  </si>
  <si>
    <t>Khả năng của cơ quan thuế trong việc phát hiện trốn thuế chưa được cải thiện đáng kể theo tôi thấy.</t>
  </si>
  <si>
    <t>Các quy trình khai báo thuế đã đơn giản hơn, nhưng vẫn gặp khó khăn khi giao tiếp với cơ quan thuế.</t>
  </si>
  <si>
    <t>Biểu thuế mới dễ hiểu và thực hiện đơn giản hơn so với trước đây</t>
  </si>
  <si>
    <t>Lo ngại về khả năng công tâm của cơ quan thuế, nhưng hy vọng rằng sẽ cải thiện.</t>
  </si>
  <si>
    <t>Thuế mới có phần công bằng hơn so với trước đây, nhưng vẫn lo ngại về hiệu quả sử dụng</t>
  </si>
  <si>
    <t>Tin rằng thuế sẽ được sử dụng để cải thiện dịch vụ công, nhưng không chắc chắn.</t>
  </si>
  <si>
    <t>Đã giải thích rõ mục tiêu của chính sách mới, nhưng vẫn cần nhiều thông tin hơn</t>
  </si>
  <si>
    <t>Tuy chưa hoàn toàn ủng hộ nhưng sẽ tuân thủ để xem xét kết quả thực tế.</t>
  </si>
  <si>
    <t>Bậc thuế và mức thuế vẫn là quá cao, làm giảm động lực làm việc và tăng khả năng gian lận. Sự thay đổi không nhiều so với trước đây với những người có thu nhập cao.</t>
  </si>
  <si>
    <t>Nếu áp dụng công nghệ thì việc thực thi sẽ dễ dàng, không khó khăn. Tuy nhiên, trong quá trình thực thi, bằng nhiều cách thức, đối tượng có thể thoát được thuế, đặc biệt thông qua lạm dụng quyền và lợi ích nhóm.</t>
  </si>
  <si>
    <t>Cơ quan thuế Quận 7 thật tệ. Ngoài ra, đang trong quá trình chuyển đổi, sáp nhập nên khâu thực thi, hỗ trợ người dân gặp nhiều khó khăn.</t>
  </si>
  <si>
    <t>So với trước đây, cách tính thuế và các bậc thuế đơn giản, dễ hiểu hơn. Tuy nhiên, vẫn còn một số điểm phức tạp đối với những người không am hiểu về luật thuế.</t>
  </si>
  <si>
    <t>Tôi lo là sẽ nhiều khó khăn và phúc tạp ngoài mong đợi. Vẫn phải chờ đợi thêm.</t>
  </si>
  <si>
    <t>Mức và biểu thuế hiện vẫn quá cao, làm giảm động lực làm việc, đặc biệt của tầng lớp trung lưu, không phản ánh đúng với thực tế, mức sống của người dân. Ngoài ra, không phản ánh đúng theo từng vùng.</t>
  </si>
  <si>
    <t>Có ai hỏi tôi về cải cách thuế này đâu. Vấn đề truyền thông còn hạn chế nên cho điểm trung bình.</t>
  </si>
  <si>
    <t>Chính phủ đã giải thích rõ ràng, minh bạch về lý do và mục tiêu của việc sửa đổi thuế lần này.</t>
  </si>
  <si>
    <t>Nếu áp dụng công nghệ thì việc thực thi sẽ dễ dàng, không khó khăn. Tuy nhiên, trong quá trình thực thi, bằng nhiều cách thức, đối tượng có thể thoát được thuế, đặc biệt thông qua lạm dụng quyền và lợi ích nhóm, trong đó có lao động ở các cơ quan nhà nước có khả năng tự ra luật để mình được đặc quyền.</t>
  </si>
  <si>
    <t>Đồng ý khi có sự thay đổi tốt hơn. Mặc dù thủ tục đã đơn giản hóa, nhưng vẫn gặp nhiều khó khăn do quá trình sáp nhập và chuyển đổi cơ quan thuế.</t>
  </si>
  <si>
    <t>So với trước đây, cách tính thuế và các bậc thuế trong phương án mới đơn giản, dễ hiểu và dễ thực hiện hơn. Điều này giúp người dân như tôi không còn phải mất thời gian phân tích phức tạp.</t>
  </si>
  <si>
    <t>Tôi tin rằng Nhà nước, cơ quan thuế sẽ thực thi chính sách mới một cách khách quan, công tâm và đối xử bình đẳng với mọi người nộp thuế. Tuy nhiên, tôi lo ngại về hiệu quả đầu tư công của Việt Nam từ xưa đến nay.</t>
  </si>
  <si>
    <t>Tôi tin tưởng số tiền thuế tôi đóng sẽ được Nhà nước sử dụng hiệu quả để cải thiện dịch vụ công (y tế, đường xá...). Mặc dù có những trải nghiệm không tốt, nhưng so với các nước kém phát triển, nghèo đói khác thì vẫn có tín hiệu tích cực.</t>
  </si>
  <si>
    <t>Quy định quản lý thuế hiện nay vẫn còn nhiều lỗ hổng, đặc biệt đối với tầng lớp có thu nhập cao. Hành vi gian lận hoặc trốn thuế vẫn có thể xảy ra, mặc dù việc thực thi ngày càng mạnh mẽ hơn.</t>
  </si>
  <si>
    <t>Nếu Nhà nước và cơ quan thuế tiếp tục đầu tư công nghệ để phát hiện và xử lý nghiêm các hành vi trốn thuế, tôi sẽ nâng điểm này lên. Hiện tại vẫn còn nhiều vấn đề cần cải thiện.</t>
  </si>
  <si>
    <t>Quy trình khai báo thuế đã đơn giản hơn so với trước đây, đặc biệt là việc giảm bớt các bậc thuế và mức giảm trừ gia cảnh. Điều này làm cho quá trình làm việc với cơ quan thuế trở nên tiện lợi hơn.</t>
  </si>
  <si>
    <t>Biểu thuế mới đơn giản hóa quy trình tính thuế, giúp người dân dễ hiểu và thực hiện hơn so với trước đây. Tuy nhiên, vẫn còn một số điểm cần cải thiện để tối ưu hóa hơn nữa.</t>
  </si>
  <si>
    <t>Tôi tin rằng cơ quan thuế sẽ cố gắng thực thi chính sách công bằng cho mọi người nộp thuế. Mặc dù vậy, tôi cũng lo ngại về việc có thể xảy ra nhũng nhiễu hoặc lợi ích nhóm trong quá trình thực thi.</t>
  </si>
  <si>
    <t>Mức thuế mới khá hợp lý so với thu nhập của tôi, giảm đáng kể so với mức thuế cũ. Điều này tạo cảm giác công bằng hơn đối với người dân có thu nhập như tôi.</t>
  </si>
  <si>
    <t>Tôi hy vọng số tiền thuế đóng sẽ được sử dụng hiệu quả để cải thiện dịch vụ công, nhưng vẫn còn nhiều lo ngại về việc quản lý và sử dụng nguồn lực này một cách minh bạch.</t>
  </si>
  <si>
    <t>Chính phủ đã giải thích rõ ràng về mục tiêu của việc sửa đổi thuế. Tuy nhiên, tôi cần thêm thông tin và minh bạch hơn để có thể đánh giá hiệu quả thực tế của chính sách mới.</t>
  </si>
  <si>
    <t>Tôi ủng hộ chính sách mới vì nó giảm gánh nặng tài chính cho người dân như tôi. Tuy nhiên, tôi cũng cần thêm thời gian để quen với quy định mới và đánh giá hiệu quả thực tế của chúng.</t>
  </si>
  <si>
    <t>Tôi cho rằng dù có quy định quản lý thuế, người muốn trốn thuế vẫn có cách để lách luật. Tuy nhiên, việc giảm trừ gia cảnh và đơn giản hóa biểu thuế sẽ làm giảm động lực trốn thuế.</t>
  </si>
  <si>
    <t>Với công nghệ ngày càng phát triển, tôi tin rằng cơ quan thuế có khả năng phát hiện các hành vi gian lận. Tuy nhiên, vẫn có thể còn nhiều rủi ro trốn thuế.</t>
  </si>
  <si>
    <t>Thủ tục khai báo và quy trình làm việc với cơ quan thuế đơn giản hơn, thuận tiện hơn so với trước đây. Tôi thấy dễ dàng hơn trong việc nộp thuế.</t>
  </si>
  <si>
    <t>Biểu thuế mới rõ ràng, dễ hiểu và thực hiện đơn giản hơn. Mức thu nhập chịu thuế thấp hơn giúp tôi tiết kiệm được nhiều chi phí.</t>
  </si>
  <si>
    <t>Tôi tin rằng cơ quan thuế sẽ thực thi công bằng với mọi người nộp thuế, dù mức thuế mới có thể cao hơn so với trước đây đối với thu nhập của tôi.</t>
  </si>
  <si>
    <t>Sau khi tính toán, tôi thấy mức thuế mới là hợp lý cho thu nhập của mình. Sự đơn giản hóa sẽ giúp giảm bớt gánh nặng tài chính.</t>
  </si>
  <si>
    <t>Có niềm tin rằng số tiền thuế đóng sẽ được sử dụng hiệu quả để cải thiện các dịch vụ công, như y tế và đường xá.</t>
  </si>
  <si>
    <t>Nhà nước đã giải thích rõ ràng về mục tiêu của việc sửa đổi thuế. Tuy nhiên, vẫn còn nhiều thông tin cần thêm để tôi hoàn toàn yên tâm.</t>
  </si>
  <si>
    <t>Dựa trên lợi ích tài chính và sự đơn giản hóa quy trình, tôi ủng hộ và tuân thủ chính sách mới. Tuy nhiên, vẫn có một số lo ngại về công bằng mức thuế.</t>
  </si>
  <si>
    <t>Tôi tin rằng nếu đã có Luật thì ai muốn trốn sẽ có cách lách để không bị phát hiện. Do họ có thể truy thu dựa vào dòng tiền ra vào tài khoản.</t>
  </si>
  <si>
    <t>Có thể làm online, nên tôi thấy tiện a; quy trình làm việc với cơ quan thuế đơn giản hơn trước đây.</t>
  </si>
  <si>
    <t>Tại cán bộ thuế ở tôi rất tốt; mức thuế mới được giảm đi nên tôi thấy công bằng</t>
  </si>
  <si>
    <t>Mức thuế mới theo phương án là công bằng (người thu nhập như tôi đóng mức này là hợp lý); thuế đã giảm nhiều nên cảm thấy hài lòng</t>
  </si>
  <si>
    <t>Tôi tin tưởng số tiền thuế tôi đóng sẽ được sử dụng hiệu quả để cải thiện dịch vụ công, y tế, đường xá...; mức thuế mới đã giảm đi nên cảm thấy hài lòng</t>
  </si>
  <si>
    <t>Nhà nước đã giải thích rõ ràng, minh bạch về lý do và mục tiêu của việc sửa đổi thuế lần này; mức thuế mới đã giảm đi nên cảm thấy hài lòng</t>
  </si>
  <si>
    <t>Dạ, là công dân thì phải tuân thủ, vì không có phương án khác; sau khi xem xét các quyền lợi và nghĩa vụ, tôi ủng hộ chính sách mới hiện nay.</t>
  </si>
  <si>
    <t>Tôi tin rằng nếu đã có Luật thì ai muốn trốn sẽ có cách lách để không bị phát hiện, nhưng Nhà nước vẫn có thể truy thu dựa vào dòng tiền ra vào tài khoản.</t>
  </si>
  <si>
    <t>Có thể làm online nên tôi thấy tiện lợi hơn so với trước đây</t>
  </si>
  <si>
    <t>So với trước đây, thủ tục đơn giản và dễ thực hiện hơn nhiều</t>
  </si>
  <si>
    <t>Biểu thuế mới rõ ràng, các bậc thuế đơn giản hóa, dễ hiểu hơn</t>
  </si>
  <si>
    <t>Dạ do tôi dễ tin người ạ; Dạ, về cơ bản là đã khá chi tiết và rõ ràng ạ</t>
  </si>
  <si>
    <t>Tại cán bộ thuế ở tôi rất tốt ạ; Tôi thấy phần trăm đóng thuế còn cao so với tôi</t>
  </si>
  <si>
    <t>Dạ, là công dân thì phải tuân thủ, vì không có phương án khác ạ; Số tiền thuế tôi đóng sẽ được Nhà nước sử dụng hiệu quả để cải thiện dịch vụ công</t>
  </si>
  <si>
    <t>Tôi thấy Nhà nước đã giải thích rõ ràng, minh bạch về lý do và mục tiêu của việc sửa đổi thuế lần này</t>
  </si>
  <si>
    <t>Dạ, là công dân thì phải tuân thủ, vì không có phương án khác ạ; Tôi sẽ ủng hộ chính sách mới để cải thiện chất lượng cuộc sống và dịch vụ công của đất nước</t>
  </si>
  <si>
    <t>Có thể làm online, nên tôi thấy tiện a; Tôi thấy như nhau</t>
  </si>
  <si>
    <t>Tại cán bộ thuế ở tôi rất tốt ạ; Tôi thấy phần trăm đóng thuế còn cao so với tôi; Dạ do tôi easy tin người ạ; Dạ, về cơ bản là đã khá chi tiết và rõ ràng ạ</t>
  </si>
  <si>
    <t>Tôi nghĩ rằng hành vi gian lận hoặc trốn thuế vẫn có thể xảy ra, nhưng tôi tin rằng cơ quan thuế hiện đại hóa công nghệ sẽ phát hiện và xử lý</t>
  </si>
  <si>
    <t>Nhà nước có khả năng và công nghệ để quản lý thuế hiệu quả hơn</t>
  </si>
  <si>
    <t>So với trước đây, thủ tục khai báo thuế dễ dàng hơn, nhưng vẫn cần thời gian quen thuộc</t>
  </si>
  <si>
    <t>Biểu thuế đơn giản hơn giúp việc tính toán và thực hiện dễ dàng hơn</t>
  </si>
  <si>
    <t>Tôi tin rằng cơ quan thuế sẽ công tâm trong việc thực thi chính sách mới</t>
  </si>
  <si>
    <t>Mức thuế tôi phải đóng theo phương án mới là hợp lý, phù hợp với thu nhập của tôi</t>
  </si>
  <si>
    <t>Tôi tin rằng số tiền thuế đóng sẽ được sử dụng hiệu quả để cải thiện chất lượng cuộc sống</t>
  </si>
  <si>
    <t>Nhà nước đã giải thích rõ ràng về mục tiêu của việc sửa đổi chính sách thuế</t>
  </si>
  <si>
    <t>Tôi ủng hộ và sẽ tuân thủ chính sách mới vì các quyền lợi và nghĩa vụ được cải thiện</t>
  </si>
  <si>
    <t>tk</t>
  </si>
  <si>
    <t>pk</t>
  </si>
  <si>
    <t>tk x pk</t>
  </si>
  <si>
    <t>Male</t>
  </si>
  <si>
    <t>Female</t>
  </si>
  <si>
    <t>Number of participants</t>
  </si>
  <si>
    <t>Rate (%)</t>
  </si>
  <si>
    <t>Undergraduate</t>
  </si>
  <si>
    <t>Graduate</t>
  </si>
  <si>
    <t>Formal</t>
  </si>
  <si>
    <t>Informal</t>
  </si>
  <si>
    <t>Above 102 million VNĐ</t>
  </si>
  <si>
    <t>From 12 - 18 million VNĐ</t>
  </si>
  <si>
    <t>From 23 - 32 million VNĐ</t>
  </si>
  <si>
    <t>From  32 - 48 million VNĐ</t>
  </si>
  <si>
    <t>From  48 - 70 million VNĐ</t>
  </si>
  <si>
    <t>From  70 - 102 million VNĐ</t>
  </si>
  <si>
    <t>0</t>
  </si>
  <si>
    <t>1</t>
  </si>
  <si>
    <t>2</t>
  </si>
  <si>
    <t>3</t>
  </si>
  <si>
    <t>DISTANCE_ENF1</t>
  </si>
  <si>
    <t>DISTANCE_ENF2</t>
  </si>
  <si>
    <t>DISTANCE_FAC1</t>
  </si>
  <si>
    <t>DISTANCE_FAC2</t>
  </si>
  <si>
    <t>DISTANCE_TRU1</t>
  </si>
  <si>
    <t>DISTANCE_TRU2</t>
  </si>
  <si>
    <t>DISTANCE_TRU3</t>
  </si>
  <si>
    <t>DISTANCE_TRU4</t>
  </si>
  <si>
    <t>DISTANCE_OUT1</t>
  </si>
  <si>
    <t>TVD (%)</t>
  </si>
  <si>
    <t>EMD</t>
  </si>
  <si>
    <t>Income</t>
  </si>
  <si>
    <t>Nghề nghiệp</t>
  </si>
  <si>
    <t>Nhân viên văn phòng - Chuyên viên bảo hiểm</t>
  </si>
  <si>
    <t>Luật sư</t>
  </si>
  <si>
    <t>Nhân viên văn phòng - Chuyên viên ngân hàng</t>
  </si>
  <si>
    <t>Nhân viên văn phòng - Giám đốc đối ngoại</t>
  </si>
  <si>
    <t>Lao động tự do</t>
  </si>
  <si>
    <t>Cán bộ, công chức, viên chức</t>
  </si>
  <si>
    <t>Nhân viên văn phòng - Bất động sản</t>
  </si>
  <si>
    <t>Influencer</t>
  </si>
  <si>
    <t>Nhân viên văn phòng - Dược</t>
  </si>
  <si>
    <t>Chủ doanh nghiệp</t>
  </si>
  <si>
    <t>Nhân viên văn phòng - Luật</t>
  </si>
  <si>
    <t>Nhân viên phòng văn - Ngân hàng</t>
  </si>
  <si>
    <r>
      <t xml:space="preserve">Vui lòng phân bổ tổng cộng </t>
    </r>
    <r>
      <rPr>
        <b/>
        <sz val="10"/>
        <color theme="0"/>
        <rFont val="Arial"/>
        <family val="2"/>
      </rPr>
      <t>100 điểm</t>
    </r>
    <r>
      <rPr>
        <sz val="10"/>
        <color theme="0"/>
        <rFont val="Arial"/>
        <family val="2"/>
      </rPr>
      <t xml:space="preserve"> vào 3 yếu tố dưới đây (Tổng 3 ô phải bằng đúng 100):  </t>
    </r>
    <r>
      <rPr>
        <b/>
        <sz val="10"/>
        <color theme="0"/>
        <rFont val="Arial"/>
        <family val="2"/>
      </rPr>
      <t xml:space="preserve">
Tổng điểm = Thực thi + Thuận tiện + Niềm tin = 100 điểm</t>
    </r>
    <r>
      <rPr>
        <sz val="10"/>
        <color theme="0"/>
        <rFont val="Arial"/>
        <family val="2"/>
      </rPr>
      <t xml:space="preserve">
Tính Thực thi (Enforcement): ............ điểm </t>
    </r>
  </si>
  <si>
    <r>
      <t xml:space="preserve">Vui lòng phân bổ tổng cộng </t>
    </r>
    <r>
      <rPr>
        <b/>
        <sz val="10"/>
        <color theme="0"/>
        <rFont val="Arial"/>
        <family val="2"/>
      </rPr>
      <t>100 điểm</t>
    </r>
    <r>
      <rPr>
        <sz val="10"/>
        <color theme="0"/>
        <rFont val="Arial"/>
        <family val="2"/>
      </rPr>
      <t xml:space="preserve"> vào 3 yếu tố dưới đây (Tổng 3 ô phải bằng đúng 100): </t>
    </r>
    <r>
      <rPr>
        <b/>
        <sz val="10"/>
        <color theme="0"/>
        <rFont val="Arial"/>
        <family val="2"/>
      </rPr>
      <t xml:space="preserve">
Tổng điểm = Thực thi + Thuận tiện + Niềm tin = 100 điểm</t>
    </r>
    <r>
      <rPr>
        <sz val="10"/>
        <color theme="0"/>
        <rFont val="Arial"/>
        <family val="2"/>
      </rPr>
      <t xml:space="preserve"> 
Tính Thuận tiện (Facilitation): ............ điểm</t>
    </r>
  </si>
  <si>
    <r>
      <t xml:space="preserve">Vui lòng phân bổ tổng cộng </t>
    </r>
    <r>
      <rPr>
        <b/>
        <sz val="10"/>
        <color theme="0"/>
        <rFont val="Arial"/>
        <family val="2"/>
      </rPr>
      <t>100 điểm</t>
    </r>
    <r>
      <rPr>
        <sz val="10"/>
        <color theme="0"/>
        <rFont val="Arial"/>
        <family val="2"/>
      </rPr>
      <t xml:space="preserve"> vào 3 yếu tố dưới đây (Tổng 3 ô phải bằng đúng 100): </t>
    </r>
    <r>
      <rPr>
        <b/>
        <sz val="10"/>
        <color theme="0"/>
        <rFont val="Arial"/>
        <family val="2"/>
      </rPr>
      <t xml:space="preserve">
Tổng điểm = Thực thi + Thuận tiện + Niềm tin = 100 điểm</t>
    </r>
    <r>
      <rPr>
        <sz val="10"/>
        <color theme="0"/>
        <rFont val="Arial"/>
        <family val="2"/>
      </rPr>
      <t xml:space="preserve">  
Niềm tin (Trust): ............ điểm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</si>
</sst>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9"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
      <sz val="10"/>
      <color theme="1"/>
      <name val="Calibri"/>
      <family val="2"/>
      <scheme val="minor"/>
    </font>
    <font>
      <sz val="10"/>
      <color theme="0"/>
      <name val="Calibri"/>
      <family val="2"/>
      <scheme val="minor"/>
    </font>
    <font>
      <b/>
      <sz val="10"/>
      <color theme="0"/>
      <name val="Arial"/>
      <family val="2"/>
    </font>
    <font>
      <sz val="10"/>
      <color theme="0"/>
      <name val="Arial"/>
      <family val="2"/>
    </font>
  </fonts>
  <fills count="6">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0" fontId="4" fillId="3" borderId="8"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0" xfId="0" applyNumberFormat="1"/>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165" fontId="0" fillId="0" borderId="1" xfId="0" applyNumberFormat="1" applyBorder="1"/>
    <xf numFmtId="165" fontId="0" fillId="2" borderId="1" xfId="0" applyNumberFormat="1" applyFill="1" applyBorder="1" applyAlignment="1">
      <alignment horizontal="center"/>
    </xf>
    <xf numFmtId="9" fontId="0" fillId="2" borderId="1" xfId="0" applyNumberFormat="1" applyFill="1" applyBorder="1"/>
    <xf numFmtId="0" fontId="6" fillId="4" borderId="1" xfId="0" applyFont="1" applyFill="1" applyBorder="1" applyAlignment="1">
      <alignment horizontal="left" vertical="center"/>
    </xf>
    <xf numFmtId="0" fontId="5" fillId="0" borderId="1" xfId="0" applyFont="1" applyBorder="1" applyAlignment="1">
      <alignment vertical="center"/>
    </xf>
    <xf numFmtId="1" fontId="0" fillId="0" borderId="1" xfId="0" applyNumberFormat="1" applyBorder="1"/>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uveduvn-my.sharepoint.com/personal/mpp26_duypham_student_fulbright_edu_vn/Documents/FSMPP/18.%20Thesis/Final%20Data/Interview%20-%20Nghi&#234;n%20c&#7913;u%20v&#7873;%20&#273;&#7873;%20xu&#7845;t%20s&#7917;a%20&#273;&#7893;i%20Lu&#7853;t%20Thu&#7871;%20Thu%20nh&#7853;p%20c&#225;%20nh&#226;n%20(TNCN)%20(Responses).xlsx" TargetMode="External"/><Relationship Id="rId1" Type="http://schemas.openxmlformats.org/officeDocument/2006/relationships/externalLinkPath" Target="Interview%20-%20Nghi&#234;n%20c&#7913;u%20v&#7873;%20&#273;&#7873;%20xu&#7845;t%20s&#7917;a%20&#273;&#7893;i%20Lu&#7853;t%20Thu&#7871;%20Thu%20nh&#7853;p%20c&#225;%20nh&#226;n%20(TNCN)%20(Respon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Responses 1"/>
      <sheetName val="Interview - Nghiên cứu về đề xu"/>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26.401662037038" createdVersion="8" refreshedVersion="8" minRefreshableVersion="3" recordCount="25" xr:uid="{0C7854FD-0917-452D-A4B1-CA7C802DA01A}">
  <cacheSource type="worksheet">
    <worksheetSource name="interview_responses[[Giới tính của bạn:]:[Lý do - HUMAN-OUT1]]"/>
  </cacheSource>
  <cacheFields count="25">
    <cacheField name="Giới tính của bạn:" numFmtId="0">
      <sharedItems count="2">
        <s v="Nữ"/>
        <s v="Nam"/>
      </sharedItems>
    </cacheField>
    <cacheField name="Độ tuổi của bạn:" numFmtId="0">
      <sharedItems count="3">
        <s v="30 - 39"/>
        <s v="40 - 49"/>
        <s v="25 - 29"/>
      </sharedItems>
    </cacheField>
    <cacheField name="Khu vực bạn đang sinh sống:" numFmtId="0">
      <sharedItems count="2">
        <s v="Thành thị"/>
        <s v="Nông thôn"/>
      </sharedItems>
    </cacheField>
    <cacheField name="Trình độ học vấn cao nhất:" numFmtId="0">
      <sharedItems count="2">
        <s v="Sau Đại học"/>
        <s v="Đại học"/>
      </sharedItems>
    </cacheField>
    <cacheField name="Tình trạng việc làm chính:" numFmtId="0">
      <sharedItems count="2">
        <s v="Khu vực chính thức (Có Hợp đồng lao động, đóng BHXH)"/>
        <s v="Khu vực phi chính thức (Lao động tự do, không có HĐLĐ)"/>
      </sharedItems>
    </cacheField>
    <cacheField name="Thu nhập bình quân tháng theo Hợp đồng lao động của bạn là bao nhiêu? (Vui lòng điền tổng thu nhập trước khi khấu trừ các loại Bảo hiểm (BHXH, BHYT, BHTN) và Thuế TNCN)" numFmtId="0">
      <sharedItems count="6">
        <s v="Từ 23 - 32 triệu VNĐ"/>
        <s v="Từ 12 - 18 triệu VNĐ"/>
        <s v="Từ 70 - 102 triệu VNĐ"/>
        <s v="Trên 102 triệu VNĐ"/>
        <s v="Từ 32 - 48 triệu VNĐ"/>
        <s v="Từ 48 - 70 triệu VNĐ"/>
      </sharedItems>
    </cacheField>
    <cacheField name="Số người phụ thuộc (con nhỏ, cha mẹ già...) đủ điều kiện giảm trừ gia cảnh:" numFmtId="0">
      <sharedItems count="4">
        <s v="1 người"/>
        <s v="2 người"/>
        <s v="3 người"/>
        <s v="0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3" maxValue="10"/>
    </cacheField>
    <cacheField name="Lý do - HUMAN-ENF1" numFmtId="0">
      <sharedItems longText="1"/>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5" maxValue="10"/>
    </cacheField>
    <cacheField name="Lý do - HUMAN-ENF2" numFmtId="0">
      <sharedItems longText="1"/>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Lý do - HUMAN-FAC1" numFmtId="0">
      <sharedItems longText="1"/>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Lý do - HUMAN-FAC2" numFmtId="0">
      <sharedItems longText="1"/>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3" maxValue="10"/>
    </cacheField>
    <cacheField name="Lý do - HUMAN-TRU1" numFmtId="0">
      <sharedItems longText="1"/>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2" maxValue="10"/>
    </cacheField>
    <cacheField name="Lý do - HUMAN-TRU2" numFmtId="0">
      <sharedItems longText="1"/>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2" maxValue="10"/>
    </cacheField>
    <cacheField name="Lý do - HUMAN-TRU3" numFmtId="0">
      <sharedItems longText="1"/>
    </cacheField>
    <cacheField name="Tôi thấy Nhà nước đã giải thích rõ ràng, minh bạch về lý do và mục tiêu của việc sửa đổi thuế lần này. - HUMAN-TRU4" numFmtId="0">
      <sharedItems containsSemiMixedTypes="0" containsString="0" containsNumber="1" containsInteger="1" minValue="5" maxValue="10"/>
    </cacheField>
    <cacheField name="Lý do - HUMAN-TRU4" numFmtId="0">
      <sharedItems longText="1"/>
    </cacheField>
    <cacheField name="Sau khi xem xét các quyền lợi và nghĩa vụ, bạn có ủng hộ và tuân thủ chính sách mới hiện nay? - HUMAN-OUT1" numFmtId="0">
      <sharedItems containsSemiMixedTypes="0" containsString="0" containsNumber="1" containsInteger="1" minValue="5" maxValue="10"/>
    </cacheField>
    <cacheField name="Lý do - HUMAN-OUT1"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x v="0"/>
    <n v="5"/>
    <s v="Các thay đổi hiện tại chỉ mới dừng lại ở việc giảm bậc thuế, giúp người đóng thuế cảm thấy đơn giản và nhẹ gánh trong việc đóng thuế TNCN. Chưa thấy nhiều thay đổi về các chế tài pháp lý hay xử phạt."/>
    <n v="5"/>
    <s v="Đồng ý. Quan trọng là cơ quan thuế có muốn thực thi hay không."/>
    <n v="1"/>
    <s v="Form khai báo/phản ánh không đồng bộ, thông tin liên hệ không có, không có người tiếp nhận, hỗ trợ. Phần mềm eTax cũng không có phản hồi người nộp thuế. _x000a_Người khai báo thuế gặp vấn đề bị người khác sử dụng CCCD để đăng ký mã số thuế tại 1 DN không làm việc mà cơ quan thuế không biết/không xử lý dù đã phản ánh nhiều lần."/>
    <n v="10"/>
    <s v="Hoàn toàn đồng ý vì trước đây 7 bậc là quá nhiều, khó để tính toán."/>
    <n v="5"/>
    <s v="Các thay đổi hiện tại chỉ mới dừng lại ở việc giảm bậc thuế, giúp người đóng thuế cảm thấy đơn giản và nhẹ gánh trong việc đóng thuế TNCN. Chưa thấy nhiều thay đổi về các chế tài pháp lý hay xử phạt."/>
    <n v="10"/>
    <s v="Vì theo chính sách mới, tôi không phải đóng thuế nữa. Hoàn toàn đồng ý."/>
    <n v="5"/>
    <s v="Khi nào các chính sách chế tài được xử lý nghiêm, giải quyết vấn đề tham nhũng thì lòng tin của tôi sẽ cao hơn."/>
    <n v="10"/>
    <s v="Hoàn toàn đồng ý về việc truyền thông và giải thích của Chính phủ."/>
    <n v="9"/>
    <s v="Ủng hộ việc giảm bậc, tăng mức giảm trừ gia cảnh nhưng niềm tin về việc thực thi chính sách thì không cao cho đến khi việc thực thi các chế tài là rõ ràng, minh bạch, nghiêm khắc. Nhìn chung, vì chính sách mới giúp tôi không phải đóng thuế nữa nên mức độ ủng hộ cao."/>
  </r>
  <r>
    <x v="0"/>
    <x v="0"/>
    <x v="0"/>
    <x v="1"/>
    <x v="1"/>
    <x v="1"/>
    <x v="1"/>
    <n v="5"/>
    <s v="Dù khâu thực thi được chú trọng và nhiều cải thiện. Người dân hiểu và tuân thủ hơn. Nhưng thay đổi chỉ mới gần đây, chưa chắc được hiệu quả trong tương lai. "/>
    <n v="5"/>
    <s v="Dù khâu thực thi được chú trọng và nhiều cải thiện. Người dân hiểu và tuân thủ hơn. Nhưng thay đổi chỉ mới gần đây, chưa chắc được hiệu quả trong tương lai. "/>
    <n v="4"/>
    <s v="Có cải thiện nhưng đang trong quá trình chuyển giao, thay đổi từ offline sang online nên mọi thứ vẫn còn ngổn ngang, không biết liên hệ ai."/>
    <n v="5"/>
    <s v="Không thay đổi về mức độ đóng thuế dù thay đổi bậc thuế, ngưỡng thuế."/>
    <n v="5"/>
    <s v="Dù khâu thực thi được chú trọng và nhiều cải thiện. Người dân hiểu và tuân thủ hơn. Nhưng thay đổi chỉ mới gần đây, chưa chắc được hiệu quả trong tương lai. "/>
    <n v="5"/>
    <s v="Không thay đổi về mức độ đóng thuế dù thay đổi bậc thuế, ngưỡng thuế."/>
    <n v="5"/>
    <s v="Giống với quan điểm trước đó vì mọi thứ vẫn chưa rõ ràng."/>
    <n v="5"/>
    <s v="Giống với quan điểm trước đó vì mọi thứ vẫn chưa rõ ràng."/>
    <n v="5"/>
    <s v="Giống với quan điểm trước đó vì mọi thứ vẫn chưa rõ ràng."/>
  </r>
  <r>
    <x v="1"/>
    <x v="1"/>
    <x v="0"/>
    <x v="1"/>
    <x v="1"/>
    <x v="0"/>
    <x v="2"/>
    <n v="10"/>
    <s v="Áp dụng công nghệ định danh, rà soát tài khoản tự động các nguồn thu thông qua yêu cầu bên trung gian thanh toán, phán đoán cá nhân."/>
    <n v="10"/>
    <s v="Công nghệ hiện đại"/>
    <n v="5"/>
    <s v="Vẫn thấy có nhiều khó khăn khi dùng Etax mobile. Chưa rõ phần mềm có cập nhật, thay đổi theo chính sách mới hay không."/>
    <n v="7"/>
    <s v="Chưa làm theo quy định mới nhưng từ truyền thông giải thích thì cảm giác có sự tốt hơn"/>
    <n v="7"/>
    <s v="Vì còn mới và chưa triển khai, nên phỏng đoán sẽ tốt hơn cách làm trước đây. Dựa trên kinh nghiệm từ quá khứ thì mọi thứ vẫn làm tốt, nhưng chưa chắc tương lai thế nào vì không biết quá trình chuyển đổi thế nào."/>
    <n v="6"/>
    <s v="Do sức mua bị giảm bởi lạm phát do cung tiền cho các dự án quốc gia, nên cảm thấy 6/10. Thay đổi chưa phù hợp với mức sống thực tế."/>
    <n v="5"/>
    <s v="Tính hiệu quả từ tiền thuế thu được chưa được minh bạch và giải trình đầy đủ, còn nhiều vụ án tham nhũng khi triển khai dự án công, trong đó có phần tiền thuế đóng góp."/>
    <n v="6"/>
    <s v="Chỉ tham khảo từ nguồn truyền thông. Chưa thấy thông tin từ cơ quan thuế, giới học thuật (sách vở)."/>
    <n v="7"/>
    <s v="Đóng thuế ít hơn, các khung thuế cũng đơn giản hơn. Nhưng tổng thể không đáp ứng được mong đợi so với thực mức sống thực tế. Tuy nhiên, sẽ ủng hộ nếu thu thuế tốt cho cả quốc gia nếu xài tiền thuế thu được hiệu quả. "/>
  </r>
  <r>
    <x v="0"/>
    <x v="1"/>
    <x v="0"/>
    <x v="0"/>
    <x v="0"/>
    <x v="2"/>
    <x v="1"/>
    <n v="6"/>
    <s v="Người có thu nhập phi chính thức còn nhiều và Nhà nước hiện nay chưa quản lý được."/>
    <n v="5"/>
    <s v="Hiện nay các khoản doanh thu bán lẻ không xuất hóa đơn vẫn còn cao, như doanh thu bán lẻ, cái này chưa có công nghệ quản lý."/>
    <n v="2"/>
    <s v="Thủ tục khai báo phức tạp, tôi phải thường nhờ dịch vụ làm thì sẽ thuận tiện, nhanh chóng hơn. Còn người dân bình thường sẽ khó xử lý vì không có mối quan hệ để hỏi người chịu trách nhiệm chính, hỗ trợ."/>
    <n v="7"/>
    <s v="Đơn giản hơn vì nó ít bậc hơn."/>
    <n v="7"/>
    <s v="Tôi hi vọng thế. Hiện tại, Nhà nước cũng đang cố gắng minh bạch, đưa ra nhiều chính sách cải tiến để giúp việc thực thi chính sách tốt hơn."/>
    <n v="7"/>
    <s v="Mức giảm trừ được nâng lên, và các bậc thuế cũng thấp hơn. Tuy nhiên, chưa phản ánh đúng với thực tế, mức sống hiện nay."/>
    <n v="5"/>
    <s v="Tôi không quá tin vào điều này vì hàng năm vẫn thấy sự thất thoát, tuy nhiên tôi tin năng lực quản lý nhà nước sẽ tăng lên."/>
    <n v="7"/>
    <s v="Nó được lấy ý kiến từ người dân và công khai thông tin rõ ràng. Truyền thông rõ ràng từng chặng, từng bước quá trình luật hình thành."/>
    <n v="8"/>
    <s v="Vì đóng thuế là nghĩa vụ công dân để xây dựng đất nước và mức thuế này cũng hợp lý. Tuy nhiên, chưa phản ánh hoàn toàn thực tế hiện nay."/>
  </r>
  <r>
    <x v="0"/>
    <x v="1"/>
    <x v="0"/>
    <x v="1"/>
    <x v="0"/>
    <x v="3"/>
    <x v="1"/>
    <n v="8"/>
    <s v="Khi cảm giác về gánh nặng thuế giảm sẽ khuyến khích người đóng thuế tích cực kê khai nộp thuế hơn. Hiện nay, cơ quan thuế cũng đang triển khai rất quyết liệt, nhanh và hiệu quả."/>
    <n v="8"/>
    <s v="Qua kinh nghiệm hệ thống hoá đơn điện tử từ VAT hay thuế DN thì làm rất hiệu quả. Hiện nay, cơ quan thuế cũng đang triển khai rất quyết liệt, nhanh và hiệu quả."/>
    <n v="8"/>
    <s v="Không khai báo trực tiếp nên không trả lời được chính xác. Do công ty đóng nên chưa nhiều trải nghiệm. Nghe qua một vài chia sẻ thì thấy tích cực, tốt. Tuy nhiên, trong quá khứ thì có trải nghiệm chưa tốt, dù hiện tại trải nghiệm tốt hơn từ chia sẻ bạn bè, người thân. Có sự cải tiến nhiều."/>
    <n v="9"/>
    <s v="Có sự giãn cách giữa các bậc. Cơ bản cũng không quan tâm nhiều do nhân sự, kế toán làm hết rồi. Qua truyền thông, báo chí thì thấy có sự đơn giản, dễ hiểu."/>
    <n v="6"/>
    <s v="Hiện mới chỉ nắm được người có tóc, chưa xử lý được những người nằm ngoài tầm kiểm soát hay khó quản lý. Chưa có chính sách khuyến khích người thu nhập cao chủ động khai báo thuế, minh bạch các nguồn thu."/>
    <n v="7"/>
    <s v="Tương tự câu trên, mới nắm được người có tóc"/>
    <n v="5"/>
    <s v="Chưa “cảm nhận” được. Không biết tiền đi đâu, về đâu, làm gì. Vẫn thấy được nguồn thu được sử dụng nhưng vấn đề là chưa rõ ràng, chưa thấy hiệu quả, minh bạch."/>
    <n v="8"/>
    <s v="Đọc nhiều tin bài, hội thảo, truyền thông tốt, giải thích dễ hiểu."/>
    <n v="8"/>
    <s v="Buộc phải tuân thủ nhưng kỳ vọng có chính sách bao trùm hơn. Chính sách mới có những nỗ lực điều chỉnh tích cực hơn nhưng vẫn chưa hướng tới được những người có thu nhập đáng lẽ chịu thuế phải tự động khai báo thay vì phải đi thanh tra, xử phạt. Phải có cơ chế thưởng phạt. Hiện tại chỉ dừng lại ở phạt, chưa có chính sách khuyến khích. "/>
  </r>
  <r>
    <x v="1"/>
    <x v="1"/>
    <x v="0"/>
    <x v="0"/>
    <x v="1"/>
    <x v="4"/>
    <x v="2"/>
    <n v="6"/>
    <s v="Bậc thuế và mức thuế này vẫn là quá cao, làm giảm động lực làm việc và tăng khả năng gian lận. Sự thay đổi không nhiều so với trước đây với những người có thu nhập cao."/>
    <n v="7"/>
    <s v="Nếu áp dụng công nghệ thì việc thực thi sẽ dễ dàng, không khó khăn. Tuy nhiên, trong quá trình thực thi, bằng nhiều cách thức, đối tượng có thể thoát được thuế, đặc biệt thông qua lạm dụng quyền và lợi ích nhóm, trong đó có lao động ở các cơ quan nhà nước có khả năng tự ra luật để mình được đặc quyền.  "/>
    <n v="5"/>
    <s v="Tôi thấy cơ quan thuế Quận 7 thật tệ. Ngoài ra, đang trong quá trình chuyển đổi, sáp nhập nên khâu thực thi, hỗ trợ người dân gặp nhiều khó khăn. Và còn có nhiều vấn đề tiêu cực, nhũng nhiễu, gây khó khăn cho người dân. Tuy nhiên, đây là trải nghiệm cá nhân ở một cơ quan, chưa thể đánh giá toàn bộ hệ thống nên nếu chấm điểm quá thấp thì sẽ không công bằng. Vì thế cho điểm trung bình."/>
    <n v="8"/>
    <s v="Đồng ý khi có sự thay đổi tốt hơn."/>
    <n v="6"/>
    <s v="Cái này là hy vọng thôi chứ trong giai đoạn nhiều chuyển đổi này thì tôi lo là sẽ nhiều khó khăn và phúc tạp ngoài mong đợi. Vẫn phải chờ đợi thêm."/>
    <n v="3"/>
    <s v="Mức và biểu thuế hiện vẫn quá cao, làm giảm động lực làm việc, đặc biệt của tầng lớp trung lưu, không phản ánh đúng với thực tế, mức sống của người dân. Ngoài ra, không phản ánh đúng theo từng vùng. Người dân ở các thành phố lớn có chi phí sống cao hơn nhưng vẫn phải đóng thuế giống với người dân ở các vùng có chi phí sống thấp hơn."/>
    <n v="5"/>
    <s v="Tôi lo ngại về hiệu quả đầu tư công của Việt Nam từ xưa đến nay. Có những trải nghiệm không tốt, tiêu cực về các dự án, tài sản công bị thất thoát, lãng phí, tham nhũng. Người dân cũng không được tham gia phản biện vào các dự án lớn và không biết đồng thuế có sử dụng hiệu quả, đúng mục đích hay không. Tuy nhiên, so với các nước kém phát triển, nghèo đói khác thì vẫn có tín hiệu tích cực, tiền thuế vẫn được sử dụng chứ không quá tồi tệ. Sống thì buộc phải hy vọng thôi. "/>
    <n v="5"/>
    <s v="Có ai hỏi tôi về cải cách thuế này đâu. Vấn đề truyền thông còn hạn chế nên cho điểm trung bình. "/>
    <n v="6"/>
    <s v="Tôi không ủng hộ lắm nhưng sẽ tuân thủ. Trừ 2 điểm thiết kế và trừ 2 điểm thực thi."/>
  </r>
  <r>
    <x v="0"/>
    <x v="1"/>
    <x v="0"/>
    <x v="0"/>
    <x v="0"/>
    <x v="4"/>
    <x v="1"/>
    <n v="6"/>
    <s v="Cần thêm thu nhập của tổ chức/cá nhân chịu thuế phải rõ ràng, minh bạch. Để phát hiện được hành vi gian lận, trốn thuế thì phải đi từ đầu vào là đo kiểm được thu nhập của tổ chức/cá nhân - nó giải thích cho niềm tin không cao vì lý do này."/>
    <n v="7"/>
    <s v="Tôi chỉ nhận định chủ quan trên cơ sở nhà nước đã thu được thuế gia tăng trong thời gian gần đây"/>
    <n v="7"/>
    <s v="Thủ tục hoàn thuế đơn giản hơn "/>
    <n v="7"/>
    <s v="Đối với cá nhân tôi thi tôi cảm thấy có đơn giản hơn, tuy nhiên với tổ chức khi phải hỗ trợ ưu đãi thuế cho những cá nhân thuộc đối tượng miễn giảm (nhà khoa hoc, nghiên cứu,...) thì vẫn còn sự phức tạp trong kê khai (thông tin này được nghe phản ánh lại từ bộ phận hỗ trợ thuế)"/>
    <n v="8"/>
    <s v="Niềm tin cá nhân đối với chính sách của nhà nước"/>
    <n v="5"/>
    <s v="Mức giảm trừ gia cảnh nên được điều chỉnh theo khu vực sinh sống, phù hợp hơn với thực tế."/>
    <n v="5"/>
    <s v="Nhà nước cần công khai minh bạch dữ liệu thu thuế và đầu tư công tùy theo thẩm quyền quản lý để người dân được biết và giám sát theo quy định pháp luật. Thường thì chọn trung bình là mức trung tính trong những vấn đề còn băn khoăn"/>
    <n v="7"/>
    <s v="Cảm nhận cá nhân. Cảm thấy truyền thông về thuế TNCN trong thời gian qua có tốt hơn."/>
    <n v="8"/>
    <s v="Trách nhiệm công dân nên ủng hộ."/>
  </r>
  <r>
    <x v="0"/>
    <x v="0"/>
    <x v="0"/>
    <x v="0"/>
    <x v="0"/>
    <x v="3"/>
    <x v="1"/>
    <n v="10"/>
    <s v="Hoàn toàn đồng ý. Chính phủ tăng cường kiểm soát giao dịch ngân hàng để minh bạch dòng tiền cá nhân và chống rửa tiền. "/>
    <n v="8"/>
    <s v="Khi làm việc với cơ quan thuế thì biết rằng cơ quan thuế đang có những công cụ, phần mềm hỗ trợ kiểm tra thuế cũng như truy cập được nhiều nguồn dữ liệu khác nhau. Tuy nhiên, các phần mềm của chính phù hiện nay chưa được tối ưu, một số doanh nghiệp vẫn có cách trốn thuế. "/>
    <n v="4"/>
    <s v="Hiện tại phần mềm khai thuế vẫn chưa được friendly và hay gặp lỗi, trải nghiệm không tốt. Phải thuê người làm giúp. Gặp vấn đề thì không biết hỏi ai."/>
    <n v="7"/>
    <s v="5 bậc sẽ ít hơn 7 bậc tuy nhiên mức giảm trừ gia cảnh chưa hợp lý, chưa sát với thực tế. Chưa phản ánh những vấn đề như nuôi con, vay tiền mua nhà, vay ngân hàng."/>
    <n v="5"/>
    <s v="Chính phủ đang siết chặt thu thuế, trong khi đó chưa áp dụng các chính sách hỗ trợ người dân giảm trừ như mua nhà, con đi học. Chưa có đánh giá tác động cho các nhóm đối tượng khác nhau cũng như đánh giá tác động trong tương lai."/>
    <n v="5"/>
    <s v="Tôi chưa tính được khi áp dụng thuế mới mức đóng cụ thể là bao nhiêu. Không thay đổi khi chính sách mới áp dụng."/>
    <n v="5"/>
    <s v="Chưa chắc, k có niềm tin lắm nhưng vẫn có niềm tin. Vẫn đánh giá thuế có sử dụng cho dịch vụ công. Chính phủ có lắng nghe phản hồi của người dân, có một chút thay đổi. Vì thế cho điểm số ở mức trung bình."/>
    <n v="5"/>
    <s v="Mục tiêu chính thì hiểu, rationale đưa ra ngưỡng thì chưa hiểu lắm, Chính phủ cũng chưa forseen được mức trượt giá, lạm phát + giảm trừ gia cảnh."/>
    <n v="6"/>
    <s v="Không ủng hộ cũng k được."/>
  </r>
  <r>
    <x v="0"/>
    <x v="0"/>
    <x v="0"/>
    <x v="1"/>
    <x v="0"/>
    <x v="2"/>
    <x v="0"/>
    <n v="7"/>
    <s v="Nếu là người lao động trong nhóm chính thức thì thực sự dễ dàng quản lý và cũng khó để trốn thuế, tuy nhiên 2 nhóm còn lại ở khu vực tự do và đã nghỉ hưu thì điều này không thể chắc chắn. Niềm tin chỉ ở mức tương đối."/>
    <n v="7"/>
    <s v="Sẽ có thể phát hiện nhưng không thể toàn bộ và ngay lập tức, vì những doanh nghiệp không tuân thủ quy định thì nếu có cơ quan thuế sẽ phải tiến hành điều tra chứ không có hệ thống để nhận diện hành vi vi phạm ngay lập tức."/>
    <n v="5"/>
    <s v="Tôi không rõ vấn đề này vì có bộ phận kế toán/nhân sự của công ty xử lý giúp. Chưa có trải nghiệm gì với cơ quan thuế."/>
    <n v="7"/>
    <s v="Thực ra thì phương thức lũy tiến như nhau, nhưng giản lược số bậc thuế, và giảm tỷ lệ đóng thì tốt cho người lao động. Cá nhân đóng thuế ít hơn so với trước đây."/>
    <n v="7"/>
    <s v="Nhà nước có chủ động điều chỉnh chính sách thuế mới, như vậy là rất tốt. tuy nhiên cần sự phối hợp của doanh nghiệp thì chính sách thuế mới thực sự hiệu quả. Các doanh nghiệp FDI thì có thể đảm bảo nhưng băn khoăn về các doanh nghiệp SME, doanh nghiệp trong nước hoặc các hộ kinh doanh. Ngoài ra, vấn đề khi thực thi có phụ thuộc vào các cấp cơ quan nhà nước ở dưới, nhỏ hơn có thể không thực hiện đúng với chính sách đề ra."/>
    <n v="8"/>
    <s v="Thấp hơn thì sẽ tốt hơn, hiện giờ mức đóng vẫn cao nhưng, giảm trừ gia cảnh và cá nhân còn khá thấp so với mức sống của khu vực thành thị. đặc biệt nhóm người chưa sở hữu nhà riêng. Cá nhân cảm thấy hài lòng vì giảm được thuế so với trước đây."/>
    <n v="6"/>
    <s v="Tôi không thấy rằng giữa người đóng thuế cao và thấp có sự khác biệt trong việc hưởng các dịch vụ công tốt hơn, tất cả là như nhau. và qua các năm thì dịch vụ y tế hay đường xá đều không thay đổi dù tiền thuế đóng nhiều hơn, thông qua ở TPHCM hầu như không có nhiều cải thiện về đầu tư hạ tầng công, các trung tâm khám chữa bệnh công chất lượng hơn hay các trung tâm giải trí, bảo tàng nghệ thuật miễn phí cho người dân, hầu hết đều thu phí, và chất lượng không tốt. Mặc dù không hài lòng nhưng nhìn nhận thực tế vì có sự cải thiện, đặc biệt là có Metro ở Hồ Chí Minh."/>
    <n v="5"/>
    <s v="Tôi thấy ko quá cần thiết, vì cơ bản là có cải thiện cho đối tượng thu nhập của tôi. tuy nhiên việc sử dụng thuế vào đâu thì cần làm rõ. Không theo dõi quá trình chính sách để hình thành nên không nắm rõ thông tin. Quan trọng là giảm thuế thì cũng không cần giải thích nhiều."/>
    <n v="7"/>
    <s v="Là công dân thì phải tuân thủ theo quy định tuyệt đối nhưng về mặt ủng hộ thì ở mức khá."/>
  </r>
  <r>
    <x v="0"/>
    <x v="0"/>
    <x v="1"/>
    <x v="0"/>
    <x v="1"/>
    <x v="0"/>
    <x v="2"/>
    <n v="5"/>
    <s v="Tôi tin rằng nếu đã có Luật thì ai muốn trốn sẽ có cách lách để k bị phát hiện"/>
    <n v="8"/>
    <s v="Do họ có thể truy thu dựa vào dòng tiền ra vào tài khoản"/>
    <n v="10"/>
    <s v="Có thể làm online, nên tôi thấy tiện a"/>
    <n v="5"/>
    <s v="Tôi thấy như nhau"/>
    <n v="9"/>
    <s v="Tại cán bộ thuế ở tôi rất tốt ạ"/>
    <n v="2"/>
    <s v="Tôi thấy phần trăm đóng thuế còn cao so với tôi"/>
    <n v="7"/>
    <s v="Dạ do tôi dễ tin người ạ"/>
    <n v="8"/>
    <s v="Dạ, về cơ bản là đã khá chi tiết và rõ ràng ạ"/>
    <n v="10"/>
    <s v="Dạ, là công dân thì phải tuân thủ, vì không có phương án khác ạ"/>
  </r>
  <r>
    <x v="0"/>
    <x v="1"/>
    <x v="0"/>
    <x v="0"/>
    <x v="0"/>
    <x v="3"/>
    <x v="1"/>
    <n v="4"/>
    <s v="Vì tham nhũng, nhũng nhiễu"/>
    <n v="5"/>
    <s v="Vì hệ thống và luật định còn mơ hồ, nhiều kẽ hỡ"/>
    <n v="6"/>
    <s v="Quy trình đơn giản hơn, nhưng hệ thống vẫn chưa kiện toàn, nhân sự chưa sắp xếp ổn"/>
    <n v="5"/>
    <s v="Không khác lắm"/>
    <n v="4"/>
    <s v="Với tôi, thuế vẫn đang nắm trên những người tầng lớp trung lưu, làm công ăn lương"/>
    <n v="2"/>
    <s v="Mức bắt đầu đóng thuế ở mỗi mức quá cao so với mặt bằng chung trong khu vực"/>
    <n v="2"/>
    <s v="Tham nhũng, không minh bạch,"/>
    <n v="6"/>
    <s v="Đã giải thích nhưng không thuyết phục, chủ yếu là thiếu data support cho việc ra quyết định"/>
    <n v="5"/>
    <s v="Tôi tuân thủ, nhưng với tôi mức thuế hiện tại đang đóng quá cao, trong khi lạm phát đang phi mã"/>
  </r>
  <r>
    <x v="1"/>
    <x v="0"/>
    <x v="0"/>
    <x v="1"/>
    <x v="0"/>
    <x v="1"/>
    <x v="0"/>
    <n v="8"/>
    <s v="Nếu Nhà nước số hóa dần, nộp thuế trên ETax thì và có barem cụ thể thì khả năng gian lận sẽ giảm xuống, tuy nhiên có thể đang trong quá trình làm nên vẫn cần thêm thời gian."/>
    <n v="6"/>
    <s v="Tôi có lòng tin chưa cao lắm với Nhà nước trong nhiều vấn đề, trong đó có vấn đề công nghệ."/>
    <n v="9"/>
    <s v="Cái này thì tôi thấy có cải thiện, do 2 năm khai thuế bằng ETax thì tiện hơn."/>
    <n v="8"/>
    <s v="Tôi thấy logic cơ bản thì ko khác gì, chỉ điều chỉnh mốc con số nên về tính đơn giản, dễ hiểu, dễ thực hiện thì vẫn không thay đổi, nhưng cách tính thì vẫn khá dễ hiểu."/>
    <n v="7"/>
    <s v="Tôi ko có cơ sở nào nhưng lòng tin thì ở mức trung bình khá."/>
    <n v="8"/>
    <s v="Tôi thấy điều chỉnh theo hướng cải thiện nên vẫn ok. "/>
    <n v="4"/>
    <s v="Tôi không tin tưởng việc này, nhìn thấy dịch vụ và hàng hóa công ở mức trung bình đến tệ."/>
    <n v="6"/>
    <s v="Tôi thấy cũng có chia sẻ, truyền thông báo chí về việc này nên cũng tạm ok."/>
    <n v="7"/>
    <s v="Tôi ủng hộ vì nhìn chung mức thuế suất có điều chỉnh tốt hơn; vấn đề còn lại là Nhà nước dùng thuế hiệu quả đến đâu thôi."/>
  </r>
  <r>
    <x v="0"/>
    <x v="1"/>
    <x v="0"/>
    <x v="1"/>
    <x v="0"/>
    <x v="3"/>
    <x v="0"/>
    <n v="8"/>
    <s v="Thực tế cơ quan thuế dễ dàng phát hiện hạng vi gian lận thuế không phải đến từ các qui định của Luật Thuế TNCN mà đến từ cách triển khai, tuyên truyền ở bước thực thi: áp dụng công nghệ, data cross - check,  thanh tra thuế, CQĐT ."/>
    <n v="9"/>
    <s v="Khuyến khích hành vi tiêu dùng cashless của cá nhân, siết chặt các giao dịch cash của hộ kinh doanh cá thể và DN"/>
    <n v="5"/>
    <s v="Trang web cau co quan thue vẫn chưa hỗ trợ chức năngtruy suất thông tin lịch sử về hồ sơ kê khai và nộp thúe cá nhân ( chỉ kiểm tra được các thông tin cơ bản, không thể hiênn chi tiết như Canada/ Mỹ)"/>
    <n v="8"/>
    <s v="Bậc tính thuế ít hơn --&gt; tính toán đơn giản hơn."/>
    <n v="5"/>
    <s v="Không có cơ sở để tin việc này, vì hiện nay các loại dữ liệu để support cơ quan thuế kiểm tra việc tuân thủ thuế chưa đồng bộ giữa các địa phương và các ngành --&gt; nên nếu công dân nào làm trong lĩnh vực buộc phải tuân thủ thì tuân thủ, sống ở địa phương nào mà cơ quan thuế làm gắt hơn thi sẽ_x000a_nộp thuế đầy đủ hơn.."/>
    <n v="5"/>
    <s v="Mức thuế hợp lý nhưng nói công bằng thì không hẳn, nhưu đã nói trên, tuỳ vào linh  vực và địa bàn sinh sống thì mức độ nộp thuế khác nhau ( do cơ quan thực thi quyết định)"/>
    <n v="5"/>
    <s v="Luật ngân sách của VN không phản ánh được điều này, đại biểu QH VN không có nhiều cơ hội để phản biện ngân sách QG một cách phù hợp"/>
    <n v="6"/>
    <s v="Theo quy định của Luật Ban hành VB pháp luật, Bộ TC đã giải thích đầy đủ nhưng không thuyết phục."/>
    <n v="9"/>
    <s v="Tôi không có cơ hội để không tuân thủ"/>
  </r>
  <r>
    <x v="1"/>
    <x v="2"/>
    <x v="0"/>
    <x v="1"/>
    <x v="0"/>
    <x v="1"/>
    <x v="0"/>
    <n v="9"/>
    <s v="Quy định hiện nay chưa có biện pháp chế tài cũng như kiểm soát được giao dịch dòng tiền của cá nhân có phải là thu nhập hay không._x000a_Chưa có quy định cụ thể thu nhập từ tiền lương, tiền công phải bắt buộc chuyển khoản qua tài khoản ngân hàng công ty, dẫn đến thu nhập thực tế cao hơn so với mức công ty kê khai."/>
    <n v="10"/>
    <s v="Đồng ý vì Nhà nước và cơ quan thuể có đủ công cụ để thực thi."/>
    <n v="4"/>
    <s v="Hiên nay, đang khuyến khích, triển khai cá nhân sử dụng app Etax mobile để thực hiện việc nộp thuế, hoàn thuế thu nhập cá nhân. Tuy nhiên, hiện tại app vẫn chưa đầy đủ chức năng (kê khai thuế, thay đổi thông tin cá nhân, hủy mã số thuế không đúng, đăng ký người phụ thuộc,...) để đảm bảo thực hiện các thủ tục, thao tác so với trang thuedientucanhan của Cục Thuế._x000a_Do quy định phân cấp, phân quyền nên chưa được đồng bộ quy trình đối với cùng cấp thuế (Thuế cơ sở,...). Đơn vị thì làm việc trực tiếp, đơn vị làm việc qua zalo, mail, điện thoại, đơn vị chỉ làm việc trên hệ thống mà không có thông tin cán bộ quản lý thuế, gây khó khăn trong việc xử lý."/>
    <n v="5"/>
    <s v="Chỉ thay đổi bậc thuế, đối với cách tính, cách thực hiện vẫn như cũ. "/>
    <n v="10"/>
    <s v="Đồng ý vì Nhà nước đang triển khai các chính sách bao trùm."/>
    <n v="10"/>
    <s v="Đồng ý. Tôi cảm thấy mình đóng thuế ít hơn so với trước đây."/>
    <n v="10"/>
    <s v="Đồng ý vì Nhà nước đang triển khai nhiều dự án, công trình mang lại lợi ích cho người dân."/>
    <n v="10"/>
    <s v="Đồng ý. Thông tin đã được truyền thông rộng rãi qua báo đài."/>
    <n v="10"/>
    <s v="Đồng ý. Vì đó là nghĩa vụ của công dân và tôi tin chính sách mới tốt hơn nên sẽ tuân theo."/>
  </r>
  <r>
    <x v="0"/>
    <x v="0"/>
    <x v="0"/>
    <x v="1"/>
    <x v="0"/>
    <x v="4"/>
    <x v="0"/>
    <n v="9"/>
    <s v="Với thuế TNCN từ tiền lương, tiền công thì trước khi QH sửa đổi để cải cách biểu thuế, tình trạng gian lận đã rất ít xảy ra. Nếu như có thì chỉ ở đối tượng thuộc diện tự QTT trực tiếp với CQT, còn nếu QTT với công ty thì khó gian lận"/>
    <n v="10"/>
    <s v="eTax đang liên thông dữ liệu giữa CQT, BHXH và tờ khai của DN khá tốt để đối chiếu cơ sở dữ liệu này"/>
    <n v="10"/>
    <s v="eTax đang liên thông dữ liệu giữa CQT, BHXH và tờ khai của DN khá tốt để đối chiếu cơ sở dữ liệu này"/>
    <n v="10"/>
    <s v="Tính thuế thì có công thức sẵn để tính, quan trọng là tính đúng hay sai"/>
    <n v="10"/>
    <s v="Không nhận ra sự khác biệt giữa quan điểm thực thi của Luật sửa đổi này với trước đây"/>
    <n v="8"/>
    <s v="Phần cập nhật GTGC và NPT đã có bậc tiệm cận với mức sống của thành thị"/>
    <n v="9"/>
    <s v="Đất nước đang vươn mình và chống tham nhũng, lãng phí. Thì tiền thuế đổ vào đầu tư công để phát triển đất nước cũng hợp lý"/>
    <n v="9"/>
    <s v="Tranh luận rất sôi nổi trên báo chí và các diễn đàn MXH cả năm nay"/>
    <n v="9"/>
    <s v="Không nhìn ra có khía cạnh nào chưa tốt ở biểu thuế luỹ tiến hết"/>
  </r>
  <r>
    <x v="1"/>
    <x v="0"/>
    <x v="0"/>
    <x v="1"/>
    <x v="0"/>
    <x v="3"/>
    <x v="2"/>
    <n v="3"/>
    <s v="Quy định về quản lý thuế TNCN chưa có cơ chế thực thi và giám sát chặt. Ví dụ người lao động được người sử dụng lao động cho ESOP được yêu cầu phải nộp thuế khi bán cổ phiếu nhưng hoàn toàn dựa trên tự nguyện khai báo của người lao động và cũng chưa có cách thức để giám sát cổ phiếu được mua vào bán ra là cổ phiếu ESOP"/>
    <n v="5"/>
    <s v="Nhà nước có khả năng phát hiện và xử lý hành vi trốn thuế nhưng chỉ là manual, case by case; chưa có tính hệ thống và truy vết theo batch. Đã biết nhiều case nhà nước có thể trực tiếp truy thu thuế từ tài khoản ngân hàng của người trốn thuế mà người trốn thuế chỉ biết khi đã bị trừ tiền. Tuy nhiên, tôi tin rằng đây là những trường hợp lọt vào tầm ngắm của cơ quan do giàu có, nổi tiếng, tố cáo"/>
    <n v="9"/>
    <s v="Đồng ý, với ứng dụng eTax việc tra cứu thuế, nộp thuế thuận tiện bao gồm cả thuế kinh doanh, thuế bán tài sản, thuế trước bạ"/>
    <n v="1"/>
    <s v="chỉ thay đổi các tham số và bậc, cách tính ko thay đổi"/>
    <n v="3"/>
    <s v="thay đổi tham số ko làm thay đổi các ứng xử của cơ quan thuế"/>
    <n v="7"/>
    <s v="tôi thấy phương án giảm trừ gia cảnh mới phù hợp hơn với thực tế đời sống nhưng vẫn chưa phản ánh đúng, đặc biệt là mức sống rất khác nhau theo vùng miền"/>
    <n v="2"/>
    <s v="tôi ko rõ tiền thuế được sử dụng như thế nào"/>
    <n v="6"/>
    <s v="tôi không tìm thấy nhiều thông tin về lý do và mục tiêu sửa đổi"/>
    <n v="8"/>
    <s v="tôi đóng ít hơn nên tôi ủng hộ :)"/>
  </r>
  <r>
    <x v="0"/>
    <x v="0"/>
    <x v="0"/>
    <x v="0"/>
    <x v="0"/>
    <x v="4"/>
    <x v="3"/>
    <n v="8"/>
    <s v="Các quy định quản lý thuế hiện nay được sửa đổi chặt chẽ hơn, nhưng có thể chưa đủ mức kiểm soát 100% đối với hành vi gian lận tinh vi."/>
    <n v="8"/>
    <s v="Nhà nước, cơ quan thuế đang tăng cường khả năng và công nghệ để phát hiện, xử lý nghiêm các hành vi trốn thuế, nhưng có thể chưa đủ mức phát hiện 100% đối với hành vi gian lận tinh vi."/>
    <n v="5"/>
    <s v="Các thủ tục chuyển từ trực tiếp sang trực tuyến thì nhanh chóng hơn. Nhưng vì các thủ tục kiểm soát được tăng cường nên có thể không đơn giản hơn."/>
    <n v="10"/>
    <s v="Đối với riêng cá nhân thì tôi thấy dễ thực hiện hơn vì biểu thuế ít bậc hơn."/>
    <n v="8"/>
    <s v="Chính sách thuế của Nhà nước luôn có mục tiêu khách quan, công tâm và đối xử bình đẳng với mọi người nộp thuế. Nhưng người thực thi là cá nhân, cũng giống như mọi công dân sẽ có thiên kiến riêng của mình."/>
    <n v="8"/>
    <s v="Tôi thấy công bằng ở mức độ tương đối. Nếu so sánh với biểu thuế cũ thì biểu thuế mới được sửa đổi tốt hơn rồi."/>
    <n v="8"/>
    <s v="Tôi nhận thấy Nhà nước đã nỗ lực sử dụng nhiều nguồn ngân sách để đầu tư công, phát triển cơ sở hạ tầng và cải thiện đời sống người dân gần đây trong năm 2025. Tuy nhiên, việc đánh giá hiệu quả chưa có KPI rõ ràng để xem xét."/>
    <n v="8"/>
    <s v="Nhà nước đã truyền thông rõ ràng, minh bạch về lý do và mục tiêu của việc sửa đổi thuế lần này một cách tương đối. "/>
    <n v="10"/>
    <s v="Tôi thấy chính sách mới có hướng sửa đổi tích cực so với trước đây nên ủng hộ và tuân thủ chính sách mới."/>
  </r>
  <r>
    <x v="0"/>
    <x v="0"/>
    <x v="0"/>
    <x v="1"/>
    <x v="0"/>
    <x v="4"/>
    <x v="1"/>
    <n v="9"/>
    <s v="Đô thị là nơi tập trung kinh tế, tại đó giao dịch thanh toán phần lớn bằng điện tử, các dấu vết dễ dàng truy xuất, lưu lại dấu vết. Hoá đơn cũng bắt buộc xuất điện tử. Chế tài xử phạt tăng, điều tra xử lý vi phạm trên diện rộng đã tăng tính răn đe."/>
    <n v="7"/>
    <s v="Khi điều tra sẽ phát hiện, nhưng nguồn lực và công nghệ để rà soát toàn bộ hoạt động kinh tế ở giai đoạn hiện tại thì chưa"/>
    <n v="5"/>
    <s v="Ko biết do tôi chưa từng làm thủ tục"/>
    <n v="5"/>
    <s v="Câu hỏi chưa rõ. Dễ tính - dễ thực hiện với ai? Với người làm ctac khấu trừ thuế hay với cơ quan nhà nước?nếu với người lao động bình thường thì do tôi ko tự đọc quy định, ko tự tính nên ko biết có dễ hiểu ko, tôi sẽ hỏi chat GPT hoặc các web và nhập số liệu chờ kết quả. Tôi cũng ko phải người tính thuế ở cty nên ko biết so vs trước đây dễ hay khó hơn."/>
    <n v="5"/>
    <s v="Nếu đối với những người cùng đối tượng chịu thuế tại cùng khu vực sống sẽ bình đẳng, nhưng giữa người làm công với người kinh doanh nhỏ lẻ thì ko biết vì tôi ko tìm hiểu quy định, giữa người sống ở thành thị với nông thôn ko biết có áp dụng hệ số và chênh lệch theo chi phí sinh hoạt hay ko, nếu ko thì ko bình đẳng"/>
    <n v="9"/>
    <s v="Số thuế nhỏ , phù hợp để đóng góp 1 chút cho ngân sách nn"/>
    <n v="6"/>
    <s v="Chiến lược cải cách đang thực hiện trên diện rộng, tôi tin chính sách chung là đúng đắn nhưng ko biết năng lực thực thi của cả hệ thống có đáp ứng đc ko, lãnh đạo đất nước ko phải người đc đào tạo bài bản về kinh tế, ko tin lắm sẽ làm đc"/>
    <n v="6"/>
    <s v="Ko nghe, ko đọc giải thích nên ko biết"/>
    <n v="9"/>
    <s v="Tôi đóng ít hơn và phù hợp thì ủng hộ thôi"/>
  </r>
  <r>
    <x v="0"/>
    <x v="1"/>
    <x v="0"/>
    <x v="0"/>
    <x v="0"/>
    <x v="3"/>
    <x v="1"/>
    <n v="4"/>
    <s v="Tôi không thấy nhà nước có giải pháp truy thu thuế hiệu quả, cụ thể là tình trạng trốn thuế/đóng thuế không đúng theo quy định vẫn diễn ra. Ngoài ra, như báo đài đưa tin, 1 số truong hợp người Việt không được thông quan khi đi nước ngoài chỉ vì chưa hoàn tất nợ thuế . Tuy nhiên số nợ đó họ không hề biết đến =&gt; chứng tỏ bộ máy quản lý đang còn rất lỏng lẻo."/>
    <n v="6"/>
    <s v="Điểm này tôi đồng ý, quan trọng Nhà nước có tiến hành làm 1 cách triệt để hay không. Vấn đề chủ yếu theo tôi xuất phát từ nguồn nhân lực quản ly bên Thuế (khả năng quản lý, tính chịu trách nhiệm, kế hoạch triển khai - bao gồm cả vấn đề truyền thông đến người nộp thuế)"/>
    <n v="5"/>
    <s v="Có sự thay đổi nhưng vấn đề về thủ tục giấy tờ vẫn còn nhiêu khê, chưa có tính thống nhất. Chưa hoàn toàn automation mà vẫn phải làm đơn từ thông qua in writing. Ví dụ: hằng năm, công ty tôi vẫn yêu cầu từng nhân viên điền &amp; ký giấy tờ xác nhận uỷ quyền khai báo, confirm chỉ có 1 nguồn thu nhập, rồi từ đó Hr mới có cơ sở làm thủ tục =&gt; tại sao đã có phần mềm etax mà không tận dụng? Ngoài ra, Nhà nước đang sử dụng quá nhiều app. Tại sao không tích hợp thông tin tax vào app vssid để tiện quản lý?"/>
    <n v="6"/>
    <s v="Đồng ý. Việc giảm thiểu bớt số bậc tính thuế giúp dễ nhớ &amp; dễ tính toán. "/>
    <n v="4"/>
    <s v="Cho đến khi các hành vi tiêu cực, bao gồm cách thức quản lý lỏng lẻo còn diễn ra thì sự công tâm, bình đẳng sẽ không thể tồn tại"/>
    <n v="5"/>
    <s v="Trên thực tế với mức lương như tôi đang hưởng, mức giảm trừ thuế theo quy định mới không giúp giảm được nhiều"/>
    <n v="4"/>
    <s v="Mức độ đồng ý của tôi khá thấp, vì tôi không thấy các thông tin này được công khai rộng rãi, nên tôi ko rõ phần thuế mình đóng được Nhà nước sử dụng như thế nào. Chưa kể việc ăn chặn tiền Thuế của 1 số cán bộ khiến tôi không thể đặt sự tin tưởng được. "/>
    <n v="5"/>
    <s v="Neutral. Tôi đồng ý trong các văn bản hiện hành (bao gồm báo đài) thông tin rất rõ ràng. Tuy nhiên, tính minh bạch, rõ ràng còn thể hiện qua mức độ truyền thông tin của Nhà nước đến với người lao động. Tôi đánh giá chưa thật sự hiệu quả. Tôi tin ở thời điểm hiện tại, vẫn có những người chưa hề hay biết về mục đích, tinh hiệu quả của sự thay đổi này. "/>
    <n v="5"/>
    <s v="Tôi vẫn sẽ tuân thủ nhưng tôi mong nhà nước cần đánh giá lại cách tính thuế với những người có mức lương như tôi. Tôi nhận thấy người làm công ăn lương khi tuân thủ các nghĩa vụ đóng các khoản theo quy định nhà nước, nhưng khi hưởng chỉ được hưởng ở 1 mức nhất định. Ví dụ bảo hiểm thất nghiệp maximum là 12 tháng dù đi làm 12 năm hay 15 năm. Vậy tại sao đối với thuế thu nhập, không áp dụng mức trần phù hợp với người làm công ăn lương, để những người như chúng tôi cảm thấy nhẹ nhàng hơn khi đóng thuế."/>
  </r>
  <r>
    <x v="1"/>
    <x v="0"/>
    <x v="0"/>
    <x v="0"/>
    <x v="0"/>
    <x v="5"/>
    <x v="0"/>
    <n v="7"/>
    <s v="Thời gian gần đây Nhà nước bắt đầu có sự gay gắt hơn trong việc truy thu thuế, đặc biệt hộ kinh doanh (bao gồm offline &amp; online), đồng thời đưa ra nhiều quy định để kiểm soát chặt vấn đề này từ năm 2026. "/>
    <n v="6"/>
    <s v="Nhìn chung, trong 2-3 năm trở lại đây, Nhà nước đã đầu tư khá nhiều vào công nghệ nhằm hỗ trợ cho các thủ tục hành chính trở nên tiện lợi hơn, ví dụ như etax nên tôi đồng ý với nhận định này. Tuy nhiên, Nhà nước cần tận dụng tối đa tính năng của ứng dụng trong việc quản lý thuế, tránh việc nửa online nửa offline như hiện tại."/>
    <n v="6"/>
    <s v="So với trước đây thì đúng là thủ tục có phần đơn giản hơn nhưng chỉ ở mức tạm chấp nhận. "/>
    <n v="8"/>
    <s v="Việc giảm thiểu số bậc thuế giúp cho việc tính toán trở nên đơn giản và nhanh chóng"/>
    <n v="6"/>
    <s v="Các thay đổi gần đây dù ít hay nhiều đều mang lại tín hiệu tích cực, đặc biệt việc thay đổi mức giảm trừ gia cảnh &amp; người phụ thuộc giúp giảm thiểu gánh nặng tài chính cho người lao động có thu nhập thấp nên tôi đồng ý với câu này. "/>
    <n v="6"/>
    <s v="Dù giảm không quá nhiều nhưng tôi vẫn cảm thấy hài lòng với sự thay đổi này."/>
    <n v="5"/>
    <s v="Ở phần này tôi cần Nhà nước đưa ra thông tin minh bạch hơn vì hiện tôi không biết nhà nước đang thu bao nhiêu, chi bao nhiêu, tỷ trọng chi như thế nào."/>
    <n v="6"/>
    <s v="Phần này tôi có đọc qua các thông tin trên báo đài nên thấy mọi thứ đều rõ ràng. "/>
    <n v="7"/>
    <s v="Việc thay đổi thuế TNCN đâu đó giúp cho chính tôi và cả nhân viên bên dưới cảm thấy nhẹ gánh trong việc đóng thuế. Mặc dù mọi việc đều có 2 mặt nhưng tổng quan chung đây vẫn là 1 chính sách tốt từ phía Nhà nước đối với người lao động."/>
  </r>
  <r>
    <x v="1"/>
    <x v="2"/>
    <x v="0"/>
    <x v="0"/>
    <x v="0"/>
    <x v="4"/>
    <x v="3"/>
    <n v="8"/>
    <s v="cơ quan thuế có nhiều dữ liệu để truy xuất và quản lý hơn"/>
    <n v="6"/>
    <s v="công nghệ có thể đủ, còn về khả năng tôi không chắc"/>
    <n v="7"/>
    <s v="Không rõ do tôi chưa thực hiện bao giờ. "/>
    <n v="8"/>
    <s v="Đồng ý. Các bậc giảm đơn giản hơn trước."/>
    <n v="7"/>
    <s v="Dựa vào dữ liệu quá khứ, tôi cảm thấy chưa đủ thuyết phục Nhà nước, cơ quan thuế thực thi khách quan, công bằng."/>
    <n v="6"/>
    <s v="Quyền lợi đi kèm chưa phù hợp so với mức thuế phải đóng."/>
    <n v="6"/>
    <s v="Không thấy rõ số tiền thuế này được sử dụng hiệu quả thế nào."/>
    <n v="8"/>
    <s v="Đồng ý. Tôi thấy nhà nước có truyền thông rõ ràng trên báo chí."/>
    <n v="8"/>
    <s v="Đồng ý theo góc độ tuân thủ của công dân."/>
  </r>
  <r>
    <x v="0"/>
    <x v="0"/>
    <x v="0"/>
    <x v="1"/>
    <x v="0"/>
    <x v="2"/>
    <x v="0"/>
    <n v="7"/>
    <s v="Tôi chưa thấy cách quản lý thuế của các nguồn thu nhập không chính thức hoặc từ nước ngoài không qua hợp đồng lao động"/>
    <n v="7"/>
    <s v="Tương tự câu trước."/>
    <n v="6"/>
    <s v="Khi có vấn đề liên hệ với cơ quan thuế vẫn còn rất khó khăn."/>
    <n v="6"/>
    <s v="Đơn giản hơn về từ 7 còn 5 bậc. Nguyên tắc tính cũng tương tự trước nên không thể kết luận là dễ hiểu hơn và dễ thực hiện hơn."/>
    <n v="5"/>
    <s v="Để kết luận được điều này cần nhiều dữ liệu hơn."/>
    <n v="6"/>
    <s v="Cần thêm dữ liệu và cần biết là đang so sánh với điều gì để kết luận là công bằng hay không. Hiện tại chỉ có thể kết luận là mức đóng ít hơn thì thích hơn."/>
    <n v="3"/>
    <s v="Tôi chưa thấy sự minh bạch trong việc sử dụng tiền thuế của dân."/>
    <n v="5"/>
    <s v="Tôi chưa chủ động tìm hiểu nhà nước đã giải thích những gì về đợt sửa đổi thuế lần này. Nếu là minh bạch thì theo tôi kênh truyền thông của nhà nước nên mạnh hơn và tiếp cận người nghe rộng rãi hơn."/>
    <n v="8"/>
    <s v="Ngoài việc tuân thủ, dường như không còn lựa chọn nào khác."/>
  </r>
  <r>
    <x v="0"/>
    <x v="1"/>
    <x v="0"/>
    <x v="0"/>
    <x v="0"/>
    <x v="3"/>
    <x v="1"/>
    <n v="5"/>
    <s v="trên thực tế còn nhiều trường hợp trốn/né thuế khá tinh vi, và sự thiếu minh bạch của chính cán bộ xử lý nên dù cơ quan quản lý có nỗ lực để siết chặt nhưng chưa đến mức &quot;dễ dàng bị phát hiện&quot; và &quot;xử lý nghiêm minh&quot;"/>
    <n v="5"/>
    <s v="mặc dù cơ quan quản lý đã có những nỗ lực ứng dụng công nghệ vào việc quản lý và giám sát nhưng còn bị hạn chế ở nguồn lực - nhân sự thực hiện - năng lực triển khai một cách đồng bộ trên toàn hệ thống."/>
    <n v="5"/>
    <s v="mặc dù đã và đang đẩy mạnh các thủ tục thực hiện online nhưng còn nhiều bước và nhiều loại giấy tờ thủ tục, doanh nghiệp bắt buộc vẫn phải liên hệ trực tiếp cán bộ thuế. "/>
    <n v="5"/>
    <s v="không quan tâm lắm, việc tính toán này đã có người khác làm"/>
    <n v="5"/>
    <s v="hi vọng là vậy, e rằng sẽ vẫn tồn tại sự khác biệt/cách biệt trong việc hiểu và vận dụng chính sách thuế ở các địa phương"/>
    <n v="5"/>
    <s v="đành phải chấp nhận vì trước nay đã có tổ chức/hiệp hội/đại biểu quốc hội nào thành công trong việc thuyết phục sự diều chỉnh đâu. Còn nhiều khoản chi phí thực tế cũng như các ngưỡng chịu thuế cần được tính toán và xem xét. "/>
    <n v="5"/>
    <s v="hi vọng là thế, cần có cơ quan giám sát tách bạch và có cơ chế minh bạch/giải trình về việc sử dụng tiền thuế vào các dịch vụ công nào, định kỳ hàng năm trước đại diện người dân "/>
    <n v="5"/>
    <s v="không phản đối cũng không hoàn toàn đồng ý, cơ bản là nhà nước truyền thông cũng đủ và tạo diễn đàn tranh luận cũng ở mức vừa đủ khi điều chỉnh chính sách về thuế TNCN, không quá khó hiểu hay phức tạp với mặt bằng chung người dân. Nhưng nó vừa đủ với dân trí thức là chính, còn phần đông người dân còn lại thì không nắm được gì nhiều."/>
    <n v="5"/>
    <s v="sẵn sàng tuân thủ vì không có lựa chọn, tuy nhiên tôi cũng k phản đối, chỉ hi vọng trong tương lai sẽ có nhiều chính sách đc cải thiện"/>
  </r>
  <r>
    <x v="0"/>
    <x v="0"/>
    <x v="0"/>
    <x v="1"/>
    <x v="0"/>
    <x v="4"/>
    <x v="0"/>
    <n v="5"/>
    <s v="Với nhóm thu nhập từ tiền lương, tiền công, cơ chế khấu trừ tại nguồn và hóa đơn – chứng từ điện tử giúp tăng tính minh bạch, nên trốn thuế ‘thô’ sẽ khó hơn và khả năng bị phát hiện cao hơn. Tuy nhiên, ở các nguồn thu khác—nhất là giao dịch tài sản, thu nhập đa nguồn hoặc cấu trúc giao dịch phức tạp—rủi ro gian lận vẫn tồn tại do hạn chế về liên thông dữ liệu, định danh chủ thể hưởng lợi cuối cùng và khả năng theo dõi dòng tiền. Vì vậy, phát hiện được hay không còn phụ thuộc vào mức độ liên thông dữ liệu và năng lực kiểm tra theo rủi ro"/>
    <n v="8"/>
    <s v="Với công nghệ hiện tại và việc kiểm soát dữ liệu các nhân khá chặt chẽ thông qua VNeID, nhà nước có thể phát hiện các hành vi trốn thuế và xử lý. Mức độ nghiêm khắc sẽ cần tùy thuộc vào tình huống để đánh giá."/>
    <n v="8"/>
    <s v="(Câu trả lời được dựa trên quá trình khai thuế trước 1/5/2025) Việc khai báo thuế hiện nay có thể thực hiện qua ứng dụng etax khá tiện lợi, cá nhân nộp thuế không cần mất thời gian đến cơ quan thuế để làm thủ tục, do đó, quy trình khai báo thuế, nộp thuế đã giảm được thời gian cũng như không cần phải tiếp xúc nhiều với cán bộ thuế, tránh những mâu thuẫn xảy ra trong quá trình làm thủ tục. Thủ tục khai thuế của năm 2024 cũng cải thiện hơn trước đó nhiều khi cá nhân nộp thuế không phải tự tìm các giấy tờ nộp thuế liên quan mà đã được tích hợp sẵn. Tuy nhiên, quá trình phản hồi trên hệ thống online chậm hơn kỳ vọng (mất hơn 7 ngày). Vấn đề nộp/nhận thuế qua ngân hàng cũng giới hạn ở các ngân hàng liên kết như BIDV mà không mở cho tất cả các ngân hàng khác,"/>
    <n v="8"/>
    <s v="Nhìn chung, cách tính thuế và các bậc thuế trong phương án mới đơn giản và dễ hiểu hơn vì đã giảm từ 7 bậc thuế xuống còn 5 bậc. Đơn giản hơn vì mức thu nhập chịu thuế không bị xé nhỏ ra để tính mức thuê TNCN và khoảng thu nhập để nhảy bậc cũng rộng hơn, do đó, người nộp thuế ở bậc 2, bậc 3 có thể giảm bớt nỗi lo về việc thu nhập tăng thêm không đáng kể nhưng mức thu nhập chịu thuế thì tính ở 1 mức khác. _x000a_- Về tính dễ thực hiện: Cách tính thuế và biểu thuế mới sẽ nhìn chung sẽ dễ thực hiện với người nộp thuế có 1 nguồn thu nhập và mức thu nhập hàng tháng từ dưới 40 triệu, nghĩa là bậc thuế sẽ nằm ở mức 1 và 2 do đây là 2 mức có khoản thuế phải đóng từ 5-10%. Đối với những cá nhân có khoản thu nhập chịu thuế ở bậc 3, 4 và 5, cách tính thuế này có thể sẽ gây khó thực hiện do mức thuế từ 20%-35% là rất cao. Điều này dễ dẫn đến việc các cá nhân nộp thuế sẽ chuyển thu thập ...."/>
    <n v="5"/>
    <s v="Bản thân quy định đã chưa thể hiện sự công tâm và bình đẳng với mọi người nộp thuế. Do đó, khi thực thi, cơ quan thuế sẽ dễ dàng thực thi chính sách với những người lao động có 1 nguồn thu nhập tại các doanh nghiệp. Đối với người có nhiều nguồn thu nhập ngoài tiền lương như thu nhập từ đầu tư vốn, chuyển nhượng bất động sản thì việc quản lý nguồn thu nhập sẽ khó hơn cũng như mức thuế đang thấp hơn nhiều so với khấu trừ thuế từ tiền lương. Điều này dẫn đến hành vi cơ quan thuế sẽ đẩy mạnh việc thu thuế đối với những cá nhân có mức thu nhập thấp và trung bình thấp do có nguồn thu cố định và dễ thu, dễ quản lý trong khi bỏ qua những cá nhân có mức thu nhập cao khác. Tóm lại, ai đi làm công ăn lương mà ký hợp đồng lao động là đối tượng phải chấp hành nhiều nhất"/>
    <n v="3"/>
    <s v="Mức đóng thuế hiện này chưa cân nhắc đến 2 yếu tố: (1) lạm phát; (2) điều kiện kinh tế xã hội từng vùng. Mặc dù mức giảm trừ gia cảnh tăng, biểu thuế thay đổi theo hướng giảm gánh nặng, nhưng mức tăng này chưa tương xứng với mức lạm phát hiện nay. Thu nhập bình quân của VN ở mức 8,1 triệu/tháng và hàng năm đều lương cơ bản đều tăng nhưng tăng lương cơ bản để bù đắp với lạm phát. Hay nói cách khác là thu nhập thực, sức mua hàng hóa của người dân là không thay đổi trong khi thu nhập danh nghĩa - mức thu nhập được căn cứ để tính thuế lại tăng. Bên cạnh đó, người ở khu vực thành thị, đặc biệt các thành phố như HN-HCM sẽ phải chịu các chi phí về nhà ở/giá thuê, y tế, giáo dục cao hoen nhiều hơn nhiều so với khu vực nông thôn hoặc các tỉnh thành nhỏ khác. Giá nhà ở HN, HCM so với các tỉnh khác là một ví dụ"/>
    <n v="3"/>
    <s v="Nhà nước chưa công bố phân bổ đầu tư công cho các lĩnh vực/dịch vụ công mà chủ yếu liệt kê các dự án trọng điểm mà vốn đầu tư công sẽ ưu tiên. Cách truyền thông và minh bạch dữ liệu này không chứng minh được việc nhà nước sẽ sử dụng tiền thuế cho việc cải thiện các dịch vụ công. Trên thực tế, chỉ các bệnh viện tuyến tỉnh hoặc bệnh viện đa khoa ở TP lớn được phân bổ ngân sách để sửa chữa, cải tạo, trong khi các bệnh viện tuyến huyện (trước sát nhập) - nơi gần người dân và người yếu thế hơn thì hầu như không được phân bổ ngân sách để xây mới trong khi nhiều cơ sở đã xuống cấp."/>
    <n v="7"/>
    <s v="Nhà nước đã nêu khá rõ mục tiêu của sửa đổi thuế là để giảm gánh nặng thuế, tuy nhiên, việc triển khai sao cho minh bạch thì chưa được đề cập rõ ràng. Hầu hết các bài viết, bài báo  liên quan đền chỉ nhấn mạnh việc tăng mức GTGC, hạ biểu thuế mà chưa giải thích rõ ràng cách áp dụng như thế nào. Đơn cử các khoản chi cho y tế, giáo dục - đào tạo của người nộp thuế và người phụ thuộc là một trong các khoản được miễn giảm thuế nhưng chưa được hướng dẫn cụ thể."/>
    <n v="7"/>
    <s v="Ủng hộ 1 phần vì định hướng của Nhà nước cho thấy có mục tiêu giảm gánh nặng cho người nộp thuế nhưng thực tế, chính sách này chưa thể hiện sự công tâm, bình đẳng như truyền thông nêu ra. Về việc tuân thủ: mặc dù không ủng hộ hoàn toàn nhưng sẽ tuân thủ do tôn trọng pháp luật và cũng không có cách nào khác ngoài việc tuân thủ ^_^"/>
  </r>
  <r>
    <x v="0"/>
    <x v="1"/>
    <x v="0"/>
    <x v="1"/>
    <x v="0"/>
    <x v="1"/>
    <x v="1"/>
    <n v="8"/>
    <s v="rõ ràng, minh bạch hơn"/>
    <n v="8"/>
    <s v="quản lý cơ sở dữ liệu khoa học, hiện đại hơn"/>
    <n v="8"/>
    <s v="đã có thủ tục hành chính rõ ràng cụ thể, dịch vụ hành chính công"/>
    <n v="8"/>
    <s v="có phương án tính rõ ràng"/>
    <n v="8"/>
    <s v="vì chính sách, quy định, thủ tục minh bạch, rõ ràng, công khai"/>
    <n v="8"/>
    <s v="người thu nhập như tôi đóng mức này là hợp lý"/>
    <n v="9"/>
    <s v="Nhà nước đang sử dụng rất hiệu quả để cải thiện hàng hoá công và dịch vụ công"/>
    <n v="8"/>
    <s v="giải thích rõ ràng, công khai trên các phương tiện truyền thông"/>
    <n v="10"/>
    <s v="tôi ủng hộ và tuân thủ chính sách thuế của Nhà nướ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F1DD9F-47D7-4F65-BFF8-CFD83234B6CC}" name="PivotTable26"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Dependents">
  <location ref="A48:B53" firstHeaderRow="1" firstDataRow="1" firstDataCol="1"/>
  <pivotFields count="25">
    <pivotField showAll="0">
      <items count="3">
        <item x="1"/>
        <item x="0"/>
        <item t="default"/>
      </items>
    </pivotField>
    <pivotField showAll="0">
      <items count="4">
        <item x="2"/>
        <item x="0"/>
        <item x="1"/>
        <item t="default"/>
      </items>
    </pivotField>
    <pivotField showAll="0">
      <items count="3">
        <item x="1"/>
        <item x="0"/>
        <item t="default"/>
      </items>
    </pivotField>
    <pivotField showAll="0">
      <items count="3">
        <item x="1"/>
        <item x="0"/>
        <item t="default"/>
      </items>
    </pivotField>
    <pivotField showAll="0">
      <items count="3">
        <item x="0"/>
        <item x="1"/>
        <item t="default"/>
      </items>
    </pivotField>
    <pivotField showAll="0">
      <items count="7">
        <item x="3"/>
        <item x="1"/>
        <item x="0"/>
        <item x="4"/>
        <item x="5"/>
        <item x="2"/>
        <item t="default"/>
      </items>
    </pivotField>
    <pivotField axis="axisRow" dataField="1" showAll="0">
      <items count="5">
        <item n="0" x="3"/>
        <item n="1" x="0"/>
        <item n="2" x="1"/>
        <item n="3"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Number of participant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49563-D770-4C4E-8503-A210984486F3}" name="PivotTable2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A38:B45" firstHeaderRow="1" firstDataRow="1" firstDataCol="1"/>
  <pivotFields count="25">
    <pivotField showAll="0">
      <items count="3">
        <item x="1"/>
        <item x="0"/>
        <item t="default"/>
      </items>
    </pivotField>
    <pivotField showAll="0">
      <items count="4">
        <item x="2"/>
        <item x="0"/>
        <item x="1"/>
        <item t="default"/>
      </items>
    </pivotField>
    <pivotField showAll="0">
      <items count="3">
        <item x="1"/>
        <item x="0"/>
        <item t="default"/>
      </items>
    </pivotField>
    <pivotField showAll="0">
      <items count="3">
        <item x="1"/>
        <item x="0"/>
        <item t="default"/>
      </items>
    </pivotField>
    <pivotField showAll="0">
      <items count="3">
        <item x="0"/>
        <item x="1"/>
        <item t="default"/>
      </items>
    </pivotField>
    <pivotField axis="axisRow" dataField="1" showAll="0">
      <items count="7">
        <item n="Above 102 million VNĐ" x="3"/>
        <item n="From 12 - 18 million VNĐ" x="1"/>
        <item n="From 23 - 32 million VNĐ" x="0"/>
        <item n="From  32 - 48 million VNĐ" x="4"/>
        <item n="From  48 - 70 million VNĐ" x="5"/>
        <item n="From  70 - 102 million VNĐ"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Number of participant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15CE8B-287B-477E-901D-E84E20162922}" name="PivotTable2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A26:B29" firstHeaderRow="1" firstDataRow="1" firstDataCol="1"/>
  <pivotFields count="25">
    <pivotField showAll="0">
      <items count="3">
        <item x="1"/>
        <item x="0"/>
        <item t="default"/>
      </items>
    </pivotField>
    <pivotField showAll="0">
      <items count="4">
        <item x="2"/>
        <item x="0"/>
        <item x="1"/>
        <item t="default"/>
      </items>
    </pivotField>
    <pivotField showAll="0">
      <items count="3">
        <item x="1"/>
        <item x="0"/>
        <item t="default"/>
      </items>
    </pivotField>
    <pivotField axis="axisRow" dataField="1" showAll="0">
      <items count="3">
        <item n="Undergraduate" x="1"/>
        <item n="Graduat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Number of participant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E90A8-1019-4C9D-B100-AC7D73DC0ADC}" name="PivotTable2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A13:B16" firstHeaderRow="1" firstDataRow="1" firstDataCol="1"/>
  <pivotFields count="25">
    <pivotField axis="axisRow" dataField="1" showAll="0">
      <items count="3">
        <item n="Male" x="1"/>
        <item n="Female"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Number of participa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F38D18-9AEF-4ADC-AFE8-9A3B6275D91D}" name="PivotTable2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A32:B35" firstHeaderRow="1" firstDataRow="1" firstDataCol="1"/>
  <pivotFields count="25">
    <pivotField showAll="0">
      <items count="3">
        <item x="1"/>
        <item x="0"/>
        <item t="default"/>
      </items>
    </pivotField>
    <pivotField showAll="0">
      <items count="4">
        <item x="2"/>
        <item x="0"/>
        <item x="1"/>
        <item t="default"/>
      </items>
    </pivotField>
    <pivotField showAll="0">
      <items count="3">
        <item x="1"/>
        <item x="0"/>
        <item t="default"/>
      </items>
    </pivotField>
    <pivotField showAll="0">
      <items count="3">
        <item x="1"/>
        <item x="0"/>
        <item t="default"/>
      </items>
    </pivotField>
    <pivotField axis="axisRow" dataField="1" showAll="0">
      <items count="3">
        <item n="Formal" x="0"/>
        <item n="Informal"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Number of participant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9F7D0-7467-45C0-AE2F-36BB086F3B39}" name="PivotTable20"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A19:B23" firstHeaderRow="1" firstDataRow="1" firstDataCol="1"/>
  <pivotFields count="25">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1096761-AFA1-4CB1-8B43-84357626AB34}" autoFormatId="16" applyNumberFormats="0" applyBorderFormats="0" applyFontFormats="0" applyPatternFormats="0" applyAlignmentFormats="0" applyWidthHeightFormats="0">
  <queryTableRefresh nextId="56">
    <queryTableFields count="55">
      <queryTableField id="1" name="Persona_ID" tableColumnId="1"/>
      <queryTableField id="2" name="Run_ID" tableColumnId="2"/>
      <queryTableField id="3" name="Used_Seed" tableColumnId="3"/>
      <queryTableField id="4" name="Gender" tableColumnId="4"/>
      <queryTableField id="5" name="Age" tableColumnId="5"/>
      <queryTableField id="6" name="Region" tableColumnId="6"/>
      <queryTableField id="7" name="Education" tableColumnId="7"/>
      <queryTableField id="8" name="Employment" tableColumnId="8"/>
      <queryTableField id="9" name="Income_Mil" tableColumnId="9"/>
      <queryTableField id="10" name="Dependents" tableColumnId="10"/>
      <queryTableField id="11" name="AI_ENF1_Score" tableColumnId="11"/>
      <queryTableField id="12" name="Human_ENF1" tableColumnId="12"/>
      <queryTableField id="13" name="Delta_ENF1" tableColumnId="13"/>
      <queryTableField id="14" name="AI_ENF1_Reason" tableColumnId="14"/>
      <queryTableField id="15" name="Human_ENF1_Reason" tableColumnId="15"/>
      <queryTableField id="16" name="AI_ENF2_Score" tableColumnId="16"/>
      <queryTableField id="17" name="Human_ENF2" tableColumnId="17"/>
      <queryTableField id="18" name="Delta_ENF2" tableColumnId="18"/>
      <queryTableField id="19" name="AI_ENF2_Reason" tableColumnId="19"/>
      <queryTableField id="20" name="Human_ENF2_Reason" tableColumnId="20"/>
      <queryTableField id="21" name="AI_FAC1_Score" tableColumnId="21"/>
      <queryTableField id="22" name="Human_FAC1" tableColumnId="22"/>
      <queryTableField id="23" name="Delta_FAC1" tableColumnId="23"/>
      <queryTableField id="24" name="AI_FAC1_Reason" tableColumnId="24"/>
      <queryTableField id="25" name="Human_FAC1_Reason" tableColumnId="25"/>
      <queryTableField id="26" name="AI_FAC2_Score" tableColumnId="26"/>
      <queryTableField id="27" name="Human_FAC2" tableColumnId="27"/>
      <queryTableField id="28" name="Delta_FAC2" tableColumnId="28"/>
      <queryTableField id="29" name="AI_FAC2_Reason" tableColumnId="29"/>
      <queryTableField id="30" name="Human_FAC2_Reason" tableColumnId="30"/>
      <queryTableField id="31" name="AI_TRU1_Score" tableColumnId="31"/>
      <queryTableField id="32" name="Human_TRU1" tableColumnId="32"/>
      <queryTableField id="33" name="Delta_TRU1" tableColumnId="33"/>
      <queryTableField id="34" name="AI_TRU1_Reason" tableColumnId="34"/>
      <queryTableField id="35" name="Human_TRU1_Reason" tableColumnId="35"/>
      <queryTableField id="36" name="AI_TRU2_Score" tableColumnId="36"/>
      <queryTableField id="37" name="Human_TRU2" tableColumnId="37"/>
      <queryTableField id="38" name="Delta_TRU2" tableColumnId="38"/>
      <queryTableField id="39" name="AI_TRU2_Reason" tableColumnId="39"/>
      <queryTableField id="40" name="Human_TRU2_Reason" tableColumnId="40"/>
      <queryTableField id="41" name="AI_TRU3_Score" tableColumnId="41"/>
      <queryTableField id="42" name="Human_TRU3" tableColumnId="42"/>
      <queryTableField id="43" name="Delta_TRU3" tableColumnId="43"/>
      <queryTableField id="44" name="AI_TRU3_Reason" tableColumnId="44"/>
      <queryTableField id="45" name="Human_TRU3_Reason" tableColumnId="45"/>
      <queryTableField id="46" name="AI_TRU4_Score" tableColumnId="46"/>
      <queryTableField id="47" name="Human_TRU4" tableColumnId="47"/>
      <queryTableField id="48" name="Delta_TRU4" tableColumnId="48"/>
      <queryTableField id="49" name="AI_TRU4_Reason" tableColumnId="49"/>
      <queryTableField id="50" name="Human_TRU4_Reason" tableColumnId="50"/>
      <queryTableField id="51" name="AI_OUT1_Score" tableColumnId="51"/>
      <queryTableField id="52" name="Human_OUT1" tableColumnId="52"/>
      <queryTableField id="53" name="Delta_OUT1" tableColumnId="53"/>
      <queryTableField id="54" name="AI_OUT1_Reason" tableColumnId="54"/>
      <queryTableField id="55" name="Human_OUT1_Reason" tableColumnId="5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4051325-EB0F-4395-B612-9F36983AC760}" autoFormatId="16" applyNumberFormats="0" applyBorderFormats="0" applyFontFormats="0" applyPatternFormats="0" applyAlignmentFormats="0" applyWidthHeightFormats="0">
  <queryTableRefresh nextId="27">
    <queryTableFields count="26">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Lý do - HUMAN-ENF1" tableColumnId="10"/>
      <queryTableField id="11" name="Tôi tin rằng Nhà nước, cơ quan thuế có đủ khả năng và công nghệ để phát hiện, xử lý nghiêm các hành vi trốn thuế. - HUMAN-ENF2" tableColumnId="11"/>
      <queryTableField id="12" name="Lý do - HUMAN-ENF2" tableColumnId="12"/>
      <queryTableField id="13" name="Các thủ tục khai báo thuế VÀ/HOẶC quy trình làm việc với cơ quan thuế đơn giản, tiện lợi, nhanh chóng hơn so với trước đây. - HUMAN-FAC1" tableColumnId="13"/>
      <queryTableField id="14" name="Lý do - HUMAN-FAC1" tableColumnId="14"/>
      <queryTableField id="15" name="So với trước đây, tôi thấy cách tính thuế và các bậc thuế trong phương án mới đơn giản, dễ hiểu và dễ thực hiện hơn. - HUMAN-FAC2" tableColumnId="15"/>
      <queryTableField id="16" name="Lý do - HUMAN-FAC2" tableColumnId="16"/>
      <queryTableField id="17" name="Tôi tin rằng Nhà nước, cơ quan thuế sẽ thực thi chính sách mới một cách khách quan, công tâm và đối xử bình đẳng với mọi người nộp thuế.  - HUMAN-TRU1" tableColumnId="17"/>
      <queryTableField id="18" name="Lý do - HUMAN-TRU1" tableColumnId="18"/>
      <queryTableField id="19" name="Tôi thấy mức thuế tôi phải đóng theo phương án mới là công bằng (người thu nhập như tôi đóng mức này là hợp lý). - HUMAN-TRU2" tableColumnId="19"/>
      <queryTableField id="20" name="Lý do - HUMAN-TRU2" tableColumnId="20"/>
      <queryTableField id="21" name="Tôi tin tưởng số tiền thuế tôi đóng sẽ được Nhà nước sử dụng hiệu quả để cải thiện dịch vụ công (y tế, đường xá...). - HUMAN-TRU3" tableColumnId="21"/>
      <queryTableField id="22" name="Lý do - HUMAN-TRU3" tableColumnId="22"/>
      <queryTableField id="23" name="Tôi thấy Nhà nước đã giải thích rõ ràng, minh bạch về lý do và mục tiêu của việc sửa đổi thuế lần này. - HUMAN-TRU4" tableColumnId="23"/>
      <queryTableField id="24" name="Lý do - HUMAN-TRU4" tableColumnId="24"/>
      <queryTableField id="25" name="Sau khi xem xét các quyền lợi và nghĩa vụ, bạn có ủng hộ và tuân thủ chính sách mới hiện nay? - HUMAN-OUT1" tableColumnId="25"/>
      <queryTableField id="26" name="Lý do - HUMAN-OUT1"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5BE27-1697-4347-A6B3-8D82A73E8F2E}" name="step2_raw_simulation" displayName="step2_raw_simulation" ref="A1:BC126" tableType="queryTable" totalsRowShown="0">
  <autoFilter ref="A1:BC126" xr:uid="{E705BE27-1697-4347-A6B3-8D82A73E8F2E}"/>
  <tableColumns count="55">
    <tableColumn id="1" xr3:uid="{E1FAFE6B-A198-4BEF-8B6B-6194EA6D035B}" uniqueName="1" name="Persona_ID" queryTableFieldId="1"/>
    <tableColumn id="2" xr3:uid="{16386BB6-3A32-4E35-A82D-3FDE1F5A292C}" uniqueName="2" name="Run_ID" queryTableFieldId="2"/>
    <tableColumn id="3" xr3:uid="{8971BF49-482C-43BA-8D8A-E85F3A32059F}" uniqueName="3" name="Used_Seed" queryTableFieldId="3"/>
    <tableColumn id="4" xr3:uid="{5C648E21-E78D-487B-A692-0145A78B7897}" uniqueName="4" name="Gender" queryTableFieldId="4" dataDxfId="39"/>
    <tableColumn id="5" xr3:uid="{35F46A68-61FE-48D0-BE77-7084906748CC}" uniqueName="5" name="Age" queryTableFieldId="5" dataDxfId="38"/>
    <tableColumn id="6" xr3:uid="{C8AA1FE0-689E-4DB9-8214-3AAF365F958C}" uniqueName="6" name="Region" queryTableFieldId="6" dataDxfId="37"/>
    <tableColumn id="7" xr3:uid="{77FDDA22-D12A-44E7-AC60-47C87604FEB0}" uniqueName="7" name="Education" queryTableFieldId="7" dataDxfId="36"/>
    <tableColumn id="8" xr3:uid="{3F1C9D87-5156-4452-85F5-40632394F6B5}" uniqueName="8" name="Employment" queryTableFieldId="8" dataDxfId="35"/>
    <tableColumn id="9" xr3:uid="{A1DE38F1-541A-40D7-BAA8-C3BF423D9788}" uniqueName="9" name="Income_Mil" queryTableFieldId="9"/>
    <tableColumn id="10" xr3:uid="{F0904427-0C14-4B23-957E-C97CDC0B2F42}" uniqueName="10" name="Dependents" queryTableFieldId="10"/>
    <tableColumn id="11" xr3:uid="{9AD5EFB7-98C2-410A-AA1F-6076EED4878C}" uniqueName="11" name="AI_ENF1_Score" queryTableFieldId="11"/>
    <tableColumn id="12" xr3:uid="{0139278F-3435-4C33-94DB-38BA92C7EBA1}" uniqueName="12" name="Human_ENF1" queryTableFieldId="12"/>
    <tableColumn id="13" xr3:uid="{46A338DB-CD4E-462E-9721-E714F677C02A}" uniqueName="13" name="Delta_ENF1" queryTableFieldId="13"/>
    <tableColumn id="14" xr3:uid="{D9A0336A-FDF5-4308-8097-973E0176ADBC}" uniqueName="14" name="AI_ENF1_Reason" queryTableFieldId="14" dataDxfId="34"/>
    <tableColumn id="15" xr3:uid="{E7A2DFA9-3E0B-4830-9FA2-1BE7D0467968}" uniqueName="15" name="Human_ENF1_Reason" queryTableFieldId="15" dataDxfId="33"/>
    <tableColumn id="16" xr3:uid="{1DCFB445-D384-47AF-BB35-C601417F6A1D}" uniqueName="16" name="AI_ENF2_Score" queryTableFieldId="16"/>
    <tableColumn id="17" xr3:uid="{A2D5B5D5-C829-41AB-98D9-3BC770156D9B}" uniqueName="17" name="Human_ENF2" queryTableFieldId="17"/>
    <tableColumn id="18" xr3:uid="{8E032A6E-F27A-4EA0-8C95-CAD9D01AED93}" uniqueName="18" name="Delta_ENF2" queryTableFieldId="18"/>
    <tableColumn id="19" xr3:uid="{370BCDF9-C45F-41F5-AF87-BBD04BC0A0D4}" uniqueName="19" name="AI_ENF2_Reason" queryTableFieldId="19" dataDxfId="32"/>
    <tableColumn id="20" xr3:uid="{77067178-0A86-4753-A4D9-5280C72672F6}" uniqueName="20" name="Human_ENF2_Reason" queryTableFieldId="20" dataDxfId="31"/>
    <tableColumn id="21" xr3:uid="{77D50348-EB41-4A92-AFFE-8830391DB513}" uniqueName="21" name="AI_FAC1_Score" queryTableFieldId="21"/>
    <tableColumn id="22" xr3:uid="{3C4A37CA-D7F7-45EC-A6C6-C9A2E14C7A8F}" uniqueName="22" name="Human_FAC1" queryTableFieldId="22"/>
    <tableColumn id="23" xr3:uid="{C56A2D2C-5258-47AF-9080-90F5137E7FCF}" uniqueName="23" name="Delta_FAC1" queryTableFieldId="23"/>
    <tableColumn id="24" xr3:uid="{AE0C1CDB-BDA9-4D09-A554-0FF81D8C2120}" uniqueName="24" name="AI_FAC1_Reason" queryTableFieldId="24" dataDxfId="30"/>
    <tableColumn id="25" xr3:uid="{1AF4EC4E-883E-4291-90E7-C6B82CDDF3AE}" uniqueName="25" name="Human_FAC1_Reason" queryTableFieldId="25" dataDxfId="29"/>
    <tableColumn id="26" xr3:uid="{734CD859-049B-4737-94ED-9BA84919116D}" uniqueName="26" name="AI_FAC2_Score" queryTableFieldId="26"/>
    <tableColumn id="27" xr3:uid="{2F961DBD-425C-47B9-990D-3468AB83A4FC}" uniqueName="27" name="Human_FAC2" queryTableFieldId="27"/>
    <tableColumn id="28" xr3:uid="{6672809F-6F6E-4C51-A086-4C3222A679F4}" uniqueName="28" name="Delta_FAC2" queryTableFieldId="28"/>
    <tableColumn id="29" xr3:uid="{80D79E38-CA00-4545-9FA9-E4AAFAAE7459}" uniqueName="29" name="AI_FAC2_Reason" queryTableFieldId="29" dataDxfId="28"/>
    <tableColumn id="30" xr3:uid="{1B57431F-EC5C-4CD5-99A4-5666A4D48AE7}" uniqueName="30" name="Human_FAC2_Reason" queryTableFieldId="30" dataDxfId="27"/>
    <tableColumn id="31" xr3:uid="{11B75779-D1F5-4964-8E28-80E1A0B3886E}" uniqueName="31" name="AI_TRU1_Score" queryTableFieldId="31"/>
    <tableColumn id="32" xr3:uid="{2F0A1AB2-CDEE-495F-81A3-35FDE7E12F8A}" uniqueName="32" name="Human_TRU1" queryTableFieldId="32"/>
    <tableColumn id="33" xr3:uid="{2D4E5A9E-035B-472A-B968-5CB813E68DCF}" uniqueName="33" name="Delta_TRU1" queryTableFieldId="33"/>
    <tableColumn id="34" xr3:uid="{C149A67D-9C33-41F7-8829-A8E706659BB6}" uniqueName="34" name="AI_TRU1_Reason" queryTableFieldId="34" dataDxfId="26"/>
    <tableColumn id="35" xr3:uid="{F65B997A-6C30-40BF-9481-D888E846EF0F}" uniqueName="35" name="Human_TRU1_Reason" queryTableFieldId="35" dataDxfId="25"/>
    <tableColumn id="36" xr3:uid="{A00C8EEE-6CAA-480F-821E-C26DE8056A62}" uniqueName="36" name="AI_TRU2_Score" queryTableFieldId="36"/>
    <tableColumn id="37" xr3:uid="{7B487B36-C9E6-4CAC-81AB-CABA7DFABF0D}" uniqueName="37" name="Human_TRU2" queryTableFieldId="37"/>
    <tableColumn id="38" xr3:uid="{705D1A99-6013-4263-AE9C-D477C2F5EB0C}" uniqueName="38" name="Delta_TRU2" queryTableFieldId="38"/>
    <tableColumn id="39" xr3:uid="{FD2EE731-3D8C-4FD0-8670-44F70BDE1699}" uniqueName="39" name="AI_TRU2_Reason" queryTableFieldId="39" dataDxfId="24"/>
    <tableColumn id="40" xr3:uid="{B2B5C1B3-3FCD-48AB-893A-ECB05F787A16}" uniqueName="40" name="Human_TRU2_Reason" queryTableFieldId="40" dataDxfId="23"/>
    <tableColumn id="41" xr3:uid="{7A3170C6-DE52-47C0-BB18-A6729AD1A6E4}" uniqueName="41" name="AI_TRU3_Score" queryTableFieldId="41"/>
    <tableColumn id="42" xr3:uid="{59D72193-589C-4ED8-8C8F-C2CEDEDED247}" uniqueName="42" name="Human_TRU3" queryTableFieldId="42"/>
    <tableColumn id="43" xr3:uid="{2127792B-DDCC-46B1-9BD8-655251B37BA8}" uniqueName="43" name="Delta_TRU3" queryTableFieldId="43"/>
    <tableColumn id="44" xr3:uid="{8C68FB2F-454B-4D20-B421-9B78D9D0CD1C}" uniqueName="44" name="AI_TRU3_Reason" queryTableFieldId="44" dataDxfId="22"/>
    <tableColumn id="45" xr3:uid="{F9E58892-3904-4E9F-BD6A-C7624327C189}" uniqueName="45" name="Human_TRU3_Reason" queryTableFieldId="45" dataDxfId="21"/>
    <tableColumn id="46" xr3:uid="{CD386339-B18C-4384-9A4E-019868ACB5FD}" uniqueName="46" name="AI_TRU4_Score" queryTableFieldId="46"/>
    <tableColumn id="47" xr3:uid="{69157646-66CB-434A-9656-3B59087FE499}" uniqueName="47" name="Human_TRU4" queryTableFieldId="47"/>
    <tableColumn id="48" xr3:uid="{05B05BDE-0AF3-4424-A5D6-188875A447CA}" uniqueName="48" name="Delta_TRU4" queryTableFieldId="48"/>
    <tableColumn id="49" xr3:uid="{358283F7-9882-4CF9-8641-957408CA298D}" uniqueName="49" name="AI_TRU4_Reason" queryTableFieldId="49" dataDxfId="20"/>
    <tableColumn id="50" xr3:uid="{7FBC8235-ABE5-4E18-BA82-A576C6F4B32D}" uniqueName="50" name="Human_TRU4_Reason" queryTableFieldId="50" dataDxfId="19"/>
    <tableColumn id="51" xr3:uid="{16A0DA80-0228-4C46-82AD-D2098E0C12BD}" uniqueName="51" name="AI_OUT1_Score" queryTableFieldId="51"/>
    <tableColumn id="52" xr3:uid="{8EF501B8-44E4-475F-BFAE-E74891475864}" uniqueName="52" name="Human_OUT1" queryTableFieldId="52"/>
    <tableColumn id="53" xr3:uid="{31FF45BB-1C38-4AB1-82F1-32E611D0B032}" uniqueName="53" name="Delta_OUT1" queryTableFieldId="53"/>
    <tableColumn id="54" xr3:uid="{2FC6C9B3-EBDF-49AB-97F3-EAA36AD6D070}" uniqueName="54" name="AI_OUT1_Reason" queryTableFieldId="54" dataDxfId="18"/>
    <tableColumn id="55" xr3:uid="{0DE20C58-437A-47FA-BB9C-AE24AD6E19ED}" uniqueName="55" name="Human_OUT1_Reason" queryTableFieldId="55"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7F77D2-6954-43C8-8AFF-6A2A44C8F623}" name="interview_responses" displayName="interview_responses" ref="A1:Z26" tableType="queryTable" totalsRowShown="0">
  <autoFilter ref="A1:Z26" xr:uid="{1D7F77D2-6954-43C8-8AFF-6A2A44C8F623}"/>
  <tableColumns count="26">
    <tableColumn id="1" xr3:uid="{D2371CE7-BE4D-499D-8407-180DFFE7ADF2}" uniqueName="1" name="Timestamp" queryTableFieldId="1" dataDxfId="16"/>
    <tableColumn id="2" xr3:uid="{C0468B29-CB72-4FC3-93AC-F2754B89D1F2}" uniqueName="2" name="Giới tính của bạn:" queryTableFieldId="2" dataDxfId="15"/>
    <tableColumn id="3" xr3:uid="{E5ED1A81-21D2-42B2-85F1-9D471286D8FF}" uniqueName="3" name="Độ tuổi của bạn:" queryTableFieldId="3" dataDxfId="14"/>
    <tableColumn id="4" xr3:uid="{64AEFC01-F319-4C51-B6F3-DFD5B96008F1}" uniqueName="4" name="Khu vực bạn đang sinh sống:" queryTableFieldId="4" dataDxfId="13"/>
    <tableColumn id="5" xr3:uid="{9F556BD4-8AF2-487B-A584-047F97142595}" uniqueName="5" name="Trình độ học vấn cao nhất:" queryTableFieldId="5" dataDxfId="12"/>
    <tableColumn id="6" xr3:uid="{E3CCA5EA-77C3-4BFB-967B-2944DE54E7F0}" uniqueName="6" name="Tình trạng việc làm chính:" queryTableFieldId="6" dataDxfId="11"/>
    <tableColumn id="7" xr3:uid="{38A9ED60-29B0-4DCA-8250-28962FA8670A}" uniqueName="7" name="Thu nhập bình quân tháng theo Hợp đồng lao động của bạn là bao nhiêu? (Vui lòng điền tổng thu nhập trước khi khấu trừ các loại Bảo hiểm (BHXH, BHYT, BHTN) và Thuế TNCN)" queryTableFieldId="7" dataDxfId="10"/>
    <tableColumn id="8" xr3:uid="{B7023D26-2B32-442D-8424-0E7D389973FC}" uniqueName="8" name="Số người phụ thuộc (con nhỏ, cha mẹ già...) đủ điều kiện giảm trừ gia cảnh:" queryTableFieldId="8" dataDxfId="9"/>
    <tableColumn id="9" xr3:uid="{01C93E0B-2B58-4A62-A1CD-985097627A53}" uniqueName="9" name="Tôi tin rằng với các quy định quản lý thuế hiện nay, hành vi gian lận hoặc trốn thuế sẽ dễ dàng bị phát hiện và xử lý nghiêm. - HUMAN-ENF1" queryTableFieldId="9"/>
    <tableColumn id="10" xr3:uid="{C89EB9E8-ACCC-40D2-A8BE-0FC61B10B73D}" uniqueName="10" name="Lý do - HUMAN-ENF1" queryTableFieldId="10" dataDxfId="8"/>
    <tableColumn id="11" xr3:uid="{AE926A72-37A6-458D-914B-38F8EC45D36C}" uniqueName="11" name="Tôi tin rằng Nhà nước, cơ quan thuế có đủ khả năng và công nghệ để phát hiện, xử lý nghiêm các hành vi trốn thuế. - HUMAN-ENF2" queryTableFieldId="11"/>
    <tableColumn id="12" xr3:uid="{B569B486-1633-4586-932F-B4A949774F95}" uniqueName="12" name="Lý do - HUMAN-ENF2" queryTableFieldId="12" dataDxfId="7"/>
    <tableColumn id="13" xr3:uid="{CB14ED68-9084-4849-B8E4-B607DA02626D}" uniqueName="13" name="Các thủ tục khai báo thuế VÀ/HOẶC quy trình làm việc với cơ quan thuế đơn giản, tiện lợi, nhanh chóng hơn so với trước đây. - HUMAN-FAC1" queryTableFieldId="13"/>
    <tableColumn id="14" xr3:uid="{61C1A404-AB3D-4310-8EDB-317A76CD8B16}" uniqueName="14" name="Lý do - HUMAN-FAC1" queryTableFieldId="14" dataDxfId="6"/>
    <tableColumn id="15" xr3:uid="{F2E46A2B-0AB6-4965-AD91-0162B17DAACE}" uniqueName="15" name="So với trước đây, tôi thấy cách tính thuế và các bậc thuế trong phương án mới đơn giản, dễ hiểu và dễ thực hiện hơn. - HUMAN-FAC2" queryTableFieldId="15"/>
    <tableColumn id="16" xr3:uid="{A4FE1848-2A15-4D1F-884B-B409B01F84A3}" uniqueName="16" name="Lý do - HUMAN-FAC2" queryTableFieldId="16" dataDxfId="5"/>
    <tableColumn id="17" xr3:uid="{3C09F7EA-39F2-4EB0-B89D-6005F04D5EA5}" uniqueName="17" name="Tôi tin rằng Nhà nước, cơ quan thuế sẽ thực thi chính sách mới một cách khách quan, công tâm và đối xử bình đẳng với mọi người nộp thuế.  - HUMAN-TRU1" queryTableFieldId="17"/>
    <tableColumn id="18" xr3:uid="{6E69B9F2-40CD-4520-A273-CEB81A078980}" uniqueName="18" name="Lý do - HUMAN-TRU1" queryTableFieldId="18" dataDxfId="4"/>
    <tableColumn id="19" xr3:uid="{9673DB08-F0AC-4545-8612-F64C3F6491FE}" uniqueName="19" name="Tôi thấy mức thuế tôi phải đóng theo phương án mới là công bằng (người thu nhập như tôi đóng mức này là hợp lý). - HUMAN-TRU2" queryTableFieldId="19"/>
    <tableColumn id="20" xr3:uid="{8E76CD56-ECB5-4F1C-A04D-093AD004FCD1}" uniqueName="20" name="Lý do - HUMAN-TRU2" queryTableFieldId="20" dataDxfId="3"/>
    <tableColumn id="21" xr3:uid="{E054012D-9345-4325-B6B7-9770A3798CCB}" uniqueName="21" name="Tôi tin tưởng số tiền thuế tôi đóng sẽ được Nhà nước sử dụng hiệu quả để cải thiện dịch vụ công (y tế, đường xá...). - HUMAN-TRU3" queryTableFieldId="21"/>
    <tableColumn id="22" xr3:uid="{D3C49263-A71C-4121-AD09-8DD7AE2B9033}" uniqueName="22" name="Lý do - HUMAN-TRU3" queryTableFieldId="22" dataDxfId="2"/>
    <tableColumn id="23" xr3:uid="{B6CD0967-5999-4086-82CC-BCB0CD954094}" uniqueName="23" name="Tôi thấy Nhà nước đã giải thích rõ ràng, minh bạch về lý do và mục tiêu của việc sửa đổi thuế lần này. - HUMAN-TRU4" queryTableFieldId="23"/>
    <tableColumn id="24" xr3:uid="{0E058706-06A2-4070-90B1-81CCBB5BFC69}" uniqueName="24" name="Lý do - HUMAN-TRU4" queryTableFieldId="24" dataDxfId="1"/>
    <tableColumn id="25" xr3:uid="{ECAB67E5-1714-4E04-8EAE-2C2AE01DDACB}" uniqueName="25" name="Sau khi xem xét các quyền lợi và nghĩa vụ, bạn có ủng hộ và tuân thủ chính sách mới hiện nay? - HUMAN-OUT1" queryTableFieldId="25"/>
    <tableColumn id="26" xr3:uid="{2C6226D3-2956-4AC9-9898-650CDC634EF0}" uniqueName="26" name="Lý do - HUMAN-OUT1"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CC34D-1F9B-45DB-BEFD-153DDA908F07}">
  <dimension ref="A1:BC126"/>
  <sheetViews>
    <sheetView workbookViewId="0">
      <selection activeCell="E133" sqref="E133"/>
    </sheetView>
  </sheetViews>
  <sheetFormatPr defaultRowHeight="14.25" x14ac:dyDescent="0.45"/>
  <cols>
    <col min="1" max="1" width="12.1328125" bestFit="1" customWidth="1"/>
    <col min="2" max="2" width="8.796875" bestFit="1" customWidth="1"/>
    <col min="3" max="3" width="12" bestFit="1" customWidth="1"/>
    <col min="4" max="4" width="8.9296875" bestFit="1" customWidth="1"/>
    <col min="5" max="5" width="6.265625" bestFit="1" customWidth="1"/>
    <col min="6" max="6" width="0" hidden="1" customWidth="1"/>
    <col min="7" max="7" width="11" bestFit="1" customWidth="1"/>
    <col min="8" max="8" width="13.33203125" bestFit="1" customWidth="1"/>
    <col min="9" max="9" width="12.53125" bestFit="1" customWidth="1"/>
    <col min="10" max="10" width="12.86328125" bestFit="1" customWidth="1"/>
    <col min="11" max="11" width="15.1328125" bestFit="1" customWidth="1"/>
    <col min="12" max="12" width="13.796875" bestFit="1" customWidth="1"/>
    <col min="13" max="13" width="12.19921875" bestFit="1" customWidth="1"/>
    <col min="14" max="15" width="80.53125" bestFit="1" customWidth="1"/>
    <col min="16" max="16" width="15.1328125" bestFit="1" customWidth="1"/>
    <col min="17" max="17" width="13.796875" bestFit="1" customWidth="1"/>
    <col min="18" max="18" width="12.19921875" bestFit="1" customWidth="1"/>
    <col min="19" max="20" width="80.53125" bestFit="1" customWidth="1"/>
    <col min="21" max="21" width="15.1328125" bestFit="1" customWidth="1"/>
    <col min="22" max="22" width="13.796875" bestFit="1" customWidth="1"/>
    <col min="23" max="23" width="12.19921875" bestFit="1" customWidth="1"/>
    <col min="24" max="25" width="80.53125" bestFit="1" customWidth="1"/>
    <col min="26" max="26" width="15.1328125" bestFit="1" customWidth="1"/>
    <col min="27" max="27" width="13.796875" bestFit="1" customWidth="1"/>
    <col min="28" max="28" width="12.19921875" bestFit="1" customWidth="1"/>
    <col min="29" max="30" width="80.53125" bestFit="1" customWidth="1"/>
    <col min="31" max="31" width="15.33203125" bestFit="1" customWidth="1"/>
    <col min="32" max="32" width="14" bestFit="1" customWidth="1"/>
    <col min="33" max="33" width="12.3984375" bestFit="1" customWidth="1"/>
    <col min="34" max="35" width="80.53125" bestFit="1" customWidth="1"/>
    <col min="36" max="36" width="15.33203125" bestFit="1" customWidth="1"/>
    <col min="37" max="37" width="14" bestFit="1" customWidth="1"/>
    <col min="38" max="38" width="12.3984375" bestFit="1" customWidth="1"/>
    <col min="39" max="40" width="80.53125" bestFit="1" customWidth="1"/>
    <col min="41" max="41" width="15.33203125" bestFit="1" customWidth="1"/>
    <col min="42" max="42" width="14" bestFit="1" customWidth="1"/>
    <col min="43" max="43" width="12.3984375" bestFit="1" customWidth="1"/>
    <col min="44" max="45" width="80.53125" bestFit="1" customWidth="1"/>
    <col min="46" max="46" width="15.33203125" bestFit="1" customWidth="1"/>
    <col min="47" max="47" width="14" bestFit="1" customWidth="1"/>
    <col min="48" max="48" width="12.3984375" bestFit="1" customWidth="1"/>
    <col min="49" max="50" width="80.53125" bestFit="1" customWidth="1"/>
    <col min="51" max="51" width="15.59765625" bestFit="1" customWidth="1"/>
    <col min="52" max="52" width="14.265625" bestFit="1" customWidth="1"/>
    <col min="53" max="53" width="12.6640625" bestFit="1" customWidth="1"/>
    <col min="54" max="55" width="80.53125" bestFit="1" customWidth="1"/>
  </cols>
  <sheetData>
    <row r="1" spans="1:55" x14ac:dyDescent="0.45">
      <c r="A1" t="s">
        <v>37</v>
      </c>
      <c r="B1" t="s">
        <v>38</v>
      </c>
      <c r="C1" t="s">
        <v>39</v>
      </c>
      <c r="D1" t="s">
        <v>40</v>
      </c>
      <c r="E1" t="s">
        <v>41</v>
      </c>
      <c r="F1" t="s">
        <v>42</v>
      </c>
      <c r="G1" t="s">
        <v>43</v>
      </c>
      <c r="H1" t="s">
        <v>44</v>
      </c>
      <c r="I1" t="s">
        <v>45</v>
      </c>
      <c r="J1" t="s">
        <v>46</v>
      </c>
      <c r="K1" t="s">
        <v>47</v>
      </c>
      <c r="L1" t="s">
        <v>48</v>
      </c>
      <c r="M1" t="s">
        <v>49</v>
      </c>
      <c r="N1" t="s">
        <v>50</v>
      </c>
      <c r="O1" t="s">
        <v>51</v>
      </c>
      <c r="P1" t="s">
        <v>52</v>
      </c>
      <c r="Q1" t="s">
        <v>53</v>
      </c>
      <c r="R1" t="s">
        <v>54</v>
      </c>
      <c r="S1" t="s">
        <v>55</v>
      </c>
      <c r="T1" t="s">
        <v>56</v>
      </c>
      <c r="U1" t="s">
        <v>57</v>
      </c>
      <c r="V1" t="s">
        <v>58</v>
      </c>
      <c r="W1" t="s">
        <v>59</v>
      </c>
      <c r="X1" t="s">
        <v>60</v>
      </c>
      <c r="Y1" t="s">
        <v>61</v>
      </c>
      <c r="Z1" t="s">
        <v>62</v>
      </c>
      <c r="AA1" t="s">
        <v>63</v>
      </c>
      <c r="AB1" t="s">
        <v>64</v>
      </c>
      <c r="AC1" t="s">
        <v>65</v>
      </c>
      <c r="AD1" t="s">
        <v>66</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row>
    <row r="2" spans="1:55" x14ac:dyDescent="0.45">
      <c r="A2">
        <v>1</v>
      </c>
      <c r="B2">
        <v>1</v>
      </c>
      <c r="C2">
        <v>43</v>
      </c>
      <c r="D2" t="s">
        <v>92</v>
      </c>
      <c r="E2" t="s">
        <v>93</v>
      </c>
      <c r="F2" t="s">
        <v>94</v>
      </c>
      <c r="G2" t="s">
        <v>95</v>
      </c>
      <c r="H2" t="s">
        <v>96</v>
      </c>
      <c r="I2">
        <v>27.5</v>
      </c>
      <c r="J2">
        <v>1</v>
      </c>
      <c r="K2">
        <v>4</v>
      </c>
      <c r="L2">
        <v>5</v>
      </c>
      <c r="M2">
        <v>1</v>
      </c>
      <c r="N2" t="s">
        <v>97</v>
      </c>
      <c r="O2" t="s">
        <v>98</v>
      </c>
      <c r="P2">
        <v>3</v>
      </c>
      <c r="Q2">
        <v>5</v>
      </c>
      <c r="R2">
        <v>2</v>
      </c>
      <c r="S2" t="s">
        <v>99</v>
      </c>
      <c r="T2" t="s">
        <v>100</v>
      </c>
      <c r="U2">
        <v>4</v>
      </c>
      <c r="V2">
        <v>1</v>
      </c>
      <c r="W2">
        <v>-3</v>
      </c>
      <c r="X2" t="s">
        <v>101</v>
      </c>
      <c r="Y2" t="s">
        <v>102</v>
      </c>
      <c r="Z2">
        <v>7</v>
      </c>
      <c r="AA2">
        <v>10</v>
      </c>
      <c r="AB2">
        <v>3</v>
      </c>
      <c r="AC2" t="s">
        <v>103</v>
      </c>
      <c r="AD2" t="s">
        <v>104</v>
      </c>
      <c r="AE2">
        <v>4</v>
      </c>
      <c r="AF2">
        <v>5</v>
      </c>
      <c r="AG2">
        <v>1</v>
      </c>
      <c r="AH2" t="s">
        <v>105</v>
      </c>
      <c r="AI2" t="s">
        <v>98</v>
      </c>
      <c r="AJ2">
        <v>9</v>
      </c>
      <c r="AK2">
        <v>10</v>
      </c>
      <c r="AL2">
        <v>1</v>
      </c>
      <c r="AM2" t="s">
        <v>106</v>
      </c>
      <c r="AN2" t="s">
        <v>107</v>
      </c>
      <c r="AO2">
        <v>8</v>
      </c>
      <c r="AP2">
        <v>5</v>
      </c>
      <c r="AQ2">
        <v>-3</v>
      </c>
      <c r="AR2" t="s">
        <v>108</v>
      </c>
      <c r="AS2" t="s">
        <v>109</v>
      </c>
      <c r="AT2">
        <v>7</v>
      </c>
      <c r="AU2">
        <v>10</v>
      </c>
      <c r="AV2">
        <v>3</v>
      </c>
      <c r="AW2" t="s">
        <v>110</v>
      </c>
      <c r="AX2" t="s">
        <v>111</v>
      </c>
      <c r="AY2">
        <v>8</v>
      </c>
      <c r="AZ2">
        <v>9</v>
      </c>
      <c r="BA2">
        <v>1</v>
      </c>
      <c r="BB2" t="s">
        <v>112</v>
      </c>
      <c r="BC2" t="s">
        <v>113</v>
      </c>
    </row>
    <row r="3" spans="1:55" x14ac:dyDescent="0.45">
      <c r="A3">
        <v>1</v>
      </c>
      <c r="B3">
        <v>2</v>
      </c>
      <c r="C3">
        <v>44</v>
      </c>
      <c r="D3" t="s">
        <v>92</v>
      </c>
      <c r="E3" t="s">
        <v>93</v>
      </c>
      <c r="F3" t="s">
        <v>94</v>
      </c>
      <c r="G3" t="s">
        <v>95</v>
      </c>
      <c r="H3" t="s">
        <v>96</v>
      </c>
      <c r="I3">
        <v>27.5</v>
      </c>
      <c r="J3">
        <v>1</v>
      </c>
      <c r="K3">
        <v>3</v>
      </c>
      <c r="L3">
        <v>5</v>
      </c>
      <c r="M3">
        <v>2</v>
      </c>
      <c r="N3" t="s">
        <v>114</v>
      </c>
      <c r="O3" t="s">
        <v>98</v>
      </c>
      <c r="P3">
        <v>4</v>
      </c>
      <c r="Q3">
        <v>5</v>
      </c>
      <c r="R3">
        <v>1</v>
      </c>
      <c r="S3" t="s">
        <v>115</v>
      </c>
      <c r="T3" t="s">
        <v>100</v>
      </c>
      <c r="U3">
        <v>3</v>
      </c>
      <c r="V3">
        <v>1</v>
      </c>
      <c r="W3">
        <v>-2</v>
      </c>
      <c r="X3" t="s">
        <v>116</v>
      </c>
      <c r="Y3" t="s">
        <v>102</v>
      </c>
      <c r="Z3">
        <v>9</v>
      </c>
      <c r="AA3">
        <v>10</v>
      </c>
      <c r="AB3">
        <v>1</v>
      </c>
      <c r="AC3" t="s">
        <v>117</v>
      </c>
      <c r="AD3" t="s">
        <v>104</v>
      </c>
      <c r="AE3">
        <v>3</v>
      </c>
      <c r="AF3">
        <v>5</v>
      </c>
      <c r="AG3">
        <v>2</v>
      </c>
      <c r="AH3" t="s">
        <v>114</v>
      </c>
      <c r="AI3" t="s">
        <v>98</v>
      </c>
      <c r="AJ3">
        <v>9</v>
      </c>
      <c r="AK3">
        <v>10</v>
      </c>
      <c r="AL3">
        <v>1</v>
      </c>
      <c r="AM3" t="s">
        <v>118</v>
      </c>
      <c r="AN3" t="s">
        <v>107</v>
      </c>
      <c r="AO3">
        <v>4</v>
      </c>
      <c r="AP3">
        <v>5</v>
      </c>
      <c r="AQ3">
        <v>1</v>
      </c>
      <c r="AR3" t="s">
        <v>119</v>
      </c>
      <c r="AS3" t="s">
        <v>109</v>
      </c>
      <c r="AT3">
        <v>9</v>
      </c>
      <c r="AU3">
        <v>10</v>
      </c>
      <c r="AV3">
        <v>1</v>
      </c>
      <c r="AW3" t="s">
        <v>120</v>
      </c>
      <c r="AX3" t="s">
        <v>111</v>
      </c>
      <c r="AY3">
        <v>7</v>
      </c>
      <c r="AZ3">
        <v>9</v>
      </c>
      <c r="BA3">
        <v>2</v>
      </c>
      <c r="BB3" t="s">
        <v>121</v>
      </c>
      <c r="BC3" t="s">
        <v>113</v>
      </c>
    </row>
    <row r="4" spans="1:55" x14ac:dyDescent="0.45">
      <c r="A4">
        <v>1</v>
      </c>
      <c r="B4">
        <v>3</v>
      </c>
      <c r="C4">
        <v>45</v>
      </c>
      <c r="D4" t="s">
        <v>92</v>
      </c>
      <c r="E4" t="s">
        <v>93</v>
      </c>
      <c r="F4" t="s">
        <v>94</v>
      </c>
      <c r="G4" t="s">
        <v>95</v>
      </c>
      <c r="H4" t="s">
        <v>96</v>
      </c>
      <c r="I4">
        <v>27.5</v>
      </c>
      <c r="J4">
        <v>1</v>
      </c>
      <c r="K4">
        <v>6</v>
      </c>
      <c r="L4">
        <v>5</v>
      </c>
      <c r="M4">
        <v>-1</v>
      </c>
      <c r="N4" t="s">
        <v>122</v>
      </c>
      <c r="O4" t="s">
        <v>98</v>
      </c>
      <c r="P4">
        <v>7</v>
      </c>
      <c r="Q4">
        <v>5</v>
      </c>
      <c r="R4">
        <v>-2</v>
      </c>
      <c r="S4" t="s">
        <v>123</v>
      </c>
      <c r="T4" t="s">
        <v>100</v>
      </c>
      <c r="U4">
        <v>3</v>
      </c>
      <c r="V4">
        <v>1</v>
      </c>
      <c r="W4">
        <v>-2</v>
      </c>
      <c r="X4" t="s">
        <v>124</v>
      </c>
      <c r="Y4" t="s">
        <v>102</v>
      </c>
      <c r="Z4">
        <v>4</v>
      </c>
      <c r="AA4">
        <v>10</v>
      </c>
      <c r="AB4">
        <v>6</v>
      </c>
      <c r="AC4" t="s">
        <v>125</v>
      </c>
      <c r="AD4" t="s">
        <v>104</v>
      </c>
      <c r="AE4">
        <v>5</v>
      </c>
      <c r="AF4">
        <v>5</v>
      </c>
      <c r="AG4">
        <v>0</v>
      </c>
      <c r="AH4" t="s">
        <v>126</v>
      </c>
      <c r="AI4" t="s">
        <v>98</v>
      </c>
      <c r="AJ4">
        <v>6</v>
      </c>
      <c r="AK4">
        <v>10</v>
      </c>
      <c r="AL4">
        <v>4</v>
      </c>
      <c r="AM4" t="s">
        <v>127</v>
      </c>
      <c r="AN4" t="s">
        <v>107</v>
      </c>
      <c r="AO4">
        <v>7</v>
      </c>
      <c r="AP4">
        <v>5</v>
      </c>
      <c r="AQ4">
        <v>-2</v>
      </c>
      <c r="AR4" t="s">
        <v>128</v>
      </c>
      <c r="AS4" t="s">
        <v>109</v>
      </c>
      <c r="AT4">
        <v>8</v>
      </c>
      <c r="AU4">
        <v>10</v>
      </c>
      <c r="AV4">
        <v>2</v>
      </c>
      <c r="AW4" t="s">
        <v>129</v>
      </c>
      <c r="AX4" t="s">
        <v>111</v>
      </c>
      <c r="AY4">
        <v>9</v>
      </c>
      <c r="AZ4">
        <v>9</v>
      </c>
      <c r="BA4">
        <v>0</v>
      </c>
      <c r="BB4" t="s">
        <v>130</v>
      </c>
      <c r="BC4" t="s">
        <v>113</v>
      </c>
    </row>
    <row r="5" spans="1:55" x14ac:dyDescent="0.45">
      <c r="A5">
        <v>1</v>
      </c>
      <c r="B5">
        <v>4</v>
      </c>
      <c r="C5">
        <v>46</v>
      </c>
      <c r="D5" t="s">
        <v>92</v>
      </c>
      <c r="E5" t="s">
        <v>93</v>
      </c>
      <c r="F5" t="s">
        <v>94</v>
      </c>
      <c r="G5" t="s">
        <v>95</v>
      </c>
      <c r="H5" t="s">
        <v>96</v>
      </c>
      <c r="I5">
        <v>27.5</v>
      </c>
      <c r="J5">
        <v>1</v>
      </c>
      <c r="K5">
        <v>4</v>
      </c>
      <c r="L5">
        <v>5</v>
      </c>
      <c r="M5">
        <v>1</v>
      </c>
      <c r="N5" t="s">
        <v>131</v>
      </c>
      <c r="O5" t="s">
        <v>98</v>
      </c>
      <c r="P5">
        <v>6</v>
      </c>
      <c r="Q5">
        <v>5</v>
      </c>
      <c r="R5">
        <v>-1</v>
      </c>
      <c r="S5" t="s">
        <v>132</v>
      </c>
      <c r="T5" t="s">
        <v>100</v>
      </c>
      <c r="U5">
        <v>3</v>
      </c>
      <c r="V5">
        <v>1</v>
      </c>
      <c r="W5">
        <v>-2</v>
      </c>
      <c r="X5" t="s">
        <v>133</v>
      </c>
      <c r="Y5" t="s">
        <v>102</v>
      </c>
      <c r="Z5">
        <v>8</v>
      </c>
      <c r="AA5">
        <v>10</v>
      </c>
      <c r="AB5">
        <v>2</v>
      </c>
      <c r="AC5" t="s">
        <v>134</v>
      </c>
      <c r="AD5" t="s">
        <v>104</v>
      </c>
      <c r="AE5">
        <v>4</v>
      </c>
      <c r="AF5">
        <v>5</v>
      </c>
      <c r="AG5">
        <v>1</v>
      </c>
      <c r="AH5" t="s">
        <v>135</v>
      </c>
      <c r="AI5" t="s">
        <v>98</v>
      </c>
      <c r="AJ5">
        <v>9</v>
      </c>
      <c r="AK5">
        <v>10</v>
      </c>
      <c r="AL5">
        <v>1</v>
      </c>
      <c r="AM5" t="s">
        <v>136</v>
      </c>
      <c r="AN5" t="s">
        <v>107</v>
      </c>
      <c r="AO5">
        <v>7</v>
      </c>
      <c r="AP5">
        <v>5</v>
      </c>
      <c r="AQ5">
        <v>-2</v>
      </c>
      <c r="AR5" t="s">
        <v>137</v>
      </c>
      <c r="AS5" t="s">
        <v>109</v>
      </c>
      <c r="AT5">
        <v>8</v>
      </c>
      <c r="AU5">
        <v>10</v>
      </c>
      <c r="AV5">
        <v>2</v>
      </c>
      <c r="AW5" t="s">
        <v>138</v>
      </c>
      <c r="AX5" t="s">
        <v>111</v>
      </c>
      <c r="AY5">
        <v>9</v>
      </c>
      <c r="AZ5">
        <v>9</v>
      </c>
      <c r="BA5">
        <v>0</v>
      </c>
      <c r="BB5" t="s">
        <v>139</v>
      </c>
      <c r="BC5" t="s">
        <v>113</v>
      </c>
    </row>
    <row r="6" spans="1:55" x14ac:dyDescent="0.45">
      <c r="A6">
        <v>1</v>
      </c>
      <c r="B6">
        <v>5</v>
      </c>
      <c r="C6">
        <v>47</v>
      </c>
      <c r="D6" t="s">
        <v>92</v>
      </c>
      <c r="E6" t="s">
        <v>93</v>
      </c>
      <c r="F6" t="s">
        <v>94</v>
      </c>
      <c r="G6" t="s">
        <v>95</v>
      </c>
      <c r="H6" t="s">
        <v>96</v>
      </c>
      <c r="I6">
        <v>27.5</v>
      </c>
      <c r="J6">
        <v>1</v>
      </c>
      <c r="K6">
        <v>7</v>
      </c>
      <c r="L6">
        <v>5</v>
      </c>
      <c r="M6">
        <v>-2</v>
      </c>
      <c r="N6" t="s">
        <v>140</v>
      </c>
      <c r="O6" t="s">
        <v>98</v>
      </c>
      <c r="P6">
        <v>6</v>
      </c>
      <c r="Q6">
        <v>5</v>
      </c>
      <c r="R6">
        <v>-1</v>
      </c>
      <c r="S6" t="s">
        <v>141</v>
      </c>
      <c r="T6" t="s">
        <v>100</v>
      </c>
      <c r="U6">
        <v>7</v>
      </c>
      <c r="V6">
        <v>1</v>
      </c>
      <c r="W6">
        <v>-6</v>
      </c>
      <c r="X6" t="s">
        <v>142</v>
      </c>
      <c r="Y6" t="s">
        <v>102</v>
      </c>
      <c r="Z6">
        <v>9</v>
      </c>
      <c r="AA6">
        <v>10</v>
      </c>
      <c r="AB6">
        <v>1</v>
      </c>
      <c r="AC6" t="s">
        <v>143</v>
      </c>
      <c r="AD6" t="s">
        <v>104</v>
      </c>
      <c r="AE6">
        <v>8</v>
      </c>
      <c r="AF6">
        <v>5</v>
      </c>
      <c r="AG6">
        <v>-3</v>
      </c>
      <c r="AH6" t="s">
        <v>144</v>
      </c>
      <c r="AI6" t="s">
        <v>98</v>
      </c>
      <c r="AJ6">
        <v>9</v>
      </c>
      <c r="AK6">
        <v>10</v>
      </c>
      <c r="AL6">
        <v>1</v>
      </c>
      <c r="AM6" t="s">
        <v>145</v>
      </c>
      <c r="AN6" t="s">
        <v>107</v>
      </c>
      <c r="AO6">
        <v>6</v>
      </c>
      <c r="AP6">
        <v>5</v>
      </c>
      <c r="AQ6">
        <v>-1</v>
      </c>
      <c r="AR6" t="s">
        <v>146</v>
      </c>
      <c r="AS6" t="s">
        <v>109</v>
      </c>
      <c r="AT6">
        <v>8</v>
      </c>
      <c r="AU6">
        <v>10</v>
      </c>
      <c r="AV6">
        <v>2</v>
      </c>
      <c r="AW6" t="s">
        <v>147</v>
      </c>
      <c r="AX6" t="s">
        <v>111</v>
      </c>
      <c r="AY6">
        <v>7</v>
      </c>
      <c r="AZ6">
        <v>9</v>
      </c>
      <c r="BA6">
        <v>2</v>
      </c>
      <c r="BB6" t="s">
        <v>148</v>
      </c>
      <c r="BC6" t="s">
        <v>113</v>
      </c>
    </row>
    <row r="7" spans="1:55" x14ac:dyDescent="0.45">
      <c r="A7">
        <v>2</v>
      </c>
      <c r="B7">
        <v>1</v>
      </c>
      <c r="C7">
        <v>2143</v>
      </c>
      <c r="D7" t="s">
        <v>92</v>
      </c>
      <c r="E7" t="s">
        <v>93</v>
      </c>
      <c r="F7" t="s">
        <v>94</v>
      </c>
      <c r="G7" t="s">
        <v>149</v>
      </c>
      <c r="H7" t="s">
        <v>1354</v>
      </c>
      <c r="I7">
        <v>15</v>
      </c>
      <c r="J7">
        <v>2</v>
      </c>
      <c r="K7">
        <v>6</v>
      </c>
      <c r="L7">
        <v>5</v>
      </c>
      <c r="M7">
        <v>-1</v>
      </c>
      <c r="N7" t="s">
        <v>159</v>
      </c>
      <c r="O7" t="s">
        <v>150</v>
      </c>
      <c r="P7">
        <v>6</v>
      </c>
      <c r="Q7">
        <v>5</v>
      </c>
      <c r="R7">
        <v>-1</v>
      </c>
      <c r="S7" t="s">
        <v>159</v>
      </c>
      <c r="T7" t="s">
        <v>150</v>
      </c>
      <c r="U7">
        <v>8</v>
      </c>
      <c r="V7">
        <v>4</v>
      </c>
      <c r="W7">
        <v>-4</v>
      </c>
      <c r="X7" t="s">
        <v>1355</v>
      </c>
      <c r="Y7" t="s">
        <v>151</v>
      </c>
      <c r="Z7">
        <v>7</v>
      </c>
      <c r="AA7">
        <v>5</v>
      </c>
      <c r="AB7">
        <v>-2</v>
      </c>
      <c r="AC7" t="s">
        <v>1356</v>
      </c>
      <c r="AD7" t="s">
        <v>152</v>
      </c>
      <c r="AE7">
        <v>9</v>
      </c>
      <c r="AF7">
        <v>5</v>
      </c>
      <c r="AG7">
        <v>-4</v>
      </c>
      <c r="AH7" t="s">
        <v>1357</v>
      </c>
      <c r="AI7" t="s">
        <v>150</v>
      </c>
      <c r="AJ7">
        <v>8</v>
      </c>
      <c r="AK7">
        <v>5</v>
      </c>
      <c r="AL7">
        <v>-3</v>
      </c>
      <c r="AM7" t="s">
        <v>1358</v>
      </c>
      <c r="AN7" t="s">
        <v>152</v>
      </c>
      <c r="AO7">
        <v>7</v>
      </c>
      <c r="AP7">
        <v>5</v>
      </c>
      <c r="AQ7">
        <v>-2</v>
      </c>
      <c r="AR7" t="s">
        <v>1359</v>
      </c>
      <c r="AS7" t="s">
        <v>154</v>
      </c>
      <c r="AT7">
        <v>8</v>
      </c>
      <c r="AU7">
        <v>5</v>
      </c>
      <c r="AV7">
        <v>-3</v>
      </c>
      <c r="AW7" t="s">
        <v>1360</v>
      </c>
      <c r="AX7" t="s">
        <v>154</v>
      </c>
      <c r="AY7">
        <v>9</v>
      </c>
      <c r="AZ7">
        <v>5</v>
      </c>
      <c r="BA7">
        <v>-4</v>
      </c>
      <c r="BB7" t="s">
        <v>1361</v>
      </c>
      <c r="BC7" t="s">
        <v>154</v>
      </c>
    </row>
    <row r="8" spans="1:55" x14ac:dyDescent="0.45">
      <c r="A8">
        <v>2</v>
      </c>
      <c r="B8">
        <v>2</v>
      </c>
      <c r="C8">
        <v>144</v>
      </c>
      <c r="D8" t="s">
        <v>92</v>
      </c>
      <c r="E8" t="s">
        <v>93</v>
      </c>
      <c r="F8" t="s">
        <v>94</v>
      </c>
      <c r="G8" t="s">
        <v>149</v>
      </c>
      <c r="H8" t="s">
        <v>1354</v>
      </c>
      <c r="I8">
        <v>15</v>
      </c>
      <c r="J8">
        <v>2</v>
      </c>
      <c r="K8">
        <v>6</v>
      </c>
      <c r="L8">
        <v>5</v>
      </c>
      <c r="M8">
        <v>-1</v>
      </c>
      <c r="N8" t="s">
        <v>155</v>
      </c>
      <c r="O8" t="s">
        <v>150</v>
      </c>
      <c r="P8">
        <v>6</v>
      </c>
      <c r="Q8">
        <v>5</v>
      </c>
      <c r="R8">
        <v>-1</v>
      </c>
      <c r="S8" t="s">
        <v>155</v>
      </c>
      <c r="T8" t="s">
        <v>150</v>
      </c>
      <c r="U8">
        <v>5</v>
      </c>
      <c r="V8">
        <v>4</v>
      </c>
      <c r="W8">
        <v>-1</v>
      </c>
      <c r="X8" t="s">
        <v>151</v>
      </c>
      <c r="Y8" t="s">
        <v>151</v>
      </c>
      <c r="Z8">
        <v>7</v>
      </c>
      <c r="AA8">
        <v>5</v>
      </c>
      <c r="AB8">
        <v>-2</v>
      </c>
      <c r="AC8" t="s">
        <v>1362</v>
      </c>
      <c r="AD8" t="s">
        <v>152</v>
      </c>
      <c r="AE8">
        <v>6</v>
      </c>
      <c r="AF8">
        <v>5</v>
      </c>
      <c r="AG8">
        <v>-1</v>
      </c>
      <c r="AH8" t="s">
        <v>157</v>
      </c>
      <c r="AI8" t="s">
        <v>150</v>
      </c>
      <c r="AJ8">
        <v>8</v>
      </c>
      <c r="AK8">
        <v>5</v>
      </c>
      <c r="AL8">
        <v>-3</v>
      </c>
      <c r="AM8" t="s">
        <v>158</v>
      </c>
      <c r="AN8" t="s">
        <v>152</v>
      </c>
      <c r="AO8">
        <v>5</v>
      </c>
      <c r="AP8">
        <v>5</v>
      </c>
      <c r="AQ8">
        <v>0</v>
      </c>
      <c r="AR8" t="s">
        <v>154</v>
      </c>
      <c r="AS8" t="s">
        <v>154</v>
      </c>
      <c r="AT8">
        <v>5</v>
      </c>
      <c r="AU8">
        <v>5</v>
      </c>
      <c r="AV8">
        <v>0</v>
      </c>
      <c r="AW8" t="s">
        <v>154</v>
      </c>
      <c r="AX8" t="s">
        <v>154</v>
      </c>
      <c r="AY8">
        <v>7</v>
      </c>
      <c r="AZ8">
        <v>5</v>
      </c>
      <c r="BA8">
        <v>-2</v>
      </c>
      <c r="BB8" t="s">
        <v>1363</v>
      </c>
      <c r="BC8" t="s">
        <v>154</v>
      </c>
    </row>
    <row r="9" spans="1:55" x14ac:dyDescent="0.45">
      <c r="A9">
        <v>2</v>
      </c>
      <c r="B9">
        <v>3</v>
      </c>
      <c r="C9">
        <v>145</v>
      </c>
      <c r="D9" t="s">
        <v>92</v>
      </c>
      <c r="E9" t="s">
        <v>93</v>
      </c>
      <c r="F9" t="s">
        <v>94</v>
      </c>
      <c r="G9" t="s">
        <v>149</v>
      </c>
      <c r="H9" t="s">
        <v>1354</v>
      </c>
      <c r="I9">
        <v>15</v>
      </c>
      <c r="J9">
        <v>2</v>
      </c>
      <c r="K9">
        <v>6</v>
      </c>
      <c r="L9">
        <v>5</v>
      </c>
      <c r="M9">
        <v>-1</v>
      </c>
      <c r="N9" t="s">
        <v>159</v>
      </c>
      <c r="O9" t="s">
        <v>150</v>
      </c>
      <c r="P9">
        <v>6</v>
      </c>
      <c r="Q9">
        <v>5</v>
      </c>
      <c r="R9">
        <v>-1</v>
      </c>
      <c r="S9" t="s">
        <v>159</v>
      </c>
      <c r="T9" t="s">
        <v>150</v>
      </c>
      <c r="U9">
        <v>4</v>
      </c>
      <c r="V9">
        <v>4</v>
      </c>
      <c r="W9">
        <v>0</v>
      </c>
      <c r="X9" t="s">
        <v>151</v>
      </c>
      <c r="Y9" t="s">
        <v>151</v>
      </c>
      <c r="Z9">
        <v>7</v>
      </c>
      <c r="AA9">
        <v>5</v>
      </c>
      <c r="AB9">
        <v>-2</v>
      </c>
      <c r="AC9" t="s">
        <v>1364</v>
      </c>
      <c r="AD9" t="s">
        <v>152</v>
      </c>
      <c r="AE9">
        <v>5</v>
      </c>
      <c r="AF9">
        <v>5</v>
      </c>
      <c r="AG9">
        <v>0</v>
      </c>
      <c r="AH9" t="s">
        <v>157</v>
      </c>
      <c r="AI9" t="s">
        <v>150</v>
      </c>
      <c r="AJ9">
        <v>8</v>
      </c>
      <c r="AK9">
        <v>5</v>
      </c>
      <c r="AL9">
        <v>-3</v>
      </c>
      <c r="AM9" t="s">
        <v>1365</v>
      </c>
      <c r="AN9" t="s">
        <v>152</v>
      </c>
      <c r="AO9">
        <v>9</v>
      </c>
      <c r="AP9">
        <v>5</v>
      </c>
      <c r="AQ9">
        <v>-4</v>
      </c>
      <c r="AR9" t="s">
        <v>1366</v>
      </c>
      <c r="AS9" t="s">
        <v>154</v>
      </c>
      <c r="AT9">
        <v>10</v>
      </c>
      <c r="AU9">
        <v>5</v>
      </c>
      <c r="AV9">
        <v>-5</v>
      </c>
      <c r="AW9" t="s">
        <v>160</v>
      </c>
      <c r="AX9" t="s">
        <v>154</v>
      </c>
      <c r="AY9">
        <v>9</v>
      </c>
      <c r="AZ9">
        <v>5</v>
      </c>
      <c r="BA9">
        <v>-4</v>
      </c>
      <c r="BB9" t="s">
        <v>1367</v>
      </c>
      <c r="BC9" t="s">
        <v>154</v>
      </c>
    </row>
    <row r="10" spans="1:55" x14ac:dyDescent="0.45">
      <c r="A10">
        <v>2</v>
      </c>
      <c r="B10">
        <v>4</v>
      </c>
      <c r="C10">
        <v>146</v>
      </c>
      <c r="D10" t="s">
        <v>92</v>
      </c>
      <c r="E10" t="s">
        <v>93</v>
      </c>
      <c r="F10" t="s">
        <v>94</v>
      </c>
      <c r="G10" t="s">
        <v>149</v>
      </c>
      <c r="H10" t="s">
        <v>1354</v>
      </c>
      <c r="I10">
        <v>15</v>
      </c>
      <c r="J10">
        <v>2</v>
      </c>
      <c r="K10">
        <v>6</v>
      </c>
      <c r="L10">
        <v>5</v>
      </c>
      <c r="M10">
        <v>-1</v>
      </c>
      <c r="N10" t="s">
        <v>1368</v>
      </c>
      <c r="O10" t="s">
        <v>150</v>
      </c>
      <c r="P10">
        <v>6</v>
      </c>
      <c r="Q10">
        <v>5</v>
      </c>
      <c r="R10">
        <v>-1</v>
      </c>
      <c r="S10" t="s">
        <v>1368</v>
      </c>
      <c r="T10" t="s">
        <v>150</v>
      </c>
      <c r="U10">
        <v>7</v>
      </c>
      <c r="V10">
        <v>4</v>
      </c>
      <c r="W10">
        <v>-3</v>
      </c>
      <c r="X10" t="s">
        <v>1369</v>
      </c>
      <c r="Y10" t="s">
        <v>151</v>
      </c>
      <c r="Z10">
        <v>8</v>
      </c>
      <c r="AA10">
        <v>5</v>
      </c>
      <c r="AB10">
        <v>-3</v>
      </c>
      <c r="AC10" t="s">
        <v>1370</v>
      </c>
      <c r="AD10" t="s">
        <v>152</v>
      </c>
      <c r="AE10">
        <v>9</v>
      </c>
      <c r="AF10">
        <v>5</v>
      </c>
      <c r="AG10">
        <v>-4</v>
      </c>
      <c r="AH10" t="s">
        <v>1371</v>
      </c>
      <c r="AI10" t="s">
        <v>150</v>
      </c>
      <c r="AJ10">
        <v>8</v>
      </c>
      <c r="AK10">
        <v>5</v>
      </c>
      <c r="AL10">
        <v>-3</v>
      </c>
      <c r="AM10" t="s">
        <v>1372</v>
      </c>
      <c r="AN10" t="s">
        <v>152</v>
      </c>
      <c r="AO10">
        <v>9</v>
      </c>
      <c r="AP10">
        <v>5</v>
      </c>
      <c r="AQ10">
        <v>-4</v>
      </c>
      <c r="AR10" t="s">
        <v>1366</v>
      </c>
      <c r="AS10" t="s">
        <v>154</v>
      </c>
      <c r="AT10">
        <v>8</v>
      </c>
      <c r="AU10">
        <v>5</v>
      </c>
      <c r="AV10">
        <v>-3</v>
      </c>
      <c r="AW10" t="s">
        <v>840</v>
      </c>
      <c r="AX10" t="s">
        <v>154</v>
      </c>
      <c r="AY10">
        <v>7</v>
      </c>
      <c r="AZ10">
        <v>5</v>
      </c>
      <c r="BA10">
        <v>-2</v>
      </c>
      <c r="BB10" t="s">
        <v>1373</v>
      </c>
      <c r="BC10" t="s">
        <v>154</v>
      </c>
    </row>
    <row r="11" spans="1:55" x14ac:dyDescent="0.45">
      <c r="A11">
        <v>2</v>
      </c>
      <c r="B11">
        <v>5</v>
      </c>
      <c r="C11">
        <v>147</v>
      </c>
      <c r="D11" t="s">
        <v>92</v>
      </c>
      <c r="E11" t="s">
        <v>93</v>
      </c>
      <c r="F11" t="s">
        <v>94</v>
      </c>
      <c r="G11" t="s">
        <v>149</v>
      </c>
      <c r="H11" t="s">
        <v>1354</v>
      </c>
      <c r="I11">
        <v>15</v>
      </c>
      <c r="J11">
        <v>2</v>
      </c>
      <c r="K11">
        <v>6</v>
      </c>
      <c r="L11">
        <v>5</v>
      </c>
      <c r="M11">
        <v>-1</v>
      </c>
      <c r="N11" t="s">
        <v>1374</v>
      </c>
      <c r="O11" t="s">
        <v>150</v>
      </c>
      <c r="P11">
        <v>6</v>
      </c>
      <c r="Q11">
        <v>5</v>
      </c>
      <c r="R11">
        <v>-1</v>
      </c>
      <c r="S11" t="s">
        <v>1374</v>
      </c>
      <c r="T11" t="s">
        <v>150</v>
      </c>
      <c r="U11">
        <v>4</v>
      </c>
      <c r="V11">
        <v>4</v>
      </c>
      <c r="W11">
        <v>0</v>
      </c>
      <c r="X11" t="s">
        <v>151</v>
      </c>
      <c r="Y11" t="s">
        <v>151</v>
      </c>
      <c r="Z11">
        <v>8</v>
      </c>
      <c r="AA11">
        <v>5</v>
      </c>
      <c r="AB11">
        <v>-3</v>
      </c>
      <c r="AC11" t="s">
        <v>459</v>
      </c>
      <c r="AD11" t="s">
        <v>152</v>
      </c>
      <c r="AE11">
        <v>5</v>
      </c>
      <c r="AF11">
        <v>5</v>
      </c>
      <c r="AG11">
        <v>0</v>
      </c>
      <c r="AH11" t="s">
        <v>157</v>
      </c>
      <c r="AI11" t="s">
        <v>150</v>
      </c>
      <c r="AJ11">
        <v>9</v>
      </c>
      <c r="AK11">
        <v>5</v>
      </c>
      <c r="AL11">
        <v>-4</v>
      </c>
      <c r="AM11" t="s">
        <v>153</v>
      </c>
      <c r="AN11" t="s">
        <v>152</v>
      </c>
      <c r="AO11">
        <v>4</v>
      </c>
      <c r="AP11">
        <v>5</v>
      </c>
      <c r="AQ11">
        <v>1</v>
      </c>
      <c r="AR11" t="s">
        <v>154</v>
      </c>
      <c r="AS11" t="s">
        <v>154</v>
      </c>
      <c r="AT11">
        <v>7</v>
      </c>
      <c r="AU11">
        <v>5</v>
      </c>
      <c r="AV11">
        <v>-2</v>
      </c>
      <c r="AW11" t="s">
        <v>460</v>
      </c>
      <c r="AX11" t="s">
        <v>154</v>
      </c>
      <c r="AY11">
        <v>5</v>
      </c>
      <c r="AZ11">
        <v>5</v>
      </c>
      <c r="BA11">
        <v>0</v>
      </c>
      <c r="BB11" t="s">
        <v>1375</v>
      </c>
      <c r="BC11" t="s">
        <v>154</v>
      </c>
    </row>
    <row r="12" spans="1:55" x14ac:dyDescent="0.45">
      <c r="A12">
        <v>3</v>
      </c>
      <c r="B12">
        <v>1</v>
      </c>
      <c r="C12">
        <v>243</v>
      </c>
      <c r="D12" t="s">
        <v>161</v>
      </c>
      <c r="E12" t="s">
        <v>162</v>
      </c>
      <c r="F12" t="s">
        <v>94</v>
      </c>
      <c r="G12" t="s">
        <v>149</v>
      </c>
      <c r="H12" t="s">
        <v>1354</v>
      </c>
      <c r="I12">
        <v>27.5</v>
      </c>
      <c r="J12">
        <v>3</v>
      </c>
      <c r="K12">
        <v>6</v>
      </c>
      <c r="L12">
        <v>10</v>
      </c>
      <c r="M12">
        <v>4</v>
      </c>
      <c r="N12" t="s">
        <v>1376</v>
      </c>
      <c r="O12" t="s">
        <v>163</v>
      </c>
      <c r="P12">
        <v>8</v>
      </c>
      <c r="Q12">
        <v>10</v>
      </c>
      <c r="R12">
        <v>2</v>
      </c>
      <c r="S12" t="s">
        <v>1377</v>
      </c>
      <c r="T12" t="s">
        <v>164</v>
      </c>
      <c r="U12">
        <v>5</v>
      </c>
      <c r="V12">
        <v>5</v>
      </c>
      <c r="W12">
        <v>0</v>
      </c>
      <c r="X12" t="s">
        <v>1378</v>
      </c>
      <c r="Y12" t="s">
        <v>165</v>
      </c>
      <c r="Z12">
        <v>8</v>
      </c>
      <c r="AA12">
        <v>7</v>
      </c>
      <c r="AB12">
        <v>-1</v>
      </c>
      <c r="AC12" t="s">
        <v>1379</v>
      </c>
      <c r="AD12" t="s">
        <v>166</v>
      </c>
      <c r="AE12">
        <v>6</v>
      </c>
      <c r="AF12">
        <v>7</v>
      </c>
      <c r="AG12">
        <v>1</v>
      </c>
      <c r="AH12" t="s">
        <v>1380</v>
      </c>
      <c r="AI12" t="s">
        <v>167</v>
      </c>
      <c r="AJ12">
        <v>7</v>
      </c>
      <c r="AK12">
        <v>6</v>
      </c>
      <c r="AL12">
        <v>-1</v>
      </c>
      <c r="AM12" t="s">
        <v>1381</v>
      </c>
      <c r="AN12" t="s">
        <v>168</v>
      </c>
      <c r="AO12">
        <v>6</v>
      </c>
      <c r="AP12">
        <v>5</v>
      </c>
      <c r="AQ12">
        <v>-1</v>
      </c>
      <c r="AR12" t="s">
        <v>1382</v>
      </c>
      <c r="AS12" t="s">
        <v>169</v>
      </c>
      <c r="AT12">
        <v>5</v>
      </c>
      <c r="AU12">
        <v>6</v>
      </c>
      <c r="AV12">
        <v>1</v>
      </c>
      <c r="AW12" t="s">
        <v>1383</v>
      </c>
      <c r="AX12" t="s">
        <v>170</v>
      </c>
      <c r="AY12">
        <v>7</v>
      </c>
      <c r="AZ12">
        <v>7</v>
      </c>
      <c r="BA12">
        <v>0</v>
      </c>
      <c r="BB12" t="s">
        <v>1384</v>
      </c>
      <c r="BC12" t="s">
        <v>171</v>
      </c>
    </row>
    <row r="13" spans="1:55" x14ac:dyDescent="0.45">
      <c r="A13">
        <v>3</v>
      </c>
      <c r="B13">
        <v>2</v>
      </c>
      <c r="C13">
        <v>244</v>
      </c>
      <c r="D13" t="s">
        <v>161</v>
      </c>
      <c r="E13" t="s">
        <v>162</v>
      </c>
      <c r="F13" t="s">
        <v>94</v>
      </c>
      <c r="G13" t="s">
        <v>149</v>
      </c>
      <c r="H13" t="s">
        <v>1354</v>
      </c>
      <c r="I13">
        <v>27.5</v>
      </c>
      <c r="J13">
        <v>3</v>
      </c>
      <c r="K13">
        <v>7</v>
      </c>
      <c r="L13">
        <v>10</v>
      </c>
      <c r="M13">
        <v>3</v>
      </c>
      <c r="N13" t="s">
        <v>1385</v>
      </c>
      <c r="O13" t="s">
        <v>163</v>
      </c>
      <c r="P13">
        <v>6</v>
      </c>
      <c r="Q13">
        <v>10</v>
      </c>
      <c r="R13">
        <v>4</v>
      </c>
      <c r="S13" t="s">
        <v>1386</v>
      </c>
      <c r="T13" t="s">
        <v>164</v>
      </c>
      <c r="U13">
        <v>8</v>
      </c>
      <c r="V13">
        <v>5</v>
      </c>
      <c r="W13">
        <v>-3</v>
      </c>
      <c r="X13" t="s">
        <v>1387</v>
      </c>
      <c r="Y13" t="s">
        <v>165</v>
      </c>
      <c r="Z13">
        <v>7</v>
      </c>
      <c r="AA13">
        <v>7</v>
      </c>
      <c r="AB13">
        <v>0</v>
      </c>
      <c r="AC13" t="s">
        <v>1388</v>
      </c>
      <c r="AD13" t="s">
        <v>166</v>
      </c>
      <c r="AE13">
        <v>5</v>
      </c>
      <c r="AF13">
        <v>7</v>
      </c>
      <c r="AG13">
        <v>2</v>
      </c>
      <c r="AH13" t="s">
        <v>1389</v>
      </c>
      <c r="AI13" t="s">
        <v>167</v>
      </c>
      <c r="AJ13">
        <v>6</v>
      </c>
      <c r="AK13">
        <v>6</v>
      </c>
      <c r="AL13">
        <v>0</v>
      </c>
      <c r="AM13" t="s">
        <v>1390</v>
      </c>
      <c r="AN13" t="s">
        <v>168</v>
      </c>
      <c r="AO13">
        <v>5</v>
      </c>
      <c r="AP13">
        <v>5</v>
      </c>
      <c r="AQ13">
        <v>0</v>
      </c>
      <c r="AR13" t="s">
        <v>1391</v>
      </c>
      <c r="AS13" t="s">
        <v>169</v>
      </c>
      <c r="AT13">
        <v>6</v>
      </c>
      <c r="AU13">
        <v>6</v>
      </c>
      <c r="AV13">
        <v>0</v>
      </c>
      <c r="AW13" t="s">
        <v>1392</v>
      </c>
      <c r="AX13" t="s">
        <v>170</v>
      </c>
      <c r="AY13">
        <v>7</v>
      </c>
      <c r="AZ13">
        <v>7</v>
      </c>
      <c r="BA13">
        <v>0</v>
      </c>
      <c r="BB13" t="s">
        <v>1393</v>
      </c>
      <c r="BC13" t="s">
        <v>171</v>
      </c>
    </row>
    <row r="14" spans="1:55" x14ac:dyDescent="0.45">
      <c r="A14">
        <v>3</v>
      </c>
      <c r="B14">
        <v>3</v>
      </c>
      <c r="C14">
        <v>245</v>
      </c>
      <c r="D14" t="s">
        <v>161</v>
      </c>
      <c r="E14" t="s">
        <v>162</v>
      </c>
      <c r="F14" t="s">
        <v>94</v>
      </c>
      <c r="G14" t="s">
        <v>149</v>
      </c>
      <c r="H14" t="s">
        <v>1354</v>
      </c>
      <c r="I14">
        <v>27.5</v>
      </c>
      <c r="J14">
        <v>3</v>
      </c>
      <c r="K14">
        <v>7</v>
      </c>
      <c r="L14">
        <v>10</v>
      </c>
      <c r="M14">
        <v>3</v>
      </c>
      <c r="N14" t="s">
        <v>1394</v>
      </c>
      <c r="O14" t="s">
        <v>163</v>
      </c>
      <c r="P14">
        <v>6</v>
      </c>
      <c r="Q14">
        <v>10</v>
      </c>
      <c r="R14">
        <v>4</v>
      </c>
      <c r="S14" t="s">
        <v>1395</v>
      </c>
      <c r="T14" t="s">
        <v>164</v>
      </c>
      <c r="U14">
        <v>5</v>
      </c>
      <c r="V14">
        <v>5</v>
      </c>
      <c r="W14">
        <v>0</v>
      </c>
      <c r="X14" t="s">
        <v>1396</v>
      </c>
      <c r="Y14" t="s">
        <v>165</v>
      </c>
      <c r="Z14">
        <v>8</v>
      </c>
      <c r="AA14">
        <v>7</v>
      </c>
      <c r="AB14">
        <v>-1</v>
      </c>
      <c r="AC14" t="s">
        <v>1397</v>
      </c>
      <c r="AD14" t="s">
        <v>166</v>
      </c>
      <c r="AE14">
        <v>6</v>
      </c>
      <c r="AF14">
        <v>7</v>
      </c>
      <c r="AG14">
        <v>1</v>
      </c>
      <c r="AH14" t="s">
        <v>1398</v>
      </c>
      <c r="AI14" t="s">
        <v>167</v>
      </c>
      <c r="AJ14">
        <v>7</v>
      </c>
      <c r="AK14">
        <v>6</v>
      </c>
      <c r="AL14">
        <v>-1</v>
      </c>
      <c r="AM14" t="s">
        <v>1399</v>
      </c>
      <c r="AN14" t="s">
        <v>168</v>
      </c>
      <c r="AO14">
        <v>5</v>
      </c>
      <c r="AP14">
        <v>5</v>
      </c>
      <c r="AQ14">
        <v>0</v>
      </c>
      <c r="AR14" t="s">
        <v>1400</v>
      </c>
      <c r="AS14" t="s">
        <v>169</v>
      </c>
      <c r="AT14">
        <v>6</v>
      </c>
      <c r="AU14">
        <v>6</v>
      </c>
      <c r="AV14">
        <v>0</v>
      </c>
      <c r="AW14" t="s">
        <v>1401</v>
      </c>
      <c r="AX14" t="s">
        <v>170</v>
      </c>
      <c r="AY14">
        <v>7</v>
      </c>
      <c r="AZ14">
        <v>7</v>
      </c>
      <c r="BA14">
        <v>0</v>
      </c>
      <c r="BB14" t="s">
        <v>1402</v>
      </c>
      <c r="BC14" t="s">
        <v>171</v>
      </c>
    </row>
    <row r="15" spans="1:55" x14ac:dyDescent="0.45">
      <c r="A15">
        <v>3</v>
      </c>
      <c r="B15">
        <v>4</v>
      </c>
      <c r="C15">
        <v>246</v>
      </c>
      <c r="D15" t="s">
        <v>161</v>
      </c>
      <c r="E15" t="s">
        <v>162</v>
      </c>
      <c r="F15" t="s">
        <v>94</v>
      </c>
      <c r="G15" t="s">
        <v>149</v>
      </c>
      <c r="H15" t="s">
        <v>1354</v>
      </c>
      <c r="I15">
        <v>27.5</v>
      </c>
      <c r="J15">
        <v>3</v>
      </c>
      <c r="K15">
        <v>7</v>
      </c>
      <c r="L15">
        <v>10</v>
      </c>
      <c r="M15">
        <v>3</v>
      </c>
      <c r="N15" t="s">
        <v>1403</v>
      </c>
      <c r="O15" t="s">
        <v>163</v>
      </c>
      <c r="P15">
        <v>6</v>
      </c>
      <c r="Q15">
        <v>10</v>
      </c>
      <c r="R15">
        <v>4</v>
      </c>
      <c r="S15" t="s">
        <v>1404</v>
      </c>
      <c r="T15" t="s">
        <v>164</v>
      </c>
      <c r="U15">
        <v>5</v>
      </c>
      <c r="V15">
        <v>5</v>
      </c>
      <c r="W15">
        <v>0</v>
      </c>
      <c r="X15" t="s">
        <v>1405</v>
      </c>
      <c r="Y15" t="s">
        <v>165</v>
      </c>
      <c r="Z15">
        <v>4</v>
      </c>
      <c r="AA15">
        <v>7</v>
      </c>
      <c r="AB15">
        <v>3</v>
      </c>
      <c r="AC15" t="s">
        <v>1406</v>
      </c>
      <c r="AD15" t="s">
        <v>166</v>
      </c>
      <c r="AE15">
        <v>5</v>
      </c>
      <c r="AF15">
        <v>7</v>
      </c>
      <c r="AG15">
        <v>2</v>
      </c>
      <c r="AH15" t="s">
        <v>1407</v>
      </c>
      <c r="AI15" t="s">
        <v>167</v>
      </c>
      <c r="AJ15">
        <v>6</v>
      </c>
      <c r="AK15">
        <v>6</v>
      </c>
      <c r="AL15">
        <v>0</v>
      </c>
      <c r="AM15" t="s">
        <v>1408</v>
      </c>
      <c r="AN15" t="s">
        <v>168</v>
      </c>
      <c r="AO15">
        <v>5</v>
      </c>
      <c r="AP15">
        <v>5</v>
      </c>
      <c r="AQ15">
        <v>0</v>
      </c>
      <c r="AR15" t="s">
        <v>1409</v>
      </c>
      <c r="AS15" t="s">
        <v>169</v>
      </c>
      <c r="AT15">
        <v>6</v>
      </c>
      <c r="AU15">
        <v>6</v>
      </c>
      <c r="AV15">
        <v>0</v>
      </c>
      <c r="AW15" t="s">
        <v>1410</v>
      </c>
      <c r="AX15" t="s">
        <v>170</v>
      </c>
      <c r="AY15">
        <v>7</v>
      </c>
      <c r="AZ15">
        <v>7</v>
      </c>
      <c r="BA15">
        <v>0</v>
      </c>
      <c r="BB15" t="s">
        <v>1411</v>
      </c>
      <c r="BC15" t="s">
        <v>171</v>
      </c>
    </row>
    <row r="16" spans="1:55" x14ac:dyDescent="0.45">
      <c r="A16">
        <v>3</v>
      </c>
      <c r="B16">
        <v>5</v>
      </c>
      <c r="C16">
        <v>247</v>
      </c>
      <c r="D16" t="s">
        <v>161</v>
      </c>
      <c r="E16" t="s">
        <v>162</v>
      </c>
      <c r="F16" t="s">
        <v>94</v>
      </c>
      <c r="G16" t="s">
        <v>149</v>
      </c>
      <c r="H16" t="s">
        <v>1354</v>
      </c>
      <c r="I16">
        <v>27.5</v>
      </c>
      <c r="J16">
        <v>3</v>
      </c>
      <c r="K16">
        <v>7</v>
      </c>
      <c r="L16">
        <v>10</v>
      </c>
      <c r="M16">
        <v>3</v>
      </c>
      <c r="N16" t="s">
        <v>1412</v>
      </c>
      <c r="O16" t="s">
        <v>163</v>
      </c>
      <c r="P16">
        <v>6</v>
      </c>
      <c r="Q16">
        <v>10</v>
      </c>
      <c r="R16">
        <v>4</v>
      </c>
      <c r="S16" t="s">
        <v>1413</v>
      </c>
      <c r="T16" t="s">
        <v>164</v>
      </c>
      <c r="U16">
        <v>8</v>
      </c>
      <c r="V16">
        <v>5</v>
      </c>
      <c r="W16">
        <v>-3</v>
      </c>
      <c r="X16" t="s">
        <v>1414</v>
      </c>
      <c r="Y16" t="s">
        <v>165</v>
      </c>
      <c r="Z16">
        <v>7</v>
      </c>
      <c r="AA16">
        <v>7</v>
      </c>
      <c r="AB16">
        <v>0</v>
      </c>
      <c r="AC16" t="s">
        <v>1415</v>
      </c>
      <c r="AD16" t="s">
        <v>166</v>
      </c>
      <c r="AE16">
        <v>6</v>
      </c>
      <c r="AF16">
        <v>7</v>
      </c>
      <c r="AG16">
        <v>1</v>
      </c>
      <c r="AH16" t="s">
        <v>1416</v>
      </c>
      <c r="AI16" t="s">
        <v>167</v>
      </c>
      <c r="AJ16">
        <v>7</v>
      </c>
      <c r="AK16">
        <v>6</v>
      </c>
      <c r="AL16">
        <v>-1</v>
      </c>
      <c r="AM16" t="s">
        <v>1417</v>
      </c>
      <c r="AN16" t="s">
        <v>168</v>
      </c>
      <c r="AO16">
        <v>6</v>
      </c>
      <c r="AP16">
        <v>5</v>
      </c>
      <c r="AQ16">
        <v>-1</v>
      </c>
      <c r="AR16" t="s">
        <v>1418</v>
      </c>
      <c r="AS16" t="s">
        <v>169</v>
      </c>
      <c r="AT16">
        <v>5</v>
      </c>
      <c r="AU16">
        <v>6</v>
      </c>
      <c r="AV16">
        <v>1</v>
      </c>
      <c r="AW16" t="s">
        <v>1419</v>
      </c>
      <c r="AX16" t="s">
        <v>170</v>
      </c>
      <c r="AY16">
        <v>7</v>
      </c>
      <c r="AZ16">
        <v>7</v>
      </c>
      <c r="BA16">
        <v>0</v>
      </c>
      <c r="BB16" t="s">
        <v>1420</v>
      </c>
      <c r="BC16" t="s">
        <v>171</v>
      </c>
    </row>
    <row r="17" spans="1:55" x14ac:dyDescent="0.45">
      <c r="A17">
        <v>4</v>
      </c>
      <c r="B17">
        <v>1</v>
      </c>
      <c r="C17">
        <v>343</v>
      </c>
      <c r="D17" t="s">
        <v>92</v>
      </c>
      <c r="E17" t="s">
        <v>162</v>
      </c>
      <c r="F17" t="s">
        <v>94</v>
      </c>
      <c r="G17" t="s">
        <v>95</v>
      </c>
      <c r="H17" t="s">
        <v>96</v>
      </c>
      <c r="I17">
        <v>86</v>
      </c>
      <c r="J17">
        <v>2</v>
      </c>
      <c r="K17">
        <v>6</v>
      </c>
      <c r="L17">
        <v>6</v>
      </c>
      <c r="M17">
        <v>0</v>
      </c>
      <c r="N17" t="s">
        <v>172</v>
      </c>
      <c r="O17" t="s">
        <v>173</v>
      </c>
      <c r="P17">
        <v>6</v>
      </c>
      <c r="Q17">
        <v>5</v>
      </c>
      <c r="R17">
        <v>-1</v>
      </c>
      <c r="S17" t="s">
        <v>174</v>
      </c>
      <c r="T17" t="s">
        <v>175</v>
      </c>
      <c r="U17">
        <v>8</v>
      </c>
      <c r="V17">
        <v>2</v>
      </c>
      <c r="W17">
        <v>-6</v>
      </c>
      <c r="X17" t="s">
        <v>176</v>
      </c>
      <c r="Y17" t="s">
        <v>177</v>
      </c>
      <c r="Z17">
        <v>9</v>
      </c>
      <c r="AA17">
        <v>7</v>
      </c>
      <c r="AB17">
        <v>-2</v>
      </c>
      <c r="AC17" t="s">
        <v>178</v>
      </c>
      <c r="AD17" t="s">
        <v>179</v>
      </c>
      <c r="AE17">
        <v>7</v>
      </c>
      <c r="AF17">
        <v>7</v>
      </c>
      <c r="AG17">
        <v>0</v>
      </c>
      <c r="AH17" t="s">
        <v>180</v>
      </c>
      <c r="AI17" t="s">
        <v>181</v>
      </c>
      <c r="AJ17">
        <v>8</v>
      </c>
      <c r="AK17">
        <v>7</v>
      </c>
      <c r="AL17">
        <v>-1</v>
      </c>
      <c r="AM17" t="s">
        <v>182</v>
      </c>
      <c r="AN17" t="s">
        <v>183</v>
      </c>
      <c r="AO17">
        <v>7</v>
      </c>
      <c r="AP17">
        <v>5</v>
      </c>
      <c r="AQ17">
        <v>-2</v>
      </c>
      <c r="AR17" t="s">
        <v>184</v>
      </c>
      <c r="AS17" t="s">
        <v>185</v>
      </c>
      <c r="AT17">
        <v>8</v>
      </c>
      <c r="AU17">
        <v>7</v>
      </c>
      <c r="AV17">
        <v>-1</v>
      </c>
      <c r="AW17" t="s">
        <v>186</v>
      </c>
      <c r="AX17" t="s">
        <v>187</v>
      </c>
      <c r="AY17">
        <v>9</v>
      </c>
      <c r="AZ17">
        <v>8</v>
      </c>
      <c r="BA17">
        <v>-1</v>
      </c>
      <c r="BB17" t="s">
        <v>188</v>
      </c>
      <c r="BC17" t="s">
        <v>189</v>
      </c>
    </row>
    <row r="18" spans="1:55" x14ac:dyDescent="0.45">
      <c r="A18">
        <v>4</v>
      </c>
      <c r="B18">
        <v>2</v>
      </c>
      <c r="C18">
        <v>344</v>
      </c>
      <c r="D18" t="s">
        <v>92</v>
      </c>
      <c r="E18" t="s">
        <v>162</v>
      </c>
      <c r="F18" t="s">
        <v>94</v>
      </c>
      <c r="G18" t="s">
        <v>95</v>
      </c>
      <c r="H18" t="s">
        <v>96</v>
      </c>
      <c r="I18">
        <v>86</v>
      </c>
      <c r="J18">
        <v>2</v>
      </c>
      <c r="K18">
        <v>7</v>
      </c>
      <c r="L18">
        <v>6</v>
      </c>
      <c r="M18">
        <v>-1</v>
      </c>
      <c r="N18" t="s">
        <v>190</v>
      </c>
      <c r="O18" t="s">
        <v>173</v>
      </c>
      <c r="P18">
        <v>6</v>
      </c>
      <c r="Q18">
        <v>5</v>
      </c>
      <c r="R18">
        <v>-1</v>
      </c>
      <c r="S18" t="s">
        <v>191</v>
      </c>
      <c r="T18" t="s">
        <v>175</v>
      </c>
      <c r="U18">
        <v>7</v>
      </c>
      <c r="V18">
        <v>2</v>
      </c>
      <c r="W18">
        <v>-5</v>
      </c>
      <c r="X18" t="s">
        <v>192</v>
      </c>
      <c r="Y18" t="s">
        <v>177</v>
      </c>
      <c r="Z18">
        <v>8</v>
      </c>
      <c r="AA18">
        <v>7</v>
      </c>
      <c r="AB18">
        <v>-1</v>
      </c>
      <c r="AC18" t="s">
        <v>193</v>
      </c>
      <c r="AD18" t="s">
        <v>179</v>
      </c>
      <c r="AE18">
        <v>7</v>
      </c>
      <c r="AF18">
        <v>7</v>
      </c>
      <c r="AG18">
        <v>0</v>
      </c>
      <c r="AH18" t="s">
        <v>194</v>
      </c>
      <c r="AI18" t="s">
        <v>181</v>
      </c>
      <c r="AJ18">
        <v>6</v>
      </c>
      <c r="AK18">
        <v>7</v>
      </c>
      <c r="AL18">
        <v>1</v>
      </c>
      <c r="AM18" t="s">
        <v>195</v>
      </c>
      <c r="AN18" t="s">
        <v>183</v>
      </c>
      <c r="AO18">
        <v>7</v>
      </c>
      <c r="AP18">
        <v>5</v>
      </c>
      <c r="AQ18">
        <v>-2</v>
      </c>
      <c r="AR18" t="s">
        <v>196</v>
      </c>
      <c r="AS18" t="s">
        <v>185</v>
      </c>
      <c r="AT18">
        <v>8</v>
      </c>
      <c r="AU18">
        <v>7</v>
      </c>
      <c r="AV18">
        <v>-1</v>
      </c>
      <c r="AW18" t="s">
        <v>197</v>
      </c>
      <c r="AX18" t="s">
        <v>187</v>
      </c>
      <c r="AY18">
        <v>9</v>
      </c>
      <c r="AZ18">
        <v>8</v>
      </c>
      <c r="BA18">
        <v>-1</v>
      </c>
      <c r="BB18" t="s">
        <v>198</v>
      </c>
      <c r="BC18" t="s">
        <v>189</v>
      </c>
    </row>
    <row r="19" spans="1:55" x14ac:dyDescent="0.45">
      <c r="A19">
        <v>4</v>
      </c>
      <c r="B19">
        <v>3</v>
      </c>
      <c r="C19">
        <v>345</v>
      </c>
      <c r="D19" t="s">
        <v>92</v>
      </c>
      <c r="E19" t="s">
        <v>162</v>
      </c>
      <c r="F19" t="s">
        <v>94</v>
      </c>
      <c r="G19" t="s">
        <v>95</v>
      </c>
      <c r="H19" t="s">
        <v>96</v>
      </c>
      <c r="I19">
        <v>86</v>
      </c>
      <c r="J19">
        <v>2</v>
      </c>
      <c r="K19">
        <v>6</v>
      </c>
      <c r="L19">
        <v>6</v>
      </c>
      <c r="M19">
        <v>0</v>
      </c>
      <c r="N19" t="s">
        <v>199</v>
      </c>
      <c r="O19" t="s">
        <v>173</v>
      </c>
      <c r="P19">
        <v>7</v>
      </c>
      <c r="Q19">
        <v>5</v>
      </c>
      <c r="R19">
        <v>-2</v>
      </c>
      <c r="S19" t="s">
        <v>200</v>
      </c>
      <c r="T19" t="s">
        <v>175</v>
      </c>
      <c r="U19">
        <v>5</v>
      </c>
      <c r="V19">
        <v>2</v>
      </c>
      <c r="W19">
        <v>-3</v>
      </c>
      <c r="X19" t="s">
        <v>201</v>
      </c>
      <c r="Y19" t="s">
        <v>177</v>
      </c>
      <c r="Z19">
        <v>8</v>
      </c>
      <c r="AA19">
        <v>7</v>
      </c>
      <c r="AB19">
        <v>-1</v>
      </c>
      <c r="AC19" t="s">
        <v>202</v>
      </c>
      <c r="AD19" t="s">
        <v>179</v>
      </c>
      <c r="AE19">
        <v>7</v>
      </c>
      <c r="AF19">
        <v>7</v>
      </c>
      <c r="AG19">
        <v>0</v>
      </c>
      <c r="AH19" t="s">
        <v>203</v>
      </c>
      <c r="AI19" t="s">
        <v>181</v>
      </c>
      <c r="AJ19">
        <v>8</v>
      </c>
      <c r="AK19">
        <v>7</v>
      </c>
      <c r="AL19">
        <v>-1</v>
      </c>
      <c r="AM19" t="s">
        <v>204</v>
      </c>
      <c r="AN19" t="s">
        <v>183</v>
      </c>
      <c r="AO19">
        <v>7</v>
      </c>
      <c r="AP19">
        <v>5</v>
      </c>
      <c r="AQ19">
        <v>-2</v>
      </c>
      <c r="AR19" t="s">
        <v>205</v>
      </c>
      <c r="AS19" t="s">
        <v>185</v>
      </c>
      <c r="AT19">
        <v>8</v>
      </c>
      <c r="AU19">
        <v>7</v>
      </c>
      <c r="AV19">
        <v>-1</v>
      </c>
      <c r="AW19" t="s">
        <v>206</v>
      </c>
      <c r="AX19" t="s">
        <v>187</v>
      </c>
      <c r="AY19">
        <v>9</v>
      </c>
      <c r="AZ19">
        <v>8</v>
      </c>
      <c r="BA19">
        <v>-1</v>
      </c>
      <c r="BB19" t="s">
        <v>207</v>
      </c>
      <c r="BC19" t="s">
        <v>189</v>
      </c>
    </row>
    <row r="20" spans="1:55" x14ac:dyDescent="0.45">
      <c r="A20">
        <v>4</v>
      </c>
      <c r="B20">
        <v>4</v>
      </c>
      <c r="C20">
        <v>346</v>
      </c>
      <c r="D20" t="s">
        <v>92</v>
      </c>
      <c r="E20" t="s">
        <v>162</v>
      </c>
      <c r="F20" t="s">
        <v>94</v>
      </c>
      <c r="G20" t="s">
        <v>95</v>
      </c>
      <c r="H20" t="s">
        <v>96</v>
      </c>
      <c r="I20">
        <v>86</v>
      </c>
      <c r="J20">
        <v>2</v>
      </c>
      <c r="K20">
        <v>7</v>
      </c>
      <c r="L20">
        <v>6</v>
      </c>
      <c r="M20">
        <v>-1</v>
      </c>
      <c r="N20" t="s">
        <v>208</v>
      </c>
      <c r="O20" t="s">
        <v>173</v>
      </c>
      <c r="P20">
        <v>6</v>
      </c>
      <c r="Q20">
        <v>5</v>
      </c>
      <c r="R20">
        <v>-1</v>
      </c>
      <c r="S20" t="s">
        <v>209</v>
      </c>
      <c r="T20" t="s">
        <v>175</v>
      </c>
      <c r="U20">
        <v>8</v>
      </c>
      <c r="V20">
        <v>2</v>
      </c>
      <c r="W20">
        <v>-6</v>
      </c>
      <c r="X20" t="s">
        <v>210</v>
      </c>
      <c r="Y20" t="s">
        <v>177</v>
      </c>
      <c r="Z20">
        <v>9</v>
      </c>
      <c r="AA20">
        <v>7</v>
      </c>
      <c r="AB20">
        <v>-2</v>
      </c>
      <c r="AC20" t="s">
        <v>211</v>
      </c>
      <c r="AD20" t="s">
        <v>179</v>
      </c>
      <c r="AE20">
        <v>7</v>
      </c>
      <c r="AF20">
        <v>7</v>
      </c>
      <c r="AG20">
        <v>0</v>
      </c>
      <c r="AH20" t="s">
        <v>212</v>
      </c>
      <c r="AI20" t="s">
        <v>181</v>
      </c>
      <c r="AJ20">
        <v>9</v>
      </c>
      <c r="AK20">
        <v>7</v>
      </c>
      <c r="AL20">
        <v>-2</v>
      </c>
      <c r="AM20" t="s">
        <v>213</v>
      </c>
      <c r="AN20" t="s">
        <v>183</v>
      </c>
      <c r="AO20">
        <v>8</v>
      </c>
      <c r="AP20">
        <v>5</v>
      </c>
      <c r="AQ20">
        <v>-3</v>
      </c>
      <c r="AR20" t="s">
        <v>214</v>
      </c>
      <c r="AS20" t="s">
        <v>185</v>
      </c>
      <c r="AT20">
        <v>7</v>
      </c>
      <c r="AU20">
        <v>7</v>
      </c>
      <c r="AV20">
        <v>0</v>
      </c>
      <c r="AW20" t="s">
        <v>215</v>
      </c>
      <c r="AX20" t="s">
        <v>187</v>
      </c>
      <c r="AY20">
        <v>8</v>
      </c>
      <c r="AZ20">
        <v>8</v>
      </c>
      <c r="BA20">
        <v>0</v>
      </c>
      <c r="BB20" t="s">
        <v>216</v>
      </c>
      <c r="BC20" t="s">
        <v>189</v>
      </c>
    </row>
    <row r="21" spans="1:55" x14ac:dyDescent="0.45">
      <c r="A21">
        <v>4</v>
      </c>
      <c r="B21">
        <v>5</v>
      </c>
      <c r="C21">
        <v>347</v>
      </c>
      <c r="D21" t="s">
        <v>92</v>
      </c>
      <c r="E21" t="s">
        <v>162</v>
      </c>
      <c r="F21" t="s">
        <v>94</v>
      </c>
      <c r="G21" t="s">
        <v>95</v>
      </c>
      <c r="H21" t="s">
        <v>96</v>
      </c>
      <c r="I21">
        <v>86</v>
      </c>
      <c r="J21">
        <v>2</v>
      </c>
      <c r="K21">
        <v>6</v>
      </c>
      <c r="L21">
        <v>6</v>
      </c>
      <c r="M21">
        <v>0</v>
      </c>
      <c r="N21" t="s">
        <v>217</v>
      </c>
      <c r="O21" t="s">
        <v>173</v>
      </c>
      <c r="P21">
        <v>7</v>
      </c>
      <c r="Q21">
        <v>5</v>
      </c>
      <c r="R21">
        <v>-2</v>
      </c>
      <c r="S21" t="s">
        <v>218</v>
      </c>
      <c r="T21" t="s">
        <v>175</v>
      </c>
      <c r="U21">
        <v>5</v>
      </c>
      <c r="V21">
        <v>2</v>
      </c>
      <c r="W21">
        <v>-3</v>
      </c>
      <c r="X21" t="s">
        <v>219</v>
      </c>
      <c r="Y21" t="s">
        <v>177</v>
      </c>
      <c r="Z21">
        <v>6</v>
      </c>
      <c r="AA21">
        <v>7</v>
      </c>
      <c r="AB21">
        <v>1</v>
      </c>
      <c r="AC21" t="s">
        <v>220</v>
      </c>
      <c r="AD21" t="s">
        <v>179</v>
      </c>
      <c r="AE21">
        <v>7</v>
      </c>
      <c r="AF21">
        <v>7</v>
      </c>
      <c r="AG21">
        <v>0</v>
      </c>
      <c r="AH21" t="s">
        <v>221</v>
      </c>
      <c r="AI21" t="s">
        <v>181</v>
      </c>
      <c r="AJ21">
        <v>9</v>
      </c>
      <c r="AK21">
        <v>7</v>
      </c>
      <c r="AL21">
        <v>-2</v>
      </c>
      <c r="AM21" t="s">
        <v>222</v>
      </c>
      <c r="AN21" t="s">
        <v>183</v>
      </c>
      <c r="AO21">
        <v>6</v>
      </c>
      <c r="AP21">
        <v>5</v>
      </c>
      <c r="AQ21">
        <v>-1</v>
      </c>
      <c r="AR21" t="s">
        <v>223</v>
      </c>
      <c r="AS21" t="s">
        <v>185</v>
      </c>
      <c r="AT21">
        <v>8</v>
      </c>
      <c r="AU21">
        <v>7</v>
      </c>
      <c r="AV21">
        <v>-1</v>
      </c>
      <c r="AW21" t="s">
        <v>224</v>
      </c>
      <c r="AX21" t="s">
        <v>187</v>
      </c>
      <c r="AY21">
        <v>9</v>
      </c>
      <c r="AZ21">
        <v>8</v>
      </c>
      <c r="BA21">
        <v>-1</v>
      </c>
      <c r="BB21" t="s">
        <v>225</v>
      </c>
      <c r="BC21" t="s">
        <v>189</v>
      </c>
    </row>
    <row r="22" spans="1:55" x14ac:dyDescent="0.45">
      <c r="A22">
        <v>5</v>
      </c>
      <c r="B22">
        <v>1</v>
      </c>
      <c r="C22">
        <v>443</v>
      </c>
      <c r="D22" t="s">
        <v>92</v>
      </c>
      <c r="E22" t="s">
        <v>162</v>
      </c>
      <c r="F22" t="s">
        <v>94</v>
      </c>
      <c r="G22" t="s">
        <v>149</v>
      </c>
      <c r="H22" t="s">
        <v>96</v>
      </c>
      <c r="I22">
        <v>120</v>
      </c>
      <c r="J22">
        <v>2</v>
      </c>
      <c r="K22">
        <v>7</v>
      </c>
      <c r="L22">
        <v>8</v>
      </c>
      <c r="M22">
        <v>1</v>
      </c>
      <c r="N22" t="s">
        <v>226</v>
      </c>
      <c r="O22" t="s">
        <v>227</v>
      </c>
      <c r="P22">
        <v>8</v>
      </c>
      <c r="Q22">
        <v>8</v>
      </c>
      <c r="R22">
        <v>0</v>
      </c>
      <c r="S22" t="s">
        <v>228</v>
      </c>
      <c r="T22" t="s">
        <v>229</v>
      </c>
      <c r="U22">
        <v>7</v>
      </c>
      <c r="V22">
        <v>8</v>
      </c>
      <c r="W22">
        <v>1</v>
      </c>
      <c r="X22" t="s">
        <v>230</v>
      </c>
      <c r="Y22" t="s">
        <v>231</v>
      </c>
      <c r="Z22">
        <v>8</v>
      </c>
      <c r="AA22">
        <v>9</v>
      </c>
      <c r="AB22">
        <v>1</v>
      </c>
      <c r="AC22" t="s">
        <v>232</v>
      </c>
      <c r="AD22" t="s">
        <v>233</v>
      </c>
      <c r="AE22">
        <v>7</v>
      </c>
      <c r="AF22">
        <v>6</v>
      </c>
      <c r="AG22">
        <v>-1</v>
      </c>
      <c r="AH22" t="s">
        <v>234</v>
      </c>
      <c r="AI22" t="s">
        <v>235</v>
      </c>
      <c r="AJ22">
        <v>8</v>
      </c>
      <c r="AK22">
        <v>7</v>
      </c>
      <c r="AL22">
        <v>-1</v>
      </c>
      <c r="AM22" t="s">
        <v>236</v>
      </c>
      <c r="AN22" t="s">
        <v>237</v>
      </c>
      <c r="AO22">
        <v>6</v>
      </c>
      <c r="AP22">
        <v>5</v>
      </c>
      <c r="AQ22">
        <v>-1</v>
      </c>
      <c r="AR22" t="s">
        <v>238</v>
      </c>
      <c r="AS22" t="s">
        <v>239</v>
      </c>
      <c r="AT22">
        <v>7</v>
      </c>
      <c r="AU22">
        <v>8</v>
      </c>
      <c r="AV22">
        <v>1</v>
      </c>
      <c r="AW22" t="s">
        <v>240</v>
      </c>
      <c r="AX22" t="s">
        <v>241</v>
      </c>
      <c r="AY22">
        <v>8</v>
      </c>
      <c r="AZ22">
        <v>8</v>
      </c>
      <c r="BA22">
        <v>0</v>
      </c>
      <c r="BB22" t="s">
        <v>242</v>
      </c>
      <c r="BC22" t="s">
        <v>243</v>
      </c>
    </row>
    <row r="23" spans="1:55" x14ac:dyDescent="0.45">
      <c r="A23">
        <v>5</v>
      </c>
      <c r="B23">
        <v>2</v>
      </c>
      <c r="C23">
        <v>444</v>
      </c>
      <c r="D23" t="s">
        <v>92</v>
      </c>
      <c r="E23" t="s">
        <v>162</v>
      </c>
      <c r="F23" t="s">
        <v>94</v>
      </c>
      <c r="G23" t="s">
        <v>149</v>
      </c>
      <c r="H23" t="s">
        <v>96</v>
      </c>
      <c r="I23">
        <v>120</v>
      </c>
      <c r="J23">
        <v>2</v>
      </c>
      <c r="K23">
        <v>9</v>
      </c>
      <c r="L23">
        <v>8</v>
      </c>
      <c r="M23">
        <v>-1</v>
      </c>
      <c r="N23" t="s">
        <v>244</v>
      </c>
      <c r="O23" t="s">
        <v>227</v>
      </c>
      <c r="P23">
        <v>10</v>
      </c>
      <c r="Q23">
        <v>8</v>
      </c>
      <c r="R23">
        <v>-2</v>
      </c>
      <c r="S23" t="s">
        <v>245</v>
      </c>
      <c r="T23" t="s">
        <v>229</v>
      </c>
      <c r="U23">
        <v>9</v>
      </c>
      <c r="V23">
        <v>8</v>
      </c>
      <c r="W23">
        <v>-1</v>
      </c>
      <c r="X23" t="s">
        <v>246</v>
      </c>
      <c r="Y23" t="s">
        <v>231</v>
      </c>
      <c r="Z23">
        <v>8</v>
      </c>
      <c r="AA23">
        <v>9</v>
      </c>
      <c r="AB23">
        <v>1</v>
      </c>
      <c r="AC23" t="s">
        <v>247</v>
      </c>
      <c r="AD23" t="s">
        <v>233</v>
      </c>
      <c r="AE23">
        <v>9</v>
      </c>
      <c r="AF23">
        <v>6</v>
      </c>
      <c r="AG23">
        <v>-3</v>
      </c>
      <c r="AH23" t="s">
        <v>248</v>
      </c>
      <c r="AI23" t="s">
        <v>235</v>
      </c>
      <c r="AJ23">
        <v>8</v>
      </c>
      <c r="AK23">
        <v>7</v>
      </c>
      <c r="AL23">
        <v>-1</v>
      </c>
      <c r="AM23" t="s">
        <v>249</v>
      </c>
      <c r="AN23" t="s">
        <v>237</v>
      </c>
      <c r="AO23">
        <v>9</v>
      </c>
      <c r="AP23">
        <v>5</v>
      </c>
      <c r="AQ23">
        <v>-4</v>
      </c>
      <c r="AR23" t="s">
        <v>250</v>
      </c>
      <c r="AS23" t="s">
        <v>239</v>
      </c>
      <c r="AT23">
        <v>10</v>
      </c>
      <c r="AU23">
        <v>8</v>
      </c>
      <c r="AV23">
        <v>-2</v>
      </c>
      <c r="AW23" t="s">
        <v>251</v>
      </c>
      <c r="AX23" t="s">
        <v>241</v>
      </c>
      <c r="AY23">
        <v>10</v>
      </c>
      <c r="AZ23">
        <v>8</v>
      </c>
      <c r="BA23">
        <v>-2</v>
      </c>
      <c r="BB23" t="s">
        <v>252</v>
      </c>
      <c r="BC23" t="s">
        <v>243</v>
      </c>
    </row>
    <row r="24" spans="1:55" x14ac:dyDescent="0.45">
      <c r="A24">
        <v>5</v>
      </c>
      <c r="B24">
        <v>3</v>
      </c>
      <c r="C24">
        <v>445</v>
      </c>
      <c r="D24" t="s">
        <v>92</v>
      </c>
      <c r="E24" t="s">
        <v>162</v>
      </c>
      <c r="F24" t="s">
        <v>94</v>
      </c>
      <c r="G24" t="s">
        <v>149</v>
      </c>
      <c r="H24" t="s">
        <v>96</v>
      </c>
      <c r="I24">
        <v>120</v>
      </c>
      <c r="J24">
        <v>2</v>
      </c>
      <c r="K24">
        <v>7</v>
      </c>
      <c r="L24">
        <v>8</v>
      </c>
      <c r="M24">
        <v>1</v>
      </c>
      <c r="N24" t="s">
        <v>253</v>
      </c>
      <c r="O24" t="s">
        <v>227</v>
      </c>
      <c r="P24">
        <v>6</v>
      </c>
      <c r="Q24">
        <v>8</v>
      </c>
      <c r="R24">
        <v>2</v>
      </c>
      <c r="S24" t="s">
        <v>254</v>
      </c>
      <c r="T24" t="s">
        <v>229</v>
      </c>
      <c r="U24">
        <v>8</v>
      </c>
      <c r="V24">
        <v>8</v>
      </c>
      <c r="W24">
        <v>0</v>
      </c>
      <c r="X24" t="s">
        <v>255</v>
      </c>
      <c r="Y24" t="s">
        <v>231</v>
      </c>
      <c r="Z24">
        <v>7</v>
      </c>
      <c r="AA24">
        <v>9</v>
      </c>
      <c r="AB24">
        <v>2</v>
      </c>
      <c r="AC24" t="s">
        <v>256</v>
      </c>
      <c r="AD24" t="s">
        <v>233</v>
      </c>
      <c r="AE24">
        <v>6</v>
      </c>
      <c r="AF24">
        <v>6</v>
      </c>
      <c r="AG24">
        <v>0</v>
      </c>
      <c r="AH24" t="s">
        <v>257</v>
      </c>
      <c r="AI24" t="s">
        <v>235</v>
      </c>
      <c r="AJ24">
        <v>5</v>
      </c>
      <c r="AK24">
        <v>7</v>
      </c>
      <c r="AL24">
        <v>2</v>
      </c>
      <c r="AM24" t="s">
        <v>258</v>
      </c>
      <c r="AN24" t="s">
        <v>237</v>
      </c>
      <c r="AO24">
        <v>6</v>
      </c>
      <c r="AP24">
        <v>5</v>
      </c>
      <c r="AQ24">
        <v>-1</v>
      </c>
      <c r="AR24" t="s">
        <v>259</v>
      </c>
      <c r="AS24" t="s">
        <v>239</v>
      </c>
      <c r="AT24">
        <v>7</v>
      </c>
      <c r="AU24">
        <v>8</v>
      </c>
      <c r="AV24">
        <v>1</v>
      </c>
      <c r="AW24" t="s">
        <v>260</v>
      </c>
      <c r="AX24" t="s">
        <v>241</v>
      </c>
      <c r="AY24">
        <v>8</v>
      </c>
      <c r="AZ24">
        <v>8</v>
      </c>
      <c r="BA24">
        <v>0</v>
      </c>
      <c r="BB24" t="s">
        <v>261</v>
      </c>
      <c r="BC24" t="s">
        <v>243</v>
      </c>
    </row>
    <row r="25" spans="1:55" x14ac:dyDescent="0.45">
      <c r="A25">
        <v>5</v>
      </c>
      <c r="B25">
        <v>4</v>
      </c>
      <c r="C25">
        <v>446</v>
      </c>
      <c r="D25" t="s">
        <v>92</v>
      </c>
      <c r="E25" t="s">
        <v>162</v>
      </c>
      <c r="F25" t="s">
        <v>94</v>
      </c>
      <c r="G25" t="s">
        <v>149</v>
      </c>
      <c r="H25" t="s">
        <v>96</v>
      </c>
      <c r="I25">
        <v>120</v>
      </c>
      <c r="J25">
        <v>2</v>
      </c>
      <c r="K25">
        <v>9</v>
      </c>
      <c r="L25">
        <v>8</v>
      </c>
      <c r="M25">
        <v>-1</v>
      </c>
      <c r="N25" t="s">
        <v>262</v>
      </c>
      <c r="O25" t="s">
        <v>227</v>
      </c>
      <c r="P25">
        <v>10</v>
      </c>
      <c r="Q25">
        <v>8</v>
      </c>
      <c r="R25">
        <v>-2</v>
      </c>
      <c r="S25" t="s">
        <v>263</v>
      </c>
      <c r="T25" t="s">
        <v>229</v>
      </c>
      <c r="U25">
        <v>9</v>
      </c>
      <c r="V25">
        <v>8</v>
      </c>
      <c r="W25">
        <v>-1</v>
      </c>
      <c r="X25" t="s">
        <v>264</v>
      </c>
      <c r="Y25" t="s">
        <v>231</v>
      </c>
      <c r="Z25">
        <v>8</v>
      </c>
      <c r="AA25">
        <v>9</v>
      </c>
      <c r="AB25">
        <v>1</v>
      </c>
      <c r="AC25" t="s">
        <v>265</v>
      </c>
      <c r="AD25" t="s">
        <v>233</v>
      </c>
      <c r="AE25">
        <v>9</v>
      </c>
      <c r="AF25">
        <v>6</v>
      </c>
      <c r="AG25">
        <v>-3</v>
      </c>
      <c r="AH25" t="s">
        <v>266</v>
      </c>
      <c r="AI25" t="s">
        <v>235</v>
      </c>
      <c r="AJ25">
        <v>8</v>
      </c>
      <c r="AK25">
        <v>7</v>
      </c>
      <c r="AL25">
        <v>-1</v>
      </c>
      <c r="AM25" t="s">
        <v>267</v>
      </c>
      <c r="AN25" t="s">
        <v>237</v>
      </c>
      <c r="AO25">
        <v>9</v>
      </c>
      <c r="AP25">
        <v>5</v>
      </c>
      <c r="AQ25">
        <v>-4</v>
      </c>
      <c r="AR25" t="s">
        <v>268</v>
      </c>
      <c r="AS25" t="s">
        <v>239</v>
      </c>
      <c r="AT25">
        <v>8</v>
      </c>
      <c r="AU25">
        <v>8</v>
      </c>
      <c r="AV25">
        <v>0</v>
      </c>
      <c r="AW25" t="s">
        <v>269</v>
      </c>
      <c r="AX25" t="s">
        <v>241</v>
      </c>
      <c r="AY25">
        <v>9</v>
      </c>
      <c r="AZ25">
        <v>8</v>
      </c>
      <c r="BA25">
        <v>-1</v>
      </c>
      <c r="BB25" t="s">
        <v>270</v>
      </c>
      <c r="BC25" t="s">
        <v>243</v>
      </c>
    </row>
    <row r="26" spans="1:55" x14ac:dyDescent="0.45">
      <c r="A26">
        <v>5</v>
      </c>
      <c r="B26">
        <v>5</v>
      </c>
      <c r="C26">
        <v>447</v>
      </c>
      <c r="D26" t="s">
        <v>92</v>
      </c>
      <c r="E26" t="s">
        <v>162</v>
      </c>
      <c r="F26" t="s">
        <v>94</v>
      </c>
      <c r="G26" t="s">
        <v>149</v>
      </c>
      <c r="H26" t="s">
        <v>96</v>
      </c>
      <c r="I26">
        <v>120</v>
      </c>
      <c r="J26">
        <v>2</v>
      </c>
      <c r="K26">
        <v>9</v>
      </c>
      <c r="L26">
        <v>8</v>
      </c>
      <c r="M26">
        <v>-1</v>
      </c>
      <c r="N26" t="s">
        <v>271</v>
      </c>
      <c r="O26" t="s">
        <v>227</v>
      </c>
      <c r="P26">
        <v>8</v>
      </c>
      <c r="Q26">
        <v>8</v>
      </c>
      <c r="R26">
        <v>0</v>
      </c>
      <c r="S26" t="s">
        <v>272</v>
      </c>
      <c r="T26" t="s">
        <v>229</v>
      </c>
      <c r="U26">
        <v>7</v>
      </c>
      <c r="V26">
        <v>8</v>
      </c>
      <c r="W26">
        <v>1</v>
      </c>
      <c r="X26" t="s">
        <v>273</v>
      </c>
      <c r="Y26" t="s">
        <v>231</v>
      </c>
      <c r="Z26">
        <v>8</v>
      </c>
      <c r="AA26">
        <v>9</v>
      </c>
      <c r="AB26">
        <v>1</v>
      </c>
      <c r="AC26" t="s">
        <v>274</v>
      </c>
      <c r="AD26" t="s">
        <v>233</v>
      </c>
      <c r="AE26">
        <v>9</v>
      </c>
      <c r="AF26">
        <v>6</v>
      </c>
      <c r="AG26">
        <v>-3</v>
      </c>
      <c r="AH26" t="s">
        <v>275</v>
      </c>
      <c r="AI26" t="s">
        <v>235</v>
      </c>
      <c r="AJ26">
        <v>7</v>
      </c>
      <c r="AK26">
        <v>7</v>
      </c>
      <c r="AL26">
        <v>0</v>
      </c>
      <c r="AM26" t="s">
        <v>276</v>
      </c>
      <c r="AN26" t="s">
        <v>237</v>
      </c>
      <c r="AO26">
        <v>8</v>
      </c>
      <c r="AP26">
        <v>5</v>
      </c>
      <c r="AQ26">
        <v>-3</v>
      </c>
      <c r="AR26" t="s">
        <v>277</v>
      </c>
      <c r="AS26" t="s">
        <v>239</v>
      </c>
      <c r="AT26">
        <v>7</v>
      </c>
      <c r="AU26">
        <v>8</v>
      </c>
      <c r="AV26">
        <v>1</v>
      </c>
      <c r="AW26" t="s">
        <v>278</v>
      </c>
      <c r="AX26" t="s">
        <v>241</v>
      </c>
      <c r="AY26">
        <v>8</v>
      </c>
      <c r="AZ26">
        <v>8</v>
      </c>
      <c r="BA26">
        <v>0</v>
      </c>
      <c r="BB26" t="s">
        <v>279</v>
      </c>
      <c r="BC26" t="s">
        <v>243</v>
      </c>
    </row>
    <row r="27" spans="1:55" x14ac:dyDescent="0.45">
      <c r="A27">
        <v>6</v>
      </c>
      <c r="B27">
        <v>1</v>
      </c>
      <c r="C27">
        <v>543</v>
      </c>
      <c r="D27" t="s">
        <v>161</v>
      </c>
      <c r="E27" t="s">
        <v>162</v>
      </c>
      <c r="F27" t="s">
        <v>94</v>
      </c>
      <c r="G27" t="s">
        <v>95</v>
      </c>
      <c r="H27" t="s">
        <v>1354</v>
      </c>
      <c r="I27">
        <v>40</v>
      </c>
      <c r="J27">
        <v>3</v>
      </c>
      <c r="K27">
        <v>5</v>
      </c>
      <c r="L27">
        <v>6</v>
      </c>
      <c r="M27">
        <v>1</v>
      </c>
      <c r="N27" t="s">
        <v>1421</v>
      </c>
      <c r="O27" t="s">
        <v>280</v>
      </c>
      <c r="P27">
        <v>6</v>
      </c>
      <c r="Q27">
        <v>7</v>
      </c>
      <c r="R27">
        <v>1</v>
      </c>
      <c r="S27" t="s">
        <v>1422</v>
      </c>
      <c r="T27" t="s">
        <v>281</v>
      </c>
      <c r="U27">
        <v>7</v>
      </c>
      <c r="V27">
        <v>5</v>
      </c>
      <c r="W27">
        <v>-2</v>
      </c>
      <c r="X27" t="s">
        <v>1423</v>
      </c>
      <c r="Y27" t="s">
        <v>282</v>
      </c>
      <c r="Z27">
        <v>8</v>
      </c>
      <c r="AA27">
        <v>8</v>
      </c>
      <c r="AB27">
        <v>0</v>
      </c>
      <c r="AC27" t="s">
        <v>1424</v>
      </c>
      <c r="AD27" t="s">
        <v>283</v>
      </c>
      <c r="AE27">
        <v>5</v>
      </c>
      <c r="AF27">
        <v>6</v>
      </c>
      <c r="AG27">
        <v>1</v>
      </c>
      <c r="AH27" t="s">
        <v>1425</v>
      </c>
      <c r="AI27" t="s">
        <v>284</v>
      </c>
      <c r="AJ27">
        <v>6</v>
      </c>
      <c r="AK27">
        <v>3</v>
      </c>
      <c r="AL27">
        <v>-3</v>
      </c>
      <c r="AM27" t="s">
        <v>1426</v>
      </c>
      <c r="AN27" t="s">
        <v>285</v>
      </c>
      <c r="AO27">
        <v>5</v>
      </c>
      <c r="AP27">
        <v>5</v>
      </c>
      <c r="AQ27">
        <v>0</v>
      </c>
      <c r="AR27" t="s">
        <v>1427</v>
      </c>
      <c r="AS27" t="s">
        <v>286</v>
      </c>
      <c r="AT27">
        <v>4</v>
      </c>
      <c r="AU27">
        <v>5</v>
      </c>
      <c r="AV27">
        <v>1</v>
      </c>
      <c r="AW27" t="s">
        <v>1428</v>
      </c>
      <c r="AX27" t="s">
        <v>287</v>
      </c>
      <c r="AY27">
        <v>6</v>
      </c>
      <c r="AZ27">
        <v>6</v>
      </c>
      <c r="BA27">
        <v>0</v>
      </c>
      <c r="BB27" t="s">
        <v>1429</v>
      </c>
      <c r="BC27" t="s">
        <v>288</v>
      </c>
    </row>
    <row r="28" spans="1:55" x14ac:dyDescent="0.45">
      <c r="A28">
        <v>6</v>
      </c>
      <c r="B28">
        <v>2</v>
      </c>
      <c r="C28">
        <v>544</v>
      </c>
      <c r="D28" t="s">
        <v>161</v>
      </c>
      <c r="E28" t="s">
        <v>162</v>
      </c>
      <c r="F28" t="s">
        <v>94</v>
      </c>
      <c r="G28" t="s">
        <v>95</v>
      </c>
      <c r="H28" t="s">
        <v>1354</v>
      </c>
      <c r="I28">
        <v>40</v>
      </c>
      <c r="J28">
        <v>3</v>
      </c>
      <c r="K28">
        <v>6</v>
      </c>
      <c r="L28">
        <v>6</v>
      </c>
      <c r="M28">
        <v>0</v>
      </c>
      <c r="N28" t="s">
        <v>1430</v>
      </c>
      <c r="O28" t="s">
        <v>280</v>
      </c>
      <c r="P28">
        <v>5</v>
      </c>
      <c r="Q28">
        <v>7</v>
      </c>
      <c r="R28">
        <v>2</v>
      </c>
      <c r="S28" t="s">
        <v>1431</v>
      </c>
      <c r="T28" t="s">
        <v>281</v>
      </c>
      <c r="U28">
        <v>7</v>
      </c>
      <c r="V28">
        <v>5</v>
      </c>
      <c r="W28">
        <v>-2</v>
      </c>
      <c r="X28" t="s">
        <v>1432</v>
      </c>
      <c r="Y28" t="s">
        <v>282</v>
      </c>
      <c r="Z28">
        <v>8</v>
      </c>
      <c r="AA28">
        <v>8</v>
      </c>
      <c r="AB28">
        <v>0</v>
      </c>
      <c r="AC28" t="s">
        <v>1433</v>
      </c>
      <c r="AD28" t="s">
        <v>283</v>
      </c>
      <c r="AE28">
        <v>5</v>
      </c>
      <c r="AF28">
        <v>6</v>
      </c>
      <c r="AG28">
        <v>1</v>
      </c>
      <c r="AH28" t="s">
        <v>1434</v>
      </c>
      <c r="AI28" t="s">
        <v>284</v>
      </c>
      <c r="AJ28">
        <v>6</v>
      </c>
      <c r="AK28">
        <v>3</v>
      </c>
      <c r="AL28">
        <v>-3</v>
      </c>
      <c r="AM28" t="s">
        <v>1435</v>
      </c>
      <c r="AN28" t="s">
        <v>285</v>
      </c>
      <c r="AO28">
        <v>5</v>
      </c>
      <c r="AP28">
        <v>5</v>
      </c>
      <c r="AQ28">
        <v>0</v>
      </c>
      <c r="AR28" t="s">
        <v>1436</v>
      </c>
      <c r="AS28" t="s">
        <v>286</v>
      </c>
      <c r="AT28">
        <v>6</v>
      </c>
      <c r="AU28">
        <v>5</v>
      </c>
      <c r="AV28">
        <v>-1</v>
      </c>
      <c r="AW28" t="s">
        <v>1437</v>
      </c>
      <c r="AX28" t="s">
        <v>287</v>
      </c>
      <c r="AY28">
        <v>7</v>
      </c>
      <c r="AZ28">
        <v>6</v>
      </c>
      <c r="BA28">
        <v>-1</v>
      </c>
      <c r="BB28" t="s">
        <v>1438</v>
      </c>
      <c r="BC28" t="s">
        <v>288</v>
      </c>
    </row>
    <row r="29" spans="1:55" x14ac:dyDescent="0.45">
      <c r="A29">
        <v>6</v>
      </c>
      <c r="B29">
        <v>3</v>
      </c>
      <c r="C29">
        <v>545</v>
      </c>
      <c r="D29" t="s">
        <v>161</v>
      </c>
      <c r="E29" t="s">
        <v>162</v>
      </c>
      <c r="F29" t="s">
        <v>94</v>
      </c>
      <c r="G29" t="s">
        <v>95</v>
      </c>
      <c r="H29" t="s">
        <v>1354</v>
      </c>
      <c r="I29">
        <v>40</v>
      </c>
      <c r="J29">
        <v>3</v>
      </c>
      <c r="K29">
        <v>3</v>
      </c>
      <c r="L29">
        <v>6</v>
      </c>
      <c r="M29">
        <v>3</v>
      </c>
      <c r="N29" t="s">
        <v>1439</v>
      </c>
      <c r="O29" t="s">
        <v>280</v>
      </c>
      <c r="P29">
        <v>3</v>
      </c>
      <c r="Q29">
        <v>7</v>
      </c>
      <c r="R29">
        <v>4</v>
      </c>
      <c r="S29" t="s">
        <v>1440</v>
      </c>
      <c r="T29" t="s">
        <v>281</v>
      </c>
      <c r="U29">
        <v>4</v>
      </c>
      <c r="V29">
        <v>5</v>
      </c>
      <c r="W29">
        <v>1</v>
      </c>
      <c r="X29" t="s">
        <v>1441</v>
      </c>
      <c r="Y29" t="s">
        <v>282</v>
      </c>
      <c r="Z29">
        <v>7</v>
      </c>
      <c r="AA29">
        <v>8</v>
      </c>
      <c r="AB29">
        <v>1</v>
      </c>
      <c r="AC29" t="s">
        <v>1442</v>
      </c>
      <c r="AD29" t="s">
        <v>283</v>
      </c>
      <c r="AE29">
        <v>3</v>
      </c>
      <c r="AF29">
        <v>6</v>
      </c>
      <c r="AG29">
        <v>3</v>
      </c>
      <c r="AH29" t="s">
        <v>1443</v>
      </c>
      <c r="AI29" t="s">
        <v>284</v>
      </c>
      <c r="AJ29">
        <v>3</v>
      </c>
      <c r="AK29">
        <v>3</v>
      </c>
      <c r="AL29">
        <v>0</v>
      </c>
      <c r="AM29" t="s">
        <v>1444</v>
      </c>
      <c r="AN29" t="s">
        <v>285</v>
      </c>
      <c r="AO29">
        <v>5</v>
      </c>
      <c r="AP29">
        <v>5</v>
      </c>
      <c r="AQ29">
        <v>0</v>
      </c>
      <c r="AR29" t="s">
        <v>1445</v>
      </c>
      <c r="AS29" t="s">
        <v>286</v>
      </c>
      <c r="AT29">
        <v>7</v>
      </c>
      <c r="AU29">
        <v>5</v>
      </c>
      <c r="AV29">
        <v>-2</v>
      </c>
      <c r="AW29" t="s">
        <v>1446</v>
      </c>
      <c r="AX29" t="s">
        <v>287</v>
      </c>
      <c r="AY29">
        <v>6</v>
      </c>
      <c r="AZ29">
        <v>6</v>
      </c>
      <c r="BA29">
        <v>0</v>
      </c>
      <c r="BB29" t="s">
        <v>288</v>
      </c>
      <c r="BC29" t="s">
        <v>288</v>
      </c>
    </row>
    <row r="30" spans="1:55" x14ac:dyDescent="0.45">
      <c r="A30">
        <v>6</v>
      </c>
      <c r="B30">
        <v>4</v>
      </c>
      <c r="C30">
        <v>546</v>
      </c>
      <c r="D30" t="s">
        <v>161</v>
      </c>
      <c r="E30" t="s">
        <v>162</v>
      </c>
      <c r="F30" t="s">
        <v>94</v>
      </c>
      <c r="G30" t="s">
        <v>95</v>
      </c>
      <c r="H30" t="s">
        <v>1354</v>
      </c>
      <c r="I30">
        <v>40</v>
      </c>
      <c r="J30">
        <v>3</v>
      </c>
      <c r="K30">
        <v>4</v>
      </c>
      <c r="L30">
        <v>6</v>
      </c>
      <c r="M30">
        <v>2</v>
      </c>
      <c r="N30" t="s">
        <v>280</v>
      </c>
      <c r="O30" t="s">
        <v>280</v>
      </c>
      <c r="P30">
        <v>4</v>
      </c>
      <c r="Q30">
        <v>7</v>
      </c>
      <c r="R30">
        <v>3</v>
      </c>
      <c r="S30" t="s">
        <v>1447</v>
      </c>
      <c r="T30" t="s">
        <v>281</v>
      </c>
      <c r="U30">
        <v>7</v>
      </c>
      <c r="V30">
        <v>5</v>
      </c>
      <c r="W30">
        <v>-2</v>
      </c>
      <c r="X30" t="s">
        <v>1448</v>
      </c>
      <c r="Y30" t="s">
        <v>282</v>
      </c>
      <c r="Z30">
        <v>9</v>
      </c>
      <c r="AA30">
        <v>8</v>
      </c>
      <c r="AB30">
        <v>-1</v>
      </c>
      <c r="AC30" t="s">
        <v>1449</v>
      </c>
      <c r="AD30" t="s">
        <v>283</v>
      </c>
      <c r="AE30">
        <v>7</v>
      </c>
      <c r="AF30">
        <v>6</v>
      </c>
      <c r="AG30">
        <v>-1</v>
      </c>
      <c r="AH30" t="s">
        <v>1450</v>
      </c>
      <c r="AI30" t="s">
        <v>284</v>
      </c>
      <c r="AJ30">
        <v>5</v>
      </c>
      <c r="AK30">
        <v>3</v>
      </c>
      <c r="AL30">
        <v>-2</v>
      </c>
      <c r="AM30" t="s">
        <v>1444</v>
      </c>
      <c r="AN30" t="s">
        <v>285</v>
      </c>
      <c r="AO30">
        <v>6</v>
      </c>
      <c r="AP30">
        <v>5</v>
      </c>
      <c r="AQ30">
        <v>-1</v>
      </c>
      <c r="AR30" t="s">
        <v>1451</v>
      </c>
      <c r="AS30" t="s">
        <v>286</v>
      </c>
      <c r="AT30">
        <v>5</v>
      </c>
      <c r="AU30">
        <v>5</v>
      </c>
      <c r="AV30">
        <v>0</v>
      </c>
      <c r="AW30" t="s">
        <v>1445</v>
      </c>
      <c r="AX30" t="s">
        <v>287</v>
      </c>
      <c r="AY30">
        <v>6</v>
      </c>
      <c r="AZ30">
        <v>6</v>
      </c>
      <c r="BA30">
        <v>0</v>
      </c>
      <c r="BB30" t="s">
        <v>288</v>
      </c>
      <c r="BC30" t="s">
        <v>288</v>
      </c>
    </row>
    <row r="31" spans="1:55" x14ac:dyDescent="0.45">
      <c r="A31">
        <v>6</v>
      </c>
      <c r="B31">
        <v>5</v>
      </c>
      <c r="C31">
        <v>547</v>
      </c>
      <c r="D31" t="s">
        <v>161</v>
      </c>
      <c r="E31" t="s">
        <v>162</v>
      </c>
      <c r="F31" t="s">
        <v>94</v>
      </c>
      <c r="G31" t="s">
        <v>95</v>
      </c>
      <c r="H31" t="s">
        <v>1354</v>
      </c>
      <c r="I31">
        <v>40</v>
      </c>
      <c r="J31">
        <v>3</v>
      </c>
      <c r="K31">
        <v>5</v>
      </c>
      <c r="L31">
        <v>6</v>
      </c>
      <c r="M31">
        <v>1</v>
      </c>
      <c r="N31" t="s">
        <v>1452</v>
      </c>
      <c r="O31" t="s">
        <v>280</v>
      </c>
      <c r="P31">
        <v>6</v>
      </c>
      <c r="Q31">
        <v>7</v>
      </c>
      <c r="R31">
        <v>1</v>
      </c>
      <c r="S31" t="s">
        <v>1453</v>
      </c>
      <c r="T31" t="s">
        <v>281</v>
      </c>
      <c r="U31">
        <v>8</v>
      </c>
      <c r="V31">
        <v>5</v>
      </c>
      <c r="W31">
        <v>-3</v>
      </c>
      <c r="X31" t="s">
        <v>1454</v>
      </c>
      <c r="Y31" t="s">
        <v>282</v>
      </c>
      <c r="Z31">
        <v>7</v>
      </c>
      <c r="AA31">
        <v>8</v>
      </c>
      <c r="AB31">
        <v>1</v>
      </c>
      <c r="AC31" t="s">
        <v>1455</v>
      </c>
      <c r="AD31" t="s">
        <v>283</v>
      </c>
      <c r="AE31">
        <v>6</v>
      </c>
      <c r="AF31">
        <v>6</v>
      </c>
      <c r="AG31">
        <v>0</v>
      </c>
      <c r="AH31" t="s">
        <v>1456</v>
      </c>
      <c r="AI31" t="s">
        <v>284</v>
      </c>
      <c r="AJ31">
        <v>8</v>
      </c>
      <c r="AK31">
        <v>3</v>
      </c>
      <c r="AL31">
        <v>-5</v>
      </c>
      <c r="AM31" t="s">
        <v>1457</v>
      </c>
      <c r="AN31" t="s">
        <v>285</v>
      </c>
      <c r="AO31">
        <v>5</v>
      </c>
      <c r="AP31">
        <v>5</v>
      </c>
      <c r="AQ31">
        <v>0</v>
      </c>
      <c r="AR31" t="s">
        <v>1458</v>
      </c>
      <c r="AS31" t="s">
        <v>286</v>
      </c>
      <c r="AT31">
        <v>6</v>
      </c>
      <c r="AU31">
        <v>5</v>
      </c>
      <c r="AV31">
        <v>-1</v>
      </c>
      <c r="AW31" t="s">
        <v>1459</v>
      </c>
      <c r="AX31" t="s">
        <v>287</v>
      </c>
      <c r="AY31">
        <v>7</v>
      </c>
      <c r="AZ31">
        <v>6</v>
      </c>
      <c r="BA31">
        <v>-1</v>
      </c>
      <c r="BB31" t="s">
        <v>1460</v>
      </c>
      <c r="BC31" t="s">
        <v>288</v>
      </c>
    </row>
    <row r="32" spans="1:55" x14ac:dyDescent="0.45">
      <c r="A32">
        <v>7</v>
      </c>
      <c r="B32">
        <v>1</v>
      </c>
      <c r="C32">
        <v>643</v>
      </c>
      <c r="D32" t="s">
        <v>92</v>
      </c>
      <c r="E32" t="s">
        <v>162</v>
      </c>
      <c r="F32" t="s">
        <v>94</v>
      </c>
      <c r="G32" t="s">
        <v>95</v>
      </c>
      <c r="H32" t="s">
        <v>96</v>
      </c>
      <c r="I32">
        <v>40</v>
      </c>
      <c r="J32">
        <v>2</v>
      </c>
      <c r="K32">
        <v>6</v>
      </c>
      <c r="L32">
        <v>6</v>
      </c>
      <c r="M32">
        <v>0</v>
      </c>
      <c r="N32" t="s">
        <v>289</v>
      </c>
      <c r="O32" t="s">
        <v>290</v>
      </c>
      <c r="P32">
        <v>5</v>
      </c>
      <c r="Q32">
        <v>7</v>
      </c>
      <c r="R32">
        <v>2</v>
      </c>
      <c r="S32" t="s">
        <v>291</v>
      </c>
      <c r="T32" t="s">
        <v>292</v>
      </c>
      <c r="U32">
        <v>8</v>
      </c>
      <c r="V32">
        <v>7</v>
      </c>
      <c r="W32">
        <v>-1</v>
      </c>
      <c r="X32" t="s">
        <v>293</v>
      </c>
      <c r="Y32" t="s">
        <v>294</v>
      </c>
      <c r="Z32">
        <v>9</v>
      </c>
      <c r="AA32">
        <v>7</v>
      </c>
      <c r="AB32">
        <v>-2</v>
      </c>
      <c r="AC32" t="s">
        <v>295</v>
      </c>
      <c r="AD32" t="s">
        <v>296</v>
      </c>
      <c r="AE32">
        <v>7</v>
      </c>
      <c r="AF32">
        <v>8</v>
      </c>
      <c r="AG32">
        <v>1</v>
      </c>
      <c r="AH32" t="s">
        <v>297</v>
      </c>
      <c r="AI32" t="s">
        <v>298</v>
      </c>
      <c r="AJ32">
        <v>8</v>
      </c>
      <c r="AK32">
        <v>5</v>
      </c>
      <c r="AL32">
        <v>-3</v>
      </c>
      <c r="AM32" t="s">
        <v>299</v>
      </c>
      <c r="AN32" t="s">
        <v>300</v>
      </c>
      <c r="AO32">
        <v>7</v>
      </c>
      <c r="AP32">
        <v>5</v>
      </c>
      <c r="AQ32">
        <v>-2</v>
      </c>
      <c r="AR32" t="s">
        <v>301</v>
      </c>
      <c r="AS32" t="s">
        <v>302</v>
      </c>
      <c r="AT32">
        <v>6</v>
      </c>
      <c r="AU32">
        <v>7</v>
      </c>
      <c r="AV32">
        <v>1</v>
      </c>
      <c r="AW32" t="s">
        <v>303</v>
      </c>
      <c r="AX32" t="s">
        <v>304</v>
      </c>
      <c r="AY32">
        <v>9</v>
      </c>
      <c r="AZ32">
        <v>8</v>
      </c>
      <c r="BA32">
        <v>-1</v>
      </c>
      <c r="BB32" t="s">
        <v>305</v>
      </c>
      <c r="BC32" t="s">
        <v>306</v>
      </c>
    </row>
    <row r="33" spans="1:55" x14ac:dyDescent="0.45">
      <c r="A33">
        <v>7</v>
      </c>
      <c r="B33">
        <v>2</v>
      </c>
      <c r="C33">
        <v>644</v>
      </c>
      <c r="D33" t="s">
        <v>92</v>
      </c>
      <c r="E33" t="s">
        <v>162</v>
      </c>
      <c r="F33" t="s">
        <v>94</v>
      </c>
      <c r="G33" t="s">
        <v>95</v>
      </c>
      <c r="H33" t="s">
        <v>96</v>
      </c>
      <c r="I33">
        <v>40</v>
      </c>
      <c r="J33">
        <v>2</v>
      </c>
      <c r="K33">
        <v>6</v>
      </c>
      <c r="L33">
        <v>6</v>
      </c>
      <c r="M33">
        <v>0</v>
      </c>
      <c r="N33" t="s">
        <v>307</v>
      </c>
      <c r="O33" t="s">
        <v>290</v>
      </c>
      <c r="P33">
        <v>6</v>
      </c>
      <c r="Q33">
        <v>7</v>
      </c>
      <c r="R33">
        <v>1</v>
      </c>
      <c r="S33" t="s">
        <v>308</v>
      </c>
      <c r="T33" t="s">
        <v>292</v>
      </c>
      <c r="U33">
        <v>9</v>
      </c>
      <c r="V33">
        <v>7</v>
      </c>
      <c r="W33">
        <v>-2</v>
      </c>
      <c r="X33" t="s">
        <v>309</v>
      </c>
      <c r="Y33" t="s">
        <v>294</v>
      </c>
      <c r="Z33">
        <v>8</v>
      </c>
      <c r="AA33">
        <v>7</v>
      </c>
      <c r="AB33">
        <v>-1</v>
      </c>
      <c r="AC33" t="s">
        <v>310</v>
      </c>
      <c r="AD33" t="s">
        <v>296</v>
      </c>
      <c r="AE33">
        <v>7</v>
      </c>
      <c r="AF33">
        <v>8</v>
      </c>
      <c r="AG33">
        <v>1</v>
      </c>
      <c r="AH33" t="s">
        <v>311</v>
      </c>
      <c r="AI33" t="s">
        <v>298</v>
      </c>
      <c r="AJ33">
        <v>9</v>
      </c>
      <c r="AK33">
        <v>5</v>
      </c>
      <c r="AL33">
        <v>-4</v>
      </c>
      <c r="AM33" t="s">
        <v>312</v>
      </c>
      <c r="AN33" t="s">
        <v>300</v>
      </c>
      <c r="AO33">
        <v>8</v>
      </c>
      <c r="AP33">
        <v>5</v>
      </c>
      <c r="AQ33">
        <v>-3</v>
      </c>
      <c r="AR33" t="s">
        <v>313</v>
      </c>
      <c r="AS33" t="s">
        <v>302</v>
      </c>
      <c r="AT33">
        <v>7</v>
      </c>
      <c r="AU33">
        <v>7</v>
      </c>
      <c r="AV33">
        <v>0</v>
      </c>
      <c r="AW33" t="s">
        <v>314</v>
      </c>
      <c r="AX33" t="s">
        <v>304</v>
      </c>
      <c r="AY33">
        <v>9</v>
      </c>
      <c r="AZ33">
        <v>8</v>
      </c>
      <c r="BA33">
        <v>-1</v>
      </c>
      <c r="BB33" t="s">
        <v>315</v>
      </c>
      <c r="BC33" t="s">
        <v>306</v>
      </c>
    </row>
    <row r="34" spans="1:55" x14ac:dyDescent="0.45">
      <c r="A34">
        <v>7</v>
      </c>
      <c r="B34">
        <v>3</v>
      </c>
      <c r="C34">
        <v>645</v>
      </c>
      <c r="D34" t="s">
        <v>92</v>
      </c>
      <c r="E34" t="s">
        <v>162</v>
      </c>
      <c r="F34" t="s">
        <v>94</v>
      </c>
      <c r="G34" t="s">
        <v>95</v>
      </c>
      <c r="H34" t="s">
        <v>96</v>
      </c>
      <c r="I34">
        <v>40</v>
      </c>
      <c r="J34">
        <v>2</v>
      </c>
      <c r="K34">
        <v>7</v>
      </c>
      <c r="L34">
        <v>6</v>
      </c>
      <c r="M34">
        <v>-1</v>
      </c>
      <c r="N34" t="s">
        <v>316</v>
      </c>
      <c r="O34" t="s">
        <v>290</v>
      </c>
      <c r="P34">
        <v>6</v>
      </c>
      <c r="Q34">
        <v>7</v>
      </c>
      <c r="R34">
        <v>1</v>
      </c>
      <c r="S34" t="s">
        <v>317</v>
      </c>
      <c r="T34" t="s">
        <v>292</v>
      </c>
      <c r="U34">
        <v>8</v>
      </c>
      <c r="V34">
        <v>7</v>
      </c>
      <c r="W34">
        <v>-1</v>
      </c>
      <c r="X34" t="s">
        <v>318</v>
      </c>
      <c r="Y34" t="s">
        <v>294</v>
      </c>
      <c r="Z34">
        <v>9</v>
      </c>
      <c r="AA34">
        <v>7</v>
      </c>
      <c r="AB34">
        <v>-2</v>
      </c>
      <c r="AC34" t="s">
        <v>319</v>
      </c>
      <c r="AD34" t="s">
        <v>296</v>
      </c>
      <c r="AE34">
        <v>7</v>
      </c>
      <c r="AF34">
        <v>8</v>
      </c>
      <c r="AG34">
        <v>1</v>
      </c>
      <c r="AH34" t="s">
        <v>320</v>
      </c>
      <c r="AI34" t="s">
        <v>298</v>
      </c>
      <c r="AJ34">
        <v>8</v>
      </c>
      <c r="AK34">
        <v>5</v>
      </c>
      <c r="AL34">
        <v>-3</v>
      </c>
      <c r="AM34" t="s">
        <v>321</v>
      </c>
      <c r="AN34" t="s">
        <v>300</v>
      </c>
      <c r="AO34">
        <v>7</v>
      </c>
      <c r="AP34">
        <v>5</v>
      </c>
      <c r="AQ34">
        <v>-2</v>
      </c>
      <c r="AR34" t="s">
        <v>322</v>
      </c>
      <c r="AS34" t="s">
        <v>302</v>
      </c>
      <c r="AT34">
        <v>6</v>
      </c>
      <c r="AU34">
        <v>7</v>
      </c>
      <c r="AV34">
        <v>1</v>
      </c>
      <c r="AW34" t="s">
        <v>323</v>
      </c>
      <c r="AX34" t="s">
        <v>304</v>
      </c>
      <c r="AY34">
        <v>9</v>
      </c>
      <c r="AZ34">
        <v>8</v>
      </c>
      <c r="BA34">
        <v>-1</v>
      </c>
      <c r="BB34" t="s">
        <v>324</v>
      </c>
      <c r="BC34" t="s">
        <v>306</v>
      </c>
    </row>
    <row r="35" spans="1:55" x14ac:dyDescent="0.45">
      <c r="A35">
        <v>7</v>
      </c>
      <c r="B35">
        <v>4</v>
      </c>
      <c r="C35">
        <v>646</v>
      </c>
      <c r="D35" t="s">
        <v>92</v>
      </c>
      <c r="E35" t="s">
        <v>162</v>
      </c>
      <c r="F35" t="s">
        <v>94</v>
      </c>
      <c r="G35" t="s">
        <v>95</v>
      </c>
      <c r="H35" t="s">
        <v>96</v>
      </c>
      <c r="I35">
        <v>40</v>
      </c>
      <c r="J35">
        <v>2</v>
      </c>
      <c r="K35">
        <v>7</v>
      </c>
      <c r="L35">
        <v>6</v>
      </c>
      <c r="M35">
        <v>-1</v>
      </c>
      <c r="N35" t="s">
        <v>325</v>
      </c>
      <c r="O35" t="s">
        <v>290</v>
      </c>
      <c r="P35">
        <v>8</v>
      </c>
      <c r="Q35">
        <v>7</v>
      </c>
      <c r="R35">
        <v>-1</v>
      </c>
      <c r="S35" t="s">
        <v>326</v>
      </c>
      <c r="T35" t="s">
        <v>292</v>
      </c>
      <c r="U35">
        <v>9</v>
      </c>
      <c r="V35">
        <v>7</v>
      </c>
      <c r="W35">
        <v>-2</v>
      </c>
      <c r="X35" t="s">
        <v>327</v>
      </c>
      <c r="Y35" t="s">
        <v>294</v>
      </c>
      <c r="Z35">
        <v>9</v>
      </c>
      <c r="AA35">
        <v>7</v>
      </c>
      <c r="AB35">
        <v>-2</v>
      </c>
      <c r="AC35" t="s">
        <v>328</v>
      </c>
      <c r="AD35" t="s">
        <v>296</v>
      </c>
      <c r="AE35">
        <v>8</v>
      </c>
      <c r="AF35">
        <v>8</v>
      </c>
      <c r="AG35">
        <v>0</v>
      </c>
      <c r="AH35" t="s">
        <v>329</v>
      </c>
      <c r="AI35" t="s">
        <v>298</v>
      </c>
      <c r="AJ35">
        <v>7</v>
      </c>
      <c r="AK35">
        <v>5</v>
      </c>
      <c r="AL35">
        <v>-2</v>
      </c>
      <c r="AM35" t="s">
        <v>330</v>
      </c>
      <c r="AN35" t="s">
        <v>300</v>
      </c>
      <c r="AO35">
        <v>8</v>
      </c>
      <c r="AP35">
        <v>5</v>
      </c>
      <c r="AQ35">
        <v>-3</v>
      </c>
      <c r="AR35" t="s">
        <v>331</v>
      </c>
      <c r="AS35" t="s">
        <v>302</v>
      </c>
      <c r="AT35">
        <v>7</v>
      </c>
      <c r="AU35">
        <v>7</v>
      </c>
      <c r="AV35">
        <v>0</v>
      </c>
      <c r="AW35" t="s">
        <v>332</v>
      </c>
      <c r="AX35" t="s">
        <v>304</v>
      </c>
      <c r="AY35">
        <v>9</v>
      </c>
      <c r="AZ35">
        <v>8</v>
      </c>
      <c r="BA35">
        <v>-1</v>
      </c>
      <c r="BB35" t="s">
        <v>333</v>
      </c>
      <c r="BC35" t="s">
        <v>306</v>
      </c>
    </row>
    <row r="36" spans="1:55" x14ac:dyDescent="0.45">
      <c r="A36">
        <v>7</v>
      </c>
      <c r="B36">
        <v>5</v>
      </c>
      <c r="C36">
        <v>647</v>
      </c>
      <c r="D36" t="s">
        <v>92</v>
      </c>
      <c r="E36" t="s">
        <v>162</v>
      </c>
      <c r="F36" t="s">
        <v>94</v>
      </c>
      <c r="G36" t="s">
        <v>95</v>
      </c>
      <c r="H36" t="s">
        <v>96</v>
      </c>
      <c r="I36">
        <v>40</v>
      </c>
      <c r="J36">
        <v>2</v>
      </c>
      <c r="K36">
        <v>6</v>
      </c>
      <c r="L36">
        <v>6</v>
      </c>
      <c r="M36">
        <v>0</v>
      </c>
      <c r="N36" t="s">
        <v>334</v>
      </c>
      <c r="O36" t="s">
        <v>290</v>
      </c>
      <c r="P36">
        <v>6</v>
      </c>
      <c r="Q36">
        <v>7</v>
      </c>
      <c r="R36">
        <v>1</v>
      </c>
      <c r="S36" t="s">
        <v>335</v>
      </c>
      <c r="T36" t="s">
        <v>292</v>
      </c>
      <c r="U36">
        <v>8</v>
      </c>
      <c r="V36">
        <v>7</v>
      </c>
      <c r="W36">
        <v>-1</v>
      </c>
      <c r="X36" t="s">
        <v>336</v>
      </c>
      <c r="Y36" t="s">
        <v>294</v>
      </c>
      <c r="Z36">
        <v>9</v>
      </c>
      <c r="AA36">
        <v>7</v>
      </c>
      <c r="AB36">
        <v>-2</v>
      </c>
      <c r="AC36" t="s">
        <v>337</v>
      </c>
      <c r="AD36" t="s">
        <v>296</v>
      </c>
      <c r="AE36">
        <v>7</v>
      </c>
      <c r="AF36">
        <v>8</v>
      </c>
      <c r="AG36">
        <v>1</v>
      </c>
      <c r="AH36" t="s">
        <v>338</v>
      </c>
      <c r="AI36" t="s">
        <v>298</v>
      </c>
      <c r="AJ36">
        <v>9</v>
      </c>
      <c r="AK36">
        <v>5</v>
      </c>
      <c r="AL36">
        <v>-4</v>
      </c>
      <c r="AM36" t="s">
        <v>339</v>
      </c>
      <c r="AN36" t="s">
        <v>300</v>
      </c>
      <c r="AO36">
        <v>8</v>
      </c>
      <c r="AP36">
        <v>5</v>
      </c>
      <c r="AQ36">
        <v>-3</v>
      </c>
      <c r="AR36" t="s">
        <v>340</v>
      </c>
      <c r="AS36" t="s">
        <v>302</v>
      </c>
      <c r="AT36">
        <v>9</v>
      </c>
      <c r="AU36">
        <v>7</v>
      </c>
      <c r="AV36">
        <v>-2</v>
      </c>
      <c r="AW36" t="s">
        <v>341</v>
      </c>
      <c r="AX36" t="s">
        <v>304</v>
      </c>
      <c r="AY36">
        <v>8</v>
      </c>
      <c r="AZ36">
        <v>8</v>
      </c>
      <c r="BA36">
        <v>0</v>
      </c>
      <c r="BB36" t="s">
        <v>342</v>
      </c>
      <c r="BC36" t="s">
        <v>306</v>
      </c>
    </row>
    <row r="37" spans="1:55" x14ac:dyDescent="0.45">
      <c r="A37">
        <v>8</v>
      </c>
      <c r="B37">
        <v>1</v>
      </c>
      <c r="C37">
        <v>743</v>
      </c>
      <c r="D37" t="s">
        <v>92</v>
      </c>
      <c r="E37" t="s">
        <v>93</v>
      </c>
      <c r="F37" t="s">
        <v>94</v>
      </c>
      <c r="G37" t="s">
        <v>95</v>
      </c>
      <c r="H37" t="s">
        <v>96</v>
      </c>
      <c r="I37">
        <v>120</v>
      </c>
      <c r="J37">
        <v>2</v>
      </c>
      <c r="K37">
        <v>7</v>
      </c>
      <c r="L37">
        <v>10</v>
      </c>
      <c r="M37">
        <v>3</v>
      </c>
      <c r="N37" t="s">
        <v>343</v>
      </c>
      <c r="O37" t="s">
        <v>344</v>
      </c>
      <c r="P37">
        <v>8</v>
      </c>
      <c r="Q37">
        <v>8</v>
      </c>
      <c r="R37">
        <v>0</v>
      </c>
      <c r="S37" t="s">
        <v>345</v>
      </c>
      <c r="T37" t="s">
        <v>346</v>
      </c>
      <c r="U37">
        <v>5</v>
      </c>
      <c r="V37">
        <v>4</v>
      </c>
      <c r="W37">
        <v>-1</v>
      </c>
      <c r="X37" t="s">
        <v>347</v>
      </c>
      <c r="Y37" t="s">
        <v>348</v>
      </c>
      <c r="Z37">
        <v>6</v>
      </c>
      <c r="AA37">
        <v>7</v>
      </c>
      <c r="AB37">
        <v>1</v>
      </c>
      <c r="AC37" t="s">
        <v>349</v>
      </c>
      <c r="AD37" t="s">
        <v>350</v>
      </c>
      <c r="AE37">
        <v>5</v>
      </c>
      <c r="AF37">
        <v>5</v>
      </c>
      <c r="AG37">
        <v>0</v>
      </c>
      <c r="AH37" t="s">
        <v>351</v>
      </c>
      <c r="AI37" t="s">
        <v>352</v>
      </c>
      <c r="AJ37">
        <v>6</v>
      </c>
      <c r="AK37">
        <v>5</v>
      </c>
      <c r="AL37">
        <v>-1</v>
      </c>
      <c r="AM37" t="s">
        <v>353</v>
      </c>
      <c r="AN37" t="s">
        <v>354</v>
      </c>
      <c r="AO37">
        <v>5</v>
      </c>
      <c r="AP37">
        <v>5</v>
      </c>
      <c r="AQ37">
        <v>0</v>
      </c>
      <c r="AR37" t="s">
        <v>355</v>
      </c>
      <c r="AS37" t="s">
        <v>356</v>
      </c>
      <c r="AT37">
        <v>6</v>
      </c>
      <c r="AU37">
        <v>5</v>
      </c>
      <c r="AV37">
        <v>-1</v>
      </c>
      <c r="AW37" t="s">
        <v>357</v>
      </c>
      <c r="AX37" t="s">
        <v>358</v>
      </c>
      <c r="AY37">
        <v>7</v>
      </c>
      <c r="AZ37">
        <v>6</v>
      </c>
      <c r="BA37">
        <v>-1</v>
      </c>
      <c r="BB37" t="s">
        <v>359</v>
      </c>
      <c r="BC37" t="s">
        <v>360</v>
      </c>
    </row>
    <row r="38" spans="1:55" x14ac:dyDescent="0.45">
      <c r="A38">
        <v>8</v>
      </c>
      <c r="B38">
        <v>2</v>
      </c>
      <c r="C38">
        <v>744</v>
      </c>
      <c r="D38" t="s">
        <v>92</v>
      </c>
      <c r="E38" t="s">
        <v>93</v>
      </c>
      <c r="F38" t="s">
        <v>94</v>
      </c>
      <c r="G38" t="s">
        <v>95</v>
      </c>
      <c r="H38" t="s">
        <v>96</v>
      </c>
      <c r="I38">
        <v>120</v>
      </c>
      <c r="J38">
        <v>2</v>
      </c>
      <c r="K38">
        <v>8</v>
      </c>
      <c r="L38">
        <v>10</v>
      </c>
      <c r="M38">
        <v>2</v>
      </c>
      <c r="N38" t="s">
        <v>361</v>
      </c>
      <c r="O38" t="s">
        <v>344</v>
      </c>
      <c r="P38">
        <v>8</v>
      </c>
      <c r="Q38">
        <v>8</v>
      </c>
      <c r="R38">
        <v>0</v>
      </c>
      <c r="S38" t="s">
        <v>362</v>
      </c>
      <c r="T38" t="s">
        <v>346</v>
      </c>
      <c r="U38">
        <v>6</v>
      </c>
      <c r="V38">
        <v>4</v>
      </c>
      <c r="W38">
        <v>-2</v>
      </c>
      <c r="X38" t="s">
        <v>363</v>
      </c>
      <c r="Y38" t="s">
        <v>348</v>
      </c>
      <c r="Z38">
        <v>7</v>
      </c>
      <c r="AA38">
        <v>7</v>
      </c>
      <c r="AB38">
        <v>0</v>
      </c>
      <c r="AC38" t="s">
        <v>364</v>
      </c>
      <c r="AD38" t="s">
        <v>350</v>
      </c>
      <c r="AE38">
        <v>5</v>
      </c>
      <c r="AF38">
        <v>5</v>
      </c>
      <c r="AG38">
        <v>0</v>
      </c>
      <c r="AH38" t="s">
        <v>365</v>
      </c>
      <c r="AI38" t="s">
        <v>352</v>
      </c>
      <c r="AJ38">
        <v>6</v>
      </c>
      <c r="AK38">
        <v>5</v>
      </c>
      <c r="AL38">
        <v>-1</v>
      </c>
      <c r="AM38" t="s">
        <v>366</v>
      </c>
      <c r="AN38" t="s">
        <v>354</v>
      </c>
      <c r="AO38">
        <v>5</v>
      </c>
      <c r="AP38">
        <v>5</v>
      </c>
      <c r="AQ38">
        <v>0</v>
      </c>
      <c r="AR38" t="s">
        <v>367</v>
      </c>
      <c r="AS38" t="s">
        <v>356</v>
      </c>
      <c r="AT38">
        <v>6</v>
      </c>
      <c r="AU38">
        <v>5</v>
      </c>
      <c r="AV38">
        <v>-1</v>
      </c>
      <c r="AW38" t="s">
        <v>368</v>
      </c>
      <c r="AX38" t="s">
        <v>358</v>
      </c>
      <c r="AY38">
        <v>7</v>
      </c>
      <c r="AZ38">
        <v>6</v>
      </c>
      <c r="BA38">
        <v>-1</v>
      </c>
      <c r="BB38" t="s">
        <v>369</v>
      </c>
      <c r="BC38" t="s">
        <v>360</v>
      </c>
    </row>
    <row r="39" spans="1:55" x14ac:dyDescent="0.45">
      <c r="A39">
        <v>8</v>
      </c>
      <c r="B39">
        <v>3</v>
      </c>
      <c r="C39">
        <v>745</v>
      </c>
      <c r="D39" t="s">
        <v>92</v>
      </c>
      <c r="E39" t="s">
        <v>93</v>
      </c>
      <c r="F39" t="s">
        <v>94</v>
      </c>
      <c r="G39" t="s">
        <v>95</v>
      </c>
      <c r="H39" t="s">
        <v>96</v>
      </c>
      <c r="I39">
        <v>120</v>
      </c>
      <c r="J39">
        <v>2</v>
      </c>
      <c r="K39">
        <v>7</v>
      </c>
      <c r="L39">
        <v>10</v>
      </c>
      <c r="M39">
        <v>3</v>
      </c>
      <c r="N39" t="s">
        <v>361</v>
      </c>
      <c r="O39" t="s">
        <v>344</v>
      </c>
      <c r="P39">
        <v>7</v>
      </c>
      <c r="Q39">
        <v>8</v>
      </c>
      <c r="R39">
        <v>1</v>
      </c>
      <c r="S39" t="s">
        <v>370</v>
      </c>
      <c r="T39" t="s">
        <v>346</v>
      </c>
      <c r="U39">
        <v>5</v>
      </c>
      <c r="V39">
        <v>4</v>
      </c>
      <c r="W39">
        <v>-1</v>
      </c>
      <c r="X39" t="s">
        <v>371</v>
      </c>
      <c r="Y39" t="s">
        <v>348</v>
      </c>
      <c r="Z39">
        <v>8</v>
      </c>
      <c r="AA39">
        <v>7</v>
      </c>
      <c r="AB39">
        <v>-1</v>
      </c>
      <c r="AC39" t="s">
        <v>372</v>
      </c>
      <c r="AD39" t="s">
        <v>350</v>
      </c>
      <c r="AE39">
        <v>4</v>
      </c>
      <c r="AF39">
        <v>5</v>
      </c>
      <c r="AG39">
        <v>1</v>
      </c>
      <c r="AH39" t="s">
        <v>373</v>
      </c>
      <c r="AI39" t="s">
        <v>352</v>
      </c>
      <c r="AJ39">
        <v>6</v>
      </c>
      <c r="AK39">
        <v>5</v>
      </c>
      <c r="AL39">
        <v>-1</v>
      </c>
      <c r="AM39" t="s">
        <v>374</v>
      </c>
      <c r="AN39" t="s">
        <v>354</v>
      </c>
      <c r="AO39">
        <v>6</v>
      </c>
      <c r="AP39">
        <v>5</v>
      </c>
      <c r="AQ39">
        <v>-1</v>
      </c>
      <c r="AR39" t="s">
        <v>375</v>
      </c>
      <c r="AS39" t="s">
        <v>356</v>
      </c>
      <c r="AT39">
        <v>5</v>
      </c>
      <c r="AU39">
        <v>5</v>
      </c>
      <c r="AV39">
        <v>0</v>
      </c>
      <c r="AW39" t="s">
        <v>376</v>
      </c>
      <c r="AX39" t="s">
        <v>358</v>
      </c>
      <c r="AY39">
        <v>6</v>
      </c>
      <c r="AZ39">
        <v>6</v>
      </c>
      <c r="BA39">
        <v>0</v>
      </c>
      <c r="BB39" t="s">
        <v>377</v>
      </c>
      <c r="BC39" t="s">
        <v>360</v>
      </c>
    </row>
    <row r="40" spans="1:55" x14ac:dyDescent="0.45">
      <c r="A40">
        <v>8</v>
      </c>
      <c r="B40">
        <v>4</v>
      </c>
      <c r="C40">
        <v>746</v>
      </c>
      <c r="D40" t="s">
        <v>92</v>
      </c>
      <c r="E40" t="s">
        <v>93</v>
      </c>
      <c r="F40" t="s">
        <v>94</v>
      </c>
      <c r="G40" t="s">
        <v>95</v>
      </c>
      <c r="H40" t="s">
        <v>96</v>
      </c>
      <c r="I40">
        <v>120</v>
      </c>
      <c r="J40">
        <v>2</v>
      </c>
      <c r="K40">
        <v>7</v>
      </c>
      <c r="L40">
        <v>10</v>
      </c>
      <c r="M40">
        <v>3</v>
      </c>
      <c r="N40" t="s">
        <v>378</v>
      </c>
      <c r="O40" t="s">
        <v>344</v>
      </c>
      <c r="P40">
        <v>6</v>
      </c>
      <c r="Q40">
        <v>8</v>
      </c>
      <c r="R40">
        <v>2</v>
      </c>
      <c r="S40" t="s">
        <v>379</v>
      </c>
      <c r="T40" t="s">
        <v>346</v>
      </c>
      <c r="U40">
        <v>5</v>
      </c>
      <c r="V40">
        <v>4</v>
      </c>
      <c r="W40">
        <v>-1</v>
      </c>
      <c r="X40" t="s">
        <v>380</v>
      </c>
      <c r="Y40" t="s">
        <v>348</v>
      </c>
      <c r="Z40">
        <v>8</v>
      </c>
      <c r="AA40">
        <v>7</v>
      </c>
      <c r="AB40">
        <v>-1</v>
      </c>
      <c r="AC40" t="s">
        <v>381</v>
      </c>
      <c r="AD40" t="s">
        <v>350</v>
      </c>
      <c r="AE40">
        <v>4</v>
      </c>
      <c r="AF40">
        <v>5</v>
      </c>
      <c r="AG40">
        <v>1</v>
      </c>
      <c r="AH40" t="s">
        <v>382</v>
      </c>
      <c r="AI40" t="s">
        <v>352</v>
      </c>
      <c r="AJ40">
        <v>7</v>
      </c>
      <c r="AK40">
        <v>5</v>
      </c>
      <c r="AL40">
        <v>-2</v>
      </c>
      <c r="AM40" t="s">
        <v>383</v>
      </c>
      <c r="AN40" t="s">
        <v>354</v>
      </c>
      <c r="AO40">
        <v>6</v>
      </c>
      <c r="AP40">
        <v>5</v>
      </c>
      <c r="AQ40">
        <v>-1</v>
      </c>
      <c r="AR40" t="s">
        <v>384</v>
      </c>
      <c r="AS40" t="s">
        <v>356</v>
      </c>
      <c r="AT40">
        <v>5</v>
      </c>
      <c r="AU40">
        <v>5</v>
      </c>
      <c r="AV40">
        <v>0</v>
      </c>
      <c r="AW40" t="s">
        <v>385</v>
      </c>
      <c r="AX40" t="s">
        <v>358</v>
      </c>
      <c r="AY40">
        <v>8</v>
      </c>
      <c r="AZ40">
        <v>6</v>
      </c>
      <c r="BA40">
        <v>-2</v>
      </c>
      <c r="BB40" t="s">
        <v>386</v>
      </c>
      <c r="BC40" t="s">
        <v>360</v>
      </c>
    </row>
    <row r="41" spans="1:55" x14ac:dyDescent="0.45">
      <c r="A41">
        <v>8</v>
      </c>
      <c r="B41">
        <v>5</v>
      </c>
      <c r="C41">
        <v>747</v>
      </c>
      <c r="D41" t="s">
        <v>92</v>
      </c>
      <c r="E41" t="s">
        <v>93</v>
      </c>
      <c r="F41" t="s">
        <v>94</v>
      </c>
      <c r="G41" t="s">
        <v>95</v>
      </c>
      <c r="H41" t="s">
        <v>96</v>
      </c>
      <c r="I41">
        <v>120</v>
      </c>
      <c r="J41">
        <v>2</v>
      </c>
      <c r="K41">
        <v>8</v>
      </c>
      <c r="L41">
        <v>10</v>
      </c>
      <c r="M41">
        <v>2</v>
      </c>
      <c r="N41" t="s">
        <v>387</v>
      </c>
      <c r="O41" t="s">
        <v>344</v>
      </c>
      <c r="P41">
        <v>8</v>
      </c>
      <c r="Q41">
        <v>8</v>
      </c>
      <c r="R41">
        <v>0</v>
      </c>
      <c r="S41" t="s">
        <v>388</v>
      </c>
      <c r="T41" t="s">
        <v>346</v>
      </c>
      <c r="U41">
        <v>6</v>
      </c>
      <c r="V41">
        <v>4</v>
      </c>
      <c r="W41">
        <v>-2</v>
      </c>
      <c r="X41" t="s">
        <v>389</v>
      </c>
      <c r="Y41" t="s">
        <v>348</v>
      </c>
      <c r="Z41">
        <v>7</v>
      </c>
      <c r="AA41">
        <v>7</v>
      </c>
      <c r="AB41">
        <v>0</v>
      </c>
      <c r="AC41" t="s">
        <v>390</v>
      </c>
      <c r="AD41" t="s">
        <v>350</v>
      </c>
      <c r="AE41">
        <v>5</v>
      </c>
      <c r="AF41">
        <v>5</v>
      </c>
      <c r="AG41">
        <v>0</v>
      </c>
      <c r="AH41" t="s">
        <v>391</v>
      </c>
      <c r="AI41" t="s">
        <v>352</v>
      </c>
      <c r="AJ41">
        <v>6</v>
      </c>
      <c r="AK41">
        <v>5</v>
      </c>
      <c r="AL41">
        <v>-1</v>
      </c>
      <c r="AM41" t="s">
        <v>392</v>
      </c>
      <c r="AN41" t="s">
        <v>354</v>
      </c>
      <c r="AO41">
        <v>5</v>
      </c>
      <c r="AP41">
        <v>5</v>
      </c>
      <c r="AQ41">
        <v>0</v>
      </c>
      <c r="AR41" t="s">
        <v>393</v>
      </c>
      <c r="AS41" t="s">
        <v>356</v>
      </c>
      <c r="AT41">
        <v>5</v>
      </c>
      <c r="AU41">
        <v>5</v>
      </c>
      <c r="AV41">
        <v>0</v>
      </c>
      <c r="AW41" t="s">
        <v>394</v>
      </c>
      <c r="AX41" t="s">
        <v>358</v>
      </c>
      <c r="AY41">
        <v>7</v>
      </c>
      <c r="AZ41">
        <v>6</v>
      </c>
      <c r="BA41">
        <v>-1</v>
      </c>
      <c r="BB41" t="s">
        <v>395</v>
      </c>
      <c r="BC41" t="s">
        <v>360</v>
      </c>
    </row>
    <row r="42" spans="1:55" x14ac:dyDescent="0.45">
      <c r="A42">
        <v>9</v>
      </c>
      <c r="B42">
        <v>1</v>
      </c>
      <c r="C42">
        <v>843</v>
      </c>
      <c r="D42" t="s">
        <v>92</v>
      </c>
      <c r="E42" t="s">
        <v>93</v>
      </c>
      <c r="F42" t="s">
        <v>94</v>
      </c>
      <c r="G42" t="s">
        <v>149</v>
      </c>
      <c r="H42" t="s">
        <v>96</v>
      </c>
      <c r="I42">
        <v>86</v>
      </c>
      <c r="J42">
        <v>1</v>
      </c>
      <c r="K42">
        <v>7</v>
      </c>
      <c r="L42">
        <v>7</v>
      </c>
      <c r="M42">
        <v>0</v>
      </c>
      <c r="N42" t="s">
        <v>396</v>
      </c>
      <c r="O42" t="s">
        <v>397</v>
      </c>
      <c r="P42">
        <v>6</v>
      </c>
      <c r="Q42">
        <v>7</v>
      </c>
      <c r="R42">
        <v>1</v>
      </c>
      <c r="S42" t="s">
        <v>398</v>
      </c>
      <c r="T42" t="s">
        <v>399</v>
      </c>
      <c r="U42">
        <v>9</v>
      </c>
      <c r="V42">
        <v>5</v>
      </c>
      <c r="W42">
        <v>-4</v>
      </c>
      <c r="X42" t="s">
        <v>400</v>
      </c>
      <c r="Y42" t="s">
        <v>401</v>
      </c>
      <c r="Z42">
        <v>8</v>
      </c>
      <c r="AA42">
        <v>7</v>
      </c>
      <c r="AB42">
        <v>-1</v>
      </c>
      <c r="AC42" t="s">
        <v>402</v>
      </c>
      <c r="AD42" t="s">
        <v>403</v>
      </c>
      <c r="AE42">
        <v>8</v>
      </c>
      <c r="AF42">
        <v>7</v>
      </c>
      <c r="AG42">
        <v>-1</v>
      </c>
      <c r="AH42" t="s">
        <v>404</v>
      </c>
      <c r="AI42" t="s">
        <v>405</v>
      </c>
      <c r="AJ42">
        <v>7</v>
      </c>
      <c r="AK42">
        <v>8</v>
      </c>
      <c r="AL42">
        <v>1</v>
      </c>
      <c r="AM42" t="s">
        <v>406</v>
      </c>
      <c r="AN42" t="s">
        <v>407</v>
      </c>
      <c r="AO42">
        <v>6</v>
      </c>
      <c r="AP42">
        <v>6</v>
      </c>
      <c r="AQ42">
        <v>0</v>
      </c>
      <c r="AR42" t="s">
        <v>408</v>
      </c>
      <c r="AS42" t="s">
        <v>409</v>
      </c>
      <c r="AT42">
        <v>5</v>
      </c>
      <c r="AU42">
        <v>5</v>
      </c>
      <c r="AV42">
        <v>0</v>
      </c>
      <c r="AW42" t="s">
        <v>410</v>
      </c>
      <c r="AX42" t="s">
        <v>411</v>
      </c>
      <c r="AY42">
        <v>9</v>
      </c>
      <c r="AZ42">
        <v>7</v>
      </c>
      <c r="BA42">
        <v>-2</v>
      </c>
      <c r="BB42" t="s">
        <v>412</v>
      </c>
      <c r="BC42" t="s">
        <v>413</v>
      </c>
    </row>
    <row r="43" spans="1:55" x14ac:dyDescent="0.45">
      <c r="A43">
        <v>9</v>
      </c>
      <c r="B43">
        <v>2</v>
      </c>
      <c r="C43">
        <v>844</v>
      </c>
      <c r="D43" t="s">
        <v>92</v>
      </c>
      <c r="E43" t="s">
        <v>93</v>
      </c>
      <c r="F43" t="s">
        <v>94</v>
      </c>
      <c r="G43" t="s">
        <v>149</v>
      </c>
      <c r="H43" t="s">
        <v>96</v>
      </c>
      <c r="I43">
        <v>86</v>
      </c>
      <c r="J43">
        <v>1</v>
      </c>
      <c r="K43">
        <v>6</v>
      </c>
      <c r="L43">
        <v>7</v>
      </c>
      <c r="M43">
        <v>1</v>
      </c>
      <c r="N43" t="s">
        <v>397</v>
      </c>
      <c r="O43" t="s">
        <v>397</v>
      </c>
      <c r="P43">
        <v>5</v>
      </c>
      <c r="Q43">
        <v>7</v>
      </c>
      <c r="R43">
        <v>2</v>
      </c>
      <c r="S43" t="s">
        <v>399</v>
      </c>
      <c r="T43" t="s">
        <v>399</v>
      </c>
      <c r="U43">
        <v>8</v>
      </c>
      <c r="V43">
        <v>5</v>
      </c>
      <c r="W43">
        <v>-3</v>
      </c>
      <c r="X43" t="s">
        <v>414</v>
      </c>
      <c r="Y43" t="s">
        <v>401</v>
      </c>
      <c r="Z43">
        <v>9</v>
      </c>
      <c r="AA43">
        <v>7</v>
      </c>
      <c r="AB43">
        <v>-2</v>
      </c>
      <c r="AC43" t="s">
        <v>415</v>
      </c>
      <c r="AD43" t="s">
        <v>403</v>
      </c>
      <c r="AE43">
        <v>7</v>
      </c>
      <c r="AF43">
        <v>7</v>
      </c>
      <c r="AG43">
        <v>0</v>
      </c>
      <c r="AH43" t="s">
        <v>416</v>
      </c>
      <c r="AI43" t="s">
        <v>405</v>
      </c>
      <c r="AJ43">
        <v>7</v>
      </c>
      <c r="AK43">
        <v>8</v>
      </c>
      <c r="AL43">
        <v>1</v>
      </c>
      <c r="AM43" t="s">
        <v>417</v>
      </c>
      <c r="AN43" t="s">
        <v>407</v>
      </c>
      <c r="AO43">
        <v>7</v>
      </c>
      <c r="AP43">
        <v>6</v>
      </c>
      <c r="AQ43">
        <v>-1</v>
      </c>
      <c r="AR43" t="s">
        <v>418</v>
      </c>
      <c r="AS43" t="s">
        <v>409</v>
      </c>
      <c r="AT43">
        <v>6</v>
      </c>
      <c r="AU43">
        <v>5</v>
      </c>
      <c r="AV43">
        <v>-1</v>
      </c>
      <c r="AW43" t="s">
        <v>419</v>
      </c>
      <c r="AX43" t="s">
        <v>411</v>
      </c>
      <c r="AY43">
        <v>7</v>
      </c>
      <c r="AZ43">
        <v>7</v>
      </c>
      <c r="BA43">
        <v>0</v>
      </c>
      <c r="BB43" t="s">
        <v>420</v>
      </c>
      <c r="BC43" t="s">
        <v>413</v>
      </c>
    </row>
    <row r="44" spans="1:55" x14ac:dyDescent="0.45">
      <c r="A44">
        <v>9</v>
      </c>
      <c r="B44">
        <v>3</v>
      </c>
      <c r="C44">
        <v>845</v>
      </c>
      <c r="D44" t="s">
        <v>92</v>
      </c>
      <c r="E44" t="s">
        <v>93</v>
      </c>
      <c r="F44" t="s">
        <v>94</v>
      </c>
      <c r="G44" t="s">
        <v>149</v>
      </c>
      <c r="H44" t="s">
        <v>96</v>
      </c>
      <c r="I44">
        <v>86</v>
      </c>
      <c r="J44">
        <v>1</v>
      </c>
      <c r="K44">
        <v>6</v>
      </c>
      <c r="L44">
        <v>7</v>
      </c>
      <c r="M44">
        <v>1</v>
      </c>
      <c r="N44" t="s">
        <v>421</v>
      </c>
      <c r="O44" t="s">
        <v>397</v>
      </c>
      <c r="P44">
        <v>5</v>
      </c>
      <c r="Q44">
        <v>7</v>
      </c>
      <c r="R44">
        <v>2</v>
      </c>
      <c r="S44" t="s">
        <v>422</v>
      </c>
      <c r="T44" t="s">
        <v>399</v>
      </c>
      <c r="U44">
        <v>8</v>
      </c>
      <c r="V44">
        <v>5</v>
      </c>
      <c r="W44">
        <v>-3</v>
      </c>
      <c r="X44" t="s">
        <v>423</v>
      </c>
      <c r="Y44" t="s">
        <v>401</v>
      </c>
      <c r="Z44">
        <v>9</v>
      </c>
      <c r="AA44">
        <v>7</v>
      </c>
      <c r="AB44">
        <v>-2</v>
      </c>
      <c r="AC44" t="s">
        <v>424</v>
      </c>
      <c r="AD44" t="s">
        <v>403</v>
      </c>
      <c r="AE44">
        <v>7</v>
      </c>
      <c r="AF44">
        <v>7</v>
      </c>
      <c r="AG44">
        <v>0</v>
      </c>
      <c r="AH44" t="s">
        <v>425</v>
      </c>
      <c r="AI44" t="s">
        <v>405</v>
      </c>
      <c r="AJ44">
        <v>8</v>
      </c>
      <c r="AK44">
        <v>8</v>
      </c>
      <c r="AL44">
        <v>0</v>
      </c>
      <c r="AM44" t="s">
        <v>426</v>
      </c>
      <c r="AN44" t="s">
        <v>407</v>
      </c>
      <c r="AO44">
        <v>6</v>
      </c>
      <c r="AP44">
        <v>6</v>
      </c>
      <c r="AQ44">
        <v>0</v>
      </c>
      <c r="AR44" t="s">
        <v>427</v>
      </c>
      <c r="AS44" t="s">
        <v>409</v>
      </c>
      <c r="AT44">
        <v>7</v>
      </c>
      <c r="AU44">
        <v>5</v>
      </c>
      <c r="AV44">
        <v>-2</v>
      </c>
      <c r="AW44" t="s">
        <v>428</v>
      </c>
      <c r="AX44" t="s">
        <v>411</v>
      </c>
      <c r="AY44">
        <v>8</v>
      </c>
      <c r="AZ44">
        <v>7</v>
      </c>
      <c r="BA44">
        <v>-1</v>
      </c>
      <c r="BB44" t="s">
        <v>429</v>
      </c>
      <c r="BC44" t="s">
        <v>413</v>
      </c>
    </row>
    <row r="45" spans="1:55" x14ac:dyDescent="0.45">
      <c r="A45">
        <v>9</v>
      </c>
      <c r="B45">
        <v>4</v>
      </c>
      <c r="C45">
        <v>846</v>
      </c>
      <c r="D45" t="s">
        <v>92</v>
      </c>
      <c r="E45" t="s">
        <v>93</v>
      </c>
      <c r="F45" t="s">
        <v>94</v>
      </c>
      <c r="G45" t="s">
        <v>149</v>
      </c>
      <c r="H45" t="s">
        <v>96</v>
      </c>
      <c r="I45">
        <v>86</v>
      </c>
      <c r="J45">
        <v>1</v>
      </c>
      <c r="K45">
        <v>6</v>
      </c>
      <c r="L45">
        <v>7</v>
      </c>
      <c r="M45">
        <v>1</v>
      </c>
      <c r="N45" t="s">
        <v>430</v>
      </c>
      <c r="O45" t="s">
        <v>397</v>
      </c>
      <c r="P45">
        <v>7</v>
      </c>
      <c r="Q45">
        <v>7</v>
      </c>
      <c r="R45">
        <v>0</v>
      </c>
      <c r="S45" t="s">
        <v>431</v>
      </c>
      <c r="T45" t="s">
        <v>399</v>
      </c>
      <c r="U45">
        <v>8</v>
      </c>
      <c r="V45">
        <v>5</v>
      </c>
      <c r="W45">
        <v>-3</v>
      </c>
      <c r="X45" t="s">
        <v>432</v>
      </c>
      <c r="Y45" t="s">
        <v>401</v>
      </c>
      <c r="Z45">
        <v>9</v>
      </c>
      <c r="AA45">
        <v>7</v>
      </c>
      <c r="AB45">
        <v>-2</v>
      </c>
      <c r="AC45" t="s">
        <v>433</v>
      </c>
      <c r="AD45" t="s">
        <v>403</v>
      </c>
      <c r="AE45">
        <v>7</v>
      </c>
      <c r="AF45">
        <v>7</v>
      </c>
      <c r="AG45">
        <v>0</v>
      </c>
      <c r="AH45" t="s">
        <v>434</v>
      </c>
      <c r="AI45" t="s">
        <v>405</v>
      </c>
      <c r="AJ45">
        <v>8</v>
      </c>
      <c r="AK45">
        <v>8</v>
      </c>
      <c r="AL45">
        <v>0</v>
      </c>
      <c r="AM45" t="s">
        <v>435</v>
      </c>
      <c r="AN45" t="s">
        <v>407</v>
      </c>
      <c r="AO45">
        <v>7</v>
      </c>
      <c r="AP45">
        <v>6</v>
      </c>
      <c r="AQ45">
        <v>-1</v>
      </c>
      <c r="AR45" t="s">
        <v>436</v>
      </c>
      <c r="AS45" t="s">
        <v>409</v>
      </c>
      <c r="AT45">
        <v>6</v>
      </c>
      <c r="AU45">
        <v>5</v>
      </c>
      <c r="AV45">
        <v>-1</v>
      </c>
      <c r="AW45" t="s">
        <v>437</v>
      </c>
      <c r="AX45" t="s">
        <v>411</v>
      </c>
      <c r="AY45">
        <v>8</v>
      </c>
      <c r="AZ45">
        <v>7</v>
      </c>
      <c r="BA45">
        <v>-1</v>
      </c>
      <c r="BB45" t="s">
        <v>438</v>
      </c>
      <c r="BC45" t="s">
        <v>413</v>
      </c>
    </row>
    <row r="46" spans="1:55" x14ac:dyDescent="0.45">
      <c r="A46">
        <v>9</v>
      </c>
      <c r="B46">
        <v>5</v>
      </c>
      <c r="C46">
        <v>847</v>
      </c>
      <c r="D46" t="s">
        <v>92</v>
      </c>
      <c r="E46" t="s">
        <v>93</v>
      </c>
      <c r="F46" t="s">
        <v>94</v>
      </c>
      <c r="G46" t="s">
        <v>149</v>
      </c>
      <c r="H46" t="s">
        <v>96</v>
      </c>
      <c r="I46">
        <v>86</v>
      </c>
      <c r="J46">
        <v>1</v>
      </c>
      <c r="K46">
        <v>7</v>
      </c>
      <c r="L46">
        <v>7</v>
      </c>
      <c r="M46">
        <v>0</v>
      </c>
      <c r="N46" t="s">
        <v>439</v>
      </c>
      <c r="O46" t="s">
        <v>397</v>
      </c>
      <c r="P46">
        <v>6</v>
      </c>
      <c r="Q46">
        <v>7</v>
      </c>
      <c r="R46">
        <v>1</v>
      </c>
      <c r="S46" t="s">
        <v>440</v>
      </c>
      <c r="T46" t="s">
        <v>399</v>
      </c>
      <c r="U46">
        <v>8</v>
      </c>
      <c r="V46">
        <v>5</v>
      </c>
      <c r="W46">
        <v>-3</v>
      </c>
      <c r="X46" t="s">
        <v>441</v>
      </c>
      <c r="Y46" t="s">
        <v>401</v>
      </c>
      <c r="Z46">
        <v>9</v>
      </c>
      <c r="AA46">
        <v>7</v>
      </c>
      <c r="AB46">
        <v>-2</v>
      </c>
      <c r="AC46" t="s">
        <v>442</v>
      </c>
      <c r="AD46" t="s">
        <v>403</v>
      </c>
      <c r="AE46">
        <v>7</v>
      </c>
      <c r="AF46">
        <v>7</v>
      </c>
      <c r="AG46">
        <v>0</v>
      </c>
      <c r="AH46" t="s">
        <v>443</v>
      </c>
      <c r="AI46" t="s">
        <v>405</v>
      </c>
      <c r="AJ46">
        <v>8</v>
      </c>
      <c r="AK46">
        <v>8</v>
      </c>
      <c r="AL46">
        <v>0</v>
      </c>
      <c r="AM46" t="s">
        <v>444</v>
      </c>
      <c r="AN46" t="s">
        <v>407</v>
      </c>
      <c r="AO46">
        <v>6</v>
      </c>
      <c r="AP46">
        <v>6</v>
      </c>
      <c r="AQ46">
        <v>0</v>
      </c>
      <c r="AR46" t="s">
        <v>445</v>
      </c>
      <c r="AS46" t="s">
        <v>409</v>
      </c>
      <c r="AT46">
        <v>9</v>
      </c>
      <c r="AU46">
        <v>5</v>
      </c>
      <c r="AV46">
        <v>-4</v>
      </c>
      <c r="AW46" t="s">
        <v>446</v>
      </c>
      <c r="AX46" t="s">
        <v>411</v>
      </c>
      <c r="AY46">
        <v>7</v>
      </c>
      <c r="AZ46">
        <v>7</v>
      </c>
      <c r="BA46">
        <v>0</v>
      </c>
      <c r="BB46" t="s">
        <v>447</v>
      </c>
      <c r="BC46" t="s">
        <v>413</v>
      </c>
    </row>
    <row r="47" spans="1:55" x14ac:dyDescent="0.45">
      <c r="A47">
        <v>10</v>
      </c>
      <c r="B47">
        <v>1</v>
      </c>
      <c r="C47">
        <v>943</v>
      </c>
      <c r="D47" t="s">
        <v>92</v>
      </c>
      <c r="E47" t="s">
        <v>93</v>
      </c>
      <c r="F47" t="s">
        <v>448</v>
      </c>
      <c r="G47" t="s">
        <v>95</v>
      </c>
      <c r="H47" t="s">
        <v>1354</v>
      </c>
      <c r="I47">
        <v>27.5</v>
      </c>
      <c r="J47">
        <v>3</v>
      </c>
      <c r="K47">
        <v>7</v>
      </c>
      <c r="L47">
        <v>5</v>
      </c>
      <c r="M47">
        <v>-2</v>
      </c>
      <c r="N47" t="s">
        <v>1461</v>
      </c>
      <c r="O47" t="s">
        <v>449</v>
      </c>
      <c r="P47">
        <v>8</v>
      </c>
      <c r="Q47">
        <v>8</v>
      </c>
      <c r="R47">
        <v>0</v>
      </c>
      <c r="S47" t="s">
        <v>1462</v>
      </c>
      <c r="T47" t="s">
        <v>450</v>
      </c>
      <c r="U47">
        <v>9</v>
      </c>
      <c r="V47">
        <v>10</v>
      </c>
      <c r="W47">
        <v>1</v>
      </c>
      <c r="X47" t="s">
        <v>1463</v>
      </c>
      <c r="Y47" t="s">
        <v>451</v>
      </c>
      <c r="Z47">
        <v>10</v>
      </c>
      <c r="AA47">
        <v>5</v>
      </c>
      <c r="AB47">
        <v>-5</v>
      </c>
      <c r="AC47" t="s">
        <v>1464</v>
      </c>
      <c r="AD47" t="s">
        <v>452</v>
      </c>
      <c r="AE47">
        <v>7</v>
      </c>
      <c r="AF47">
        <v>9</v>
      </c>
      <c r="AG47">
        <v>2</v>
      </c>
      <c r="AH47" t="s">
        <v>1465</v>
      </c>
      <c r="AI47" t="s">
        <v>453</v>
      </c>
      <c r="AJ47">
        <v>8</v>
      </c>
      <c r="AK47">
        <v>2</v>
      </c>
      <c r="AL47">
        <v>-6</v>
      </c>
      <c r="AM47" t="s">
        <v>1466</v>
      </c>
      <c r="AN47" t="s">
        <v>454</v>
      </c>
      <c r="AO47">
        <v>7</v>
      </c>
      <c r="AP47">
        <v>7</v>
      </c>
      <c r="AQ47">
        <v>0</v>
      </c>
      <c r="AR47" t="s">
        <v>1467</v>
      </c>
      <c r="AS47" t="s">
        <v>455</v>
      </c>
      <c r="AT47">
        <v>6</v>
      </c>
      <c r="AU47">
        <v>8</v>
      </c>
      <c r="AV47">
        <v>2</v>
      </c>
      <c r="AW47" t="s">
        <v>1468</v>
      </c>
      <c r="AX47" t="s">
        <v>456</v>
      </c>
      <c r="AY47">
        <v>9</v>
      </c>
      <c r="AZ47">
        <v>10</v>
      </c>
      <c r="BA47">
        <v>1</v>
      </c>
      <c r="BB47" t="s">
        <v>1469</v>
      </c>
      <c r="BC47" t="s">
        <v>457</v>
      </c>
    </row>
    <row r="48" spans="1:55" x14ac:dyDescent="0.45">
      <c r="A48">
        <v>10</v>
      </c>
      <c r="B48">
        <v>2</v>
      </c>
      <c r="C48">
        <v>944</v>
      </c>
      <c r="D48" t="s">
        <v>92</v>
      </c>
      <c r="E48" t="s">
        <v>93</v>
      </c>
      <c r="F48" t="s">
        <v>448</v>
      </c>
      <c r="G48" t="s">
        <v>95</v>
      </c>
      <c r="H48" t="s">
        <v>1354</v>
      </c>
      <c r="I48">
        <v>27.5</v>
      </c>
      <c r="J48">
        <v>3</v>
      </c>
      <c r="K48">
        <v>6</v>
      </c>
      <c r="L48">
        <v>5</v>
      </c>
      <c r="M48">
        <v>-1</v>
      </c>
      <c r="N48" t="s">
        <v>1470</v>
      </c>
      <c r="O48" t="s">
        <v>449</v>
      </c>
      <c r="P48">
        <v>8</v>
      </c>
      <c r="Q48">
        <v>8</v>
      </c>
      <c r="R48">
        <v>0</v>
      </c>
      <c r="S48" t="s">
        <v>458</v>
      </c>
      <c r="T48" t="s">
        <v>450</v>
      </c>
      <c r="U48">
        <v>9</v>
      </c>
      <c r="V48">
        <v>10</v>
      </c>
      <c r="W48">
        <v>1</v>
      </c>
      <c r="X48" t="s">
        <v>1471</v>
      </c>
      <c r="Y48" t="s">
        <v>451</v>
      </c>
      <c r="Z48">
        <v>8</v>
      </c>
      <c r="AA48">
        <v>5</v>
      </c>
      <c r="AB48">
        <v>-3</v>
      </c>
      <c r="AC48" t="s">
        <v>156</v>
      </c>
      <c r="AD48" t="s">
        <v>452</v>
      </c>
      <c r="AE48">
        <v>7</v>
      </c>
      <c r="AF48">
        <v>9</v>
      </c>
      <c r="AG48">
        <v>2</v>
      </c>
      <c r="AH48" t="s">
        <v>1472</v>
      </c>
      <c r="AI48" t="s">
        <v>453</v>
      </c>
      <c r="AJ48">
        <v>8</v>
      </c>
      <c r="AK48">
        <v>2</v>
      </c>
      <c r="AL48">
        <v>-6</v>
      </c>
      <c r="AM48" t="s">
        <v>1473</v>
      </c>
      <c r="AN48" t="s">
        <v>454</v>
      </c>
      <c r="AO48">
        <v>7</v>
      </c>
      <c r="AP48">
        <v>7</v>
      </c>
      <c r="AQ48">
        <v>0</v>
      </c>
      <c r="AR48" t="s">
        <v>1474</v>
      </c>
      <c r="AS48" t="s">
        <v>455</v>
      </c>
      <c r="AT48">
        <v>8</v>
      </c>
      <c r="AU48">
        <v>8</v>
      </c>
      <c r="AV48">
        <v>0</v>
      </c>
      <c r="AW48" t="s">
        <v>1475</v>
      </c>
      <c r="AX48" t="s">
        <v>456</v>
      </c>
      <c r="AY48">
        <v>9</v>
      </c>
      <c r="AZ48">
        <v>10</v>
      </c>
      <c r="BA48">
        <v>1</v>
      </c>
      <c r="BB48" t="s">
        <v>1476</v>
      </c>
      <c r="BC48" t="s">
        <v>457</v>
      </c>
    </row>
    <row r="49" spans="1:55" x14ac:dyDescent="0.45">
      <c r="A49">
        <v>10</v>
      </c>
      <c r="B49">
        <v>3</v>
      </c>
      <c r="C49">
        <v>945</v>
      </c>
      <c r="D49" t="s">
        <v>92</v>
      </c>
      <c r="E49" t="s">
        <v>93</v>
      </c>
      <c r="F49" t="s">
        <v>448</v>
      </c>
      <c r="G49" t="s">
        <v>95</v>
      </c>
      <c r="H49" t="s">
        <v>1354</v>
      </c>
      <c r="I49">
        <v>27.5</v>
      </c>
      <c r="J49">
        <v>3</v>
      </c>
      <c r="K49">
        <v>7</v>
      </c>
      <c r="L49">
        <v>5</v>
      </c>
      <c r="M49">
        <v>-2</v>
      </c>
      <c r="N49" t="s">
        <v>1477</v>
      </c>
      <c r="O49" t="s">
        <v>449</v>
      </c>
      <c r="P49">
        <v>8</v>
      </c>
      <c r="Q49">
        <v>8</v>
      </c>
      <c r="R49">
        <v>0</v>
      </c>
      <c r="S49" t="s">
        <v>1478</v>
      </c>
      <c r="T49" t="s">
        <v>450</v>
      </c>
      <c r="U49">
        <v>9</v>
      </c>
      <c r="V49">
        <v>10</v>
      </c>
      <c r="W49">
        <v>1</v>
      </c>
      <c r="X49" t="s">
        <v>1479</v>
      </c>
      <c r="Y49" t="s">
        <v>451</v>
      </c>
      <c r="Z49">
        <v>10</v>
      </c>
      <c r="AA49">
        <v>5</v>
      </c>
      <c r="AB49">
        <v>-5</v>
      </c>
      <c r="AC49" t="s">
        <v>1480</v>
      </c>
      <c r="AD49" t="s">
        <v>452</v>
      </c>
      <c r="AE49">
        <v>9</v>
      </c>
      <c r="AF49">
        <v>9</v>
      </c>
      <c r="AG49">
        <v>0</v>
      </c>
      <c r="AH49" t="s">
        <v>1481</v>
      </c>
      <c r="AI49" t="s">
        <v>453</v>
      </c>
      <c r="AJ49">
        <v>8</v>
      </c>
      <c r="AK49">
        <v>2</v>
      </c>
      <c r="AL49">
        <v>-6</v>
      </c>
      <c r="AM49" t="s">
        <v>1482</v>
      </c>
      <c r="AN49" t="s">
        <v>454</v>
      </c>
      <c r="AO49">
        <v>9</v>
      </c>
      <c r="AP49">
        <v>7</v>
      </c>
      <c r="AQ49">
        <v>-2</v>
      </c>
      <c r="AR49" t="s">
        <v>1483</v>
      </c>
      <c r="AS49" t="s">
        <v>455</v>
      </c>
      <c r="AT49">
        <v>10</v>
      </c>
      <c r="AU49">
        <v>8</v>
      </c>
      <c r="AV49">
        <v>-2</v>
      </c>
      <c r="AW49" t="s">
        <v>1484</v>
      </c>
      <c r="AX49" t="s">
        <v>456</v>
      </c>
      <c r="AY49">
        <v>9</v>
      </c>
      <c r="AZ49">
        <v>10</v>
      </c>
      <c r="BA49">
        <v>1</v>
      </c>
      <c r="BB49" t="s">
        <v>1485</v>
      </c>
      <c r="BC49" t="s">
        <v>457</v>
      </c>
    </row>
    <row r="50" spans="1:55" x14ac:dyDescent="0.45">
      <c r="A50">
        <v>10</v>
      </c>
      <c r="B50">
        <v>4</v>
      </c>
      <c r="C50">
        <v>946</v>
      </c>
      <c r="D50" t="s">
        <v>92</v>
      </c>
      <c r="E50" t="s">
        <v>93</v>
      </c>
      <c r="F50" t="s">
        <v>448</v>
      </c>
      <c r="G50" t="s">
        <v>95</v>
      </c>
      <c r="H50" t="s">
        <v>1354</v>
      </c>
      <c r="I50">
        <v>27.5</v>
      </c>
      <c r="J50">
        <v>3</v>
      </c>
      <c r="K50">
        <v>4</v>
      </c>
      <c r="L50">
        <v>5</v>
      </c>
      <c r="M50">
        <v>1</v>
      </c>
      <c r="N50" t="s">
        <v>463</v>
      </c>
      <c r="O50" t="s">
        <v>449</v>
      </c>
      <c r="P50">
        <v>8</v>
      </c>
      <c r="Q50">
        <v>8</v>
      </c>
      <c r="R50">
        <v>0</v>
      </c>
      <c r="S50" t="s">
        <v>461</v>
      </c>
      <c r="T50" t="s">
        <v>450</v>
      </c>
      <c r="U50">
        <v>9</v>
      </c>
      <c r="V50">
        <v>10</v>
      </c>
      <c r="W50">
        <v>1</v>
      </c>
      <c r="X50" t="s">
        <v>1486</v>
      </c>
      <c r="Y50" t="s">
        <v>451</v>
      </c>
      <c r="Z50">
        <v>10</v>
      </c>
      <c r="AA50">
        <v>5</v>
      </c>
      <c r="AB50">
        <v>-5</v>
      </c>
      <c r="AC50" t="s">
        <v>462</v>
      </c>
      <c r="AD50" t="s">
        <v>452</v>
      </c>
      <c r="AE50">
        <v>7</v>
      </c>
      <c r="AF50">
        <v>9</v>
      </c>
      <c r="AG50">
        <v>2</v>
      </c>
      <c r="AH50" t="s">
        <v>1487</v>
      </c>
      <c r="AI50" t="s">
        <v>453</v>
      </c>
      <c r="AJ50">
        <v>6</v>
      </c>
      <c r="AK50">
        <v>2</v>
      </c>
      <c r="AL50">
        <v>-4</v>
      </c>
      <c r="AM50" t="s">
        <v>1487</v>
      </c>
      <c r="AN50" t="s">
        <v>454</v>
      </c>
      <c r="AO50">
        <v>6</v>
      </c>
      <c r="AP50">
        <v>7</v>
      </c>
      <c r="AQ50">
        <v>1</v>
      </c>
      <c r="AR50" t="s">
        <v>1487</v>
      </c>
      <c r="AS50" t="s">
        <v>455</v>
      </c>
      <c r="AT50">
        <v>8</v>
      </c>
      <c r="AU50">
        <v>8</v>
      </c>
      <c r="AV50">
        <v>0</v>
      </c>
      <c r="AW50" t="s">
        <v>457</v>
      </c>
      <c r="AX50" t="s">
        <v>456</v>
      </c>
      <c r="AY50">
        <v>9</v>
      </c>
      <c r="AZ50">
        <v>10</v>
      </c>
      <c r="BA50">
        <v>1</v>
      </c>
      <c r="BB50" t="s">
        <v>457</v>
      </c>
      <c r="BC50" t="s">
        <v>457</v>
      </c>
    </row>
    <row r="51" spans="1:55" x14ac:dyDescent="0.45">
      <c r="A51">
        <v>10</v>
      </c>
      <c r="B51">
        <v>5</v>
      </c>
      <c r="C51">
        <v>947</v>
      </c>
      <c r="D51" t="s">
        <v>92</v>
      </c>
      <c r="E51" t="s">
        <v>93</v>
      </c>
      <c r="F51" t="s">
        <v>448</v>
      </c>
      <c r="G51" t="s">
        <v>95</v>
      </c>
      <c r="H51" t="s">
        <v>1354</v>
      </c>
      <c r="I51">
        <v>27.5</v>
      </c>
      <c r="J51">
        <v>3</v>
      </c>
      <c r="K51">
        <v>6</v>
      </c>
      <c r="L51">
        <v>5</v>
      </c>
      <c r="M51">
        <v>-1</v>
      </c>
      <c r="N51" t="s">
        <v>1488</v>
      </c>
      <c r="O51" t="s">
        <v>449</v>
      </c>
      <c r="P51">
        <v>8</v>
      </c>
      <c r="Q51">
        <v>8</v>
      </c>
      <c r="R51">
        <v>0</v>
      </c>
      <c r="S51" t="s">
        <v>1489</v>
      </c>
      <c r="T51" t="s">
        <v>450</v>
      </c>
      <c r="U51">
        <v>7</v>
      </c>
      <c r="V51">
        <v>10</v>
      </c>
      <c r="W51">
        <v>3</v>
      </c>
      <c r="X51" t="s">
        <v>1490</v>
      </c>
      <c r="Y51" t="s">
        <v>451</v>
      </c>
      <c r="Z51">
        <v>9</v>
      </c>
      <c r="AA51">
        <v>5</v>
      </c>
      <c r="AB51">
        <v>-4</v>
      </c>
      <c r="AC51" t="s">
        <v>1491</v>
      </c>
      <c r="AD51" t="s">
        <v>452</v>
      </c>
      <c r="AE51">
        <v>8</v>
      </c>
      <c r="AF51">
        <v>9</v>
      </c>
      <c r="AG51">
        <v>1</v>
      </c>
      <c r="AH51" t="s">
        <v>1492</v>
      </c>
      <c r="AI51" t="s">
        <v>453</v>
      </c>
      <c r="AJ51">
        <v>9</v>
      </c>
      <c r="AK51">
        <v>2</v>
      </c>
      <c r="AL51">
        <v>-7</v>
      </c>
      <c r="AM51" t="s">
        <v>1493</v>
      </c>
      <c r="AN51" t="s">
        <v>454</v>
      </c>
      <c r="AO51">
        <v>8</v>
      </c>
      <c r="AP51">
        <v>7</v>
      </c>
      <c r="AQ51">
        <v>-1</v>
      </c>
      <c r="AR51" t="s">
        <v>1494</v>
      </c>
      <c r="AS51" t="s">
        <v>455</v>
      </c>
      <c r="AT51">
        <v>9</v>
      </c>
      <c r="AU51">
        <v>8</v>
      </c>
      <c r="AV51">
        <v>-1</v>
      </c>
      <c r="AW51" t="s">
        <v>1495</v>
      </c>
      <c r="AX51" t="s">
        <v>456</v>
      </c>
      <c r="AY51">
        <v>9</v>
      </c>
      <c r="AZ51">
        <v>10</v>
      </c>
      <c r="BA51">
        <v>1</v>
      </c>
      <c r="BB51" t="s">
        <v>1496</v>
      </c>
      <c r="BC51" t="s">
        <v>457</v>
      </c>
    </row>
    <row r="52" spans="1:55" x14ac:dyDescent="0.45">
      <c r="A52">
        <v>11</v>
      </c>
      <c r="B52">
        <v>1</v>
      </c>
      <c r="C52">
        <v>1043</v>
      </c>
      <c r="D52" t="s">
        <v>92</v>
      </c>
      <c r="E52" t="s">
        <v>162</v>
      </c>
      <c r="F52" t="s">
        <v>94</v>
      </c>
      <c r="G52" t="s">
        <v>95</v>
      </c>
      <c r="H52" t="s">
        <v>96</v>
      </c>
      <c r="I52">
        <v>120</v>
      </c>
      <c r="J52">
        <v>2</v>
      </c>
      <c r="K52">
        <v>7</v>
      </c>
      <c r="L52">
        <v>4</v>
      </c>
      <c r="M52">
        <v>-3</v>
      </c>
      <c r="N52" t="s">
        <v>464</v>
      </c>
      <c r="O52" t="s">
        <v>465</v>
      </c>
      <c r="P52">
        <v>6</v>
      </c>
      <c r="Q52">
        <v>5</v>
      </c>
      <c r="R52">
        <v>-1</v>
      </c>
      <c r="S52" t="s">
        <v>466</v>
      </c>
      <c r="T52" t="s">
        <v>467</v>
      </c>
      <c r="U52">
        <v>9</v>
      </c>
      <c r="V52">
        <v>6</v>
      </c>
      <c r="W52">
        <v>-3</v>
      </c>
      <c r="X52" t="s">
        <v>468</v>
      </c>
      <c r="Y52" t="s">
        <v>469</v>
      </c>
      <c r="Z52">
        <v>8</v>
      </c>
      <c r="AA52">
        <v>5</v>
      </c>
      <c r="AB52">
        <v>-3</v>
      </c>
      <c r="AC52" t="s">
        <v>470</v>
      </c>
      <c r="AD52" t="s">
        <v>471</v>
      </c>
      <c r="AE52">
        <v>7</v>
      </c>
      <c r="AF52">
        <v>4</v>
      </c>
      <c r="AG52">
        <v>-3</v>
      </c>
      <c r="AH52" t="s">
        <v>472</v>
      </c>
      <c r="AI52" t="s">
        <v>473</v>
      </c>
      <c r="AJ52">
        <v>6</v>
      </c>
      <c r="AK52">
        <v>2</v>
      </c>
      <c r="AL52">
        <v>-4</v>
      </c>
      <c r="AM52" t="s">
        <v>474</v>
      </c>
      <c r="AN52" t="s">
        <v>475</v>
      </c>
      <c r="AO52">
        <v>5</v>
      </c>
      <c r="AP52">
        <v>2</v>
      </c>
      <c r="AQ52">
        <v>-3</v>
      </c>
      <c r="AR52" t="s">
        <v>476</v>
      </c>
      <c r="AS52" t="s">
        <v>477</v>
      </c>
      <c r="AT52">
        <v>6</v>
      </c>
      <c r="AU52">
        <v>6</v>
      </c>
      <c r="AV52">
        <v>0</v>
      </c>
      <c r="AW52" t="s">
        <v>478</v>
      </c>
      <c r="AX52" t="s">
        <v>479</v>
      </c>
      <c r="AY52">
        <v>7</v>
      </c>
      <c r="AZ52">
        <v>5</v>
      </c>
      <c r="BA52">
        <v>-2</v>
      </c>
      <c r="BB52" t="s">
        <v>480</v>
      </c>
      <c r="BC52" t="s">
        <v>481</v>
      </c>
    </row>
    <row r="53" spans="1:55" x14ac:dyDescent="0.45">
      <c r="A53">
        <v>11</v>
      </c>
      <c r="B53">
        <v>2</v>
      </c>
      <c r="C53">
        <v>1044</v>
      </c>
      <c r="D53" t="s">
        <v>92</v>
      </c>
      <c r="E53" t="s">
        <v>162</v>
      </c>
      <c r="F53" t="s">
        <v>94</v>
      </c>
      <c r="G53" t="s">
        <v>95</v>
      </c>
      <c r="H53" t="s">
        <v>96</v>
      </c>
      <c r="I53">
        <v>120</v>
      </c>
      <c r="J53">
        <v>2</v>
      </c>
      <c r="K53">
        <v>5</v>
      </c>
      <c r="L53">
        <v>4</v>
      </c>
      <c r="M53">
        <v>-1</v>
      </c>
      <c r="N53" t="s">
        <v>482</v>
      </c>
      <c r="O53" t="s">
        <v>465</v>
      </c>
      <c r="P53">
        <v>4</v>
      </c>
      <c r="Q53">
        <v>5</v>
      </c>
      <c r="R53">
        <v>1</v>
      </c>
      <c r="S53" t="s">
        <v>483</v>
      </c>
      <c r="T53" t="s">
        <v>467</v>
      </c>
      <c r="U53">
        <v>7</v>
      </c>
      <c r="V53">
        <v>6</v>
      </c>
      <c r="W53">
        <v>-1</v>
      </c>
      <c r="X53" t="s">
        <v>484</v>
      </c>
      <c r="Y53" t="s">
        <v>469</v>
      </c>
      <c r="Z53">
        <v>8</v>
      </c>
      <c r="AA53">
        <v>5</v>
      </c>
      <c r="AB53">
        <v>-3</v>
      </c>
      <c r="AC53" t="s">
        <v>485</v>
      </c>
      <c r="AD53" t="s">
        <v>471</v>
      </c>
      <c r="AE53">
        <v>6</v>
      </c>
      <c r="AF53">
        <v>4</v>
      </c>
      <c r="AG53">
        <v>-2</v>
      </c>
      <c r="AH53" t="s">
        <v>486</v>
      </c>
      <c r="AI53" t="s">
        <v>473</v>
      </c>
      <c r="AJ53">
        <v>7</v>
      </c>
      <c r="AK53">
        <v>2</v>
      </c>
      <c r="AL53">
        <v>-5</v>
      </c>
      <c r="AM53" t="s">
        <v>487</v>
      </c>
      <c r="AN53" t="s">
        <v>475</v>
      </c>
      <c r="AO53">
        <v>6</v>
      </c>
      <c r="AP53">
        <v>2</v>
      </c>
      <c r="AQ53">
        <v>-4</v>
      </c>
      <c r="AR53" t="s">
        <v>488</v>
      </c>
      <c r="AS53" t="s">
        <v>477</v>
      </c>
      <c r="AT53">
        <v>5</v>
      </c>
      <c r="AU53">
        <v>6</v>
      </c>
      <c r="AV53">
        <v>1</v>
      </c>
      <c r="AW53" t="s">
        <v>489</v>
      </c>
      <c r="AX53" t="s">
        <v>479</v>
      </c>
      <c r="AY53">
        <v>4</v>
      </c>
      <c r="AZ53">
        <v>5</v>
      </c>
      <c r="BA53">
        <v>1</v>
      </c>
      <c r="BB53" t="s">
        <v>490</v>
      </c>
      <c r="BC53" t="s">
        <v>481</v>
      </c>
    </row>
    <row r="54" spans="1:55" x14ac:dyDescent="0.45">
      <c r="A54">
        <v>11</v>
      </c>
      <c r="B54">
        <v>3</v>
      </c>
      <c r="C54">
        <v>1045</v>
      </c>
      <c r="D54" t="s">
        <v>92</v>
      </c>
      <c r="E54" t="s">
        <v>162</v>
      </c>
      <c r="F54" t="s">
        <v>94</v>
      </c>
      <c r="G54" t="s">
        <v>95</v>
      </c>
      <c r="H54" t="s">
        <v>96</v>
      </c>
      <c r="I54">
        <v>120</v>
      </c>
      <c r="J54">
        <v>2</v>
      </c>
      <c r="K54">
        <v>2</v>
      </c>
      <c r="L54">
        <v>4</v>
      </c>
      <c r="M54">
        <v>2</v>
      </c>
      <c r="N54" t="s">
        <v>491</v>
      </c>
      <c r="O54" t="s">
        <v>465</v>
      </c>
      <c r="P54">
        <v>3</v>
      </c>
      <c r="Q54">
        <v>5</v>
      </c>
      <c r="R54">
        <v>2</v>
      </c>
      <c r="S54" t="s">
        <v>492</v>
      </c>
      <c r="T54" t="s">
        <v>467</v>
      </c>
      <c r="U54">
        <v>6</v>
      </c>
      <c r="V54">
        <v>6</v>
      </c>
      <c r="W54">
        <v>0</v>
      </c>
      <c r="X54" t="s">
        <v>493</v>
      </c>
      <c r="Y54" t="s">
        <v>469</v>
      </c>
      <c r="Z54">
        <v>7</v>
      </c>
      <c r="AA54">
        <v>5</v>
      </c>
      <c r="AB54">
        <v>-2</v>
      </c>
      <c r="AC54" t="s">
        <v>494</v>
      </c>
      <c r="AD54" t="s">
        <v>471</v>
      </c>
      <c r="AE54">
        <v>3</v>
      </c>
      <c r="AF54">
        <v>4</v>
      </c>
      <c r="AG54">
        <v>1</v>
      </c>
      <c r="AH54" t="s">
        <v>495</v>
      </c>
      <c r="AI54" t="s">
        <v>473</v>
      </c>
      <c r="AJ54">
        <v>4</v>
      </c>
      <c r="AK54">
        <v>2</v>
      </c>
      <c r="AL54">
        <v>-2</v>
      </c>
      <c r="AM54" t="s">
        <v>496</v>
      </c>
      <c r="AN54" t="s">
        <v>475</v>
      </c>
      <c r="AO54">
        <v>6</v>
      </c>
      <c r="AP54">
        <v>2</v>
      </c>
      <c r="AQ54">
        <v>-4</v>
      </c>
      <c r="AR54" t="s">
        <v>497</v>
      </c>
      <c r="AS54" t="s">
        <v>477</v>
      </c>
      <c r="AT54">
        <v>5</v>
      </c>
      <c r="AU54">
        <v>6</v>
      </c>
      <c r="AV54">
        <v>1</v>
      </c>
      <c r="AW54" t="s">
        <v>498</v>
      </c>
      <c r="AX54" t="s">
        <v>479</v>
      </c>
      <c r="AY54">
        <v>8</v>
      </c>
      <c r="AZ54">
        <v>5</v>
      </c>
      <c r="BA54">
        <v>-3</v>
      </c>
      <c r="BB54" t="s">
        <v>499</v>
      </c>
      <c r="BC54" t="s">
        <v>481</v>
      </c>
    </row>
    <row r="55" spans="1:55" x14ac:dyDescent="0.45">
      <c r="A55">
        <v>11</v>
      </c>
      <c r="B55">
        <v>4</v>
      </c>
      <c r="C55">
        <v>1046</v>
      </c>
      <c r="D55" t="s">
        <v>92</v>
      </c>
      <c r="E55" t="s">
        <v>162</v>
      </c>
      <c r="F55" t="s">
        <v>94</v>
      </c>
      <c r="G55" t="s">
        <v>95</v>
      </c>
      <c r="H55" t="s">
        <v>96</v>
      </c>
      <c r="I55">
        <v>120</v>
      </c>
      <c r="J55">
        <v>2</v>
      </c>
      <c r="K55">
        <v>2</v>
      </c>
      <c r="L55">
        <v>4</v>
      </c>
      <c r="M55">
        <v>2</v>
      </c>
      <c r="N55" t="s">
        <v>500</v>
      </c>
      <c r="O55" t="s">
        <v>465</v>
      </c>
      <c r="P55">
        <v>3</v>
      </c>
      <c r="Q55">
        <v>5</v>
      </c>
      <c r="R55">
        <v>2</v>
      </c>
      <c r="S55" t="s">
        <v>501</v>
      </c>
      <c r="T55" t="s">
        <v>467</v>
      </c>
      <c r="U55">
        <v>7</v>
      </c>
      <c r="V55">
        <v>6</v>
      </c>
      <c r="W55">
        <v>-1</v>
      </c>
      <c r="X55" t="s">
        <v>502</v>
      </c>
      <c r="Y55" t="s">
        <v>469</v>
      </c>
      <c r="Z55">
        <v>9</v>
      </c>
      <c r="AA55">
        <v>5</v>
      </c>
      <c r="AB55">
        <v>-4</v>
      </c>
      <c r="AC55" t="s">
        <v>503</v>
      </c>
      <c r="AD55" t="s">
        <v>471</v>
      </c>
      <c r="AE55">
        <v>4</v>
      </c>
      <c r="AF55">
        <v>4</v>
      </c>
      <c r="AG55">
        <v>0</v>
      </c>
      <c r="AH55" t="s">
        <v>504</v>
      </c>
      <c r="AI55" t="s">
        <v>473</v>
      </c>
      <c r="AJ55">
        <v>3</v>
      </c>
      <c r="AK55">
        <v>2</v>
      </c>
      <c r="AL55">
        <v>-1</v>
      </c>
      <c r="AM55" t="s">
        <v>505</v>
      </c>
      <c r="AN55" t="s">
        <v>475</v>
      </c>
      <c r="AO55">
        <v>6</v>
      </c>
      <c r="AP55">
        <v>2</v>
      </c>
      <c r="AQ55">
        <v>-4</v>
      </c>
      <c r="AR55" t="s">
        <v>506</v>
      </c>
      <c r="AS55" t="s">
        <v>477</v>
      </c>
      <c r="AT55">
        <v>5</v>
      </c>
      <c r="AU55">
        <v>6</v>
      </c>
      <c r="AV55">
        <v>1</v>
      </c>
      <c r="AW55" t="s">
        <v>507</v>
      </c>
      <c r="AX55" t="s">
        <v>479</v>
      </c>
      <c r="AY55">
        <v>7</v>
      </c>
      <c r="AZ55">
        <v>5</v>
      </c>
      <c r="BA55">
        <v>-2</v>
      </c>
      <c r="BB55" t="s">
        <v>508</v>
      </c>
      <c r="BC55" t="s">
        <v>481</v>
      </c>
    </row>
    <row r="56" spans="1:55" x14ac:dyDescent="0.45">
      <c r="A56">
        <v>11</v>
      </c>
      <c r="B56">
        <v>5</v>
      </c>
      <c r="C56">
        <v>1047</v>
      </c>
      <c r="D56" t="s">
        <v>92</v>
      </c>
      <c r="E56" t="s">
        <v>162</v>
      </c>
      <c r="F56" t="s">
        <v>94</v>
      </c>
      <c r="G56" t="s">
        <v>95</v>
      </c>
      <c r="H56" t="s">
        <v>96</v>
      </c>
      <c r="I56">
        <v>120</v>
      </c>
      <c r="J56">
        <v>2</v>
      </c>
      <c r="K56">
        <v>3</v>
      </c>
      <c r="L56">
        <v>4</v>
      </c>
      <c r="M56">
        <v>1</v>
      </c>
      <c r="N56" t="s">
        <v>509</v>
      </c>
      <c r="O56" t="s">
        <v>465</v>
      </c>
      <c r="P56">
        <v>4</v>
      </c>
      <c r="Q56">
        <v>5</v>
      </c>
      <c r="R56">
        <v>1</v>
      </c>
      <c r="S56" t="s">
        <v>510</v>
      </c>
      <c r="T56" t="s">
        <v>467</v>
      </c>
      <c r="U56">
        <v>7</v>
      </c>
      <c r="V56">
        <v>6</v>
      </c>
      <c r="W56">
        <v>-1</v>
      </c>
      <c r="X56" t="s">
        <v>511</v>
      </c>
      <c r="Y56" t="s">
        <v>469</v>
      </c>
      <c r="Z56">
        <v>6</v>
      </c>
      <c r="AA56">
        <v>5</v>
      </c>
      <c r="AB56">
        <v>-1</v>
      </c>
      <c r="AC56" t="s">
        <v>512</v>
      </c>
      <c r="AD56" t="s">
        <v>471</v>
      </c>
      <c r="AE56">
        <v>5</v>
      </c>
      <c r="AF56">
        <v>4</v>
      </c>
      <c r="AG56">
        <v>-1</v>
      </c>
      <c r="AH56" t="s">
        <v>513</v>
      </c>
      <c r="AI56" t="s">
        <v>473</v>
      </c>
      <c r="AJ56">
        <v>4</v>
      </c>
      <c r="AK56">
        <v>2</v>
      </c>
      <c r="AL56">
        <v>-2</v>
      </c>
      <c r="AM56" t="s">
        <v>514</v>
      </c>
      <c r="AN56" t="s">
        <v>475</v>
      </c>
      <c r="AO56">
        <v>5</v>
      </c>
      <c r="AP56">
        <v>2</v>
      </c>
      <c r="AQ56">
        <v>-3</v>
      </c>
      <c r="AR56" t="s">
        <v>515</v>
      </c>
      <c r="AS56" t="s">
        <v>477</v>
      </c>
      <c r="AT56">
        <v>3</v>
      </c>
      <c r="AU56">
        <v>6</v>
      </c>
      <c r="AV56">
        <v>3</v>
      </c>
      <c r="AW56" t="s">
        <v>516</v>
      </c>
      <c r="AX56" t="s">
        <v>479</v>
      </c>
      <c r="AY56">
        <v>7</v>
      </c>
      <c r="AZ56">
        <v>5</v>
      </c>
      <c r="BA56">
        <v>-2</v>
      </c>
      <c r="BB56" t="s">
        <v>517</v>
      </c>
      <c r="BC56" t="s">
        <v>481</v>
      </c>
    </row>
    <row r="57" spans="1:55" x14ac:dyDescent="0.45">
      <c r="A57">
        <v>12</v>
      </c>
      <c r="B57">
        <v>1</v>
      </c>
      <c r="C57">
        <v>1143</v>
      </c>
      <c r="D57" t="s">
        <v>161</v>
      </c>
      <c r="E57" t="s">
        <v>93</v>
      </c>
      <c r="F57" t="s">
        <v>94</v>
      </c>
      <c r="G57" t="s">
        <v>149</v>
      </c>
      <c r="H57" t="s">
        <v>96</v>
      </c>
      <c r="I57">
        <v>15</v>
      </c>
      <c r="J57">
        <v>1</v>
      </c>
      <c r="K57">
        <v>6</v>
      </c>
      <c r="L57">
        <v>8</v>
      </c>
      <c r="M57">
        <v>2</v>
      </c>
      <c r="N57" t="s">
        <v>518</v>
      </c>
      <c r="O57" t="s">
        <v>519</v>
      </c>
      <c r="P57">
        <v>5</v>
      </c>
      <c r="Q57">
        <v>6</v>
      </c>
      <c r="R57">
        <v>1</v>
      </c>
      <c r="S57" t="s">
        <v>520</v>
      </c>
      <c r="T57" t="s">
        <v>521</v>
      </c>
      <c r="U57">
        <v>8</v>
      </c>
      <c r="V57">
        <v>9</v>
      </c>
      <c r="W57">
        <v>1</v>
      </c>
      <c r="X57" t="s">
        <v>522</v>
      </c>
      <c r="Y57" t="s">
        <v>523</v>
      </c>
      <c r="Z57">
        <v>7</v>
      </c>
      <c r="AA57">
        <v>8</v>
      </c>
      <c r="AB57">
        <v>1</v>
      </c>
      <c r="AC57" t="s">
        <v>524</v>
      </c>
      <c r="AD57" t="s">
        <v>525</v>
      </c>
      <c r="AE57">
        <v>6</v>
      </c>
      <c r="AF57">
        <v>7</v>
      </c>
      <c r="AG57">
        <v>1</v>
      </c>
      <c r="AH57" t="s">
        <v>526</v>
      </c>
      <c r="AI57" t="s">
        <v>527</v>
      </c>
      <c r="AJ57">
        <v>8</v>
      </c>
      <c r="AK57">
        <v>8</v>
      </c>
      <c r="AL57">
        <v>0</v>
      </c>
      <c r="AM57" t="s">
        <v>528</v>
      </c>
      <c r="AN57" t="s">
        <v>529</v>
      </c>
      <c r="AO57">
        <v>7</v>
      </c>
      <c r="AP57">
        <v>4</v>
      </c>
      <c r="AQ57">
        <v>-3</v>
      </c>
      <c r="AR57" t="s">
        <v>530</v>
      </c>
      <c r="AS57" t="s">
        <v>531</v>
      </c>
      <c r="AT57">
        <v>6</v>
      </c>
      <c r="AU57">
        <v>6</v>
      </c>
      <c r="AV57">
        <v>0</v>
      </c>
      <c r="AW57" t="s">
        <v>532</v>
      </c>
      <c r="AX57" t="s">
        <v>533</v>
      </c>
      <c r="AY57">
        <v>9</v>
      </c>
      <c r="AZ57">
        <v>7</v>
      </c>
      <c r="BA57">
        <v>-2</v>
      </c>
      <c r="BB57" t="s">
        <v>534</v>
      </c>
      <c r="BC57" t="s">
        <v>535</v>
      </c>
    </row>
    <row r="58" spans="1:55" x14ac:dyDescent="0.45">
      <c r="A58">
        <v>12</v>
      </c>
      <c r="B58">
        <v>2</v>
      </c>
      <c r="C58">
        <v>1144</v>
      </c>
      <c r="D58" t="s">
        <v>161</v>
      </c>
      <c r="E58" t="s">
        <v>93</v>
      </c>
      <c r="F58" t="s">
        <v>94</v>
      </c>
      <c r="G58" t="s">
        <v>149</v>
      </c>
      <c r="H58" t="s">
        <v>96</v>
      </c>
      <c r="I58">
        <v>15</v>
      </c>
      <c r="J58">
        <v>1</v>
      </c>
      <c r="K58">
        <v>6</v>
      </c>
      <c r="L58">
        <v>8</v>
      </c>
      <c r="M58">
        <v>2</v>
      </c>
      <c r="N58" t="s">
        <v>536</v>
      </c>
      <c r="O58" t="s">
        <v>519</v>
      </c>
      <c r="P58">
        <v>5</v>
      </c>
      <c r="Q58">
        <v>6</v>
      </c>
      <c r="R58">
        <v>1</v>
      </c>
      <c r="S58" t="s">
        <v>537</v>
      </c>
      <c r="T58" t="s">
        <v>521</v>
      </c>
      <c r="U58">
        <v>9</v>
      </c>
      <c r="V58">
        <v>9</v>
      </c>
      <c r="W58">
        <v>0</v>
      </c>
      <c r="X58" t="s">
        <v>538</v>
      </c>
      <c r="Y58" t="s">
        <v>523</v>
      </c>
      <c r="Z58">
        <v>7</v>
      </c>
      <c r="AA58">
        <v>8</v>
      </c>
      <c r="AB58">
        <v>1</v>
      </c>
      <c r="AC58" t="s">
        <v>539</v>
      </c>
      <c r="AD58" t="s">
        <v>525</v>
      </c>
      <c r="AE58">
        <v>6</v>
      </c>
      <c r="AF58">
        <v>7</v>
      </c>
      <c r="AG58">
        <v>1</v>
      </c>
      <c r="AH58" t="s">
        <v>540</v>
      </c>
      <c r="AI58" t="s">
        <v>527</v>
      </c>
      <c r="AJ58">
        <v>7</v>
      </c>
      <c r="AK58">
        <v>8</v>
      </c>
      <c r="AL58">
        <v>1</v>
      </c>
      <c r="AM58" t="s">
        <v>541</v>
      </c>
      <c r="AN58" t="s">
        <v>529</v>
      </c>
      <c r="AO58">
        <v>6</v>
      </c>
      <c r="AP58">
        <v>4</v>
      </c>
      <c r="AQ58">
        <v>-2</v>
      </c>
      <c r="AR58" t="s">
        <v>542</v>
      </c>
      <c r="AS58" t="s">
        <v>531</v>
      </c>
      <c r="AT58">
        <v>5</v>
      </c>
      <c r="AU58">
        <v>6</v>
      </c>
      <c r="AV58">
        <v>1</v>
      </c>
      <c r="AW58" t="s">
        <v>543</v>
      </c>
      <c r="AX58" t="s">
        <v>533</v>
      </c>
      <c r="AY58">
        <v>8</v>
      </c>
      <c r="AZ58">
        <v>7</v>
      </c>
      <c r="BA58">
        <v>-1</v>
      </c>
      <c r="BB58" t="s">
        <v>544</v>
      </c>
      <c r="BC58" t="s">
        <v>535</v>
      </c>
    </row>
    <row r="59" spans="1:55" x14ac:dyDescent="0.45">
      <c r="A59">
        <v>12</v>
      </c>
      <c r="B59">
        <v>3</v>
      </c>
      <c r="C59">
        <v>1145</v>
      </c>
      <c r="D59" t="s">
        <v>161</v>
      </c>
      <c r="E59" t="s">
        <v>93</v>
      </c>
      <c r="F59" t="s">
        <v>94</v>
      </c>
      <c r="G59" t="s">
        <v>149</v>
      </c>
      <c r="H59" t="s">
        <v>96</v>
      </c>
      <c r="I59">
        <v>15</v>
      </c>
      <c r="J59">
        <v>1</v>
      </c>
      <c r="K59">
        <v>7</v>
      </c>
      <c r="L59">
        <v>8</v>
      </c>
      <c r="M59">
        <v>1</v>
      </c>
      <c r="N59" t="s">
        <v>545</v>
      </c>
      <c r="O59" t="s">
        <v>519</v>
      </c>
      <c r="P59">
        <v>3</v>
      </c>
      <c r="Q59">
        <v>6</v>
      </c>
      <c r="R59">
        <v>3</v>
      </c>
      <c r="S59" t="s">
        <v>546</v>
      </c>
      <c r="T59" t="s">
        <v>521</v>
      </c>
      <c r="U59">
        <v>6</v>
      </c>
      <c r="V59">
        <v>9</v>
      </c>
      <c r="W59">
        <v>3</v>
      </c>
      <c r="X59" t="s">
        <v>547</v>
      </c>
      <c r="Y59" t="s">
        <v>523</v>
      </c>
      <c r="Z59">
        <v>8</v>
      </c>
      <c r="AA59">
        <v>8</v>
      </c>
      <c r="AB59">
        <v>0</v>
      </c>
      <c r="AC59" t="s">
        <v>548</v>
      </c>
      <c r="AD59" t="s">
        <v>525</v>
      </c>
      <c r="AE59">
        <v>5</v>
      </c>
      <c r="AF59">
        <v>7</v>
      </c>
      <c r="AG59">
        <v>2</v>
      </c>
      <c r="AH59" t="s">
        <v>549</v>
      </c>
      <c r="AI59" t="s">
        <v>527</v>
      </c>
      <c r="AJ59">
        <v>7</v>
      </c>
      <c r="AK59">
        <v>8</v>
      </c>
      <c r="AL59">
        <v>1</v>
      </c>
      <c r="AM59" t="s">
        <v>550</v>
      </c>
      <c r="AN59" t="s">
        <v>529</v>
      </c>
      <c r="AO59">
        <v>6</v>
      </c>
      <c r="AP59">
        <v>4</v>
      </c>
      <c r="AQ59">
        <v>-2</v>
      </c>
      <c r="AR59" t="s">
        <v>551</v>
      </c>
      <c r="AS59" t="s">
        <v>531</v>
      </c>
      <c r="AT59">
        <v>7</v>
      </c>
      <c r="AU59">
        <v>6</v>
      </c>
      <c r="AV59">
        <v>-1</v>
      </c>
      <c r="AW59" t="s">
        <v>552</v>
      </c>
      <c r="AX59" t="s">
        <v>533</v>
      </c>
      <c r="AY59">
        <v>9</v>
      </c>
      <c r="AZ59">
        <v>7</v>
      </c>
      <c r="BA59">
        <v>-2</v>
      </c>
      <c r="BB59" t="s">
        <v>553</v>
      </c>
      <c r="BC59" t="s">
        <v>535</v>
      </c>
    </row>
    <row r="60" spans="1:55" x14ac:dyDescent="0.45">
      <c r="A60">
        <v>12</v>
      </c>
      <c r="B60">
        <v>4</v>
      </c>
      <c r="C60">
        <v>1146</v>
      </c>
      <c r="D60" t="s">
        <v>161</v>
      </c>
      <c r="E60" t="s">
        <v>93</v>
      </c>
      <c r="F60" t="s">
        <v>94</v>
      </c>
      <c r="G60" t="s">
        <v>149</v>
      </c>
      <c r="H60" t="s">
        <v>96</v>
      </c>
      <c r="I60">
        <v>15</v>
      </c>
      <c r="J60">
        <v>1</v>
      </c>
      <c r="K60">
        <v>5</v>
      </c>
      <c r="L60">
        <v>8</v>
      </c>
      <c r="M60">
        <v>3</v>
      </c>
      <c r="N60" t="s">
        <v>554</v>
      </c>
      <c r="O60" t="s">
        <v>519</v>
      </c>
      <c r="P60">
        <v>4</v>
      </c>
      <c r="Q60">
        <v>6</v>
      </c>
      <c r="R60">
        <v>2</v>
      </c>
      <c r="S60" t="s">
        <v>555</v>
      </c>
      <c r="T60" t="s">
        <v>521</v>
      </c>
      <c r="U60">
        <v>9</v>
      </c>
      <c r="V60">
        <v>9</v>
      </c>
      <c r="W60">
        <v>0</v>
      </c>
      <c r="X60" t="s">
        <v>556</v>
      </c>
      <c r="Y60" t="s">
        <v>523</v>
      </c>
      <c r="Z60">
        <v>8</v>
      </c>
      <c r="AA60">
        <v>8</v>
      </c>
      <c r="AB60">
        <v>0</v>
      </c>
      <c r="AC60" t="s">
        <v>557</v>
      </c>
      <c r="AD60" t="s">
        <v>525</v>
      </c>
      <c r="AE60">
        <v>6</v>
      </c>
      <c r="AF60">
        <v>7</v>
      </c>
      <c r="AG60">
        <v>1</v>
      </c>
      <c r="AH60" t="s">
        <v>558</v>
      </c>
      <c r="AI60" t="s">
        <v>527</v>
      </c>
      <c r="AJ60">
        <v>9</v>
      </c>
      <c r="AK60">
        <v>8</v>
      </c>
      <c r="AL60">
        <v>-1</v>
      </c>
      <c r="AM60" t="s">
        <v>559</v>
      </c>
      <c r="AN60" t="s">
        <v>529</v>
      </c>
      <c r="AO60">
        <v>7</v>
      </c>
      <c r="AP60">
        <v>4</v>
      </c>
      <c r="AQ60">
        <v>-3</v>
      </c>
      <c r="AR60" t="s">
        <v>560</v>
      </c>
      <c r="AS60" t="s">
        <v>531</v>
      </c>
      <c r="AT60">
        <v>6</v>
      </c>
      <c r="AU60">
        <v>6</v>
      </c>
      <c r="AV60">
        <v>0</v>
      </c>
      <c r="AW60" t="s">
        <v>561</v>
      </c>
      <c r="AX60" t="s">
        <v>533</v>
      </c>
      <c r="AY60">
        <v>8</v>
      </c>
      <c r="AZ60">
        <v>7</v>
      </c>
      <c r="BA60">
        <v>-1</v>
      </c>
      <c r="BB60" t="s">
        <v>562</v>
      </c>
      <c r="BC60" t="s">
        <v>535</v>
      </c>
    </row>
    <row r="61" spans="1:55" x14ac:dyDescent="0.45">
      <c r="A61">
        <v>12</v>
      </c>
      <c r="B61">
        <v>5</v>
      </c>
      <c r="C61">
        <v>1147</v>
      </c>
      <c r="D61" t="s">
        <v>161</v>
      </c>
      <c r="E61" t="s">
        <v>93</v>
      </c>
      <c r="F61" t="s">
        <v>94</v>
      </c>
      <c r="G61" t="s">
        <v>149</v>
      </c>
      <c r="H61" t="s">
        <v>96</v>
      </c>
      <c r="I61">
        <v>15</v>
      </c>
      <c r="J61">
        <v>1</v>
      </c>
      <c r="K61">
        <v>7</v>
      </c>
      <c r="L61">
        <v>8</v>
      </c>
      <c r="M61">
        <v>1</v>
      </c>
      <c r="N61" t="s">
        <v>563</v>
      </c>
      <c r="O61" t="s">
        <v>519</v>
      </c>
      <c r="P61">
        <v>8</v>
      </c>
      <c r="Q61">
        <v>6</v>
      </c>
      <c r="R61">
        <v>-2</v>
      </c>
      <c r="S61" t="s">
        <v>564</v>
      </c>
      <c r="T61" t="s">
        <v>521</v>
      </c>
      <c r="U61">
        <v>6</v>
      </c>
      <c r="V61">
        <v>9</v>
      </c>
      <c r="W61">
        <v>3</v>
      </c>
      <c r="X61" t="s">
        <v>565</v>
      </c>
      <c r="Y61" t="s">
        <v>523</v>
      </c>
      <c r="Z61">
        <v>8</v>
      </c>
      <c r="AA61">
        <v>8</v>
      </c>
      <c r="AB61">
        <v>0</v>
      </c>
      <c r="AC61" t="s">
        <v>566</v>
      </c>
      <c r="AD61" t="s">
        <v>525</v>
      </c>
      <c r="AE61">
        <v>7</v>
      </c>
      <c r="AF61">
        <v>7</v>
      </c>
      <c r="AG61">
        <v>0</v>
      </c>
      <c r="AH61" t="s">
        <v>567</v>
      </c>
      <c r="AI61" t="s">
        <v>527</v>
      </c>
      <c r="AJ61">
        <v>8</v>
      </c>
      <c r="AK61">
        <v>8</v>
      </c>
      <c r="AL61">
        <v>0</v>
      </c>
      <c r="AM61" t="s">
        <v>568</v>
      </c>
      <c r="AN61" t="s">
        <v>529</v>
      </c>
      <c r="AO61">
        <v>7</v>
      </c>
      <c r="AP61">
        <v>4</v>
      </c>
      <c r="AQ61">
        <v>-3</v>
      </c>
      <c r="AR61" t="s">
        <v>569</v>
      </c>
      <c r="AS61" t="s">
        <v>531</v>
      </c>
      <c r="AT61">
        <v>6</v>
      </c>
      <c r="AU61">
        <v>6</v>
      </c>
      <c r="AV61">
        <v>0</v>
      </c>
      <c r="AW61" t="s">
        <v>570</v>
      </c>
      <c r="AX61" t="s">
        <v>533</v>
      </c>
      <c r="AY61">
        <v>9</v>
      </c>
      <c r="AZ61">
        <v>7</v>
      </c>
      <c r="BA61">
        <v>-2</v>
      </c>
      <c r="BB61" t="s">
        <v>571</v>
      </c>
      <c r="BC61" t="s">
        <v>535</v>
      </c>
    </row>
    <row r="62" spans="1:55" x14ac:dyDescent="0.45">
      <c r="A62">
        <v>13</v>
      </c>
      <c r="B62">
        <v>1</v>
      </c>
      <c r="C62">
        <v>1243</v>
      </c>
      <c r="D62" t="s">
        <v>92</v>
      </c>
      <c r="E62" t="s">
        <v>162</v>
      </c>
      <c r="F62" t="s">
        <v>94</v>
      </c>
      <c r="G62" t="s">
        <v>149</v>
      </c>
      <c r="H62" t="s">
        <v>96</v>
      </c>
      <c r="I62">
        <v>120</v>
      </c>
      <c r="J62">
        <v>1</v>
      </c>
      <c r="K62">
        <v>6</v>
      </c>
      <c r="L62">
        <v>8</v>
      </c>
      <c r="M62">
        <v>2</v>
      </c>
      <c r="N62" t="s">
        <v>572</v>
      </c>
      <c r="O62" t="s">
        <v>573</v>
      </c>
      <c r="P62">
        <v>6</v>
      </c>
      <c r="Q62">
        <v>9</v>
      </c>
      <c r="R62">
        <v>3</v>
      </c>
      <c r="S62" t="s">
        <v>574</v>
      </c>
      <c r="T62" t="s">
        <v>575</v>
      </c>
      <c r="U62">
        <v>7</v>
      </c>
      <c r="V62">
        <v>5</v>
      </c>
      <c r="W62">
        <v>-2</v>
      </c>
      <c r="X62" t="s">
        <v>576</v>
      </c>
      <c r="Y62" t="s">
        <v>577</v>
      </c>
      <c r="Z62">
        <v>8</v>
      </c>
      <c r="AA62">
        <v>8</v>
      </c>
      <c r="AB62">
        <v>0</v>
      </c>
      <c r="AC62" t="s">
        <v>578</v>
      </c>
      <c r="AD62" t="s">
        <v>579</v>
      </c>
      <c r="AE62">
        <v>7</v>
      </c>
      <c r="AF62">
        <v>5</v>
      </c>
      <c r="AG62">
        <v>-2</v>
      </c>
      <c r="AH62" t="s">
        <v>580</v>
      </c>
      <c r="AI62" t="s">
        <v>581</v>
      </c>
      <c r="AJ62">
        <v>6</v>
      </c>
      <c r="AK62">
        <v>5</v>
      </c>
      <c r="AL62">
        <v>-1</v>
      </c>
      <c r="AM62" t="s">
        <v>582</v>
      </c>
      <c r="AN62" t="s">
        <v>583</v>
      </c>
      <c r="AO62">
        <v>7</v>
      </c>
      <c r="AP62">
        <v>5</v>
      </c>
      <c r="AQ62">
        <v>-2</v>
      </c>
      <c r="AR62" t="s">
        <v>584</v>
      </c>
      <c r="AS62" t="s">
        <v>585</v>
      </c>
      <c r="AT62">
        <v>6</v>
      </c>
      <c r="AU62">
        <v>6</v>
      </c>
      <c r="AV62">
        <v>0</v>
      </c>
      <c r="AW62" t="s">
        <v>586</v>
      </c>
      <c r="AX62" t="s">
        <v>587</v>
      </c>
      <c r="AY62">
        <v>9</v>
      </c>
      <c r="AZ62">
        <v>9</v>
      </c>
      <c r="BA62">
        <v>0</v>
      </c>
      <c r="BB62" t="s">
        <v>588</v>
      </c>
      <c r="BC62" t="s">
        <v>589</v>
      </c>
    </row>
    <row r="63" spans="1:55" x14ac:dyDescent="0.45">
      <c r="A63">
        <v>13</v>
      </c>
      <c r="B63">
        <v>2</v>
      </c>
      <c r="C63">
        <v>1244</v>
      </c>
      <c r="D63" t="s">
        <v>92</v>
      </c>
      <c r="E63" t="s">
        <v>162</v>
      </c>
      <c r="F63" t="s">
        <v>94</v>
      </c>
      <c r="G63" t="s">
        <v>149</v>
      </c>
      <c r="H63" t="s">
        <v>96</v>
      </c>
      <c r="I63">
        <v>120</v>
      </c>
      <c r="J63">
        <v>1</v>
      </c>
      <c r="K63">
        <v>9</v>
      </c>
      <c r="L63">
        <v>8</v>
      </c>
      <c r="M63">
        <v>-1</v>
      </c>
      <c r="N63" t="s">
        <v>590</v>
      </c>
      <c r="O63" t="s">
        <v>573</v>
      </c>
      <c r="P63">
        <v>8</v>
      </c>
      <c r="Q63">
        <v>9</v>
      </c>
      <c r="R63">
        <v>1</v>
      </c>
      <c r="S63" t="s">
        <v>591</v>
      </c>
      <c r="T63" t="s">
        <v>575</v>
      </c>
      <c r="U63">
        <v>7</v>
      </c>
      <c r="V63">
        <v>5</v>
      </c>
      <c r="W63">
        <v>-2</v>
      </c>
      <c r="X63" t="s">
        <v>592</v>
      </c>
      <c r="Y63" t="s">
        <v>577</v>
      </c>
      <c r="Z63">
        <v>9</v>
      </c>
      <c r="AA63">
        <v>8</v>
      </c>
      <c r="AB63">
        <v>-1</v>
      </c>
      <c r="AC63" t="s">
        <v>593</v>
      </c>
      <c r="AD63" t="s">
        <v>579</v>
      </c>
      <c r="AE63">
        <v>8</v>
      </c>
      <c r="AF63">
        <v>5</v>
      </c>
      <c r="AG63">
        <v>-3</v>
      </c>
      <c r="AH63" t="s">
        <v>594</v>
      </c>
      <c r="AI63" t="s">
        <v>581</v>
      </c>
      <c r="AJ63">
        <v>9</v>
      </c>
      <c r="AK63">
        <v>5</v>
      </c>
      <c r="AL63">
        <v>-4</v>
      </c>
      <c r="AM63" t="s">
        <v>595</v>
      </c>
      <c r="AN63" t="s">
        <v>583</v>
      </c>
      <c r="AO63">
        <v>7</v>
      </c>
      <c r="AP63">
        <v>5</v>
      </c>
      <c r="AQ63">
        <v>-2</v>
      </c>
      <c r="AR63" t="s">
        <v>596</v>
      </c>
      <c r="AS63" t="s">
        <v>585</v>
      </c>
      <c r="AT63">
        <v>6</v>
      </c>
      <c r="AU63">
        <v>6</v>
      </c>
      <c r="AV63">
        <v>0</v>
      </c>
      <c r="AW63" t="s">
        <v>597</v>
      </c>
      <c r="AX63" t="s">
        <v>587</v>
      </c>
      <c r="AY63">
        <v>8</v>
      </c>
      <c r="AZ63">
        <v>9</v>
      </c>
      <c r="BA63">
        <v>1</v>
      </c>
      <c r="BB63" t="s">
        <v>598</v>
      </c>
      <c r="BC63" t="s">
        <v>589</v>
      </c>
    </row>
    <row r="64" spans="1:55" x14ac:dyDescent="0.45">
      <c r="A64">
        <v>13</v>
      </c>
      <c r="B64">
        <v>3</v>
      </c>
      <c r="C64">
        <v>1245</v>
      </c>
      <c r="D64" t="s">
        <v>92</v>
      </c>
      <c r="E64" t="s">
        <v>162</v>
      </c>
      <c r="F64" t="s">
        <v>94</v>
      </c>
      <c r="G64" t="s">
        <v>149</v>
      </c>
      <c r="H64" t="s">
        <v>96</v>
      </c>
      <c r="I64">
        <v>120</v>
      </c>
      <c r="J64">
        <v>1</v>
      </c>
      <c r="K64">
        <v>8</v>
      </c>
      <c r="L64">
        <v>8</v>
      </c>
      <c r="M64">
        <v>0</v>
      </c>
      <c r="N64" t="s">
        <v>599</v>
      </c>
      <c r="O64" t="s">
        <v>573</v>
      </c>
      <c r="P64">
        <v>7</v>
      </c>
      <c r="Q64">
        <v>9</v>
      </c>
      <c r="R64">
        <v>2</v>
      </c>
      <c r="S64" t="s">
        <v>600</v>
      </c>
      <c r="T64" t="s">
        <v>575</v>
      </c>
      <c r="U64">
        <v>9</v>
      </c>
      <c r="V64">
        <v>5</v>
      </c>
      <c r="W64">
        <v>-4</v>
      </c>
      <c r="X64" t="s">
        <v>601</v>
      </c>
      <c r="Y64" t="s">
        <v>577</v>
      </c>
      <c r="Z64">
        <v>8</v>
      </c>
      <c r="AA64">
        <v>8</v>
      </c>
      <c r="AB64">
        <v>0</v>
      </c>
      <c r="AC64" t="s">
        <v>602</v>
      </c>
      <c r="AD64" t="s">
        <v>579</v>
      </c>
      <c r="AE64">
        <v>7</v>
      </c>
      <c r="AF64">
        <v>5</v>
      </c>
      <c r="AG64">
        <v>-2</v>
      </c>
      <c r="AH64" t="s">
        <v>603</v>
      </c>
      <c r="AI64" t="s">
        <v>581</v>
      </c>
      <c r="AJ64">
        <v>6</v>
      </c>
      <c r="AK64">
        <v>5</v>
      </c>
      <c r="AL64">
        <v>-1</v>
      </c>
      <c r="AM64" t="s">
        <v>604</v>
      </c>
      <c r="AN64" t="s">
        <v>583</v>
      </c>
      <c r="AO64">
        <v>7</v>
      </c>
      <c r="AP64">
        <v>5</v>
      </c>
      <c r="AQ64">
        <v>-2</v>
      </c>
      <c r="AR64" t="s">
        <v>605</v>
      </c>
      <c r="AS64" t="s">
        <v>585</v>
      </c>
      <c r="AT64">
        <v>6</v>
      </c>
      <c r="AU64">
        <v>6</v>
      </c>
      <c r="AV64">
        <v>0</v>
      </c>
      <c r="AW64" t="s">
        <v>606</v>
      </c>
      <c r="AX64" t="s">
        <v>587</v>
      </c>
      <c r="AY64">
        <v>9</v>
      </c>
      <c r="AZ64">
        <v>9</v>
      </c>
      <c r="BA64">
        <v>0</v>
      </c>
      <c r="BB64" t="s">
        <v>607</v>
      </c>
      <c r="BC64" t="s">
        <v>589</v>
      </c>
    </row>
    <row r="65" spans="1:55" x14ac:dyDescent="0.45">
      <c r="A65">
        <v>13</v>
      </c>
      <c r="B65">
        <v>4</v>
      </c>
      <c r="C65">
        <v>1246</v>
      </c>
      <c r="D65" t="s">
        <v>92</v>
      </c>
      <c r="E65" t="s">
        <v>162</v>
      </c>
      <c r="F65" t="s">
        <v>94</v>
      </c>
      <c r="G65" t="s">
        <v>149</v>
      </c>
      <c r="H65" t="s">
        <v>96</v>
      </c>
      <c r="I65">
        <v>120</v>
      </c>
      <c r="J65">
        <v>1</v>
      </c>
      <c r="K65">
        <v>6</v>
      </c>
      <c r="L65">
        <v>8</v>
      </c>
      <c r="M65">
        <v>2</v>
      </c>
      <c r="N65" t="s">
        <v>608</v>
      </c>
      <c r="O65" t="s">
        <v>573</v>
      </c>
      <c r="P65">
        <v>7</v>
      </c>
      <c r="Q65">
        <v>9</v>
      </c>
      <c r="R65">
        <v>2</v>
      </c>
      <c r="S65" t="s">
        <v>609</v>
      </c>
      <c r="T65" t="s">
        <v>575</v>
      </c>
      <c r="U65">
        <v>8</v>
      </c>
      <c r="V65">
        <v>5</v>
      </c>
      <c r="W65">
        <v>-3</v>
      </c>
      <c r="X65" t="s">
        <v>610</v>
      </c>
      <c r="Y65" t="s">
        <v>577</v>
      </c>
      <c r="Z65">
        <v>9</v>
      </c>
      <c r="AA65">
        <v>8</v>
      </c>
      <c r="AB65">
        <v>-1</v>
      </c>
      <c r="AC65" t="s">
        <v>611</v>
      </c>
      <c r="AD65" t="s">
        <v>579</v>
      </c>
      <c r="AE65">
        <v>5</v>
      </c>
      <c r="AF65">
        <v>5</v>
      </c>
      <c r="AG65">
        <v>0</v>
      </c>
      <c r="AH65" t="s">
        <v>612</v>
      </c>
      <c r="AI65" t="s">
        <v>581</v>
      </c>
      <c r="AJ65">
        <v>6</v>
      </c>
      <c r="AK65">
        <v>5</v>
      </c>
      <c r="AL65">
        <v>-1</v>
      </c>
      <c r="AM65" t="s">
        <v>613</v>
      </c>
      <c r="AN65" t="s">
        <v>583</v>
      </c>
      <c r="AO65">
        <v>5</v>
      </c>
      <c r="AP65">
        <v>5</v>
      </c>
      <c r="AQ65">
        <v>0</v>
      </c>
      <c r="AR65" t="s">
        <v>614</v>
      </c>
      <c r="AS65" t="s">
        <v>585</v>
      </c>
      <c r="AT65">
        <v>7</v>
      </c>
      <c r="AU65">
        <v>6</v>
      </c>
      <c r="AV65">
        <v>-1</v>
      </c>
      <c r="AW65" t="s">
        <v>615</v>
      </c>
      <c r="AX65" t="s">
        <v>587</v>
      </c>
      <c r="AY65">
        <v>8</v>
      </c>
      <c r="AZ65">
        <v>9</v>
      </c>
      <c r="BA65">
        <v>1</v>
      </c>
      <c r="BB65" t="s">
        <v>616</v>
      </c>
      <c r="BC65" t="s">
        <v>589</v>
      </c>
    </row>
    <row r="66" spans="1:55" x14ac:dyDescent="0.45">
      <c r="A66">
        <v>13</v>
      </c>
      <c r="B66">
        <v>5</v>
      </c>
      <c r="C66">
        <v>1247</v>
      </c>
      <c r="D66" t="s">
        <v>92</v>
      </c>
      <c r="E66" t="s">
        <v>162</v>
      </c>
      <c r="F66" t="s">
        <v>94</v>
      </c>
      <c r="G66" t="s">
        <v>149</v>
      </c>
      <c r="H66" t="s">
        <v>96</v>
      </c>
      <c r="I66">
        <v>120</v>
      </c>
      <c r="J66">
        <v>1</v>
      </c>
      <c r="K66">
        <v>5</v>
      </c>
      <c r="L66">
        <v>8</v>
      </c>
      <c r="M66">
        <v>3</v>
      </c>
      <c r="N66" t="s">
        <v>617</v>
      </c>
      <c r="O66" t="s">
        <v>573</v>
      </c>
      <c r="P66">
        <v>6</v>
      </c>
      <c r="Q66">
        <v>9</v>
      </c>
      <c r="R66">
        <v>3</v>
      </c>
      <c r="S66" t="s">
        <v>618</v>
      </c>
      <c r="T66" t="s">
        <v>575</v>
      </c>
      <c r="U66">
        <v>7</v>
      </c>
      <c r="V66">
        <v>5</v>
      </c>
      <c r="W66">
        <v>-2</v>
      </c>
      <c r="X66" t="s">
        <v>619</v>
      </c>
      <c r="Y66" t="s">
        <v>577</v>
      </c>
      <c r="Z66">
        <v>8</v>
      </c>
      <c r="AA66">
        <v>8</v>
      </c>
      <c r="AB66">
        <v>0</v>
      </c>
      <c r="AC66" t="s">
        <v>620</v>
      </c>
      <c r="AD66" t="s">
        <v>579</v>
      </c>
      <c r="AE66">
        <v>5</v>
      </c>
      <c r="AF66">
        <v>5</v>
      </c>
      <c r="AG66">
        <v>0</v>
      </c>
      <c r="AH66" t="s">
        <v>621</v>
      </c>
      <c r="AI66" t="s">
        <v>581</v>
      </c>
      <c r="AJ66">
        <v>6</v>
      </c>
      <c r="AK66">
        <v>5</v>
      </c>
      <c r="AL66">
        <v>-1</v>
      </c>
      <c r="AM66" t="s">
        <v>622</v>
      </c>
      <c r="AN66" t="s">
        <v>583</v>
      </c>
      <c r="AO66">
        <v>5</v>
      </c>
      <c r="AP66">
        <v>5</v>
      </c>
      <c r="AQ66">
        <v>0</v>
      </c>
      <c r="AR66" t="s">
        <v>623</v>
      </c>
      <c r="AS66" t="s">
        <v>585</v>
      </c>
      <c r="AT66">
        <v>6</v>
      </c>
      <c r="AU66">
        <v>6</v>
      </c>
      <c r="AV66">
        <v>0</v>
      </c>
      <c r="AW66" t="s">
        <v>624</v>
      </c>
      <c r="AX66" t="s">
        <v>587</v>
      </c>
      <c r="AY66">
        <v>8</v>
      </c>
      <c r="AZ66">
        <v>9</v>
      </c>
      <c r="BA66">
        <v>1</v>
      </c>
      <c r="BB66" t="s">
        <v>625</v>
      </c>
      <c r="BC66" t="s">
        <v>589</v>
      </c>
    </row>
    <row r="67" spans="1:55" x14ac:dyDescent="0.45">
      <c r="A67">
        <v>14</v>
      </c>
      <c r="B67">
        <v>1</v>
      </c>
      <c r="C67">
        <v>1343</v>
      </c>
      <c r="D67" t="s">
        <v>161</v>
      </c>
      <c r="E67" t="s">
        <v>626</v>
      </c>
      <c r="F67" t="s">
        <v>94</v>
      </c>
      <c r="G67" t="s">
        <v>149</v>
      </c>
      <c r="H67" t="s">
        <v>96</v>
      </c>
      <c r="I67">
        <v>15</v>
      </c>
      <c r="J67">
        <v>1</v>
      </c>
      <c r="K67">
        <v>6</v>
      </c>
      <c r="L67">
        <v>9</v>
      </c>
      <c r="M67">
        <v>3</v>
      </c>
      <c r="N67" t="s">
        <v>627</v>
      </c>
      <c r="O67" t="s">
        <v>628</v>
      </c>
      <c r="P67">
        <v>6</v>
      </c>
      <c r="Q67">
        <v>10</v>
      </c>
      <c r="R67">
        <v>4</v>
      </c>
      <c r="S67" t="s">
        <v>629</v>
      </c>
      <c r="T67" t="s">
        <v>630</v>
      </c>
      <c r="U67">
        <v>7</v>
      </c>
      <c r="V67">
        <v>4</v>
      </c>
      <c r="W67">
        <v>-3</v>
      </c>
      <c r="X67" t="s">
        <v>631</v>
      </c>
      <c r="Y67" t="s">
        <v>632</v>
      </c>
      <c r="Z67">
        <v>7</v>
      </c>
      <c r="AA67">
        <v>5</v>
      </c>
      <c r="AB67">
        <v>-2</v>
      </c>
      <c r="AC67" t="s">
        <v>633</v>
      </c>
      <c r="AD67" t="s">
        <v>634</v>
      </c>
      <c r="AE67">
        <v>9</v>
      </c>
      <c r="AF67">
        <v>10</v>
      </c>
      <c r="AG67">
        <v>1</v>
      </c>
      <c r="AH67" t="s">
        <v>635</v>
      </c>
      <c r="AI67" t="s">
        <v>636</v>
      </c>
      <c r="AJ67">
        <v>9</v>
      </c>
      <c r="AK67">
        <v>10</v>
      </c>
      <c r="AL67">
        <v>1</v>
      </c>
      <c r="AM67" t="s">
        <v>637</v>
      </c>
      <c r="AN67" t="s">
        <v>638</v>
      </c>
      <c r="AO67">
        <v>9</v>
      </c>
      <c r="AP67">
        <v>10</v>
      </c>
      <c r="AQ67">
        <v>1</v>
      </c>
      <c r="AR67" t="s">
        <v>639</v>
      </c>
      <c r="AS67" t="s">
        <v>640</v>
      </c>
      <c r="AT67">
        <v>9</v>
      </c>
      <c r="AU67">
        <v>10</v>
      </c>
      <c r="AV67">
        <v>1</v>
      </c>
      <c r="AW67" t="s">
        <v>641</v>
      </c>
      <c r="AX67" t="s">
        <v>642</v>
      </c>
      <c r="AY67">
        <v>8</v>
      </c>
      <c r="AZ67">
        <v>10</v>
      </c>
      <c r="BA67">
        <v>2</v>
      </c>
      <c r="BB67" t="s">
        <v>643</v>
      </c>
      <c r="BC67" t="s">
        <v>644</v>
      </c>
    </row>
    <row r="68" spans="1:55" x14ac:dyDescent="0.45">
      <c r="A68">
        <v>14</v>
      </c>
      <c r="B68">
        <v>2</v>
      </c>
      <c r="C68">
        <v>1344</v>
      </c>
      <c r="D68" t="s">
        <v>161</v>
      </c>
      <c r="E68" t="s">
        <v>626</v>
      </c>
      <c r="F68" t="s">
        <v>94</v>
      </c>
      <c r="G68" t="s">
        <v>149</v>
      </c>
      <c r="H68" t="s">
        <v>96</v>
      </c>
      <c r="I68">
        <v>15</v>
      </c>
      <c r="J68">
        <v>1</v>
      </c>
      <c r="K68">
        <v>3</v>
      </c>
      <c r="L68">
        <v>9</v>
      </c>
      <c r="M68">
        <v>6</v>
      </c>
      <c r="N68" t="s">
        <v>645</v>
      </c>
      <c r="O68" t="s">
        <v>628</v>
      </c>
      <c r="P68">
        <v>4</v>
      </c>
      <c r="Q68">
        <v>10</v>
      </c>
      <c r="R68">
        <v>6</v>
      </c>
      <c r="S68" t="s">
        <v>646</v>
      </c>
      <c r="T68" t="s">
        <v>630</v>
      </c>
      <c r="U68">
        <v>5</v>
      </c>
      <c r="V68">
        <v>4</v>
      </c>
      <c r="W68">
        <v>-1</v>
      </c>
      <c r="X68" t="s">
        <v>647</v>
      </c>
      <c r="Y68" t="s">
        <v>632</v>
      </c>
      <c r="Z68">
        <v>8</v>
      </c>
      <c r="AA68">
        <v>5</v>
      </c>
      <c r="AB68">
        <v>-3</v>
      </c>
      <c r="AC68" t="s">
        <v>648</v>
      </c>
      <c r="AD68" t="s">
        <v>634</v>
      </c>
      <c r="AE68">
        <v>7</v>
      </c>
      <c r="AF68">
        <v>10</v>
      </c>
      <c r="AG68">
        <v>3</v>
      </c>
      <c r="AH68" t="s">
        <v>649</v>
      </c>
      <c r="AI68" t="s">
        <v>636</v>
      </c>
      <c r="AJ68">
        <v>9</v>
      </c>
      <c r="AK68">
        <v>10</v>
      </c>
      <c r="AL68">
        <v>1</v>
      </c>
      <c r="AM68" t="s">
        <v>650</v>
      </c>
      <c r="AN68" t="s">
        <v>638</v>
      </c>
      <c r="AO68">
        <v>10</v>
      </c>
      <c r="AP68">
        <v>10</v>
      </c>
      <c r="AQ68">
        <v>0</v>
      </c>
      <c r="AR68" t="s">
        <v>651</v>
      </c>
      <c r="AS68" t="s">
        <v>640</v>
      </c>
      <c r="AT68">
        <v>9</v>
      </c>
      <c r="AU68">
        <v>10</v>
      </c>
      <c r="AV68">
        <v>1</v>
      </c>
      <c r="AW68" t="s">
        <v>652</v>
      </c>
      <c r="AX68" t="s">
        <v>642</v>
      </c>
      <c r="AY68">
        <v>10</v>
      </c>
      <c r="AZ68">
        <v>10</v>
      </c>
      <c r="BA68">
        <v>0</v>
      </c>
      <c r="BB68" t="s">
        <v>653</v>
      </c>
      <c r="BC68" t="s">
        <v>644</v>
      </c>
    </row>
    <row r="69" spans="1:55" x14ac:dyDescent="0.45">
      <c r="A69">
        <v>14</v>
      </c>
      <c r="B69">
        <v>3</v>
      </c>
      <c r="C69">
        <v>1345</v>
      </c>
      <c r="D69" t="s">
        <v>161</v>
      </c>
      <c r="E69" t="s">
        <v>626</v>
      </c>
      <c r="F69" t="s">
        <v>94</v>
      </c>
      <c r="G69" t="s">
        <v>149</v>
      </c>
      <c r="H69" t="s">
        <v>96</v>
      </c>
      <c r="I69">
        <v>15</v>
      </c>
      <c r="J69">
        <v>1</v>
      </c>
      <c r="K69">
        <v>4</v>
      </c>
      <c r="L69">
        <v>9</v>
      </c>
      <c r="M69">
        <v>5</v>
      </c>
      <c r="N69" t="s">
        <v>654</v>
      </c>
      <c r="O69" t="s">
        <v>628</v>
      </c>
      <c r="P69">
        <v>8</v>
      </c>
      <c r="Q69">
        <v>10</v>
      </c>
      <c r="R69">
        <v>2</v>
      </c>
      <c r="S69" t="s">
        <v>655</v>
      </c>
      <c r="T69" t="s">
        <v>630</v>
      </c>
      <c r="U69">
        <v>3</v>
      </c>
      <c r="V69">
        <v>4</v>
      </c>
      <c r="W69">
        <v>1</v>
      </c>
      <c r="X69" t="s">
        <v>656</v>
      </c>
      <c r="Y69" t="s">
        <v>632</v>
      </c>
      <c r="Z69">
        <v>5</v>
      </c>
      <c r="AA69">
        <v>5</v>
      </c>
      <c r="AB69">
        <v>0</v>
      </c>
      <c r="AC69" t="s">
        <v>657</v>
      </c>
      <c r="AD69" t="s">
        <v>634</v>
      </c>
      <c r="AE69">
        <v>7</v>
      </c>
      <c r="AF69">
        <v>10</v>
      </c>
      <c r="AG69">
        <v>3</v>
      </c>
      <c r="AH69" t="s">
        <v>658</v>
      </c>
      <c r="AI69" t="s">
        <v>636</v>
      </c>
      <c r="AJ69">
        <v>9</v>
      </c>
      <c r="AK69">
        <v>10</v>
      </c>
      <c r="AL69">
        <v>1</v>
      </c>
      <c r="AM69" t="s">
        <v>659</v>
      </c>
      <c r="AN69" t="s">
        <v>638</v>
      </c>
      <c r="AO69">
        <v>8</v>
      </c>
      <c r="AP69">
        <v>10</v>
      </c>
      <c r="AQ69">
        <v>2</v>
      </c>
      <c r="AR69" t="s">
        <v>660</v>
      </c>
      <c r="AS69" t="s">
        <v>640</v>
      </c>
      <c r="AT69">
        <v>9</v>
      </c>
      <c r="AU69">
        <v>10</v>
      </c>
      <c r="AV69">
        <v>1</v>
      </c>
      <c r="AW69" t="s">
        <v>661</v>
      </c>
      <c r="AX69" t="s">
        <v>642</v>
      </c>
      <c r="AY69">
        <v>10</v>
      </c>
      <c r="AZ69">
        <v>10</v>
      </c>
      <c r="BA69">
        <v>0</v>
      </c>
      <c r="BB69" t="s">
        <v>662</v>
      </c>
      <c r="BC69" t="s">
        <v>644</v>
      </c>
    </row>
    <row r="70" spans="1:55" x14ac:dyDescent="0.45">
      <c r="A70">
        <v>14</v>
      </c>
      <c r="B70">
        <v>4</v>
      </c>
      <c r="C70">
        <v>1346</v>
      </c>
      <c r="D70" t="s">
        <v>161</v>
      </c>
      <c r="E70" t="s">
        <v>626</v>
      </c>
      <c r="F70" t="s">
        <v>94</v>
      </c>
      <c r="G70" t="s">
        <v>149</v>
      </c>
      <c r="H70" t="s">
        <v>96</v>
      </c>
      <c r="I70">
        <v>15</v>
      </c>
      <c r="J70">
        <v>1</v>
      </c>
      <c r="K70">
        <v>3</v>
      </c>
      <c r="L70">
        <v>9</v>
      </c>
      <c r="M70">
        <v>6</v>
      </c>
      <c r="N70" t="s">
        <v>663</v>
      </c>
      <c r="O70" t="s">
        <v>628</v>
      </c>
      <c r="P70">
        <v>4</v>
      </c>
      <c r="Q70">
        <v>10</v>
      </c>
      <c r="R70">
        <v>6</v>
      </c>
      <c r="S70" t="s">
        <v>664</v>
      </c>
      <c r="T70" t="s">
        <v>630</v>
      </c>
      <c r="U70">
        <v>7</v>
      </c>
      <c r="V70">
        <v>4</v>
      </c>
      <c r="W70">
        <v>-3</v>
      </c>
      <c r="X70" t="s">
        <v>665</v>
      </c>
      <c r="Y70" t="s">
        <v>632</v>
      </c>
      <c r="Z70">
        <v>6</v>
      </c>
      <c r="AA70">
        <v>5</v>
      </c>
      <c r="AB70">
        <v>-1</v>
      </c>
      <c r="AC70" t="s">
        <v>666</v>
      </c>
      <c r="AD70" t="s">
        <v>634</v>
      </c>
      <c r="AE70">
        <v>5</v>
      </c>
      <c r="AF70">
        <v>10</v>
      </c>
      <c r="AG70">
        <v>5</v>
      </c>
      <c r="AH70" t="s">
        <v>667</v>
      </c>
      <c r="AI70" t="s">
        <v>636</v>
      </c>
      <c r="AJ70">
        <v>9</v>
      </c>
      <c r="AK70">
        <v>10</v>
      </c>
      <c r="AL70">
        <v>1</v>
      </c>
      <c r="AM70" t="s">
        <v>668</v>
      </c>
      <c r="AN70" t="s">
        <v>638</v>
      </c>
      <c r="AO70">
        <v>8</v>
      </c>
      <c r="AP70">
        <v>10</v>
      </c>
      <c r="AQ70">
        <v>2</v>
      </c>
      <c r="AR70" t="s">
        <v>669</v>
      </c>
      <c r="AS70" t="s">
        <v>640</v>
      </c>
      <c r="AT70">
        <v>7</v>
      </c>
      <c r="AU70">
        <v>10</v>
      </c>
      <c r="AV70">
        <v>3</v>
      </c>
      <c r="AW70" t="s">
        <v>670</v>
      </c>
      <c r="AX70" t="s">
        <v>642</v>
      </c>
      <c r="AY70">
        <v>9</v>
      </c>
      <c r="AZ70">
        <v>10</v>
      </c>
      <c r="BA70">
        <v>1</v>
      </c>
      <c r="BB70" t="s">
        <v>671</v>
      </c>
      <c r="BC70" t="s">
        <v>644</v>
      </c>
    </row>
    <row r="71" spans="1:55" x14ac:dyDescent="0.45">
      <c r="A71">
        <v>14</v>
      </c>
      <c r="B71">
        <v>5</v>
      </c>
      <c r="C71">
        <v>1347</v>
      </c>
      <c r="D71" t="s">
        <v>161</v>
      </c>
      <c r="E71" t="s">
        <v>626</v>
      </c>
      <c r="F71" t="s">
        <v>94</v>
      </c>
      <c r="G71" t="s">
        <v>149</v>
      </c>
      <c r="H71" t="s">
        <v>96</v>
      </c>
      <c r="I71">
        <v>15</v>
      </c>
      <c r="J71">
        <v>1</v>
      </c>
      <c r="K71">
        <v>5</v>
      </c>
      <c r="L71">
        <v>9</v>
      </c>
      <c r="M71">
        <v>4</v>
      </c>
      <c r="N71" t="s">
        <v>672</v>
      </c>
      <c r="O71" t="s">
        <v>628</v>
      </c>
      <c r="P71">
        <v>6</v>
      </c>
      <c r="Q71">
        <v>10</v>
      </c>
      <c r="R71">
        <v>4</v>
      </c>
      <c r="S71" t="s">
        <v>673</v>
      </c>
      <c r="T71" t="s">
        <v>630</v>
      </c>
      <c r="U71">
        <v>7</v>
      </c>
      <c r="V71">
        <v>4</v>
      </c>
      <c r="W71">
        <v>-3</v>
      </c>
      <c r="X71" t="s">
        <v>674</v>
      </c>
      <c r="Y71" t="s">
        <v>632</v>
      </c>
      <c r="Z71">
        <v>8</v>
      </c>
      <c r="AA71">
        <v>5</v>
      </c>
      <c r="AB71">
        <v>-3</v>
      </c>
      <c r="AC71" t="s">
        <v>675</v>
      </c>
      <c r="AD71" t="s">
        <v>634</v>
      </c>
      <c r="AE71">
        <v>7</v>
      </c>
      <c r="AF71">
        <v>10</v>
      </c>
      <c r="AG71">
        <v>3</v>
      </c>
      <c r="AH71" t="s">
        <v>676</v>
      </c>
      <c r="AI71" t="s">
        <v>636</v>
      </c>
      <c r="AJ71">
        <v>9</v>
      </c>
      <c r="AK71">
        <v>10</v>
      </c>
      <c r="AL71">
        <v>1</v>
      </c>
      <c r="AM71" t="s">
        <v>677</v>
      </c>
      <c r="AN71" t="s">
        <v>638</v>
      </c>
      <c r="AO71">
        <v>8</v>
      </c>
      <c r="AP71">
        <v>10</v>
      </c>
      <c r="AQ71">
        <v>2</v>
      </c>
      <c r="AR71" t="s">
        <v>678</v>
      </c>
      <c r="AS71" t="s">
        <v>640</v>
      </c>
      <c r="AT71">
        <v>9</v>
      </c>
      <c r="AU71">
        <v>10</v>
      </c>
      <c r="AV71">
        <v>1</v>
      </c>
      <c r="AW71" t="s">
        <v>679</v>
      </c>
      <c r="AX71" t="s">
        <v>642</v>
      </c>
      <c r="AY71">
        <v>8</v>
      </c>
      <c r="AZ71">
        <v>10</v>
      </c>
      <c r="BA71">
        <v>2</v>
      </c>
      <c r="BB71" t="s">
        <v>680</v>
      </c>
      <c r="BC71" t="s">
        <v>644</v>
      </c>
    </row>
    <row r="72" spans="1:55" x14ac:dyDescent="0.45">
      <c r="A72">
        <v>15</v>
      </c>
      <c r="B72">
        <v>1</v>
      </c>
      <c r="C72">
        <v>1443</v>
      </c>
      <c r="D72" t="s">
        <v>92</v>
      </c>
      <c r="E72" t="s">
        <v>93</v>
      </c>
      <c r="F72" t="s">
        <v>94</v>
      </c>
      <c r="G72" t="s">
        <v>149</v>
      </c>
      <c r="H72" t="s">
        <v>96</v>
      </c>
      <c r="I72">
        <v>40</v>
      </c>
      <c r="J72">
        <v>1</v>
      </c>
      <c r="K72">
        <v>8</v>
      </c>
      <c r="L72">
        <v>9</v>
      </c>
      <c r="M72">
        <v>1</v>
      </c>
      <c r="N72" t="s">
        <v>681</v>
      </c>
      <c r="O72" t="s">
        <v>682</v>
      </c>
      <c r="P72">
        <v>9</v>
      </c>
      <c r="Q72">
        <v>10</v>
      </c>
      <c r="R72">
        <v>1</v>
      </c>
      <c r="S72" t="s">
        <v>683</v>
      </c>
      <c r="T72" t="s">
        <v>684</v>
      </c>
      <c r="U72">
        <v>8</v>
      </c>
      <c r="V72">
        <v>10</v>
      </c>
      <c r="W72">
        <v>2</v>
      </c>
      <c r="X72" t="s">
        <v>685</v>
      </c>
      <c r="Y72" t="s">
        <v>684</v>
      </c>
      <c r="Z72">
        <v>9</v>
      </c>
      <c r="AA72">
        <v>10</v>
      </c>
      <c r="AB72">
        <v>1</v>
      </c>
      <c r="AC72" t="s">
        <v>686</v>
      </c>
      <c r="AD72" t="s">
        <v>687</v>
      </c>
      <c r="AE72">
        <v>8</v>
      </c>
      <c r="AF72">
        <v>10</v>
      </c>
      <c r="AG72">
        <v>2</v>
      </c>
      <c r="AH72" t="s">
        <v>688</v>
      </c>
      <c r="AI72" t="s">
        <v>689</v>
      </c>
      <c r="AJ72">
        <v>9</v>
      </c>
      <c r="AK72">
        <v>8</v>
      </c>
      <c r="AL72">
        <v>-1</v>
      </c>
      <c r="AM72" t="s">
        <v>690</v>
      </c>
      <c r="AN72" t="s">
        <v>691</v>
      </c>
      <c r="AO72">
        <v>8</v>
      </c>
      <c r="AP72">
        <v>9</v>
      </c>
      <c r="AQ72">
        <v>1</v>
      </c>
      <c r="AR72" t="s">
        <v>692</v>
      </c>
      <c r="AS72" t="s">
        <v>693</v>
      </c>
      <c r="AT72">
        <v>9</v>
      </c>
      <c r="AU72">
        <v>9</v>
      </c>
      <c r="AV72">
        <v>0</v>
      </c>
      <c r="AW72" t="s">
        <v>694</v>
      </c>
      <c r="AX72" t="s">
        <v>695</v>
      </c>
      <c r="AY72">
        <v>8</v>
      </c>
      <c r="AZ72">
        <v>9</v>
      </c>
      <c r="BA72">
        <v>1</v>
      </c>
      <c r="BB72" t="s">
        <v>696</v>
      </c>
      <c r="BC72" t="s">
        <v>697</v>
      </c>
    </row>
    <row r="73" spans="1:55" x14ac:dyDescent="0.45">
      <c r="A73">
        <v>15</v>
      </c>
      <c r="B73">
        <v>2</v>
      </c>
      <c r="C73">
        <v>1444</v>
      </c>
      <c r="D73" t="s">
        <v>92</v>
      </c>
      <c r="E73" t="s">
        <v>93</v>
      </c>
      <c r="F73" t="s">
        <v>94</v>
      </c>
      <c r="G73" t="s">
        <v>149</v>
      </c>
      <c r="H73" t="s">
        <v>96</v>
      </c>
      <c r="I73">
        <v>40</v>
      </c>
      <c r="J73">
        <v>1</v>
      </c>
      <c r="K73">
        <v>8</v>
      </c>
      <c r="L73">
        <v>9</v>
      </c>
      <c r="M73">
        <v>1</v>
      </c>
      <c r="N73" t="s">
        <v>698</v>
      </c>
      <c r="O73" t="s">
        <v>682</v>
      </c>
      <c r="P73">
        <v>9</v>
      </c>
      <c r="Q73">
        <v>10</v>
      </c>
      <c r="R73">
        <v>1</v>
      </c>
      <c r="S73" t="s">
        <v>699</v>
      </c>
      <c r="T73" t="s">
        <v>684</v>
      </c>
      <c r="U73">
        <v>8</v>
      </c>
      <c r="V73">
        <v>10</v>
      </c>
      <c r="W73">
        <v>2</v>
      </c>
      <c r="X73" t="s">
        <v>700</v>
      </c>
      <c r="Y73" t="s">
        <v>684</v>
      </c>
      <c r="Z73">
        <v>9</v>
      </c>
      <c r="AA73">
        <v>10</v>
      </c>
      <c r="AB73">
        <v>1</v>
      </c>
      <c r="AC73" t="s">
        <v>701</v>
      </c>
      <c r="AD73" t="s">
        <v>687</v>
      </c>
      <c r="AE73">
        <v>7</v>
      </c>
      <c r="AF73">
        <v>10</v>
      </c>
      <c r="AG73">
        <v>3</v>
      </c>
      <c r="AH73" t="s">
        <v>702</v>
      </c>
      <c r="AI73" t="s">
        <v>689</v>
      </c>
      <c r="AJ73">
        <v>9</v>
      </c>
      <c r="AK73">
        <v>8</v>
      </c>
      <c r="AL73">
        <v>-1</v>
      </c>
      <c r="AM73" t="s">
        <v>703</v>
      </c>
      <c r="AN73" t="s">
        <v>691</v>
      </c>
      <c r="AO73">
        <v>8</v>
      </c>
      <c r="AP73">
        <v>9</v>
      </c>
      <c r="AQ73">
        <v>1</v>
      </c>
      <c r="AR73" t="s">
        <v>704</v>
      </c>
      <c r="AS73" t="s">
        <v>693</v>
      </c>
      <c r="AT73">
        <v>9</v>
      </c>
      <c r="AU73">
        <v>9</v>
      </c>
      <c r="AV73">
        <v>0</v>
      </c>
      <c r="AW73" t="s">
        <v>705</v>
      </c>
      <c r="AX73" t="s">
        <v>695</v>
      </c>
      <c r="AY73">
        <v>10</v>
      </c>
      <c r="AZ73">
        <v>9</v>
      </c>
      <c r="BA73">
        <v>-1</v>
      </c>
      <c r="BB73" t="s">
        <v>706</v>
      </c>
      <c r="BC73" t="s">
        <v>697</v>
      </c>
    </row>
    <row r="74" spans="1:55" x14ac:dyDescent="0.45">
      <c r="A74">
        <v>15</v>
      </c>
      <c r="B74">
        <v>3</v>
      </c>
      <c r="C74">
        <v>1445</v>
      </c>
      <c r="D74" t="s">
        <v>92</v>
      </c>
      <c r="E74" t="s">
        <v>93</v>
      </c>
      <c r="F74" t="s">
        <v>94</v>
      </c>
      <c r="G74" t="s">
        <v>149</v>
      </c>
      <c r="H74" t="s">
        <v>96</v>
      </c>
      <c r="I74">
        <v>40</v>
      </c>
      <c r="J74">
        <v>1</v>
      </c>
      <c r="K74">
        <v>9</v>
      </c>
      <c r="L74">
        <v>9</v>
      </c>
      <c r="M74">
        <v>0</v>
      </c>
      <c r="N74" t="s">
        <v>707</v>
      </c>
      <c r="O74" t="s">
        <v>682</v>
      </c>
      <c r="P74">
        <v>8</v>
      </c>
      <c r="Q74">
        <v>10</v>
      </c>
      <c r="R74">
        <v>2</v>
      </c>
      <c r="S74" t="s">
        <v>708</v>
      </c>
      <c r="T74" t="s">
        <v>684</v>
      </c>
      <c r="U74">
        <v>9</v>
      </c>
      <c r="V74">
        <v>10</v>
      </c>
      <c r="W74">
        <v>1</v>
      </c>
      <c r="X74" t="s">
        <v>709</v>
      </c>
      <c r="Y74" t="s">
        <v>684</v>
      </c>
      <c r="Z74">
        <v>8</v>
      </c>
      <c r="AA74">
        <v>10</v>
      </c>
      <c r="AB74">
        <v>2</v>
      </c>
      <c r="AC74" t="s">
        <v>710</v>
      </c>
      <c r="AD74" t="s">
        <v>687</v>
      </c>
      <c r="AE74">
        <v>9</v>
      </c>
      <c r="AF74">
        <v>10</v>
      </c>
      <c r="AG74">
        <v>1</v>
      </c>
      <c r="AH74" t="s">
        <v>711</v>
      </c>
      <c r="AI74" t="s">
        <v>689</v>
      </c>
      <c r="AJ74">
        <v>8</v>
      </c>
      <c r="AK74">
        <v>8</v>
      </c>
      <c r="AL74">
        <v>0</v>
      </c>
      <c r="AM74" t="s">
        <v>712</v>
      </c>
      <c r="AN74" t="s">
        <v>691</v>
      </c>
      <c r="AO74">
        <v>9</v>
      </c>
      <c r="AP74">
        <v>9</v>
      </c>
      <c r="AQ74">
        <v>0</v>
      </c>
      <c r="AR74" t="s">
        <v>713</v>
      </c>
      <c r="AS74" t="s">
        <v>693</v>
      </c>
      <c r="AT74">
        <v>8</v>
      </c>
      <c r="AU74">
        <v>9</v>
      </c>
      <c r="AV74">
        <v>1</v>
      </c>
      <c r="AW74" t="s">
        <v>714</v>
      </c>
      <c r="AX74" t="s">
        <v>695</v>
      </c>
      <c r="AY74">
        <v>9</v>
      </c>
      <c r="AZ74">
        <v>9</v>
      </c>
      <c r="BA74">
        <v>0</v>
      </c>
      <c r="BB74" t="s">
        <v>715</v>
      </c>
      <c r="BC74" t="s">
        <v>697</v>
      </c>
    </row>
    <row r="75" spans="1:55" x14ac:dyDescent="0.45">
      <c r="A75">
        <v>15</v>
      </c>
      <c r="B75">
        <v>4</v>
      </c>
      <c r="C75">
        <v>1446</v>
      </c>
      <c r="D75" t="s">
        <v>92</v>
      </c>
      <c r="E75" t="s">
        <v>93</v>
      </c>
      <c r="F75" t="s">
        <v>94</v>
      </c>
      <c r="G75" t="s">
        <v>149</v>
      </c>
      <c r="H75" t="s">
        <v>96</v>
      </c>
      <c r="I75">
        <v>40</v>
      </c>
      <c r="J75">
        <v>1</v>
      </c>
      <c r="K75">
        <v>9</v>
      </c>
      <c r="L75">
        <v>9</v>
      </c>
      <c r="M75">
        <v>0</v>
      </c>
      <c r="N75" t="s">
        <v>716</v>
      </c>
      <c r="O75" t="s">
        <v>682</v>
      </c>
      <c r="P75">
        <v>8</v>
      </c>
      <c r="Q75">
        <v>10</v>
      </c>
      <c r="R75">
        <v>2</v>
      </c>
      <c r="S75" t="s">
        <v>717</v>
      </c>
      <c r="T75" t="s">
        <v>684</v>
      </c>
      <c r="U75">
        <v>9</v>
      </c>
      <c r="V75">
        <v>10</v>
      </c>
      <c r="W75">
        <v>1</v>
      </c>
      <c r="X75" t="s">
        <v>718</v>
      </c>
      <c r="Y75" t="s">
        <v>684</v>
      </c>
      <c r="Z75">
        <v>8</v>
      </c>
      <c r="AA75">
        <v>10</v>
      </c>
      <c r="AB75">
        <v>2</v>
      </c>
      <c r="AC75" t="s">
        <v>719</v>
      </c>
      <c r="AD75" t="s">
        <v>687</v>
      </c>
      <c r="AE75">
        <v>9</v>
      </c>
      <c r="AF75">
        <v>10</v>
      </c>
      <c r="AG75">
        <v>1</v>
      </c>
      <c r="AH75" t="s">
        <v>720</v>
      </c>
      <c r="AI75" t="s">
        <v>689</v>
      </c>
      <c r="AJ75">
        <v>8</v>
      </c>
      <c r="AK75">
        <v>8</v>
      </c>
      <c r="AL75">
        <v>0</v>
      </c>
      <c r="AM75" t="s">
        <v>721</v>
      </c>
      <c r="AN75" t="s">
        <v>691</v>
      </c>
      <c r="AO75">
        <v>8</v>
      </c>
      <c r="AP75">
        <v>9</v>
      </c>
      <c r="AQ75">
        <v>1</v>
      </c>
      <c r="AR75" t="s">
        <v>722</v>
      </c>
      <c r="AS75" t="s">
        <v>693</v>
      </c>
      <c r="AT75">
        <v>9</v>
      </c>
      <c r="AU75">
        <v>9</v>
      </c>
      <c r="AV75">
        <v>0</v>
      </c>
      <c r="AW75" t="s">
        <v>723</v>
      </c>
      <c r="AX75" t="s">
        <v>695</v>
      </c>
      <c r="AY75">
        <v>9</v>
      </c>
      <c r="AZ75">
        <v>9</v>
      </c>
      <c r="BA75">
        <v>0</v>
      </c>
      <c r="BB75" t="s">
        <v>724</v>
      </c>
      <c r="BC75" t="s">
        <v>697</v>
      </c>
    </row>
    <row r="76" spans="1:55" x14ac:dyDescent="0.45">
      <c r="A76">
        <v>15</v>
      </c>
      <c r="B76">
        <v>5</v>
      </c>
      <c r="C76">
        <v>1447</v>
      </c>
      <c r="D76" t="s">
        <v>92</v>
      </c>
      <c r="E76" t="s">
        <v>93</v>
      </c>
      <c r="F76" t="s">
        <v>94</v>
      </c>
      <c r="G76" t="s">
        <v>149</v>
      </c>
      <c r="H76" t="s">
        <v>96</v>
      </c>
      <c r="I76">
        <v>40</v>
      </c>
      <c r="J76">
        <v>1</v>
      </c>
      <c r="K76">
        <v>8</v>
      </c>
      <c r="L76">
        <v>9</v>
      </c>
      <c r="M76">
        <v>1</v>
      </c>
      <c r="N76" t="s">
        <v>725</v>
      </c>
      <c r="O76" t="s">
        <v>682</v>
      </c>
      <c r="P76">
        <v>9</v>
      </c>
      <c r="Q76">
        <v>10</v>
      </c>
      <c r="R76">
        <v>1</v>
      </c>
      <c r="S76" t="s">
        <v>726</v>
      </c>
      <c r="T76" t="s">
        <v>684</v>
      </c>
      <c r="U76">
        <v>8</v>
      </c>
      <c r="V76">
        <v>10</v>
      </c>
      <c r="W76">
        <v>2</v>
      </c>
      <c r="X76" t="s">
        <v>727</v>
      </c>
      <c r="Y76" t="s">
        <v>684</v>
      </c>
      <c r="Z76">
        <v>9</v>
      </c>
      <c r="AA76">
        <v>10</v>
      </c>
      <c r="AB76">
        <v>1</v>
      </c>
      <c r="AC76" t="s">
        <v>728</v>
      </c>
      <c r="AD76" t="s">
        <v>687</v>
      </c>
      <c r="AE76">
        <v>7</v>
      </c>
      <c r="AF76">
        <v>10</v>
      </c>
      <c r="AG76">
        <v>3</v>
      </c>
      <c r="AH76" t="s">
        <v>729</v>
      </c>
      <c r="AI76" t="s">
        <v>689</v>
      </c>
      <c r="AJ76">
        <v>9</v>
      </c>
      <c r="AK76">
        <v>8</v>
      </c>
      <c r="AL76">
        <v>-1</v>
      </c>
      <c r="AM76" t="s">
        <v>730</v>
      </c>
      <c r="AN76" t="s">
        <v>691</v>
      </c>
      <c r="AO76">
        <v>8</v>
      </c>
      <c r="AP76">
        <v>9</v>
      </c>
      <c r="AQ76">
        <v>1</v>
      </c>
      <c r="AR76" t="s">
        <v>731</v>
      </c>
      <c r="AS76" t="s">
        <v>693</v>
      </c>
      <c r="AT76">
        <v>7</v>
      </c>
      <c r="AU76">
        <v>9</v>
      </c>
      <c r="AV76">
        <v>2</v>
      </c>
      <c r="AW76" t="s">
        <v>732</v>
      </c>
      <c r="AX76" t="s">
        <v>695</v>
      </c>
      <c r="AY76">
        <v>8</v>
      </c>
      <c r="AZ76">
        <v>9</v>
      </c>
      <c r="BA76">
        <v>1</v>
      </c>
      <c r="BB76" t="s">
        <v>733</v>
      </c>
      <c r="BC76" t="s">
        <v>697</v>
      </c>
    </row>
    <row r="77" spans="1:55" x14ac:dyDescent="0.45">
      <c r="A77">
        <v>16</v>
      </c>
      <c r="B77">
        <v>1</v>
      </c>
      <c r="C77">
        <v>1543</v>
      </c>
      <c r="D77" t="s">
        <v>161</v>
      </c>
      <c r="E77" t="s">
        <v>93</v>
      </c>
      <c r="F77" t="s">
        <v>94</v>
      </c>
      <c r="G77" t="s">
        <v>149</v>
      </c>
      <c r="H77" t="s">
        <v>96</v>
      </c>
      <c r="I77">
        <v>120</v>
      </c>
      <c r="J77">
        <v>3</v>
      </c>
      <c r="K77">
        <v>5</v>
      </c>
      <c r="L77">
        <v>3</v>
      </c>
      <c r="M77">
        <v>-2</v>
      </c>
      <c r="N77" t="s">
        <v>734</v>
      </c>
      <c r="O77" t="s">
        <v>735</v>
      </c>
      <c r="P77">
        <v>9</v>
      </c>
      <c r="Q77">
        <v>5</v>
      </c>
      <c r="R77">
        <v>-4</v>
      </c>
      <c r="S77" t="s">
        <v>736</v>
      </c>
      <c r="T77" t="s">
        <v>737</v>
      </c>
      <c r="U77">
        <v>7</v>
      </c>
      <c r="V77">
        <v>9</v>
      </c>
      <c r="W77">
        <v>2</v>
      </c>
      <c r="X77" t="s">
        <v>738</v>
      </c>
      <c r="Y77" t="s">
        <v>739</v>
      </c>
      <c r="Z77">
        <v>8</v>
      </c>
      <c r="AA77">
        <v>1</v>
      </c>
      <c r="AB77">
        <v>-7</v>
      </c>
      <c r="AC77" t="s">
        <v>740</v>
      </c>
      <c r="AD77" t="s">
        <v>741</v>
      </c>
      <c r="AE77">
        <v>6</v>
      </c>
      <c r="AF77">
        <v>3</v>
      </c>
      <c r="AG77">
        <v>-3</v>
      </c>
      <c r="AH77" t="s">
        <v>742</v>
      </c>
      <c r="AI77" t="s">
        <v>743</v>
      </c>
      <c r="AJ77">
        <v>7</v>
      </c>
      <c r="AK77">
        <v>7</v>
      </c>
      <c r="AL77">
        <v>0</v>
      </c>
      <c r="AM77" t="s">
        <v>744</v>
      </c>
      <c r="AN77" t="s">
        <v>745</v>
      </c>
      <c r="AO77">
        <v>6</v>
      </c>
      <c r="AP77">
        <v>2</v>
      </c>
      <c r="AQ77">
        <v>-4</v>
      </c>
      <c r="AR77" t="s">
        <v>746</v>
      </c>
      <c r="AS77" t="s">
        <v>747</v>
      </c>
      <c r="AT77">
        <v>5</v>
      </c>
      <c r="AU77">
        <v>6</v>
      </c>
      <c r="AV77">
        <v>1</v>
      </c>
      <c r="AW77" t="s">
        <v>748</v>
      </c>
      <c r="AX77" t="s">
        <v>749</v>
      </c>
      <c r="AY77">
        <v>8</v>
      </c>
      <c r="AZ77">
        <v>8</v>
      </c>
      <c r="BA77">
        <v>0</v>
      </c>
      <c r="BB77" t="s">
        <v>750</v>
      </c>
      <c r="BC77" t="s">
        <v>751</v>
      </c>
    </row>
    <row r="78" spans="1:55" x14ac:dyDescent="0.45">
      <c r="A78">
        <v>16</v>
      </c>
      <c r="B78">
        <v>2</v>
      </c>
      <c r="C78">
        <v>1544</v>
      </c>
      <c r="D78" t="s">
        <v>161</v>
      </c>
      <c r="E78" t="s">
        <v>93</v>
      </c>
      <c r="F78" t="s">
        <v>94</v>
      </c>
      <c r="G78" t="s">
        <v>149</v>
      </c>
      <c r="H78" t="s">
        <v>96</v>
      </c>
      <c r="I78">
        <v>120</v>
      </c>
      <c r="J78">
        <v>3</v>
      </c>
      <c r="K78">
        <v>3</v>
      </c>
      <c r="L78">
        <v>3</v>
      </c>
      <c r="M78">
        <v>0</v>
      </c>
      <c r="N78" t="s">
        <v>752</v>
      </c>
      <c r="O78" t="s">
        <v>735</v>
      </c>
      <c r="P78">
        <v>3</v>
      </c>
      <c r="Q78">
        <v>5</v>
      </c>
      <c r="R78">
        <v>2</v>
      </c>
      <c r="S78" t="s">
        <v>753</v>
      </c>
      <c r="T78" t="s">
        <v>737</v>
      </c>
      <c r="U78">
        <v>8</v>
      </c>
      <c r="V78">
        <v>9</v>
      </c>
      <c r="W78">
        <v>1</v>
      </c>
      <c r="X78" t="s">
        <v>754</v>
      </c>
      <c r="Y78" t="s">
        <v>739</v>
      </c>
      <c r="Z78">
        <v>9</v>
      </c>
      <c r="AA78">
        <v>1</v>
      </c>
      <c r="AB78">
        <v>-8</v>
      </c>
      <c r="AC78" t="s">
        <v>755</v>
      </c>
      <c r="AD78" t="s">
        <v>741</v>
      </c>
      <c r="AE78">
        <v>4</v>
      </c>
      <c r="AF78">
        <v>3</v>
      </c>
      <c r="AG78">
        <v>-1</v>
      </c>
      <c r="AH78" t="s">
        <v>756</v>
      </c>
      <c r="AI78" t="s">
        <v>743</v>
      </c>
      <c r="AJ78">
        <v>6</v>
      </c>
      <c r="AK78">
        <v>7</v>
      </c>
      <c r="AL78">
        <v>1</v>
      </c>
      <c r="AM78" t="s">
        <v>757</v>
      </c>
      <c r="AN78" t="s">
        <v>745</v>
      </c>
      <c r="AO78">
        <v>4</v>
      </c>
      <c r="AP78">
        <v>2</v>
      </c>
      <c r="AQ78">
        <v>-2</v>
      </c>
      <c r="AR78" t="s">
        <v>758</v>
      </c>
      <c r="AS78" t="s">
        <v>747</v>
      </c>
      <c r="AT78">
        <v>5</v>
      </c>
      <c r="AU78">
        <v>6</v>
      </c>
      <c r="AV78">
        <v>1</v>
      </c>
      <c r="AW78" t="s">
        <v>759</v>
      </c>
      <c r="AX78" t="s">
        <v>749</v>
      </c>
      <c r="AY78">
        <v>7</v>
      </c>
      <c r="AZ78">
        <v>8</v>
      </c>
      <c r="BA78">
        <v>1</v>
      </c>
      <c r="BB78" t="s">
        <v>760</v>
      </c>
      <c r="BC78" t="s">
        <v>751</v>
      </c>
    </row>
    <row r="79" spans="1:55" x14ac:dyDescent="0.45">
      <c r="A79">
        <v>16</v>
      </c>
      <c r="B79">
        <v>3</v>
      </c>
      <c r="C79">
        <v>1545</v>
      </c>
      <c r="D79" t="s">
        <v>161</v>
      </c>
      <c r="E79" t="s">
        <v>93</v>
      </c>
      <c r="F79" t="s">
        <v>94</v>
      </c>
      <c r="G79" t="s">
        <v>149</v>
      </c>
      <c r="H79" t="s">
        <v>96</v>
      </c>
      <c r="I79">
        <v>120</v>
      </c>
      <c r="J79">
        <v>3</v>
      </c>
      <c r="K79">
        <v>4</v>
      </c>
      <c r="L79">
        <v>3</v>
      </c>
      <c r="M79">
        <v>-1</v>
      </c>
      <c r="N79" t="s">
        <v>761</v>
      </c>
      <c r="O79" t="s">
        <v>735</v>
      </c>
      <c r="P79">
        <v>4</v>
      </c>
      <c r="Q79">
        <v>5</v>
      </c>
      <c r="R79">
        <v>1</v>
      </c>
      <c r="S79" t="s">
        <v>762</v>
      </c>
      <c r="T79" t="s">
        <v>737</v>
      </c>
      <c r="U79">
        <v>7</v>
      </c>
      <c r="V79">
        <v>9</v>
      </c>
      <c r="W79">
        <v>2</v>
      </c>
      <c r="X79" t="s">
        <v>763</v>
      </c>
      <c r="Y79" t="s">
        <v>739</v>
      </c>
      <c r="Z79">
        <v>9</v>
      </c>
      <c r="AA79">
        <v>1</v>
      </c>
      <c r="AB79">
        <v>-8</v>
      </c>
      <c r="AC79" t="s">
        <v>764</v>
      </c>
      <c r="AD79" t="s">
        <v>741</v>
      </c>
      <c r="AE79">
        <v>6</v>
      </c>
      <c r="AF79">
        <v>3</v>
      </c>
      <c r="AG79">
        <v>-3</v>
      </c>
      <c r="AH79" t="s">
        <v>765</v>
      </c>
      <c r="AI79" t="s">
        <v>743</v>
      </c>
      <c r="AJ79">
        <v>8</v>
      </c>
      <c r="AK79">
        <v>7</v>
      </c>
      <c r="AL79">
        <v>-1</v>
      </c>
      <c r="AM79" t="s">
        <v>766</v>
      </c>
      <c r="AN79" t="s">
        <v>745</v>
      </c>
      <c r="AO79">
        <v>6</v>
      </c>
      <c r="AP79">
        <v>2</v>
      </c>
      <c r="AQ79">
        <v>-4</v>
      </c>
      <c r="AR79" t="s">
        <v>767</v>
      </c>
      <c r="AS79" t="s">
        <v>747</v>
      </c>
      <c r="AT79">
        <v>5</v>
      </c>
      <c r="AU79">
        <v>6</v>
      </c>
      <c r="AV79">
        <v>1</v>
      </c>
      <c r="AW79" t="s">
        <v>768</v>
      </c>
      <c r="AX79" t="s">
        <v>749</v>
      </c>
      <c r="AY79">
        <v>9</v>
      </c>
      <c r="AZ79">
        <v>8</v>
      </c>
      <c r="BA79">
        <v>-1</v>
      </c>
      <c r="BB79" t="s">
        <v>769</v>
      </c>
      <c r="BC79" t="s">
        <v>751</v>
      </c>
    </row>
    <row r="80" spans="1:55" x14ac:dyDescent="0.45">
      <c r="A80">
        <v>16</v>
      </c>
      <c r="B80">
        <v>4</v>
      </c>
      <c r="C80">
        <v>1546</v>
      </c>
      <c r="D80" t="s">
        <v>161</v>
      </c>
      <c r="E80" t="s">
        <v>93</v>
      </c>
      <c r="F80" t="s">
        <v>94</v>
      </c>
      <c r="G80" t="s">
        <v>149</v>
      </c>
      <c r="H80" t="s">
        <v>96</v>
      </c>
      <c r="I80">
        <v>120</v>
      </c>
      <c r="J80">
        <v>3</v>
      </c>
      <c r="K80">
        <v>4</v>
      </c>
      <c r="L80">
        <v>3</v>
      </c>
      <c r="M80">
        <v>-1</v>
      </c>
      <c r="N80" t="s">
        <v>770</v>
      </c>
      <c r="O80" t="s">
        <v>735</v>
      </c>
      <c r="P80">
        <v>3</v>
      </c>
      <c r="Q80">
        <v>5</v>
      </c>
      <c r="R80">
        <v>2</v>
      </c>
      <c r="S80" t="s">
        <v>771</v>
      </c>
      <c r="T80" t="s">
        <v>737</v>
      </c>
      <c r="U80">
        <v>7</v>
      </c>
      <c r="V80">
        <v>9</v>
      </c>
      <c r="W80">
        <v>2</v>
      </c>
      <c r="X80" t="s">
        <v>772</v>
      </c>
      <c r="Y80" t="s">
        <v>739</v>
      </c>
      <c r="Z80">
        <v>8</v>
      </c>
      <c r="AA80">
        <v>1</v>
      </c>
      <c r="AB80">
        <v>-7</v>
      </c>
      <c r="AC80" t="s">
        <v>773</v>
      </c>
      <c r="AD80" t="s">
        <v>741</v>
      </c>
      <c r="AE80">
        <v>6</v>
      </c>
      <c r="AF80">
        <v>3</v>
      </c>
      <c r="AG80">
        <v>-3</v>
      </c>
      <c r="AH80" t="s">
        <v>774</v>
      </c>
      <c r="AI80" t="s">
        <v>743</v>
      </c>
      <c r="AJ80">
        <v>8</v>
      </c>
      <c r="AK80">
        <v>7</v>
      </c>
      <c r="AL80">
        <v>-1</v>
      </c>
      <c r="AM80" t="s">
        <v>775</v>
      </c>
      <c r="AN80" t="s">
        <v>745</v>
      </c>
      <c r="AO80">
        <v>6</v>
      </c>
      <c r="AP80">
        <v>2</v>
      </c>
      <c r="AQ80">
        <v>-4</v>
      </c>
      <c r="AR80" t="s">
        <v>776</v>
      </c>
      <c r="AS80" t="s">
        <v>747</v>
      </c>
      <c r="AT80">
        <v>5</v>
      </c>
      <c r="AU80">
        <v>6</v>
      </c>
      <c r="AV80">
        <v>1</v>
      </c>
      <c r="AW80" t="s">
        <v>777</v>
      </c>
      <c r="AX80" t="s">
        <v>749</v>
      </c>
      <c r="AY80">
        <v>9</v>
      </c>
      <c r="AZ80">
        <v>8</v>
      </c>
      <c r="BA80">
        <v>-1</v>
      </c>
      <c r="BB80" t="s">
        <v>778</v>
      </c>
      <c r="BC80" t="s">
        <v>751</v>
      </c>
    </row>
    <row r="81" spans="1:55" x14ac:dyDescent="0.45">
      <c r="A81">
        <v>16</v>
      </c>
      <c r="B81">
        <v>5</v>
      </c>
      <c r="C81">
        <v>1547</v>
      </c>
      <c r="D81" t="s">
        <v>161</v>
      </c>
      <c r="E81" t="s">
        <v>93</v>
      </c>
      <c r="F81" t="s">
        <v>94</v>
      </c>
      <c r="G81" t="s">
        <v>149</v>
      </c>
      <c r="H81" t="s">
        <v>96</v>
      </c>
      <c r="I81">
        <v>120</v>
      </c>
      <c r="J81">
        <v>3</v>
      </c>
      <c r="K81">
        <v>4</v>
      </c>
      <c r="L81">
        <v>3</v>
      </c>
      <c r="M81">
        <v>-1</v>
      </c>
      <c r="N81" t="s">
        <v>779</v>
      </c>
      <c r="O81" t="s">
        <v>735</v>
      </c>
      <c r="P81">
        <v>5</v>
      </c>
      <c r="Q81">
        <v>5</v>
      </c>
      <c r="R81">
        <v>0</v>
      </c>
      <c r="S81" t="s">
        <v>780</v>
      </c>
      <c r="T81" t="s">
        <v>737</v>
      </c>
      <c r="U81">
        <v>7</v>
      </c>
      <c r="V81">
        <v>9</v>
      </c>
      <c r="W81">
        <v>2</v>
      </c>
      <c r="X81" t="s">
        <v>781</v>
      </c>
      <c r="Y81" t="s">
        <v>739</v>
      </c>
      <c r="Z81">
        <v>6</v>
      </c>
      <c r="AA81">
        <v>1</v>
      </c>
      <c r="AB81">
        <v>-5</v>
      </c>
      <c r="AC81" t="s">
        <v>782</v>
      </c>
      <c r="AD81" t="s">
        <v>741</v>
      </c>
      <c r="AE81">
        <v>6</v>
      </c>
      <c r="AF81">
        <v>3</v>
      </c>
      <c r="AG81">
        <v>-3</v>
      </c>
      <c r="AH81" t="s">
        <v>783</v>
      </c>
      <c r="AI81" t="s">
        <v>743</v>
      </c>
      <c r="AJ81">
        <v>5</v>
      </c>
      <c r="AK81">
        <v>7</v>
      </c>
      <c r="AL81">
        <v>2</v>
      </c>
      <c r="AM81" t="s">
        <v>784</v>
      </c>
      <c r="AN81" t="s">
        <v>745</v>
      </c>
      <c r="AO81">
        <v>4</v>
      </c>
      <c r="AP81">
        <v>2</v>
      </c>
      <c r="AQ81">
        <v>-2</v>
      </c>
      <c r="AR81" t="s">
        <v>785</v>
      </c>
      <c r="AS81" t="s">
        <v>747</v>
      </c>
      <c r="AT81">
        <v>5</v>
      </c>
      <c r="AU81">
        <v>6</v>
      </c>
      <c r="AV81">
        <v>1</v>
      </c>
      <c r="AW81" t="s">
        <v>786</v>
      </c>
      <c r="AX81" t="s">
        <v>749</v>
      </c>
      <c r="AY81">
        <v>8</v>
      </c>
      <c r="AZ81">
        <v>8</v>
      </c>
      <c r="BA81">
        <v>0</v>
      </c>
      <c r="BB81" t="s">
        <v>787</v>
      </c>
      <c r="BC81" t="s">
        <v>751</v>
      </c>
    </row>
    <row r="82" spans="1:55" x14ac:dyDescent="0.45">
      <c r="A82">
        <v>17</v>
      </c>
      <c r="B82">
        <v>1</v>
      </c>
      <c r="C82">
        <v>1643</v>
      </c>
      <c r="D82" t="s">
        <v>92</v>
      </c>
      <c r="E82" t="s">
        <v>93</v>
      </c>
      <c r="F82" t="s">
        <v>94</v>
      </c>
      <c r="G82" t="s">
        <v>95</v>
      </c>
      <c r="H82" t="s">
        <v>96</v>
      </c>
      <c r="I82">
        <v>40</v>
      </c>
      <c r="J82">
        <v>0</v>
      </c>
      <c r="K82">
        <v>7</v>
      </c>
      <c r="L82">
        <v>8</v>
      </c>
      <c r="M82">
        <v>1</v>
      </c>
      <c r="N82" t="s">
        <v>788</v>
      </c>
      <c r="O82" t="s">
        <v>789</v>
      </c>
      <c r="P82">
        <v>7</v>
      </c>
      <c r="Q82">
        <v>8</v>
      </c>
      <c r="R82">
        <v>1</v>
      </c>
      <c r="S82" t="s">
        <v>790</v>
      </c>
      <c r="T82" t="s">
        <v>791</v>
      </c>
      <c r="U82">
        <v>6</v>
      </c>
      <c r="V82">
        <v>5</v>
      </c>
      <c r="W82">
        <v>-1</v>
      </c>
      <c r="X82" t="s">
        <v>792</v>
      </c>
      <c r="Y82" t="s">
        <v>793</v>
      </c>
      <c r="Z82">
        <v>9</v>
      </c>
      <c r="AA82">
        <v>10</v>
      </c>
      <c r="AB82">
        <v>1</v>
      </c>
      <c r="AC82" t="s">
        <v>794</v>
      </c>
      <c r="AD82" t="s">
        <v>795</v>
      </c>
      <c r="AE82">
        <v>8</v>
      </c>
      <c r="AF82">
        <v>8</v>
      </c>
      <c r="AG82">
        <v>0</v>
      </c>
      <c r="AH82" t="s">
        <v>796</v>
      </c>
      <c r="AI82" t="s">
        <v>797</v>
      </c>
      <c r="AJ82">
        <v>9</v>
      </c>
      <c r="AK82">
        <v>8</v>
      </c>
      <c r="AL82">
        <v>-1</v>
      </c>
      <c r="AM82" t="s">
        <v>798</v>
      </c>
      <c r="AN82" t="s">
        <v>799</v>
      </c>
      <c r="AO82">
        <v>7</v>
      </c>
      <c r="AP82">
        <v>8</v>
      </c>
      <c r="AQ82">
        <v>1</v>
      </c>
      <c r="AR82" t="s">
        <v>800</v>
      </c>
      <c r="AS82" t="s">
        <v>801</v>
      </c>
      <c r="AT82">
        <v>8</v>
      </c>
      <c r="AU82">
        <v>8</v>
      </c>
      <c r="AV82">
        <v>0</v>
      </c>
      <c r="AW82" t="s">
        <v>802</v>
      </c>
      <c r="AX82" t="s">
        <v>803</v>
      </c>
      <c r="AY82">
        <v>9</v>
      </c>
      <c r="AZ82">
        <v>10</v>
      </c>
      <c r="BA82">
        <v>1</v>
      </c>
      <c r="BB82" t="s">
        <v>804</v>
      </c>
      <c r="BC82" t="s">
        <v>805</v>
      </c>
    </row>
    <row r="83" spans="1:55" x14ac:dyDescent="0.45">
      <c r="A83">
        <v>17</v>
      </c>
      <c r="B83">
        <v>2</v>
      </c>
      <c r="C83">
        <v>1644</v>
      </c>
      <c r="D83" t="s">
        <v>92</v>
      </c>
      <c r="E83" t="s">
        <v>93</v>
      </c>
      <c r="F83" t="s">
        <v>94</v>
      </c>
      <c r="G83" t="s">
        <v>95</v>
      </c>
      <c r="H83" t="s">
        <v>96</v>
      </c>
      <c r="I83">
        <v>40</v>
      </c>
      <c r="J83">
        <v>0</v>
      </c>
      <c r="K83">
        <v>5</v>
      </c>
      <c r="L83">
        <v>8</v>
      </c>
      <c r="M83">
        <v>3</v>
      </c>
      <c r="N83" t="s">
        <v>806</v>
      </c>
      <c r="O83" t="s">
        <v>789</v>
      </c>
      <c r="P83">
        <v>5</v>
      </c>
      <c r="Q83">
        <v>8</v>
      </c>
      <c r="R83">
        <v>3</v>
      </c>
      <c r="S83" t="s">
        <v>807</v>
      </c>
      <c r="T83" t="s">
        <v>791</v>
      </c>
      <c r="U83">
        <v>7</v>
      </c>
      <c r="V83">
        <v>5</v>
      </c>
      <c r="W83">
        <v>-2</v>
      </c>
      <c r="X83" t="s">
        <v>808</v>
      </c>
      <c r="Y83" t="s">
        <v>793</v>
      </c>
      <c r="Z83">
        <v>8</v>
      </c>
      <c r="AA83">
        <v>10</v>
      </c>
      <c r="AB83">
        <v>2</v>
      </c>
      <c r="AC83" t="s">
        <v>809</v>
      </c>
      <c r="AD83" t="s">
        <v>795</v>
      </c>
      <c r="AE83">
        <v>6</v>
      </c>
      <c r="AF83">
        <v>8</v>
      </c>
      <c r="AG83">
        <v>2</v>
      </c>
      <c r="AH83" t="s">
        <v>810</v>
      </c>
      <c r="AI83" t="s">
        <v>797</v>
      </c>
      <c r="AJ83">
        <v>7</v>
      </c>
      <c r="AK83">
        <v>8</v>
      </c>
      <c r="AL83">
        <v>1</v>
      </c>
      <c r="AM83" t="s">
        <v>811</v>
      </c>
      <c r="AN83" t="s">
        <v>799</v>
      </c>
      <c r="AO83">
        <v>6</v>
      </c>
      <c r="AP83">
        <v>8</v>
      </c>
      <c r="AQ83">
        <v>2</v>
      </c>
      <c r="AR83" t="s">
        <v>812</v>
      </c>
      <c r="AS83" t="s">
        <v>801</v>
      </c>
      <c r="AT83">
        <v>6</v>
      </c>
      <c r="AU83">
        <v>8</v>
      </c>
      <c r="AV83">
        <v>2</v>
      </c>
      <c r="AW83" t="s">
        <v>813</v>
      </c>
      <c r="AX83" t="s">
        <v>803</v>
      </c>
      <c r="AY83">
        <v>8</v>
      </c>
      <c r="AZ83">
        <v>10</v>
      </c>
      <c r="BA83">
        <v>2</v>
      </c>
      <c r="BB83" t="s">
        <v>814</v>
      </c>
      <c r="BC83" t="s">
        <v>805</v>
      </c>
    </row>
    <row r="84" spans="1:55" x14ac:dyDescent="0.45">
      <c r="A84">
        <v>17</v>
      </c>
      <c r="B84">
        <v>3</v>
      </c>
      <c r="C84">
        <v>1645</v>
      </c>
      <c r="D84" t="s">
        <v>92</v>
      </c>
      <c r="E84" t="s">
        <v>93</v>
      </c>
      <c r="F84" t="s">
        <v>94</v>
      </c>
      <c r="G84" t="s">
        <v>95</v>
      </c>
      <c r="H84" t="s">
        <v>96</v>
      </c>
      <c r="I84">
        <v>40</v>
      </c>
      <c r="J84">
        <v>0</v>
      </c>
      <c r="K84">
        <v>7</v>
      </c>
      <c r="L84">
        <v>8</v>
      </c>
      <c r="M84">
        <v>1</v>
      </c>
      <c r="N84" t="s">
        <v>815</v>
      </c>
      <c r="O84" t="s">
        <v>789</v>
      </c>
      <c r="P84">
        <v>7</v>
      </c>
      <c r="Q84">
        <v>8</v>
      </c>
      <c r="R84">
        <v>1</v>
      </c>
      <c r="S84" t="s">
        <v>816</v>
      </c>
      <c r="T84" t="s">
        <v>791</v>
      </c>
      <c r="U84">
        <v>8</v>
      </c>
      <c r="V84">
        <v>5</v>
      </c>
      <c r="W84">
        <v>-3</v>
      </c>
      <c r="X84" t="s">
        <v>817</v>
      </c>
      <c r="Y84" t="s">
        <v>793</v>
      </c>
      <c r="Z84">
        <v>9</v>
      </c>
      <c r="AA84">
        <v>10</v>
      </c>
      <c r="AB84">
        <v>1</v>
      </c>
      <c r="AC84" t="s">
        <v>818</v>
      </c>
      <c r="AD84" t="s">
        <v>795</v>
      </c>
      <c r="AE84">
        <v>8</v>
      </c>
      <c r="AF84">
        <v>8</v>
      </c>
      <c r="AG84">
        <v>0</v>
      </c>
      <c r="AH84" t="s">
        <v>819</v>
      </c>
      <c r="AI84" t="s">
        <v>797</v>
      </c>
      <c r="AJ84">
        <v>9</v>
      </c>
      <c r="AK84">
        <v>8</v>
      </c>
      <c r="AL84">
        <v>-1</v>
      </c>
      <c r="AM84" t="s">
        <v>820</v>
      </c>
      <c r="AN84" t="s">
        <v>799</v>
      </c>
      <c r="AO84">
        <v>8</v>
      </c>
      <c r="AP84">
        <v>8</v>
      </c>
      <c r="AQ84">
        <v>0</v>
      </c>
      <c r="AR84" t="s">
        <v>821</v>
      </c>
      <c r="AS84" t="s">
        <v>801</v>
      </c>
      <c r="AT84">
        <v>9</v>
      </c>
      <c r="AU84">
        <v>8</v>
      </c>
      <c r="AV84">
        <v>-1</v>
      </c>
      <c r="AW84" t="s">
        <v>822</v>
      </c>
      <c r="AX84" t="s">
        <v>803</v>
      </c>
      <c r="AY84">
        <v>10</v>
      </c>
      <c r="AZ84">
        <v>10</v>
      </c>
      <c r="BA84">
        <v>0</v>
      </c>
      <c r="BB84" t="s">
        <v>823</v>
      </c>
      <c r="BC84" t="s">
        <v>805</v>
      </c>
    </row>
    <row r="85" spans="1:55" x14ac:dyDescent="0.45">
      <c r="A85">
        <v>17</v>
      </c>
      <c r="B85">
        <v>4</v>
      </c>
      <c r="C85">
        <v>1646</v>
      </c>
      <c r="D85" t="s">
        <v>92</v>
      </c>
      <c r="E85" t="s">
        <v>93</v>
      </c>
      <c r="F85" t="s">
        <v>94</v>
      </c>
      <c r="G85" t="s">
        <v>95</v>
      </c>
      <c r="H85" t="s">
        <v>96</v>
      </c>
      <c r="I85">
        <v>40</v>
      </c>
      <c r="J85">
        <v>0</v>
      </c>
      <c r="K85">
        <v>7</v>
      </c>
      <c r="L85">
        <v>8</v>
      </c>
      <c r="M85">
        <v>1</v>
      </c>
      <c r="N85" t="s">
        <v>824</v>
      </c>
      <c r="O85" t="s">
        <v>789</v>
      </c>
      <c r="P85">
        <v>6</v>
      </c>
      <c r="Q85">
        <v>8</v>
      </c>
      <c r="R85">
        <v>2</v>
      </c>
      <c r="S85" t="s">
        <v>825</v>
      </c>
      <c r="T85" t="s">
        <v>791</v>
      </c>
      <c r="U85">
        <v>8</v>
      </c>
      <c r="V85">
        <v>5</v>
      </c>
      <c r="W85">
        <v>-3</v>
      </c>
      <c r="X85" t="s">
        <v>826</v>
      </c>
      <c r="Y85" t="s">
        <v>793</v>
      </c>
      <c r="Z85">
        <v>9</v>
      </c>
      <c r="AA85">
        <v>10</v>
      </c>
      <c r="AB85">
        <v>1</v>
      </c>
      <c r="AC85" t="s">
        <v>827</v>
      </c>
      <c r="AD85" t="s">
        <v>795</v>
      </c>
      <c r="AE85">
        <v>8</v>
      </c>
      <c r="AF85">
        <v>8</v>
      </c>
      <c r="AG85">
        <v>0</v>
      </c>
      <c r="AH85" t="s">
        <v>828</v>
      </c>
      <c r="AI85" t="s">
        <v>797</v>
      </c>
      <c r="AJ85">
        <v>9</v>
      </c>
      <c r="AK85">
        <v>8</v>
      </c>
      <c r="AL85">
        <v>-1</v>
      </c>
      <c r="AM85" t="s">
        <v>829</v>
      </c>
      <c r="AN85" t="s">
        <v>799</v>
      </c>
      <c r="AO85">
        <v>7</v>
      </c>
      <c r="AP85">
        <v>8</v>
      </c>
      <c r="AQ85">
        <v>1</v>
      </c>
      <c r="AR85" t="s">
        <v>830</v>
      </c>
      <c r="AS85" t="s">
        <v>801</v>
      </c>
      <c r="AT85">
        <v>8</v>
      </c>
      <c r="AU85">
        <v>8</v>
      </c>
      <c r="AV85">
        <v>0</v>
      </c>
      <c r="AW85" t="s">
        <v>831</v>
      </c>
      <c r="AX85" t="s">
        <v>803</v>
      </c>
      <c r="AY85">
        <v>9</v>
      </c>
      <c r="AZ85">
        <v>10</v>
      </c>
      <c r="BA85">
        <v>1</v>
      </c>
      <c r="BB85" t="s">
        <v>832</v>
      </c>
      <c r="BC85" t="s">
        <v>805</v>
      </c>
    </row>
    <row r="86" spans="1:55" x14ac:dyDescent="0.45">
      <c r="A86">
        <v>17</v>
      </c>
      <c r="B86">
        <v>5</v>
      </c>
      <c r="C86">
        <v>1647</v>
      </c>
      <c r="D86" t="s">
        <v>92</v>
      </c>
      <c r="E86" t="s">
        <v>93</v>
      </c>
      <c r="F86" t="s">
        <v>94</v>
      </c>
      <c r="G86" t="s">
        <v>95</v>
      </c>
      <c r="H86" t="s">
        <v>96</v>
      </c>
      <c r="I86">
        <v>40</v>
      </c>
      <c r="J86">
        <v>0</v>
      </c>
      <c r="K86">
        <v>6</v>
      </c>
      <c r="L86">
        <v>8</v>
      </c>
      <c r="M86">
        <v>2</v>
      </c>
      <c r="N86" t="s">
        <v>833</v>
      </c>
      <c r="O86" t="s">
        <v>789</v>
      </c>
      <c r="P86">
        <v>5</v>
      </c>
      <c r="Q86">
        <v>8</v>
      </c>
      <c r="R86">
        <v>3</v>
      </c>
      <c r="S86" t="s">
        <v>834</v>
      </c>
      <c r="T86" t="s">
        <v>791</v>
      </c>
      <c r="U86">
        <v>8</v>
      </c>
      <c r="V86">
        <v>5</v>
      </c>
      <c r="W86">
        <v>-3</v>
      </c>
      <c r="X86" t="s">
        <v>835</v>
      </c>
      <c r="Y86" t="s">
        <v>793</v>
      </c>
      <c r="Z86">
        <v>9</v>
      </c>
      <c r="AA86">
        <v>10</v>
      </c>
      <c r="AB86">
        <v>1</v>
      </c>
      <c r="AC86" t="s">
        <v>836</v>
      </c>
      <c r="AD86" t="s">
        <v>795</v>
      </c>
      <c r="AE86">
        <v>7</v>
      </c>
      <c r="AF86">
        <v>8</v>
      </c>
      <c r="AG86">
        <v>1</v>
      </c>
      <c r="AH86" t="s">
        <v>837</v>
      </c>
      <c r="AI86" t="s">
        <v>797</v>
      </c>
      <c r="AJ86">
        <v>8</v>
      </c>
      <c r="AK86">
        <v>8</v>
      </c>
      <c r="AL86">
        <v>0</v>
      </c>
      <c r="AM86" t="s">
        <v>838</v>
      </c>
      <c r="AN86" t="s">
        <v>799</v>
      </c>
      <c r="AO86">
        <v>7</v>
      </c>
      <c r="AP86">
        <v>8</v>
      </c>
      <c r="AQ86">
        <v>1</v>
      </c>
      <c r="AR86" t="s">
        <v>839</v>
      </c>
      <c r="AS86" t="s">
        <v>801</v>
      </c>
      <c r="AT86">
        <v>8</v>
      </c>
      <c r="AU86">
        <v>8</v>
      </c>
      <c r="AV86">
        <v>0</v>
      </c>
      <c r="AW86" t="s">
        <v>840</v>
      </c>
      <c r="AX86" t="s">
        <v>803</v>
      </c>
      <c r="AY86">
        <v>9</v>
      </c>
      <c r="AZ86">
        <v>10</v>
      </c>
      <c r="BA86">
        <v>1</v>
      </c>
      <c r="BB86" t="s">
        <v>841</v>
      </c>
      <c r="BC86" t="s">
        <v>805</v>
      </c>
    </row>
    <row r="87" spans="1:55" x14ac:dyDescent="0.45">
      <c r="A87">
        <v>18</v>
      </c>
      <c r="B87">
        <v>1</v>
      </c>
      <c r="C87">
        <v>1743</v>
      </c>
      <c r="D87" t="s">
        <v>92</v>
      </c>
      <c r="E87" t="s">
        <v>93</v>
      </c>
      <c r="F87" t="s">
        <v>94</v>
      </c>
      <c r="G87" t="s">
        <v>149</v>
      </c>
      <c r="H87" t="s">
        <v>96</v>
      </c>
      <c r="I87">
        <v>40</v>
      </c>
      <c r="J87">
        <v>2</v>
      </c>
      <c r="K87">
        <v>6</v>
      </c>
      <c r="L87">
        <v>9</v>
      </c>
      <c r="M87">
        <v>3</v>
      </c>
      <c r="N87" t="s">
        <v>842</v>
      </c>
      <c r="O87" t="s">
        <v>843</v>
      </c>
      <c r="P87">
        <v>7</v>
      </c>
      <c r="Q87">
        <v>7</v>
      </c>
      <c r="R87">
        <v>0</v>
      </c>
      <c r="S87" t="s">
        <v>844</v>
      </c>
      <c r="T87" t="s">
        <v>845</v>
      </c>
      <c r="U87">
        <v>8</v>
      </c>
      <c r="V87">
        <v>5</v>
      </c>
      <c r="W87">
        <v>-3</v>
      </c>
      <c r="X87" t="s">
        <v>846</v>
      </c>
      <c r="Y87" t="s">
        <v>847</v>
      </c>
      <c r="Z87">
        <v>9</v>
      </c>
      <c r="AA87">
        <v>5</v>
      </c>
      <c r="AB87">
        <v>-4</v>
      </c>
      <c r="AC87" t="s">
        <v>848</v>
      </c>
      <c r="AD87" t="s">
        <v>849</v>
      </c>
      <c r="AE87">
        <v>5</v>
      </c>
      <c r="AF87">
        <v>5</v>
      </c>
      <c r="AG87">
        <v>0</v>
      </c>
      <c r="AH87" t="s">
        <v>850</v>
      </c>
      <c r="AI87" t="s">
        <v>851</v>
      </c>
      <c r="AJ87">
        <v>7</v>
      </c>
      <c r="AK87">
        <v>9</v>
      </c>
      <c r="AL87">
        <v>2</v>
      </c>
      <c r="AM87" t="s">
        <v>852</v>
      </c>
      <c r="AN87" t="s">
        <v>853</v>
      </c>
      <c r="AO87">
        <v>6</v>
      </c>
      <c r="AP87">
        <v>6</v>
      </c>
      <c r="AQ87">
        <v>0</v>
      </c>
      <c r="AR87" t="s">
        <v>854</v>
      </c>
      <c r="AS87" t="s">
        <v>855</v>
      </c>
      <c r="AT87">
        <v>5</v>
      </c>
      <c r="AU87">
        <v>6</v>
      </c>
      <c r="AV87">
        <v>1</v>
      </c>
      <c r="AW87" t="s">
        <v>856</v>
      </c>
      <c r="AX87" t="s">
        <v>857</v>
      </c>
      <c r="AY87">
        <v>9</v>
      </c>
      <c r="AZ87">
        <v>9</v>
      </c>
      <c r="BA87">
        <v>0</v>
      </c>
      <c r="BB87" t="s">
        <v>858</v>
      </c>
      <c r="BC87" t="s">
        <v>859</v>
      </c>
    </row>
    <row r="88" spans="1:55" x14ac:dyDescent="0.45">
      <c r="A88">
        <v>18</v>
      </c>
      <c r="B88">
        <v>2</v>
      </c>
      <c r="C88">
        <v>1744</v>
      </c>
      <c r="D88" t="s">
        <v>92</v>
      </c>
      <c r="E88" t="s">
        <v>93</v>
      </c>
      <c r="F88" t="s">
        <v>94</v>
      </c>
      <c r="G88" t="s">
        <v>149</v>
      </c>
      <c r="H88" t="s">
        <v>96</v>
      </c>
      <c r="I88">
        <v>40</v>
      </c>
      <c r="J88">
        <v>2</v>
      </c>
      <c r="K88">
        <v>6</v>
      </c>
      <c r="L88">
        <v>9</v>
      </c>
      <c r="M88">
        <v>3</v>
      </c>
      <c r="N88" t="s">
        <v>860</v>
      </c>
      <c r="O88" t="s">
        <v>843</v>
      </c>
      <c r="P88">
        <v>5</v>
      </c>
      <c r="Q88">
        <v>7</v>
      </c>
      <c r="R88">
        <v>2</v>
      </c>
      <c r="S88" t="s">
        <v>861</v>
      </c>
      <c r="T88" t="s">
        <v>845</v>
      </c>
      <c r="U88">
        <v>7</v>
      </c>
      <c r="V88">
        <v>5</v>
      </c>
      <c r="W88">
        <v>-2</v>
      </c>
      <c r="X88" t="s">
        <v>862</v>
      </c>
      <c r="Y88" t="s">
        <v>847</v>
      </c>
      <c r="Z88">
        <v>6</v>
      </c>
      <c r="AA88">
        <v>5</v>
      </c>
      <c r="AB88">
        <v>-1</v>
      </c>
      <c r="AC88" t="s">
        <v>863</v>
      </c>
      <c r="AD88" t="s">
        <v>849</v>
      </c>
      <c r="AE88">
        <v>8</v>
      </c>
      <c r="AF88">
        <v>5</v>
      </c>
      <c r="AG88">
        <v>-3</v>
      </c>
      <c r="AH88" t="s">
        <v>864</v>
      </c>
      <c r="AI88" t="s">
        <v>851</v>
      </c>
      <c r="AJ88">
        <v>7</v>
      </c>
      <c r="AK88">
        <v>9</v>
      </c>
      <c r="AL88">
        <v>2</v>
      </c>
      <c r="AM88" t="s">
        <v>865</v>
      </c>
      <c r="AN88" t="s">
        <v>853</v>
      </c>
      <c r="AO88">
        <v>6</v>
      </c>
      <c r="AP88">
        <v>6</v>
      </c>
      <c r="AQ88">
        <v>0</v>
      </c>
      <c r="AR88" t="s">
        <v>866</v>
      </c>
      <c r="AS88" t="s">
        <v>855</v>
      </c>
      <c r="AT88">
        <v>5</v>
      </c>
      <c r="AU88">
        <v>6</v>
      </c>
      <c r="AV88">
        <v>1</v>
      </c>
      <c r="AW88" t="s">
        <v>867</v>
      </c>
      <c r="AX88" t="s">
        <v>857</v>
      </c>
      <c r="AY88">
        <v>8</v>
      </c>
      <c r="AZ88">
        <v>9</v>
      </c>
      <c r="BA88">
        <v>1</v>
      </c>
      <c r="BB88" t="s">
        <v>868</v>
      </c>
      <c r="BC88" t="s">
        <v>859</v>
      </c>
    </row>
    <row r="89" spans="1:55" x14ac:dyDescent="0.45">
      <c r="A89">
        <v>18</v>
      </c>
      <c r="B89">
        <v>3</v>
      </c>
      <c r="C89">
        <v>1745</v>
      </c>
      <c r="D89" t="s">
        <v>92</v>
      </c>
      <c r="E89" t="s">
        <v>93</v>
      </c>
      <c r="F89" t="s">
        <v>94</v>
      </c>
      <c r="G89" t="s">
        <v>149</v>
      </c>
      <c r="H89" t="s">
        <v>96</v>
      </c>
      <c r="I89">
        <v>40</v>
      </c>
      <c r="J89">
        <v>2</v>
      </c>
      <c r="K89">
        <v>8</v>
      </c>
      <c r="L89">
        <v>9</v>
      </c>
      <c r="M89">
        <v>1</v>
      </c>
      <c r="N89" t="s">
        <v>869</v>
      </c>
      <c r="O89" t="s">
        <v>843</v>
      </c>
      <c r="P89">
        <v>8</v>
      </c>
      <c r="Q89">
        <v>7</v>
      </c>
      <c r="R89">
        <v>-1</v>
      </c>
      <c r="S89" t="s">
        <v>870</v>
      </c>
      <c r="T89" t="s">
        <v>845</v>
      </c>
      <c r="U89">
        <v>7</v>
      </c>
      <c r="V89">
        <v>5</v>
      </c>
      <c r="W89">
        <v>-2</v>
      </c>
      <c r="X89" t="s">
        <v>871</v>
      </c>
      <c r="Y89" t="s">
        <v>847</v>
      </c>
      <c r="Z89">
        <v>6</v>
      </c>
      <c r="AA89">
        <v>5</v>
      </c>
      <c r="AB89">
        <v>-1</v>
      </c>
      <c r="AC89" t="s">
        <v>872</v>
      </c>
      <c r="AD89" t="s">
        <v>849</v>
      </c>
      <c r="AE89">
        <v>7</v>
      </c>
      <c r="AF89">
        <v>5</v>
      </c>
      <c r="AG89">
        <v>-2</v>
      </c>
      <c r="AH89" t="s">
        <v>873</v>
      </c>
      <c r="AI89" t="s">
        <v>851</v>
      </c>
      <c r="AJ89">
        <v>9</v>
      </c>
      <c r="AK89">
        <v>9</v>
      </c>
      <c r="AL89">
        <v>0</v>
      </c>
      <c r="AM89" t="s">
        <v>874</v>
      </c>
      <c r="AN89" t="s">
        <v>853</v>
      </c>
      <c r="AO89">
        <v>7</v>
      </c>
      <c r="AP89">
        <v>6</v>
      </c>
      <c r="AQ89">
        <v>-1</v>
      </c>
      <c r="AR89" t="s">
        <v>875</v>
      </c>
      <c r="AS89" t="s">
        <v>855</v>
      </c>
      <c r="AT89">
        <v>6</v>
      </c>
      <c r="AU89">
        <v>6</v>
      </c>
      <c r="AV89">
        <v>0</v>
      </c>
      <c r="AW89" t="s">
        <v>876</v>
      </c>
      <c r="AX89" t="s">
        <v>857</v>
      </c>
      <c r="AY89">
        <v>8</v>
      </c>
      <c r="AZ89">
        <v>9</v>
      </c>
      <c r="BA89">
        <v>1</v>
      </c>
      <c r="BB89" t="s">
        <v>877</v>
      </c>
      <c r="BC89" t="s">
        <v>859</v>
      </c>
    </row>
    <row r="90" spans="1:55" x14ac:dyDescent="0.45">
      <c r="A90">
        <v>18</v>
      </c>
      <c r="B90">
        <v>4</v>
      </c>
      <c r="C90">
        <v>1746</v>
      </c>
      <c r="D90" t="s">
        <v>92</v>
      </c>
      <c r="E90" t="s">
        <v>93</v>
      </c>
      <c r="F90" t="s">
        <v>94</v>
      </c>
      <c r="G90" t="s">
        <v>149</v>
      </c>
      <c r="H90" t="s">
        <v>96</v>
      </c>
      <c r="I90">
        <v>40</v>
      </c>
      <c r="J90">
        <v>2</v>
      </c>
      <c r="K90">
        <v>6</v>
      </c>
      <c r="L90">
        <v>9</v>
      </c>
      <c r="M90">
        <v>3</v>
      </c>
      <c r="N90" t="s">
        <v>878</v>
      </c>
      <c r="O90" t="s">
        <v>843</v>
      </c>
      <c r="P90">
        <v>7</v>
      </c>
      <c r="Q90">
        <v>7</v>
      </c>
      <c r="R90">
        <v>0</v>
      </c>
      <c r="S90" t="s">
        <v>879</v>
      </c>
      <c r="T90" t="s">
        <v>845</v>
      </c>
      <c r="U90">
        <v>9</v>
      </c>
      <c r="V90">
        <v>5</v>
      </c>
      <c r="W90">
        <v>-4</v>
      </c>
      <c r="X90" t="s">
        <v>880</v>
      </c>
      <c r="Y90" t="s">
        <v>847</v>
      </c>
      <c r="Z90">
        <v>8</v>
      </c>
      <c r="AA90">
        <v>5</v>
      </c>
      <c r="AB90">
        <v>-3</v>
      </c>
      <c r="AC90" t="s">
        <v>881</v>
      </c>
      <c r="AD90" t="s">
        <v>849</v>
      </c>
      <c r="AE90">
        <v>9</v>
      </c>
      <c r="AF90">
        <v>5</v>
      </c>
      <c r="AG90">
        <v>-4</v>
      </c>
      <c r="AH90" t="s">
        <v>882</v>
      </c>
      <c r="AI90" t="s">
        <v>851</v>
      </c>
      <c r="AJ90">
        <v>7</v>
      </c>
      <c r="AK90">
        <v>9</v>
      </c>
      <c r="AL90">
        <v>2</v>
      </c>
      <c r="AM90" t="s">
        <v>883</v>
      </c>
      <c r="AN90" t="s">
        <v>853</v>
      </c>
      <c r="AO90">
        <v>8</v>
      </c>
      <c r="AP90">
        <v>6</v>
      </c>
      <c r="AQ90">
        <v>-2</v>
      </c>
      <c r="AR90" t="s">
        <v>884</v>
      </c>
      <c r="AS90" t="s">
        <v>855</v>
      </c>
      <c r="AT90">
        <v>6</v>
      </c>
      <c r="AU90">
        <v>6</v>
      </c>
      <c r="AV90">
        <v>0</v>
      </c>
      <c r="AW90" t="s">
        <v>885</v>
      </c>
      <c r="AX90" t="s">
        <v>857</v>
      </c>
      <c r="AY90">
        <v>9</v>
      </c>
      <c r="AZ90">
        <v>9</v>
      </c>
      <c r="BA90">
        <v>0</v>
      </c>
      <c r="BB90" t="s">
        <v>886</v>
      </c>
      <c r="BC90" t="s">
        <v>859</v>
      </c>
    </row>
    <row r="91" spans="1:55" x14ac:dyDescent="0.45">
      <c r="A91">
        <v>18</v>
      </c>
      <c r="B91">
        <v>5</v>
      </c>
      <c r="C91">
        <v>1747</v>
      </c>
      <c r="D91" t="s">
        <v>92</v>
      </c>
      <c r="E91" t="s">
        <v>93</v>
      </c>
      <c r="F91" t="s">
        <v>94</v>
      </c>
      <c r="G91" t="s">
        <v>149</v>
      </c>
      <c r="H91" t="s">
        <v>96</v>
      </c>
      <c r="I91">
        <v>40</v>
      </c>
      <c r="J91">
        <v>2</v>
      </c>
      <c r="K91">
        <v>7</v>
      </c>
      <c r="L91">
        <v>9</v>
      </c>
      <c r="M91">
        <v>2</v>
      </c>
      <c r="N91" t="s">
        <v>887</v>
      </c>
      <c r="O91" t="s">
        <v>843</v>
      </c>
      <c r="P91">
        <v>6</v>
      </c>
      <c r="Q91">
        <v>7</v>
      </c>
      <c r="R91">
        <v>1</v>
      </c>
      <c r="S91" t="s">
        <v>888</v>
      </c>
      <c r="T91" t="s">
        <v>845</v>
      </c>
      <c r="U91">
        <v>8</v>
      </c>
      <c r="V91">
        <v>5</v>
      </c>
      <c r="W91">
        <v>-3</v>
      </c>
      <c r="X91" t="s">
        <v>889</v>
      </c>
      <c r="Y91" t="s">
        <v>847</v>
      </c>
      <c r="Z91">
        <v>7</v>
      </c>
      <c r="AA91">
        <v>5</v>
      </c>
      <c r="AB91">
        <v>-2</v>
      </c>
      <c r="AC91" t="s">
        <v>890</v>
      </c>
      <c r="AD91" t="s">
        <v>849</v>
      </c>
      <c r="AE91">
        <v>6</v>
      </c>
      <c r="AF91">
        <v>5</v>
      </c>
      <c r="AG91">
        <v>-1</v>
      </c>
      <c r="AH91" t="s">
        <v>891</v>
      </c>
      <c r="AI91" t="s">
        <v>851</v>
      </c>
      <c r="AJ91">
        <v>7</v>
      </c>
      <c r="AK91">
        <v>9</v>
      </c>
      <c r="AL91">
        <v>2</v>
      </c>
      <c r="AM91" t="s">
        <v>892</v>
      </c>
      <c r="AN91" t="s">
        <v>853</v>
      </c>
      <c r="AO91">
        <v>8</v>
      </c>
      <c r="AP91">
        <v>6</v>
      </c>
      <c r="AQ91">
        <v>-2</v>
      </c>
      <c r="AR91" t="s">
        <v>893</v>
      </c>
      <c r="AS91" t="s">
        <v>855</v>
      </c>
      <c r="AT91">
        <v>5</v>
      </c>
      <c r="AU91">
        <v>6</v>
      </c>
      <c r="AV91">
        <v>1</v>
      </c>
      <c r="AW91" t="s">
        <v>894</v>
      </c>
      <c r="AX91" t="s">
        <v>857</v>
      </c>
      <c r="AY91">
        <v>6</v>
      </c>
      <c r="AZ91">
        <v>9</v>
      </c>
      <c r="BA91">
        <v>3</v>
      </c>
      <c r="BB91" t="s">
        <v>895</v>
      </c>
      <c r="BC91" t="s">
        <v>859</v>
      </c>
    </row>
    <row r="92" spans="1:55" x14ac:dyDescent="0.45">
      <c r="A92">
        <v>19</v>
      </c>
      <c r="B92">
        <v>1</v>
      </c>
      <c r="C92">
        <v>1843</v>
      </c>
      <c r="D92" t="s">
        <v>92</v>
      </c>
      <c r="E92" t="s">
        <v>162</v>
      </c>
      <c r="F92" t="s">
        <v>94</v>
      </c>
      <c r="G92" t="s">
        <v>95</v>
      </c>
      <c r="H92" t="s">
        <v>96</v>
      </c>
      <c r="I92">
        <v>120</v>
      </c>
      <c r="J92">
        <v>2</v>
      </c>
      <c r="K92">
        <v>4</v>
      </c>
      <c r="L92">
        <v>4</v>
      </c>
      <c r="M92">
        <v>0</v>
      </c>
      <c r="N92" t="s">
        <v>896</v>
      </c>
      <c r="O92" t="s">
        <v>897</v>
      </c>
      <c r="P92">
        <v>5</v>
      </c>
      <c r="Q92">
        <v>6</v>
      </c>
      <c r="R92">
        <v>1</v>
      </c>
      <c r="S92" t="s">
        <v>898</v>
      </c>
      <c r="T92" t="s">
        <v>899</v>
      </c>
      <c r="U92">
        <v>7</v>
      </c>
      <c r="V92">
        <v>5</v>
      </c>
      <c r="W92">
        <v>-2</v>
      </c>
      <c r="X92" t="s">
        <v>900</v>
      </c>
      <c r="Y92" t="s">
        <v>901</v>
      </c>
      <c r="Z92">
        <v>8</v>
      </c>
      <c r="AA92">
        <v>6</v>
      </c>
      <c r="AB92">
        <v>-2</v>
      </c>
      <c r="AC92" t="s">
        <v>902</v>
      </c>
      <c r="AD92" t="s">
        <v>903</v>
      </c>
      <c r="AE92">
        <v>6</v>
      </c>
      <c r="AF92">
        <v>4</v>
      </c>
      <c r="AG92">
        <v>-2</v>
      </c>
      <c r="AH92" t="s">
        <v>904</v>
      </c>
      <c r="AI92" t="s">
        <v>905</v>
      </c>
      <c r="AJ92">
        <v>7</v>
      </c>
      <c r="AK92">
        <v>5</v>
      </c>
      <c r="AL92">
        <v>-2</v>
      </c>
      <c r="AM92" t="s">
        <v>906</v>
      </c>
      <c r="AN92" t="s">
        <v>907</v>
      </c>
      <c r="AO92">
        <v>6</v>
      </c>
      <c r="AP92">
        <v>4</v>
      </c>
      <c r="AQ92">
        <v>-2</v>
      </c>
      <c r="AR92" t="s">
        <v>908</v>
      </c>
      <c r="AS92" t="s">
        <v>909</v>
      </c>
      <c r="AT92">
        <v>7</v>
      </c>
      <c r="AU92">
        <v>5</v>
      </c>
      <c r="AV92">
        <v>-2</v>
      </c>
      <c r="AW92" t="s">
        <v>910</v>
      </c>
      <c r="AX92" t="s">
        <v>911</v>
      </c>
      <c r="AY92">
        <v>8</v>
      </c>
      <c r="AZ92">
        <v>5</v>
      </c>
      <c r="BA92">
        <v>-3</v>
      </c>
      <c r="BB92" t="s">
        <v>912</v>
      </c>
      <c r="BC92" t="s">
        <v>913</v>
      </c>
    </row>
    <row r="93" spans="1:55" x14ac:dyDescent="0.45">
      <c r="A93">
        <v>19</v>
      </c>
      <c r="B93">
        <v>2</v>
      </c>
      <c r="C93">
        <v>1844</v>
      </c>
      <c r="D93" t="s">
        <v>92</v>
      </c>
      <c r="E93" t="s">
        <v>162</v>
      </c>
      <c r="F93" t="s">
        <v>94</v>
      </c>
      <c r="G93" t="s">
        <v>95</v>
      </c>
      <c r="H93" t="s">
        <v>96</v>
      </c>
      <c r="I93">
        <v>120</v>
      </c>
      <c r="J93">
        <v>2</v>
      </c>
      <c r="K93">
        <v>6</v>
      </c>
      <c r="L93">
        <v>4</v>
      </c>
      <c r="M93">
        <v>-2</v>
      </c>
      <c r="N93" t="s">
        <v>914</v>
      </c>
      <c r="O93" t="s">
        <v>897</v>
      </c>
      <c r="P93">
        <v>6</v>
      </c>
      <c r="Q93">
        <v>6</v>
      </c>
      <c r="R93">
        <v>0</v>
      </c>
      <c r="S93" t="s">
        <v>915</v>
      </c>
      <c r="T93" t="s">
        <v>899</v>
      </c>
      <c r="U93">
        <v>8</v>
      </c>
      <c r="V93">
        <v>5</v>
      </c>
      <c r="W93">
        <v>-3</v>
      </c>
      <c r="X93" t="s">
        <v>916</v>
      </c>
      <c r="Y93" t="s">
        <v>901</v>
      </c>
      <c r="Z93">
        <v>7</v>
      </c>
      <c r="AA93">
        <v>6</v>
      </c>
      <c r="AB93">
        <v>-1</v>
      </c>
      <c r="AC93" t="s">
        <v>917</v>
      </c>
      <c r="AD93" t="s">
        <v>903</v>
      </c>
      <c r="AE93">
        <v>8</v>
      </c>
      <c r="AF93">
        <v>4</v>
      </c>
      <c r="AG93">
        <v>-4</v>
      </c>
      <c r="AH93" t="s">
        <v>918</v>
      </c>
      <c r="AI93" t="s">
        <v>905</v>
      </c>
      <c r="AJ93">
        <v>7</v>
      </c>
      <c r="AK93">
        <v>5</v>
      </c>
      <c r="AL93">
        <v>-2</v>
      </c>
      <c r="AM93" t="s">
        <v>919</v>
      </c>
      <c r="AN93" t="s">
        <v>907</v>
      </c>
      <c r="AO93">
        <v>6</v>
      </c>
      <c r="AP93">
        <v>4</v>
      </c>
      <c r="AQ93">
        <v>-2</v>
      </c>
      <c r="AR93" t="s">
        <v>920</v>
      </c>
      <c r="AS93" t="s">
        <v>909</v>
      </c>
      <c r="AT93">
        <v>7</v>
      </c>
      <c r="AU93">
        <v>5</v>
      </c>
      <c r="AV93">
        <v>-2</v>
      </c>
      <c r="AW93" t="s">
        <v>921</v>
      </c>
      <c r="AX93" t="s">
        <v>911</v>
      </c>
      <c r="AY93">
        <v>8</v>
      </c>
      <c r="AZ93">
        <v>5</v>
      </c>
      <c r="BA93">
        <v>-3</v>
      </c>
      <c r="BB93" t="s">
        <v>922</v>
      </c>
      <c r="BC93" t="s">
        <v>913</v>
      </c>
    </row>
    <row r="94" spans="1:55" x14ac:dyDescent="0.45">
      <c r="A94">
        <v>19</v>
      </c>
      <c r="B94">
        <v>3</v>
      </c>
      <c r="C94">
        <v>1845</v>
      </c>
      <c r="D94" t="s">
        <v>92</v>
      </c>
      <c r="E94" t="s">
        <v>162</v>
      </c>
      <c r="F94" t="s">
        <v>94</v>
      </c>
      <c r="G94" t="s">
        <v>95</v>
      </c>
      <c r="H94" t="s">
        <v>96</v>
      </c>
      <c r="I94">
        <v>120</v>
      </c>
      <c r="J94">
        <v>2</v>
      </c>
      <c r="K94">
        <v>2</v>
      </c>
      <c r="L94">
        <v>4</v>
      </c>
      <c r="M94">
        <v>2</v>
      </c>
      <c r="N94" t="s">
        <v>923</v>
      </c>
      <c r="O94" t="s">
        <v>897</v>
      </c>
      <c r="P94">
        <v>3</v>
      </c>
      <c r="Q94">
        <v>6</v>
      </c>
      <c r="R94">
        <v>3</v>
      </c>
      <c r="S94" t="s">
        <v>924</v>
      </c>
      <c r="T94" t="s">
        <v>899</v>
      </c>
      <c r="U94">
        <v>7</v>
      </c>
      <c r="V94">
        <v>5</v>
      </c>
      <c r="W94">
        <v>-2</v>
      </c>
      <c r="X94" t="s">
        <v>925</v>
      </c>
      <c r="Y94" t="s">
        <v>901</v>
      </c>
      <c r="Z94">
        <v>8</v>
      </c>
      <c r="AA94">
        <v>6</v>
      </c>
      <c r="AB94">
        <v>-2</v>
      </c>
      <c r="AC94" t="s">
        <v>926</v>
      </c>
      <c r="AD94" t="s">
        <v>903</v>
      </c>
      <c r="AE94">
        <v>4</v>
      </c>
      <c r="AF94">
        <v>4</v>
      </c>
      <c r="AG94">
        <v>0</v>
      </c>
      <c r="AH94" t="s">
        <v>927</v>
      </c>
      <c r="AI94" t="s">
        <v>905</v>
      </c>
      <c r="AJ94">
        <v>6</v>
      </c>
      <c r="AK94">
        <v>5</v>
      </c>
      <c r="AL94">
        <v>-1</v>
      </c>
      <c r="AM94" t="s">
        <v>928</v>
      </c>
      <c r="AN94" t="s">
        <v>907</v>
      </c>
      <c r="AO94">
        <v>5</v>
      </c>
      <c r="AP94">
        <v>4</v>
      </c>
      <c r="AQ94">
        <v>-1</v>
      </c>
      <c r="AR94" t="s">
        <v>929</v>
      </c>
      <c r="AS94" t="s">
        <v>909</v>
      </c>
      <c r="AT94">
        <v>6</v>
      </c>
      <c r="AU94">
        <v>5</v>
      </c>
      <c r="AV94">
        <v>-1</v>
      </c>
      <c r="AW94" t="s">
        <v>930</v>
      </c>
      <c r="AX94" t="s">
        <v>911</v>
      </c>
      <c r="AY94">
        <v>7</v>
      </c>
      <c r="AZ94">
        <v>5</v>
      </c>
      <c r="BA94">
        <v>-2</v>
      </c>
      <c r="BB94" t="s">
        <v>931</v>
      </c>
      <c r="BC94" t="s">
        <v>913</v>
      </c>
    </row>
    <row r="95" spans="1:55" x14ac:dyDescent="0.45">
      <c r="A95">
        <v>19</v>
      </c>
      <c r="B95">
        <v>4</v>
      </c>
      <c r="C95">
        <v>1846</v>
      </c>
      <c r="D95" t="s">
        <v>92</v>
      </c>
      <c r="E95" t="s">
        <v>162</v>
      </c>
      <c r="F95" t="s">
        <v>94</v>
      </c>
      <c r="G95" t="s">
        <v>95</v>
      </c>
      <c r="H95" t="s">
        <v>96</v>
      </c>
      <c r="I95">
        <v>120</v>
      </c>
      <c r="J95">
        <v>2</v>
      </c>
      <c r="K95">
        <v>2</v>
      </c>
      <c r="L95">
        <v>4</v>
      </c>
      <c r="M95">
        <v>2</v>
      </c>
      <c r="N95" t="s">
        <v>932</v>
      </c>
      <c r="O95" t="s">
        <v>897</v>
      </c>
      <c r="P95">
        <v>2</v>
      </c>
      <c r="Q95">
        <v>6</v>
      </c>
      <c r="R95">
        <v>4</v>
      </c>
      <c r="S95" t="s">
        <v>933</v>
      </c>
      <c r="T95" t="s">
        <v>899</v>
      </c>
      <c r="U95">
        <v>8</v>
      </c>
      <c r="V95">
        <v>5</v>
      </c>
      <c r="W95">
        <v>-3</v>
      </c>
      <c r="X95" t="s">
        <v>934</v>
      </c>
      <c r="Y95" t="s">
        <v>901</v>
      </c>
      <c r="Z95">
        <v>9</v>
      </c>
      <c r="AA95">
        <v>6</v>
      </c>
      <c r="AB95">
        <v>-3</v>
      </c>
      <c r="AC95" t="s">
        <v>935</v>
      </c>
      <c r="AD95" t="s">
        <v>903</v>
      </c>
      <c r="AE95">
        <v>7</v>
      </c>
      <c r="AF95">
        <v>4</v>
      </c>
      <c r="AG95">
        <v>-3</v>
      </c>
      <c r="AH95" t="s">
        <v>936</v>
      </c>
      <c r="AI95" t="s">
        <v>905</v>
      </c>
      <c r="AJ95">
        <v>5</v>
      </c>
      <c r="AK95">
        <v>5</v>
      </c>
      <c r="AL95">
        <v>0</v>
      </c>
      <c r="AM95" t="s">
        <v>937</v>
      </c>
      <c r="AN95" t="s">
        <v>907</v>
      </c>
      <c r="AO95">
        <v>6</v>
      </c>
      <c r="AP95">
        <v>4</v>
      </c>
      <c r="AQ95">
        <v>-2</v>
      </c>
      <c r="AR95" t="s">
        <v>938</v>
      </c>
      <c r="AS95" t="s">
        <v>909</v>
      </c>
      <c r="AT95">
        <v>7</v>
      </c>
      <c r="AU95">
        <v>5</v>
      </c>
      <c r="AV95">
        <v>-2</v>
      </c>
      <c r="AW95" t="s">
        <v>939</v>
      </c>
      <c r="AX95" t="s">
        <v>911</v>
      </c>
      <c r="AY95">
        <v>8</v>
      </c>
      <c r="AZ95">
        <v>5</v>
      </c>
      <c r="BA95">
        <v>-3</v>
      </c>
      <c r="BB95" t="s">
        <v>940</v>
      </c>
      <c r="BC95" t="s">
        <v>913</v>
      </c>
    </row>
    <row r="96" spans="1:55" x14ac:dyDescent="0.45">
      <c r="A96">
        <v>19</v>
      </c>
      <c r="B96">
        <v>5</v>
      </c>
      <c r="C96">
        <v>1847</v>
      </c>
      <c r="D96" t="s">
        <v>92</v>
      </c>
      <c r="E96" t="s">
        <v>162</v>
      </c>
      <c r="F96" t="s">
        <v>94</v>
      </c>
      <c r="G96" t="s">
        <v>95</v>
      </c>
      <c r="H96" t="s">
        <v>96</v>
      </c>
      <c r="I96">
        <v>120</v>
      </c>
      <c r="J96">
        <v>2</v>
      </c>
      <c r="K96">
        <v>3</v>
      </c>
      <c r="L96">
        <v>4</v>
      </c>
      <c r="M96">
        <v>1</v>
      </c>
      <c r="N96" t="s">
        <v>941</v>
      </c>
      <c r="O96" t="s">
        <v>897</v>
      </c>
      <c r="P96">
        <v>3</v>
      </c>
      <c r="Q96">
        <v>6</v>
      </c>
      <c r="R96">
        <v>3</v>
      </c>
      <c r="S96" t="s">
        <v>942</v>
      </c>
      <c r="T96" t="s">
        <v>899</v>
      </c>
      <c r="U96">
        <v>8</v>
      </c>
      <c r="V96">
        <v>5</v>
      </c>
      <c r="W96">
        <v>-3</v>
      </c>
      <c r="X96" t="s">
        <v>943</v>
      </c>
      <c r="Y96" t="s">
        <v>901</v>
      </c>
      <c r="Z96">
        <v>9</v>
      </c>
      <c r="AA96">
        <v>6</v>
      </c>
      <c r="AB96">
        <v>-3</v>
      </c>
      <c r="AC96" t="s">
        <v>944</v>
      </c>
      <c r="AD96" t="s">
        <v>903</v>
      </c>
      <c r="AE96">
        <v>6</v>
      </c>
      <c r="AF96">
        <v>4</v>
      </c>
      <c r="AG96">
        <v>-2</v>
      </c>
      <c r="AH96" t="s">
        <v>945</v>
      </c>
      <c r="AI96" t="s">
        <v>905</v>
      </c>
      <c r="AJ96">
        <v>3</v>
      </c>
      <c r="AK96">
        <v>5</v>
      </c>
      <c r="AL96">
        <v>2</v>
      </c>
      <c r="AM96" t="s">
        <v>946</v>
      </c>
      <c r="AN96" t="s">
        <v>907</v>
      </c>
      <c r="AO96">
        <v>6</v>
      </c>
      <c r="AP96">
        <v>4</v>
      </c>
      <c r="AQ96">
        <v>-2</v>
      </c>
      <c r="AR96" t="s">
        <v>947</v>
      </c>
      <c r="AS96" t="s">
        <v>909</v>
      </c>
      <c r="AT96">
        <v>4</v>
      </c>
      <c r="AU96">
        <v>5</v>
      </c>
      <c r="AV96">
        <v>1</v>
      </c>
      <c r="AW96" t="s">
        <v>948</v>
      </c>
      <c r="AX96" t="s">
        <v>911</v>
      </c>
      <c r="AY96">
        <v>7</v>
      </c>
      <c r="AZ96">
        <v>5</v>
      </c>
      <c r="BA96">
        <v>-2</v>
      </c>
      <c r="BB96" t="s">
        <v>949</v>
      </c>
      <c r="BC96" t="s">
        <v>913</v>
      </c>
    </row>
    <row r="97" spans="1:55" x14ac:dyDescent="0.45">
      <c r="A97">
        <v>20</v>
      </c>
      <c r="B97">
        <v>1</v>
      </c>
      <c r="C97">
        <v>1943</v>
      </c>
      <c r="D97" t="s">
        <v>161</v>
      </c>
      <c r="E97" t="s">
        <v>93</v>
      </c>
      <c r="F97" t="s">
        <v>94</v>
      </c>
      <c r="G97" t="s">
        <v>95</v>
      </c>
      <c r="H97" t="s">
        <v>96</v>
      </c>
      <c r="I97">
        <v>59</v>
      </c>
      <c r="J97">
        <v>1</v>
      </c>
      <c r="K97">
        <v>7</v>
      </c>
      <c r="L97">
        <v>7</v>
      </c>
      <c r="M97">
        <v>0</v>
      </c>
      <c r="N97" t="s">
        <v>950</v>
      </c>
      <c r="O97" t="s">
        <v>951</v>
      </c>
      <c r="P97">
        <v>6</v>
      </c>
      <c r="Q97">
        <v>6</v>
      </c>
      <c r="R97">
        <v>0</v>
      </c>
      <c r="S97" t="s">
        <v>952</v>
      </c>
      <c r="T97" t="s">
        <v>953</v>
      </c>
      <c r="U97">
        <v>5</v>
      </c>
      <c r="V97">
        <v>6</v>
      </c>
      <c r="W97">
        <v>1</v>
      </c>
      <c r="X97" t="s">
        <v>954</v>
      </c>
      <c r="Y97" t="s">
        <v>955</v>
      </c>
      <c r="Z97">
        <v>8</v>
      </c>
      <c r="AA97">
        <v>8</v>
      </c>
      <c r="AB97">
        <v>0</v>
      </c>
      <c r="AC97" t="s">
        <v>956</v>
      </c>
      <c r="AD97" t="s">
        <v>957</v>
      </c>
      <c r="AE97">
        <v>7</v>
      </c>
      <c r="AF97">
        <v>6</v>
      </c>
      <c r="AG97">
        <v>-1</v>
      </c>
      <c r="AH97" t="s">
        <v>958</v>
      </c>
      <c r="AI97" t="s">
        <v>959</v>
      </c>
      <c r="AJ97">
        <v>8</v>
      </c>
      <c r="AK97">
        <v>6</v>
      </c>
      <c r="AL97">
        <v>-2</v>
      </c>
      <c r="AM97" t="s">
        <v>960</v>
      </c>
      <c r="AN97" t="s">
        <v>961</v>
      </c>
      <c r="AO97">
        <v>7</v>
      </c>
      <c r="AP97">
        <v>5</v>
      </c>
      <c r="AQ97">
        <v>-2</v>
      </c>
      <c r="AR97" t="s">
        <v>962</v>
      </c>
      <c r="AS97" t="s">
        <v>963</v>
      </c>
      <c r="AT97">
        <v>8</v>
      </c>
      <c r="AU97">
        <v>6</v>
      </c>
      <c r="AV97">
        <v>-2</v>
      </c>
      <c r="AW97" t="s">
        <v>964</v>
      </c>
      <c r="AX97" t="s">
        <v>965</v>
      </c>
      <c r="AY97">
        <v>9</v>
      </c>
      <c r="AZ97">
        <v>7</v>
      </c>
      <c r="BA97">
        <v>-2</v>
      </c>
      <c r="BB97" t="s">
        <v>966</v>
      </c>
      <c r="BC97" t="s">
        <v>967</v>
      </c>
    </row>
    <row r="98" spans="1:55" x14ac:dyDescent="0.45">
      <c r="A98">
        <v>20</v>
      </c>
      <c r="B98">
        <v>2</v>
      </c>
      <c r="C98">
        <v>1944</v>
      </c>
      <c r="D98" t="s">
        <v>161</v>
      </c>
      <c r="E98" t="s">
        <v>93</v>
      </c>
      <c r="F98" t="s">
        <v>94</v>
      </c>
      <c r="G98" t="s">
        <v>95</v>
      </c>
      <c r="H98" t="s">
        <v>96</v>
      </c>
      <c r="I98">
        <v>59</v>
      </c>
      <c r="J98">
        <v>1</v>
      </c>
      <c r="K98">
        <v>7</v>
      </c>
      <c r="L98">
        <v>7</v>
      </c>
      <c r="M98">
        <v>0</v>
      </c>
      <c r="N98" t="s">
        <v>968</v>
      </c>
      <c r="O98" t="s">
        <v>951</v>
      </c>
      <c r="P98">
        <v>8</v>
      </c>
      <c r="Q98">
        <v>6</v>
      </c>
      <c r="R98">
        <v>-2</v>
      </c>
      <c r="S98" t="s">
        <v>969</v>
      </c>
      <c r="T98" t="s">
        <v>953</v>
      </c>
      <c r="U98">
        <v>9</v>
      </c>
      <c r="V98">
        <v>6</v>
      </c>
      <c r="W98">
        <v>-3</v>
      </c>
      <c r="X98" t="s">
        <v>970</v>
      </c>
      <c r="Y98" t="s">
        <v>955</v>
      </c>
      <c r="Z98">
        <v>6</v>
      </c>
      <c r="AA98">
        <v>8</v>
      </c>
      <c r="AB98">
        <v>2</v>
      </c>
      <c r="AC98" t="s">
        <v>971</v>
      </c>
      <c r="AD98" t="s">
        <v>957</v>
      </c>
      <c r="AE98">
        <v>7</v>
      </c>
      <c r="AF98">
        <v>6</v>
      </c>
      <c r="AG98">
        <v>-1</v>
      </c>
      <c r="AH98" t="s">
        <v>972</v>
      </c>
      <c r="AI98" t="s">
        <v>959</v>
      </c>
      <c r="AJ98">
        <v>9</v>
      </c>
      <c r="AK98">
        <v>6</v>
      </c>
      <c r="AL98">
        <v>-3</v>
      </c>
      <c r="AM98" t="s">
        <v>973</v>
      </c>
      <c r="AN98" t="s">
        <v>961</v>
      </c>
      <c r="AO98">
        <v>7</v>
      </c>
      <c r="AP98">
        <v>5</v>
      </c>
      <c r="AQ98">
        <v>-2</v>
      </c>
      <c r="AR98" t="s">
        <v>974</v>
      </c>
      <c r="AS98" t="s">
        <v>963</v>
      </c>
      <c r="AT98">
        <v>8</v>
      </c>
      <c r="AU98">
        <v>6</v>
      </c>
      <c r="AV98">
        <v>-2</v>
      </c>
      <c r="AW98" t="s">
        <v>975</v>
      </c>
      <c r="AX98" t="s">
        <v>965</v>
      </c>
      <c r="AY98">
        <v>9</v>
      </c>
      <c r="AZ98">
        <v>7</v>
      </c>
      <c r="BA98">
        <v>-2</v>
      </c>
      <c r="BB98" t="s">
        <v>976</v>
      </c>
      <c r="BC98" t="s">
        <v>967</v>
      </c>
    </row>
    <row r="99" spans="1:55" x14ac:dyDescent="0.45">
      <c r="A99">
        <v>20</v>
      </c>
      <c r="B99">
        <v>3</v>
      </c>
      <c r="C99">
        <v>1945</v>
      </c>
      <c r="D99" t="s">
        <v>161</v>
      </c>
      <c r="E99" t="s">
        <v>93</v>
      </c>
      <c r="F99" t="s">
        <v>94</v>
      </c>
      <c r="G99" t="s">
        <v>95</v>
      </c>
      <c r="H99" t="s">
        <v>96</v>
      </c>
      <c r="I99">
        <v>59</v>
      </c>
      <c r="J99">
        <v>1</v>
      </c>
      <c r="K99">
        <v>6</v>
      </c>
      <c r="L99">
        <v>7</v>
      </c>
      <c r="M99">
        <v>1</v>
      </c>
      <c r="N99" t="s">
        <v>977</v>
      </c>
      <c r="O99" t="s">
        <v>951</v>
      </c>
      <c r="P99">
        <v>7</v>
      </c>
      <c r="Q99">
        <v>6</v>
      </c>
      <c r="R99">
        <v>-1</v>
      </c>
      <c r="S99" t="s">
        <v>978</v>
      </c>
      <c r="T99" t="s">
        <v>953</v>
      </c>
      <c r="U99">
        <v>8</v>
      </c>
      <c r="V99">
        <v>6</v>
      </c>
      <c r="W99">
        <v>-2</v>
      </c>
      <c r="X99" t="s">
        <v>979</v>
      </c>
      <c r="Y99" t="s">
        <v>955</v>
      </c>
      <c r="Z99">
        <v>9</v>
      </c>
      <c r="AA99">
        <v>8</v>
      </c>
      <c r="AB99">
        <v>-1</v>
      </c>
      <c r="AC99" t="s">
        <v>980</v>
      </c>
      <c r="AD99" t="s">
        <v>957</v>
      </c>
      <c r="AE99">
        <v>7</v>
      </c>
      <c r="AF99">
        <v>6</v>
      </c>
      <c r="AG99">
        <v>-1</v>
      </c>
      <c r="AH99" t="s">
        <v>981</v>
      </c>
      <c r="AI99" t="s">
        <v>959</v>
      </c>
      <c r="AJ99">
        <v>8</v>
      </c>
      <c r="AK99">
        <v>6</v>
      </c>
      <c r="AL99">
        <v>-2</v>
      </c>
      <c r="AM99" t="s">
        <v>982</v>
      </c>
      <c r="AN99" t="s">
        <v>961</v>
      </c>
      <c r="AO99">
        <v>7</v>
      </c>
      <c r="AP99">
        <v>5</v>
      </c>
      <c r="AQ99">
        <v>-2</v>
      </c>
      <c r="AR99" t="s">
        <v>983</v>
      </c>
      <c r="AS99" t="s">
        <v>963</v>
      </c>
      <c r="AT99">
        <v>8</v>
      </c>
      <c r="AU99">
        <v>6</v>
      </c>
      <c r="AV99">
        <v>-2</v>
      </c>
      <c r="AW99" t="s">
        <v>984</v>
      </c>
      <c r="AX99" t="s">
        <v>965</v>
      </c>
      <c r="AY99">
        <v>9</v>
      </c>
      <c r="AZ99">
        <v>7</v>
      </c>
      <c r="BA99">
        <v>-2</v>
      </c>
      <c r="BB99" t="s">
        <v>985</v>
      </c>
      <c r="BC99" t="s">
        <v>967</v>
      </c>
    </row>
    <row r="100" spans="1:55" x14ac:dyDescent="0.45">
      <c r="A100">
        <v>20</v>
      </c>
      <c r="B100">
        <v>4</v>
      </c>
      <c r="C100">
        <v>1946</v>
      </c>
      <c r="D100" t="s">
        <v>161</v>
      </c>
      <c r="E100" t="s">
        <v>93</v>
      </c>
      <c r="F100" t="s">
        <v>94</v>
      </c>
      <c r="G100" t="s">
        <v>95</v>
      </c>
      <c r="H100" t="s">
        <v>96</v>
      </c>
      <c r="I100">
        <v>59</v>
      </c>
      <c r="J100">
        <v>1</v>
      </c>
      <c r="K100">
        <v>7</v>
      </c>
      <c r="L100">
        <v>7</v>
      </c>
      <c r="M100">
        <v>0</v>
      </c>
      <c r="N100" t="s">
        <v>986</v>
      </c>
      <c r="O100" t="s">
        <v>951</v>
      </c>
      <c r="P100">
        <v>8</v>
      </c>
      <c r="Q100">
        <v>6</v>
      </c>
      <c r="R100">
        <v>-2</v>
      </c>
      <c r="S100" t="s">
        <v>987</v>
      </c>
      <c r="T100" t="s">
        <v>953</v>
      </c>
      <c r="U100">
        <v>9</v>
      </c>
      <c r="V100">
        <v>6</v>
      </c>
      <c r="W100">
        <v>-3</v>
      </c>
      <c r="X100" t="s">
        <v>988</v>
      </c>
      <c r="Y100" t="s">
        <v>955</v>
      </c>
      <c r="Z100">
        <v>9</v>
      </c>
      <c r="AA100">
        <v>8</v>
      </c>
      <c r="AB100">
        <v>-1</v>
      </c>
      <c r="AC100" t="s">
        <v>989</v>
      </c>
      <c r="AD100" t="s">
        <v>957</v>
      </c>
      <c r="AE100">
        <v>6</v>
      </c>
      <c r="AF100">
        <v>6</v>
      </c>
      <c r="AG100">
        <v>0</v>
      </c>
      <c r="AH100" t="s">
        <v>990</v>
      </c>
      <c r="AI100" t="s">
        <v>959</v>
      </c>
      <c r="AJ100">
        <v>8</v>
      </c>
      <c r="AK100">
        <v>6</v>
      </c>
      <c r="AL100">
        <v>-2</v>
      </c>
      <c r="AM100" t="s">
        <v>991</v>
      </c>
      <c r="AN100" t="s">
        <v>961</v>
      </c>
      <c r="AO100">
        <v>7</v>
      </c>
      <c r="AP100">
        <v>5</v>
      </c>
      <c r="AQ100">
        <v>-2</v>
      </c>
      <c r="AR100" t="s">
        <v>992</v>
      </c>
      <c r="AS100" t="s">
        <v>963</v>
      </c>
      <c r="AT100">
        <v>6</v>
      </c>
      <c r="AU100">
        <v>6</v>
      </c>
      <c r="AV100">
        <v>0</v>
      </c>
      <c r="AW100" t="s">
        <v>993</v>
      </c>
      <c r="AX100" t="s">
        <v>965</v>
      </c>
      <c r="AY100">
        <v>8</v>
      </c>
      <c r="AZ100">
        <v>7</v>
      </c>
      <c r="BA100">
        <v>-1</v>
      </c>
      <c r="BB100" t="s">
        <v>994</v>
      </c>
      <c r="BC100" t="s">
        <v>967</v>
      </c>
    </row>
    <row r="101" spans="1:55" x14ac:dyDescent="0.45">
      <c r="A101">
        <v>20</v>
      </c>
      <c r="B101">
        <v>5</v>
      </c>
      <c r="C101">
        <v>1947</v>
      </c>
      <c r="D101" t="s">
        <v>161</v>
      </c>
      <c r="E101" t="s">
        <v>93</v>
      </c>
      <c r="F101" t="s">
        <v>94</v>
      </c>
      <c r="G101" t="s">
        <v>95</v>
      </c>
      <c r="H101" t="s">
        <v>96</v>
      </c>
      <c r="I101">
        <v>59</v>
      </c>
      <c r="J101">
        <v>1</v>
      </c>
      <c r="K101">
        <v>7</v>
      </c>
      <c r="L101">
        <v>7</v>
      </c>
      <c r="M101">
        <v>0</v>
      </c>
      <c r="N101" t="s">
        <v>995</v>
      </c>
      <c r="O101" t="s">
        <v>951</v>
      </c>
      <c r="P101">
        <v>6</v>
      </c>
      <c r="Q101">
        <v>6</v>
      </c>
      <c r="R101">
        <v>0</v>
      </c>
      <c r="S101" t="s">
        <v>996</v>
      </c>
      <c r="T101" t="s">
        <v>953</v>
      </c>
      <c r="U101">
        <v>8</v>
      </c>
      <c r="V101">
        <v>6</v>
      </c>
      <c r="W101">
        <v>-2</v>
      </c>
      <c r="X101" t="s">
        <v>997</v>
      </c>
      <c r="Y101" t="s">
        <v>955</v>
      </c>
      <c r="Z101">
        <v>7</v>
      </c>
      <c r="AA101">
        <v>8</v>
      </c>
      <c r="AB101">
        <v>1</v>
      </c>
      <c r="AC101" t="s">
        <v>998</v>
      </c>
      <c r="AD101" t="s">
        <v>957</v>
      </c>
      <c r="AE101">
        <v>6</v>
      </c>
      <c r="AF101">
        <v>6</v>
      </c>
      <c r="AG101">
        <v>0</v>
      </c>
      <c r="AH101" t="s">
        <v>999</v>
      </c>
      <c r="AI101" t="s">
        <v>959</v>
      </c>
      <c r="AJ101">
        <v>9</v>
      </c>
      <c r="AK101">
        <v>6</v>
      </c>
      <c r="AL101">
        <v>-3</v>
      </c>
      <c r="AM101" t="s">
        <v>1000</v>
      </c>
      <c r="AN101" t="s">
        <v>961</v>
      </c>
      <c r="AO101">
        <v>7</v>
      </c>
      <c r="AP101">
        <v>5</v>
      </c>
      <c r="AQ101">
        <v>-2</v>
      </c>
      <c r="AR101" t="s">
        <v>1001</v>
      </c>
      <c r="AS101" t="s">
        <v>963</v>
      </c>
      <c r="AT101">
        <v>8</v>
      </c>
      <c r="AU101">
        <v>6</v>
      </c>
      <c r="AV101">
        <v>-2</v>
      </c>
      <c r="AW101" t="s">
        <v>1002</v>
      </c>
      <c r="AX101" t="s">
        <v>965</v>
      </c>
      <c r="AY101">
        <v>9</v>
      </c>
      <c r="AZ101">
        <v>7</v>
      </c>
      <c r="BA101">
        <v>-2</v>
      </c>
      <c r="BB101" t="s">
        <v>1003</v>
      </c>
      <c r="BC101" t="s">
        <v>967</v>
      </c>
    </row>
    <row r="102" spans="1:55" x14ac:dyDescent="0.45">
      <c r="A102">
        <v>21</v>
      </c>
      <c r="B102">
        <v>1</v>
      </c>
      <c r="C102">
        <v>2043</v>
      </c>
      <c r="D102" t="s">
        <v>161</v>
      </c>
      <c r="E102" t="s">
        <v>626</v>
      </c>
      <c r="F102" t="s">
        <v>94</v>
      </c>
      <c r="G102" t="s">
        <v>95</v>
      </c>
      <c r="H102" t="s">
        <v>96</v>
      </c>
      <c r="I102">
        <v>40</v>
      </c>
      <c r="J102">
        <v>0</v>
      </c>
      <c r="K102">
        <v>8</v>
      </c>
      <c r="L102">
        <v>8</v>
      </c>
      <c r="M102">
        <v>0</v>
      </c>
      <c r="N102" t="s">
        <v>1004</v>
      </c>
      <c r="O102" t="s">
        <v>1005</v>
      </c>
      <c r="P102">
        <v>5</v>
      </c>
      <c r="Q102">
        <v>6</v>
      </c>
      <c r="R102">
        <v>1</v>
      </c>
      <c r="S102" t="s">
        <v>1006</v>
      </c>
      <c r="T102" t="s">
        <v>1007</v>
      </c>
      <c r="U102">
        <v>9</v>
      </c>
      <c r="V102">
        <v>7</v>
      </c>
      <c r="W102">
        <v>-2</v>
      </c>
      <c r="X102" t="s">
        <v>1008</v>
      </c>
      <c r="Y102" t="s">
        <v>1009</v>
      </c>
      <c r="Z102">
        <v>8</v>
      </c>
      <c r="AA102">
        <v>8</v>
      </c>
      <c r="AB102">
        <v>0</v>
      </c>
      <c r="AC102" t="s">
        <v>1010</v>
      </c>
      <c r="AD102" t="s">
        <v>1011</v>
      </c>
      <c r="AE102">
        <v>7</v>
      </c>
      <c r="AF102">
        <v>7</v>
      </c>
      <c r="AG102">
        <v>0</v>
      </c>
      <c r="AH102" t="s">
        <v>1012</v>
      </c>
      <c r="AI102" t="s">
        <v>1013</v>
      </c>
      <c r="AJ102">
        <v>8</v>
      </c>
      <c r="AK102">
        <v>6</v>
      </c>
      <c r="AL102">
        <v>-2</v>
      </c>
      <c r="AM102" t="s">
        <v>1014</v>
      </c>
      <c r="AN102" t="s">
        <v>1015</v>
      </c>
      <c r="AO102">
        <v>6</v>
      </c>
      <c r="AP102">
        <v>6</v>
      </c>
      <c r="AQ102">
        <v>0</v>
      </c>
      <c r="AR102" t="s">
        <v>1016</v>
      </c>
      <c r="AS102" t="s">
        <v>1017</v>
      </c>
      <c r="AT102">
        <v>7</v>
      </c>
      <c r="AU102">
        <v>8</v>
      </c>
      <c r="AV102">
        <v>1</v>
      </c>
      <c r="AW102" t="s">
        <v>1018</v>
      </c>
      <c r="AX102" t="s">
        <v>1019</v>
      </c>
      <c r="AY102">
        <v>9</v>
      </c>
      <c r="AZ102">
        <v>8</v>
      </c>
      <c r="BA102">
        <v>-1</v>
      </c>
      <c r="BB102" t="s">
        <v>1020</v>
      </c>
      <c r="BC102" t="s">
        <v>1021</v>
      </c>
    </row>
    <row r="103" spans="1:55" x14ac:dyDescent="0.45">
      <c r="A103">
        <v>21</v>
      </c>
      <c r="B103">
        <v>2</v>
      </c>
      <c r="C103">
        <v>2044</v>
      </c>
      <c r="D103" t="s">
        <v>161</v>
      </c>
      <c r="E103" t="s">
        <v>626</v>
      </c>
      <c r="F103" t="s">
        <v>94</v>
      </c>
      <c r="G103" t="s">
        <v>95</v>
      </c>
      <c r="H103" t="s">
        <v>96</v>
      </c>
      <c r="I103">
        <v>40</v>
      </c>
      <c r="J103">
        <v>0</v>
      </c>
      <c r="K103">
        <v>7</v>
      </c>
      <c r="L103">
        <v>8</v>
      </c>
      <c r="M103">
        <v>1</v>
      </c>
      <c r="N103" t="s">
        <v>1022</v>
      </c>
      <c r="O103" t="s">
        <v>1005</v>
      </c>
      <c r="P103">
        <v>7</v>
      </c>
      <c r="Q103">
        <v>6</v>
      </c>
      <c r="R103">
        <v>-1</v>
      </c>
      <c r="S103" t="s">
        <v>1023</v>
      </c>
      <c r="T103" t="s">
        <v>1007</v>
      </c>
      <c r="U103">
        <v>9</v>
      </c>
      <c r="V103">
        <v>7</v>
      </c>
      <c r="W103">
        <v>-2</v>
      </c>
      <c r="X103" t="s">
        <v>1024</v>
      </c>
      <c r="Y103" t="s">
        <v>1009</v>
      </c>
      <c r="Z103">
        <v>8</v>
      </c>
      <c r="AA103">
        <v>8</v>
      </c>
      <c r="AB103">
        <v>0</v>
      </c>
      <c r="AC103" t="s">
        <v>1025</v>
      </c>
      <c r="AD103" t="s">
        <v>1011</v>
      </c>
      <c r="AE103">
        <v>6</v>
      </c>
      <c r="AF103">
        <v>7</v>
      </c>
      <c r="AG103">
        <v>1</v>
      </c>
      <c r="AH103" t="s">
        <v>1026</v>
      </c>
      <c r="AI103" t="s">
        <v>1013</v>
      </c>
      <c r="AJ103">
        <v>6</v>
      </c>
      <c r="AK103">
        <v>6</v>
      </c>
      <c r="AL103">
        <v>0</v>
      </c>
      <c r="AM103" t="s">
        <v>1027</v>
      </c>
      <c r="AN103" t="s">
        <v>1015</v>
      </c>
      <c r="AO103">
        <v>7</v>
      </c>
      <c r="AP103">
        <v>6</v>
      </c>
      <c r="AQ103">
        <v>-1</v>
      </c>
      <c r="AR103" t="s">
        <v>1028</v>
      </c>
      <c r="AS103" t="s">
        <v>1017</v>
      </c>
      <c r="AT103">
        <v>6</v>
      </c>
      <c r="AU103">
        <v>8</v>
      </c>
      <c r="AV103">
        <v>2</v>
      </c>
      <c r="AW103" t="s">
        <v>1029</v>
      </c>
      <c r="AX103" t="s">
        <v>1019</v>
      </c>
      <c r="AY103">
        <v>8</v>
      </c>
      <c r="AZ103">
        <v>8</v>
      </c>
      <c r="BA103">
        <v>0</v>
      </c>
      <c r="BB103" t="s">
        <v>1030</v>
      </c>
      <c r="BC103" t="s">
        <v>1021</v>
      </c>
    </row>
    <row r="104" spans="1:55" x14ac:dyDescent="0.45">
      <c r="A104">
        <v>21</v>
      </c>
      <c r="B104">
        <v>3</v>
      </c>
      <c r="C104">
        <v>2045</v>
      </c>
      <c r="D104" t="s">
        <v>161</v>
      </c>
      <c r="E104" t="s">
        <v>626</v>
      </c>
      <c r="F104" t="s">
        <v>94</v>
      </c>
      <c r="G104" t="s">
        <v>95</v>
      </c>
      <c r="H104" t="s">
        <v>96</v>
      </c>
      <c r="I104">
        <v>40</v>
      </c>
      <c r="J104">
        <v>0</v>
      </c>
      <c r="K104">
        <v>7</v>
      </c>
      <c r="L104">
        <v>8</v>
      </c>
      <c r="M104">
        <v>1</v>
      </c>
      <c r="N104" t="s">
        <v>1031</v>
      </c>
      <c r="O104" t="s">
        <v>1005</v>
      </c>
      <c r="P104">
        <v>6</v>
      </c>
      <c r="Q104">
        <v>6</v>
      </c>
      <c r="R104">
        <v>0</v>
      </c>
      <c r="S104" t="s">
        <v>1032</v>
      </c>
      <c r="T104" t="s">
        <v>1007</v>
      </c>
      <c r="U104">
        <v>8</v>
      </c>
      <c r="V104">
        <v>7</v>
      </c>
      <c r="W104">
        <v>-1</v>
      </c>
      <c r="X104" t="s">
        <v>1033</v>
      </c>
      <c r="Y104" t="s">
        <v>1009</v>
      </c>
      <c r="Z104">
        <v>9</v>
      </c>
      <c r="AA104">
        <v>8</v>
      </c>
      <c r="AB104">
        <v>-1</v>
      </c>
      <c r="AC104" t="s">
        <v>1034</v>
      </c>
      <c r="AD104" t="s">
        <v>1011</v>
      </c>
      <c r="AE104">
        <v>5</v>
      </c>
      <c r="AF104">
        <v>7</v>
      </c>
      <c r="AG104">
        <v>2</v>
      </c>
      <c r="AH104" t="s">
        <v>1035</v>
      </c>
      <c r="AI104" t="s">
        <v>1013</v>
      </c>
      <c r="AJ104">
        <v>7</v>
      </c>
      <c r="AK104">
        <v>6</v>
      </c>
      <c r="AL104">
        <v>-1</v>
      </c>
      <c r="AM104" t="s">
        <v>1036</v>
      </c>
      <c r="AN104" t="s">
        <v>1015</v>
      </c>
      <c r="AO104">
        <v>6</v>
      </c>
      <c r="AP104">
        <v>6</v>
      </c>
      <c r="AQ104">
        <v>0</v>
      </c>
      <c r="AR104" t="s">
        <v>1037</v>
      </c>
      <c r="AS104" t="s">
        <v>1017</v>
      </c>
      <c r="AT104">
        <v>8</v>
      </c>
      <c r="AU104">
        <v>8</v>
      </c>
      <c r="AV104">
        <v>0</v>
      </c>
      <c r="AW104" t="s">
        <v>1038</v>
      </c>
      <c r="AX104" t="s">
        <v>1019</v>
      </c>
      <c r="AY104">
        <v>9</v>
      </c>
      <c r="AZ104">
        <v>8</v>
      </c>
      <c r="BA104">
        <v>-1</v>
      </c>
      <c r="BB104" t="s">
        <v>1039</v>
      </c>
      <c r="BC104" t="s">
        <v>1021</v>
      </c>
    </row>
    <row r="105" spans="1:55" x14ac:dyDescent="0.45">
      <c r="A105">
        <v>21</v>
      </c>
      <c r="B105">
        <v>4</v>
      </c>
      <c r="C105">
        <v>2046</v>
      </c>
      <c r="D105" t="s">
        <v>161</v>
      </c>
      <c r="E105" t="s">
        <v>626</v>
      </c>
      <c r="F105" t="s">
        <v>94</v>
      </c>
      <c r="G105" t="s">
        <v>95</v>
      </c>
      <c r="H105" t="s">
        <v>96</v>
      </c>
      <c r="I105">
        <v>40</v>
      </c>
      <c r="J105">
        <v>0</v>
      </c>
      <c r="K105">
        <v>6</v>
      </c>
      <c r="L105">
        <v>8</v>
      </c>
      <c r="M105">
        <v>2</v>
      </c>
      <c r="N105" t="s">
        <v>1040</v>
      </c>
      <c r="O105" t="s">
        <v>1005</v>
      </c>
      <c r="P105">
        <v>8</v>
      </c>
      <c r="Q105">
        <v>6</v>
      </c>
      <c r="R105">
        <v>-2</v>
      </c>
      <c r="S105" t="s">
        <v>1041</v>
      </c>
      <c r="T105" t="s">
        <v>1007</v>
      </c>
      <c r="U105">
        <v>7</v>
      </c>
      <c r="V105">
        <v>7</v>
      </c>
      <c r="W105">
        <v>0</v>
      </c>
      <c r="X105" t="s">
        <v>1042</v>
      </c>
      <c r="Y105" t="s">
        <v>1009</v>
      </c>
      <c r="Z105">
        <v>8</v>
      </c>
      <c r="AA105">
        <v>8</v>
      </c>
      <c r="AB105">
        <v>0</v>
      </c>
      <c r="AC105" t="s">
        <v>1043</v>
      </c>
      <c r="AD105" t="s">
        <v>1011</v>
      </c>
      <c r="AE105">
        <v>6</v>
      </c>
      <c r="AF105">
        <v>7</v>
      </c>
      <c r="AG105">
        <v>1</v>
      </c>
      <c r="AH105" t="s">
        <v>1044</v>
      </c>
      <c r="AI105" t="s">
        <v>1013</v>
      </c>
      <c r="AJ105">
        <v>7</v>
      </c>
      <c r="AK105">
        <v>6</v>
      </c>
      <c r="AL105">
        <v>-1</v>
      </c>
      <c r="AM105" t="s">
        <v>1045</v>
      </c>
      <c r="AN105" t="s">
        <v>1015</v>
      </c>
      <c r="AO105">
        <v>5</v>
      </c>
      <c r="AP105">
        <v>6</v>
      </c>
      <c r="AQ105">
        <v>1</v>
      </c>
      <c r="AR105" t="s">
        <v>1046</v>
      </c>
      <c r="AS105" t="s">
        <v>1017</v>
      </c>
      <c r="AT105">
        <v>8</v>
      </c>
      <c r="AU105">
        <v>8</v>
      </c>
      <c r="AV105">
        <v>0</v>
      </c>
      <c r="AW105" t="s">
        <v>1047</v>
      </c>
      <c r="AX105" t="s">
        <v>1019</v>
      </c>
      <c r="AY105">
        <v>7</v>
      </c>
      <c r="AZ105">
        <v>8</v>
      </c>
      <c r="BA105">
        <v>1</v>
      </c>
      <c r="BB105" t="s">
        <v>1048</v>
      </c>
      <c r="BC105" t="s">
        <v>1021</v>
      </c>
    </row>
    <row r="106" spans="1:55" x14ac:dyDescent="0.45">
      <c r="A106">
        <v>21</v>
      </c>
      <c r="B106">
        <v>5</v>
      </c>
      <c r="C106">
        <v>2047</v>
      </c>
      <c r="D106" t="s">
        <v>161</v>
      </c>
      <c r="E106" t="s">
        <v>626</v>
      </c>
      <c r="F106" t="s">
        <v>94</v>
      </c>
      <c r="G106" t="s">
        <v>95</v>
      </c>
      <c r="H106" t="s">
        <v>96</v>
      </c>
      <c r="I106">
        <v>40</v>
      </c>
      <c r="J106">
        <v>0</v>
      </c>
      <c r="K106">
        <v>9</v>
      </c>
      <c r="L106">
        <v>8</v>
      </c>
      <c r="M106">
        <v>-1</v>
      </c>
      <c r="N106" t="s">
        <v>1049</v>
      </c>
      <c r="O106" t="s">
        <v>1005</v>
      </c>
      <c r="P106">
        <v>8</v>
      </c>
      <c r="Q106">
        <v>6</v>
      </c>
      <c r="R106">
        <v>-2</v>
      </c>
      <c r="S106" t="s">
        <v>1050</v>
      </c>
      <c r="T106" t="s">
        <v>1007</v>
      </c>
      <c r="U106">
        <v>9</v>
      </c>
      <c r="V106">
        <v>7</v>
      </c>
      <c r="W106">
        <v>-2</v>
      </c>
      <c r="X106" t="s">
        <v>1051</v>
      </c>
      <c r="Y106" t="s">
        <v>1009</v>
      </c>
      <c r="Z106">
        <v>8</v>
      </c>
      <c r="AA106">
        <v>8</v>
      </c>
      <c r="AB106">
        <v>0</v>
      </c>
      <c r="AC106" t="s">
        <v>1052</v>
      </c>
      <c r="AD106" t="s">
        <v>1011</v>
      </c>
      <c r="AE106">
        <v>7</v>
      </c>
      <c r="AF106">
        <v>7</v>
      </c>
      <c r="AG106">
        <v>0</v>
      </c>
      <c r="AH106" t="s">
        <v>1053</v>
      </c>
      <c r="AI106" t="s">
        <v>1013</v>
      </c>
      <c r="AJ106">
        <v>8</v>
      </c>
      <c r="AK106">
        <v>6</v>
      </c>
      <c r="AL106">
        <v>-2</v>
      </c>
      <c r="AM106" t="s">
        <v>1054</v>
      </c>
      <c r="AN106" t="s">
        <v>1015</v>
      </c>
      <c r="AO106">
        <v>7</v>
      </c>
      <c r="AP106">
        <v>6</v>
      </c>
      <c r="AQ106">
        <v>-1</v>
      </c>
      <c r="AR106" t="s">
        <v>1055</v>
      </c>
      <c r="AS106" t="s">
        <v>1017</v>
      </c>
      <c r="AT106">
        <v>8</v>
      </c>
      <c r="AU106">
        <v>8</v>
      </c>
      <c r="AV106">
        <v>0</v>
      </c>
      <c r="AW106" t="s">
        <v>1056</v>
      </c>
      <c r="AX106" t="s">
        <v>1019</v>
      </c>
      <c r="AY106">
        <v>9</v>
      </c>
      <c r="AZ106">
        <v>8</v>
      </c>
      <c r="BA106">
        <v>-1</v>
      </c>
      <c r="BB106" t="s">
        <v>1057</v>
      </c>
      <c r="BC106" t="s">
        <v>1021</v>
      </c>
    </row>
    <row r="107" spans="1:55" x14ac:dyDescent="0.45">
      <c r="A107">
        <v>22</v>
      </c>
      <c r="B107">
        <v>1</v>
      </c>
      <c r="C107">
        <v>2143</v>
      </c>
      <c r="D107" t="s">
        <v>92</v>
      </c>
      <c r="E107" t="s">
        <v>93</v>
      </c>
      <c r="F107" t="s">
        <v>94</v>
      </c>
      <c r="G107" t="s">
        <v>149</v>
      </c>
      <c r="H107" t="s">
        <v>96</v>
      </c>
      <c r="I107">
        <v>86</v>
      </c>
      <c r="J107">
        <v>1</v>
      </c>
      <c r="K107">
        <v>2</v>
      </c>
      <c r="L107">
        <v>7</v>
      </c>
      <c r="M107">
        <v>5</v>
      </c>
      <c r="N107" t="s">
        <v>1058</v>
      </c>
      <c r="O107" t="s">
        <v>1059</v>
      </c>
      <c r="P107">
        <v>3</v>
      </c>
      <c r="Q107">
        <v>7</v>
      </c>
      <c r="R107">
        <v>4</v>
      </c>
      <c r="S107" t="s">
        <v>1060</v>
      </c>
      <c r="T107" t="s">
        <v>1061</v>
      </c>
      <c r="U107">
        <v>7</v>
      </c>
      <c r="V107">
        <v>6</v>
      </c>
      <c r="W107">
        <v>-1</v>
      </c>
      <c r="X107" t="s">
        <v>1062</v>
      </c>
      <c r="Y107" t="s">
        <v>1063</v>
      </c>
      <c r="Z107">
        <v>6</v>
      </c>
      <c r="AA107">
        <v>6</v>
      </c>
      <c r="AB107">
        <v>0</v>
      </c>
      <c r="AC107" t="s">
        <v>1064</v>
      </c>
      <c r="AD107" t="s">
        <v>1065</v>
      </c>
      <c r="AE107">
        <v>8</v>
      </c>
      <c r="AF107">
        <v>5</v>
      </c>
      <c r="AG107">
        <v>-3</v>
      </c>
      <c r="AH107" t="s">
        <v>1066</v>
      </c>
      <c r="AI107" t="s">
        <v>1067</v>
      </c>
      <c r="AJ107">
        <v>7</v>
      </c>
      <c r="AK107">
        <v>6</v>
      </c>
      <c r="AL107">
        <v>-1</v>
      </c>
      <c r="AM107" t="s">
        <v>1068</v>
      </c>
      <c r="AN107" t="s">
        <v>1069</v>
      </c>
      <c r="AO107">
        <v>6</v>
      </c>
      <c r="AP107">
        <v>3</v>
      </c>
      <c r="AQ107">
        <v>-3</v>
      </c>
      <c r="AR107" t="s">
        <v>1070</v>
      </c>
      <c r="AS107" t="s">
        <v>1071</v>
      </c>
      <c r="AT107">
        <v>5</v>
      </c>
      <c r="AU107">
        <v>5</v>
      </c>
      <c r="AV107">
        <v>0</v>
      </c>
      <c r="AW107" t="s">
        <v>1072</v>
      </c>
      <c r="AX107" t="s">
        <v>1073</v>
      </c>
      <c r="AY107">
        <v>8</v>
      </c>
      <c r="AZ107">
        <v>8</v>
      </c>
      <c r="BA107">
        <v>0</v>
      </c>
      <c r="BB107" t="s">
        <v>1074</v>
      </c>
      <c r="BC107" t="s">
        <v>1075</v>
      </c>
    </row>
    <row r="108" spans="1:55" x14ac:dyDescent="0.45">
      <c r="A108">
        <v>22</v>
      </c>
      <c r="B108">
        <v>2</v>
      </c>
      <c r="C108">
        <v>2144</v>
      </c>
      <c r="D108" t="s">
        <v>92</v>
      </c>
      <c r="E108" t="s">
        <v>93</v>
      </c>
      <c r="F108" t="s">
        <v>94</v>
      </c>
      <c r="G108" t="s">
        <v>149</v>
      </c>
      <c r="H108" t="s">
        <v>96</v>
      </c>
      <c r="I108">
        <v>86</v>
      </c>
      <c r="J108">
        <v>1</v>
      </c>
      <c r="K108">
        <v>3</v>
      </c>
      <c r="L108">
        <v>7</v>
      </c>
      <c r="M108">
        <v>4</v>
      </c>
      <c r="N108" t="s">
        <v>1058</v>
      </c>
      <c r="O108" t="s">
        <v>1059</v>
      </c>
      <c r="P108">
        <v>3</v>
      </c>
      <c r="Q108">
        <v>7</v>
      </c>
      <c r="R108">
        <v>4</v>
      </c>
      <c r="S108" t="s">
        <v>1060</v>
      </c>
      <c r="T108" t="s">
        <v>1061</v>
      </c>
      <c r="U108">
        <v>6</v>
      </c>
      <c r="V108">
        <v>6</v>
      </c>
      <c r="W108">
        <v>0</v>
      </c>
      <c r="X108" t="s">
        <v>1076</v>
      </c>
      <c r="Y108" t="s">
        <v>1063</v>
      </c>
      <c r="Z108">
        <v>9</v>
      </c>
      <c r="AA108">
        <v>6</v>
      </c>
      <c r="AB108">
        <v>-3</v>
      </c>
      <c r="AC108" t="s">
        <v>1077</v>
      </c>
      <c r="AD108" t="s">
        <v>1065</v>
      </c>
      <c r="AE108">
        <v>8</v>
      </c>
      <c r="AF108">
        <v>5</v>
      </c>
      <c r="AG108">
        <v>-3</v>
      </c>
      <c r="AH108" t="s">
        <v>1078</v>
      </c>
      <c r="AI108" t="s">
        <v>1067</v>
      </c>
      <c r="AJ108">
        <v>9</v>
      </c>
      <c r="AK108">
        <v>6</v>
      </c>
      <c r="AL108">
        <v>-3</v>
      </c>
      <c r="AM108" t="s">
        <v>153</v>
      </c>
      <c r="AN108" t="s">
        <v>1069</v>
      </c>
      <c r="AO108">
        <v>7</v>
      </c>
      <c r="AP108">
        <v>3</v>
      </c>
      <c r="AQ108">
        <v>-4</v>
      </c>
      <c r="AR108" t="s">
        <v>1079</v>
      </c>
      <c r="AS108" t="s">
        <v>1071</v>
      </c>
      <c r="AT108">
        <v>7</v>
      </c>
      <c r="AU108">
        <v>5</v>
      </c>
      <c r="AV108">
        <v>-2</v>
      </c>
      <c r="AW108" t="s">
        <v>1080</v>
      </c>
      <c r="AX108" t="s">
        <v>1073</v>
      </c>
      <c r="AY108">
        <v>8</v>
      </c>
      <c r="AZ108">
        <v>8</v>
      </c>
      <c r="BA108">
        <v>0</v>
      </c>
      <c r="BB108" t="s">
        <v>1081</v>
      </c>
      <c r="BC108" t="s">
        <v>1075</v>
      </c>
    </row>
    <row r="109" spans="1:55" x14ac:dyDescent="0.45">
      <c r="A109">
        <v>22</v>
      </c>
      <c r="B109">
        <v>3</v>
      </c>
      <c r="C109">
        <v>2145</v>
      </c>
      <c r="D109" t="s">
        <v>92</v>
      </c>
      <c r="E109" t="s">
        <v>93</v>
      </c>
      <c r="F109" t="s">
        <v>94</v>
      </c>
      <c r="G109" t="s">
        <v>149</v>
      </c>
      <c r="H109" t="s">
        <v>96</v>
      </c>
      <c r="I109">
        <v>86</v>
      </c>
      <c r="J109">
        <v>1</v>
      </c>
      <c r="K109">
        <v>5</v>
      </c>
      <c r="L109">
        <v>7</v>
      </c>
      <c r="M109">
        <v>2</v>
      </c>
      <c r="N109" t="s">
        <v>1082</v>
      </c>
      <c r="O109" t="s">
        <v>1059</v>
      </c>
      <c r="P109">
        <v>4</v>
      </c>
      <c r="Q109">
        <v>7</v>
      </c>
      <c r="R109">
        <v>3</v>
      </c>
      <c r="S109" t="s">
        <v>1083</v>
      </c>
      <c r="T109" t="s">
        <v>1061</v>
      </c>
      <c r="U109">
        <v>6</v>
      </c>
      <c r="V109">
        <v>6</v>
      </c>
      <c r="W109">
        <v>0</v>
      </c>
      <c r="X109" t="s">
        <v>1084</v>
      </c>
      <c r="Y109" t="s">
        <v>1063</v>
      </c>
      <c r="Z109">
        <v>7</v>
      </c>
      <c r="AA109">
        <v>6</v>
      </c>
      <c r="AB109">
        <v>-1</v>
      </c>
      <c r="AC109" t="s">
        <v>1085</v>
      </c>
      <c r="AD109" t="s">
        <v>1065</v>
      </c>
      <c r="AE109">
        <v>3</v>
      </c>
      <c r="AF109">
        <v>5</v>
      </c>
      <c r="AG109">
        <v>2</v>
      </c>
      <c r="AH109" t="s">
        <v>1086</v>
      </c>
      <c r="AI109" t="s">
        <v>1067</v>
      </c>
      <c r="AJ109">
        <v>4</v>
      </c>
      <c r="AK109">
        <v>6</v>
      </c>
      <c r="AL109">
        <v>2</v>
      </c>
      <c r="AM109" t="s">
        <v>1087</v>
      </c>
      <c r="AN109" t="s">
        <v>1069</v>
      </c>
      <c r="AO109">
        <v>3</v>
      </c>
      <c r="AP109">
        <v>3</v>
      </c>
      <c r="AQ109">
        <v>0</v>
      </c>
      <c r="AR109" t="s">
        <v>1088</v>
      </c>
      <c r="AS109" t="s">
        <v>1071</v>
      </c>
      <c r="AT109">
        <v>2</v>
      </c>
      <c r="AU109">
        <v>5</v>
      </c>
      <c r="AV109">
        <v>3</v>
      </c>
      <c r="AW109" t="s">
        <v>1089</v>
      </c>
      <c r="AX109" t="s">
        <v>1073</v>
      </c>
      <c r="AY109">
        <v>5</v>
      </c>
      <c r="AZ109">
        <v>8</v>
      </c>
      <c r="BA109">
        <v>3</v>
      </c>
      <c r="BB109" t="s">
        <v>1090</v>
      </c>
      <c r="BC109" t="s">
        <v>1075</v>
      </c>
    </row>
    <row r="110" spans="1:55" x14ac:dyDescent="0.45">
      <c r="A110">
        <v>22</v>
      </c>
      <c r="B110">
        <v>4</v>
      </c>
      <c r="C110">
        <v>2146</v>
      </c>
      <c r="D110" t="s">
        <v>92</v>
      </c>
      <c r="E110" t="s">
        <v>93</v>
      </c>
      <c r="F110" t="s">
        <v>94</v>
      </c>
      <c r="G110" t="s">
        <v>149</v>
      </c>
      <c r="H110" t="s">
        <v>96</v>
      </c>
      <c r="I110">
        <v>86</v>
      </c>
      <c r="J110">
        <v>1</v>
      </c>
      <c r="K110">
        <v>4</v>
      </c>
      <c r="L110">
        <v>7</v>
      </c>
      <c r="M110">
        <v>3</v>
      </c>
      <c r="N110" t="s">
        <v>1091</v>
      </c>
      <c r="O110" t="s">
        <v>1059</v>
      </c>
      <c r="P110">
        <v>4</v>
      </c>
      <c r="Q110">
        <v>7</v>
      </c>
      <c r="R110">
        <v>3</v>
      </c>
      <c r="S110" t="s">
        <v>1092</v>
      </c>
      <c r="T110" t="s">
        <v>1061</v>
      </c>
      <c r="U110">
        <v>8</v>
      </c>
      <c r="V110">
        <v>6</v>
      </c>
      <c r="W110">
        <v>-2</v>
      </c>
      <c r="X110" t="s">
        <v>1093</v>
      </c>
      <c r="Y110" t="s">
        <v>1063</v>
      </c>
      <c r="Z110">
        <v>5</v>
      </c>
      <c r="AA110">
        <v>6</v>
      </c>
      <c r="AB110">
        <v>1</v>
      </c>
      <c r="AC110" t="s">
        <v>1094</v>
      </c>
      <c r="AD110" t="s">
        <v>1065</v>
      </c>
      <c r="AE110">
        <v>3</v>
      </c>
      <c r="AF110">
        <v>5</v>
      </c>
      <c r="AG110">
        <v>2</v>
      </c>
      <c r="AH110" t="s">
        <v>1095</v>
      </c>
      <c r="AI110" t="s">
        <v>1067</v>
      </c>
      <c r="AJ110">
        <v>6</v>
      </c>
      <c r="AK110">
        <v>6</v>
      </c>
      <c r="AL110">
        <v>0</v>
      </c>
      <c r="AM110" t="s">
        <v>1096</v>
      </c>
      <c r="AN110" t="s">
        <v>1069</v>
      </c>
      <c r="AO110">
        <v>4</v>
      </c>
      <c r="AP110">
        <v>3</v>
      </c>
      <c r="AQ110">
        <v>-1</v>
      </c>
      <c r="AR110" t="s">
        <v>1097</v>
      </c>
      <c r="AS110" t="s">
        <v>1071</v>
      </c>
      <c r="AT110">
        <v>3</v>
      </c>
      <c r="AU110">
        <v>5</v>
      </c>
      <c r="AV110">
        <v>2</v>
      </c>
      <c r="AW110" t="s">
        <v>1073</v>
      </c>
      <c r="AX110" t="s">
        <v>1073</v>
      </c>
      <c r="AY110">
        <v>7</v>
      </c>
      <c r="AZ110">
        <v>8</v>
      </c>
      <c r="BA110">
        <v>1</v>
      </c>
      <c r="BB110" t="s">
        <v>1098</v>
      </c>
      <c r="BC110" t="s">
        <v>1075</v>
      </c>
    </row>
    <row r="111" spans="1:55" x14ac:dyDescent="0.45">
      <c r="A111">
        <v>22</v>
      </c>
      <c r="B111">
        <v>5</v>
      </c>
      <c r="C111">
        <v>2147</v>
      </c>
      <c r="D111" t="s">
        <v>92</v>
      </c>
      <c r="E111" t="s">
        <v>93</v>
      </c>
      <c r="F111" t="s">
        <v>94</v>
      </c>
      <c r="G111" t="s">
        <v>149</v>
      </c>
      <c r="H111" t="s">
        <v>96</v>
      </c>
      <c r="I111">
        <v>86</v>
      </c>
      <c r="J111">
        <v>1</v>
      </c>
      <c r="K111">
        <v>4</v>
      </c>
      <c r="L111">
        <v>7</v>
      </c>
      <c r="M111">
        <v>3</v>
      </c>
      <c r="N111" t="s">
        <v>1059</v>
      </c>
      <c r="O111" t="s">
        <v>1059</v>
      </c>
      <c r="P111">
        <v>3</v>
      </c>
      <c r="Q111">
        <v>7</v>
      </c>
      <c r="R111">
        <v>4</v>
      </c>
      <c r="S111" t="s">
        <v>1099</v>
      </c>
      <c r="T111" t="s">
        <v>1061</v>
      </c>
      <c r="U111">
        <v>8</v>
      </c>
      <c r="V111">
        <v>6</v>
      </c>
      <c r="W111">
        <v>-2</v>
      </c>
      <c r="X111" t="s">
        <v>462</v>
      </c>
      <c r="Y111" t="s">
        <v>1063</v>
      </c>
      <c r="Z111">
        <v>6</v>
      </c>
      <c r="AA111">
        <v>6</v>
      </c>
      <c r="AB111">
        <v>0</v>
      </c>
      <c r="AC111" t="s">
        <v>1100</v>
      </c>
      <c r="AD111" t="s">
        <v>1065</v>
      </c>
      <c r="AE111">
        <v>7</v>
      </c>
      <c r="AF111">
        <v>5</v>
      </c>
      <c r="AG111">
        <v>-2</v>
      </c>
      <c r="AH111" t="s">
        <v>1101</v>
      </c>
      <c r="AI111" t="s">
        <v>1067</v>
      </c>
      <c r="AJ111">
        <v>5</v>
      </c>
      <c r="AK111">
        <v>6</v>
      </c>
      <c r="AL111">
        <v>1</v>
      </c>
      <c r="AM111" t="s">
        <v>1102</v>
      </c>
      <c r="AN111" t="s">
        <v>1069</v>
      </c>
      <c r="AO111">
        <v>6</v>
      </c>
      <c r="AP111">
        <v>3</v>
      </c>
      <c r="AQ111">
        <v>-3</v>
      </c>
      <c r="AR111" t="s">
        <v>1103</v>
      </c>
      <c r="AS111" t="s">
        <v>1071</v>
      </c>
      <c r="AT111">
        <v>7</v>
      </c>
      <c r="AU111">
        <v>5</v>
      </c>
      <c r="AV111">
        <v>-2</v>
      </c>
      <c r="AW111" t="s">
        <v>1104</v>
      </c>
      <c r="AX111" t="s">
        <v>1073</v>
      </c>
      <c r="AY111">
        <v>8</v>
      </c>
      <c r="AZ111">
        <v>8</v>
      </c>
      <c r="BA111">
        <v>0</v>
      </c>
      <c r="BB111" t="s">
        <v>1105</v>
      </c>
      <c r="BC111" t="s">
        <v>1075</v>
      </c>
    </row>
    <row r="112" spans="1:55" x14ac:dyDescent="0.45">
      <c r="A112">
        <v>23</v>
      </c>
      <c r="B112">
        <v>1</v>
      </c>
      <c r="C112">
        <v>2243</v>
      </c>
      <c r="D112" t="s">
        <v>92</v>
      </c>
      <c r="E112" t="s">
        <v>162</v>
      </c>
      <c r="F112" t="s">
        <v>94</v>
      </c>
      <c r="G112" t="s">
        <v>95</v>
      </c>
      <c r="H112" t="s">
        <v>96</v>
      </c>
      <c r="I112">
        <v>120</v>
      </c>
      <c r="J112">
        <v>2</v>
      </c>
      <c r="K112">
        <v>6</v>
      </c>
      <c r="L112">
        <v>5</v>
      </c>
      <c r="M112">
        <v>-1</v>
      </c>
      <c r="N112" t="s">
        <v>1106</v>
      </c>
      <c r="O112" t="s">
        <v>1107</v>
      </c>
      <c r="P112">
        <v>6</v>
      </c>
      <c r="Q112">
        <v>5</v>
      </c>
      <c r="R112">
        <v>-1</v>
      </c>
      <c r="S112" t="s">
        <v>1108</v>
      </c>
      <c r="T112" t="s">
        <v>1109</v>
      </c>
      <c r="U112">
        <v>7</v>
      </c>
      <c r="V112">
        <v>5</v>
      </c>
      <c r="W112">
        <v>-2</v>
      </c>
      <c r="X112" t="s">
        <v>1110</v>
      </c>
      <c r="Y112" t="s">
        <v>1111</v>
      </c>
      <c r="Z112">
        <v>8</v>
      </c>
      <c r="AA112">
        <v>5</v>
      </c>
      <c r="AB112">
        <v>-3</v>
      </c>
      <c r="AC112" t="s">
        <v>1112</v>
      </c>
      <c r="AD112" t="s">
        <v>1113</v>
      </c>
      <c r="AE112">
        <v>6</v>
      </c>
      <c r="AF112">
        <v>5</v>
      </c>
      <c r="AG112">
        <v>-1</v>
      </c>
      <c r="AH112" t="s">
        <v>1114</v>
      </c>
      <c r="AI112" t="s">
        <v>1115</v>
      </c>
      <c r="AJ112">
        <v>7</v>
      </c>
      <c r="AK112">
        <v>5</v>
      </c>
      <c r="AL112">
        <v>-2</v>
      </c>
      <c r="AM112" t="s">
        <v>1116</v>
      </c>
      <c r="AN112" t="s">
        <v>1117</v>
      </c>
      <c r="AO112">
        <v>6</v>
      </c>
      <c r="AP112">
        <v>5</v>
      </c>
      <c r="AQ112">
        <v>-1</v>
      </c>
      <c r="AR112" t="s">
        <v>1118</v>
      </c>
      <c r="AS112" t="s">
        <v>1119</v>
      </c>
      <c r="AT112">
        <v>7</v>
      </c>
      <c r="AU112">
        <v>5</v>
      </c>
      <c r="AV112">
        <v>-2</v>
      </c>
      <c r="AW112" t="s">
        <v>1120</v>
      </c>
      <c r="AX112" t="s">
        <v>1121</v>
      </c>
      <c r="AY112">
        <v>8</v>
      </c>
      <c r="AZ112">
        <v>5</v>
      </c>
      <c r="BA112">
        <v>-3</v>
      </c>
      <c r="BB112" t="s">
        <v>1122</v>
      </c>
      <c r="BC112" t="s">
        <v>1123</v>
      </c>
    </row>
    <row r="113" spans="1:55" x14ac:dyDescent="0.45">
      <c r="A113">
        <v>23</v>
      </c>
      <c r="B113">
        <v>2</v>
      </c>
      <c r="C113">
        <v>2244</v>
      </c>
      <c r="D113" t="s">
        <v>92</v>
      </c>
      <c r="E113" t="s">
        <v>162</v>
      </c>
      <c r="F113" t="s">
        <v>94</v>
      </c>
      <c r="G113" t="s">
        <v>95</v>
      </c>
      <c r="H113" t="s">
        <v>96</v>
      </c>
      <c r="I113">
        <v>120</v>
      </c>
      <c r="J113">
        <v>2</v>
      </c>
      <c r="K113">
        <v>5</v>
      </c>
      <c r="L113">
        <v>5</v>
      </c>
      <c r="M113">
        <v>0</v>
      </c>
      <c r="N113" t="s">
        <v>1124</v>
      </c>
      <c r="O113" t="s">
        <v>1107</v>
      </c>
      <c r="P113">
        <v>5</v>
      </c>
      <c r="Q113">
        <v>5</v>
      </c>
      <c r="R113">
        <v>0</v>
      </c>
      <c r="S113" t="s">
        <v>1125</v>
      </c>
      <c r="T113" t="s">
        <v>1109</v>
      </c>
      <c r="U113">
        <v>6</v>
      </c>
      <c r="V113">
        <v>5</v>
      </c>
      <c r="W113">
        <v>-1</v>
      </c>
      <c r="X113" t="s">
        <v>1126</v>
      </c>
      <c r="Y113" t="s">
        <v>1111</v>
      </c>
      <c r="Z113">
        <v>7</v>
      </c>
      <c r="AA113">
        <v>5</v>
      </c>
      <c r="AB113">
        <v>-2</v>
      </c>
      <c r="AC113" t="s">
        <v>1127</v>
      </c>
      <c r="AD113" t="s">
        <v>1113</v>
      </c>
      <c r="AE113">
        <v>5</v>
      </c>
      <c r="AF113">
        <v>5</v>
      </c>
      <c r="AG113">
        <v>0</v>
      </c>
      <c r="AH113" t="s">
        <v>1128</v>
      </c>
      <c r="AI113" t="s">
        <v>1115</v>
      </c>
      <c r="AJ113">
        <v>8</v>
      </c>
      <c r="AK113">
        <v>5</v>
      </c>
      <c r="AL113">
        <v>-3</v>
      </c>
      <c r="AM113" t="s">
        <v>1129</v>
      </c>
      <c r="AN113" t="s">
        <v>1117</v>
      </c>
      <c r="AO113">
        <v>6</v>
      </c>
      <c r="AP113">
        <v>5</v>
      </c>
      <c r="AQ113">
        <v>-1</v>
      </c>
      <c r="AR113" t="s">
        <v>1130</v>
      </c>
      <c r="AS113" t="s">
        <v>1119</v>
      </c>
      <c r="AT113">
        <v>7</v>
      </c>
      <c r="AU113">
        <v>5</v>
      </c>
      <c r="AV113">
        <v>-2</v>
      </c>
      <c r="AW113" t="s">
        <v>1131</v>
      </c>
      <c r="AX113" t="s">
        <v>1121</v>
      </c>
      <c r="AY113">
        <v>8</v>
      </c>
      <c r="AZ113">
        <v>5</v>
      </c>
      <c r="BA113">
        <v>-3</v>
      </c>
      <c r="BB113" t="s">
        <v>1132</v>
      </c>
      <c r="BC113" t="s">
        <v>1123</v>
      </c>
    </row>
    <row r="114" spans="1:55" x14ac:dyDescent="0.45">
      <c r="A114">
        <v>23</v>
      </c>
      <c r="B114">
        <v>3</v>
      </c>
      <c r="C114">
        <v>2245</v>
      </c>
      <c r="D114" t="s">
        <v>92</v>
      </c>
      <c r="E114" t="s">
        <v>162</v>
      </c>
      <c r="F114" t="s">
        <v>94</v>
      </c>
      <c r="G114" t="s">
        <v>95</v>
      </c>
      <c r="H114" t="s">
        <v>96</v>
      </c>
      <c r="I114">
        <v>120</v>
      </c>
      <c r="J114">
        <v>2</v>
      </c>
      <c r="K114">
        <v>6</v>
      </c>
      <c r="L114">
        <v>5</v>
      </c>
      <c r="M114">
        <v>-1</v>
      </c>
      <c r="N114" t="s">
        <v>1133</v>
      </c>
      <c r="O114" t="s">
        <v>1107</v>
      </c>
      <c r="P114">
        <v>5</v>
      </c>
      <c r="Q114">
        <v>5</v>
      </c>
      <c r="R114">
        <v>0</v>
      </c>
      <c r="S114" t="s">
        <v>1134</v>
      </c>
      <c r="T114" t="s">
        <v>1109</v>
      </c>
      <c r="U114">
        <v>7</v>
      </c>
      <c r="V114">
        <v>5</v>
      </c>
      <c r="W114">
        <v>-2</v>
      </c>
      <c r="X114" t="s">
        <v>1135</v>
      </c>
      <c r="Y114" t="s">
        <v>1111</v>
      </c>
      <c r="Z114">
        <v>8</v>
      </c>
      <c r="AA114">
        <v>5</v>
      </c>
      <c r="AB114">
        <v>-3</v>
      </c>
      <c r="AC114" t="s">
        <v>1136</v>
      </c>
      <c r="AD114" t="s">
        <v>1113</v>
      </c>
      <c r="AE114">
        <v>6</v>
      </c>
      <c r="AF114">
        <v>5</v>
      </c>
      <c r="AG114">
        <v>-1</v>
      </c>
      <c r="AH114" t="s">
        <v>1137</v>
      </c>
      <c r="AI114" t="s">
        <v>1115</v>
      </c>
      <c r="AJ114">
        <v>8</v>
      </c>
      <c r="AK114">
        <v>5</v>
      </c>
      <c r="AL114">
        <v>-3</v>
      </c>
      <c r="AM114" t="s">
        <v>1138</v>
      </c>
      <c r="AN114" t="s">
        <v>1117</v>
      </c>
      <c r="AO114">
        <v>7</v>
      </c>
      <c r="AP114">
        <v>5</v>
      </c>
      <c r="AQ114">
        <v>-2</v>
      </c>
      <c r="AR114" t="s">
        <v>1139</v>
      </c>
      <c r="AS114" t="s">
        <v>1119</v>
      </c>
      <c r="AT114">
        <v>8</v>
      </c>
      <c r="AU114">
        <v>5</v>
      </c>
      <c r="AV114">
        <v>-3</v>
      </c>
      <c r="AW114" t="s">
        <v>1140</v>
      </c>
      <c r="AX114" t="s">
        <v>1121</v>
      </c>
      <c r="AY114">
        <v>7</v>
      </c>
      <c r="AZ114">
        <v>5</v>
      </c>
      <c r="BA114">
        <v>-2</v>
      </c>
      <c r="BB114" t="s">
        <v>1141</v>
      </c>
      <c r="BC114" t="s">
        <v>1123</v>
      </c>
    </row>
    <row r="115" spans="1:55" x14ac:dyDescent="0.45">
      <c r="A115">
        <v>23</v>
      </c>
      <c r="B115">
        <v>4</v>
      </c>
      <c r="C115">
        <v>2246</v>
      </c>
      <c r="D115" t="s">
        <v>92</v>
      </c>
      <c r="E115" t="s">
        <v>162</v>
      </c>
      <c r="F115" t="s">
        <v>94</v>
      </c>
      <c r="G115" t="s">
        <v>95</v>
      </c>
      <c r="H115" t="s">
        <v>96</v>
      </c>
      <c r="I115">
        <v>120</v>
      </c>
      <c r="J115">
        <v>2</v>
      </c>
      <c r="K115">
        <v>5</v>
      </c>
      <c r="L115">
        <v>5</v>
      </c>
      <c r="M115">
        <v>0</v>
      </c>
      <c r="N115" t="s">
        <v>1142</v>
      </c>
      <c r="O115" t="s">
        <v>1107</v>
      </c>
      <c r="P115">
        <v>5</v>
      </c>
      <c r="Q115">
        <v>5</v>
      </c>
      <c r="R115">
        <v>0</v>
      </c>
      <c r="S115" t="s">
        <v>1143</v>
      </c>
      <c r="T115" t="s">
        <v>1109</v>
      </c>
      <c r="U115">
        <v>7</v>
      </c>
      <c r="V115">
        <v>5</v>
      </c>
      <c r="W115">
        <v>-2</v>
      </c>
      <c r="X115" t="s">
        <v>1144</v>
      </c>
      <c r="Y115" t="s">
        <v>1111</v>
      </c>
      <c r="Z115">
        <v>8</v>
      </c>
      <c r="AA115">
        <v>5</v>
      </c>
      <c r="AB115">
        <v>-3</v>
      </c>
      <c r="AC115" t="s">
        <v>1145</v>
      </c>
      <c r="AD115" t="s">
        <v>1113</v>
      </c>
      <c r="AE115">
        <v>6</v>
      </c>
      <c r="AF115">
        <v>5</v>
      </c>
      <c r="AG115">
        <v>-1</v>
      </c>
      <c r="AH115" t="s">
        <v>1146</v>
      </c>
      <c r="AI115" t="s">
        <v>1115</v>
      </c>
      <c r="AJ115">
        <v>7</v>
      </c>
      <c r="AK115">
        <v>5</v>
      </c>
      <c r="AL115">
        <v>-2</v>
      </c>
      <c r="AM115" t="s">
        <v>1147</v>
      </c>
      <c r="AN115" t="s">
        <v>1117</v>
      </c>
      <c r="AO115">
        <v>6</v>
      </c>
      <c r="AP115">
        <v>5</v>
      </c>
      <c r="AQ115">
        <v>-1</v>
      </c>
      <c r="AR115" t="s">
        <v>1148</v>
      </c>
      <c r="AS115" t="s">
        <v>1119</v>
      </c>
      <c r="AT115">
        <v>7</v>
      </c>
      <c r="AU115">
        <v>5</v>
      </c>
      <c r="AV115">
        <v>-2</v>
      </c>
      <c r="AW115" t="s">
        <v>1149</v>
      </c>
      <c r="AX115" t="s">
        <v>1121</v>
      </c>
      <c r="AY115">
        <v>8</v>
      </c>
      <c r="AZ115">
        <v>5</v>
      </c>
      <c r="BA115">
        <v>-3</v>
      </c>
      <c r="BB115" t="s">
        <v>1150</v>
      </c>
      <c r="BC115" t="s">
        <v>1123</v>
      </c>
    </row>
    <row r="116" spans="1:55" x14ac:dyDescent="0.45">
      <c r="A116">
        <v>23</v>
      </c>
      <c r="B116">
        <v>5</v>
      </c>
      <c r="C116">
        <v>2247</v>
      </c>
      <c r="D116" t="s">
        <v>92</v>
      </c>
      <c r="E116" t="s">
        <v>162</v>
      </c>
      <c r="F116" t="s">
        <v>94</v>
      </c>
      <c r="G116" t="s">
        <v>95</v>
      </c>
      <c r="H116" t="s">
        <v>96</v>
      </c>
      <c r="I116">
        <v>120</v>
      </c>
      <c r="J116">
        <v>2</v>
      </c>
      <c r="K116">
        <v>6</v>
      </c>
      <c r="L116">
        <v>5</v>
      </c>
      <c r="M116">
        <v>-1</v>
      </c>
      <c r="N116" t="s">
        <v>1151</v>
      </c>
      <c r="O116" t="s">
        <v>1107</v>
      </c>
      <c r="P116">
        <v>5</v>
      </c>
      <c r="Q116">
        <v>5</v>
      </c>
      <c r="R116">
        <v>0</v>
      </c>
      <c r="S116" t="s">
        <v>1152</v>
      </c>
      <c r="T116" t="s">
        <v>1109</v>
      </c>
      <c r="U116">
        <v>7</v>
      </c>
      <c r="V116">
        <v>5</v>
      </c>
      <c r="W116">
        <v>-2</v>
      </c>
      <c r="X116" t="s">
        <v>1153</v>
      </c>
      <c r="Y116" t="s">
        <v>1111</v>
      </c>
      <c r="Z116">
        <v>6</v>
      </c>
      <c r="AA116">
        <v>5</v>
      </c>
      <c r="AB116">
        <v>-1</v>
      </c>
      <c r="AC116" t="s">
        <v>1154</v>
      </c>
      <c r="AD116" t="s">
        <v>1113</v>
      </c>
      <c r="AE116">
        <v>7</v>
      </c>
      <c r="AF116">
        <v>5</v>
      </c>
      <c r="AG116">
        <v>-2</v>
      </c>
      <c r="AH116" t="s">
        <v>1155</v>
      </c>
      <c r="AI116" t="s">
        <v>1115</v>
      </c>
      <c r="AJ116">
        <v>8</v>
      </c>
      <c r="AK116">
        <v>5</v>
      </c>
      <c r="AL116">
        <v>-3</v>
      </c>
      <c r="AM116" t="s">
        <v>1156</v>
      </c>
      <c r="AN116" t="s">
        <v>1117</v>
      </c>
      <c r="AO116">
        <v>6</v>
      </c>
      <c r="AP116">
        <v>5</v>
      </c>
      <c r="AQ116">
        <v>-1</v>
      </c>
      <c r="AR116" t="s">
        <v>1157</v>
      </c>
      <c r="AS116" t="s">
        <v>1119</v>
      </c>
      <c r="AT116">
        <v>7</v>
      </c>
      <c r="AU116">
        <v>5</v>
      </c>
      <c r="AV116">
        <v>-2</v>
      </c>
      <c r="AW116" t="s">
        <v>1158</v>
      </c>
      <c r="AX116" t="s">
        <v>1121</v>
      </c>
      <c r="AY116">
        <v>8</v>
      </c>
      <c r="AZ116">
        <v>5</v>
      </c>
      <c r="BA116">
        <v>-3</v>
      </c>
      <c r="BB116" t="s">
        <v>1159</v>
      </c>
      <c r="BC116" t="s">
        <v>1123</v>
      </c>
    </row>
    <row r="117" spans="1:55" x14ac:dyDescent="0.45">
      <c r="A117">
        <v>24</v>
      </c>
      <c r="B117">
        <v>1</v>
      </c>
      <c r="C117">
        <v>2343</v>
      </c>
      <c r="D117" t="s">
        <v>92</v>
      </c>
      <c r="E117" t="s">
        <v>93</v>
      </c>
      <c r="F117" t="s">
        <v>94</v>
      </c>
      <c r="G117" t="s">
        <v>149</v>
      </c>
      <c r="H117" t="s">
        <v>96</v>
      </c>
      <c r="I117">
        <v>40</v>
      </c>
      <c r="J117">
        <v>1</v>
      </c>
      <c r="K117">
        <v>6</v>
      </c>
      <c r="L117">
        <v>5</v>
      </c>
      <c r="M117">
        <v>-1</v>
      </c>
      <c r="N117" t="s">
        <v>1160</v>
      </c>
      <c r="O117" t="s">
        <v>1161</v>
      </c>
      <c r="P117">
        <v>6</v>
      </c>
      <c r="Q117">
        <v>8</v>
      </c>
      <c r="R117">
        <v>2</v>
      </c>
      <c r="S117" t="s">
        <v>1162</v>
      </c>
      <c r="T117" t="s">
        <v>1163</v>
      </c>
      <c r="U117">
        <v>8</v>
      </c>
      <c r="V117">
        <v>8</v>
      </c>
      <c r="W117">
        <v>0</v>
      </c>
      <c r="X117" t="s">
        <v>1164</v>
      </c>
      <c r="Y117" t="s">
        <v>1165</v>
      </c>
      <c r="Z117">
        <v>9</v>
      </c>
      <c r="AA117">
        <v>8</v>
      </c>
      <c r="AB117">
        <v>-1</v>
      </c>
      <c r="AC117" t="s">
        <v>1166</v>
      </c>
      <c r="AD117" t="s">
        <v>1167</v>
      </c>
      <c r="AE117">
        <v>4</v>
      </c>
      <c r="AF117">
        <v>5</v>
      </c>
      <c r="AG117">
        <v>1</v>
      </c>
      <c r="AH117" t="s">
        <v>1168</v>
      </c>
      <c r="AI117" t="s">
        <v>1169</v>
      </c>
      <c r="AJ117">
        <v>4</v>
      </c>
      <c r="AK117">
        <v>3</v>
      </c>
      <c r="AL117">
        <v>-1</v>
      </c>
      <c r="AM117" t="s">
        <v>1168</v>
      </c>
      <c r="AN117" t="s">
        <v>1170</v>
      </c>
      <c r="AO117">
        <v>4</v>
      </c>
      <c r="AP117">
        <v>3</v>
      </c>
      <c r="AQ117">
        <v>-1</v>
      </c>
      <c r="AR117" t="s">
        <v>1171</v>
      </c>
      <c r="AS117" t="s">
        <v>1172</v>
      </c>
      <c r="AT117">
        <v>4</v>
      </c>
      <c r="AU117">
        <v>7</v>
      </c>
      <c r="AV117">
        <v>3</v>
      </c>
      <c r="AW117" t="s">
        <v>1171</v>
      </c>
      <c r="AX117" t="s">
        <v>1173</v>
      </c>
      <c r="AY117">
        <v>7</v>
      </c>
      <c r="AZ117">
        <v>7</v>
      </c>
      <c r="BA117">
        <v>0</v>
      </c>
      <c r="BB117" t="s">
        <v>1174</v>
      </c>
      <c r="BC117" t="s">
        <v>1175</v>
      </c>
    </row>
    <row r="118" spans="1:55" x14ac:dyDescent="0.45">
      <c r="A118">
        <v>24</v>
      </c>
      <c r="B118">
        <v>2</v>
      </c>
      <c r="C118">
        <v>2344</v>
      </c>
      <c r="D118" t="s">
        <v>92</v>
      </c>
      <c r="E118" t="s">
        <v>93</v>
      </c>
      <c r="F118" t="s">
        <v>94</v>
      </c>
      <c r="G118" t="s">
        <v>149</v>
      </c>
      <c r="H118" t="s">
        <v>96</v>
      </c>
      <c r="I118">
        <v>40</v>
      </c>
      <c r="J118">
        <v>1</v>
      </c>
      <c r="K118">
        <v>7</v>
      </c>
      <c r="L118">
        <v>5</v>
      </c>
      <c r="M118">
        <v>-2</v>
      </c>
      <c r="N118" t="s">
        <v>1176</v>
      </c>
      <c r="O118" t="s">
        <v>1161</v>
      </c>
      <c r="P118">
        <v>6</v>
      </c>
      <c r="Q118">
        <v>8</v>
      </c>
      <c r="R118">
        <v>2</v>
      </c>
      <c r="S118" t="s">
        <v>1177</v>
      </c>
      <c r="T118" t="s">
        <v>1163</v>
      </c>
      <c r="U118">
        <v>7</v>
      </c>
      <c r="V118">
        <v>8</v>
      </c>
      <c r="W118">
        <v>1</v>
      </c>
      <c r="X118" t="s">
        <v>1178</v>
      </c>
      <c r="Y118" t="s">
        <v>1165</v>
      </c>
      <c r="Z118">
        <v>8</v>
      </c>
      <c r="AA118">
        <v>8</v>
      </c>
      <c r="AB118">
        <v>0</v>
      </c>
      <c r="AC118" t="s">
        <v>1179</v>
      </c>
      <c r="AD118" t="s">
        <v>1167</v>
      </c>
      <c r="AE118">
        <v>4</v>
      </c>
      <c r="AF118">
        <v>5</v>
      </c>
      <c r="AG118">
        <v>1</v>
      </c>
      <c r="AH118" t="s">
        <v>1180</v>
      </c>
      <c r="AI118" t="s">
        <v>1169</v>
      </c>
      <c r="AJ118">
        <v>5</v>
      </c>
      <c r="AK118">
        <v>3</v>
      </c>
      <c r="AL118">
        <v>-2</v>
      </c>
      <c r="AM118" t="s">
        <v>1181</v>
      </c>
      <c r="AN118" t="s">
        <v>1170</v>
      </c>
      <c r="AO118">
        <v>6</v>
      </c>
      <c r="AP118">
        <v>3</v>
      </c>
      <c r="AQ118">
        <v>-3</v>
      </c>
      <c r="AR118" t="s">
        <v>1182</v>
      </c>
      <c r="AS118" t="s">
        <v>1172</v>
      </c>
      <c r="AT118">
        <v>5</v>
      </c>
      <c r="AU118">
        <v>7</v>
      </c>
      <c r="AV118">
        <v>2</v>
      </c>
      <c r="AW118" t="s">
        <v>1183</v>
      </c>
      <c r="AX118" t="s">
        <v>1173</v>
      </c>
      <c r="AY118">
        <v>7</v>
      </c>
      <c r="AZ118">
        <v>7</v>
      </c>
      <c r="BA118">
        <v>0</v>
      </c>
      <c r="BB118" t="s">
        <v>1184</v>
      </c>
      <c r="BC118" t="s">
        <v>1175</v>
      </c>
    </row>
    <row r="119" spans="1:55" x14ac:dyDescent="0.45">
      <c r="A119">
        <v>24</v>
      </c>
      <c r="B119">
        <v>3</v>
      </c>
      <c r="C119">
        <v>2345</v>
      </c>
      <c r="D119" t="s">
        <v>92</v>
      </c>
      <c r="E119" t="s">
        <v>93</v>
      </c>
      <c r="F119" t="s">
        <v>94</v>
      </c>
      <c r="G119" t="s">
        <v>149</v>
      </c>
      <c r="H119" t="s">
        <v>96</v>
      </c>
      <c r="I119">
        <v>40</v>
      </c>
      <c r="J119">
        <v>1</v>
      </c>
      <c r="K119">
        <v>8</v>
      </c>
      <c r="L119">
        <v>5</v>
      </c>
      <c r="M119">
        <v>-3</v>
      </c>
      <c r="N119" t="s">
        <v>1185</v>
      </c>
      <c r="O119" t="s">
        <v>1161</v>
      </c>
      <c r="P119">
        <v>9</v>
      </c>
      <c r="Q119">
        <v>8</v>
      </c>
      <c r="R119">
        <v>-1</v>
      </c>
      <c r="S119" t="s">
        <v>1186</v>
      </c>
      <c r="T119" t="s">
        <v>1163</v>
      </c>
      <c r="U119">
        <v>7</v>
      </c>
      <c r="V119">
        <v>8</v>
      </c>
      <c r="W119">
        <v>1</v>
      </c>
      <c r="X119" t="s">
        <v>1187</v>
      </c>
      <c r="Y119" t="s">
        <v>1165</v>
      </c>
      <c r="Z119">
        <v>9</v>
      </c>
      <c r="AA119">
        <v>8</v>
      </c>
      <c r="AB119">
        <v>-1</v>
      </c>
      <c r="AC119" t="s">
        <v>1188</v>
      </c>
      <c r="AD119" t="s">
        <v>1167</v>
      </c>
      <c r="AE119">
        <v>6</v>
      </c>
      <c r="AF119">
        <v>5</v>
      </c>
      <c r="AG119">
        <v>-1</v>
      </c>
      <c r="AH119" t="s">
        <v>1189</v>
      </c>
      <c r="AI119" t="s">
        <v>1169</v>
      </c>
      <c r="AJ119">
        <v>7</v>
      </c>
      <c r="AK119">
        <v>3</v>
      </c>
      <c r="AL119">
        <v>-4</v>
      </c>
      <c r="AM119" t="s">
        <v>1190</v>
      </c>
      <c r="AN119" t="s">
        <v>1170</v>
      </c>
      <c r="AO119">
        <v>6</v>
      </c>
      <c r="AP119">
        <v>3</v>
      </c>
      <c r="AQ119">
        <v>-3</v>
      </c>
      <c r="AR119" t="s">
        <v>1191</v>
      </c>
      <c r="AS119" t="s">
        <v>1172</v>
      </c>
      <c r="AT119">
        <v>7</v>
      </c>
      <c r="AU119">
        <v>7</v>
      </c>
      <c r="AV119">
        <v>0</v>
      </c>
      <c r="AW119" t="s">
        <v>1192</v>
      </c>
      <c r="AX119" t="s">
        <v>1173</v>
      </c>
      <c r="AY119">
        <v>6</v>
      </c>
      <c r="AZ119">
        <v>7</v>
      </c>
      <c r="BA119">
        <v>1</v>
      </c>
      <c r="BB119" t="s">
        <v>1193</v>
      </c>
      <c r="BC119" t="s">
        <v>1175</v>
      </c>
    </row>
    <row r="120" spans="1:55" x14ac:dyDescent="0.45">
      <c r="A120">
        <v>24</v>
      </c>
      <c r="B120">
        <v>4</v>
      </c>
      <c r="C120">
        <v>2346</v>
      </c>
      <c r="D120" t="s">
        <v>92</v>
      </c>
      <c r="E120" t="s">
        <v>93</v>
      </c>
      <c r="F120" t="s">
        <v>94</v>
      </c>
      <c r="G120" t="s">
        <v>149</v>
      </c>
      <c r="H120" t="s">
        <v>96</v>
      </c>
      <c r="I120">
        <v>40</v>
      </c>
      <c r="J120">
        <v>1</v>
      </c>
      <c r="K120">
        <v>7</v>
      </c>
      <c r="L120">
        <v>5</v>
      </c>
      <c r="M120">
        <v>-2</v>
      </c>
      <c r="N120" t="s">
        <v>1194</v>
      </c>
      <c r="O120" t="s">
        <v>1161</v>
      </c>
      <c r="P120">
        <v>7</v>
      </c>
      <c r="Q120">
        <v>8</v>
      </c>
      <c r="R120">
        <v>1</v>
      </c>
      <c r="S120" t="s">
        <v>1195</v>
      </c>
      <c r="T120" t="s">
        <v>1163</v>
      </c>
      <c r="U120">
        <v>6</v>
      </c>
      <c r="V120">
        <v>8</v>
      </c>
      <c r="W120">
        <v>2</v>
      </c>
      <c r="X120" t="s">
        <v>1196</v>
      </c>
      <c r="Y120" t="s">
        <v>1165</v>
      </c>
      <c r="Z120">
        <v>8</v>
      </c>
      <c r="AA120">
        <v>8</v>
      </c>
      <c r="AB120">
        <v>0</v>
      </c>
      <c r="AC120" t="s">
        <v>1197</v>
      </c>
      <c r="AD120" t="s">
        <v>1167</v>
      </c>
      <c r="AE120">
        <v>4</v>
      </c>
      <c r="AF120">
        <v>5</v>
      </c>
      <c r="AG120">
        <v>1</v>
      </c>
      <c r="AH120" t="s">
        <v>1198</v>
      </c>
      <c r="AI120" t="s">
        <v>1169</v>
      </c>
      <c r="AJ120">
        <v>6</v>
      </c>
      <c r="AK120">
        <v>3</v>
      </c>
      <c r="AL120">
        <v>-3</v>
      </c>
      <c r="AM120" t="s">
        <v>1199</v>
      </c>
      <c r="AN120" t="s">
        <v>1170</v>
      </c>
      <c r="AO120">
        <v>5</v>
      </c>
      <c r="AP120">
        <v>3</v>
      </c>
      <c r="AQ120">
        <v>-2</v>
      </c>
      <c r="AR120" t="s">
        <v>1200</v>
      </c>
      <c r="AS120" t="s">
        <v>1172</v>
      </c>
      <c r="AT120">
        <v>5</v>
      </c>
      <c r="AU120">
        <v>7</v>
      </c>
      <c r="AV120">
        <v>2</v>
      </c>
      <c r="AW120" t="s">
        <v>1201</v>
      </c>
      <c r="AX120" t="s">
        <v>1173</v>
      </c>
      <c r="AY120">
        <v>6</v>
      </c>
      <c r="AZ120">
        <v>7</v>
      </c>
      <c r="BA120">
        <v>1</v>
      </c>
      <c r="BB120" t="s">
        <v>1202</v>
      </c>
      <c r="BC120" t="s">
        <v>1175</v>
      </c>
    </row>
    <row r="121" spans="1:55" x14ac:dyDescent="0.45">
      <c r="A121">
        <v>24</v>
      </c>
      <c r="B121">
        <v>5</v>
      </c>
      <c r="C121">
        <v>2347</v>
      </c>
      <c r="D121" t="s">
        <v>92</v>
      </c>
      <c r="E121" t="s">
        <v>93</v>
      </c>
      <c r="F121" t="s">
        <v>94</v>
      </c>
      <c r="G121" t="s">
        <v>149</v>
      </c>
      <c r="H121" t="s">
        <v>96</v>
      </c>
      <c r="I121">
        <v>40</v>
      </c>
      <c r="J121">
        <v>1</v>
      </c>
      <c r="K121">
        <v>6</v>
      </c>
      <c r="L121">
        <v>5</v>
      </c>
      <c r="M121">
        <v>-1</v>
      </c>
      <c r="N121" t="s">
        <v>1203</v>
      </c>
      <c r="O121" t="s">
        <v>1161</v>
      </c>
      <c r="P121">
        <v>6</v>
      </c>
      <c r="Q121">
        <v>8</v>
      </c>
      <c r="R121">
        <v>2</v>
      </c>
      <c r="S121" t="s">
        <v>1204</v>
      </c>
      <c r="T121" t="s">
        <v>1163</v>
      </c>
      <c r="U121">
        <v>8</v>
      </c>
      <c r="V121">
        <v>8</v>
      </c>
      <c r="W121">
        <v>0</v>
      </c>
      <c r="X121" t="s">
        <v>1205</v>
      </c>
      <c r="Y121" t="s">
        <v>1165</v>
      </c>
      <c r="Z121">
        <v>7</v>
      </c>
      <c r="AA121">
        <v>8</v>
      </c>
      <c r="AB121">
        <v>1</v>
      </c>
      <c r="AC121" t="s">
        <v>1206</v>
      </c>
      <c r="AD121" t="s">
        <v>1167</v>
      </c>
      <c r="AE121">
        <v>4</v>
      </c>
      <c r="AF121">
        <v>5</v>
      </c>
      <c r="AG121">
        <v>1</v>
      </c>
      <c r="AH121" t="s">
        <v>1207</v>
      </c>
      <c r="AI121" t="s">
        <v>1169</v>
      </c>
      <c r="AJ121">
        <v>3</v>
      </c>
      <c r="AK121">
        <v>3</v>
      </c>
      <c r="AL121">
        <v>0</v>
      </c>
      <c r="AM121" t="s">
        <v>1208</v>
      </c>
      <c r="AN121" t="s">
        <v>1170</v>
      </c>
      <c r="AO121">
        <v>4</v>
      </c>
      <c r="AP121">
        <v>3</v>
      </c>
      <c r="AQ121">
        <v>-1</v>
      </c>
      <c r="AR121" t="s">
        <v>1209</v>
      </c>
      <c r="AS121" t="s">
        <v>1172</v>
      </c>
      <c r="AT121">
        <v>5</v>
      </c>
      <c r="AU121">
        <v>7</v>
      </c>
      <c r="AV121">
        <v>2</v>
      </c>
      <c r="AW121" t="s">
        <v>1210</v>
      </c>
      <c r="AX121" t="s">
        <v>1173</v>
      </c>
      <c r="AY121">
        <v>6</v>
      </c>
      <c r="AZ121">
        <v>7</v>
      </c>
      <c r="BA121">
        <v>1</v>
      </c>
      <c r="BB121" t="s">
        <v>1211</v>
      </c>
      <c r="BC121" t="s">
        <v>1175</v>
      </c>
    </row>
    <row r="122" spans="1:55" x14ac:dyDescent="0.45">
      <c r="A122">
        <v>25</v>
      </c>
      <c r="B122">
        <v>1</v>
      </c>
      <c r="C122">
        <v>2443</v>
      </c>
      <c r="D122" t="s">
        <v>92</v>
      </c>
      <c r="E122" t="s">
        <v>162</v>
      </c>
      <c r="F122" t="s">
        <v>94</v>
      </c>
      <c r="G122" t="s">
        <v>149</v>
      </c>
      <c r="H122" t="s">
        <v>96</v>
      </c>
      <c r="I122">
        <v>15</v>
      </c>
      <c r="J122">
        <v>2</v>
      </c>
      <c r="K122">
        <v>9</v>
      </c>
      <c r="L122">
        <v>8</v>
      </c>
      <c r="M122">
        <v>-1</v>
      </c>
      <c r="N122" t="s">
        <v>1212</v>
      </c>
      <c r="O122" t="s">
        <v>1213</v>
      </c>
      <c r="P122">
        <v>8</v>
      </c>
      <c r="Q122">
        <v>8</v>
      </c>
      <c r="R122">
        <v>0</v>
      </c>
      <c r="S122" t="s">
        <v>1214</v>
      </c>
      <c r="T122" t="s">
        <v>1215</v>
      </c>
      <c r="U122">
        <v>9</v>
      </c>
      <c r="V122">
        <v>8</v>
      </c>
      <c r="W122">
        <v>-1</v>
      </c>
      <c r="X122" t="s">
        <v>1216</v>
      </c>
      <c r="Y122" t="s">
        <v>1217</v>
      </c>
      <c r="Z122">
        <v>8</v>
      </c>
      <c r="AA122">
        <v>8</v>
      </c>
      <c r="AB122">
        <v>0</v>
      </c>
      <c r="AC122" t="s">
        <v>1218</v>
      </c>
      <c r="AD122" t="s">
        <v>1219</v>
      </c>
      <c r="AE122">
        <v>9</v>
      </c>
      <c r="AF122">
        <v>8</v>
      </c>
      <c r="AG122">
        <v>-1</v>
      </c>
      <c r="AH122" t="s">
        <v>1220</v>
      </c>
      <c r="AI122" t="s">
        <v>1221</v>
      </c>
      <c r="AJ122">
        <v>8</v>
      </c>
      <c r="AK122">
        <v>8</v>
      </c>
      <c r="AL122">
        <v>0</v>
      </c>
      <c r="AM122" t="s">
        <v>1222</v>
      </c>
      <c r="AN122" t="s">
        <v>1223</v>
      </c>
      <c r="AO122">
        <v>9</v>
      </c>
      <c r="AP122">
        <v>9</v>
      </c>
      <c r="AQ122">
        <v>0</v>
      </c>
      <c r="AR122" t="s">
        <v>1224</v>
      </c>
      <c r="AS122" t="s">
        <v>1225</v>
      </c>
      <c r="AT122">
        <v>8</v>
      </c>
      <c r="AU122">
        <v>8</v>
      </c>
      <c r="AV122">
        <v>0</v>
      </c>
      <c r="AW122" t="s">
        <v>1226</v>
      </c>
      <c r="AX122" t="s">
        <v>1227</v>
      </c>
      <c r="AY122">
        <v>9</v>
      </c>
      <c r="AZ122">
        <v>10</v>
      </c>
      <c r="BA122">
        <v>1</v>
      </c>
      <c r="BB122" t="s">
        <v>1228</v>
      </c>
      <c r="BC122" t="s">
        <v>1229</v>
      </c>
    </row>
    <row r="123" spans="1:55" x14ac:dyDescent="0.45">
      <c r="A123">
        <v>25</v>
      </c>
      <c r="B123">
        <v>2</v>
      </c>
      <c r="C123">
        <v>2444</v>
      </c>
      <c r="D123" t="s">
        <v>92</v>
      </c>
      <c r="E123" t="s">
        <v>162</v>
      </c>
      <c r="F123" t="s">
        <v>94</v>
      </c>
      <c r="G123" t="s">
        <v>149</v>
      </c>
      <c r="H123" t="s">
        <v>96</v>
      </c>
      <c r="I123">
        <v>15</v>
      </c>
      <c r="J123">
        <v>2</v>
      </c>
      <c r="K123">
        <v>8</v>
      </c>
      <c r="L123">
        <v>8</v>
      </c>
      <c r="M123">
        <v>0</v>
      </c>
      <c r="N123" t="s">
        <v>1230</v>
      </c>
      <c r="O123" t="s">
        <v>1213</v>
      </c>
      <c r="P123">
        <v>9</v>
      </c>
      <c r="Q123">
        <v>8</v>
      </c>
      <c r="R123">
        <v>-1</v>
      </c>
      <c r="S123" t="s">
        <v>1231</v>
      </c>
      <c r="T123" t="s">
        <v>1215</v>
      </c>
      <c r="U123">
        <v>7</v>
      </c>
      <c r="V123">
        <v>8</v>
      </c>
      <c r="W123">
        <v>1</v>
      </c>
      <c r="X123" t="s">
        <v>1232</v>
      </c>
      <c r="Y123" t="s">
        <v>1217</v>
      </c>
      <c r="Z123">
        <v>8</v>
      </c>
      <c r="AA123">
        <v>8</v>
      </c>
      <c r="AB123">
        <v>0</v>
      </c>
      <c r="AC123" t="s">
        <v>1233</v>
      </c>
      <c r="AD123" t="s">
        <v>1219</v>
      </c>
      <c r="AE123">
        <v>9</v>
      </c>
      <c r="AF123">
        <v>8</v>
      </c>
      <c r="AG123">
        <v>-1</v>
      </c>
      <c r="AH123" t="s">
        <v>1234</v>
      </c>
      <c r="AI123" t="s">
        <v>1221</v>
      </c>
      <c r="AJ123">
        <v>8</v>
      </c>
      <c r="AK123">
        <v>8</v>
      </c>
      <c r="AL123">
        <v>0</v>
      </c>
      <c r="AM123" t="s">
        <v>1235</v>
      </c>
      <c r="AN123" t="s">
        <v>1223</v>
      </c>
      <c r="AO123">
        <v>9</v>
      </c>
      <c r="AP123">
        <v>9</v>
      </c>
      <c r="AQ123">
        <v>0</v>
      </c>
      <c r="AR123" t="s">
        <v>1236</v>
      </c>
      <c r="AS123" t="s">
        <v>1225</v>
      </c>
      <c r="AT123">
        <v>8</v>
      </c>
      <c r="AU123">
        <v>8</v>
      </c>
      <c r="AV123">
        <v>0</v>
      </c>
      <c r="AW123" t="s">
        <v>1237</v>
      </c>
      <c r="AX123" t="s">
        <v>1227</v>
      </c>
      <c r="AY123">
        <v>9</v>
      </c>
      <c r="AZ123">
        <v>10</v>
      </c>
      <c r="BA123">
        <v>1</v>
      </c>
      <c r="BB123" t="s">
        <v>1238</v>
      </c>
      <c r="BC123" t="s">
        <v>1229</v>
      </c>
    </row>
    <row r="124" spans="1:55" x14ac:dyDescent="0.45">
      <c r="A124">
        <v>25</v>
      </c>
      <c r="B124">
        <v>3</v>
      </c>
      <c r="C124">
        <v>2445</v>
      </c>
      <c r="D124" t="s">
        <v>92</v>
      </c>
      <c r="E124" t="s">
        <v>162</v>
      </c>
      <c r="F124" t="s">
        <v>94</v>
      </c>
      <c r="G124" t="s">
        <v>149</v>
      </c>
      <c r="H124" t="s">
        <v>96</v>
      </c>
      <c r="I124">
        <v>15</v>
      </c>
      <c r="J124">
        <v>2</v>
      </c>
      <c r="K124">
        <v>9</v>
      </c>
      <c r="L124">
        <v>8</v>
      </c>
      <c r="M124">
        <v>-1</v>
      </c>
      <c r="N124" t="s">
        <v>1239</v>
      </c>
      <c r="O124" t="s">
        <v>1213</v>
      </c>
      <c r="P124">
        <v>8</v>
      </c>
      <c r="Q124">
        <v>8</v>
      </c>
      <c r="R124">
        <v>0</v>
      </c>
      <c r="S124" t="s">
        <v>1240</v>
      </c>
      <c r="T124" t="s">
        <v>1215</v>
      </c>
      <c r="U124">
        <v>9</v>
      </c>
      <c r="V124">
        <v>8</v>
      </c>
      <c r="W124">
        <v>-1</v>
      </c>
      <c r="X124" t="s">
        <v>1241</v>
      </c>
      <c r="Y124" t="s">
        <v>1217</v>
      </c>
      <c r="Z124">
        <v>8</v>
      </c>
      <c r="AA124">
        <v>8</v>
      </c>
      <c r="AB124">
        <v>0</v>
      </c>
      <c r="AC124" t="s">
        <v>1242</v>
      </c>
      <c r="AD124" t="s">
        <v>1219</v>
      </c>
      <c r="AE124">
        <v>9</v>
      </c>
      <c r="AF124">
        <v>8</v>
      </c>
      <c r="AG124">
        <v>-1</v>
      </c>
      <c r="AH124" t="s">
        <v>1243</v>
      </c>
      <c r="AI124" t="s">
        <v>1221</v>
      </c>
      <c r="AJ124">
        <v>8</v>
      </c>
      <c r="AK124">
        <v>8</v>
      </c>
      <c r="AL124">
        <v>0</v>
      </c>
      <c r="AM124" t="s">
        <v>1244</v>
      </c>
      <c r="AN124" t="s">
        <v>1223</v>
      </c>
      <c r="AO124">
        <v>9</v>
      </c>
      <c r="AP124">
        <v>9</v>
      </c>
      <c r="AQ124">
        <v>0</v>
      </c>
      <c r="AR124" t="s">
        <v>1245</v>
      </c>
      <c r="AS124" t="s">
        <v>1225</v>
      </c>
      <c r="AT124">
        <v>8</v>
      </c>
      <c r="AU124">
        <v>8</v>
      </c>
      <c r="AV124">
        <v>0</v>
      </c>
      <c r="AW124" t="s">
        <v>1246</v>
      </c>
      <c r="AX124" t="s">
        <v>1227</v>
      </c>
      <c r="AY124">
        <v>9</v>
      </c>
      <c r="AZ124">
        <v>10</v>
      </c>
      <c r="BA124">
        <v>1</v>
      </c>
      <c r="BB124" t="s">
        <v>1247</v>
      </c>
      <c r="BC124" t="s">
        <v>1229</v>
      </c>
    </row>
    <row r="125" spans="1:55" x14ac:dyDescent="0.45">
      <c r="A125">
        <v>25</v>
      </c>
      <c r="B125">
        <v>4</v>
      </c>
      <c r="C125">
        <v>2446</v>
      </c>
      <c r="D125" t="s">
        <v>92</v>
      </c>
      <c r="E125" t="s">
        <v>162</v>
      </c>
      <c r="F125" t="s">
        <v>94</v>
      </c>
      <c r="G125" t="s">
        <v>149</v>
      </c>
      <c r="H125" t="s">
        <v>96</v>
      </c>
      <c r="I125">
        <v>15</v>
      </c>
      <c r="J125">
        <v>2</v>
      </c>
      <c r="K125">
        <v>9</v>
      </c>
      <c r="L125">
        <v>8</v>
      </c>
      <c r="M125">
        <v>-1</v>
      </c>
      <c r="N125" t="s">
        <v>1248</v>
      </c>
      <c r="O125" t="s">
        <v>1213</v>
      </c>
      <c r="P125">
        <v>8</v>
      </c>
      <c r="Q125">
        <v>8</v>
      </c>
      <c r="R125">
        <v>0</v>
      </c>
      <c r="S125" t="s">
        <v>1249</v>
      </c>
      <c r="T125" t="s">
        <v>1215</v>
      </c>
      <c r="U125">
        <v>9</v>
      </c>
      <c r="V125">
        <v>8</v>
      </c>
      <c r="W125">
        <v>-1</v>
      </c>
      <c r="X125" t="s">
        <v>1250</v>
      </c>
      <c r="Y125" t="s">
        <v>1217</v>
      </c>
      <c r="Z125">
        <v>8</v>
      </c>
      <c r="AA125">
        <v>8</v>
      </c>
      <c r="AB125">
        <v>0</v>
      </c>
      <c r="AC125" t="s">
        <v>1251</v>
      </c>
      <c r="AD125" t="s">
        <v>1219</v>
      </c>
      <c r="AE125">
        <v>9</v>
      </c>
      <c r="AF125">
        <v>8</v>
      </c>
      <c r="AG125">
        <v>-1</v>
      </c>
      <c r="AH125" t="s">
        <v>1252</v>
      </c>
      <c r="AI125" t="s">
        <v>1221</v>
      </c>
      <c r="AJ125">
        <v>8</v>
      </c>
      <c r="AK125">
        <v>8</v>
      </c>
      <c r="AL125">
        <v>0</v>
      </c>
      <c r="AM125" t="s">
        <v>1253</v>
      </c>
      <c r="AN125" t="s">
        <v>1223</v>
      </c>
      <c r="AO125">
        <v>9</v>
      </c>
      <c r="AP125">
        <v>9</v>
      </c>
      <c r="AQ125">
        <v>0</v>
      </c>
      <c r="AR125" t="s">
        <v>1254</v>
      </c>
      <c r="AS125" t="s">
        <v>1225</v>
      </c>
      <c r="AT125">
        <v>8</v>
      </c>
      <c r="AU125">
        <v>8</v>
      </c>
      <c r="AV125">
        <v>0</v>
      </c>
      <c r="AW125" t="s">
        <v>1255</v>
      </c>
      <c r="AX125" t="s">
        <v>1227</v>
      </c>
      <c r="AY125">
        <v>9</v>
      </c>
      <c r="AZ125">
        <v>10</v>
      </c>
      <c r="BA125">
        <v>1</v>
      </c>
      <c r="BB125" t="s">
        <v>1256</v>
      </c>
      <c r="BC125" t="s">
        <v>1229</v>
      </c>
    </row>
    <row r="126" spans="1:55" x14ac:dyDescent="0.45">
      <c r="A126">
        <v>25</v>
      </c>
      <c r="B126">
        <v>5</v>
      </c>
      <c r="C126">
        <v>2447</v>
      </c>
      <c r="D126" t="s">
        <v>92</v>
      </c>
      <c r="E126" t="s">
        <v>162</v>
      </c>
      <c r="F126" t="s">
        <v>94</v>
      </c>
      <c r="G126" t="s">
        <v>149</v>
      </c>
      <c r="H126" t="s">
        <v>96</v>
      </c>
      <c r="I126">
        <v>15</v>
      </c>
      <c r="J126">
        <v>2</v>
      </c>
      <c r="K126">
        <v>9</v>
      </c>
      <c r="L126">
        <v>8</v>
      </c>
      <c r="M126">
        <v>-1</v>
      </c>
      <c r="N126" t="s">
        <v>1257</v>
      </c>
      <c r="O126" t="s">
        <v>1213</v>
      </c>
      <c r="P126">
        <v>8</v>
      </c>
      <c r="Q126">
        <v>8</v>
      </c>
      <c r="R126">
        <v>0</v>
      </c>
      <c r="S126" t="s">
        <v>1258</v>
      </c>
      <c r="T126" t="s">
        <v>1215</v>
      </c>
      <c r="U126">
        <v>9</v>
      </c>
      <c r="V126">
        <v>8</v>
      </c>
      <c r="W126">
        <v>-1</v>
      </c>
      <c r="X126" t="s">
        <v>1259</v>
      </c>
      <c r="Y126" t="s">
        <v>1217</v>
      </c>
      <c r="Z126">
        <v>8</v>
      </c>
      <c r="AA126">
        <v>8</v>
      </c>
      <c r="AB126">
        <v>0</v>
      </c>
      <c r="AC126" t="s">
        <v>1260</v>
      </c>
      <c r="AD126" t="s">
        <v>1219</v>
      </c>
      <c r="AE126">
        <v>9</v>
      </c>
      <c r="AF126">
        <v>8</v>
      </c>
      <c r="AG126">
        <v>-1</v>
      </c>
      <c r="AH126" t="s">
        <v>1261</v>
      </c>
      <c r="AI126" t="s">
        <v>1221</v>
      </c>
      <c r="AJ126">
        <v>8</v>
      </c>
      <c r="AK126">
        <v>8</v>
      </c>
      <c r="AL126">
        <v>0</v>
      </c>
      <c r="AM126" t="s">
        <v>1262</v>
      </c>
      <c r="AN126" t="s">
        <v>1223</v>
      </c>
      <c r="AO126">
        <v>9</v>
      </c>
      <c r="AP126">
        <v>9</v>
      </c>
      <c r="AQ126">
        <v>0</v>
      </c>
      <c r="AR126" t="s">
        <v>1263</v>
      </c>
      <c r="AS126" t="s">
        <v>1225</v>
      </c>
      <c r="AT126">
        <v>8</v>
      </c>
      <c r="AU126">
        <v>8</v>
      </c>
      <c r="AV126">
        <v>0</v>
      </c>
      <c r="AW126" t="s">
        <v>1264</v>
      </c>
      <c r="AX126" t="s">
        <v>1227</v>
      </c>
      <c r="AY126">
        <v>9</v>
      </c>
      <c r="AZ126">
        <v>10</v>
      </c>
      <c r="BA126">
        <v>1</v>
      </c>
      <c r="BB126" t="s">
        <v>1265</v>
      </c>
      <c r="BC126" t="s">
        <v>1229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BCA4-AF6F-4728-9EFD-99953F71671A}">
  <dimension ref="A1:AE27"/>
  <sheetViews>
    <sheetView topLeftCell="I1" workbookViewId="0">
      <selection activeCell="J2" sqref="J2"/>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26" width="80.53125" bestFit="1" customWidth="1"/>
  </cols>
  <sheetData>
    <row r="1" spans="1:31" x14ac:dyDescent="0.45">
      <c r="A1" t="s">
        <v>1266</v>
      </c>
      <c r="B1" t="s">
        <v>1267</v>
      </c>
      <c r="C1" t="s">
        <v>1268</v>
      </c>
      <c r="D1" t="s">
        <v>1269</v>
      </c>
      <c r="E1" t="s">
        <v>1270</v>
      </c>
      <c r="F1" t="s">
        <v>1271</v>
      </c>
      <c r="G1" t="s">
        <v>1272</v>
      </c>
      <c r="H1" t="s">
        <v>1273</v>
      </c>
      <c r="I1" t="s">
        <v>1274</v>
      </c>
      <c r="J1" t="s">
        <v>1275</v>
      </c>
      <c r="K1" t="s">
        <v>1276</v>
      </c>
      <c r="L1" t="s">
        <v>1277</v>
      </c>
      <c r="M1" t="s">
        <v>1278</v>
      </c>
      <c r="N1" t="s">
        <v>1279</v>
      </c>
      <c r="O1" t="s">
        <v>1280</v>
      </c>
      <c r="P1" t="s">
        <v>1281</v>
      </c>
      <c r="Q1" t="s">
        <v>1282</v>
      </c>
      <c r="R1" t="s">
        <v>1283</v>
      </c>
      <c r="S1" t="s">
        <v>1284</v>
      </c>
      <c r="T1" t="s">
        <v>1285</v>
      </c>
      <c r="U1" t="s">
        <v>1286</v>
      </c>
      <c r="V1" t="s">
        <v>1287</v>
      </c>
      <c r="W1" t="s">
        <v>1288</v>
      </c>
      <c r="X1" t="s">
        <v>1289</v>
      </c>
      <c r="Y1" t="s">
        <v>1290</v>
      </c>
      <c r="Z1" t="s">
        <v>1291</v>
      </c>
      <c r="AA1" s="34" t="s">
        <v>1543</v>
      </c>
      <c r="AB1" s="34" t="s">
        <v>1544</v>
      </c>
      <c r="AC1" s="34" t="s">
        <v>1545</v>
      </c>
      <c r="AD1" s="34" t="s">
        <v>1530</v>
      </c>
      <c r="AE1" s="34" t="s">
        <v>34</v>
      </c>
    </row>
    <row r="2" spans="1:31" x14ac:dyDescent="0.45">
      <c r="A2" s="20">
        <v>46014.849305555559</v>
      </c>
      <c r="B2" t="s">
        <v>92</v>
      </c>
      <c r="C2" t="s">
        <v>93</v>
      </c>
      <c r="D2" t="s">
        <v>94</v>
      </c>
      <c r="E2" t="s">
        <v>95</v>
      </c>
      <c r="F2" t="s">
        <v>1292</v>
      </c>
      <c r="G2" t="s">
        <v>1293</v>
      </c>
      <c r="H2" t="s">
        <v>1294</v>
      </c>
      <c r="I2">
        <v>5</v>
      </c>
      <c r="J2" t="s">
        <v>98</v>
      </c>
      <c r="K2">
        <v>5</v>
      </c>
      <c r="L2" t="s">
        <v>100</v>
      </c>
      <c r="M2">
        <v>1</v>
      </c>
      <c r="N2" t="s">
        <v>102</v>
      </c>
      <c r="O2">
        <v>10</v>
      </c>
      <c r="P2" t="s">
        <v>104</v>
      </c>
      <c r="Q2">
        <v>5</v>
      </c>
      <c r="R2" t="s">
        <v>98</v>
      </c>
      <c r="S2">
        <v>10</v>
      </c>
      <c r="T2" t="s">
        <v>107</v>
      </c>
      <c r="U2">
        <v>5</v>
      </c>
      <c r="V2" t="s">
        <v>109</v>
      </c>
      <c r="W2">
        <v>10</v>
      </c>
      <c r="X2" t="s">
        <v>111</v>
      </c>
      <c r="Y2">
        <v>9</v>
      </c>
      <c r="Z2" t="s">
        <v>113</v>
      </c>
      <c r="AA2" s="35">
        <v>35</v>
      </c>
      <c r="AB2" s="35">
        <v>40</v>
      </c>
      <c r="AC2" s="35">
        <v>25</v>
      </c>
      <c r="AD2" s="35" t="s">
        <v>1531</v>
      </c>
      <c r="AE2" s="35">
        <f t="shared" ref="AE2:AE7" si="0">SUM(AA2:AC2)</f>
        <v>100</v>
      </c>
    </row>
    <row r="3" spans="1:31" x14ac:dyDescent="0.45">
      <c r="A3" s="20">
        <v>46015.4</v>
      </c>
      <c r="B3" t="s">
        <v>92</v>
      </c>
      <c r="C3" t="s">
        <v>93</v>
      </c>
      <c r="D3" t="s">
        <v>94</v>
      </c>
      <c r="E3" t="s">
        <v>149</v>
      </c>
      <c r="F3" t="s">
        <v>1295</v>
      </c>
      <c r="G3" t="s">
        <v>1296</v>
      </c>
      <c r="H3" t="s">
        <v>1297</v>
      </c>
      <c r="I3">
        <v>5</v>
      </c>
      <c r="J3" t="s">
        <v>150</v>
      </c>
      <c r="K3">
        <v>5</v>
      </c>
      <c r="L3" t="s">
        <v>150</v>
      </c>
      <c r="M3">
        <v>4</v>
      </c>
      <c r="N3" t="s">
        <v>151</v>
      </c>
      <c r="O3">
        <v>5</v>
      </c>
      <c r="P3" t="s">
        <v>152</v>
      </c>
      <c r="Q3">
        <v>5</v>
      </c>
      <c r="R3" t="s">
        <v>150</v>
      </c>
      <c r="S3">
        <v>5</v>
      </c>
      <c r="T3" t="s">
        <v>152</v>
      </c>
      <c r="U3">
        <v>5</v>
      </c>
      <c r="V3" t="s">
        <v>154</v>
      </c>
      <c r="W3">
        <v>5</v>
      </c>
      <c r="X3" t="s">
        <v>154</v>
      </c>
      <c r="Y3">
        <v>5</v>
      </c>
      <c r="Z3" t="s">
        <v>154</v>
      </c>
      <c r="AA3" s="35">
        <v>40</v>
      </c>
      <c r="AB3" s="35">
        <v>30</v>
      </c>
      <c r="AC3" s="35">
        <v>30</v>
      </c>
      <c r="AD3" s="35" t="s">
        <v>1532</v>
      </c>
      <c r="AE3" s="35">
        <f t="shared" si="0"/>
        <v>100</v>
      </c>
    </row>
    <row r="4" spans="1:31" x14ac:dyDescent="0.45">
      <c r="A4" s="20">
        <v>46015.446527777778</v>
      </c>
      <c r="B4" t="s">
        <v>161</v>
      </c>
      <c r="C4" t="s">
        <v>162</v>
      </c>
      <c r="D4" t="s">
        <v>94</v>
      </c>
      <c r="E4" t="s">
        <v>149</v>
      </c>
      <c r="F4" t="s">
        <v>1295</v>
      </c>
      <c r="G4" t="s">
        <v>1293</v>
      </c>
      <c r="H4" t="s">
        <v>1298</v>
      </c>
      <c r="I4">
        <v>10</v>
      </c>
      <c r="J4" t="s">
        <v>163</v>
      </c>
      <c r="K4">
        <v>10</v>
      </c>
      <c r="L4" t="s">
        <v>164</v>
      </c>
      <c r="M4">
        <v>5</v>
      </c>
      <c r="N4" t="s">
        <v>165</v>
      </c>
      <c r="O4">
        <v>7</v>
      </c>
      <c r="P4" t="s">
        <v>166</v>
      </c>
      <c r="Q4">
        <v>7</v>
      </c>
      <c r="R4" t="s">
        <v>167</v>
      </c>
      <c r="S4">
        <v>6</v>
      </c>
      <c r="T4" t="s">
        <v>168</v>
      </c>
      <c r="U4">
        <v>5</v>
      </c>
      <c r="V4" t="s">
        <v>169</v>
      </c>
      <c r="W4">
        <v>6</v>
      </c>
      <c r="X4" t="s">
        <v>170</v>
      </c>
      <c r="Y4">
        <v>7</v>
      </c>
      <c r="Z4" t="s">
        <v>171</v>
      </c>
      <c r="AA4" s="35">
        <v>50</v>
      </c>
      <c r="AB4" s="35">
        <v>20</v>
      </c>
      <c r="AC4" s="35">
        <v>30</v>
      </c>
      <c r="AD4" s="35" t="s">
        <v>1532</v>
      </c>
      <c r="AE4" s="35">
        <f t="shared" si="0"/>
        <v>100</v>
      </c>
    </row>
    <row r="5" spans="1:31" x14ac:dyDescent="0.45">
      <c r="A5" s="20">
        <v>46015.470833333333</v>
      </c>
      <c r="B5" t="s">
        <v>92</v>
      </c>
      <c r="C5" t="s">
        <v>162</v>
      </c>
      <c r="D5" t="s">
        <v>94</v>
      </c>
      <c r="E5" t="s">
        <v>95</v>
      </c>
      <c r="F5" t="s">
        <v>1292</v>
      </c>
      <c r="G5" t="s">
        <v>1299</v>
      </c>
      <c r="H5" t="s">
        <v>1297</v>
      </c>
      <c r="I5">
        <v>6</v>
      </c>
      <c r="J5" t="s">
        <v>173</v>
      </c>
      <c r="K5">
        <v>5</v>
      </c>
      <c r="L5" t="s">
        <v>175</v>
      </c>
      <c r="M5">
        <v>2</v>
      </c>
      <c r="N5" t="s">
        <v>177</v>
      </c>
      <c r="O5">
        <v>7</v>
      </c>
      <c r="P5" t="s">
        <v>179</v>
      </c>
      <c r="Q5">
        <v>7</v>
      </c>
      <c r="R5" t="s">
        <v>181</v>
      </c>
      <c r="S5">
        <v>7</v>
      </c>
      <c r="T5" t="s">
        <v>183</v>
      </c>
      <c r="U5">
        <v>5</v>
      </c>
      <c r="V5" t="s">
        <v>185</v>
      </c>
      <c r="W5">
        <v>7</v>
      </c>
      <c r="X5" t="s">
        <v>187</v>
      </c>
      <c r="Y5">
        <v>8</v>
      </c>
      <c r="Z5" t="s">
        <v>189</v>
      </c>
      <c r="AA5" s="35">
        <v>30</v>
      </c>
      <c r="AB5" s="35">
        <v>40</v>
      </c>
      <c r="AC5" s="35">
        <v>30</v>
      </c>
      <c r="AD5" s="35" t="s">
        <v>1533</v>
      </c>
      <c r="AE5" s="35">
        <f t="shared" si="0"/>
        <v>100</v>
      </c>
    </row>
    <row r="6" spans="1:31" x14ac:dyDescent="0.45">
      <c r="A6" s="20">
        <v>46015.502083333333</v>
      </c>
      <c r="B6" t="s">
        <v>92</v>
      </c>
      <c r="C6" t="s">
        <v>162</v>
      </c>
      <c r="D6" t="s">
        <v>94</v>
      </c>
      <c r="E6" t="s">
        <v>149</v>
      </c>
      <c r="F6" t="s">
        <v>1292</v>
      </c>
      <c r="G6" t="s">
        <v>1300</v>
      </c>
      <c r="H6" t="s">
        <v>1297</v>
      </c>
      <c r="I6">
        <v>8</v>
      </c>
      <c r="J6" t="s">
        <v>227</v>
      </c>
      <c r="K6">
        <v>8</v>
      </c>
      <c r="L6" t="s">
        <v>229</v>
      </c>
      <c r="M6">
        <v>8</v>
      </c>
      <c r="N6" t="s">
        <v>231</v>
      </c>
      <c r="O6">
        <v>9</v>
      </c>
      <c r="P6" t="s">
        <v>233</v>
      </c>
      <c r="Q6">
        <v>6</v>
      </c>
      <c r="R6" t="s">
        <v>235</v>
      </c>
      <c r="S6">
        <v>7</v>
      </c>
      <c r="T6" t="s">
        <v>237</v>
      </c>
      <c r="U6">
        <v>5</v>
      </c>
      <c r="V6" t="s">
        <v>239</v>
      </c>
      <c r="W6">
        <v>8</v>
      </c>
      <c r="X6" t="s">
        <v>241</v>
      </c>
      <c r="Y6">
        <v>8</v>
      </c>
      <c r="Z6" t="s">
        <v>243</v>
      </c>
      <c r="AA6" s="35">
        <v>30</v>
      </c>
      <c r="AB6" s="35">
        <v>40</v>
      </c>
      <c r="AC6" s="35">
        <v>30</v>
      </c>
      <c r="AD6" s="35" t="s">
        <v>1534</v>
      </c>
      <c r="AE6" s="35">
        <f t="shared" si="0"/>
        <v>100</v>
      </c>
    </row>
    <row r="7" spans="1:31" x14ac:dyDescent="0.45">
      <c r="A7" s="20">
        <v>46015.913888888892</v>
      </c>
      <c r="B7" t="s">
        <v>161</v>
      </c>
      <c r="C7" t="s">
        <v>162</v>
      </c>
      <c r="D7" t="s">
        <v>94</v>
      </c>
      <c r="E7" t="s">
        <v>95</v>
      </c>
      <c r="F7" t="s">
        <v>1295</v>
      </c>
      <c r="G7" t="s">
        <v>1301</v>
      </c>
      <c r="H7" t="s">
        <v>1298</v>
      </c>
      <c r="I7">
        <v>6</v>
      </c>
      <c r="J7" t="s">
        <v>280</v>
      </c>
      <c r="K7">
        <v>7</v>
      </c>
      <c r="L7" t="s">
        <v>281</v>
      </c>
      <c r="M7">
        <v>5</v>
      </c>
      <c r="N7" t="s">
        <v>282</v>
      </c>
      <c r="O7">
        <v>8</v>
      </c>
      <c r="P7" t="s">
        <v>283</v>
      </c>
      <c r="Q7">
        <v>6</v>
      </c>
      <c r="R7" t="s">
        <v>284</v>
      </c>
      <c r="S7">
        <v>3</v>
      </c>
      <c r="T7" t="s">
        <v>285</v>
      </c>
      <c r="U7">
        <v>5</v>
      </c>
      <c r="V7" t="s">
        <v>286</v>
      </c>
      <c r="W7">
        <v>5</v>
      </c>
      <c r="X7" t="s">
        <v>287</v>
      </c>
      <c r="Y7">
        <v>6</v>
      </c>
      <c r="Z7" t="s">
        <v>288</v>
      </c>
      <c r="AA7" s="35">
        <v>30</v>
      </c>
      <c r="AB7" s="35">
        <v>40</v>
      </c>
      <c r="AC7" s="35">
        <v>30</v>
      </c>
      <c r="AD7" s="35" t="s">
        <v>1535</v>
      </c>
      <c r="AE7" s="35">
        <f t="shared" si="0"/>
        <v>100</v>
      </c>
    </row>
    <row r="8" spans="1:31" x14ac:dyDescent="0.45">
      <c r="A8" s="20">
        <v>46016.361111111109</v>
      </c>
      <c r="B8" t="s">
        <v>92</v>
      </c>
      <c r="C8" t="s">
        <v>162</v>
      </c>
      <c r="D8" t="s">
        <v>94</v>
      </c>
      <c r="E8" t="s">
        <v>95</v>
      </c>
      <c r="F8" t="s">
        <v>1292</v>
      </c>
      <c r="G8" t="s">
        <v>1301</v>
      </c>
      <c r="H8" t="s">
        <v>1297</v>
      </c>
      <c r="I8">
        <v>6</v>
      </c>
      <c r="J8" t="s">
        <v>290</v>
      </c>
      <c r="K8">
        <v>7</v>
      </c>
      <c r="L8" t="s">
        <v>292</v>
      </c>
      <c r="M8">
        <v>7</v>
      </c>
      <c r="N8" t="s">
        <v>294</v>
      </c>
      <c r="O8">
        <v>7</v>
      </c>
      <c r="P8" t="s">
        <v>296</v>
      </c>
      <c r="Q8">
        <v>8</v>
      </c>
      <c r="R8" t="s">
        <v>298</v>
      </c>
      <c r="S8">
        <v>5</v>
      </c>
      <c r="T8" t="s">
        <v>300</v>
      </c>
      <c r="U8">
        <v>5</v>
      </c>
      <c r="V8" t="s">
        <v>302</v>
      </c>
      <c r="W8">
        <v>7</v>
      </c>
      <c r="X8" t="s">
        <v>304</v>
      </c>
      <c r="Y8">
        <v>8</v>
      </c>
      <c r="Z8" t="s">
        <v>306</v>
      </c>
      <c r="AA8" s="35">
        <v>30</v>
      </c>
      <c r="AB8" s="35">
        <v>30</v>
      </c>
      <c r="AC8" s="35">
        <v>40</v>
      </c>
      <c r="AD8" s="35" t="s">
        <v>1536</v>
      </c>
      <c r="AE8" s="35">
        <f>SUM(AA8:AD8)</f>
        <v>100</v>
      </c>
    </row>
    <row r="9" spans="1:31" x14ac:dyDescent="0.45">
      <c r="A9" s="20">
        <v>46016.397222222222</v>
      </c>
      <c r="B9" t="s">
        <v>92</v>
      </c>
      <c r="C9" t="s">
        <v>93</v>
      </c>
      <c r="D9" t="s">
        <v>94</v>
      </c>
      <c r="E9" t="s">
        <v>95</v>
      </c>
      <c r="F9" t="s">
        <v>1292</v>
      </c>
      <c r="G9" t="s">
        <v>1300</v>
      </c>
      <c r="H9" t="s">
        <v>1297</v>
      </c>
      <c r="I9">
        <v>10</v>
      </c>
      <c r="J9" t="s">
        <v>344</v>
      </c>
      <c r="K9">
        <v>8</v>
      </c>
      <c r="L9" t="s">
        <v>346</v>
      </c>
      <c r="M9">
        <v>4</v>
      </c>
      <c r="N9" t="s">
        <v>348</v>
      </c>
      <c r="O9">
        <v>7</v>
      </c>
      <c r="P9" t="s">
        <v>350</v>
      </c>
      <c r="Q9">
        <v>5</v>
      </c>
      <c r="R9" t="s">
        <v>352</v>
      </c>
      <c r="S9">
        <v>5</v>
      </c>
      <c r="T9" t="s">
        <v>354</v>
      </c>
      <c r="U9">
        <v>5</v>
      </c>
      <c r="V9" t="s">
        <v>356</v>
      </c>
      <c r="W9">
        <v>5</v>
      </c>
      <c r="X9" t="s">
        <v>358</v>
      </c>
      <c r="Y9">
        <v>6</v>
      </c>
      <c r="Z9" t="s">
        <v>360</v>
      </c>
      <c r="AA9" s="35">
        <v>45</v>
      </c>
      <c r="AB9" s="35">
        <v>25</v>
      </c>
      <c r="AC9" s="35">
        <v>30</v>
      </c>
      <c r="AD9" s="35" t="s">
        <v>1537</v>
      </c>
      <c r="AE9" s="35">
        <f>SUM(AA9:AC9)</f>
        <v>100</v>
      </c>
    </row>
    <row r="10" spans="1:31" x14ac:dyDescent="0.45">
      <c r="A10" s="20">
        <v>46016.638888888891</v>
      </c>
      <c r="B10" t="s">
        <v>92</v>
      </c>
      <c r="C10" t="s">
        <v>93</v>
      </c>
      <c r="D10" t="s">
        <v>94</v>
      </c>
      <c r="E10" t="s">
        <v>149</v>
      </c>
      <c r="F10" t="s">
        <v>1292</v>
      </c>
      <c r="G10" t="s">
        <v>1299</v>
      </c>
      <c r="H10" t="s">
        <v>1294</v>
      </c>
      <c r="I10">
        <v>7</v>
      </c>
      <c r="J10" t="s">
        <v>397</v>
      </c>
      <c r="K10">
        <v>7</v>
      </c>
      <c r="L10" t="s">
        <v>399</v>
      </c>
      <c r="M10">
        <v>5</v>
      </c>
      <c r="N10" t="s">
        <v>401</v>
      </c>
      <c r="O10">
        <v>7</v>
      </c>
      <c r="P10" t="s">
        <v>403</v>
      </c>
      <c r="Q10">
        <v>7</v>
      </c>
      <c r="R10" t="s">
        <v>405</v>
      </c>
      <c r="S10">
        <v>8</v>
      </c>
      <c r="T10" t="s">
        <v>407</v>
      </c>
      <c r="U10">
        <v>6</v>
      </c>
      <c r="V10" t="s">
        <v>409</v>
      </c>
      <c r="W10">
        <v>5</v>
      </c>
      <c r="X10" t="s">
        <v>411</v>
      </c>
      <c r="Y10">
        <v>7</v>
      </c>
      <c r="Z10" t="s">
        <v>413</v>
      </c>
      <c r="AA10" s="35">
        <v>60</v>
      </c>
      <c r="AB10" s="35">
        <v>15</v>
      </c>
      <c r="AC10" s="35">
        <v>25</v>
      </c>
      <c r="AD10" s="35" t="s">
        <v>1537</v>
      </c>
      <c r="AE10" s="35">
        <f t="shared" ref="AE10:AE27" si="1">SUM(AA10:AD10)</f>
        <v>100</v>
      </c>
    </row>
    <row r="11" spans="1:31" x14ac:dyDescent="0.45">
      <c r="A11" s="20">
        <v>46019.633333333331</v>
      </c>
      <c r="B11" t="s">
        <v>92</v>
      </c>
      <c r="C11" t="s">
        <v>93</v>
      </c>
      <c r="D11" t="s">
        <v>448</v>
      </c>
      <c r="E11" t="s">
        <v>95</v>
      </c>
      <c r="F11" t="s">
        <v>1295</v>
      </c>
      <c r="G11" t="s">
        <v>1293</v>
      </c>
      <c r="H11" t="s">
        <v>1298</v>
      </c>
      <c r="I11">
        <v>5</v>
      </c>
      <c r="J11" t="s">
        <v>449</v>
      </c>
      <c r="K11">
        <v>8</v>
      </c>
      <c r="L11" t="s">
        <v>450</v>
      </c>
      <c r="M11">
        <v>10</v>
      </c>
      <c r="N11" t="s">
        <v>451</v>
      </c>
      <c r="O11">
        <v>5</v>
      </c>
      <c r="P11" t="s">
        <v>452</v>
      </c>
      <c r="Q11">
        <v>9</v>
      </c>
      <c r="R11" t="s">
        <v>453</v>
      </c>
      <c r="S11">
        <v>2</v>
      </c>
      <c r="T11" t="s">
        <v>454</v>
      </c>
      <c r="U11">
        <v>7</v>
      </c>
      <c r="V11" t="s">
        <v>455</v>
      </c>
      <c r="W11">
        <v>8</v>
      </c>
      <c r="X11" t="s">
        <v>456</v>
      </c>
      <c r="Y11">
        <v>10</v>
      </c>
      <c r="Z11" t="s">
        <v>457</v>
      </c>
      <c r="AA11" s="35">
        <v>30</v>
      </c>
      <c r="AB11" s="35">
        <v>40</v>
      </c>
      <c r="AC11" s="35">
        <v>30</v>
      </c>
      <c r="AD11" s="35" t="s">
        <v>1538</v>
      </c>
      <c r="AE11" s="35">
        <f t="shared" si="1"/>
        <v>100</v>
      </c>
    </row>
    <row r="12" spans="1:31" x14ac:dyDescent="0.45">
      <c r="A12" s="20">
        <v>46019.723611111112</v>
      </c>
      <c r="B12" t="s">
        <v>92</v>
      </c>
      <c r="C12" t="s">
        <v>162</v>
      </c>
      <c r="D12" t="s">
        <v>94</v>
      </c>
      <c r="E12" t="s">
        <v>95</v>
      </c>
      <c r="F12" t="s">
        <v>1292</v>
      </c>
      <c r="G12" t="s">
        <v>1300</v>
      </c>
      <c r="H12" t="s">
        <v>1297</v>
      </c>
      <c r="I12">
        <v>4</v>
      </c>
      <c r="J12" t="s">
        <v>465</v>
      </c>
      <c r="K12">
        <v>5</v>
      </c>
      <c r="L12" t="s">
        <v>467</v>
      </c>
      <c r="M12">
        <v>6</v>
      </c>
      <c r="N12" t="s">
        <v>469</v>
      </c>
      <c r="O12">
        <v>5</v>
      </c>
      <c r="P12" t="s">
        <v>471</v>
      </c>
      <c r="Q12">
        <v>4</v>
      </c>
      <c r="R12" t="s">
        <v>473</v>
      </c>
      <c r="S12">
        <v>2</v>
      </c>
      <c r="T12" t="s">
        <v>475</v>
      </c>
      <c r="U12">
        <v>2</v>
      </c>
      <c r="V12" t="s">
        <v>477</v>
      </c>
      <c r="W12">
        <v>6</v>
      </c>
      <c r="X12" t="s">
        <v>479</v>
      </c>
      <c r="Y12">
        <v>5</v>
      </c>
      <c r="Z12" t="s">
        <v>481</v>
      </c>
      <c r="AA12" s="35">
        <v>45</v>
      </c>
      <c r="AB12" s="35">
        <v>35</v>
      </c>
      <c r="AC12" s="35">
        <v>20</v>
      </c>
      <c r="AD12" s="35" t="s">
        <v>1539</v>
      </c>
      <c r="AE12" s="35">
        <f t="shared" si="1"/>
        <v>100</v>
      </c>
    </row>
    <row r="13" spans="1:31" x14ac:dyDescent="0.45">
      <c r="A13" s="20">
        <v>46019.741666666669</v>
      </c>
      <c r="B13" t="s">
        <v>161</v>
      </c>
      <c r="C13" t="s">
        <v>93</v>
      </c>
      <c r="D13" t="s">
        <v>94</v>
      </c>
      <c r="E13" t="s">
        <v>149</v>
      </c>
      <c r="F13" t="s">
        <v>1292</v>
      </c>
      <c r="G13" t="s">
        <v>1296</v>
      </c>
      <c r="H13" t="s">
        <v>1294</v>
      </c>
      <c r="I13">
        <v>8</v>
      </c>
      <c r="J13" t="s">
        <v>519</v>
      </c>
      <c r="K13">
        <v>6</v>
      </c>
      <c r="L13" t="s">
        <v>521</v>
      </c>
      <c r="M13">
        <v>9</v>
      </c>
      <c r="N13" t="s">
        <v>523</v>
      </c>
      <c r="O13">
        <v>8</v>
      </c>
      <c r="P13" t="s">
        <v>525</v>
      </c>
      <c r="Q13">
        <v>7</v>
      </c>
      <c r="R13" t="s">
        <v>527</v>
      </c>
      <c r="S13">
        <v>8</v>
      </c>
      <c r="T13" t="s">
        <v>529</v>
      </c>
      <c r="U13">
        <v>4</v>
      </c>
      <c r="V13" t="s">
        <v>531</v>
      </c>
      <c r="W13">
        <v>6</v>
      </c>
      <c r="X13" t="s">
        <v>533</v>
      </c>
      <c r="Y13">
        <v>7</v>
      </c>
      <c r="Z13" t="s">
        <v>535</v>
      </c>
      <c r="AA13" s="35">
        <v>35</v>
      </c>
      <c r="AB13" s="35">
        <v>45</v>
      </c>
      <c r="AC13" s="35">
        <v>20</v>
      </c>
      <c r="AD13" s="35" t="s">
        <v>1540</v>
      </c>
      <c r="AE13" s="35">
        <f t="shared" si="1"/>
        <v>100</v>
      </c>
    </row>
    <row r="14" spans="1:31" x14ac:dyDescent="0.45">
      <c r="A14" s="20">
        <v>46019.767361111109</v>
      </c>
      <c r="B14" t="s">
        <v>92</v>
      </c>
      <c r="C14" t="s">
        <v>162</v>
      </c>
      <c r="D14" t="s">
        <v>94</v>
      </c>
      <c r="E14" t="s">
        <v>149</v>
      </c>
      <c r="F14" t="s">
        <v>1292</v>
      </c>
      <c r="G14" t="s">
        <v>1300</v>
      </c>
      <c r="H14" t="s">
        <v>1294</v>
      </c>
      <c r="I14">
        <v>8</v>
      </c>
      <c r="J14" t="s">
        <v>573</v>
      </c>
      <c r="K14">
        <v>9</v>
      </c>
      <c r="L14" t="s">
        <v>575</v>
      </c>
      <c r="M14">
        <v>5</v>
      </c>
      <c r="N14" t="s">
        <v>577</v>
      </c>
      <c r="O14">
        <v>8</v>
      </c>
      <c r="P14" t="s">
        <v>579</v>
      </c>
      <c r="Q14">
        <v>5</v>
      </c>
      <c r="R14" t="s">
        <v>581</v>
      </c>
      <c r="S14">
        <v>5</v>
      </c>
      <c r="T14" t="s">
        <v>583</v>
      </c>
      <c r="U14">
        <v>5</v>
      </c>
      <c r="V14" t="s">
        <v>585</v>
      </c>
      <c r="W14">
        <v>6</v>
      </c>
      <c r="X14" t="s">
        <v>587</v>
      </c>
      <c r="Y14">
        <v>9</v>
      </c>
      <c r="Z14" t="s">
        <v>589</v>
      </c>
      <c r="AA14" s="35">
        <v>60</v>
      </c>
      <c r="AB14" s="35">
        <v>30</v>
      </c>
      <c r="AC14" s="35">
        <v>10</v>
      </c>
      <c r="AD14" s="35" t="s">
        <v>1541</v>
      </c>
      <c r="AE14" s="35">
        <f t="shared" si="1"/>
        <v>100</v>
      </c>
    </row>
    <row r="15" spans="1:31" x14ac:dyDescent="0.45">
      <c r="A15" s="20">
        <v>46020.470138888886</v>
      </c>
      <c r="B15" t="s">
        <v>161</v>
      </c>
      <c r="C15" t="s">
        <v>626</v>
      </c>
      <c r="D15" t="s">
        <v>94</v>
      </c>
      <c r="E15" t="s">
        <v>149</v>
      </c>
      <c r="F15" t="s">
        <v>1292</v>
      </c>
      <c r="G15" t="s">
        <v>1296</v>
      </c>
      <c r="H15" t="s">
        <v>1294</v>
      </c>
      <c r="I15">
        <v>9</v>
      </c>
      <c r="J15" t="s">
        <v>628</v>
      </c>
      <c r="K15">
        <v>10</v>
      </c>
      <c r="L15" t="s">
        <v>630</v>
      </c>
      <c r="M15">
        <v>4</v>
      </c>
      <c r="N15" t="s">
        <v>632</v>
      </c>
      <c r="O15">
        <v>5</v>
      </c>
      <c r="P15" t="s">
        <v>634</v>
      </c>
      <c r="Q15">
        <v>10</v>
      </c>
      <c r="R15" t="s">
        <v>636</v>
      </c>
      <c r="S15">
        <v>10</v>
      </c>
      <c r="T15" t="s">
        <v>638</v>
      </c>
      <c r="U15">
        <v>10</v>
      </c>
      <c r="V15" t="s">
        <v>640</v>
      </c>
      <c r="W15">
        <v>10</v>
      </c>
      <c r="X15" t="s">
        <v>642</v>
      </c>
      <c r="Y15">
        <v>10</v>
      </c>
      <c r="Z15" t="s">
        <v>644</v>
      </c>
      <c r="AA15" s="35">
        <v>30</v>
      </c>
      <c r="AB15" s="35">
        <v>20</v>
      </c>
      <c r="AC15" s="35">
        <v>50</v>
      </c>
      <c r="AD15" s="35" t="s">
        <v>1536</v>
      </c>
      <c r="AE15" s="35">
        <f t="shared" si="1"/>
        <v>100</v>
      </c>
    </row>
    <row r="16" spans="1:31" x14ac:dyDescent="0.45">
      <c r="A16" s="20">
        <v>46020.661805555559</v>
      </c>
      <c r="B16" t="s">
        <v>92</v>
      </c>
      <c r="C16" t="s">
        <v>93</v>
      </c>
      <c r="D16" t="s">
        <v>94</v>
      </c>
      <c r="E16" t="s">
        <v>149</v>
      </c>
      <c r="F16" t="s">
        <v>1292</v>
      </c>
      <c r="G16" t="s">
        <v>1301</v>
      </c>
      <c r="H16" t="s">
        <v>1294</v>
      </c>
      <c r="I16">
        <v>9</v>
      </c>
      <c r="J16" t="s">
        <v>682</v>
      </c>
      <c r="K16">
        <v>10</v>
      </c>
      <c r="L16" t="s">
        <v>684</v>
      </c>
      <c r="M16">
        <v>10</v>
      </c>
      <c r="N16" t="s">
        <v>684</v>
      </c>
      <c r="O16">
        <v>10</v>
      </c>
      <c r="P16" t="s">
        <v>687</v>
      </c>
      <c r="Q16">
        <v>10</v>
      </c>
      <c r="R16" t="s">
        <v>689</v>
      </c>
      <c r="S16">
        <v>8</v>
      </c>
      <c r="T16" t="s">
        <v>691</v>
      </c>
      <c r="U16">
        <v>9</v>
      </c>
      <c r="V16" t="s">
        <v>693</v>
      </c>
      <c r="W16">
        <v>9</v>
      </c>
      <c r="X16" t="s">
        <v>695</v>
      </c>
      <c r="Y16">
        <v>9</v>
      </c>
      <c r="Z16" t="s">
        <v>697</v>
      </c>
      <c r="AA16" s="35">
        <v>20</v>
      </c>
      <c r="AB16" s="35">
        <v>40</v>
      </c>
      <c r="AC16" s="35">
        <v>40</v>
      </c>
      <c r="AD16" s="4"/>
      <c r="AE16" s="35">
        <f t="shared" si="1"/>
        <v>100</v>
      </c>
    </row>
    <row r="17" spans="1:31" x14ac:dyDescent="0.45">
      <c r="A17" s="20">
        <v>46021.878472222219</v>
      </c>
      <c r="B17" t="s">
        <v>161</v>
      </c>
      <c r="C17" t="s">
        <v>93</v>
      </c>
      <c r="D17" t="s">
        <v>94</v>
      </c>
      <c r="E17" t="s">
        <v>149</v>
      </c>
      <c r="F17" t="s">
        <v>1292</v>
      </c>
      <c r="G17" t="s">
        <v>1300</v>
      </c>
      <c r="H17" t="s">
        <v>1298</v>
      </c>
      <c r="I17">
        <v>3</v>
      </c>
      <c r="J17" t="s">
        <v>735</v>
      </c>
      <c r="K17">
        <v>5</v>
      </c>
      <c r="L17" t="s">
        <v>737</v>
      </c>
      <c r="M17">
        <v>9</v>
      </c>
      <c r="N17" t="s">
        <v>739</v>
      </c>
      <c r="O17">
        <v>1</v>
      </c>
      <c r="P17" t="s">
        <v>741</v>
      </c>
      <c r="Q17">
        <v>3</v>
      </c>
      <c r="R17" t="s">
        <v>743</v>
      </c>
      <c r="S17">
        <v>7</v>
      </c>
      <c r="T17" t="s">
        <v>745</v>
      </c>
      <c r="U17">
        <v>2</v>
      </c>
      <c r="V17" t="s">
        <v>747</v>
      </c>
      <c r="W17">
        <v>6</v>
      </c>
      <c r="X17" t="s">
        <v>749</v>
      </c>
      <c r="Y17">
        <v>8</v>
      </c>
      <c r="Z17" t="s">
        <v>751</v>
      </c>
      <c r="AA17" s="35">
        <v>25</v>
      </c>
      <c r="AB17" s="35">
        <v>40</v>
      </c>
      <c r="AC17" s="35">
        <v>35</v>
      </c>
      <c r="AD17" s="4"/>
      <c r="AE17" s="35">
        <f t="shared" si="1"/>
        <v>100</v>
      </c>
    </row>
    <row r="18" spans="1:31" x14ac:dyDescent="0.45">
      <c r="A18" s="20">
        <v>46022.385416666664</v>
      </c>
      <c r="B18" t="s">
        <v>92</v>
      </c>
      <c r="C18" t="s">
        <v>93</v>
      </c>
      <c r="D18" t="s">
        <v>94</v>
      </c>
      <c r="E18" t="s">
        <v>95</v>
      </c>
      <c r="F18" t="s">
        <v>1292</v>
      </c>
      <c r="G18" t="s">
        <v>1301</v>
      </c>
      <c r="H18" t="s">
        <v>1302</v>
      </c>
      <c r="I18">
        <v>8</v>
      </c>
      <c r="J18" t="s">
        <v>789</v>
      </c>
      <c r="K18">
        <v>8</v>
      </c>
      <c r="L18" t="s">
        <v>791</v>
      </c>
      <c r="M18">
        <v>5</v>
      </c>
      <c r="N18" t="s">
        <v>793</v>
      </c>
      <c r="O18">
        <v>10</v>
      </c>
      <c r="P18" t="s">
        <v>795</v>
      </c>
      <c r="Q18">
        <v>8</v>
      </c>
      <c r="R18" t="s">
        <v>797</v>
      </c>
      <c r="S18">
        <v>8</v>
      </c>
      <c r="T18" t="s">
        <v>799</v>
      </c>
      <c r="U18">
        <v>8</v>
      </c>
      <c r="V18" t="s">
        <v>801</v>
      </c>
      <c r="W18">
        <v>8</v>
      </c>
      <c r="X18" t="s">
        <v>803</v>
      </c>
      <c r="Y18">
        <v>10</v>
      </c>
      <c r="Z18" t="s">
        <v>805</v>
      </c>
      <c r="AA18" s="35">
        <v>20</v>
      </c>
      <c r="AB18" s="35">
        <v>50</v>
      </c>
      <c r="AC18" s="35">
        <v>30</v>
      </c>
      <c r="AD18" s="35" t="s">
        <v>1542</v>
      </c>
      <c r="AE18" s="35">
        <f t="shared" si="1"/>
        <v>100</v>
      </c>
    </row>
    <row r="19" spans="1:31" x14ac:dyDescent="0.45">
      <c r="A19" s="20">
        <v>46023.602777777778</v>
      </c>
      <c r="B19" t="s">
        <v>92</v>
      </c>
      <c r="C19" t="s">
        <v>93</v>
      </c>
      <c r="D19" t="s">
        <v>94</v>
      </c>
      <c r="E19" t="s">
        <v>149</v>
      </c>
      <c r="F19" t="s">
        <v>1292</v>
      </c>
      <c r="G19" t="s">
        <v>1301</v>
      </c>
      <c r="H19" t="s">
        <v>1297</v>
      </c>
      <c r="I19">
        <v>9</v>
      </c>
      <c r="J19" t="s">
        <v>843</v>
      </c>
      <c r="K19">
        <v>7</v>
      </c>
      <c r="L19" t="s">
        <v>845</v>
      </c>
      <c r="M19">
        <v>5</v>
      </c>
      <c r="N19" t="s">
        <v>847</v>
      </c>
      <c r="O19">
        <v>5</v>
      </c>
      <c r="P19" t="s">
        <v>849</v>
      </c>
      <c r="Q19">
        <v>5</v>
      </c>
      <c r="R19" t="s">
        <v>851</v>
      </c>
      <c r="S19">
        <v>9</v>
      </c>
      <c r="T19" t="s">
        <v>853</v>
      </c>
      <c r="U19">
        <v>6</v>
      </c>
      <c r="V19" t="s">
        <v>855</v>
      </c>
      <c r="W19">
        <v>6</v>
      </c>
      <c r="X19" t="s">
        <v>857</v>
      </c>
      <c r="Y19">
        <v>9</v>
      </c>
      <c r="Z19" t="s">
        <v>859</v>
      </c>
      <c r="AA19" s="35">
        <v>30</v>
      </c>
      <c r="AB19" s="35">
        <v>30</v>
      </c>
      <c r="AC19" s="35">
        <v>40</v>
      </c>
      <c r="AD19" s="4"/>
      <c r="AE19" s="35">
        <f t="shared" si="1"/>
        <v>100</v>
      </c>
    </row>
    <row r="20" spans="1:31" x14ac:dyDescent="0.45">
      <c r="A20" s="20">
        <v>46023.870138888888</v>
      </c>
      <c r="B20" t="s">
        <v>92</v>
      </c>
      <c r="C20" t="s">
        <v>162</v>
      </c>
      <c r="D20" t="s">
        <v>94</v>
      </c>
      <c r="E20" t="s">
        <v>95</v>
      </c>
      <c r="F20" t="s">
        <v>1292</v>
      </c>
      <c r="G20" t="s">
        <v>1300</v>
      </c>
      <c r="H20" t="s">
        <v>1297</v>
      </c>
      <c r="I20">
        <v>4</v>
      </c>
      <c r="J20" t="s">
        <v>897</v>
      </c>
      <c r="K20">
        <v>6</v>
      </c>
      <c r="L20" t="s">
        <v>899</v>
      </c>
      <c r="M20">
        <v>5</v>
      </c>
      <c r="N20" t="s">
        <v>901</v>
      </c>
      <c r="O20">
        <v>6</v>
      </c>
      <c r="P20" t="s">
        <v>903</v>
      </c>
      <c r="Q20">
        <v>4</v>
      </c>
      <c r="R20" t="s">
        <v>905</v>
      </c>
      <c r="S20">
        <v>5</v>
      </c>
      <c r="T20" t="s">
        <v>907</v>
      </c>
      <c r="U20">
        <v>4</v>
      </c>
      <c r="V20" t="s">
        <v>909</v>
      </c>
      <c r="W20">
        <v>5</v>
      </c>
      <c r="X20" t="s">
        <v>911</v>
      </c>
      <c r="Y20">
        <v>5</v>
      </c>
      <c r="Z20" t="s">
        <v>913</v>
      </c>
      <c r="AA20" s="35">
        <v>30</v>
      </c>
      <c r="AB20" s="35">
        <v>20</v>
      </c>
      <c r="AC20" s="35">
        <v>50</v>
      </c>
      <c r="AD20" s="4"/>
      <c r="AE20" s="35">
        <f t="shared" si="1"/>
        <v>100</v>
      </c>
    </row>
    <row r="21" spans="1:31" x14ac:dyDescent="0.45">
      <c r="A21" s="20">
        <v>46024.301388888889</v>
      </c>
      <c r="B21" t="s">
        <v>161</v>
      </c>
      <c r="C21" t="s">
        <v>93</v>
      </c>
      <c r="D21" t="s">
        <v>94</v>
      </c>
      <c r="E21" t="s">
        <v>95</v>
      </c>
      <c r="F21" t="s">
        <v>1292</v>
      </c>
      <c r="G21" t="s">
        <v>1303</v>
      </c>
      <c r="H21" t="s">
        <v>1294</v>
      </c>
      <c r="I21">
        <v>7</v>
      </c>
      <c r="J21" t="s">
        <v>951</v>
      </c>
      <c r="K21">
        <v>6</v>
      </c>
      <c r="L21" t="s">
        <v>953</v>
      </c>
      <c r="M21">
        <v>6</v>
      </c>
      <c r="N21" t="s">
        <v>955</v>
      </c>
      <c r="O21">
        <v>8</v>
      </c>
      <c r="P21" t="s">
        <v>957</v>
      </c>
      <c r="Q21">
        <v>6</v>
      </c>
      <c r="R21" t="s">
        <v>959</v>
      </c>
      <c r="S21">
        <v>6</v>
      </c>
      <c r="T21" t="s">
        <v>961</v>
      </c>
      <c r="U21">
        <v>5</v>
      </c>
      <c r="V21" t="s">
        <v>963</v>
      </c>
      <c r="W21">
        <v>6</v>
      </c>
      <c r="X21" t="s">
        <v>965</v>
      </c>
      <c r="Y21">
        <v>7</v>
      </c>
      <c r="Z21" t="s">
        <v>967</v>
      </c>
      <c r="AA21" s="35">
        <v>50</v>
      </c>
      <c r="AB21" s="35">
        <v>30</v>
      </c>
      <c r="AC21" s="35">
        <v>20</v>
      </c>
      <c r="AD21" s="4"/>
      <c r="AE21" s="35">
        <f t="shared" si="1"/>
        <v>100</v>
      </c>
    </row>
    <row r="22" spans="1:31" x14ac:dyDescent="0.45">
      <c r="A22" s="20">
        <v>46024.367361111108</v>
      </c>
      <c r="B22" t="s">
        <v>161</v>
      </c>
      <c r="C22" t="s">
        <v>626</v>
      </c>
      <c r="D22" t="s">
        <v>94</v>
      </c>
      <c r="E22" t="s">
        <v>95</v>
      </c>
      <c r="F22" t="s">
        <v>1292</v>
      </c>
      <c r="G22" t="s">
        <v>1301</v>
      </c>
      <c r="H22" t="s">
        <v>1302</v>
      </c>
      <c r="I22">
        <v>8</v>
      </c>
      <c r="J22" t="s">
        <v>1005</v>
      </c>
      <c r="K22">
        <v>6</v>
      </c>
      <c r="L22" t="s">
        <v>1007</v>
      </c>
      <c r="M22">
        <v>7</v>
      </c>
      <c r="N22" t="s">
        <v>1009</v>
      </c>
      <c r="O22">
        <v>8</v>
      </c>
      <c r="P22" t="s">
        <v>1011</v>
      </c>
      <c r="Q22">
        <v>7</v>
      </c>
      <c r="R22" t="s">
        <v>1013</v>
      </c>
      <c r="S22">
        <v>6</v>
      </c>
      <c r="T22" t="s">
        <v>1015</v>
      </c>
      <c r="U22">
        <v>6</v>
      </c>
      <c r="V22" t="s">
        <v>1017</v>
      </c>
      <c r="W22">
        <v>8</v>
      </c>
      <c r="X22" t="s">
        <v>1019</v>
      </c>
      <c r="Y22">
        <v>8</v>
      </c>
      <c r="Z22" t="s">
        <v>1021</v>
      </c>
      <c r="AA22" s="35">
        <v>45</v>
      </c>
      <c r="AB22" s="35">
        <v>35</v>
      </c>
      <c r="AC22" s="35">
        <v>20</v>
      </c>
      <c r="AD22" s="4"/>
      <c r="AE22" s="35">
        <f t="shared" si="1"/>
        <v>100</v>
      </c>
    </row>
    <row r="23" spans="1:31" x14ac:dyDescent="0.45">
      <c r="A23" s="20">
        <v>46024.445833333331</v>
      </c>
      <c r="B23" t="s">
        <v>92</v>
      </c>
      <c r="C23" t="s">
        <v>93</v>
      </c>
      <c r="D23" t="s">
        <v>94</v>
      </c>
      <c r="E23" t="s">
        <v>149</v>
      </c>
      <c r="F23" t="s">
        <v>1292</v>
      </c>
      <c r="G23" t="s">
        <v>1299</v>
      </c>
      <c r="H23" t="s">
        <v>1294</v>
      </c>
      <c r="I23">
        <v>7</v>
      </c>
      <c r="J23" t="s">
        <v>1059</v>
      </c>
      <c r="K23">
        <v>7</v>
      </c>
      <c r="L23" t="s">
        <v>1061</v>
      </c>
      <c r="M23">
        <v>6</v>
      </c>
      <c r="N23" t="s">
        <v>1063</v>
      </c>
      <c r="O23">
        <v>6</v>
      </c>
      <c r="P23" t="s">
        <v>1065</v>
      </c>
      <c r="Q23">
        <v>5</v>
      </c>
      <c r="R23" t="s">
        <v>1067</v>
      </c>
      <c r="S23">
        <v>6</v>
      </c>
      <c r="T23" t="s">
        <v>1069</v>
      </c>
      <c r="U23">
        <v>3</v>
      </c>
      <c r="V23" t="s">
        <v>1071</v>
      </c>
      <c r="W23">
        <v>5</v>
      </c>
      <c r="X23" t="s">
        <v>1073</v>
      </c>
      <c r="Y23">
        <v>8</v>
      </c>
      <c r="Z23" t="s">
        <v>1075</v>
      </c>
      <c r="AA23" s="35">
        <v>35</v>
      </c>
      <c r="AB23" s="35">
        <v>30</v>
      </c>
      <c r="AC23" s="35">
        <v>35</v>
      </c>
      <c r="AD23" s="4"/>
      <c r="AE23" s="35">
        <f t="shared" si="1"/>
        <v>100</v>
      </c>
    </row>
    <row r="24" spans="1:31" x14ac:dyDescent="0.45">
      <c r="A24" s="20">
        <v>46024.601388888892</v>
      </c>
      <c r="B24" t="s">
        <v>92</v>
      </c>
      <c r="C24" t="s">
        <v>162</v>
      </c>
      <c r="D24" t="s">
        <v>94</v>
      </c>
      <c r="E24" t="s">
        <v>95</v>
      </c>
      <c r="F24" t="s">
        <v>1292</v>
      </c>
      <c r="G24" t="s">
        <v>1300</v>
      </c>
      <c r="H24" t="s">
        <v>1297</v>
      </c>
      <c r="I24">
        <v>5</v>
      </c>
      <c r="J24" t="s">
        <v>1107</v>
      </c>
      <c r="K24">
        <v>5</v>
      </c>
      <c r="L24" t="s">
        <v>1109</v>
      </c>
      <c r="M24">
        <v>5</v>
      </c>
      <c r="N24" t="s">
        <v>1111</v>
      </c>
      <c r="O24">
        <v>5</v>
      </c>
      <c r="P24" t="s">
        <v>1113</v>
      </c>
      <c r="Q24">
        <v>5</v>
      </c>
      <c r="R24" t="s">
        <v>1115</v>
      </c>
      <c r="S24">
        <v>5</v>
      </c>
      <c r="T24" t="s">
        <v>1117</v>
      </c>
      <c r="U24">
        <v>5</v>
      </c>
      <c r="V24" t="s">
        <v>1119</v>
      </c>
      <c r="W24">
        <v>5</v>
      </c>
      <c r="X24" t="s">
        <v>1121</v>
      </c>
      <c r="Y24">
        <v>5</v>
      </c>
      <c r="Z24" t="s">
        <v>1123</v>
      </c>
      <c r="AA24" s="35">
        <v>30</v>
      </c>
      <c r="AB24" s="35">
        <v>35</v>
      </c>
      <c r="AC24" s="35">
        <v>35</v>
      </c>
      <c r="AD24" s="4"/>
      <c r="AE24" s="35">
        <f t="shared" si="1"/>
        <v>100</v>
      </c>
    </row>
    <row r="25" spans="1:31" x14ac:dyDescent="0.45">
      <c r="A25" s="20">
        <v>46024.697916666664</v>
      </c>
      <c r="B25" t="s">
        <v>92</v>
      </c>
      <c r="C25" t="s">
        <v>93</v>
      </c>
      <c r="D25" t="s">
        <v>94</v>
      </c>
      <c r="E25" t="s">
        <v>149</v>
      </c>
      <c r="F25" t="s">
        <v>1292</v>
      </c>
      <c r="G25" t="s">
        <v>1301</v>
      </c>
      <c r="H25" t="s">
        <v>1294</v>
      </c>
      <c r="I25">
        <v>5</v>
      </c>
      <c r="J25" t="s">
        <v>1161</v>
      </c>
      <c r="K25">
        <v>8</v>
      </c>
      <c r="L25" t="s">
        <v>1163</v>
      </c>
      <c r="M25">
        <v>8</v>
      </c>
      <c r="N25" t="s">
        <v>1165</v>
      </c>
      <c r="O25">
        <v>8</v>
      </c>
      <c r="P25" t="s">
        <v>1167</v>
      </c>
      <c r="Q25">
        <v>5</v>
      </c>
      <c r="R25" t="s">
        <v>1169</v>
      </c>
      <c r="S25">
        <v>3</v>
      </c>
      <c r="T25" t="s">
        <v>1170</v>
      </c>
      <c r="U25">
        <v>3</v>
      </c>
      <c r="V25" t="s">
        <v>1172</v>
      </c>
      <c r="W25">
        <v>7</v>
      </c>
      <c r="X25" t="s">
        <v>1173</v>
      </c>
      <c r="Y25">
        <v>7</v>
      </c>
      <c r="Z25" t="s">
        <v>1175</v>
      </c>
      <c r="AA25" s="35">
        <v>35</v>
      </c>
      <c r="AB25" s="35">
        <v>25</v>
      </c>
      <c r="AC25" s="35">
        <v>40</v>
      </c>
      <c r="AD25" s="4"/>
      <c r="AE25" s="35">
        <f t="shared" si="1"/>
        <v>100</v>
      </c>
    </row>
    <row r="26" spans="1:31" x14ac:dyDescent="0.45">
      <c r="A26" s="20">
        <v>46024.73541666667</v>
      </c>
      <c r="B26" t="s">
        <v>92</v>
      </c>
      <c r="C26" t="s">
        <v>162</v>
      </c>
      <c r="D26" t="s">
        <v>94</v>
      </c>
      <c r="E26" t="s">
        <v>149</v>
      </c>
      <c r="F26" t="s">
        <v>1292</v>
      </c>
      <c r="G26" t="s">
        <v>1296</v>
      </c>
      <c r="H26" t="s">
        <v>1297</v>
      </c>
      <c r="I26">
        <v>8</v>
      </c>
      <c r="J26" t="s">
        <v>1213</v>
      </c>
      <c r="K26">
        <v>8</v>
      </c>
      <c r="L26" t="s">
        <v>1215</v>
      </c>
      <c r="M26">
        <v>8</v>
      </c>
      <c r="N26" t="s">
        <v>1217</v>
      </c>
      <c r="O26">
        <v>8</v>
      </c>
      <c r="P26" t="s">
        <v>1219</v>
      </c>
      <c r="Q26">
        <v>8</v>
      </c>
      <c r="R26" t="s">
        <v>1221</v>
      </c>
      <c r="S26">
        <v>8</v>
      </c>
      <c r="T26" t="s">
        <v>1223</v>
      </c>
      <c r="U26">
        <v>9</v>
      </c>
      <c r="V26" t="s">
        <v>1225</v>
      </c>
      <c r="W26">
        <v>8</v>
      </c>
      <c r="X26" t="s">
        <v>1227</v>
      </c>
      <c r="Y26">
        <v>10</v>
      </c>
      <c r="Z26" t="s">
        <v>1229</v>
      </c>
      <c r="AA26" s="36">
        <f>AVERAGE([1]!Form_Responses[Vui lòng phân bổ tổng cộng 100 điểm vào 3 yếu tố dưới đây (Tổng 3 ô phải bằng đúng 100):  
Tổng điểm = Thực thi + Thuận tiện + Niềm tin = 100 điểm
Tính Thực thi (Enforcement): ............ điểm ])</f>
        <v>36.25</v>
      </c>
      <c r="AB26" s="36">
        <f>AVERAGE([1]!Form_Responses[Vui lòng phân bổ tổng cộng 100 điểm vào 3 yếu tố dưới đây (Tổng 3 ô phải bằng đúng 100):  
Tổng điểm = Thực thi + Thuận tiện + Niềm tin = 100 điểm
Tính Thực thi (Enforcement): ............ điểm ])</f>
        <v>36.25</v>
      </c>
      <c r="AC26" s="36">
        <f>AVERAGE([1]!Form_Responses[Vui lòng phân bổ tổng cộng 100 điểm vào 3 yếu tố dưới đây (Tổng 3 ô phải bằng đúng 100):  
Tổng điểm = Thực thi + Thuận tiện + Niềm tin = 100 điểm
Tính Thực thi (Enforcement): ............ điểm ])</f>
        <v>36.25</v>
      </c>
      <c r="AD26" s="4"/>
      <c r="AE26" s="35">
        <f t="shared" si="1"/>
        <v>108.75</v>
      </c>
    </row>
    <row r="27" spans="1:31" x14ac:dyDescent="0.45">
      <c r="AA27" s="4">
        <f>100/3</f>
        <v>33.333333333333336</v>
      </c>
      <c r="AB27" s="4">
        <f>100/3</f>
        <v>33.333333333333336</v>
      </c>
      <c r="AC27" s="4">
        <f>100/3</f>
        <v>33.333333333333336</v>
      </c>
      <c r="AD27" s="4"/>
      <c r="AE27" s="35">
        <f t="shared" si="1"/>
        <v>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CB27"/>
  <sheetViews>
    <sheetView topLeftCell="J1" workbookViewId="0">
      <selection activeCell="W2" sqref="W2"/>
    </sheetView>
  </sheetViews>
  <sheetFormatPr defaultRowHeight="14.25" x14ac:dyDescent="0.45"/>
  <cols>
    <col min="8" max="9" width="0" hidden="1" customWidth="1"/>
    <col min="23" max="23" width="12.3984375" customWidth="1"/>
  </cols>
  <sheetData>
    <row r="1" spans="1:80" s="24" customFormat="1" x14ac:dyDescent="0.45">
      <c r="A1" s="17" t="s">
        <v>37</v>
      </c>
      <c r="B1" s="18" t="s">
        <v>38</v>
      </c>
      <c r="C1" s="18" t="s">
        <v>39</v>
      </c>
      <c r="D1" s="18" t="s">
        <v>1304</v>
      </c>
      <c r="E1" s="18" t="s">
        <v>1305</v>
      </c>
      <c r="F1" s="18" t="s">
        <v>1306</v>
      </c>
      <c r="G1" s="18" t="s">
        <v>1307</v>
      </c>
      <c r="H1" s="18" t="s">
        <v>1308</v>
      </c>
      <c r="I1" s="18" t="s">
        <v>1309</v>
      </c>
      <c r="J1" s="18" t="s">
        <v>1310</v>
      </c>
      <c r="K1" s="18" t="s">
        <v>1311</v>
      </c>
      <c r="L1" s="18" t="s">
        <v>1312</v>
      </c>
      <c r="M1" s="18" t="s">
        <v>1313</v>
      </c>
      <c r="N1" s="18" t="s">
        <v>1314</v>
      </c>
      <c r="O1" s="18" t="s">
        <v>1315</v>
      </c>
      <c r="P1" s="18" t="s">
        <v>1316</v>
      </c>
      <c r="Q1" s="18" t="s">
        <v>1317</v>
      </c>
      <c r="R1" s="22" t="s">
        <v>47</v>
      </c>
      <c r="S1" s="22" t="s">
        <v>1319</v>
      </c>
      <c r="T1" s="22" t="s">
        <v>1318</v>
      </c>
      <c r="U1" s="22" t="s">
        <v>1320</v>
      </c>
      <c r="V1" s="18" t="s">
        <v>1321</v>
      </c>
      <c r="W1" s="18" t="s">
        <v>50</v>
      </c>
      <c r="X1" s="18" t="s">
        <v>51</v>
      </c>
      <c r="Y1" s="23" t="s">
        <v>52</v>
      </c>
      <c r="Z1" s="23" t="s">
        <v>1322</v>
      </c>
      <c r="AA1" s="23" t="s">
        <v>1323</v>
      </c>
      <c r="AB1" s="23" t="s">
        <v>1324</v>
      </c>
      <c r="AC1" s="21" t="s">
        <v>1325</v>
      </c>
      <c r="AD1" s="21" t="s">
        <v>55</v>
      </c>
      <c r="AE1" s="21" t="s">
        <v>56</v>
      </c>
      <c r="AF1" s="22" t="s">
        <v>57</v>
      </c>
      <c r="AG1" s="22" t="s">
        <v>1326</v>
      </c>
      <c r="AH1" s="22" t="s">
        <v>1327</v>
      </c>
      <c r="AI1" s="22" t="s">
        <v>1328</v>
      </c>
      <c r="AJ1" s="18" t="s">
        <v>1329</v>
      </c>
      <c r="AK1" s="18" t="s">
        <v>60</v>
      </c>
      <c r="AL1" s="18" t="s">
        <v>61</v>
      </c>
      <c r="AM1" s="23" t="s">
        <v>62</v>
      </c>
      <c r="AN1" s="23" t="s">
        <v>1330</v>
      </c>
      <c r="AO1" s="23" t="s">
        <v>1331</v>
      </c>
      <c r="AP1" s="23" t="s">
        <v>1332</v>
      </c>
      <c r="AQ1" s="23" t="s">
        <v>1333</v>
      </c>
      <c r="AR1" s="21" t="s">
        <v>65</v>
      </c>
      <c r="AS1" s="21" t="s">
        <v>66</v>
      </c>
      <c r="AT1" s="22" t="s">
        <v>67</v>
      </c>
      <c r="AU1" s="22" t="s">
        <v>1334</v>
      </c>
      <c r="AV1" s="22" t="s">
        <v>1335</v>
      </c>
      <c r="AW1" s="22" t="s">
        <v>1336</v>
      </c>
      <c r="AX1" s="22" t="s">
        <v>1337</v>
      </c>
      <c r="AY1" s="18" t="s">
        <v>70</v>
      </c>
      <c r="AZ1" s="18" t="s">
        <v>71</v>
      </c>
      <c r="BA1" s="23" t="s">
        <v>72</v>
      </c>
      <c r="BB1" s="23" t="s">
        <v>1338</v>
      </c>
      <c r="BC1" s="23" t="s">
        <v>1339</v>
      </c>
      <c r="BD1" s="23" t="s">
        <v>1340</v>
      </c>
      <c r="BE1" s="23" t="s">
        <v>1341</v>
      </c>
      <c r="BF1" s="21" t="s">
        <v>75</v>
      </c>
      <c r="BG1" s="21" t="s">
        <v>76</v>
      </c>
      <c r="BH1" s="22" t="s">
        <v>77</v>
      </c>
      <c r="BI1" s="22" t="s">
        <v>1342</v>
      </c>
      <c r="BJ1" s="22" t="s">
        <v>1343</v>
      </c>
      <c r="BK1" s="22" t="s">
        <v>1344</v>
      </c>
      <c r="BL1" s="22" t="s">
        <v>1345</v>
      </c>
      <c r="BM1" s="18" t="s">
        <v>80</v>
      </c>
      <c r="BN1" s="18" t="s">
        <v>81</v>
      </c>
      <c r="BO1" s="23" t="s">
        <v>82</v>
      </c>
      <c r="BP1" s="23" t="s">
        <v>1346</v>
      </c>
      <c r="BQ1" s="23" t="s">
        <v>1347</v>
      </c>
      <c r="BR1" s="23" t="s">
        <v>1348</v>
      </c>
      <c r="BS1" s="23" t="s">
        <v>1349</v>
      </c>
      <c r="BT1" s="21" t="s">
        <v>85</v>
      </c>
      <c r="BU1" s="21" t="s">
        <v>86</v>
      </c>
      <c r="BV1" s="22" t="s">
        <v>87</v>
      </c>
      <c r="BW1" s="22" t="s">
        <v>1350</v>
      </c>
      <c r="BX1" s="22" t="s">
        <v>1351</v>
      </c>
      <c r="BY1" s="22" t="s">
        <v>1352</v>
      </c>
      <c r="BZ1" s="22" t="s">
        <v>1353</v>
      </c>
      <c r="CA1" s="19" t="s">
        <v>90</v>
      </c>
      <c r="CB1" s="19" t="s">
        <v>91</v>
      </c>
    </row>
    <row r="2" spans="1:80" x14ac:dyDescent="0.45">
      <c r="A2" cm="1">
        <f t="array" ref="A2">INDEX(step2_raw_simulation[Persona_ID], (ROW(A1)-1)*5 + 1)</f>
        <v>1</v>
      </c>
      <c r="B2" cm="1">
        <f t="array" ref="B2">INDEX(step2_raw_simulation[Run_ID], (ROW(B1)-1)*5 + 1)</f>
        <v>1</v>
      </c>
      <c r="C2" cm="1">
        <f t="array" ref="C2">INDEX(step2_raw_simulation[Used_Seed], (ROW(C1)-1)*5 + 1)</f>
        <v>43</v>
      </c>
      <c r="D2" t="str" cm="1">
        <f t="array" ref="D2">INDEX(step2_raw_simulation[Gender], (ROW(D1)-1)*5 + 1)</f>
        <v>Nữ</v>
      </c>
      <c r="E2" t="str">
        <f>interview_responses[[#This Row],[Giới tính của bạn:]]</f>
        <v>Nữ</v>
      </c>
      <c r="F2" t="str" cm="1">
        <f t="array" ref="F2">INDEX(step2_raw_simulation[Age], (ROW(F1)-1)*5 + 1)</f>
        <v>30 - 39</v>
      </c>
      <c r="G2" t="str">
        <f>interview_responses[[#This Row],[Độ tuổi của bạn:]]</f>
        <v>30 - 39</v>
      </c>
      <c r="H2" t="str" cm="1">
        <f t="array" ref="H2">INDEX(step2_raw_simulation[Region], (ROW(H1)-1)*5 + 1)</f>
        <v>Thành thị</v>
      </c>
      <c r="I2" t="str">
        <f>interview_responses[[#This Row],[Khu vực bạn đang sinh sống:]]</f>
        <v>Thành thị</v>
      </c>
      <c r="J2" t="str" cm="1">
        <f t="array" ref="J2">INDEX(step2_raw_simulation[Education], (ROW(J1)-1)*5 + 1)</f>
        <v>Sau Đại học</v>
      </c>
      <c r="K2" t="str">
        <f>interview_responses[[#This Row],[Trình độ học vấn cao nhất:]]</f>
        <v>Sau Đại học</v>
      </c>
      <c r="L2" t="str" cm="1">
        <f t="array" ref="L2">INDEX(step2_raw_simulation[Employment], (ROW(L1)-1)*5 + 1)</f>
        <v>Chính thức</v>
      </c>
      <c r="M2" t="str">
        <f>interview_responses[[#This Row],[Tình trạng việc làm chính:]]</f>
        <v>Khu vực chính thức (Có Hợp đồng lao động, đóng BHXH)</v>
      </c>
      <c r="N2" cm="1">
        <f t="array" ref="N2">INDEX(step2_raw_simulation[Income_Mil], (ROW(N1)-1)*5 + 1)</f>
        <v>27.5</v>
      </c>
      <c r="O2" t="str">
        <f>interview_responses[[#This Row],[Thu nhập bình quân tháng theo Hợp đồng lao động của bạn là bao nhiêu? (Vui lòng điền tổng thu nhập trước khi khấu trừ các loại Bảo hiểm (BHXH, BHYT, BHTN) và Thuế TNCN)]]</f>
        <v>Từ 23 - 32 triệu VNĐ</v>
      </c>
      <c r="P2" cm="1">
        <f t="array" ref="P2">INDEX(step2_raw_simulation[Dependents], (ROW(P1)-1)*5 + 1)</f>
        <v>1</v>
      </c>
      <c r="Q2" t="str">
        <f>interview_responses[[#This Row],[Số người phụ thuộc (con nhỏ, cha mẹ già...) đủ điều kiện giảm trừ gia cảnh:]]</f>
        <v>1 người</v>
      </c>
      <c r="R2">
        <f>AVERAGE(
  INDEX(step2_raw_simulation!K:K, (ROW(A1)-1)*5 + 2)
  :
  INDEX(step2_raw_simulation!K:K, (ROW(A1)-1)*5 + 6)
)</f>
        <v>4.8</v>
      </c>
      <c r="S2" t="str">
        <f>IF(AND(R2&gt;=1,R2&lt;5),"Oppose",IF(AND(R2&gt;=5,R2&lt;8),"Neutral",IF(AND(R2&gt;=8,R2&lt;=10),"Support","")))</f>
        <v>Oppose</v>
      </c>
      <c r="T2">
        <f>interview_responses[[#This Row],[Tôi tin rằng với các quy định quản lý thuế hiện nay, hành vi gian lận hoặc trốn thuế sẽ dễ dàng bị phát hiện và xử lý nghiêm. - HUMAN-ENF1]]</f>
        <v>5</v>
      </c>
      <c r="U2" t="str">
        <f>IF(AND(T2&gt;=1,T2&lt;5),"Oppose",IF(AND(T2&gt;=5,T2&lt;8),"Neutral",IF(AND(T2&gt;=8,T2&lt;=10),"Support","")))</f>
        <v>Neutral</v>
      </c>
      <c r="V2">
        <f>ABS(T2-R2)</f>
        <v>0.20000000000000018</v>
      </c>
      <c r="W2" t="str" cm="1">
        <f t="array" ref="W2">INDEX(step2_raw_simulation[AI_ENF1_Reason], (ROW(W1)-1)*5 + 1)</f>
        <v>Chưa thấy nhiều thay đổi về các chế tài pháp lý hay xử phạt, chỉ dừng lại ở việc giảm bậc thuế.</v>
      </c>
      <c r="X2" t="str">
        <f>interview_responses[[#This Row],[Lý do - HUMAN-ENF1]]</f>
        <v>Các thay đổi hiện tại chỉ mới dừng lại ở việc giảm bậc thuế, giúp người đóng thuế cảm thấy đơn giản và nhẹ gánh trong việc đóng thuế TNCN. Chưa thấy nhiều thay đổi về các chế tài pháp lý hay xử phạt.</v>
      </c>
      <c r="Y2">
        <f>AVERAGE(
  INDEX(step2_raw_simulation!P:P, (ROW(H1)-1)*5 + 2)
  :
  INDEX(step2_raw_simulation!P:P, (ROW(H1)-1)*5 + 6)
)</f>
        <v>5.2</v>
      </c>
      <c r="Z2" t="str">
        <f>IF(AND(Y2&gt;=1,Y2&lt;5),"Oppose",IF(AND(Y2&gt;=5,Y2&lt;8),"Neutral",IF(AND(Y2&gt;=8,Y2&lt;=10),"Support","")))</f>
        <v>Neutral</v>
      </c>
      <c r="AA2">
        <f>interview_responses[[#This Row],[Tôi tin rằng Nhà nước, cơ quan thuế có đủ khả năng và công nghệ để phát hiện, xử lý nghiêm các hành vi trốn thuế. - HUMAN-ENF2]]</f>
        <v>5</v>
      </c>
      <c r="AB2" t="str">
        <f>IF(AND(AA2&gt;=1,AA2&lt;5),"Oppose",IF(AND(AA2&gt;=5,AA2&lt;8),"Neutral",IF(AND(AA2&gt;=8,AA2&lt;=10),"Support","")))</f>
        <v>Neutral</v>
      </c>
      <c r="AC2">
        <f>ABS(AA2-Y2)</f>
        <v>0.20000000000000018</v>
      </c>
      <c r="AD2" t="str" cm="1">
        <f t="array" ref="AD2">INDEX(step2_raw_simulation[AI_ENF2_Reason], (ROW(AD1)-1)*5 + 1)</f>
        <v>Cơ quan thuế chưa thực sự có khả năng và công nghệ để phát hiện trốn thuế hiệu quả.</v>
      </c>
      <c r="AE2" t="str">
        <f>interview_responses[[#This Row],[Lý do - HUMAN-ENF2]]</f>
        <v>Đồng ý. Quan trọng là cơ quan thuế có muốn thực thi hay không.</v>
      </c>
      <c r="AF2">
        <f>AVERAGE(
  INDEX(step2_raw_simulation!U:U, (ROW(O1)-1)*5 + 2)
  :
  INDEX(step2_raw_simulation!U:U, (ROW(O1)-1)*5 + 6)
)</f>
        <v>4</v>
      </c>
      <c r="AG2" t="str">
        <f>IF(AND(AF2&gt;=1,AF2&lt;5),"Oppose",IF(AND(AF2&gt;=5,AF2&lt;8),"Neutral",IF(AND(AF2&gt;=8,AF2&lt;=10),"Support","")))</f>
        <v>Oppose</v>
      </c>
      <c r="AH2">
        <f>interview_responses[[#This Row],[Các thủ tục khai báo thuế VÀ/HOẶC quy trình làm việc với cơ quan thuế đơn giản, tiện lợi, nhanh chóng hơn so với trước đây. - HUMAN-FAC1]]</f>
        <v>1</v>
      </c>
      <c r="AI2" t="str">
        <f>IF(AND(AH2&gt;=1,AH2&lt;5),"Oppose",IF(AND(AH2&gt;=5,AH2&lt;8),"Neutral",IF(AND(AH2&gt;=8,AH2&lt;=10),"Support","")))</f>
        <v>Oppose</v>
      </c>
      <c r="AJ2">
        <f>ABS(AH2-AF2)</f>
        <v>3</v>
      </c>
      <c r="AK2" t="str" cm="1">
        <f t="array" ref="AK2">INDEX(step2_raw_simulation[AI_FAC1_Reason], (ROW(AK1)-1)*5 + 1)</f>
        <v>Form khai báo/phản ánh không đồng bộ, thông tin liên hệ không đầy đủ, hỗ trợ hạn chế.</v>
      </c>
      <c r="AL2" t="str">
        <f>interview_responses[[#This Row],[Lý do - HUMAN-FAC1]]</f>
        <v>Form khai báo/phản ánh không đồng bộ, thông tin liên hệ không có, không có người tiếp nhận, hỗ trợ. Phần mềm eTax cũng không có phản hồi người nộp thuế. 
Người khai báo thuế gặp vấn đề bị người khác sử dụng CCCD để đăng ký mã số thuế tại 1 DN không làm việc mà cơ quan thuế không biết/không xử lý dù đã phản ánh nhiều lần.</v>
      </c>
      <c r="AM2">
        <f>AVERAGE(
  INDEX(step2_raw_simulation!Z:Z, (ROW(V1)-1)*5 + 2)
  :
  INDEX(step2_raw_simulation!Z:Z, (ROW(V1)-1)*5 + 6)
)</f>
        <v>7.4</v>
      </c>
      <c r="AN2" t="str">
        <f>IF(AND(AM2&gt;=1,AM2&lt;5),"Oppose",IF(AND(AM2&gt;=5,AM2&lt;8),"Neutral",IF(AND(AM2&gt;=8,AM2&lt;=10),"Support","")))</f>
        <v>Neutral</v>
      </c>
      <c r="AO2">
        <f>interview_responses[[#This Row],[So với trước đây, tôi thấy cách tính thuế và các bậc thuế trong phương án mới đơn giản, dễ hiểu và dễ thực hiện hơn. - HUMAN-FAC2]]</f>
        <v>10</v>
      </c>
      <c r="AP2" t="str">
        <f>IF(AND(AO2&gt;=1,AO2&lt;5),"Oppose",IF(AND(AO2&gt;=5,AO2&lt;8),"Neutral",IF(AND(AO2&gt;=8,AO2&lt;=10),"Support","")))</f>
        <v>Support</v>
      </c>
      <c r="AQ2">
        <f>ABS(AO2-AM2)</f>
        <v>2.5999999999999996</v>
      </c>
      <c r="AR2" t="str" cm="1">
        <f t="array" ref="AR2">INDEX(step2_raw_simulation[AI_FAC2_Reason], (ROW(AR1)-1)*5 + 1)</f>
        <v>Phương án mới đơn giản hơn so với trước đây nhưng vẫn còn phức tạp về mặt thủ tục và tính toán.</v>
      </c>
      <c r="AS2" t="str">
        <f>interview_responses[[#This Row],[Lý do - HUMAN-FAC2]]</f>
        <v>Hoàn toàn đồng ý vì trước đây 7 bậc là quá nhiều, khó để tính toán.</v>
      </c>
      <c r="AT2">
        <f>AVERAGE(
  INDEX(step2_raw_simulation!AE:AE, (ROW(AC1)-1)*5 + 2)
  :
  INDEX(step2_raw_simulation!AE:AE, (ROW(AC1)-1)*5 + 6)
)</f>
        <v>4.8</v>
      </c>
      <c r="AU2" t="str">
        <f>IF(AND(AT2&gt;=1,AT2&lt;5),"Oppose",IF(AND(AT2&gt;=5,AT2&lt;8),"Neutral",IF(AND(AT2&gt;=8,AT2&lt;=10),"Support","")))</f>
        <v>Oppose</v>
      </c>
      <c r="AV2">
        <f>interview_responses[[#This Row],[Tôi tin rằng Nhà nước, cơ quan thuế sẽ thực thi chính sách mới một cách khách quan, công tâm và đối xử bình đẳng với mọi người nộp thuế.  - HUMAN-TRU1]]</f>
        <v>5</v>
      </c>
      <c r="AW2" t="str">
        <f>IF(AND(AV2&gt;=1,AV2&lt;5),"Oppose",IF(AND(AV2&gt;=5,AV2&lt;8),"Neutral",IF(AND(AV2&gt;=8,AV2&lt;=10),"Support","")))</f>
        <v>Neutral</v>
      </c>
      <c r="AX2">
        <f>ABS(AV2-AT2)</f>
        <v>0.20000000000000018</v>
      </c>
      <c r="AY2" t="str" cm="1">
        <f t="array" ref="AY2">INDEX(step2_raw_simulation[AI_TRU1_Reason], (ROW(AY1)-1)*5 + 1)</f>
        <v>Chưa có chế tài pháp lý mạnh mẽ nên lòng tin vào việc thực thi chính sách chưa cao.</v>
      </c>
      <c r="AZ2" t="str">
        <f>interview_responses[[#This Row],[Lý do - HUMAN-TRU1]]</f>
        <v>Các thay đổi hiện tại chỉ mới dừng lại ở việc giảm bậc thuế, giúp người đóng thuế cảm thấy đơn giản và nhẹ gánh trong việc đóng thuế TNCN. Chưa thấy nhiều thay đổi về các chế tài pháp lý hay xử phạt.</v>
      </c>
      <c r="BA2">
        <f>AVERAGE(
  INDEX(step2_raw_simulation!AJ:AJ, (ROW(AJ1)-1)*5 + 2)
  :
  INDEX(step2_raw_simulation!AJ:AJ, (ROW(AJ1)-1)*5 + 6)
)</f>
        <v>8.4</v>
      </c>
      <c r="BB2" t="str">
        <f>IF(AND(BA2&gt;=1,BA2&lt;5),"Oppose",IF(AND(BA2&gt;=5,BA2&lt;8),"Neutral",IF(AND(BA2&gt;=8,BA2&lt;=10),"Support","")))</f>
        <v>Support</v>
      </c>
      <c r="BC2">
        <f>interview_responses[[#This Row],[Tôi thấy mức thuế tôi phải đóng theo phương án mới là công bằng (người thu nhập như tôi đóng mức này là hợp lý). - HUMAN-TRU2]]</f>
        <v>10</v>
      </c>
      <c r="BD2" t="str">
        <f>IF(AND(BC2&gt;=1,BC2&lt;5),"Oppose",IF(AND(BC2&gt;=5,BC2&lt;8),"Neutral",IF(AND(BC2&gt;=8,BC2&lt;=10),"Support","")))</f>
        <v>Support</v>
      </c>
      <c r="BE2">
        <f>ABS(BC2-BA2)</f>
        <v>1.5999999999999996</v>
      </c>
      <c r="BF2" t="str" cm="1">
        <f t="array" ref="BF2">INDEX(step2_raw_simulation[AI_TRU2_Reason], (ROW(BF1)-1)*5 + 1)</f>
        <v>Mức thuế mới công bằng, phù hợp với thu nhập hiện tại của tôi.</v>
      </c>
      <c r="BG2" t="str">
        <f>interview_responses[[#This Row],[Lý do - HUMAN-TRU2]]</f>
        <v>Vì theo chính sách mới, tôi không phải đóng thuế nữa. Hoàn toàn đồng ý.</v>
      </c>
      <c r="BH2">
        <f>AVERAGE(
  INDEX(step2_raw_simulation!AO:AO, (ROW(AQ1)-1)*5 + 2)
  :
  INDEX(step2_raw_simulation!AO:AO, (ROW(AQ1)-1)*5 + 6)
)</f>
        <v>6.4</v>
      </c>
      <c r="BI2" t="str">
        <f>IF(AND(BH2&gt;=1,BH2&lt;5),"Oppose",IF(AND(BH2&gt;=5,BH2&lt;8),"Neutral",IF(AND(BH2&gt;=8,BH2&lt;=10),"Support","")))</f>
        <v>Neutral</v>
      </c>
      <c r="BJ2">
        <f>interview_responses[[#This Row],[Tôi tin tưởng số tiền thuế tôi đóng sẽ được Nhà nước sử dụng hiệu quả để cải thiện dịch vụ công (y tế, đường xá...). - HUMAN-TRU3]]</f>
        <v>5</v>
      </c>
      <c r="BK2" t="str">
        <f>IF(AND(BJ2&gt;=1,BJ2&lt;5),"Oppose",IF(AND(BJ2&gt;=5,BJ2&lt;8),"Neutral",IF(AND(BJ2&gt;=8,BJ2&lt;=10),"Support","")))</f>
        <v>Neutral</v>
      </c>
      <c r="BL2">
        <f>ABS(BJ2-BH2)</f>
        <v>1.4000000000000004</v>
      </c>
      <c r="BM2" t="str" cm="1">
        <f t="array" ref="BM2">INDEX(step2_raw_simulation[AI_TRU3_Reason], (ROW(BM1)-1)*5 + 1)</f>
        <v>Thuê đóng góp cho sự phát triển quốc gia và dịch vụ công như y tế, đường xá...</v>
      </c>
      <c r="BN2" t="str">
        <f>interview_responses[[#This Row],[Lý do - HUMAN-TRU3]]</f>
        <v>Khi nào các chính sách chế tài được xử lý nghiêm, giải quyết vấn đề tham nhũng thì lòng tin của tôi sẽ cao hơn.</v>
      </c>
      <c r="BO2">
        <f>AVERAGE(
  INDEX(step2_raw_simulation!AT:AT, (ROW(AX1)-1)*5 + 2)
  :
  INDEX(step2_raw_simulation!AT:AT, (ROW(AX1)-1)*5 + 6)
)</f>
        <v>8</v>
      </c>
      <c r="BP2" t="str">
        <f>IF(AND(BO2&gt;=1,BO2&lt;5),"Oppose",IF(AND(BO2&gt;=5,BO2&lt;8),"Neutral",IF(AND(BO2&gt;=8,BO2&lt;=10),"Support","")))</f>
        <v>Support</v>
      </c>
      <c r="BQ2">
        <f>interview_responses[[#This Row],[Tôi thấy Nhà nước đã giải thích rõ ràng, minh bạch về lý do và mục tiêu của việc sửa đổi thuế lần này. - HUMAN-TRU4]]</f>
        <v>10</v>
      </c>
      <c r="BR2" t="str">
        <f>IF(AND(BQ2&gt;=1,BQ2&lt;5),"Oppose",IF(AND(BQ2&gt;=5,BQ2&lt;8),"Neutral",IF(AND(BQ2&gt;=8,BQ2&lt;=10),"Support","")))</f>
        <v>Support</v>
      </c>
      <c r="BS2">
        <f>ABS(BQ2-BO2)</f>
        <v>2</v>
      </c>
      <c r="BT2" t="str" cm="1">
        <f t="array" ref="BT2">INDEX(step2_raw_simulation[AI_TRU4_Reason], (ROW(BT1)-1)*5 + 1)</f>
        <v>Đã giải thích rõ ràng về mục tiêu cải cách thuế nhưng còn nhiều câu hỏi chưa được trả lời.</v>
      </c>
      <c r="BU2" t="str">
        <f>interview_responses[[#This Row],[Lý do - HUMAN-TRU4]]</f>
        <v>Hoàn toàn đồng ý về việc truyền thông và giải thích của Chính phủ.</v>
      </c>
      <c r="BV2">
        <f>AVERAGE(
  INDEX(step2_raw_simulation!AY:AY, (ROW(BE1)-1)*5 + 2)
  :
  INDEX(step2_raw_simulation!AY:AY, (ROW(BE1)-1)*5 + 6)
)</f>
        <v>8</v>
      </c>
      <c r="BW2" t="str">
        <f>IF(AND(BV2&gt;=1,BV2&lt;5),"Oppose",IF(AND(BV2&gt;=5,BV2&lt;8),"Neutral",IF(AND(BV2&gt;=8,BV2&lt;=10),"Support","")))</f>
        <v>Support</v>
      </c>
      <c r="BX2">
        <f>interview_responses[[#This Row],[Sau khi xem xét các quyền lợi và nghĩa vụ, bạn có ủng hộ và tuân thủ chính sách mới hiện nay? - HUMAN-OUT1]]</f>
        <v>9</v>
      </c>
      <c r="BY2" t="str">
        <f>IF(AND(BX2&gt;=1,BX2&lt;5),"Oppose",IF(AND(BX2&gt;=5,BX2&lt;8),"Neutral",IF(AND(BX2&gt;=8,BX2&lt;=10),"Support","")))</f>
        <v>Support</v>
      </c>
      <c r="BZ2">
        <f>ABS(BX2-BV2)</f>
        <v>1</v>
      </c>
      <c r="CA2" t="str" cm="1">
        <f t="array" ref="CA2">INDEX(step2_raw_simulation[AI_OUT1_Reason], (ROW(CA1)-1)*5 + 1)</f>
        <v>Nhìn chung, vì chính sách mới giúp tôi không phải đóng thuế nữa nên mức độ ủng hộ cao. Tuy nhiên, lòng tin vào thực thi chế tài pháp lý vẫn còn thấp.</v>
      </c>
      <c r="CB2" t="str">
        <f>interview_responses[[#This Row],[Lý do - HUMAN-OUT1]]</f>
        <v>Ủng hộ việc giảm bậc, tăng mức giảm trừ gia cảnh nhưng niềm tin về việc thực thi chính sách thì không cao cho đến khi việc thực thi các chế tài là rõ ràng, minh bạch, nghiêm khắc. Nhìn chung, vì chính sách mới giúp tôi không phải đóng thuế nữa nên mức độ ủng hộ cao.</v>
      </c>
    </row>
    <row r="3" spans="1:80" x14ac:dyDescent="0.45">
      <c r="A3" cm="1">
        <f t="array" ref="A3">INDEX(step2_raw_simulation[Persona_ID], (ROW(A2)-1)*5 + 1)</f>
        <v>2</v>
      </c>
      <c r="B3" cm="1">
        <f t="array" ref="B3">INDEX(step2_raw_simulation[Run_ID], (ROW(B2)-1)*5 + 1)</f>
        <v>1</v>
      </c>
      <c r="C3" cm="1">
        <f t="array" ref="C3">INDEX(step2_raw_simulation[Used_Seed], (ROW(C2)-1)*5 + 1)</f>
        <v>2143</v>
      </c>
      <c r="D3" t="str" cm="1">
        <f t="array" ref="D3">INDEX(step2_raw_simulation[Gender], (ROW(D2)-1)*5 + 1)</f>
        <v>Nữ</v>
      </c>
      <c r="E3" t="str">
        <f>interview_responses[[#This Row],[Giới tính của bạn:]]</f>
        <v>Nữ</v>
      </c>
      <c r="F3" t="str" cm="1">
        <f t="array" ref="F3">INDEX(step2_raw_simulation[Age], (ROW(F2)-1)*5 + 1)</f>
        <v>30 - 39</v>
      </c>
      <c r="G3" t="str">
        <f>interview_responses[[#This Row],[Độ tuổi của bạn:]]</f>
        <v>30 - 39</v>
      </c>
      <c r="H3" t="str" cm="1">
        <f t="array" ref="H3">INDEX(step2_raw_simulation[Region], (ROW(H2)-1)*5 + 1)</f>
        <v>Thành thị</v>
      </c>
      <c r="I3" t="str">
        <f>interview_responses[[#This Row],[Khu vực bạn đang sinh sống:]]</f>
        <v>Thành thị</v>
      </c>
      <c r="J3" t="str" cm="1">
        <f t="array" ref="J3">INDEX(step2_raw_simulation[Education], (ROW(J2)-1)*5 + 1)</f>
        <v>Đại học</v>
      </c>
      <c r="K3" t="str">
        <f>interview_responses[[#This Row],[Trình độ học vấn cao nhất:]]</f>
        <v>Đại học</v>
      </c>
      <c r="L3" t="str" cm="1">
        <f t="array" ref="L3">INDEX(step2_raw_simulation[Employment], (ROW(L2)-1)*5 + 1)</f>
        <v>Phi chính thức</v>
      </c>
      <c r="M3" t="str">
        <f>interview_responses[[#This Row],[Tình trạng việc làm chính:]]</f>
        <v>Khu vực phi chính thức (Lao động tự do, không có HĐLĐ)</v>
      </c>
      <c r="N3" cm="1">
        <f t="array" ref="N3">INDEX(step2_raw_simulation[Income_Mil], (ROW(N2)-1)*5 + 1)</f>
        <v>15</v>
      </c>
      <c r="O3" t="str">
        <f>interview_responses[[#This Row],[Thu nhập bình quân tháng theo Hợp đồng lao động của bạn là bao nhiêu? (Vui lòng điền tổng thu nhập trước khi khấu trừ các loại Bảo hiểm (BHXH, BHYT, BHTN) và Thuế TNCN)]]</f>
        <v>Từ 12 - 18 triệu VNĐ</v>
      </c>
      <c r="P3" cm="1">
        <f t="array" ref="P3">INDEX(step2_raw_simulation[Dependents], (ROW(P2)-1)*5 + 1)</f>
        <v>2</v>
      </c>
      <c r="Q3" t="str">
        <f>interview_responses[[#This Row],[Số người phụ thuộc (con nhỏ, cha mẹ già...) đủ điều kiện giảm trừ gia cảnh:]]</f>
        <v>2 người</v>
      </c>
      <c r="R3">
        <f>AVERAGE(
  INDEX(step2_raw_simulation!K:K, (ROW(A2)-1)*5 + 2)
  :
  INDEX(step2_raw_simulation!K:K, (ROW(A2)-1)*5 + 6)
)</f>
        <v>6</v>
      </c>
      <c r="S3" t="str">
        <f t="shared" ref="S3:S26" si="0">IF(AND(R3&gt;=1,R3&lt;5),"Oppose",IF(AND(R3&gt;=5,R3&lt;8),"Neutral",IF(AND(R3&gt;=8,R3&lt;=10),"Support","")))</f>
        <v>Neutral</v>
      </c>
      <c r="T3">
        <f>interview_responses[[#This Row],[Tôi tin rằng với các quy định quản lý thuế hiện nay, hành vi gian lận hoặc trốn thuế sẽ dễ dàng bị phát hiện và xử lý nghiêm. - HUMAN-ENF1]]</f>
        <v>5</v>
      </c>
      <c r="U3" t="str">
        <f t="shared" ref="U3:U26" si="1">IF(AND(T3&gt;=1,T3&lt;5),"Oppose",IF(AND(T3&gt;=5,T3&lt;8),"Neutral",IF(AND(T3&gt;=8,T3&lt;=10),"Support","")))</f>
        <v>Neutral</v>
      </c>
      <c r="V3">
        <f t="shared" ref="V3:V26" si="2">ABS(T3-R3)</f>
        <v>1</v>
      </c>
      <c r="W3" t="str" cm="1">
        <f t="array" ref="W3">INDEX(step2_raw_simulation[AI_ENF1_Reason], (ROW(W2)-1)*5 + 1)</f>
        <v>Dù khâu thực thi được chú trọng và nhiều cải thiện, nhưng thay đổi chỉ mới gần đây nên chưa chắc hiệu quả trong tương lai.</v>
      </c>
      <c r="X3" t="str">
        <f>interview_responses[[#This Row],[Lý do - HUMAN-ENF1]]</f>
        <v xml:space="preserve">Dù khâu thực thi được chú trọng và nhiều cải thiện. Người dân hiểu và tuân thủ hơn. Nhưng thay đổi chỉ mới gần đây, chưa chắc được hiệu quả trong tương lai. </v>
      </c>
      <c r="Y3">
        <f>AVERAGE(
  INDEX(step2_raw_simulation!P:P, (ROW(H2)-1)*5 + 2)
  :
  INDEX(step2_raw_simulation!P:P, (ROW(H2)-1)*5 + 6)
)</f>
        <v>6</v>
      </c>
      <c r="Z3" t="str">
        <f t="shared" ref="Z3:Z26" si="3">IF(AND(Y3&gt;=1,Y3&lt;5),"Oppose",IF(AND(Y3&gt;=5,Y3&lt;8),"Neutral",IF(AND(Y3&gt;=8,Y3&lt;=10),"Support","")))</f>
        <v>Neutral</v>
      </c>
      <c r="AA3">
        <f>interview_responses[[#This Row],[Tôi tin rằng Nhà nước, cơ quan thuế có đủ khả năng và công nghệ để phát hiện, xử lý nghiêm các hành vi trốn thuế. - HUMAN-ENF2]]</f>
        <v>5</v>
      </c>
      <c r="AB3" t="str">
        <f t="shared" ref="AB3:AB26" si="4">IF(AND(AA3&gt;=1,AA3&lt;5),"Oppose",IF(AND(AA3&gt;=5,AA3&lt;8),"Neutral",IF(AND(AA3&gt;=8,AA3&lt;=10),"Support","")))</f>
        <v>Neutral</v>
      </c>
      <c r="AC3">
        <f t="shared" ref="AC3:AC26" si="5">ABS(AA3-Y3)</f>
        <v>1</v>
      </c>
      <c r="AD3" t="str" cm="1">
        <f t="array" ref="AD3">INDEX(step2_raw_simulation[AI_ENF2_Reason], (ROW(AD2)-1)*5 + 1)</f>
        <v>Dù khâu thực thi được chú trọng và nhiều cải thiện, nhưng thay đổi chỉ mới gần đây nên chưa chắc hiệu quả trong tương lai.</v>
      </c>
      <c r="AE3" t="str">
        <f>interview_responses[[#This Row],[Lý do - HUMAN-ENF2]]</f>
        <v xml:space="preserve">Dù khâu thực thi được chú trọng và nhiều cải thiện. Người dân hiểu và tuân thủ hơn. Nhưng thay đổi chỉ mới gần đây, chưa chắc được hiệu quả trong tương lai. </v>
      </c>
      <c r="AF3">
        <f>AVERAGE(
  INDEX(step2_raw_simulation!U:U, (ROW(O2)-1)*5 + 2)
  :
  INDEX(step2_raw_simulation!U:U, (ROW(O2)-1)*5 + 6)
)</f>
        <v>5.6</v>
      </c>
      <c r="AG3" t="str">
        <f t="shared" ref="AG3:AG26" si="6">IF(AND(AF3&gt;=1,AF3&lt;5),"Oppose",IF(AND(AF3&gt;=5,AF3&lt;8),"Neutral",IF(AND(AF3&gt;=8,AF3&lt;=10),"Support","")))</f>
        <v>Neutral</v>
      </c>
      <c r="AH3">
        <f>interview_responses[[#This Row],[Các thủ tục khai báo thuế VÀ/HOẶC quy trình làm việc với cơ quan thuế đơn giản, tiện lợi, nhanh chóng hơn so với trước đây. - HUMAN-FAC1]]</f>
        <v>4</v>
      </c>
      <c r="AI3" t="str">
        <f t="shared" ref="AI3:AI26" si="7">IF(AND(AH3&gt;=1,AH3&lt;5),"Oppose",IF(AND(AH3&gt;=5,AH3&lt;8),"Neutral",IF(AND(AH3&gt;=8,AH3&lt;=10),"Support","")))</f>
        <v>Oppose</v>
      </c>
      <c r="AJ3">
        <f t="shared" ref="AJ3:AJ26" si="8">ABS(AH3-AF3)</f>
        <v>1.5999999999999996</v>
      </c>
      <c r="AK3" t="str" cm="1">
        <f t="array" ref="AK3">INDEX(step2_raw_simulation[AI_FAC1_Reason], (ROW(AK2)-1)*5 + 1)</f>
        <v>Sau khi giảm bớt mức độ phức tạp, quy trình làm việc với cơ quan thuế đã đơn giản hơn và tiện lợi hơn so với trước đây.</v>
      </c>
      <c r="AL3" t="str">
        <f>interview_responses[[#This Row],[Lý do - HUMAN-FAC1]]</f>
        <v>Có cải thiện nhưng đang trong quá trình chuyển giao, thay đổi từ offline sang online nên mọi thứ vẫn còn ngổn ngang, không biết liên hệ ai.</v>
      </c>
      <c r="AM3">
        <f>AVERAGE(
  INDEX(step2_raw_simulation!Z:Z, (ROW(V2)-1)*5 + 2)
  :
  INDEX(step2_raw_simulation!Z:Z, (ROW(V2)-1)*5 + 6)
)</f>
        <v>7.4</v>
      </c>
      <c r="AN3" t="str">
        <f t="shared" ref="AN3:AN26" si="9">IF(AND(AM3&gt;=1,AM3&lt;5),"Oppose",IF(AND(AM3&gt;=5,AM3&lt;8),"Neutral",IF(AND(AM3&gt;=8,AM3&lt;=10),"Support","")))</f>
        <v>Neutral</v>
      </c>
      <c r="AO3">
        <f>interview_responses[[#This Row],[So với trước đây, tôi thấy cách tính thuế và các bậc thuế trong phương án mới đơn giản, dễ hiểu và dễ thực hiện hơn. - HUMAN-FAC2]]</f>
        <v>5</v>
      </c>
      <c r="AP3" t="str">
        <f t="shared" ref="AP3:AP26" si="10">IF(AND(AO3&gt;=1,AO3&lt;5),"Oppose",IF(AND(AO3&gt;=5,AO3&lt;8),"Neutral",IF(AND(AO3&gt;=8,AO3&lt;=10),"Support","")))</f>
        <v>Neutral</v>
      </c>
      <c r="AQ3">
        <f t="shared" ref="AQ3:AQ26" si="11">ABS(AO3-AM3)</f>
        <v>2.4000000000000004</v>
      </c>
      <c r="AR3" t="str" cm="1">
        <f t="array" ref="AR3">INDEX(step2_raw_simulation[AI_FAC2_Reason], (ROW(AR2)-1)*5 + 1)</f>
        <v>Biểu thuế mới có ít bậc hơn nên dễ hiểu và thực hiện hơn. Tuy nhiên, vẫn còn ngổn ngang khi chuyển giao từ offline sang online.</v>
      </c>
      <c r="AS3" t="str">
        <f>interview_responses[[#This Row],[Lý do - HUMAN-FAC2]]</f>
        <v>Không thay đổi về mức độ đóng thuế dù thay đổi bậc thuế, ngưỡng thuế.</v>
      </c>
      <c r="AT3">
        <f>AVERAGE(
  INDEX(step2_raw_simulation!AE:AE, (ROW(AC2)-1)*5 + 2)
  :
  INDEX(step2_raw_simulation!AE:AE, (ROW(AC2)-1)*5 + 6)
)</f>
        <v>6.8</v>
      </c>
      <c r="AU3" t="str">
        <f t="shared" ref="AU3:AU26" si="12">IF(AND(AT3&gt;=1,AT3&lt;5),"Oppose",IF(AND(AT3&gt;=5,AT3&lt;8),"Neutral",IF(AND(AT3&gt;=8,AT3&lt;=10),"Support","")))</f>
        <v>Neutral</v>
      </c>
      <c r="AV3">
        <f>interview_responses[[#This Row],[Tôi tin rằng Nhà nước, cơ quan thuế sẽ thực thi chính sách mới một cách khách quan, công tâm và đối xử bình đẳng với mọi người nộp thuế.  - HUMAN-TRU1]]</f>
        <v>5</v>
      </c>
      <c r="AW3" t="str">
        <f t="shared" ref="AW3:AW26" si="13">IF(AND(AV3&gt;=1,AV3&lt;5),"Oppose",IF(AND(AV3&gt;=5,AV3&lt;8),"Neutral",IF(AND(AV3&gt;=8,AV3&lt;=10),"Support","")))</f>
        <v>Neutral</v>
      </c>
      <c r="AX3">
        <f t="shared" ref="AX3:AX26" si="14">ABS(AV3-AT3)</f>
        <v>1.7999999999999998</v>
      </c>
      <c r="AY3" t="str" cm="1">
        <f t="array" ref="AY3">INDEX(step2_raw_simulation[AI_TRU1_Reason], (ROW(AY2)-1)*5 + 1)</f>
        <v>Tôi tin rằng Nhà nước sẽ thực thi chính sách một cách khách quan, công tâm và đối xử bình đẳng với mọi người nộp thuế, mặc dù thay đổi mới chỉ vừa được áp dụng.</v>
      </c>
      <c r="AZ3" t="str">
        <f>interview_responses[[#This Row],[Lý do - HUMAN-TRU1]]</f>
        <v xml:space="preserve">Dù khâu thực thi được chú trọng và nhiều cải thiện. Người dân hiểu và tuân thủ hơn. Nhưng thay đổi chỉ mới gần đây, chưa chắc được hiệu quả trong tương lai. </v>
      </c>
      <c r="BA3">
        <f>AVERAGE(
  INDEX(step2_raw_simulation!AJ:AJ, (ROW(AJ2)-1)*5 + 2)
  :
  INDEX(step2_raw_simulation!AJ:AJ, (ROW(AJ2)-1)*5 + 6)
)</f>
        <v>8.1999999999999993</v>
      </c>
      <c r="BB3" t="str">
        <f t="shared" ref="BB3:BB26" si="15">IF(AND(BA3&gt;=1,BA3&lt;5),"Oppose",IF(AND(BA3&gt;=5,BA3&lt;8),"Neutral",IF(AND(BA3&gt;=8,BA3&lt;=10),"Support","")))</f>
        <v>Support</v>
      </c>
      <c r="BC3">
        <f>interview_responses[[#This Row],[Tôi thấy mức thuế tôi phải đóng theo phương án mới là công bằng (người thu nhập như tôi đóng mức này là hợp lý). - HUMAN-TRU2]]</f>
        <v>5</v>
      </c>
      <c r="BD3" t="str">
        <f t="shared" ref="BD3:BD26" si="16">IF(AND(BC3&gt;=1,BC3&lt;5),"Oppose",IF(AND(BC3&gt;=5,BC3&lt;8),"Neutral",IF(AND(BC3&gt;=8,BC3&lt;=10),"Support","")))</f>
        <v>Neutral</v>
      </c>
      <c r="BE3">
        <f t="shared" ref="BE3:BE26" si="17">ABS(BC3-BA3)</f>
        <v>3.1999999999999993</v>
      </c>
      <c r="BF3" t="str" cm="1">
        <f t="array" ref="BF3">INDEX(step2_raw_simulation[AI_TRU2_Reason], (ROW(BF2)-1)*5 + 1)</f>
        <v>Nhìn chung mức thuế tôi phải đóng theo phương án mới là hợp lý. Mức giảm trừ gia cảnh cao hơn giúp giảm gánh nặng tài chính cho người dân.</v>
      </c>
      <c r="BG3" t="str">
        <f>interview_responses[[#This Row],[Lý do - HUMAN-TRU2]]</f>
        <v>Không thay đổi về mức độ đóng thuế dù thay đổi bậc thuế, ngưỡng thuế.</v>
      </c>
      <c r="BH3">
        <f>AVERAGE(
  INDEX(step2_raw_simulation!AO:AO, (ROW(AQ2)-1)*5 + 2)
  :
  INDEX(step2_raw_simulation!AO:AO, (ROW(AQ2)-1)*5 + 6)
)</f>
        <v>6.8</v>
      </c>
      <c r="BI3" t="str">
        <f t="shared" ref="BI3:BI26" si="18">IF(AND(BH3&gt;=1,BH3&lt;5),"Oppose",IF(AND(BH3&gt;=5,BH3&lt;8),"Neutral",IF(AND(BH3&gt;=8,BH3&lt;=10),"Support","")))</f>
        <v>Neutral</v>
      </c>
      <c r="BJ3">
        <f>interview_responses[[#This Row],[Tôi tin tưởng số tiền thuế tôi đóng sẽ được Nhà nước sử dụng hiệu quả để cải thiện dịch vụ công (y tế, đường xá...). - HUMAN-TRU3]]</f>
        <v>5</v>
      </c>
      <c r="BK3" t="str">
        <f t="shared" ref="BK3:BK26" si="19">IF(AND(BJ3&gt;=1,BJ3&lt;5),"Oppose",IF(AND(BJ3&gt;=5,BJ3&lt;8),"Neutral",IF(AND(BJ3&gt;=8,BJ3&lt;=10),"Support","")))</f>
        <v>Neutral</v>
      </c>
      <c r="BL3">
        <f t="shared" ref="BL3:BL26" si="20">ABS(BJ3-BH3)</f>
        <v>1.7999999999999998</v>
      </c>
      <c r="BM3" t="str" cm="1">
        <f t="array" ref="BM3">INDEX(step2_raw_simulation[AI_TRU3_Reason], (ROW(BM2)-1)*5 + 1)</f>
        <v>Tôi tin tưởng số tiền thuế tôi đóng sẽ được Nhà nước sử dụng hiệu quả để cải thiện dịch vụ công, mặc dù chưa rõ ràng về chi tiết cụ thể.</v>
      </c>
      <c r="BN3" t="str">
        <f>interview_responses[[#This Row],[Lý do - HUMAN-TRU3]]</f>
        <v>Giống với quan điểm trước đó vì mọi thứ vẫn chưa rõ ràng.</v>
      </c>
      <c r="BO3">
        <f>AVERAGE(
  INDEX(step2_raw_simulation!AT:AT, (ROW(AX2)-1)*5 + 2)
  :
  INDEX(step2_raw_simulation!AT:AT, (ROW(AX2)-1)*5 + 6)
)</f>
        <v>7.6</v>
      </c>
      <c r="BP3" t="str">
        <f t="shared" ref="BP3:BP26" si="21">IF(AND(BO3&gt;=1,BO3&lt;5),"Oppose",IF(AND(BO3&gt;=5,BO3&lt;8),"Neutral",IF(AND(BO3&gt;=8,BO3&lt;=10),"Support","")))</f>
        <v>Neutral</v>
      </c>
      <c r="BQ3">
        <f>interview_responses[[#This Row],[Tôi thấy Nhà nước đã giải thích rõ ràng, minh bạch về lý do và mục tiêu của việc sửa đổi thuế lần này. - HUMAN-TRU4]]</f>
        <v>5</v>
      </c>
      <c r="BR3" t="str">
        <f t="shared" ref="BR3:BR26" si="22">IF(AND(BQ3&gt;=1,BQ3&lt;5),"Oppose",IF(AND(BQ3&gt;=5,BQ3&lt;8),"Neutral",IF(AND(BQ3&gt;=8,BQ3&lt;=10),"Support","")))</f>
        <v>Neutral</v>
      </c>
      <c r="BS3">
        <f t="shared" ref="BS3:BS26" si="23">ABS(BQ3-BO3)</f>
        <v>2.5999999999999996</v>
      </c>
      <c r="BT3" t="str" cm="1">
        <f t="array" ref="BT3">INDEX(step2_raw_simulation[AI_TRU4_Reason], (ROW(BT2)-1)*5 + 1)</f>
        <v>Nhà nước đã giải thích rõ ràng về mục tiêu của việc sửa đổi thuế lần này. Mặc dù thay đổi mới chỉ vừa được áp dụng, nhưng tôi thấy có sự minh bạch hơn.</v>
      </c>
      <c r="BU3" t="str">
        <f>interview_responses[[#This Row],[Lý do - HUMAN-TRU4]]</f>
        <v>Giống với quan điểm trước đó vì mọi thứ vẫn chưa rõ ràng.</v>
      </c>
      <c r="BV3">
        <f>AVERAGE(
  INDEX(step2_raw_simulation!AY:AY, (ROW(BE2)-1)*5 + 2)
  :
  INDEX(step2_raw_simulation!AY:AY, (ROW(BE2)-1)*5 + 6)
)</f>
        <v>7.4</v>
      </c>
      <c r="BW3" t="str">
        <f t="shared" ref="BW3:BW26" si="24">IF(AND(BV3&gt;=1,BV3&lt;5),"Oppose",IF(AND(BV3&gt;=5,BV3&lt;8),"Neutral",IF(AND(BV3&gt;=8,BV3&lt;=10),"Support","")))</f>
        <v>Neutral</v>
      </c>
      <c r="BX3">
        <f>interview_responses[[#This Row],[Sau khi xem xét các quyền lợi và nghĩa vụ, bạn có ủng hộ và tuân thủ chính sách mới hiện nay? - HUMAN-OUT1]]</f>
        <v>5</v>
      </c>
      <c r="BY3" t="str">
        <f t="shared" ref="BY3:BY26" si="25">IF(AND(BX3&gt;=1,BX3&lt;5),"Oppose",IF(AND(BX3&gt;=5,BX3&lt;8),"Neutral",IF(AND(BX3&gt;=8,BX3&lt;=10),"Support","")))</f>
        <v>Neutral</v>
      </c>
      <c r="BZ3">
        <f t="shared" ref="BZ3:BZ26" si="26">ABS(BX3-BV3)</f>
        <v>2.4000000000000004</v>
      </c>
      <c r="CA3" t="str" cm="1">
        <f t="array" ref="CA3">INDEX(step2_raw_simulation[AI_OUT1_Reason], (ROW(CA2)-1)*5 + 1)</f>
        <v>Dù vẫn còn nhiều vấn đề cần cải thiện, nhưng chính sách mới đã giúp giảm gánh nặng thuế cho người dân và làm đơn giản hóa quy trình khai báo thuế. Tôi ủng hộ và tuân thủ chính sách này.</v>
      </c>
      <c r="CB3" t="str">
        <f>interview_responses[[#This Row],[Lý do - HUMAN-OUT1]]</f>
        <v>Giống với quan điểm trước đó vì mọi thứ vẫn chưa rõ ràng.</v>
      </c>
    </row>
    <row r="4" spans="1:80" x14ac:dyDescent="0.45">
      <c r="A4" cm="1">
        <f t="array" ref="A4">INDEX(step2_raw_simulation[Persona_ID], (ROW(A3)-1)*5 + 1)</f>
        <v>3</v>
      </c>
      <c r="B4" cm="1">
        <f t="array" ref="B4">INDEX(step2_raw_simulation[Run_ID], (ROW(B3)-1)*5 + 1)</f>
        <v>1</v>
      </c>
      <c r="C4" cm="1">
        <f t="array" ref="C4">INDEX(step2_raw_simulation[Used_Seed], (ROW(C3)-1)*5 + 1)</f>
        <v>243</v>
      </c>
      <c r="D4" t="str" cm="1">
        <f t="array" ref="D4">INDEX(step2_raw_simulation[Gender], (ROW(D3)-1)*5 + 1)</f>
        <v>Nam</v>
      </c>
      <c r="E4" t="str">
        <f>interview_responses[[#This Row],[Giới tính của bạn:]]</f>
        <v>Nam</v>
      </c>
      <c r="F4" t="str" cm="1">
        <f t="array" ref="F4">INDEX(step2_raw_simulation[Age], (ROW(F3)-1)*5 + 1)</f>
        <v>40 - 49</v>
      </c>
      <c r="G4" t="str">
        <f>interview_responses[[#This Row],[Độ tuổi của bạn:]]</f>
        <v>40 - 49</v>
      </c>
      <c r="H4" t="str" cm="1">
        <f t="array" ref="H4">INDEX(step2_raw_simulation[Region], (ROW(H3)-1)*5 + 1)</f>
        <v>Thành thị</v>
      </c>
      <c r="I4" t="str">
        <f>interview_responses[[#This Row],[Khu vực bạn đang sinh sống:]]</f>
        <v>Thành thị</v>
      </c>
      <c r="J4" t="str" cm="1">
        <f t="array" ref="J4">INDEX(step2_raw_simulation[Education], (ROW(J3)-1)*5 + 1)</f>
        <v>Đại học</v>
      </c>
      <c r="K4" t="str">
        <f>interview_responses[[#This Row],[Trình độ học vấn cao nhất:]]</f>
        <v>Đại học</v>
      </c>
      <c r="L4" t="str" cm="1">
        <f t="array" ref="L4">INDEX(step2_raw_simulation[Employment], (ROW(L3)-1)*5 + 1)</f>
        <v>Phi chính thức</v>
      </c>
      <c r="M4" t="str">
        <f>interview_responses[[#This Row],[Tình trạng việc làm chính:]]</f>
        <v>Khu vực phi chính thức (Lao động tự do, không có HĐLĐ)</v>
      </c>
      <c r="N4" cm="1">
        <f t="array" ref="N4">INDEX(step2_raw_simulation[Income_Mil], (ROW(N3)-1)*5 + 1)</f>
        <v>27.5</v>
      </c>
      <c r="O4" t="str">
        <f>interview_responses[[#This Row],[Thu nhập bình quân tháng theo Hợp đồng lao động của bạn là bao nhiêu? (Vui lòng điền tổng thu nhập trước khi khấu trừ các loại Bảo hiểm (BHXH, BHYT, BHTN) và Thuế TNCN)]]</f>
        <v>Từ 23 - 32 triệu VNĐ</v>
      </c>
      <c r="P4" cm="1">
        <f t="array" ref="P4">INDEX(step2_raw_simulation[Dependents], (ROW(P3)-1)*5 + 1)</f>
        <v>3</v>
      </c>
      <c r="Q4" t="str">
        <f>interview_responses[[#This Row],[Số người phụ thuộc (con nhỏ, cha mẹ già...) đủ điều kiện giảm trừ gia cảnh:]]</f>
        <v>3 người</v>
      </c>
      <c r="R4">
        <f>AVERAGE(
  INDEX(step2_raw_simulation!K:K, (ROW(A3)-1)*5 + 2)
  :
  INDEX(step2_raw_simulation!K:K, (ROW(A3)-1)*5 + 6)
)</f>
        <v>6.8</v>
      </c>
      <c r="S4" t="str">
        <f t="shared" si="0"/>
        <v>Neutral</v>
      </c>
      <c r="T4">
        <f>interview_responses[[#This Row],[Tôi tin rằng với các quy định quản lý thuế hiện nay, hành vi gian lận hoặc trốn thuế sẽ dễ dàng bị phát hiện và xử lý nghiêm. - HUMAN-ENF1]]</f>
        <v>10</v>
      </c>
      <c r="U4" t="str">
        <f t="shared" si="1"/>
        <v>Support</v>
      </c>
      <c r="V4">
        <f t="shared" si="2"/>
        <v>3.2</v>
      </c>
      <c r="W4" t="str" cm="1">
        <f t="array" ref="W4">INDEX(step2_raw_simulation[AI_ENF1_Reason], (ROW(W3)-1)*5 + 1)</f>
        <v>Dù công nghệ hiện đại giúp phát hiện gian lận, nhưng tôi vẫn lo ngại về khả năng thực thi và sự công bằng trong quá trình xử lý.</v>
      </c>
      <c r="X4" t="str">
        <f>interview_responses[[#This Row],[Lý do - HUMAN-ENF1]]</f>
        <v>Áp dụng công nghệ định danh, rà soát tài khoản tự động các nguồn thu thông qua yêu cầu bên trung gian thanh toán, phán đoán cá nhân.</v>
      </c>
      <c r="Y4">
        <f>AVERAGE(
  INDEX(step2_raw_simulation!P:P, (ROW(H3)-1)*5 + 2)
  :
  INDEX(step2_raw_simulation!P:P, (ROW(H3)-1)*5 + 6)
)</f>
        <v>6.4</v>
      </c>
      <c r="Z4" t="str">
        <f t="shared" si="3"/>
        <v>Neutral</v>
      </c>
      <c r="AA4">
        <f>interview_responses[[#This Row],[Tôi tin rằng Nhà nước, cơ quan thuế có đủ khả năng và công nghệ để phát hiện, xử lý nghiêm các hành vi trốn thuế. - HUMAN-ENF2]]</f>
        <v>10</v>
      </c>
      <c r="AB4" t="str">
        <f t="shared" si="4"/>
        <v>Support</v>
      </c>
      <c r="AC4">
        <f t="shared" si="5"/>
        <v>3.5999999999999996</v>
      </c>
      <c r="AD4" t="str" cm="1">
        <f t="array" ref="AD4">INDEX(step2_raw_simulation[AI_ENF2_Reason], (ROW(AD3)-1)*5 + 1)</f>
        <v>Tôi tin rằng cơ quan thuế có đủ nguồn lực để quản lý thuế hiệu quả hơn nhờ các cải cách này.</v>
      </c>
      <c r="AE4" t="str">
        <f>interview_responses[[#This Row],[Lý do - HUMAN-ENF2]]</f>
        <v>Công nghệ hiện đại</v>
      </c>
      <c r="AF4">
        <f>AVERAGE(
  INDEX(step2_raw_simulation!U:U, (ROW(O3)-1)*5 + 2)
  :
  INDEX(step2_raw_simulation!U:U, (ROW(O3)-1)*5 + 6)
)</f>
        <v>6.2</v>
      </c>
      <c r="AG4" t="str">
        <f t="shared" si="6"/>
        <v>Neutral</v>
      </c>
      <c r="AH4">
        <f>interview_responses[[#This Row],[Các thủ tục khai báo thuế VÀ/HOẶC quy trình làm việc với cơ quan thuế đơn giản, tiện lợi, nhanh chóng hơn so với trước đây. - HUMAN-FAC1]]</f>
        <v>5</v>
      </c>
      <c r="AI4" t="str">
        <f t="shared" si="7"/>
        <v>Neutral</v>
      </c>
      <c r="AJ4">
        <f t="shared" si="8"/>
        <v>1.2000000000000002</v>
      </c>
      <c r="AK4" t="str" cm="1">
        <f t="array" ref="AK4">INDEX(step2_raw_simulation[AI_FAC1_Reason], (ROW(AK3)-1)*5 + 1)</f>
        <v>Các quy trình khai báo đã đơn giản hơn, nhưng tôi vẫn cảm thấy chưa thật sự thuận tiện do chưa quen với hệ thống mới.</v>
      </c>
      <c r="AL4" t="str">
        <f>interview_responses[[#This Row],[Lý do - HUMAN-FAC1]]</f>
        <v>Vẫn thấy có nhiều khó khăn khi dùng Etax mobile. Chưa rõ phần mềm có cập nhật, thay đổi theo chính sách mới hay không.</v>
      </c>
      <c r="AM4">
        <f>AVERAGE(
  INDEX(step2_raw_simulation!Z:Z, (ROW(V3)-1)*5 + 2)
  :
  INDEX(step2_raw_simulation!Z:Z, (ROW(V3)-1)*5 + 6)
)</f>
        <v>6.8</v>
      </c>
      <c r="AN4" t="str">
        <f t="shared" si="9"/>
        <v>Neutral</v>
      </c>
      <c r="AO4">
        <f>interview_responses[[#This Row],[So với trước đây, tôi thấy cách tính thuế và các bậc thuế trong phương án mới đơn giản, dễ hiểu và dễ thực hiện hơn. - HUMAN-FAC2]]</f>
        <v>7</v>
      </c>
      <c r="AP4" t="str">
        <f t="shared" si="10"/>
        <v>Neutral</v>
      </c>
      <c r="AQ4">
        <f t="shared" si="11"/>
        <v>0.20000000000000018</v>
      </c>
      <c r="AR4" t="str" cm="1">
        <f t="array" ref="AR4">INDEX(step2_raw_simulation[AI_FAC2_Reason], (ROW(AR3)-1)*5 + 1)</f>
        <v>Biểu thuế đơn giản hơn, dễ hiểu và thực hiện dễ dàng hơn so với trước đây.</v>
      </c>
      <c r="AS4" t="str">
        <f>interview_responses[[#This Row],[Lý do - HUMAN-FAC2]]</f>
        <v>Chưa làm theo quy định mới nhưng từ truyền thông giải thích thì cảm giác có sự tốt hơn</v>
      </c>
      <c r="AT4">
        <f>AVERAGE(
  INDEX(step2_raw_simulation!AE:AE, (ROW(AC3)-1)*5 + 2)
  :
  INDEX(step2_raw_simulation!AE:AE, (ROW(AC3)-1)*5 + 6)
)</f>
        <v>5.6</v>
      </c>
      <c r="AU4" t="str">
        <f t="shared" si="12"/>
        <v>Neutral</v>
      </c>
      <c r="AV4">
        <f>interview_responses[[#This Row],[Tôi tin rằng Nhà nước, cơ quan thuế sẽ thực thi chính sách mới một cách khách quan, công tâm và đối xử bình đẳng với mọi người nộp thuế.  - HUMAN-TRU1]]</f>
        <v>7</v>
      </c>
      <c r="AW4" t="str">
        <f t="shared" si="13"/>
        <v>Neutral</v>
      </c>
      <c r="AX4">
        <f t="shared" si="14"/>
        <v>1.4000000000000004</v>
      </c>
      <c r="AY4" t="str" cm="1">
        <f t="array" ref="AY4">INDEX(step2_raw_simulation[AI_TRU1_Reason], (ROW(AY3)-1)*5 + 1)</f>
        <v>Tôi hy vọng rằng sự công bằng sẽ được duy trì trong quá trình áp dụng chính sách mới, nhưng vẫn có hoài nghi về thực tế.</v>
      </c>
      <c r="AZ4" t="str">
        <f>interview_responses[[#This Row],[Lý do - HUMAN-TRU1]]</f>
        <v>Vì còn mới và chưa triển khai, nên phỏng đoán sẽ tốt hơn cách làm trước đây. Dựa trên kinh nghiệm từ quá khứ thì mọi thứ vẫn làm tốt, nhưng chưa chắc tương lai thế nào vì không biết quá trình chuyển đổi thế nào.</v>
      </c>
      <c r="BA4">
        <f>AVERAGE(
  INDEX(step2_raw_simulation!AJ:AJ, (ROW(AJ3)-1)*5 + 2)
  :
  INDEX(step2_raw_simulation!AJ:AJ, (ROW(AJ3)-1)*5 + 6)
)</f>
        <v>6.6</v>
      </c>
      <c r="BB4" t="str">
        <f t="shared" si="15"/>
        <v>Neutral</v>
      </c>
      <c r="BC4">
        <f>interview_responses[[#This Row],[Tôi thấy mức thuế tôi phải đóng theo phương án mới là công bằng (người thu nhập như tôi đóng mức này là hợp lý). - HUMAN-TRU2]]</f>
        <v>6</v>
      </c>
      <c r="BD4" t="str">
        <f t="shared" si="16"/>
        <v>Neutral</v>
      </c>
      <c r="BE4">
        <f t="shared" si="17"/>
        <v>0.59999999999999964</v>
      </c>
      <c r="BF4" t="str" cm="1">
        <f t="array" ref="BF4">INDEX(step2_raw_simulation[AI_TRU2_Reason], (ROW(BF3)-1)*5 + 1)</f>
        <v>Đối với thu nhập của tôi, mức thuế mới này là hợp lý và công bằng.</v>
      </c>
      <c r="BG4" t="str">
        <f>interview_responses[[#This Row],[Lý do - HUMAN-TRU2]]</f>
        <v>Do sức mua bị giảm bởi lạm phát do cung tiền cho các dự án quốc gia, nên cảm thấy 6/10. Thay đổi chưa phù hợp với mức sống thực tế.</v>
      </c>
      <c r="BH4">
        <f>AVERAGE(
  INDEX(step2_raw_simulation!AO:AO, (ROW(AQ3)-1)*5 + 2)
  :
  INDEX(step2_raw_simulation!AO:AO, (ROW(AQ3)-1)*5 + 6)
)</f>
        <v>5.4</v>
      </c>
      <c r="BI4" t="str">
        <f t="shared" si="18"/>
        <v>Neutral</v>
      </c>
      <c r="BJ4">
        <f>interview_responses[[#This Row],[Tôi tin tưởng số tiền thuế tôi đóng sẽ được Nhà nước sử dụng hiệu quả để cải thiện dịch vụ công (y tế, đường xá...). - HUMAN-TRU3]]</f>
        <v>5</v>
      </c>
      <c r="BK4" t="str">
        <f t="shared" si="19"/>
        <v>Neutral</v>
      </c>
      <c r="BL4">
        <f t="shared" si="20"/>
        <v>0.40000000000000036</v>
      </c>
      <c r="BM4" t="str" cm="1">
        <f t="array" ref="BM4">INDEX(step2_raw_simulation[AI_TRU3_Reason], (ROW(BM3)-1)*5 + 1)</f>
        <v>Tôi tin rằng tiền thuế đóng góp sẽ được sử dụng hiệu quả để cải thiện các dịch vụ công, nhưng vẫn lo ngại về minh bạch trong quá trình sử dụng.</v>
      </c>
      <c r="BN4" t="str">
        <f>interview_responses[[#This Row],[Lý do - HUMAN-TRU3]]</f>
        <v>Tính hiệu quả từ tiền thuế thu được chưa được minh bạch và giải trình đầy đủ, còn nhiều vụ án tham nhũng khi triển khai dự án công, trong đó có phần tiền thuế đóng góp.</v>
      </c>
      <c r="BO4">
        <f>AVERAGE(
  INDEX(step2_raw_simulation!AT:AT, (ROW(AX3)-1)*5 + 2)
  :
  INDEX(step2_raw_simulation!AT:AT, (ROW(AX3)-1)*5 + 6)
)</f>
        <v>5.6</v>
      </c>
      <c r="BP4" t="str">
        <f t="shared" si="21"/>
        <v>Neutral</v>
      </c>
      <c r="BQ4">
        <f>interview_responses[[#This Row],[Tôi thấy Nhà nước đã giải thích rõ ràng, minh bạch về lý do và mục tiêu của việc sửa đổi thuế lần này. - HUMAN-TRU4]]</f>
        <v>6</v>
      </c>
      <c r="BR4" t="str">
        <f t="shared" si="22"/>
        <v>Neutral</v>
      </c>
      <c r="BS4">
        <f t="shared" si="23"/>
        <v>0.40000000000000036</v>
      </c>
      <c r="BT4" t="str" cm="1">
        <f t="array" ref="BT4">INDEX(step2_raw_simulation[AI_TRU4_Reason], (ROW(BT3)-1)*5 + 1)</f>
        <v>Những giải thích về chính sách mới chưa đủ chi tiết và rõ ràng như tôi mong đợi, nhưng tôi hy vọng rằng sự minh bạch sẽ được cải thiện.</v>
      </c>
      <c r="BU4" t="str">
        <f>interview_responses[[#This Row],[Lý do - HUMAN-TRU4]]</f>
        <v>Chỉ tham khảo từ nguồn truyền thông. Chưa thấy thông tin từ cơ quan thuế, giới học thuật (sách vở).</v>
      </c>
      <c r="BV4">
        <f>AVERAGE(
  INDEX(step2_raw_simulation!AY:AY, (ROW(BE3)-1)*5 + 2)
  :
  INDEX(step2_raw_simulation!AY:AY, (ROW(BE3)-1)*5 + 6)
)</f>
        <v>7</v>
      </c>
      <c r="BW4" t="str">
        <f t="shared" si="24"/>
        <v>Neutral</v>
      </c>
      <c r="BX4">
        <f>interview_responses[[#This Row],[Sau khi xem xét các quyền lợi và nghĩa vụ, bạn có ủng hộ và tuân thủ chính sách mới hiện nay? - HUMAN-OUT1]]</f>
        <v>7</v>
      </c>
      <c r="BY4" t="str">
        <f t="shared" si="25"/>
        <v>Neutral</v>
      </c>
      <c r="BZ4">
        <f t="shared" si="26"/>
        <v>0</v>
      </c>
      <c r="CA4" t="str" cm="1">
        <f t="array" ref="CA4">INDEX(step2_raw_simulation[AI_OUT1_Reason], (ROW(CA3)-1)*5 + 1)</f>
        <v>Thuế giảm đi đáng kể, cộng với mức thuế đơn giản hơn, đã làm tăng niềm tin của tôi về chính sách mới. Tuy nhiên, vẫn có một số lo ngại cần giải quyết.</v>
      </c>
      <c r="CB4" t="str">
        <f>interview_responses[[#This Row],[Lý do - HUMAN-OUT1]]</f>
        <v xml:space="preserve">Đóng thuế ít hơn, các khung thuế cũng đơn giản hơn. Nhưng tổng thể không đáp ứng được mong đợi so với thực mức sống thực tế. Tuy nhiên, sẽ ủng hộ nếu thu thuế tốt cho cả quốc gia nếu xài tiền thuế thu được hiệu quả. </v>
      </c>
    </row>
    <row r="5" spans="1:80" x14ac:dyDescent="0.45">
      <c r="A5" cm="1">
        <f t="array" ref="A5">INDEX(step2_raw_simulation[Persona_ID], (ROW(A4)-1)*5 + 1)</f>
        <v>4</v>
      </c>
      <c r="B5" cm="1">
        <f t="array" ref="B5">INDEX(step2_raw_simulation[Run_ID], (ROW(B4)-1)*5 + 1)</f>
        <v>1</v>
      </c>
      <c r="C5" cm="1">
        <f t="array" ref="C5">INDEX(step2_raw_simulation[Used_Seed], (ROW(C4)-1)*5 + 1)</f>
        <v>343</v>
      </c>
      <c r="D5" t="str" cm="1">
        <f t="array" ref="D5">INDEX(step2_raw_simulation[Gender], (ROW(D4)-1)*5 + 1)</f>
        <v>Nữ</v>
      </c>
      <c r="E5" t="str">
        <f>interview_responses[[#This Row],[Giới tính của bạn:]]</f>
        <v>Nữ</v>
      </c>
      <c r="F5" t="str" cm="1">
        <f t="array" ref="F5">INDEX(step2_raw_simulation[Age], (ROW(F4)-1)*5 + 1)</f>
        <v>40 - 49</v>
      </c>
      <c r="G5" t="str">
        <f>interview_responses[[#This Row],[Độ tuổi của bạn:]]</f>
        <v>40 - 49</v>
      </c>
      <c r="H5" t="str" cm="1">
        <f t="array" ref="H5">INDEX(step2_raw_simulation[Region], (ROW(H4)-1)*5 + 1)</f>
        <v>Thành thị</v>
      </c>
      <c r="I5" t="str">
        <f>interview_responses[[#This Row],[Khu vực bạn đang sinh sống:]]</f>
        <v>Thành thị</v>
      </c>
      <c r="J5" t="str" cm="1">
        <f t="array" ref="J5">INDEX(step2_raw_simulation[Education], (ROW(J4)-1)*5 + 1)</f>
        <v>Sau Đại học</v>
      </c>
      <c r="K5" t="str">
        <f>interview_responses[[#This Row],[Trình độ học vấn cao nhất:]]</f>
        <v>Sau Đại học</v>
      </c>
      <c r="L5" t="str" cm="1">
        <f t="array" ref="L5">INDEX(step2_raw_simulation[Employment], (ROW(L4)-1)*5 + 1)</f>
        <v>Chính thức</v>
      </c>
      <c r="M5" t="str">
        <f>interview_responses[[#This Row],[Tình trạng việc làm chính:]]</f>
        <v>Khu vực chính thức (Có Hợp đồng lao động, đóng BHXH)</v>
      </c>
      <c r="N5" cm="1">
        <f t="array" ref="N5">INDEX(step2_raw_simulation[Income_Mil], (ROW(N4)-1)*5 + 1)</f>
        <v>86</v>
      </c>
      <c r="O5" t="str">
        <f>interview_responses[[#This Row],[Thu nhập bình quân tháng theo Hợp đồng lao động của bạn là bao nhiêu? (Vui lòng điền tổng thu nhập trước khi khấu trừ các loại Bảo hiểm (BHXH, BHYT, BHTN) và Thuế TNCN)]]</f>
        <v>Từ 70 - 102 triệu VNĐ</v>
      </c>
      <c r="P5" cm="1">
        <f t="array" ref="P5">INDEX(step2_raw_simulation[Dependents], (ROW(P4)-1)*5 + 1)</f>
        <v>2</v>
      </c>
      <c r="Q5" t="str">
        <f>interview_responses[[#This Row],[Số người phụ thuộc (con nhỏ, cha mẹ già...) đủ điều kiện giảm trừ gia cảnh:]]</f>
        <v>2 người</v>
      </c>
      <c r="R5">
        <f>AVERAGE(
  INDEX(step2_raw_simulation!K:K, (ROW(A4)-1)*5 + 2)
  :
  INDEX(step2_raw_simulation!K:K, (ROW(A4)-1)*5 + 6)
)</f>
        <v>6.4</v>
      </c>
      <c r="S5" t="str">
        <f t="shared" si="0"/>
        <v>Neutral</v>
      </c>
      <c r="T5">
        <f>interview_responses[[#This Row],[Tôi tin rằng với các quy định quản lý thuế hiện nay, hành vi gian lận hoặc trốn thuế sẽ dễ dàng bị phát hiện và xử lý nghiêm. - HUMAN-ENF1]]</f>
        <v>6</v>
      </c>
      <c r="U5" t="str">
        <f t="shared" si="1"/>
        <v>Neutral</v>
      </c>
      <c r="V5">
        <f t="shared" si="2"/>
        <v>0.40000000000000036</v>
      </c>
      <c r="W5" t="str" cm="1">
        <f t="array" ref="W5">INDEX(step2_raw_simulation[AI_ENF1_Reason], (ROW(W4)-1)*5 + 1)</f>
        <v>Tuy luật thuế mới đơn giản hơn nhưng việc quản lý thuế đối với người dân không dễ dàng, đặc biệt là những người có thu nhập phi chính thức. Điều này làm tôi nghi ngờ khả năng phát hiện và xử lý các hành vi trốn thuế.</v>
      </c>
      <c r="X5" t="str">
        <f>interview_responses[[#This Row],[Lý do - HUMAN-ENF1]]</f>
        <v>Người có thu nhập phi chính thức còn nhiều và Nhà nước hiện nay chưa quản lý được.</v>
      </c>
      <c r="Y5">
        <f>AVERAGE(
  INDEX(step2_raw_simulation!P:P, (ROW(H4)-1)*5 + 2)
  :
  INDEX(step2_raw_simulation!P:P, (ROW(H4)-1)*5 + 6)
)</f>
        <v>6.4</v>
      </c>
      <c r="Z5" t="str">
        <f t="shared" si="3"/>
        <v>Neutral</v>
      </c>
      <c r="AA5">
        <f>interview_responses[[#This Row],[Tôi tin rằng Nhà nước, cơ quan thuế có đủ khả năng và công nghệ để phát hiện, xử lý nghiêm các hành vi trốn thuế. - HUMAN-ENF2]]</f>
        <v>5</v>
      </c>
      <c r="AB5" t="str">
        <f t="shared" si="4"/>
        <v>Neutral</v>
      </c>
      <c r="AC5">
        <f t="shared" si="5"/>
        <v>1.4000000000000004</v>
      </c>
      <c r="AD5" t="str" cm="1">
        <f t="array" ref="AD5">INDEX(step2_raw_simulation[AI_ENF2_Reason], (ROW(AD4)-1)*5 + 1)</f>
        <v>Hiện tại cơ quan thuế đang nâng cao công nghệ quản lý, nhưng việc thực thi vẫn còn hạn chế đối với người dân không có mối quan hệ hoặc hiểu biết về quy trình khai báo thuế.</v>
      </c>
      <c r="AE5" t="str">
        <f>interview_responses[[#This Row],[Lý do - HUMAN-ENF2]]</f>
        <v>Hiện nay các khoản doanh thu bán lẻ không xuất hóa đơn vẫn còn cao, như doanh thu bán lẻ, cái này chưa có công nghệ quản lý.</v>
      </c>
      <c r="AF5">
        <f>AVERAGE(
  INDEX(step2_raw_simulation!U:U, (ROW(O4)-1)*5 + 2)
  :
  INDEX(step2_raw_simulation!U:U, (ROW(O4)-1)*5 + 6)
)</f>
        <v>6.6</v>
      </c>
      <c r="AG5" t="str">
        <f t="shared" si="6"/>
        <v>Neutral</v>
      </c>
      <c r="AH5">
        <f>interview_responses[[#This Row],[Các thủ tục khai báo thuế VÀ/HOẶC quy trình làm việc với cơ quan thuế đơn giản, tiện lợi, nhanh chóng hơn so với trước đây. - HUMAN-FAC1]]</f>
        <v>2</v>
      </c>
      <c r="AI5" t="str">
        <f t="shared" si="7"/>
        <v>Oppose</v>
      </c>
      <c r="AJ5">
        <f t="shared" si="8"/>
        <v>4.5999999999999996</v>
      </c>
      <c r="AK5" t="str" cm="1">
        <f t="array" ref="AK5">INDEX(step2_raw_simulation[AI_FAC1_Reason], (ROW(AK4)-1)*5 + 1)</f>
        <v>So với trước đây, quy trình làm việc với cơ quan thuế trở nên đơn giản hơn. Việc tăng giảm trừ gia cảnh cũng giúp quá trình khai báo thuận lợi hơn.</v>
      </c>
      <c r="AL5" t="str">
        <f>interview_responses[[#This Row],[Lý do - HUMAN-FAC1]]</f>
        <v>Thủ tục khai báo phức tạp, tôi phải thường nhờ dịch vụ làm thì sẽ thuận tiện, nhanh chóng hơn. Còn người dân bình thường sẽ khó xử lý vì không có mối quan hệ để hỏi người chịu trách nhiệm chính, hỗ trợ.</v>
      </c>
      <c r="AM5">
        <f>AVERAGE(
  INDEX(step2_raw_simulation!Z:Z, (ROW(V4)-1)*5 + 2)
  :
  INDEX(step2_raw_simulation!Z:Z, (ROW(V4)-1)*5 + 6)
)</f>
        <v>8</v>
      </c>
      <c r="AN5" t="str">
        <f t="shared" si="9"/>
        <v>Support</v>
      </c>
      <c r="AO5">
        <f>interview_responses[[#This Row],[So với trước đây, tôi thấy cách tính thuế và các bậc thuế trong phương án mới đơn giản, dễ hiểu và dễ thực hiện hơn. - HUMAN-FAC2]]</f>
        <v>7</v>
      </c>
      <c r="AP5" t="str">
        <f t="shared" si="10"/>
        <v>Neutral</v>
      </c>
      <c r="AQ5">
        <f t="shared" si="11"/>
        <v>1</v>
      </c>
      <c r="AR5" t="str" cm="1">
        <f t="array" ref="AR5">INDEX(step2_raw_simulation[AI_FAC2_Reason], (ROW(AR4)-1)*5 + 1)</f>
        <v>Các bậc thuế mới rõ ràng và dễ hiểu hơn so với trước đây, giúp tôi nắm bắt nhanh chóng.</v>
      </c>
      <c r="AS5" t="str">
        <f>interview_responses[[#This Row],[Lý do - HUMAN-FAC2]]</f>
        <v>Đơn giản hơn vì nó ít bậc hơn.</v>
      </c>
      <c r="AT5">
        <f>AVERAGE(
  INDEX(step2_raw_simulation!AE:AE, (ROW(AC4)-1)*5 + 2)
  :
  INDEX(step2_raw_simulation!AE:AE, (ROW(AC4)-1)*5 + 6)
)</f>
        <v>7</v>
      </c>
      <c r="AU5" t="str">
        <f t="shared" si="12"/>
        <v>Neutral</v>
      </c>
      <c r="AV5">
        <f>interview_responses[[#This Row],[Tôi tin rằng Nhà nước, cơ quan thuế sẽ thực thi chính sách mới một cách khách quan, công tâm và đối xử bình đẳng với mọi người nộp thuế.  - HUMAN-TRU1]]</f>
        <v>7</v>
      </c>
      <c r="AW5" t="str">
        <f t="shared" si="13"/>
        <v>Neutral</v>
      </c>
      <c r="AX5">
        <f t="shared" si="14"/>
        <v>0</v>
      </c>
      <c r="AY5" t="str" cm="1">
        <f t="array" ref="AY5">INDEX(step2_raw_simulation[AI_TRU1_Reason], (ROW(AY4)-1)*5 + 1)</f>
        <v>Tôi hy vọng Nhà nước sẽ thực thi chính sách một cách công bằng nhưng vẫn còn lo ngại về khả năng quản lý và xử lý các vấn đề phát sinh.</v>
      </c>
      <c r="AZ5" t="str">
        <f>interview_responses[[#This Row],[Lý do - HUMAN-TRU1]]</f>
        <v>Tôi hi vọng thế. Hiện tại, Nhà nước cũng đang cố gắng minh bạch, đưa ra nhiều chính sách cải tiến để giúp việc thực thi chính sách tốt hơn.</v>
      </c>
      <c r="BA5">
        <f>AVERAGE(
  INDEX(step2_raw_simulation!AJ:AJ, (ROW(AJ4)-1)*5 + 2)
  :
  INDEX(step2_raw_simulation!AJ:AJ, (ROW(AJ4)-1)*5 + 6)
)</f>
        <v>8</v>
      </c>
      <c r="BB5" t="str">
        <f t="shared" si="15"/>
        <v>Support</v>
      </c>
      <c r="BC5">
        <f>interview_responses[[#This Row],[Tôi thấy mức thuế tôi phải đóng theo phương án mới là công bằng (người thu nhập như tôi đóng mức này là hợp lý). - HUMAN-TRU2]]</f>
        <v>7</v>
      </c>
      <c r="BD5" t="str">
        <f t="shared" si="16"/>
        <v>Neutral</v>
      </c>
      <c r="BE5">
        <f t="shared" si="17"/>
        <v>1</v>
      </c>
      <c r="BF5" t="str" cm="1">
        <f t="array" ref="BF5">INDEX(step2_raw_simulation[AI_TRU2_Reason], (ROW(BF4)-1)*5 + 1)</f>
        <v>Mức thuế mới có phần hợp lý hơn với thu nhập của tôi, giúp tôi thấy công bằng trong việc đóng góp cho xã hội.</v>
      </c>
      <c r="BG5" t="str">
        <f>interview_responses[[#This Row],[Lý do - HUMAN-TRU2]]</f>
        <v>Mức giảm trừ được nâng lên, và các bậc thuế cũng thấp hơn. Tuy nhiên, chưa phản ánh đúng với thực tế, mức sống hiện nay.</v>
      </c>
      <c r="BH5">
        <f>AVERAGE(
  INDEX(step2_raw_simulation!AO:AO, (ROW(AQ4)-1)*5 + 2)
  :
  INDEX(step2_raw_simulation!AO:AO, (ROW(AQ4)-1)*5 + 6)
)</f>
        <v>7</v>
      </c>
      <c r="BI5" t="str">
        <f t="shared" si="18"/>
        <v>Neutral</v>
      </c>
      <c r="BJ5">
        <f>interview_responses[[#This Row],[Tôi tin tưởng số tiền thuế tôi đóng sẽ được Nhà nước sử dụng hiệu quả để cải thiện dịch vụ công (y tế, đường xá...). - HUMAN-TRU3]]</f>
        <v>5</v>
      </c>
      <c r="BK5" t="str">
        <f t="shared" si="19"/>
        <v>Neutral</v>
      </c>
      <c r="BL5">
        <f t="shared" si="20"/>
        <v>2</v>
      </c>
      <c r="BM5" t="str" cm="1">
        <f t="array" ref="BM5">INDEX(step2_raw_simulation[AI_TRU3_Reason], (ROW(BM4)-1)*5 + 1)</f>
        <v>Tôi tin rằng số tiền thuế đóng sẽ được sử dụng hiệu quả để cải thiện dịch vụ công, mặc dù vẫn còn những vấn đề về quản lý tài chính của Nhà nước.</v>
      </c>
      <c r="BN5" t="str">
        <f>interview_responses[[#This Row],[Lý do - HUMAN-TRU3]]</f>
        <v>Tôi không quá tin vào điều này vì hàng năm vẫn thấy sự thất thoát, tuy nhiên tôi tin năng lực quản lý nhà nước sẽ tăng lên.</v>
      </c>
      <c r="BO5">
        <f>AVERAGE(
  INDEX(step2_raw_simulation!AT:AT, (ROW(AX4)-1)*5 + 2)
  :
  INDEX(step2_raw_simulation!AT:AT, (ROW(AX4)-1)*5 + 6)
)</f>
        <v>7.8</v>
      </c>
      <c r="BP5" t="str">
        <f t="shared" si="21"/>
        <v>Neutral</v>
      </c>
      <c r="BQ5">
        <f>interview_responses[[#This Row],[Tôi thấy Nhà nước đã giải thích rõ ràng, minh bạch về lý do và mục tiêu của việc sửa đổi thuế lần này. - HUMAN-TRU4]]</f>
        <v>7</v>
      </c>
      <c r="BR5" t="str">
        <f t="shared" si="22"/>
        <v>Neutral</v>
      </c>
      <c r="BS5">
        <f t="shared" si="23"/>
        <v>0.79999999999999982</v>
      </c>
      <c r="BT5" t="str" cm="1">
        <f t="array" ref="BT5">INDEX(step2_raw_simulation[AI_TRU4_Reason], (ROW(BT4)-1)*5 + 1)</f>
        <v>Chính phủ đã giải thích rõ ràng về mục tiêu và lý do sửa đổi thuế lần này. Tuy nhiên, việc minh bạch đầy đủ vẫn cần được cải thiện hơn nữa.</v>
      </c>
      <c r="BU5" t="str">
        <f>interview_responses[[#This Row],[Lý do - HUMAN-TRU4]]</f>
        <v>Nó được lấy ý kiến từ người dân và công khai thông tin rõ ràng. Truyền thông rõ ràng từng chặng, từng bước quá trình luật hình thành.</v>
      </c>
      <c r="BV5">
        <f>AVERAGE(
  INDEX(step2_raw_simulation!AY:AY, (ROW(BE4)-1)*5 + 2)
  :
  INDEX(step2_raw_simulation!AY:AY, (ROW(BE4)-1)*5 + 6)
)</f>
        <v>8.8000000000000007</v>
      </c>
      <c r="BW5" t="str">
        <f t="shared" si="24"/>
        <v>Support</v>
      </c>
      <c r="BX5">
        <f>interview_responses[[#This Row],[Sau khi xem xét các quyền lợi và nghĩa vụ, bạn có ủng hộ và tuân thủ chính sách mới hiện nay? - HUMAN-OUT1]]</f>
        <v>8</v>
      </c>
      <c r="BY5" t="str">
        <f t="shared" si="25"/>
        <v>Support</v>
      </c>
      <c r="BZ5">
        <f t="shared" si="26"/>
        <v>0.80000000000000071</v>
      </c>
      <c r="CA5" t="str" cm="1">
        <f t="array" ref="CA5">INDEX(step2_raw_simulation[AI_OUT1_Reason], (ROW(CA4)-1)*5 + 1)</f>
        <v>Dù có những hạn chế nhưng chính sách mới đáp ứng tốt nhu cầu của tôi về mặt tài chính và tiện ích, do đó tôi ủng hộ và tuân thủ.</v>
      </c>
      <c r="CB5" t="str">
        <f>interview_responses[[#This Row],[Lý do - HUMAN-OUT1]]</f>
        <v>Vì đóng thuế là nghĩa vụ công dân để xây dựng đất nước và mức thuế này cũng hợp lý. Tuy nhiên, chưa phản ánh hoàn toàn thực tế hiện nay.</v>
      </c>
    </row>
    <row r="6" spans="1:80" x14ac:dyDescent="0.45">
      <c r="A6" cm="1">
        <f t="array" ref="A6">INDEX(step2_raw_simulation[Persona_ID], (ROW(A5)-1)*5 + 1)</f>
        <v>5</v>
      </c>
      <c r="B6" cm="1">
        <f t="array" ref="B6">INDEX(step2_raw_simulation[Run_ID], (ROW(B5)-1)*5 + 1)</f>
        <v>1</v>
      </c>
      <c r="C6" cm="1">
        <f t="array" ref="C6">INDEX(step2_raw_simulation[Used_Seed], (ROW(C5)-1)*5 + 1)</f>
        <v>443</v>
      </c>
      <c r="D6" t="str" cm="1">
        <f t="array" ref="D6">INDEX(step2_raw_simulation[Gender], (ROW(D5)-1)*5 + 1)</f>
        <v>Nữ</v>
      </c>
      <c r="E6" t="str">
        <f>interview_responses[[#This Row],[Giới tính của bạn:]]</f>
        <v>Nữ</v>
      </c>
      <c r="F6" t="str" cm="1">
        <f t="array" ref="F6">INDEX(step2_raw_simulation[Age], (ROW(F5)-1)*5 + 1)</f>
        <v>40 - 49</v>
      </c>
      <c r="G6" t="str">
        <f>interview_responses[[#This Row],[Độ tuổi của bạn:]]</f>
        <v>40 - 49</v>
      </c>
      <c r="H6" t="str" cm="1">
        <f t="array" ref="H6">INDEX(step2_raw_simulation[Region], (ROW(H5)-1)*5 + 1)</f>
        <v>Thành thị</v>
      </c>
      <c r="I6" t="str">
        <f>interview_responses[[#This Row],[Khu vực bạn đang sinh sống:]]</f>
        <v>Thành thị</v>
      </c>
      <c r="J6" t="str" cm="1">
        <f t="array" ref="J6">INDEX(step2_raw_simulation[Education], (ROW(J5)-1)*5 + 1)</f>
        <v>Đại học</v>
      </c>
      <c r="K6" t="str">
        <f>interview_responses[[#This Row],[Trình độ học vấn cao nhất:]]</f>
        <v>Đại học</v>
      </c>
      <c r="L6" t="str" cm="1">
        <f t="array" ref="L6">INDEX(step2_raw_simulation[Employment], (ROW(L5)-1)*5 + 1)</f>
        <v>Chính thức</v>
      </c>
      <c r="M6" t="str">
        <f>interview_responses[[#This Row],[Tình trạng việc làm chính:]]</f>
        <v>Khu vực chính thức (Có Hợp đồng lao động, đóng BHXH)</v>
      </c>
      <c r="N6" cm="1">
        <f t="array" ref="N6">INDEX(step2_raw_simulation[Income_Mil], (ROW(N5)-1)*5 + 1)</f>
        <v>120</v>
      </c>
      <c r="O6" t="str">
        <f>interview_responses[[#This Row],[Thu nhập bình quân tháng theo Hợp đồng lao động của bạn là bao nhiêu? (Vui lòng điền tổng thu nhập trước khi khấu trừ các loại Bảo hiểm (BHXH, BHYT, BHTN) và Thuế TNCN)]]</f>
        <v>Trên 102 triệu VNĐ</v>
      </c>
      <c r="P6" cm="1">
        <f t="array" ref="P6">INDEX(step2_raw_simulation[Dependents], (ROW(P5)-1)*5 + 1)</f>
        <v>2</v>
      </c>
      <c r="Q6" t="str">
        <f>interview_responses[[#This Row],[Số người phụ thuộc (con nhỏ, cha mẹ già...) đủ điều kiện giảm trừ gia cảnh:]]</f>
        <v>2 người</v>
      </c>
      <c r="R6">
        <f>AVERAGE(
  INDEX(step2_raw_simulation!K:K, (ROW(A5)-1)*5 + 2)
  :
  INDEX(step2_raw_simulation!K:K, (ROW(A5)-1)*5 + 6)
)</f>
        <v>8.1999999999999993</v>
      </c>
      <c r="S6" t="str">
        <f t="shared" si="0"/>
        <v>Support</v>
      </c>
      <c r="T6">
        <f>interview_responses[[#This Row],[Tôi tin rằng với các quy định quản lý thuế hiện nay, hành vi gian lận hoặc trốn thuế sẽ dễ dàng bị phát hiện và xử lý nghiêm. - HUMAN-ENF1]]</f>
        <v>8</v>
      </c>
      <c r="U6" t="str">
        <f t="shared" si="1"/>
        <v>Support</v>
      </c>
      <c r="V6">
        <f t="shared" si="2"/>
        <v>0.19999999999999929</v>
      </c>
      <c r="W6" t="str" cm="1">
        <f t="array" ref="W6">INDEX(step2_raw_simulation[AI_ENF1_Reason], (ROW(W5)-1)*5 + 1)</f>
        <v>Tăng mức giảm trừ gia cảnh và đơn giản hóa biểu thuế có thể làm giảm gian lận, nhưng thực tế chưa nắm bắt được những người không khai báo.</v>
      </c>
      <c r="X6" t="str">
        <f>interview_responses[[#This Row],[Lý do - HUMAN-ENF1]]</f>
        <v>Khi cảm giác về gánh nặng thuế giảm sẽ khuyến khích người đóng thuế tích cực kê khai nộp thuế hơn. Hiện nay, cơ quan thuế cũng đang triển khai rất quyết liệt, nhanh và hiệu quả.</v>
      </c>
      <c r="Y6">
        <f>AVERAGE(
  INDEX(step2_raw_simulation!P:P, (ROW(H5)-1)*5 + 2)
  :
  INDEX(step2_raw_simulation!P:P, (ROW(H5)-1)*5 + 6)
)</f>
        <v>8.4</v>
      </c>
      <c r="Z6" t="str">
        <f t="shared" si="3"/>
        <v>Support</v>
      </c>
      <c r="AA6">
        <f>interview_responses[[#This Row],[Tôi tin rằng Nhà nước, cơ quan thuế có đủ khả năng và công nghệ để phát hiện, xử lý nghiêm các hành vi trốn thuế. - HUMAN-ENF2]]</f>
        <v>8</v>
      </c>
      <c r="AB6" t="str">
        <f t="shared" si="4"/>
        <v>Support</v>
      </c>
      <c r="AC6">
        <f t="shared" si="5"/>
        <v>0.40000000000000036</v>
      </c>
      <c r="AD6" t="str" cm="1">
        <f t="array" ref="AD6">INDEX(step2_raw_simulation[AI_ENF2_Reason], (ROW(AD5)-1)*5 + 1)</f>
        <v>Cơ quan thuế triển khai nhanh và hiệu quả các công nghệ mới như hệ thống hoá đơn điện tử, tuy nhiên vẫn còn hạn chế với những người không khai báo trực tiếp.</v>
      </c>
      <c r="AE6" t="str">
        <f>interview_responses[[#This Row],[Lý do - HUMAN-ENF2]]</f>
        <v>Qua kinh nghiệm hệ thống hoá đơn điện tử từ VAT hay thuế DN thì làm rất hiệu quả. Hiện nay, cơ quan thuế cũng đang triển khai rất quyết liệt, nhanh và hiệu quả.</v>
      </c>
      <c r="AF6">
        <f>AVERAGE(
  INDEX(step2_raw_simulation!U:U, (ROW(O5)-1)*5 + 2)
  :
  INDEX(step2_raw_simulation!U:U, (ROW(O5)-1)*5 + 6)
)</f>
        <v>8</v>
      </c>
      <c r="AG6" t="str">
        <f t="shared" si="6"/>
        <v>Support</v>
      </c>
      <c r="AH6">
        <f>interview_responses[[#This Row],[Các thủ tục khai báo thuế VÀ/HOẶC quy trình làm việc với cơ quan thuế đơn giản, tiện lợi, nhanh chóng hơn so với trước đây. - HUMAN-FAC1]]</f>
        <v>8</v>
      </c>
      <c r="AI6" t="str">
        <f t="shared" si="7"/>
        <v>Support</v>
      </c>
      <c r="AJ6">
        <f t="shared" si="8"/>
        <v>0</v>
      </c>
      <c r="AK6" t="str" cm="1">
        <f t="array" ref="AK6">INDEX(step2_raw_simulation[AI_FAC1_Reason], (ROW(AK5)-1)*5 + 1)</f>
        <v>Quy trình làm việc với cơ quan thuế đã đơn giản hơn so với trước đây, nhưng cần thêm thời gian để mọi người nắm bắt và áp dụng.</v>
      </c>
      <c r="AL6" t="str">
        <f>interview_responses[[#This Row],[Lý do - HUMAN-FAC1]]</f>
        <v>Không khai báo trực tiếp nên không trả lời được chính xác. Do công ty đóng nên chưa nhiều trải nghiệm. Nghe qua một vài chia sẻ thì thấy tích cực, tốt. Tuy nhiên, trong quá khứ thì có trải nghiệm chưa tốt, dù hiện tại trải nghiệm tốt hơn từ chia sẻ bạn bè, người thân. Có sự cải tiến nhiều.</v>
      </c>
      <c r="AM6">
        <f>AVERAGE(
  INDEX(step2_raw_simulation!Z:Z, (ROW(V5)-1)*5 + 2)
  :
  INDEX(step2_raw_simulation!Z:Z, (ROW(V5)-1)*5 + 6)
)</f>
        <v>7.8</v>
      </c>
      <c r="AN6" t="str">
        <f t="shared" si="9"/>
        <v>Neutral</v>
      </c>
      <c r="AO6">
        <f>interview_responses[[#This Row],[So với trước đây, tôi thấy cách tính thuế và các bậc thuế trong phương án mới đơn giản, dễ hiểu và dễ thực hiện hơn. - HUMAN-FAC2]]</f>
        <v>9</v>
      </c>
      <c r="AP6" t="str">
        <f t="shared" si="10"/>
        <v>Support</v>
      </c>
      <c r="AQ6">
        <f t="shared" si="11"/>
        <v>1.2000000000000002</v>
      </c>
      <c r="AR6" t="str" cm="1">
        <f t="array" ref="AR6">INDEX(step2_raw_simulation[AI_FAC2_Reason], (ROW(AR5)-1)*5 + 1)</f>
        <v>Biểu thuế mới có ít bậc hơn nên dễ hiểu hơn, song vẫn chưa tối ưu hóa được cho những trường hợp thu nhập đặc biệt cao.</v>
      </c>
      <c r="AS6" t="str">
        <f>interview_responses[[#This Row],[Lý do - HUMAN-FAC2]]</f>
        <v>Có sự giãn cách giữa các bậc. Cơ bản cũng không quan tâm nhiều do nhân sự, kế toán làm hết rồi. Qua truyền thông, báo chí thì thấy có sự đơn giản, dễ hiểu.</v>
      </c>
      <c r="AT6">
        <f>AVERAGE(
  INDEX(step2_raw_simulation!AE:AE, (ROW(AC5)-1)*5 + 2)
  :
  INDEX(step2_raw_simulation!AE:AE, (ROW(AC5)-1)*5 + 6)
)</f>
        <v>8</v>
      </c>
      <c r="AU6" t="str">
        <f t="shared" si="12"/>
        <v>Support</v>
      </c>
      <c r="AV6">
        <f>interview_responses[[#This Row],[Tôi tin rằng Nhà nước, cơ quan thuế sẽ thực thi chính sách mới một cách khách quan, công tâm và đối xử bình đẳng với mọi người nộp thuế.  - HUMAN-TRU1]]</f>
        <v>6</v>
      </c>
      <c r="AW6" t="str">
        <f t="shared" si="13"/>
        <v>Neutral</v>
      </c>
      <c r="AX6">
        <f t="shared" si="14"/>
        <v>2</v>
      </c>
      <c r="AY6" t="str" cm="1">
        <f t="array" ref="AY6">INDEX(step2_raw_simulation[AI_TRU1_Reason], (ROW(AY5)-1)*5 + 1)</f>
        <v>Công bằng về mặt giảm trừ gia cảnh và biểu thuế đơn giản hơn, nhưng còn nhiều người không khai báo nên chưa thực sự công bằng đối với tất cả.</v>
      </c>
      <c r="AZ6" t="str">
        <f>interview_responses[[#This Row],[Lý do - HUMAN-TRU1]]</f>
        <v>Hiện mới chỉ nắm được người có tóc, chưa xử lý được những người nằm ngoài tầm kiểm soát hay khó quản lý. Chưa có chính sách khuyến khích người thu nhập cao chủ động khai báo thuế, minh bạch các nguồn thu.</v>
      </c>
      <c r="BA6">
        <f>AVERAGE(
  INDEX(step2_raw_simulation!AJ:AJ, (ROW(AJ5)-1)*5 + 2)
  :
  INDEX(step2_raw_simulation!AJ:AJ, (ROW(AJ5)-1)*5 + 6)
)</f>
        <v>7.2</v>
      </c>
      <c r="BB6" t="str">
        <f t="shared" si="15"/>
        <v>Neutral</v>
      </c>
      <c r="BC6">
        <f>interview_responses[[#This Row],[Tôi thấy mức thuế tôi phải đóng theo phương án mới là công bằng (người thu nhập như tôi đóng mức này là hợp lý). - HUMAN-TRU2]]</f>
        <v>7</v>
      </c>
      <c r="BD6" t="str">
        <f t="shared" si="16"/>
        <v>Neutral</v>
      </c>
      <c r="BE6">
        <f t="shared" si="17"/>
        <v>0.20000000000000018</v>
      </c>
      <c r="BF6" t="str" cm="1">
        <f t="array" ref="BF6">INDEX(step2_raw_simulation[AI_TRU2_Reason], (ROW(BF5)-1)*5 + 1)</f>
        <v>Mức thuế mới có vẻ hợp lý cho thu nhập như tôi, tuy nhiên vẫn lo ngại về việc những người có thu nhập cao hơn sẽ trốn thuế hiệu quả hơn.</v>
      </c>
      <c r="BG6" t="str">
        <f>interview_responses[[#This Row],[Lý do - HUMAN-TRU2]]</f>
        <v>Tương tự câu trên, mới nắm được người có tóc</v>
      </c>
      <c r="BH6">
        <f>AVERAGE(
  INDEX(step2_raw_simulation!AO:AO, (ROW(AQ5)-1)*5 + 2)
  :
  INDEX(step2_raw_simulation!AO:AO, (ROW(AQ5)-1)*5 + 6)
)</f>
        <v>7.6</v>
      </c>
      <c r="BI6" t="str">
        <f t="shared" si="18"/>
        <v>Neutral</v>
      </c>
      <c r="BJ6">
        <f>interview_responses[[#This Row],[Tôi tin tưởng số tiền thuế tôi đóng sẽ được Nhà nước sử dụng hiệu quả để cải thiện dịch vụ công (y tế, đường xá...). - HUMAN-TRU3]]</f>
        <v>5</v>
      </c>
      <c r="BK6" t="str">
        <f t="shared" si="19"/>
        <v>Neutral</v>
      </c>
      <c r="BL6">
        <f t="shared" si="20"/>
        <v>2.5999999999999996</v>
      </c>
      <c r="BM6" t="str" cm="1">
        <f t="array" ref="BM6">INDEX(step2_raw_simulation[AI_TRU3_Reason], (ROW(BM5)-1)*5 + 1)</f>
        <v>Tài nguyên được sử dụng để cải thiện dịch vụ công là quan trọng, nhưng không chắc chắn liệu những khoản thuế này đã được sử dụng hiệu quả hay chưa.</v>
      </c>
      <c r="BN6" t="str">
        <f>interview_responses[[#This Row],[Lý do - HUMAN-TRU3]]</f>
        <v>Chưa “cảm nhận” được. Không biết tiền đi đâu, về đâu, làm gì. Vẫn thấy được nguồn thu được sử dụng nhưng vấn đề là chưa rõ ràng, chưa thấy hiệu quả, minh bạch.</v>
      </c>
      <c r="BO6">
        <f>AVERAGE(
  INDEX(step2_raw_simulation!AT:AT, (ROW(AX5)-1)*5 + 2)
  :
  INDEX(step2_raw_simulation!AT:AT, (ROW(AX5)-1)*5 + 6)
)</f>
        <v>7.8</v>
      </c>
      <c r="BP6" t="str">
        <f t="shared" si="21"/>
        <v>Neutral</v>
      </c>
      <c r="BQ6">
        <f>interview_responses[[#This Row],[Tôi thấy Nhà nước đã giải thích rõ ràng, minh bạch về lý do và mục tiêu của việc sửa đổi thuế lần này. - HUMAN-TRU4]]</f>
        <v>8</v>
      </c>
      <c r="BR6" t="str">
        <f t="shared" si="22"/>
        <v>Support</v>
      </c>
      <c r="BS6">
        <f t="shared" si="23"/>
        <v>0.20000000000000018</v>
      </c>
      <c r="BT6" t="str" cm="1">
        <f t="array" ref="BT6">INDEX(step2_raw_simulation[AI_TRU4_Reason], (ROW(BT5)-1)*5 + 1)</f>
        <v>Nhận thức về mục tiêu của chính sách mới đang dần cải thiện thông qua các truyền thông, nhưng vẫn còn nhiều người đa nghi về việc thực thi.</v>
      </c>
      <c r="BU6" t="str">
        <f>interview_responses[[#This Row],[Lý do - HUMAN-TRU4]]</f>
        <v>Đọc nhiều tin bài, hội thảo, truyền thông tốt, giải thích dễ hiểu.</v>
      </c>
      <c r="BV6">
        <f>AVERAGE(
  INDEX(step2_raw_simulation!AY:AY, (ROW(BE5)-1)*5 + 2)
  :
  INDEX(step2_raw_simulation!AY:AY, (ROW(BE5)-1)*5 + 6)
)</f>
        <v>8.6</v>
      </c>
      <c r="BW6" t="str">
        <f t="shared" si="24"/>
        <v>Support</v>
      </c>
      <c r="BX6">
        <f>interview_responses[[#This Row],[Sau khi xem xét các quyền lợi và nghĩa vụ, bạn có ủng hộ và tuân thủ chính sách mới hiện nay? - HUMAN-OUT1]]</f>
        <v>8</v>
      </c>
      <c r="BY6" t="str">
        <f t="shared" si="25"/>
        <v>Support</v>
      </c>
      <c r="BZ6">
        <f t="shared" si="26"/>
        <v>0.59999999999999964</v>
      </c>
      <c r="CA6" t="str" cm="1">
        <f t="array" ref="CA6">INDEX(step2_raw_simulation[AI_OUT1_Reason], (ROW(CA5)-1)*5 + 1)</f>
        <v>Tổng thể, tôi thấy mức thuế mới hợp lý và sẽ tuân thủ vì lợi ích tài chính rõ ràng, mặc dù có lo ngại về việc quản lý nguồn thu từ các khoản thuế.</v>
      </c>
      <c r="CB6" t="str">
        <f>interview_responses[[#This Row],[Lý do - HUMAN-OUT1]]</f>
        <v xml:space="preserve">Buộc phải tuân thủ nhưng kỳ vọng có chính sách bao trùm hơn. Chính sách mới có những nỗ lực điều chỉnh tích cực hơn nhưng vẫn chưa hướng tới được những người có thu nhập đáng lẽ chịu thuế phải tự động khai báo thay vì phải đi thanh tra, xử phạt. Phải có cơ chế thưởng phạt. Hiện tại chỉ dừng lại ở phạt, chưa có chính sách khuyến khích. </v>
      </c>
    </row>
    <row r="7" spans="1:80" x14ac:dyDescent="0.45">
      <c r="A7" cm="1">
        <f t="array" ref="A7">INDEX(step2_raw_simulation[Persona_ID], (ROW(A6)-1)*5 + 1)</f>
        <v>6</v>
      </c>
      <c r="B7" cm="1">
        <f t="array" ref="B7">INDEX(step2_raw_simulation[Run_ID], (ROW(B6)-1)*5 + 1)</f>
        <v>1</v>
      </c>
      <c r="C7" cm="1">
        <f t="array" ref="C7">INDEX(step2_raw_simulation[Used_Seed], (ROW(C6)-1)*5 + 1)</f>
        <v>543</v>
      </c>
      <c r="D7" t="str" cm="1">
        <f t="array" ref="D7">INDEX(step2_raw_simulation[Gender], (ROW(D6)-1)*5 + 1)</f>
        <v>Nam</v>
      </c>
      <c r="E7" t="str">
        <f>interview_responses[[#This Row],[Giới tính của bạn:]]</f>
        <v>Nam</v>
      </c>
      <c r="F7" t="str" cm="1">
        <f t="array" ref="F7">INDEX(step2_raw_simulation[Age], (ROW(F6)-1)*5 + 1)</f>
        <v>40 - 49</v>
      </c>
      <c r="G7" t="str">
        <f>interview_responses[[#This Row],[Độ tuổi của bạn:]]</f>
        <v>40 - 49</v>
      </c>
      <c r="H7" t="str" cm="1">
        <f t="array" ref="H7">INDEX(step2_raw_simulation[Region], (ROW(H6)-1)*5 + 1)</f>
        <v>Thành thị</v>
      </c>
      <c r="I7" t="str">
        <f>interview_responses[[#This Row],[Khu vực bạn đang sinh sống:]]</f>
        <v>Thành thị</v>
      </c>
      <c r="J7" t="str" cm="1">
        <f t="array" ref="J7">INDEX(step2_raw_simulation[Education], (ROW(J6)-1)*5 + 1)</f>
        <v>Sau Đại học</v>
      </c>
      <c r="K7" t="str">
        <f>interview_responses[[#This Row],[Trình độ học vấn cao nhất:]]</f>
        <v>Sau Đại học</v>
      </c>
      <c r="L7" t="str" cm="1">
        <f t="array" ref="L7">INDEX(step2_raw_simulation[Employment], (ROW(L6)-1)*5 + 1)</f>
        <v>Phi chính thức</v>
      </c>
      <c r="M7" t="str">
        <f>interview_responses[[#This Row],[Tình trạng việc làm chính:]]</f>
        <v>Khu vực phi chính thức (Lao động tự do, không có HĐLĐ)</v>
      </c>
      <c r="N7" cm="1">
        <f t="array" ref="N7">INDEX(step2_raw_simulation[Income_Mil], (ROW(N6)-1)*5 + 1)</f>
        <v>40</v>
      </c>
      <c r="O7" t="str">
        <f>interview_responses[[#This Row],[Thu nhập bình quân tháng theo Hợp đồng lao động của bạn là bao nhiêu? (Vui lòng điền tổng thu nhập trước khi khấu trừ các loại Bảo hiểm (BHXH, BHYT, BHTN) và Thuế TNCN)]]</f>
        <v>Từ 32 - 48 triệu VNĐ</v>
      </c>
      <c r="P7" cm="1">
        <f t="array" ref="P7">INDEX(step2_raw_simulation[Dependents], (ROW(P6)-1)*5 + 1)</f>
        <v>3</v>
      </c>
      <c r="Q7" t="str">
        <f>interview_responses[[#This Row],[Số người phụ thuộc (con nhỏ, cha mẹ già...) đủ điều kiện giảm trừ gia cảnh:]]</f>
        <v>3 người</v>
      </c>
      <c r="R7">
        <f>AVERAGE(
  INDEX(step2_raw_simulation!K:K, (ROW(A6)-1)*5 + 2)
  :
  INDEX(step2_raw_simulation!K:K, (ROW(A6)-1)*5 + 6)
)</f>
        <v>4.5999999999999996</v>
      </c>
      <c r="S7" t="str">
        <f t="shared" si="0"/>
        <v>Oppose</v>
      </c>
      <c r="T7">
        <f>interview_responses[[#This Row],[Tôi tin rằng với các quy định quản lý thuế hiện nay, hành vi gian lận hoặc trốn thuế sẽ dễ dàng bị phát hiện và xử lý nghiêm. - HUMAN-ENF1]]</f>
        <v>6</v>
      </c>
      <c r="U7" t="str">
        <f t="shared" si="1"/>
        <v>Neutral</v>
      </c>
      <c r="V7">
        <f t="shared" si="2"/>
        <v>1.4000000000000004</v>
      </c>
      <c r="W7" t="str" cm="1">
        <f t="array" ref="W7">INDEX(step2_raw_simulation[AI_ENF1_Reason], (ROW(W6)-1)*5 + 1)</f>
        <v>Tôi vẫn lo ngại về khả năng phát hiện hành vi trốn thuế do sự phức tạp và nhũng nhiễu trong việc thực thi. Mặc dù có công nghệ hỗ trợ, nhưng quyền lợi nhóm vẫn có thể gây ra nhiều vấn đề.</v>
      </c>
      <c r="X7" t="str">
        <f>interview_responses[[#This Row],[Lý do - HUMAN-ENF1]]</f>
        <v>Bậc thuế và mức thuế này vẫn là quá cao, làm giảm động lực làm việc và tăng khả năng gian lận. Sự thay đổi không nhiều so với trước đây với những người có thu nhập cao.</v>
      </c>
      <c r="Y7">
        <f>AVERAGE(
  INDEX(step2_raw_simulation!P:P, (ROW(H6)-1)*5 + 2)
  :
  INDEX(step2_raw_simulation!P:P, (ROW(H6)-1)*5 + 6)
)</f>
        <v>4.8</v>
      </c>
      <c r="Z7" t="str">
        <f t="shared" si="3"/>
        <v>Oppose</v>
      </c>
      <c r="AA7">
        <f>interview_responses[[#This Row],[Tôi tin rằng Nhà nước, cơ quan thuế có đủ khả năng và công nghệ để phát hiện, xử lý nghiêm các hành vi trốn thuế. - HUMAN-ENF2]]</f>
        <v>7</v>
      </c>
      <c r="AB7" t="str">
        <f t="shared" si="4"/>
        <v>Neutral</v>
      </c>
      <c r="AC7">
        <f t="shared" si="5"/>
        <v>2.2000000000000002</v>
      </c>
      <c r="AD7" t="str" cm="1">
        <f t="array" ref="AD7">INDEX(step2_raw_simulation[AI_ENF2_Reason], (ROW(AD6)-1)*5 + 1)</f>
        <v>Cơ quan thuế cần tăng cường hơn nữa để giảm thiểu hành vi trốn thuế và gian lận. Tuy nhiên, việc cải thiện hệ thống quản lý thuế là hướng đi đúng.</v>
      </c>
      <c r="AE7" t="str">
        <f>interview_responses[[#This Row],[Lý do - HUMAN-ENF2]]</f>
        <v xml:space="preserve">Nếu áp dụng công nghệ thì việc thực thi sẽ dễ dàng, không khó khăn. Tuy nhiên, trong quá trình thực thi, bằng nhiều cách thức, đối tượng có thể thoát được thuế, đặc biệt thông qua lạm dụng quyền và lợi ích nhóm, trong đó có lao động ở các cơ quan nhà nước có khả năng tự ra luật để mình được đặc quyền.  </v>
      </c>
      <c r="AF7">
        <f>AVERAGE(
  INDEX(step2_raw_simulation!U:U, (ROW(O6)-1)*5 + 2)
  :
  INDEX(step2_raw_simulation!U:U, (ROW(O6)-1)*5 + 6)
)</f>
        <v>6.6</v>
      </c>
      <c r="AG7" t="str">
        <f t="shared" si="6"/>
        <v>Neutral</v>
      </c>
      <c r="AH7">
        <f>interview_responses[[#This Row],[Các thủ tục khai báo thuế VÀ/HOẶC quy trình làm việc với cơ quan thuế đơn giản, tiện lợi, nhanh chóng hơn so với trước đây. - HUMAN-FAC1]]</f>
        <v>5</v>
      </c>
      <c r="AI7" t="str">
        <f t="shared" si="7"/>
        <v>Neutral</v>
      </c>
      <c r="AJ7">
        <f t="shared" si="8"/>
        <v>1.5999999999999996</v>
      </c>
      <c r="AK7" t="str" cm="1">
        <f t="array" ref="AK7">INDEX(step2_raw_simulation[AI_FAC1_Reason], (ROW(AK6)-1)*5 + 1)</f>
        <v>Quy trình khai báo thuế trở nên đơn giản hơn, nhưng vẫn cần thêm thời gian để người dân quen với các thay đổi mới.</v>
      </c>
      <c r="AL7" t="str">
        <f>interview_responses[[#This Row],[Lý do - HUMAN-FAC1]]</f>
        <v>Tôi thấy cơ quan thuế Quận 7 thật tệ. Ngoài ra, đang trong quá trình chuyển đổi, sáp nhập nên khâu thực thi, hỗ trợ người dân gặp nhiều khó khăn. Và còn có nhiều vấn đề tiêu cực, nhũng nhiễu, gây khó khăn cho người dân. Tuy nhiên, đây là trải nghiệm cá nhân ở một cơ quan, chưa thể đánh giá toàn bộ hệ thống nên nếu chấm điểm quá thấp thì sẽ không công bằng. Vì thế cho điểm trung bình.</v>
      </c>
      <c r="AM7">
        <f>AVERAGE(
  INDEX(step2_raw_simulation!Z:Z, (ROW(V6)-1)*5 + 2)
  :
  INDEX(step2_raw_simulation!Z:Z, (ROW(V6)-1)*5 + 6)
)</f>
        <v>7.8</v>
      </c>
      <c r="AN7" t="str">
        <f t="shared" si="9"/>
        <v>Neutral</v>
      </c>
      <c r="AO7">
        <f>interview_responses[[#This Row],[So với trước đây, tôi thấy cách tính thuế và các bậc thuế trong phương án mới đơn giản, dễ hiểu và dễ thực hiện hơn. - HUMAN-FAC2]]</f>
        <v>8</v>
      </c>
      <c r="AP7" t="str">
        <f t="shared" si="10"/>
        <v>Support</v>
      </c>
      <c r="AQ7">
        <f t="shared" si="11"/>
        <v>0.20000000000000018</v>
      </c>
      <c r="AR7" t="str" cm="1">
        <f t="array" ref="AR7">INDEX(step2_raw_simulation[AI_FAC2_Reason], (ROW(AR6)-1)*5 + 1)</f>
        <v>Bậc thuế ít hơn và giảm trừ gia cảnh cao hơn giúp việc tính toán thuế dễ dàng hơn, phù hợp với trình độ hiểu biết của tôi.</v>
      </c>
      <c r="AS7" t="str">
        <f>interview_responses[[#This Row],[Lý do - HUMAN-FAC2]]</f>
        <v>Đồng ý khi có sự thay đổi tốt hơn.</v>
      </c>
      <c r="AT7">
        <f>AVERAGE(
  INDEX(step2_raw_simulation!AE:AE, (ROW(AC6)-1)*5 + 2)
  :
  INDEX(step2_raw_simulation!AE:AE, (ROW(AC6)-1)*5 + 6)
)</f>
        <v>5.2</v>
      </c>
      <c r="AU7" t="str">
        <f t="shared" si="12"/>
        <v>Neutral</v>
      </c>
      <c r="AV7">
        <f>interview_responses[[#This Row],[Tôi tin rằng Nhà nước, cơ quan thuế sẽ thực thi chính sách mới một cách khách quan, công tâm và đối xử bình đẳng với mọi người nộp thuế.  - HUMAN-TRU1]]</f>
        <v>6</v>
      </c>
      <c r="AW7" t="str">
        <f t="shared" si="13"/>
        <v>Neutral</v>
      </c>
      <c r="AX7">
        <f t="shared" si="14"/>
        <v>0.79999999999999982</v>
      </c>
      <c r="AY7" t="str" cm="1">
        <f t="array" ref="AY7">INDEX(step2_raw_simulation[AI_TRU1_Reason], (ROW(AY6)-1)*5 + 1)</f>
        <v>Tôi hy vọng rằng Nhà nước sẽ thực thi chính sách một cách công bằng, nhưng vẫn lo ngại về sự tham nhũng và lợi ích nhóm.</v>
      </c>
      <c r="AZ7" t="str">
        <f>interview_responses[[#This Row],[Lý do - HUMAN-TRU1]]</f>
        <v>Cái này là hy vọng thôi chứ trong giai đoạn nhiều chuyển đổi này thì tôi lo là sẽ nhiều khó khăn và phúc tạp ngoài mong đợi. Vẫn phải chờ đợi thêm.</v>
      </c>
      <c r="BA7">
        <f>AVERAGE(
  INDEX(step2_raw_simulation!AJ:AJ, (ROW(AJ6)-1)*5 + 2)
  :
  INDEX(step2_raw_simulation!AJ:AJ, (ROW(AJ6)-1)*5 + 6)
)</f>
        <v>5.6</v>
      </c>
      <c r="BB7" t="str">
        <f t="shared" si="15"/>
        <v>Neutral</v>
      </c>
      <c r="BC7">
        <f>interview_responses[[#This Row],[Tôi thấy mức thuế tôi phải đóng theo phương án mới là công bằng (người thu nhập như tôi đóng mức này là hợp lý). - HUMAN-TRU2]]</f>
        <v>3</v>
      </c>
      <c r="BD7" t="str">
        <f t="shared" si="16"/>
        <v>Oppose</v>
      </c>
      <c r="BE7">
        <f t="shared" si="17"/>
        <v>2.5999999999999996</v>
      </c>
      <c r="BF7" t="str" cm="1">
        <f t="array" ref="BF7">INDEX(step2_raw_simulation[AI_TRU2_Reason], (ROW(BF6)-1)*5 + 1)</f>
        <v>Mức thuế mới có thể hợp lý hơn so với trước đây, nhưng tôi vẫn lo ngại rằng nó chưa phản ánh đúng thực tế chi phí sống của người dân ở thành thị.</v>
      </c>
      <c r="BG7" t="str">
        <f>interview_responses[[#This Row],[Lý do - HUMAN-TRU2]]</f>
        <v>Mức và biểu thuế hiện vẫn quá cao, làm giảm động lực làm việc, đặc biệt của tầng lớp trung lưu, không phản ánh đúng với thực tế, mức sống của người dân. Ngoài ra, không phản ánh đúng theo từng vùng. Người dân ở các thành phố lớn có chi phí sống cao hơn nhưng vẫn phải đóng thuế giống với người dân ở các vùng có chi phí sống thấp hơn.</v>
      </c>
      <c r="BH7">
        <f>AVERAGE(
  INDEX(step2_raw_simulation!AO:AO, (ROW(AQ6)-1)*5 + 2)
  :
  INDEX(step2_raw_simulation!AO:AO, (ROW(AQ6)-1)*5 + 6)
)</f>
        <v>5.2</v>
      </c>
      <c r="BI7" t="str">
        <f t="shared" si="18"/>
        <v>Neutral</v>
      </c>
      <c r="BJ7">
        <f>interview_responses[[#This Row],[Tôi tin tưởng số tiền thuế tôi đóng sẽ được Nhà nước sử dụng hiệu quả để cải thiện dịch vụ công (y tế, đường xá...). - HUMAN-TRU3]]</f>
        <v>5</v>
      </c>
      <c r="BK7" t="str">
        <f t="shared" si="19"/>
        <v>Neutral</v>
      </c>
      <c r="BL7">
        <f t="shared" si="20"/>
        <v>0.20000000000000018</v>
      </c>
      <c r="BM7" t="str" cm="1">
        <f t="array" ref="BM7">INDEX(step2_raw_simulation[AI_TRU3_Reason], (ROW(BM6)-1)*5 + 1)</f>
        <v>Tôi tin tưởng rằng số tiền thuế đóng sẽ được sử dụng hiệu quả cho các dịch vụ công, nhưng có thể chưa tận dụng tối đa do tham nhũng và lãng phí tài chính.</v>
      </c>
      <c r="BN7" t="str">
        <f>interview_responses[[#This Row],[Lý do - HUMAN-TRU3]]</f>
        <v xml:space="preserve">Tôi lo ngại về hiệu quả đầu tư công của Việt Nam từ xưa đến nay. Có những trải nghiệm không tốt, tiêu cực về các dự án, tài sản công bị thất thoát, lãng phí, tham nhũng. Người dân cũng không được tham gia phản biện vào các dự án lớn và không biết đồng thuế có sử dụng hiệu quả, đúng mục đích hay không. Tuy nhiên, so với các nước kém phát triển, nghèo đói khác thì vẫn có tín hiệu tích cực, tiền thuế vẫn được sử dụng chứ không quá tồi tệ. Sống thì buộc phải hy vọng thôi. </v>
      </c>
      <c r="BO7">
        <f>AVERAGE(
  INDEX(step2_raw_simulation!AT:AT, (ROW(AX6)-1)*5 + 2)
  :
  INDEX(step2_raw_simulation!AT:AT, (ROW(AX6)-1)*5 + 6)
)</f>
        <v>5.6</v>
      </c>
      <c r="BP7" t="str">
        <f t="shared" si="21"/>
        <v>Neutral</v>
      </c>
      <c r="BQ7">
        <f>interview_responses[[#This Row],[Tôi thấy Nhà nước đã giải thích rõ ràng, minh bạch về lý do và mục tiêu của việc sửa đổi thuế lần này. - HUMAN-TRU4]]</f>
        <v>5</v>
      </c>
      <c r="BR7" t="str">
        <f t="shared" si="22"/>
        <v>Neutral</v>
      </c>
      <c r="BS7">
        <f t="shared" si="23"/>
        <v>0.59999999999999964</v>
      </c>
      <c r="BT7" t="str" cm="1">
        <f t="array" ref="BT7">INDEX(step2_raw_simulation[AI_TRU4_Reason], (ROW(BT6)-1)*5 + 1)</f>
        <v>Các giải thích về mục tiêu cải cách thuế còn hạn chế, nên tôi không cảm thấy rằng mình đã hiểu đầy đủ.</v>
      </c>
      <c r="BU7" t="str">
        <f>interview_responses[[#This Row],[Lý do - HUMAN-TRU4]]</f>
        <v xml:space="preserve">Có ai hỏi tôi về cải cách thuế này đâu. Vấn đề truyền thông còn hạn chế nên cho điểm trung bình. </v>
      </c>
      <c r="BV7">
        <f>AVERAGE(
  INDEX(step2_raw_simulation!AY:AY, (ROW(BE6)-1)*5 + 2)
  :
  INDEX(step2_raw_simulation!AY:AY, (ROW(BE6)-1)*5 + 6)
)</f>
        <v>6.4</v>
      </c>
      <c r="BW7" t="str">
        <f t="shared" si="24"/>
        <v>Neutral</v>
      </c>
      <c r="BX7">
        <f>interview_responses[[#This Row],[Sau khi xem xét các quyền lợi và nghĩa vụ, bạn có ủng hộ và tuân thủ chính sách mới hiện nay? - HUMAN-OUT1]]</f>
        <v>6</v>
      </c>
      <c r="BY7" t="str">
        <f t="shared" si="25"/>
        <v>Neutral</v>
      </c>
      <c r="BZ7">
        <f t="shared" si="26"/>
        <v>0.40000000000000036</v>
      </c>
      <c r="CA7" t="str" cm="1">
        <f t="array" ref="CA7">INDEX(step2_raw_simulation[AI_OUT1_Reason], (ROW(CA6)-1)*5 + 1)</f>
        <v>Sau khi xem xét tất cả các yếu tố, tôi sẽ tuân thủ chính sách mới, nhưng hy vọng rằng nó sẽ mang lại những thay đổi tích cực cho người dân và nền kinh tế.</v>
      </c>
      <c r="CB7" t="str">
        <f>interview_responses[[#This Row],[Lý do - HUMAN-OUT1]]</f>
        <v>Tôi không ủng hộ lắm nhưng sẽ tuân thủ. Trừ 2 điểm thiết kế và trừ 2 điểm thực thi.</v>
      </c>
    </row>
    <row r="8" spans="1:80" x14ac:dyDescent="0.45">
      <c r="A8" cm="1">
        <f t="array" ref="A8">INDEX(step2_raw_simulation[Persona_ID], (ROW(A7)-1)*5 + 1)</f>
        <v>7</v>
      </c>
      <c r="B8" cm="1">
        <f t="array" ref="B8">INDEX(step2_raw_simulation[Run_ID], (ROW(B7)-1)*5 + 1)</f>
        <v>1</v>
      </c>
      <c r="C8" cm="1">
        <f t="array" ref="C8">INDEX(step2_raw_simulation[Used_Seed], (ROW(C7)-1)*5 + 1)</f>
        <v>643</v>
      </c>
      <c r="D8" t="str" cm="1">
        <f t="array" ref="D8">INDEX(step2_raw_simulation[Gender], (ROW(D7)-1)*5 + 1)</f>
        <v>Nữ</v>
      </c>
      <c r="E8" t="str">
        <f>interview_responses[[#This Row],[Giới tính của bạn:]]</f>
        <v>Nữ</v>
      </c>
      <c r="F8" t="str" cm="1">
        <f t="array" ref="F8">INDEX(step2_raw_simulation[Age], (ROW(F7)-1)*5 + 1)</f>
        <v>40 - 49</v>
      </c>
      <c r="G8" t="str">
        <f>interview_responses[[#This Row],[Độ tuổi của bạn:]]</f>
        <v>40 - 49</v>
      </c>
      <c r="H8" t="str" cm="1">
        <f t="array" ref="H8">INDEX(step2_raw_simulation[Region], (ROW(H7)-1)*5 + 1)</f>
        <v>Thành thị</v>
      </c>
      <c r="I8" t="str">
        <f>interview_responses[[#This Row],[Khu vực bạn đang sinh sống:]]</f>
        <v>Thành thị</v>
      </c>
      <c r="J8" t="str" cm="1">
        <f t="array" ref="J8">INDEX(step2_raw_simulation[Education], (ROW(J7)-1)*5 + 1)</f>
        <v>Sau Đại học</v>
      </c>
      <c r="K8" t="str">
        <f>interview_responses[[#This Row],[Trình độ học vấn cao nhất:]]</f>
        <v>Sau Đại học</v>
      </c>
      <c r="L8" t="str" cm="1">
        <f t="array" ref="L8">INDEX(step2_raw_simulation[Employment], (ROW(L7)-1)*5 + 1)</f>
        <v>Chính thức</v>
      </c>
      <c r="M8" t="str">
        <f>interview_responses[[#This Row],[Tình trạng việc làm chính:]]</f>
        <v>Khu vực chính thức (Có Hợp đồng lao động, đóng BHXH)</v>
      </c>
      <c r="N8" cm="1">
        <f t="array" ref="N8">INDEX(step2_raw_simulation[Income_Mil], (ROW(N7)-1)*5 + 1)</f>
        <v>40</v>
      </c>
      <c r="O8" t="str">
        <f>interview_responses[[#This Row],[Thu nhập bình quân tháng theo Hợp đồng lao động của bạn là bao nhiêu? (Vui lòng điền tổng thu nhập trước khi khấu trừ các loại Bảo hiểm (BHXH, BHYT, BHTN) và Thuế TNCN)]]</f>
        <v>Từ 32 - 48 triệu VNĐ</v>
      </c>
      <c r="P8" cm="1">
        <f t="array" ref="P8">INDEX(step2_raw_simulation[Dependents], (ROW(P7)-1)*5 + 1)</f>
        <v>2</v>
      </c>
      <c r="Q8" t="str">
        <f>interview_responses[[#This Row],[Số người phụ thuộc (con nhỏ, cha mẹ già...) đủ điều kiện giảm trừ gia cảnh:]]</f>
        <v>2 người</v>
      </c>
      <c r="R8">
        <f>AVERAGE(
  INDEX(step2_raw_simulation!K:K, (ROW(A7)-1)*5 + 2)
  :
  INDEX(step2_raw_simulation!K:K, (ROW(A7)-1)*5 + 6)
)</f>
        <v>6.4</v>
      </c>
      <c r="S8" t="str">
        <f t="shared" si="0"/>
        <v>Neutral</v>
      </c>
      <c r="T8">
        <f>interview_responses[[#This Row],[Tôi tin rằng với các quy định quản lý thuế hiện nay, hành vi gian lận hoặc trốn thuế sẽ dễ dàng bị phát hiện và xử lý nghiêm. - HUMAN-ENF1]]</f>
        <v>6</v>
      </c>
      <c r="U8" t="str">
        <f t="shared" si="1"/>
        <v>Neutral</v>
      </c>
      <c r="V8">
        <f t="shared" si="2"/>
        <v>0.40000000000000036</v>
      </c>
      <c r="W8" t="str" cm="1">
        <f t="array" ref="W8">INDEX(step2_raw_simulation[AI_ENF1_Reason], (ROW(W7)-1)*5 + 1)</f>
        <v>Công nghệ ngày càng phát triển, nhưng việc thực thi thuế vẫn phụ thuộc vào khả năng kiểm soát thu nhập của cá nhân và tổ chức. Việc tăng mức giảm trừ gia cảnh có thể làm giảm cơ hội phát hiện trốn thuế.</v>
      </c>
      <c r="X8" t="str">
        <f>interview_responses[[#This Row],[Lý do - HUMAN-ENF1]]</f>
        <v>Cần thêm thu nhập của tổ chức/cá nhân chịu thuế phải rõ ràng, minh bạch. Để phát hiện được hành vi gian lận, trốn thuế thì phải đi từ đầu vào là đo kiểm được thu nhập của tổ chức/cá nhân - nó giải thích cho niềm tin không cao vì lý do này.</v>
      </c>
      <c r="Y8">
        <f>AVERAGE(
  INDEX(step2_raw_simulation!P:P, (ROW(H7)-1)*5 + 2)
  :
  INDEX(step2_raw_simulation!P:P, (ROW(H7)-1)*5 + 6)
)</f>
        <v>6.2</v>
      </c>
      <c r="Z8" t="str">
        <f t="shared" si="3"/>
        <v>Neutral</v>
      </c>
      <c r="AA8">
        <f>interview_responses[[#This Row],[Tôi tin rằng Nhà nước, cơ quan thuế có đủ khả năng và công nghệ để phát hiện, xử lý nghiêm các hành vi trốn thuế. - HUMAN-ENF2]]</f>
        <v>7</v>
      </c>
      <c r="AB8" t="str">
        <f t="shared" si="4"/>
        <v>Neutral</v>
      </c>
      <c r="AC8">
        <f t="shared" si="5"/>
        <v>0.79999999999999982</v>
      </c>
      <c r="AD8" t="str" cm="1">
        <f t="array" ref="AD8">INDEX(step2_raw_simulation[AI_ENF2_Reason], (ROW(AD7)-1)*5 + 1)</f>
        <v>Việc cải cách thuế có thể giúp cải thiện khả năng phát hiện trốn thuế, nhưng vẫn cần thời gian để thực thi và giám sát hiệu quả.</v>
      </c>
      <c r="AE8" t="str">
        <f>interview_responses[[#This Row],[Lý do - HUMAN-ENF2]]</f>
        <v>Tôi chỉ nhận định chủ quan trên cơ sở nhà nước đã thu được thuế gia tăng trong thời gian gần đây</v>
      </c>
      <c r="AF8">
        <f>AVERAGE(
  INDEX(step2_raw_simulation!U:U, (ROW(O7)-1)*5 + 2)
  :
  INDEX(step2_raw_simulation!U:U, (ROW(O7)-1)*5 + 6)
)</f>
        <v>8.4</v>
      </c>
      <c r="AG8" t="str">
        <f t="shared" si="6"/>
        <v>Support</v>
      </c>
      <c r="AH8">
        <f>interview_responses[[#This Row],[Các thủ tục khai báo thuế VÀ/HOẶC quy trình làm việc với cơ quan thuế đơn giản, tiện lợi, nhanh chóng hơn so với trước đây. - HUMAN-FAC1]]</f>
        <v>7</v>
      </c>
      <c r="AI8" t="str">
        <f t="shared" si="7"/>
        <v>Neutral</v>
      </c>
      <c r="AJ8">
        <f t="shared" si="8"/>
        <v>1.4000000000000004</v>
      </c>
      <c r="AK8" t="str" cm="1">
        <f t="array" ref="AK8">INDEX(step2_raw_simulation[AI_FAC1_Reason], (ROW(AK7)-1)*5 + 1)</f>
        <v>Thủ tục đơn giản hơn đã làm cho việc khai báo thuế dễ dàng hơn. Điều này cũng giúp giảm áp lực cho người nộp thuế, đặc biệt là đối với những người không chuyên về lĩnh vực này.</v>
      </c>
      <c r="AL8" t="str">
        <f>interview_responses[[#This Row],[Lý do - HUMAN-FAC1]]</f>
        <v xml:space="preserve">Thủ tục hoàn thuế đơn giản hơn </v>
      </c>
      <c r="AM8">
        <f>AVERAGE(
  INDEX(step2_raw_simulation!Z:Z, (ROW(V7)-1)*5 + 2)
  :
  INDEX(step2_raw_simulation!Z:Z, (ROW(V7)-1)*5 + 6)
)</f>
        <v>8.8000000000000007</v>
      </c>
      <c r="AN8" t="str">
        <f t="shared" si="9"/>
        <v>Support</v>
      </c>
      <c r="AO8">
        <f>interview_responses[[#This Row],[So với trước đây, tôi thấy cách tính thuế và các bậc thuế trong phương án mới đơn giản, dễ hiểu và dễ thực hiện hơn. - HUMAN-FAC2]]</f>
        <v>7</v>
      </c>
      <c r="AP8" t="str">
        <f t="shared" si="10"/>
        <v>Neutral</v>
      </c>
      <c r="AQ8">
        <f t="shared" si="11"/>
        <v>1.8000000000000007</v>
      </c>
      <c r="AR8" t="str" cm="1">
        <f t="array" ref="AR8">INDEX(step2_raw_simulation[AI_FAC2_Reason], (ROW(AR7)-1)*5 + 1)</f>
        <v>Biểu thuế mới đơn giản hóa quy trình tính thuế và làm rõ các bậc thuế suất, điều này giúp người dân hiểu và thực hiện dễ dàng hơn.</v>
      </c>
      <c r="AS8" t="str">
        <f>interview_responses[[#This Row],[Lý do - HUMAN-FAC2]]</f>
        <v>Đối với cá nhân tôi thi tôi cảm thấy có đơn giản hơn, tuy nhiên với tổ chức khi phải hỗ trợ ưu đãi thuế cho những cá nhân thuộc đối tượng miễn giảm (nhà khoa hoc, nghiên cứu,...) thì vẫn còn sự phức tạp trong kê khai (thông tin này được nghe phản ánh lại từ bộ phận hỗ trợ thuế)</v>
      </c>
      <c r="AT8">
        <f>AVERAGE(
  INDEX(step2_raw_simulation!AE:AE, (ROW(AC7)-1)*5 + 2)
  :
  INDEX(step2_raw_simulation!AE:AE, (ROW(AC7)-1)*5 + 6)
)</f>
        <v>7.2</v>
      </c>
      <c r="AU8" t="str">
        <f t="shared" si="12"/>
        <v>Neutral</v>
      </c>
      <c r="AV8">
        <f>interview_responses[[#This Row],[Tôi tin rằng Nhà nước, cơ quan thuế sẽ thực thi chính sách mới một cách khách quan, công tâm và đối xử bình đẳng với mọi người nộp thuế.  - HUMAN-TRU1]]</f>
        <v>8</v>
      </c>
      <c r="AW8" t="str">
        <f t="shared" si="13"/>
        <v>Support</v>
      </c>
      <c r="AX8">
        <f t="shared" si="14"/>
        <v>0.79999999999999982</v>
      </c>
      <c r="AY8" t="str" cm="1">
        <f t="array" ref="AY8">INDEX(step2_raw_simulation[AI_TRU1_Reason], (ROW(AY7)-1)*5 + 1)</f>
        <v>Nhà nước đã cải cách để đảm bảo công bằng trong việc đánh thuế. Tuy nhiên, mức giảm trừ gia cảnh tăng lên có thể làm giảm sự phức tạp cho người nộp thuế.</v>
      </c>
      <c r="AZ8" t="str">
        <f>interview_responses[[#This Row],[Lý do - HUMAN-TRU1]]</f>
        <v>Niềm tin cá nhân đối với chính sách của nhà nước</v>
      </c>
      <c r="BA8">
        <f>AVERAGE(
  INDEX(step2_raw_simulation!AJ:AJ, (ROW(AJ7)-1)*5 + 2)
  :
  INDEX(step2_raw_simulation!AJ:AJ, (ROW(AJ7)-1)*5 + 6)
)</f>
        <v>8.1999999999999993</v>
      </c>
      <c r="BB8" t="str">
        <f t="shared" si="15"/>
        <v>Support</v>
      </c>
      <c r="BC8">
        <f>interview_responses[[#This Row],[Tôi thấy mức thuế tôi phải đóng theo phương án mới là công bằng (người thu nhập như tôi đóng mức này là hợp lý). - HUMAN-TRU2]]</f>
        <v>5</v>
      </c>
      <c r="BD8" t="str">
        <f t="shared" si="16"/>
        <v>Neutral</v>
      </c>
      <c r="BE8">
        <f t="shared" si="17"/>
        <v>3.1999999999999993</v>
      </c>
      <c r="BF8" t="str" cm="1">
        <f t="array" ref="BF8">INDEX(step2_raw_simulation[AI_TRU2_Reason], (ROW(BF7)-1)*5 + 1)</f>
        <v>Mức thuế mới theo phương án này tôi thấy là hợp lý và công bằng. Nó giảm gánh nặng tài chính cho tôi mà vẫn đảm bảo việc đóng góp của tôi vào ngân sách nhà nước.</v>
      </c>
      <c r="BG8" t="str">
        <f>interview_responses[[#This Row],[Lý do - HUMAN-TRU2]]</f>
        <v>Mức giảm trừ gia cảnh nên được điều chỉnh theo khu vực sinh sống, phù hợp hơn với thực tế.</v>
      </c>
      <c r="BH8">
        <f>AVERAGE(
  INDEX(step2_raw_simulation!AO:AO, (ROW(AQ7)-1)*5 + 2)
  :
  INDEX(step2_raw_simulation!AO:AO, (ROW(AQ7)-1)*5 + 6)
)</f>
        <v>7.6</v>
      </c>
      <c r="BI8" t="str">
        <f t="shared" si="18"/>
        <v>Neutral</v>
      </c>
      <c r="BJ8">
        <f>interview_responses[[#This Row],[Tôi tin tưởng số tiền thuế tôi đóng sẽ được Nhà nước sử dụng hiệu quả để cải thiện dịch vụ công (y tế, đường xá...). - HUMAN-TRU3]]</f>
        <v>5</v>
      </c>
      <c r="BK8" t="str">
        <f t="shared" si="19"/>
        <v>Neutral</v>
      </c>
      <c r="BL8">
        <f t="shared" si="20"/>
        <v>2.5999999999999996</v>
      </c>
      <c r="BM8" t="str" cm="1">
        <f t="array" ref="BM8">INDEX(step2_raw_simulation[AI_TRU3_Reason], (ROW(BM7)-1)*5 + 1)</f>
        <v>Tiết kiệm được nhiều tiền thuế có thể giúp cải thiện chất lượng dịch vụ công, nhưng cần giám sát chặt chẽ để đảm bảo số tiền này được sử dụng hiệu quả.</v>
      </c>
      <c r="BN8" t="str">
        <f>interview_responses[[#This Row],[Lý do - HUMAN-TRU3]]</f>
        <v>Nhà nước cần công khai minh bạch dữ liệu thu thuế và đầu tư công tùy theo thẩm quyền quản lý để người dân được biết và giám sát theo quy định pháp luật. Thường thì chọn trung bình là mức trung tính trong những vấn đề còn băn khoăn</v>
      </c>
      <c r="BO8">
        <f>AVERAGE(
  INDEX(step2_raw_simulation!AT:AT, (ROW(AX7)-1)*5 + 2)
  :
  INDEX(step2_raw_simulation!AT:AT, (ROW(AX7)-1)*5 + 6)
)</f>
        <v>7</v>
      </c>
      <c r="BP8" t="str">
        <f t="shared" si="21"/>
        <v>Neutral</v>
      </c>
      <c r="BQ8">
        <f>interview_responses[[#This Row],[Tôi thấy Nhà nước đã giải thích rõ ràng, minh bạch về lý do và mục tiêu của việc sửa đổi thuế lần này. - HUMAN-TRU4]]</f>
        <v>7</v>
      </c>
      <c r="BR8" t="str">
        <f t="shared" si="22"/>
        <v>Neutral</v>
      </c>
      <c r="BS8">
        <f t="shared" si="23"/>
        <v>0</v>
      </c>
      <c r="BT8" t="str" cm="1">
        <f t="array" ref="BT8">INDEX(step2_raw_simulation[AI_TRU4_Reason], (ROW(BT7)-1)*5 + 1)</f>
        <v>Nhà nước đã giải thích rõ ràng về mục tiêu và lý do của việc cải cách thuế. Tuy nhiên, tôi vẫn mong muốn có thêm thông tin minh bạch hơn về việc sử dụng số tiền thuế.</v>
      </c>
      <c r="BU8" t="str">
        <f>interview_responses[[#This Row],[Lý do - HUMAN-TRU4]]</f>
        <v>Cảm nhận cá nhân. Cảm thấy truyền thông về thuế TNCN trong thời gian qua có tốt hơn.</v>
      </c>
      <c r="BV8">
        <f>AVERAGE(
  INDEX(step2_raw_simulation!AY:AY, (ROW(BE7)-1)*5 + 2)
  :
  INDEX(step2_raw_simulation!AY:AY, (ROW(BE7)-1)*5 + 6)
)</f>
        <v>8.8000000000000007</v>
      </c>
      <c r="BW8" t="str">
        <f t="shared" si="24"/>
        <v>Support</v>
      </c>
      <c r="BX8">
        <f>interview_responses[[#This Row],[Sau khi xem xét các quyền lợi và nghĩa vụ, bạn có ủng hộ và tuân thủ chính sách mới hiện nay? - HUMAN-OUT1]]</f>
        <v>8</v>
      </c>
      <c r="BY8" t="str">
        <f t="shared" si="25"/>
        <v>Support</v>
      </c>
      <c r="BZ8">
        <f t="shared" si="26"/>
        <v>0.80000000000000071</v>
      </c>
      <c r="CA8" t="str" cm="1">
        <f t="array" ref="CA8">INDEX(step2_raw_simulation[AI_OUT1_Reason], (ROW(CA7)-1)*5 + 1)</f>
        <v>Sau khi xem xét tác động tài chính tích cực và sự đơn giản hóa thủ tục, tôi đồng ý ủng hộ chính sách mới. Điều này giúp giảm gánh nặng tài chính cho tôi mà vẫn đảm bảo đóng góp vào ngân sách nhà nước.</v>
      </c>
      <c r="CB8" t="str">
        <f>interview_responses[[#This Row],[Lý do - HUMAN-OUT1]]</f>
        <v>Trách nhiệm công dân nên ủng hộ.</v>
      </c>
    </row>
    <row r="9" spans="1:80" x14ac:dyDescent="0.45">
      <c r="A9" cm="1">
        <f t="array" ref="A9">INDEX(step2_raw_simulation[Persona_ID], (ROW(A8)-1)*5 + 1)</f>
        <v>8</v>
      </c>
      <c r="B9" cm="1">
        <f t="array" ref="B9">INDEX(step2_raw_simulation[Run_ID], (ROW(B8)-1)*5 + 1)</f>
        <v>1</v>
      </c>
      <c r="C9" cm="1">
        <f t="array" ref="C9">INDEX(step2_raw_simulation[Used_Seed], (ROW(C8)-1)*5 + 1)</f>
        <v>743</v>
      </c>
      <c r="D9" t="str" cm="1">
        <f t="array" ref="D9">INDEX(step2_raw_simulation[Gender], (ROW(D8)-1)*5 + 1)</f>
        <v>Nữ</v>
      </c>
      <c r="E9" t="str">
        <f>interview_responses[[#This Row],[Giới tính của bạn:]]</f>
        <v>Nữ</v>
      </c>
      <c r="F9" t="str" cm="1">
        <f t="array" ref="F9">INDEX(step2_raw_simulation[Age], (ROW(F8)-1)*5 + 1)</f>
        <v>30 - 39</v>
      </c>
      <c r="G9" t="str">
        <f>interview_responses[[#This Row],[Độ tuổi của bạn:]]</f>
        <v>30 - 39</v>
      </c>
      <c r="H9" t="str" cm="1">
        <f t="array" ref="H9">INDEX(step2_raw_simulation[Region], (ROW(H8)-1)*5 + 1)</f>
        <v>Thành thị</v>
      </c>
      <c r="I9" t="str">
        <f>interview_responses[[#This Row],[Khu vực bạn đang sinh sống:]]</f>
        <v>Thành thị</v>
      </c>
      <c r="J9" t="str" cm="1">
        <f t="array" ref="J9">INDEX(step2_raw_simulation[Education], (ROW(J8)-1)*5 + 1)</f>
        <v>Sau Đại học</v>
      </c>
      <c r="K9" t="str">
        <f>interview_responses[[#This Row],[Trình độ học vấn cao nhất:]]</f>
        <v>Sau Đại học</v>
      </c>
      <c r="L9" t="str" cm="1">
        <f t="array" ref="L9">INDEX(step2_raw_simulation[Employment], (ROW(L8)-1)*5 + 1)</f>
        <v>Chính thức</v>
      </c>
      <c r="M9" t="str">
        <f>interview_responses[[#This Row],[Tình trạng việc làm chính:]]</f>
        <v>Khu vực chính thức (Có Hợp đồng lao động, đóng BHXH)</v>
      </c>
      <c r="N9" cm="1">
        <f t="array" ref="N9">INDEX(step2_raw_simulation[Income_Mil], (ROW(N8)-1)*5 + 1)</f>
        <v>120</v>
      </c>
      <c r="O9" t="str">
        <f>interview_responses[[#This Row],[Thu nhập bình quân tháng theo Hợp đồng lao động của bạn là bao nhiêu? (Vui lòng điền tổng thu nhập trước khi khấu trừ các loại Bảo hiểm (BHXH, BHYT, BHTN) và Thuế TNCN)]]</f>
        <v>Trên 102 triệu VNĐ</v>
      </c>
      <c r="P9" cm="1">
        <f t="array" ref="P9">INDEX(step2_raw_simulation[Dependents], (ROW(P8)-1)*5 + 1)</f>
        <v>2</v>
      </c>
      <c r="Q9" t="str">
        <f>interview_responses[[#This Row],[Số người phụ thuộc (con nhỏ, cha mẹ già...) đủ điều kiện giảm trừ gia cảnh:]]</f>
        <v>2 người</v>
      </c>
      <c r="R9">
        <f>AVERAGE(
  INDEX(step2_raw_simulation!K:K, (ROW(A8)-1)*5 + 2)
  :
  INDEX(step2_raw_simulation!K:K, (ROW(A8)-1)*5 + 6)
)</f>
        <v>7.4</v>
      </c>
      <c r="S9" t="str">
        <f t="shared" si="0"/>
        <v>Neutral</v>
      </c>
      <c r="T9">
        <f>interview_responses[[#This Row],[Tôi tin rằng với các quy định quản lý thuế hiện nay, hành vi gian lận hoặc trốn thuế sẽ dễ dàng bị phát hiện và xử lý nghiêm. - HUMAN-ENF1]]</f>
        <v>10</v>
      </c>
      <c r="U9" t="str">
        <f t="shared" si="1"/>
        <v>Support</v>
      </c>
      <c r="V9">
        <f t="shared" si="2"/>
        <v>2.5999999999999996</v>
      </c>
      <c r="W9" t="str" cm="1">
        <f t="array" ref="W9">INDEX(step2_raw_simulation[AI_ENF1_Reason], (ROW(W8)-1)*5 + 1)</f>
        <v>Công cụ và phần mềm kiểm soát thuế của cơ quan thuế có thể phát hiện gian lận, nhưng sự thực thi vẫn chưa hoàn hảo.</v>
      </c>
      <c r="X9" t="str">
        <f>interview_responses[[#This Row],[Lý do - HUMAN-ENF1]]</f>
        <v xml:space="preserve">Hoàn toàn đồng ý. Chính phủ tăng cường kiểm soát giao dịch ngân hàng để minh bạch dòng tiền cá nhân và chống rửa tiền. </v>
      </c>
      <c r="Y9">
        <f>AVERAGE(
  INDEX(step2_raw_simulation!P:P, (ROW(H8)-1)*5 + 2)
  :
  INDEX(step2_raw_simulation!P:P, (ROW(H8)-1)*5 + 6)
)</f>
        <v>7.4</v>
      </c>
      <c r="Z9" t="str">
        <f t="shared" si="3"/>
        <v>Neutral</v>
      </c>
      <c r="AA9">
        <f>interview_responses[[#This Row],[Tôi tin rằng Nhà nước, cơ quan thuế có đủ khả năng và công nghệ để phát hiện, xử lý nghiêm các hành vi trốn thuế. - HUMAN-ENF2]]</f>
        <v>8</v>
      </c>
      <c r="AB9" t="str">
        <f t="shared" si="4"/>
        <v>Support</v>
      </c>
      <c r="AC9">
        <f t="shared" si="5"/>
        <v>0.59999999999999964</v>
      </c>
      <c r="AD9" t="str" cm="1">
        <f t="array" ref="AD9">INDEX(step2_raw_simulation[AI_ENF2_Reason], (ROW(AD8)-1)*5 + 1)</f>
        <v>Nhà nước có công nghệ để theo dõi giao dịch tài chính cá nhân, giúp phát hiện trốn thuế hiệu quả hơn trước.</v>
      </c>
      <c r="AE9" t="str">
        <f>interview_responses[[#This Row],[Lý do - HUMAN-ENF2]]</f>
        <v xml:space="preserve">Khi làm việc với cơ quan thuế thì biết rằng cơ quan thuế đang có những công cụ, phần mềm hỗ trợ kiểm tra thuế cũng như truy cập được nhiều nguồn dữ liệu khác nhau. Tuy nhiên, các phần mềm của chính phù hiện nay chưa được tối ưu, một số doanh nghiệp vẫn có cách trốn thuế. </v>
      </c>
      <c r="AF9">
        <f>AVERAGE(
  INDEX(step2_raw_simulation!U:U, (ROW(O8)-1)*5 + 2)
  :
  INDEX(step2_raw_simulation!U:U, (ROW(O8)-1)*5 + 6)
)</f>
        <v>5.4</v>
      </c>
      <c r="AG9" t="str">
        <f t="shared" si="6"/>
        <v>Neutral</v>
      </c>
      <c r="AH9">
        <f>interview_responses[[#This Row],[Các thủ tục khai báo thuế VÀ/HOẶC quy trình làm việc với cơ quan thuế đơn giản, tiện lợi, nhanh chóng hơn so với trước đây. - HUMAN-FAC1]]</f>
        <v>4</v>
      </c>
      <c r="AI9" t="str">
        <f t="shared" si="7"/>
        <v>Oppose</v>
      </c>
      <c r="AJ9">
        <f t="shared" si="8"/>
        <v>1.4000000000000004</v>
      </c>
      <c r="AK9" t="str" cm="1">
        <f t="array" ref="AK9">INDEX(step2_raw_simulation[AI_FAC1_Reason], (ROW(AK8)-1)*5 + 1)</f>
        <v>Thủ tục khai thuế đơn giản hóa nhưng vẫn gặp vấn đề về lỗi phần mềm và khó khăn trong việc làm thủ tục.</v>
      </c>
      <c r="AL9" t="str">
        <f>interview_responses[[#This Row],[Lý do - HUMAN-FAC1]]</f>
        <v>Hiện tại phần mềm khai thuế vẫn chưa được friendly và hay gặp lỗi, trải nghiệm không tốt. Phải thuê người làm giúp. Gặp vấn đề thì không biết hỏi ai.</v>
      </c>
      <c r="AM9">
        <f>AVERAGE(
  INDEX(step2_raw_simulation!Z:Z, (ROW(V8)-1)*5 + 2)
  :
  INDEX(step2_raw_simulation!Z:Z, (ROW(V8)-1)*5 + 6)
)</f>
        <v>7.2</v>
      </c>
      <c r="AN9" t="str">
        <f t="shared" si="9"/>
        <v>Neutral</v>
      </c>
      <c r="AO9">
        <f>interview_responses[[#This Row],[So với trước đây, tôi thấy cách tính thuế và các bậc thuế trong phương án mới đơn giản, dễ hiểu và dễ thực hiện hơn. - HUMAN-FAC2]]</f>
        <v>7</v>
      </c>
      <c r="AP9" t="str">
        <f t="shared" si="10"/>
        <v>Neutral</v>
      </c>
      <c r="AQ9">
        <f t="shared" si="11"/>
        <v>0.20000000000000018</v>
      </c>
      <c r="AR9" t="str" cm="1">
        <f t="array" ref="AR9">INDEX(step2_raw_simulation[AI_FAC2_Reason], (ROW(AR8)-1)*5 + 1)</f>
        <v>Biểu thuế mới ít bậc hơn, dễ hiểu hơn so với trước đây, giúp người dân dễ thực hiện hơn.</v>
      </c>
      <c r="AS9" t="str">
        <f>interview_responses[[#This Row],[Lý do - HUMAN-FAC2]]</f>
        <v>5 bậc sẽ ít hơn 7 bậc tuy nhiên mức giảm trừ gia cảnh chưa hợp lý, chưa sát với thực tế. Chưa phản ánh những vấn đề như nuôi con, vay tiền mua nhà, vay ngân hàng.</v>
      </c>
      <c r="AT9">
        <f>AVERAGE(
  INDEX(step2_raw_simulation!AE:AE, (ROW(AC8)-1)*5 + 2)
  :
  INDEX(step2_raw_simulation!AE:AE, (ROW(AC8)-1)*5 + 6)
)</f>
        <v>4.5999999999999996</v>
      </c>
      <c r="AU9" t="str">
        <f t="shared" si="12"/>
        <v>Oppose</v>
      </c>
      <c r="AV9">
        <f>interview_responses[[#This Row],[Tôi tin rằng Nhà nước, cơ quan thuế sẽ thực thi chính sách mới một cách khách quan, công tâm và đối xử bình đẳng với mọi người nộp thuế.  - HUMAN-TRU1]]</f>
        <v>5</v>
      </c>
      <c r="AW9" t="str">
        <f t="shared" si="13"/>
        <v>Neutral</v>
      </c>
      <c r="AX9">
        <f t="shared" si="14"/>
        <v>0.40000000000000036</v>
      </c>
      <c r="AY9" t="str" cm="1">
        <f t="array" ref="AY9">INDEX(step2_raw_simulation[AI_TRU1_Reason], (ROW(AY8)-1)*5 + 1)</f>
        <v>Tôi tin rằng cơ quan thuế sẽ cố gắng thực thi công bằng, nhưng chưa chắc chắn do mức giảm trừ gia cảnh chưa phản ánh đầy đủ thực tế.</v>
      </c>
      <c r="AZ9" t="str">
        <f>interview_responses[[#This Row],[Lý do - HUMAN-TRU1]]</f>
        <v>Chính phủ đang siết chặt thu thuế, trong khi đó chưa áp dụng các chính sách hỗ trợ người dân giảm trừ như mua nhà, con đi học. Chưa có đánh giá tác động cho các nhóm đối tượng khác nhau cũng như đánh giá tác động trong tương lai.</v>
      </c>
      <c r="BA9">
        <f>AVERAGE(
  INDEX(step2_raw_simulation!AJ:AJ, (ROW(AJ8)-1)*5 + 2)
  :
  INDEX(step2_raw_simulation!AJ:AJ, (ROW(AJ8)-1)*5 + 6)
)</f>
        <v>6.2</v>
      </c>
      <c r="BB9" t="str">
        <f t="shared" si="15"/>
        <v>Neutral</v>
      </c>
      <c r="BC9">
        <f>interview_responses[[#This Row],[Tôi thấy mức thuế tôi phải đóng theo phương án mới là công bằng (người thu nhập như tôi đóng mức này là hợp lý). - HUMAN-TRU2]]</f>
        <v>5</v>
      </c>
      <c r="BD9" t="str">
        <f t="shared" si="16"/>
        <v>Neutral</v>
      </c>
      <c r="BE9">
        <f t="shared" si="17"/>
        <v>1.2000000000000002</v>
      </c>
      <c r="BF9" t="str" cm="1">
        <f t="array" ref="BF9">INDEX(step2_raw_simulation[AI_TRU2_Reason], (ROW(BF8)-1)*5 + 1)</f>
        <v>Thuế mới có thể hợp lý hơn so với trước đây, nhưng tôi vẫn lo ngại về mức độ công bằng khi áp dụng cho các nhóm đối tượng khác nhau.</v>
      </c>
      <c r="BG9" t="str">
        <f>interview_responses[[#This Row],[Lý do - HUMAN-TRU2]]</f>
        <v>Tôi chưa tính được khi áp dụng thuế mới mức đóng cụ thể là bao nhiêu. Không thay đổi khi chính sách mới áp dụng.</v>
      </c>
      <c r="BH9">
        <f>AVERAGE(
  INDEX(step2_raw_simulation!AO:AO, (ROW(AQ8)-1)*5 + 2)
  :
  INDEX(step2_raw_simulation!AO:AO, (ROW(AQ8)-1)*5 + 6)
)</f>
        <v>5.4</v>
      </c>
      <c r="BI9" t="str">
        <f t="shared" si="18"/>
        <v>Neutral</v>
      </c>
      <c r="BJ9">
        <f>interview_responses[[#This Row],[Tôi tin tưởng số tiền thuế tôi đóng sẽ được Nhà nước sử dụng hiệu quả để cải thiện dịch vụ công (y tế, đường xá...). - HUMAN-TRU3]]</f>
        <v>5</v>
      </c>
      <c r="BK9" t="str">
        <f t="shared" si="19"/>
        <v>Neutral</v>
      </c>
      <c r="BL9">
        <f t="shared" si="20"/>
        <v>0.40000000000000036</v>
      </c>
      <c r="BM9" t="str" cm="1">
        <f t="array" ref="BM9">INDEX(step2_raw_simulation[AI_TRU3_Reason], (ROW(BM8)-1)*5 + 1)</f>
        <v>Tôi tin số thuế đóng sẽ được sử dụng hiệu quả, nhưng chưa chắc chắn do không có đánh giá cụ thể về tác động.</v>
      </c>
      <c r="BN9" t="str">
        <f>interview_responses[[#This Row],[Lý do - HUMAN-TRU3]]</f>
        <v>Chưa chắc, k có niềm tin lắm nhưng vẫn có niềm tin. Vẫn đánh giá thuế có sử dụng cho dịch vụ công. Chính phủ có lắng nghe phản hồi của người dân, có một chút thay đổi. Vì thế cho điểm số ở mức trung bình.</v>
      </c>
      <c r="BO9">
        <f>AVERAGE(
  INDEX(step2_raw_simulation!AT:AT, (ROW(AX8)-1)*5 + 2)
  :
  INDEX(step2_raw_simulation!AT:AT, (ROW(AX8)-1)*5 + 6)
)</f>
        <v>5.4</v>
      </c>
      <c r="BP9" t="str">
        <f t="shared" si="21"/>
        <v>Neutral</v>
      </c>
      <c r="BQ9">
        <f>interview_responses[[#This Row],[Tôi thấy Nhà nước đã giải thích rõ ràng, minh bạch về lý do và mục tiêu của việc sửa đổi thuế lần này. - HUMAN-TRU4]]</f>
        <v>5</v>
      </c>
      <c r="BR9" t="str">
        <f t="shared" si="22"/>
        <v>Neutral</v>
      </c>
      <c r="BS9">
        <f t="shared" si="23"/>
        <v>0.40000000000000036</v>
      </c>
      <c r="BT9" t="str" cm="1">
        <f t="array" ref="BT9">INDEX(step2_raw_simulation[AI_TRU4_Reason], (ROW(BT8)-1)*5 + 1)</f>
        <v>Nhà nước đã giải thích mục tiêu của chính sách mới nhưng tôi vẫn lo ngại về sự thực thi công bằng và minh bạch.</v>
      </c>
      <c r="BU9" t="str">
        <f>interview_responses[[#This Row],[Lý do - HUMAN-TRU4]]</f>
        <v>Mục tiêu chính thì hiểu, rationale đưa ra ngưỡng thì chưa hiểu lắm, Chính phủ cũng chưa forseen được mức trượt giá, lạm phát + giảm trừ gia cảnh.</v>
      </c>
      <c r="BV9">
        <f>AVERAGE(
  INDEX(step2_raw_simulation!AY:AY, (ROW(BE8)-1)*5 + 2)
  :
  INDEX(step2_raw_simulation!AY:AY, (ROW(BE8)-1)*5 + 6)
)</f>
        <v>7</v>
      </c>
      <c r="BW9" t="str">
        <f t="shared" si="24"/>
        <v>Neutral</v>
      </c>
      <c r="BX9">
        <f>interview_responses[[#This Row],[Sau khi xem xét các quyền lợi và nghĩa vụ, bạn có ủng hộ và tuân thủ chính sách mới hiện nay? - HUMAN-OUT1]]</f>
        <v>6</v>
      </c>
      <c r="BY9" t="str">
        <f t="shared" si="25"/>
        <v>Neutral</v>
      </c>
      <c r="BZ9">
        <f t="shared" si="26"/>
        <v>1</v>
      </c>
      <c r="CA9" t="str" cm="1">
        <f t="array" ref="CA9">INDEX(step2_raw_simulation[AI_OUT1_Reason], (ROW(CA8)-1)*5 + 1)</f>
        <v>Chính sách mới có lợi cho tôi, nhưng tôi chưa chắc chắn về tác động dài hạn nên không hoàn toàn ủng hộ ngay lập tức.</v>
      </c>
      <c r="CB9" t="str">
        <f>interview_responses[[#This Row],[Lý do - HUMAN-OUT1]]</f>
        <v>Không ủng hộ cũng k được.</v>
      </c>
    </row>
    <row r="10" spans="1:80" x14ac:dyDescent="0.45">
      <c r="A10" cm="1">
        <f t="array" ref="A10">INDEX(step2_raw_simulation[Persona_ID], (ROW(A9)-1)*5 + 1)</f>
        <v>9</v>
      </c>
      <c r="B10" cm="1">
        <f t="array" ref="B10">INDEX(step2_raw_simulation[Run_ID], (ROW(B9)-1)*5 + 1)</f>
        <v>1</v>
      </c>
      <c r="C10" cm="1">
        <f t="array" ref="C10">INDEX(step2_raw_simulation[Used_Seed], (ROW(C9)-1)*5 + 1)</f>
        <v>843</v>
      </c>
      <c r="D10" t="str" cm="1">
        <f t="array" ref="D10">INDEX(step2_raw_simulation[Gender], (ROW(D9)-1)*5 + 1)</f>
        <v>Nữ</v>
      </c>
      <c r="E10" t="str">
        <f>interview_responses[[#This Row],[Giới tính của bạn:]]</f>
        <v>Nữ</v>
      </c>
      <c r="F10" t="str" cm="1">
        <f t="array" ref="F10">INDEX(step2_raw_simulation[Age], (ROW(F9)-1)*5 + 1)</f>
        <v>30 - 39</v>
      </c>
      <c r="G10" t="str">
        <f>interview_responses[[#This Row],[Độ tuổi của bạn:]]</f>
        <v>30 - 39</v>
      </c>
      <c r="H10" t="str" cm="1">
        <f t="array" ref="H10">INDEX(step2_raw_simulation[Region], (ROW(H9)-1)*5 + 1)</f>
        <v>Thành thị</v>
      </c>
      <c r="I10" t="str">
        <f>interview_responses[[#This Row],[Khu vực bạn đang sinh sống:]]</f>
        <v>Thành thị</v>
      </c>
      <c r="J10" t="str" cm="1">
        <f t="array" ref="J10">INDEX(step2_raw_simulation[Education], (ROW(J9)-1)*5 + 1)</f>
        <v>Đại học</v>
      </c>
      <c r="K10" t="str">
        <f>interview_responses[[#This Row],[Trình độ học vấn cao nhất:]]</f>
        <v>Đại học</v>
      </c>
      <c r="L10" t="str" cm="1">
        <f t="array" ref="L10">INDEX(step2_raw_simulation[Employment], (ROW(L9)-1)*5 + 1)</f>
        <v>Chính thức</v>
      </c>
      <c r="M10" t="str">
        <f>interview_responses[[#This Row],[Tình trạng việc làm chính:]]</f>
        <v>Khu vực chính thức (Có Hợp đồng lao động, đóng BHXH)</v>
      </c>
      <c r="N10" cm="1">
        <f t="array" ref="N10">INDEX(step2_raw_simulation[Income_Mil], (ROW(N9)-1)*5 + 1)</f>
        <v>86</v>
      </c>
      <c r="O10" t="str">
        <f>interview_responses[[#This Row],[Thu nhập bình quân tháng theo Hợp đồng lao động của bạn là bao nhiêu? (Vui lòng điền tổng thu nhập trước khi khấu trừ các loại Bảo hiểm (BHXH, BHYT, BHTN) và Thuế TNCN)]]</f>
        <v>Từ 70 - 102 triệu VNĐ</v>
      </c>
      <c r="P10" cm="1">
        <f t="array" ref="P10">INDEX(step2_raw_simulation[Dependents], (ROW(P9)-1)*5 + 1)</f>
        <v>1</v>
      </c>
      <c r="Q10" t="str">
        <f>interview_responses[[#This Row],[Số người phụ thuộc (con nhỏ, cha mẹ già...) đủ điều kiện giảm trừ gia cảnh:]]</f>
        <v>1 người</v>
      </c>
      <c r="R10">
        <f>AVERAGE(
  INDEX(step2_raw_simulation!K:K, (ROW(A9)-1)*5 + 2)
  :
  INDEX(step2_raw_simulation!K:K, (ROW(A9)-1)*5 + 6)
)</f>
        <v>6.4</v>
      </c>
      <c r="S10" t="str">
        <f t="shared" si="0"/>
        <v>Neutral</v>
      </c>
      <c r="T10">
        <f>interview_responses[[#This Row],[Tôi tin rằng với các quy định quản lý thuế hiện nay, hành vi gian lận hoặc trốn thuế sẽ dễ dàng bị phát hiện và xử lý nghiêm. - HUMAN-ENF1]]</f>
        <v>7</v>
      </c>
      <c r="U10" t="str">
        <f t="shared" si="1"/>
        <v>Neutral</v>
      </c>
      <c r="V10">
        <f t="shared" si="2"/>
        <v>0.59999999999999964</v>
      </c>
      <c r="W10" t="str" cm="1">
        <f t="array" ref="W10">INDEX(step2_raw_simulation[AI_ENF1_Reason], (ROW(W9)-1)*5 + 1)</f>
        <v>Trả lời ENF: Theo quan điểm của tôi, việc phát hiện hành vi gian lận hoặc trốn thuế không hoàn toàn dễ dàng. Tuy nhiên, với mức thuế giảm và cải cách đơn giản hóa, tôi tin rằng có sự công bằng trong việc quản lý thuế.</v>
      </c>
      <c r="X10" t="str">
        <f>interview_responses[[#This Row],[Lý do - HUMAN-ENF1]]</f>
        <v>Nếu là người lao động trong nhóm chính thức thì thực sự dễ dàng quản lý và cũng khó để trốn thuế, tuy nhiên 2 nhóm còn lại ở khu vực tự do và đã nghỉ hưu thì điều này không thể chắc chắn. Niềm tin chỉ ở mức tương đối.</v>
      </c>
      <c r="Y10">
        <f>AVERAGE(
  INDEX(step2_raw_simulation!P:P, (ROW(H9)-1)*5 + 2)
  :
  INDEX(step2_raw_simulation!P:P, (ROW(H9)-1)*5 + 6)
)</f>
        <v>5.8</v>
      </c>
      <c r="Z10" t="str">
        <f t="shared" si="3"/>
        <v>Neutral</v>
      </c>
      <c r="AA10">
        <f>interview_responses[[#This Row],[Tôi tin rằng Nhà nước, cơ quan thuế có đủ khả năng và công nghệ để phát hiện, xử lý nghiêm các hành vi trốn thuế. - HUMAN-ENF2]]</f>
        <v>7</v>
      </c>
      <c r="AB10" t="str">
        <f t="shared" si="4"/>
        <v>Neutral</v>
      </c>
      <c r="AC10">
        <f t="shared" si="5"/>
        <v>1.2000000000000002</v>
      </c>
      <c r="AD10" t="str" cm="1">
        <f t="array" ref="AD10">INDEX(step2_raw_simulation[AI_ENF2_Reason], (ROW(AD9)-1)*5 + 1)</f>
        <v>Công nghệ ngày nay giúp cơ quan thuế theo dõi nhiều hơn nhưng không phải tất cả doanh nghiệp đều tuân thủ. Cần thời gian để kiểm soát hoàn toàn, tuy nhiên cải cách này tốt cho người nộp thuế.</v>
      </c>
      <c r="AE10" t="str">
        <f>interview_responses[[#This Row],[Lý do - HUMAN-ENF2]]</f>
        <v>Sẽ có thể phát hiện nhưng không thể toàn bộ và ngay lập tức, vì những doanh nghiệp không tuân thủ quy định thì nếu có cơ quan thuế sẽ phải tiến hành điều tra chứ không có hệ thống để nhận diện hành vi vi phạm ngay lập tức.</v>
      </c>
      <c r="AF10">
        <f>AVERAGE(
  INDEX(step2_raw_simulation!U:U, (ROW(O9)-1)*5 + 2)
  :
  INDEX(step2_raw_simulation!U:U, (ROW(O9)-1)*5 + 6)
)</f>
        <v>8.1999999999999993</v>
      </c>
      <c r="AG10" t="str">
        <f t="shared" si="6"/>
        <v>Support</v>
      </c>
      <c r="AH10">
        <f>interview_responses[[#This Row],[Các thủ tục khai báo thuế VÀ/HOẶC quy trình làm việc với cơ quan thuế đơn giản, tiện lợi, nhanh chóng hơn so với trước đây. - HUMAN-FAC1]]</f>
        <v>5</v>
      </c>
      <c r="AI10" t="str">
        <f t="shared" si="7"/>
        <v>Neutral</v>
      </c>
      <c r="AJ10">
        <f t="shared" si="8"/>
        <v>3.1999999999999993</v>
      </c>
      <c r="AK10" t="str" cm="1">
        <f t="array" ref="AK10">INDEX(step2_raw_simulation[AI_FAC1_Reason], (ROW(AK9)-1)*5 + 1)</f>
        <v>So với trước đây, quy trình khai thuế đơn giản hơn và thuận tiện hơn nhiều. Kế toán công ty cũng hỗ trợ làm việc này nên tôi không gặp khó khăn.</v>
      </c>
      <c r="AL10" t="str">
        <f>interview_responses[[#This Row],[Lý do - HUMAN-FAC1]]</f>
        <v>Tôi không rõ vấn đề này vì có bộ phận kế toán/nhân sự của công ty xử lý giúp. Chưa có trải nghiệm gì với cơ quan thuế.</v>
      </c>
      <c r="AM10">
        <f>AVERAGE(
  INDEX(step2_raw_simulation!Z:Z, (ROW(V9)-1)*5 + 2)
  :
  INDEX(step2_raw_simulation!Z:Z, (ROW(V9)-1)*5 + 6)
)</f>
        <v>8.8000000000000007</v>
      </c>
      <c r="AN10" t="str">
        <f t="shared" si="9"/>
        <v>Support</v>
      </c>
      <c r="AO10">
        <f>interview_responses[[#This Row],[So với trước đây, tôi thấy cách tính thuế và các bậc thuế trong phương án mới đơn giản, dễ hiểu và dễ thực hiện hơn. - HUMAN-FAC2]]</f>
        <v>7</v>
      </c>
      <c r="AP10" t="str">
        <f t="shared" si="10"/>
        <v>Neutral</v>
      </c>
      <c r="AQ10">
        <f t="shared" si="11"/>
        <v>1.8000000000000007</v>
      </c>
      <c r="AR10" t="str" cm="1">
        <f t="array" ref="AR10">INDEX(step2_raw_simulation[AI_FAC2_Reason], (ROW(AR9)-1)*5 + 1)</f>
        <v>Bậc thuế đã giảm từ 7 xuống còn 5, dễ hiểu hơn và người lao động sẽ đóng ít hơn. Điều này tạo cảm giác thuận lợi cho người nộp thuế</v>
      </c>
      <c r="AS10" t="str">
        <f>interview_responses[[#This Row],[Lý do - HUMAN-FAC2]]</f>
        <v>Thực ra thì phương thức lũy tiến như nhau, nhưng giản lược số bậc thuế, và giảm tỷ lệ đóng thì tốt cho người lao động. Cá nhân đóng thuế ít hơn so với trước đây.</v>
      </c>
      <c r="AT10">
        <f>AVERAGE(
  INDEX(step2_raw_simulation!AE:AE, (ROW(AC9)-1)*5 + 2)
  :
  INDEX(step2_raw_simulation!AE:AE, (ROW(AC9)-1)*5 + 6)
)</f>
        <v>7.2</v>
      </c>
      <c r="AU10" t="str">
        <f t="shared" si="12"/>
        <v>Neutral</v>
      </c>
      <c r="AV10">
        <f>interview_responses[[#This Row],[Tôi tin rằng Nhà nước, cơ quan thuế sẽ thực thi chính sách mới một cách khách quan, công tâm và đối xử bình đẳng với mọi người nộp thuế.  - HUMAN-TRU1]]</f>
        <v>7</v>
      </c>
      <c r="AW10" t="str">
        <f t="shared" si="13"/>
        <v>Neutral</v>
      </c>
      <c r="AX10">
        <f t="shared" si="14"/>
        <v>0.20000000000000018</v>
      </c>
      <c r="AY10" t="str" cm="1">
        <f t="array" ref="AY10">INDEX(step2_raw_simulation[AI_TRU1_Reason], (ROW(AY9)-1)*5 + 1)</f>
        <v>Đối với tôi, Nhà nước thực thi công bằng trong việc điều chỉnh mức giảm trừ gia cảnh và bậc thuế mới. Mức thuế hiện tại là phù hợp với thu nhập của mình.</v>
      </c>
      <c r="AZ10" t="str">
        <f>interview_responses[[#This Row],[Lý do - HUMAN-TRU1]]</f>
        <v>Nhà nước có chủ động điều chỉnh chính sách thuế mới, như vậy là rất tốt. tuy nhiên cần sự phối hợp của doanh nghiệp thì chính sách thuế mới thực sự hiệu quả. Các doanh nghiệp FDI thì có thể đảm bảo nhưng băn khoăn về các doanh nghiệp SME, doanh nghiệp trong nước hoặc các hộ kinh doanh. Ngoài ra, vấn đề khi thực thi có phụ thuộc vào các cấp cơ quan nhà nước ở dưới, nhỏ hơn có thể không thực hiện đúng với chính sách đề ra.</v>
      </c>
      <c r="BA10">
        <f>AVERAGE(
  INDEX(step2_raw_simulation!AJ:AJ, (ROW(AJ9)-1)*5 + 2)
  :
  INDEX(step2_raw_simulation!AJ:AJ, (ROW(AJ9)-1)*5 + 6)
)</f>
        <v>7.6</v>
      </c>
      <c r="BB10" t="str">
        <f t="shared" si="15"/>
        <v>Neutral</v>
      </c>
      <c r="BC10">
        <f>interview_responses[[#This Row],[Tôi thấy mức thuế tôi phải đóng theo phương án mới là công bằng (người thu nhập như tôi đóng mức này là hợp lý). - HUMAN-TRU2]]</f>
        <v>8</v>
      </c>
      <c r="BD10" t="str">
        <f t="shared" si="16"/>
        <v>Support</v>
      </c>
      <c r="BE10">
        <f t="shared" si="17"/>
        <v>0.40000000000000036</v>
      </c>
      <c r="BF10" t="str" cm="1">
        <f t="array" ref="BF10">INDEX(step2_raw_simulation[AI_TRU2_Reason], (ROW(BF9)-1)*5 + 1)</f>
        <v>Mức thuế tôi phải đóng là công bằng so với thu nhập của mình. Tuy nhiên, việc sử dụng thuế vào cải thiện dịch vụ công còn phụ thuộc vào thực tế tại địa phương.</v>
      </c>
      <c r="BG10" t="str">
        <f>interview_responses[[#This Row],[Lý do - HUMAN-TRU2]]</f>
        <v>Thấp hơn thì sẽ tốt hơn, hiện giờ mức đóng vẫn cao nhưng, giảm trừ gia cảnh và cá nhân còn khá thấp so với mức sống của khu vực thành thị. đặc biệt nhóm người chưa sở hữu nhà riêng. Cá nhân cảm thấy hài lòng vì giảm được thuế so với trước đây.</v>
      </c>
      <c r="BH10">
        <f>AVERAGE(
  INDEX(step2_raw_simulation!AO:AO, (ROW(AQ9)-1)*5 + 2)
  :
  INDEX(step2_raw_simulation!AO:AO, (ROW(AQ9)-1)*5 + 6)
)</f>
        <v>6.4</v>
      </c>
      <c r="BI10" t="str">
        <f t="shared" si="18"/>
        <v>Neutral</v>
      </c>
      <c r="BJ10">
        <f>interview_responses[[#This Row],[Tôi tin tưởng số tiền thuế tôi đóng sẽ được Nhà nước sử dụng hiệu quả để cải thiện dịch vụ công (y tế, đường xá...). - HUMAN-TRU3]]</f>
        <v>6</v>
      </c>
      <c r="BK10" t="str">
        <f t="shared" si="19"/>
        <v>Neutral</v>
      </c>
      <c r="BL10">
        <f t="shared" si="20"/>
        <v>0.40000000000000036</v>
      </c>
      <c r="BM10" t="str" cm="1">
        <f t="array" ref="BM10">INDEX(step2_raw_simulation[AI_TRU3_Reason], (ROW(BM9)-1)*5 + 1)</f>
        <v>Thuế tôi đóng sẽ được sử dụng hiệu quả để cải thiện các dịch vụ công như y tế và giao thông. Tuy nhiên, cần kiểm tra cụ thể hơn về việc này</v>
      </c>
      <c r="BN10" t="str">
        <f>interview_responses[[#This Row],[Lý do - HUMAN-TRU3]]</f>
        <v>Tôi không thấy rằng giữa người đóng thuế cao và thấp có sự khác biệt trong việc hưởng các dịch vụ công tốt hơn, tất cả là như nhau. và qua các năm thì dịch vụ y tế hay đường xá đều không thay đổi dù tiền thuế đóng nhiều hơn, thông qua ở TPHCM hầu như không có nhiều cải thiện về đầu tư hạ tầng công, các trung tâm khám chữa bệnh công chất lượng hơn hay các trung tâm giải trí, bảo tàng nghệ thuật miễn phí cho người dân, hầu hết đều thu phí, và chất lượng không tốt. Mặc dù không hài lòng nhưng nhìn nhận thực tế vì có sự cải thiện, đặc biệt là có Metro ở Hồ Chí Minh.</v>
      </c>
      <c r="BO10">
        <f>AVERAGE(
  INDEX(step2_raw_simulation!AT:AT, (ROW(AX9)-1)*5 + 2)
  :
  INDEX(step2_raw_simulation!AT:AT, (ROW(AX9)-1)*5 + 6)
)</f>
        <v>6.6</v>
      </c>
      <c r="BP10" t="str">
        <f t="shared" si="21"/>
        <v>Neutral</v>
      </c>
      <c r="BQ10">
        <f>interview_responses[[#This Row],[Tôi thấy Nhà nước đã giải thích rõ ràng, minh bạch về lý do và mục tiêu của việc sửa đổi thuế lần này. - HUMAN-TRU4]]</f>
        <v>5</v>
      </c>
      <c r="BR10" t="str">
        <f t="shared" si="22"/>
        <v>Neutral</v>
      </c>
      <c r="BS10">
        <f t="shared" si="23"/>
        <v>1.5999999999999996</v>
      </c>
      <c r="BT10" t="str" cm="1">
        <f t="array" ref="BT10">INDEX(step2_raw_simulation[AI_TRU4_Reason], (ROW(BT9)-1)*5 + 1)</f>
        <v>Nếu Nhà nước giải thích rõ ràng mục tiêu của chính sách mới, tôi sẽ tin tưởng hơn. Hiện tại, tôi thấy cải cách thuế là hướng đi đúng.</v>
      </c>
      <c r="BU10" t="str">
        <f>interview_responses[[#This Row],[Lý do - HUMAN-TRU4]]</f>
        <v>Tôi thấy ko quá cần thiết, vì cơ bản là có cải thiện cho đối tượng thu nhập của tôi. tuy nhiên việc sử dụng thuế vào đâu thì cần làm rõ. Không theo dõi quá trình chính sách để hình thành nên không nắm rõ thông tin. Quan trọng là giảm thuế thì cũng không cần giải thích nhiều.</v>
      </c>
      <c r="BV10">
        <f>AVERAGE(
  INDEX(step2_raw_simulation!AY:AY, (ROW(BE9)-1)*5 + 2)
  :
  INDEX(step2_raw_simulation!AY:AY, (ROW(BE9)-1)*5 + 6)
)</f>
        <v>7.8</v>
      </c>
      <c r="BW10" t="str">
        <f t="shared" si="24"/>
        <v>Neutral</v>
      </c>
      <c r="BX10">
        <f>interview_responses[[#This Row],[Sau khi xem xét các quyền lợi và nghĩa vụ, bạn có ủng hộ và tuân thủ chính sách mới hiện nay? - HUMAN-OUT1]]</f>
        <v>7</v>
      </c>
      <c r="BY10" t="str">
        <f t="shared" si="25"/>
        <v>Neutral</v>
      </c>
      <c r="BZ10">
        <f t="shared" si="26"/>
        <v>0.79999999999999982</v>
      </c>
      <c r="CA10" t="str" cm="1">
        <f t="array" ref="CA10">INDEX(step2_raw_simulation[AI_OUT1_Reason], (ROW(CA9)-1)*5 + 1)</f>
        <v>Chính sách mới mang lại lợi ích cho người lao động như tôi. Mức thuế giảm giúp tiết kiệm được một khoản tiền đáng kể mỗi tháng</v>
      </c>
      <c r="CB10" t="str">
        <f>interview_responses[[#This Row],[Lý do - HUMAN-OUT1]]</f>
        <v>Là công dân thì phải tuân thủ theo quy định tuyệt đối nhưng về mặt ủng hộ thì ở mức khá.</v>
      </c>
    </row>
    <row r="11" spans="1:80" x14ac:dyDescent="0.45">
      <c r="A11" cm="1">
        <f t="array" ref="A11">INDEX(step2_raw_simulation[Persona_ID], (ROW(A10)-1)*5 + 1)</f>
        <v>10</v>
      </c>
      <c r="B11" cm="1">
        <f t="array" ref="B11">INDEX(step2_raw_simulation[Run_ID], (ROW(B10)-1)*5 + 1)</f>
        <v>1</v>
      </c>
      <c r="C11" cm="1">
        <f t="array" ref="C11">INDEX(step2_raw_simulation[Used_Seed], (ROW(C10)-1)*5 + 1)</f>
        <v>943</v>
      </c>
      <c r="D11" t="str" cm="1">
        <f t="array" ref="D11">INDEX(step2_raw_simulation[Gender], (ROW(D10)-1)*5 + 1)</f>
        <v>Nữ</v>
      </c>
      <c r="E11" t="str">
        <f>interview_responses[[#This Row],[Giới tính của bạn:]]</f>
        <v>Nữ</v>
      </c>
      <c r="F11" t="str" cm="1">
        <f t="array" ref="F11">INDEX(step2_raw_simulation[Age], (ROW(F10)-1)*5 + 1)</f>
        <v>30 - 39</v>
      </c>
      <c r="G11" t="str">
        <f>interview_responses[[#This Row],[Độ tuổi của bạn:]]</f>
        <v>30 - 39</v>
      </c>
      <c r="H11" t="str" cm="1">
        <f t="array" ref="H11">INDEX(step2_raw_simulation[Region], (ROW(H10)-1)*5 + 1)</f>
        <v>Nông thôn</v>
      </c>
      <c r="I11" t="str">
        <f>interview_responses[[#This Row],[Khu vực bạn đang sinh sống:]]</f>
        <v>Nông thôn</v>
      </c>
      <c r="J11" t="str" cm="1">
        <f t="array" ref="J11">INDEX(step2_raw_simulation[Education], (ROW(J10)-1)*5 + 1)</f>
        <v>Sau Đại học</v>
      </c>
      <c r="K11" t="str">
        <f>interview_responses[[#This Row],[Trình độ học vấn cao nhất:]]</f>
        <v>Sau Đại học</v>
      </c>
      <c r="L11" t="str" cm="1">
        <f t="array" ref="L11">INDEX(step2_raw_simulation[Employment], (ROW(L10)-1)*5 + 1)</f>
        <v>Phi chính thức</v>
      </c>
      <c r="M11" t="str">
        <f>interview_responses[[#This Row],[Tình trạng việc làm chính:]]</f>
        <v>Khu vực phi chính thức (Lao động tự do, không có HĐLĐ)</v>
      </c>
      <c r="N11" cm="1">
        <f t="array" ref="N11">INDEX(step2_raw_simulation[Income_Mil], (ROW(N10)-1)*5 + 1)</f>
        <v>27.5</v>
      </c>
      <c r="O11" t="str">
        <f>interview_responses[[#This Row],[Thu nhập bình quân tháng theo Hợp đồng lao động của bạn là bao nhiêu? (Vui lòng điền tổng thu nhập trước khi khấu trừ các loại Bảo hiểm (BHXH, BHYT, BHTN) và Thuế TNCN)]]</f>
        <v>Từ 23 - 32 triệu VNĐ</v>
      </c>
      <c r="P11" cm="1">
        <f t="array" ref="P11">INDEX(step2_raw_simulation[Dependents], (ROW(P10)-1)*5 + 1)</f>
        <v>3</v>
      </c>
      <c r="Q11" t="str">
        <f>interview_responses[[#This Row],[Số người phụ thuộc (con nhỏ, cha mẹ già...) đủ điều kiện giảm trừ gia cảnh:]]</f>
        <v>3 người</v>
      </c>
      <c r="R11">
        <f>AVERAGE(
  INDEX(step2_raw_simulation!K:K, (ROW(A10)-1)*5 + 2)
  :
  INDEX(step2_raw_simulation!K:K, (ROW(A10)-1)*5 + 6)
)</f>
        <v>6</v>
      </c>
      <c r="S11" t="str">
        <f t="shared" si="0"/>
        <v>Neutral</v>
      </c>
      <c r="T11">
        <f>interview_responses[[#This Row],[Tôi tin rằng với các quy định quản lý thuế hiện nay, hành vi gian lận hoặc trốn thuế sẽ dễ dàng bị phát hiện và xử lý nghiêm. - HUMAN-ENF1]]</f>
        <v>5</v>
      </c>
      <c r="U11" t="str">
        <f t="shared" si="1"/>
        <v>Neutral</v>
      </c>
      <c r="V11">
        <f t="shared" si="2"/>
        <v>1</v>
      </c>
      <c r="W11" t="str" cm="1">
        <f t="array" ref="W11">INDEX(step2_raw_simulation[AI_ENF1_Reason], (ROW(W10)-1)*5 + 1)</f>
        <v>Tôi cho rằng dù có quy định quản lý thuế, người muốn trốn thuế vẫn có cách để lách luật. Tuy nhiên, việc giảm trừ gia cảnh và đơn giản hóa biểu thuế sẽ làm giảm động lực trốn thuế.</v>
      </c>
      <c r="X11" t="str">
        <f>interview_responses[[#This Row],[Lý do - HUMAN-ENF1]]</f>
        <v>Tôi tin rằng nếu đã có Luật thì ai muốn trốn sẽ có cách lách để k bị phát hiện</v>
      </c>
      <c r="Y11">
        <f>AVERAGE(
  INDEX(step2_raw_simulation!P:P, (ROW(H10)-1)*5 + 2)
  :
  INDEX(step2_raw_simulation!P:P, (ROW(H10)-1)*5 + 6)
)</f>
        <v>8</v>
      </c>
      <c r="Z11" t="str">
        <f t="shared" si="3"/>
        <v>Support</v>
      </c>
      <c r="AA11">
        <f>interview_responses[[#This Row],[Tôi tin rằng Nhà nước, cơ quan thuế có đủ khả năng và công nghệ để phát hiện, xử lý nghiêm các hành vi trốn thuế. - HUMAN-ENF2]]</f>
        <v>8</v>
      </c>
      <c r="AB11" t="str">
        <f t="shared" si="4"/>
        <v>Support</v>
      </c>
      <c r="AC11">
        <f t="shared" si="5"/>
        <v>0</v>
      </c>
      <c r="AD11" t="str" cm="1">
        <f t="array" ref="AD11">INDEX(step2_raw_simulation[AI_ENF2_Reason], (ROW(AD10)-1)*5 + 1)</f>
        <v>Với công nghệ ngày càng phát triển, tôi tin rằng cơ quan thuế có khả năng phát hiện các hành vi gian lận. Tuy nhiên, vẫn có thể còn nhiều rủi ro trốn thuế.</v>
      </c>
      <c r="AE11" t="str">
        <f>interview_responses[[#This Row],[Lý do - HUMAN-ENF2]]</f>
        <v>Do họ có thể truy thu dựa vào dòng tiền ra vào tài khoản</v>
      </c>
      <c r="AF11">
        <f>AVERAGE(
  INDEX(step2_raw_simulation!U:U, (ROW(O10)-1)*5 + 2)
  :
  INDEX(step2_raw_simulation!U:U, (ROW(O10)-1)*5 + 6)
)</f>
        <v>8.6</v>
      </c>
      <c r="AG11" t="str">
        <f t="shared" si="6"/>
        <v>Support</v>
      </c>
      <c r="AH11">
        <f>interview_responses[[#This Row],[Các thủ tục khai báo thuế VÀ/HOẶC quy trình làm việc với cơ quan thuế đơn giản, tiện lợi, nhanh chóng hơn so với trước đây. - HUMAN-FAC1]]</f>
        <v>10</v>
      </c>
      <c r="AI11" t="str">
        <f t="shared" si="7"/>
        <v>Support</v>
      </c>
      <c r="AJ11">
        <f t="shared" si="8"/>
        <v>1.4000000000000004</v>
      </c>
      <c r="AK11" t="str" cm="1">
        <f t="array" ref="AK11">INDEX(step2_raw_simulation[AI_FAC1_Reason], (ROW(AK10)-1)*5 + 1)</f>
        <v>Thủ tục khai báo và quy trình làm việc với cơ quan thuế đơn giản hơn, thuận tiện hơn so với trước đây. Tôi thấy dễ dàng hơn trong việc nộp thuế.</v>
      </c>
      <c r="AL11" t="str">
        <f>interview_responses[[#This Row],[Lý do - HUMAN-FAC1]]</f>
        <v>Có thể làm online, nên tôi thấy tiện a</v>
      </c>
      <c r="AM11">
        <f>AVERAGE(
  INDEX(step2_raw_simulation!Z:Z, (ROW(V10)-1)*5 + 2)
  :
  INDEX(step2_raw_simulation!Z:Z, (ROW(V10)-1)*5 + 6)
)</f>
        <v>9.4</v>
      </c>
      <c r="AN11" t="str">
        <f t="shared" si="9"/>
        <v>Support</v>
      </c>
      <c r="AO11">
        <f>interview_responses[[#This Row],[So với trước đây, tôi thấy cách tính thuế và các bậc thuế trong phương án mới đơn giản, dễ hiểu và dễ thực hiện hơn. - HUMAN-FAC2]]</f>
        <v>5</v>
      </c>
      <c r="AP11" t="str">
        <f t="shared" si="10"/>
        <v>Neutral</v>
      </c>
      <c r="AQ11">
        <f t="shared" si="11"/>
        <v>4.4000000000000004</v>
      </c>
      <c r="AR11" t="str" cm="1">
        <f t="array" ref="AR11">INDEX(step2_raw_simulation[AI_FAC2_Reason], (ROW(AR10)-1)*5 + 1)</f>
        <v>Biểu thuế mới rõ ràng, dễ hiểu và thực hiện đơn giản hơn. Mức thu nhập chịu thuế thấp hơn giúp tôi tiết kiệm được nhiều chi phí.</v>
      </c>
      <c r="AS11" t="str">
        <f>interview_responses[[#This Row],[Lý do - HUMAN-FAC2]]</f>
        <v>Tôi thấy như nhau</v>
      </c>
      <c r="AT11">
        <f>AVERAGE(
  INDEX(step2_raw_simulation!AE:AE, (ROW(AC10)-1)*5 + 2)
  :
  INDEX(step2_raw_simulation!AE:AE, (ROW(AC10)-1)*5 + 6)
)</f>
        <v>7.6</v>
      </c>
      <c r="AU11" t="str">
        <f t="shared" si="12"/>
        <v>Neutral</v>
      </c>
      <c r="AV11">
        <f>interview_responses[[#This Row],[Tôi tin rằng Nhà nước, cơ quan thuế sẽ thực thi chính sách mới một cách khách quan, công tâm và đối xử bình đẳng với mọi người nộp thuế.  - HUMAN-TRU1]]</f>
        <v>9</v>
      </c>
      <c r="AW11" t="str">
        <f t="shared" si="13"/>
        <v>Support</v>
      </c>
      <c r="AX11">
        <f t="shared" si="14"/>
        <v>1.4000000000000004</v>
      </c>
      <c r="AY11" t="str" cm="1">
        <f t="array" ref="AY11">INDEX(step2_raw_simulation[AI_TRU1_Reason], (ROW(AY10)-1)*5 + 1)</f>
        <v>Tôi tin rằng cơ quan thuế sẽ thực thi công bằng với mọi người nộp thuế, dù mức thuế mới có thể cao hơn so với trước đây đối với thu nhập của tôi.</v>
      </c>
      <c r="AZ11" t="str">
        <f>interview_responses[[#This Row],[Lý do - HUMAN-TRU1]]</f>
        <v>Tại cán bộ thuế ở tôi rất tốt ạ</v>
      </c>
      <c r="BA11">
        <f>AVERAGE(
  INDEX(step2_raw_simulation!AJ:AJ, (ROW(AJ10)-1)*5 + 2)
  :
  INDEX(step2_raw_simulation!AJ:AJ, (ROW(AJ10)-1)*5 + 6)
)</f>
        <v>7.8</v>
      </c>
      <c r="BB11" t="str">
        <f t="shared" si="15"/>
        <v>Neutral</v>
      </c>
      <c r="BC11">
        <f>interview_responses[[#This Row],[Tôi thấy mức thuế tôi phải đóng theo phương án mới là công bằng (người thu nhập như tôi đóng mức này là hợp lý). - HUMAN-TRU2]]</f>
        <v>2</v>
      </c>
      <c r="BD11" t="str">
        <f t="shared" si="16"/>
        <v>Oppose</v>
      </c>
      <c r="BE11">
        <f t="shared" si="17"/>
        <v>5.8</v>
      </c>
      <c r="BF11" t="str" cm="1">
        <f t="array" ref="BF11">INDEX(step2_raw_simulation[AI_TRU2_Reason], (ROW(BF10)-1)*5 + 1)</f>
        <v>Sau khi tính toán, tôi thấy mức thuế mới là hợp lý cho thu nhập của mình. Sự đơn giản hóa sẽ giúp giảm bớt gánh nặng tài chính.</v>
      </c>
      <c r="BG11" t="str">
        <f>interview_responses[[#This Row],[Lý do - HUMAN-TRU2]]</f>
        <v>Tôi thấy phần trăm đóng thuế còn cao so với tôi</v>
      </c>
      <c r="BH11">
        <f>AVERAGE(
  INDEX(step2_raw_simulation!AO:AO, (ROW(AQ10)-1)*5 + 2)
  :
  INDEX(step2_raw_simulation!AO:AO, (ROW(AQ10)-1)*5 + 6)
)</f>
        <v>7.4</v>
      </c>
      <c r="BI11" t="str">
        <f t="shared" si="18"/>
        <v>Neutral</v>
      </c>
      <c r="BJ11">
        <f>interview_responses[[#This Row],[Tôi tin tưởng số tiền thuế tôi đóng sẽ được Nhà nước sử dụng hiệu quả để cải thiện dịch vụ công (y tế, đường xá...). - HUMAN-TRU3]]</f>
        <v>7</v>
      </c>
      <c r="BK11" t="str">
        <f t="shared" si="19"/>
        <v>Neutral</v>
      </c>
      <c r="BL11">
        <f t="shared" si="20"/>
        <v>0.40000000000000036</v>
      </c>
      <c r="BM11" t="str" cm="1">
        <f t="array" ref="BM11">INDEX(step2_raw_simulation[AI_TRU3_Reason], (ROW(BM10)-1)*5 + 1)</f>
        <v>Có niềm tin rằng số tiền thuế đóng sẽ được sử dụng hiệu quả để cải thiện các dịch vụ công, như y tế và đường xá.</v>
      </c>
      <c r="BN11" t="str">
        <f>interview_responses[[#This Row],[Lý do - HUMAN-TRU3]]</f>
        <v>Dạ do tôi dễ tin người ạ</v>
      </c>
      <c r="BO11">
        <f>AVERAGE(
  INDEX(step2_raw_simulation!AT:AT, (ROW(AX10)-1)*5 + 2)
  :
  INDEX(step2_raw_simulation!AT:AT, (ROW(AX10)-1)*5 + 6)
)</f>
        <v>8.1999999999999993</v>
      </c>
      <c r="BP11" t="str">
        <f t="shared" si="21"/>
        <v>Support</v>
      </c>
      <c r="BQ11">
        <f>interview_responses[[#This Row],[Tôi thấy Nhà nước đã giải thích rõ ràng, minh bạch về lý do và mục tiêu của việc sửa đổi thuế lần này. - HUMAN-TRU4]]</f>
        <v>8</v>
      </c>
      <c r="BR11" t="str">
        <f t="shared" si="22"/>
        <v>Support</v>
      </c>
      <c r="BS11">
        <f t="shared" si="23"/>
        <v>0.19999999999999929</v>
      </c>
      <c r="BT11" t="str" cm="1">
        <f t="array" ref="BT11">INDEX(step2_raw_simulation[AI_TRU4_Reason], (ROW(BT10)-1)*5 + 1)</f>
        <v>Nhà nước đã giải thích rõ ràng về mục tiêu của việc sửa đổi thuế. Tuy nhiên, vẫn còn nhiều thông tin cần thêm để tôi hoàn toàn yên tâm.</v>
      </c>
      <c r="BU11" t="str">
        <f>interview_responses[[#This Row],[Lý do - HUMAN-TRU4]]</f>
        <v>Dạ, về cơ bản là đã khá chi tiết và rõ ràng ạ</v>
      </c>
      <c r="BV11">
        <f>AVERAGE(
  INDEX(step2_raw_simulation!AY:AY, (ROW(BE10)-1)*5 + 2)
  :
  INDEX(step2_raw_simulation!AY:AY, (ROW(BE10)-1)*5 + 6)
)</f>
        <v>9</v>
      </c>
      <c r="BW11" t="str">
        <f t="shared" si="24"/>
        <v>Support</v>
      </c>
      <c r="BX11">
        <f>interview_responses[[#This Row],[Sau khi xem xét các quyền lợi và nghĩa vụ, bạn có ủng hộ và tuân thủ chính sách mới hiện nay? - HUMAN-OUT1]]</f>
        <v>10</v>
      </c>
      <c r="BY11" t="str">
        <f t="shared" si="25"/>
        <v>Support</v>
      </c>
      <c r="BZ11">
        <f t="shared" si="26"/>
        <v>1</v>
      </c>
      <c r="CA11" t="str" cm="1">
        <f t="array" ref="CA11">INDEX(step2_raw_simulation[AI_OUT1_Reason], (ROW(CA10)-1)*5 + 1)</f>
        <v>Dựa trên lợi ích tài chính và sự đơn giản hóa quy trình, tôi ủng hộ và tuân thủ chính sách mới. Tuy nhiên, vẫn có một số lo ngại về công bằng mức thuế.</v>
      </c>
      <c r="CB11" t="str">
        <f>interview_responses[[#This Row],[Lý do - HUMAN-OUT1]]</f>
        <v>Dạ, là công dân thì phải tuân thủ, vì không có phương án khác ạ</v>
      </c>
    </row>
    <row r="12" spans="1:80" x14ac:dyDescent="0.45">
      <c r="A12" cm="1">
        <f t="array" ref="A12">INDEX(step2_raw_simulation[Persona_ID], (ROW(A11)-1)*5 + 1)</f>
        <v>11</v>
      </c>
      <c r="B12" cm="1">
        <f t="array" ref="B12">INDEX(step2_raw_simulation[Run_ID], (ROW(B11)-1)*5 + 1)</f>
        <v>1</v>
      </c>
      <c r="C12" cm="1">
        <f t="array" ref="C12">INDEX(step2_raw_simulation[Used_Seed], (ROW(C11)-1)*5 + 1)</f>
        <v>1043</v>
      </c>
      <c r="D12" t="str" cm="1">
        <f t="array" ref="D12">INDEX(step2_raw_simulation[Gender], (ROW(D11)-1)*5 + 1)</f>
        <v>Nữ</v>
      </c>
      <c r="E12" t="str">
        <f>interview_responses[[#This Row],[Giới tính của bạn:]]</f>
        <v>Nữ</v>
      </c>
      <c r="F12" t="str" cm="1">
        <f t="array" ref="F12">INDEX(step2_raw_simulation[Age], (ROW(F11)-1)*5 + 1)</f>
        <v>40 - 49</v>
      </c>
      <c r="G12" t="str">
        <f>interview_responses[[#This Row],[Độ tuổi của bạn:]]</f>
        <v>40 - 49</v>
      </c>
      <c r="H12" t="str" cm="1">
        <f t="array" ref="H12">INDEX(step2_raw_simulation[Region], (ROW(H11)-1)*5 + 1)</f>
        <v>Thành thị</v>
      </c>
      <c r="I12" t="str">
        <f>interview_responses[[#This Row],[Khu vực bạn đang sinh sống:]]</f>
        <v>Thành thị</v>
      </c>
      <c r="J12" t="str" cm="1">
        <f t="array" ref="J12">INDEX(step2_raw_simulation[Education], (ROW(J11)-1)*5 + 1)</f>
        <v>Sau Đại học</v>
      </c>
      <c r="K12" t="str">
        <f>interview_responses[[#This Row],[Trình độ học vấn cao nhất:]]</f>
        <v>Sau Đại học</v>
      </c>
      <c r="L12" t="str" cm="1">
        <f t="array" ref="L12">INDEX(step2_raw_simulation[Employment], (ROW(L11)-1)*5 + 1)</f>
        <v>Chính thức</v>
      </c>
      <c r="M12" t="str">
        <f>interview_responses[[#This Row],[Tình trạng việc làm chính:]]</f>
        <v>Khu vực chính thức (Có Hợp đồng lao động, đóng BHXH)</v>
      </c>
      <c r="N12" cm="1">
        <f t="array" ref="N12">INDEX(step2_raw_simulation[Income_Mil], (ROW(N11)-1)*5 + 1)</f>
        <v>120</v>
      </c>
      <c r="O12" t="str">
        <f>interview_responses[[#This Row],[Thu nhập bình quân tháng theo Hợp đồng lao động của bạn là bao nhiêu? (Vui lòng điền tổng thu nhập trước khi khấu trừ các loại Bảo hiểm (BHXH, BHYT, BHTN) và Thuế TNCN)]]</f>
        <v>Trên 102 triệu VNĐ</v>
      </c>
      <c r="P12" cm="1">
        <f t="array" ref="P12">INDEX(step2_raw_simulation[Dependents], (ROW(P11)-1)*5 + 1)</f>
        <v>2</v>
      </c>
      <c r="Q12" t="str">
        <f>interview_responses[[#This Row],[Số người phụ thuộc (con nhỏ, cha mẹ già...) đủ điều kiện giảm trừ gia cảnh:]]</f>
        <v>2 người</v>
      </c>
      <c r="R12">
        <f>AVERAGE(
  INDEX(step2_raw_simulation!K:K, (ROW(A11)-1)*5 + 2)
  :
  INDEX(step2_raw_simulation!K:K, (ROW(A11)-1)*5 + 6)
)</f>
        <v>3.8</v>
      </c>
      <c r="S12" t="str">
        <f t="shared" si="0"/>
        <v>Oppose</v>
      </c>
      <c r="T12">
        <f>interview_responses[[#This Row],[Tôi tin rằng với các quy định quản lý thuế hiện nay, hành vi gian lận hoặc trốn thuế sẽ dễ dàng bị phát hiện và xử lý nghiêm. - HUMAN-ENF1]]</f>
        <v>4</v>
      </c>
      <c r="U12" t="str">
        <f t="shared" si="1"/>
        <v>Oppose</v>
      </c>
      <c r="V12">
        <f t="shared" si="2"/>
        <v>0.20000000000000018</v>
      </c>
      <c r="W12" t="str" cm="1">
        <f t="array" ref="W12">INDEX(step2_raw_simulation[AI_ENF1_Reason], (ROW(W11)-1)*5 + 1)</f>
        <v>Dù quy định quản lý thuế hiện nay đã được cải thiện nhưng vẫn còn tham nhũng và kẽ hở cho hành vi gian lận, giảm điểm 2</v>
      </c>
      <c r="X12" t="str">
        <f>interview_responses[[#This Row],[Lý do - HUMAN-ENF1]]</f>
        <v>Vì tham nhũng, nhũng nhiễu</v>
      </c>
      <c r="Y12">
        <f>AVERAGE(
  INDEX(step2_raw_simulation!P:P, (ROW(H11)-1)*5 + 2)
  :
  INDEX(step2_raw_simulation!P:P, (ROW(H11)-1)*5 + 6)
)</f>
        <v>4</v>
      </c>
      <c r="Z12" t="str">
        <f t="shared" si="3"/>
        <v>Oppose</v>
      </c>
      <c r="AA12">
        <f>interview_responses[[#This Row],[Tôi tin rằng Nhà nước, cơ quan thuế có đủ khả năng và công nghệ để phát hiện, xử lý nghiêm các hành vi trốn thuế. - HUMAN-ENF2]]</f>
        <v>5</v>
      </c>
      <c r="AB12" t="str">
        <f t="shared" si="4"/>
        <v>Neutral</v>
      </c>
      <c r="AC12">
        <f t="shared" si="5"/>
        <v>1</v>
      </c>
      <c r="AD12" t="str" cm="1">
        <f t="array" ref="AD12">INDEX(step2_raw_simulation[AI_ENF2_Reason], (ROW(AD11)-1)*5 + 1)</f>
        <v>Khả năng phát hiện trốn thuế phụ thuộc nhiều vào sự giám sát của cơ quan thuế, nhưng vẫn còn có kẽ hở, giảm điểm 3</v>
      </c>
      <c r="AE12" t="str">
        <f>interview_responses[[#This Row],[Lý do - HUMAN-ENF2]]</f>
        <v>Vì hệ thống và luật định còn mơ hồ, nhiều kẽ hỡ</v>
      </c>
      <c r="AF12">
        <f>AVERAGE(
  INDEX(step2_raw_simulation!U:U, (ROW(O11)-1)*5 + 2)
  :
  INDEX(step2_raw_simulation!U:U, (ROW(O11)-1)*5 + 6)
)</f>
        <v>7.2</v>
      </c>
      <c r="AG12" t="str">
        <f t="shared" si="6"/>
        <v>Neutral</v>
      </c>
      <c r="AH12">
        <f>interview_responses[[#This Row],[Các thủ tục khai báo thuế VÀ/HOẶC quy trình làm việc với cơ quan thuế đơn giản, tiện lợi, nhanh chóng hơn so với trước đây. - HUMAN-FAC1]]</f>
        <v>6</v>
      </c>
      <c r="AI12" t="str">
        <f t="shared" si="7"/>
        <v>Neutral</v>
      </c>
      <c r="AJ12">
        <f t="shared" si="8"/>
        <v>1.2000000000000002</v>
      </c>
      <c r="AK12" t="str" cm="1">
        <f t="array" ref="AK12">INDEX(step2_raw_simulation[AI_FAC1_Reason], (ROW(AK11)-1)*5 + 1)</f>
        <v>Hệ thống khai báo và làm việc với cơ quan thuế đã đơn giản hơn so với trước, cải thiện đáng kể, tăng điểm 4</v>
      </c>
      <c r="AL12" t="str">
        <f>interview_responses[[#This Row],[Lý do - HUMAN-FAC1]]</f>
        <v>Quy trình đơn giản hơn, nhưng hệ thống vẫn chưa kiện toàn, nhân sự chưa sắp xếp ổn</v>
      </c>
      <c r="AM12">
        <f>AVERAGE(
  INDEX(step2_raw_simulation!Z:Z, (ROW(V11)-1)*5 + 2)
  :
  INDEX(step2_raw_simulation!Z:Z, (ROW(V11)-1)*5 + 6)
)</f>
        <v>7.6</v>
      </c>
      <c r="AN12" t="str">
        <f t="shared" si="9"/>
        <v>Neutral</v>
      </c>
      <c r="AO12">
        <f>interview_responses[[#This Row],[So với trước đây, tôi thấy cách tính thuế và các bậc thuế trong phương án mới đơn giản, dễ hiểu và dễ thực hiện hơn. - HUMAN-FAC2]]</f>
        <v>5</v>
      </c>
      <c r="AP12" t="str">
        <f t="shared" si="10"/>
        <v>Neutral</v>
      </c>
      <c r="AQ12">
        <f t="shared" si="11"/>
        <v>2.5999999999999996</v>
      </c>
      <c r="AR12" t="str" cm="1">
        <f t="array" ref="AR12">INDEX(step2_raw_simulation[AI_FAC2_Reason], (ROW(AR11)-1)*5 + 1)</f>
        <v>Biểu thuế mới rõ ràng hơn nhưng vẫn có nhiều bậc thuế, giảm độ phức tạp so với trước nên tăng điểm 3</v>
      </c>
      <c r="AS12" t="str">
        <f>interview_responses[[#This Row],[Lý do - HUMAN-FAC2]]</f>
        <v>Không khác lắm</v>
      </c>
      <c r="AT12">
        <f>AVERAGE(
  INDEX(step2_raw_simulation!AE:AE, (ROW(AC11)-1)*5 + 2)
  :
  INDEX(step2_raw_simulation!AE:AE, (ROW(AC11)-1)*5 + 6)
)</f>
        <v>5</v>
      </c>
      <c r="AU12" t="str">
        <f t="shared" si="12"/>
        <v>Neutral</v>
      </c>
      <c r="AV12">
        <f>interview_responses[[#This Row],[Tôi tin rằng Nhà nước, cơ quan thuế sẽ thực thi chính sách mới một cách khách quan, công tâm và đối xử bình đẳng với mọi người nộp thuế.  - HUMAN-TRU1]]</f>
        <v>4</v>
      </c>
      <c r="AW12" t="str">
        <f t="shared" si="13"/>
        <v>Oppose</v>
      </c>
      <c r="AX12">
        <f t="shared" si="14"/>
        <v>1</v>
      </c>
      <c r="AY12" t="str" cm="1">
        <f t="array" ref="AY12">INDEX(step2_raw_simulation[AI_TRU1_Reason], (ROW(AY11)-1)*5 + 1)</f>
        <v>Tôi tin rằng cơ quan thuế sẽ công tâm trong việc thực thi chính sách mới, nhưng mức thuế cao và lạm phát vẫn là vấn đề, giảm điểm 2</v>
      </c>
      <c r="AZ12" t="str">
        <f>interview_responses[[#This Row],[Lý do - HUMAN-TRU1]]</f>
        <v>Với tôi, thuế vẫn đang nắm trên những người tầng lớp trung lưu, làm công ăn lương</v>
      </c>
      <c r="BA12">
        <f>AVERAGE(
  INDEX(step2_raw_simulation!AJ:AJ, (ROW(AJ11)-1)*5 + 2)
  :
  INDEX(step2_raw_simulation!AJ:AJ, (ROW(AJ11)-1)*5 + 6)
)</f>
        <v>4.8</v>
      </c>
      <c r="BB12" t="str">
        <f t="shared" si="15"/>
        <v>Oppose</v>
      </c>
      <c r="BC12">
        <f>interview_responses[[#This Row],[Tôi thấy mức thuế tôi phải đóng theo phương án mới là công bằng (người thu nhập như tôi đóng mức này là hợp lý). - HUMAN-TRU2]]</f>
        <v>2</v>
      </c>
      <c r="BD12" t="str">
        <f t="shared" si="16"/>
        <v>Oppose</v>
      </c>
      <c r="BE12">
        <f t="shared" si="17"/>
        <v>2.8</v>
      </c>
      <c r="BF12" t="str" cm="1">
        <f t="array" ref="BF12">INDEX(step2_raw_simulation[AI_TRU2_Reason], (ROW(BF11)-1)*5 + 1)</f>
        <v>Mức thuế mới không còn quá nặng so với thu nhập của tôi, nhưng vẫn cao hơn nhiều so với mặt bằng chung trong khu vực, giảm điểm 3</v>
      </c>
      <c r="BG12" t="str">
        <f>interview_responses[[#This Row],[Lý do - HUMAN-TRU2]]</f>
        <v>Mức bắt đầu đóng thuế ở mỗi mức quá cao so với mặt bằng chung trong khu vực</v>
      </c>
      <c r="BH12">
        <f>AVERAGE(
  INDEX(step2_raw_simulation!AO:AO, (ROW(AQ11)-1)*5 + 2)
  :
  INDEX(step2_raw_simulation!AO:AO, (ROW(AQ11)-1)*5 + 6)
)</f>
        <v>5.6</v>
      </c>
      <c r="BI12" t="str">
        <f t="shared" si="18"/>
        <v>Neutral</v>
      </c>
      <c r="BJ12">
        <f>interview_responses[[#This Row],[Tôi tin tưởng số tiền thuế tôi đóng sẽ được Nhà nước sử dụng hiệu quả để cải thiện dịch vụ công (y tế, đường xá...). - HUMAN-TRU3]]</f>
        <v>2</v>
      </c>
      <c r="BK12" t="str">
        <f t="shared" si="19"/>
        <v>Oppose</v>
      </c>
      <c r="BL12">
        <f t="shared" si="20"/>
        <v>3.5999999999999996</v>
      </c>
      <c r="BM12" t="str" cm="1">
        <f t="array" ref="BM12">INDEX(step2_raw_simulation[AI_TRU3_Reason], (ROW(BM11)-1)*5 + 1)</f>
        <v>Tôi tin số tiền thuế đóng sẽ được sử dụng hiệu quả cho dịch vụ công, nhưng mức thuế hiện tại còn quá cao so với khả năng chi trả</v>
      </c>
      <c r="BN12" t="str">
        <f>interview_responses[[#This Row],[Lý do - HUMAN-TRU3]]</f>
        <v>Tham nhũng, không minh bạch,</v>
      </c>
      <c r="BO12">
        <f>AVERAGE(
  INDEX(step2_raw_simulation!AT:AT, (ROW(AX11)-1)*5 + 2)
  :
  INDEX(step2_raw_simulation!AT:AT, (ROW(AX11)-1)*5 + 6)
)</f>
        <v>4.8</v>
      </c>
      <c r="BP12" t="str">
        <f t="shared" si="21"/>
        <v>Oppose</v>
      </c>
      <c r="BQ12">
        <f>interview_responses[[#This Row],[Tôi thấy Nhà nước đã giải thích rõ ràng, minh bạch về lý do và mục tiêu của việc sửa đổi thuế lần này. - HUMAN-TRU4]]</f>
        <v>6</v>
      </c>
      <c r="BR12" t="str">
        <f t="shared" si="22"/>
        <v>Neutral</v>
      </c>
      <c r="BS12">
        <f t="shared" si="23"/>
        <v>1.2000000000000002</v>
      </c>
      <c r="BT12" t="str" cm="1">
        <f t="array" ref="BT12">INDEX(step2_raw_simulation[AI_TRU4_Reason], (ROW(BT11)-1)*5 + 1)</f>
        <v>Cơ quan thuế đã giải thích rõ ràng về chính sách mới và mục tiêu, nhưng vẫn có sự đa nghi vì tham nhũng và không minh bạch</v>
      </c>
      <c r="BU12" t="str">
        <f>interview_responses[[#This Row],[Lý do - HUMAN-TRU4]]</f>
        <v>Đã giải thích nhưng không thuyết phục, chủ yếu là thiếu data support cho việc ra quyết định</v>
      </c>
      <c r="BV12">
        <f>AVERAGE(
  INDEX(step2_raw_simulation!AY:AY, (ROW(BE11)-1)*5 + 2)
  :
  INDEX(step2_raw_simulation!AY:AY, (ROW(BE11)-1)*5 + 6)
)</f>
        <v>6.6</v>
      </c>
      <c r="BW12" t="str">
        <f t="shared" si="24"/>
        <v>Neutral</v>
      </c>
      <c r="BX12">
        <f>interview_responses[[#This Row],[Sau khi xem xét các quyền lợi và nghĩa vụ, bạn có ủng hộ và tuân thủ chính sách mới hiện nay? - HUMAN-OUT1]]</f>
        <v>5</v>
      </c>
      <c r="BY12" t="str">
        <f t="shared" si="25"/>
        <v>Neutral</v>
      </c>
      <c r="BZ12">
        <f t="shared" si="26"/>
        <v>1.5999999999999996</v>
      </c>
      <c r="CA12" t="str" cm="1">
        <f t="array" ref="CA12">INDEX(step2_raw_simulation[AI_OUT1_Reason], (ROW(CA11)-1)*5 + 1)</f>
        <v>Tôi ủng hộ chính sách mới vì giảm trừ gia cảnh tăng mạnh và mức thuế đơn giản hơn, nhưng mức thuế hiện tại vẫn quá cao</v>
      </c>
      <c r="CB12" t="str">
        <f>interview_responses[[#This Row],[Lý do - HUMAN-OUT1]]</f>
        <v>Tôi tuân thủ, nhưng với tôi mức thuế hiện tại đang đóng quá cao, trong khi lạm phát đang phi mã</v>
      </c>
    </row>
    <row r="13" spans="1:80" x14ac:dyDescent="0.45">
      <c r="A13" cm="1">
        <f t="array" ref="A13">INDEX(step2_raw_simulation[Persona_ID], (ROW(A12)-1)*5 + 1)</f>
        <v>12</v>
      </c>
      <c r="B13" cm="1">
        <f t="array" ref="B13">INDEX(step2_raw_simulation[Run_ID], (ROW(B12)-1)*5 + 1)</f>
        <v>1</v>
      </c>
      <c r="C13" cm="1">
        <f t="array" ref="C13">INDEX(step2_raw_simulation[Used_Seed], (ROW(C12)-1)*5 + 1)</f>
        <v>1143</v>
      </c>
      <c r="D13" t="str" cm="1">
        <f t="array" ref="D13">INDEX(step2_raw_simulation[Gender], (ROW(D12)-1)*5 + 1)</f>
        <v>Nam</v>
      </c>
      <c r="E13" t="str">
        <f>interview_responses[[#This Row],[Giới tính của bạn:]]</f>
        <v>Nam</v>
      </c>
      <c r="F13" t="str" cm="1">
        <f t="array" ref="F13">INDEX(step2_raw_simulation[Age], (ROW(F12)-1)*5 + 1)</f>
        <v>30 - 39</v>
      </c>
      <c r="G13" t="str">
        <f>interview_responses[[#This Row],[Độ tuổi của bạn:]]</f>
        <v>30 - 39</v>
      </c>
      <c r="H13" t="str" cm="1">
        <f t="array" ref="H13">INDEX(step2_raw_simulation[Region], (ROW(H12)-1)*5 + 1)</f>
        <v>Thành thị</v>
      </c>
      <c r="I13" t="str">
        <f>interview_responses[[#This Row],[Khu vực bạn đang sinh sống:]]</f>
        <v>Thành thị</v>
      </c>
      <c r="J13" t="str" cm="1">
        <f t="array" ref="J13">INDEX(step2_raw_simulation[Education], (ROW(J12)-1)*5 + 1)</f>
        <v>Đại học</v>
      </c>
      <c r="K13" t="str">
        <f>interview_responses[[#This Row],[Trình độ học vấn cao nhất:]]</f>
        <v>Đại học</v>
      </c>
      <c r="L13" t="str" cm="1">
        <f t="array" ref="L13">INDEX(step2_raw_simulation[Employment], (ROW(L12)-1)*5 + 1)</f>
        <v>Chính thức</v>
      </c>
      <c r="M13" t="str">
        <f>interview_responses[[#This Row],[Tình trạng việc làm chính:]]</f>
        <v>Khu vực chính thức (Có Hợp đồng lao động, đóng BHXH)</v>
      </c>
      <c r="N13" cm="1">
        <f t="array" ref="N13">INDEX(step2_raw_simulation[Income_Mil], (ROW(N12)-1)*5 + 1)</f>
        <v>15</v>
      </c>
      <c r="O13" t="str">
        <f>interview_responses[[#This Row],[Thu nhập bình quân tháng theo Hợp đồng lao động của bạn là bao nhiêu? (Vui lòng điền tổng thu nhập trước khi khấu trừ các loại Bảo hiểm (BHXH, BHYT, BHTN) và Thuế TNCN)]]</f>
        <v>Từ 12 - 18 triệu VNĐ</v>
      </c>
      <c r="P13" cm="1">
        <f t="array" ref="P13">INDEX(step2_raw_simulation[Dependents], (ROW(P12)-1)*5 + 1)</f>
        <v>1</v>
      </c>
      <c r="Q13" t="str">
        <f>interview_responses[[#This Row],[Số người phụ thuộc (con nhỏ, cha mẹ già...) đủ điều kiện giảm trừ gia cảnh:]]</f>
        <v>1 người</v>
      </c>
      <c r="R13">
        <f>AVERAGE(
  INDEX(step2_raw_simulation!K:K, (ROW(A12)-1)*5 + 2)
  :
  INDEX(step2_raw_simulation!K:K, (ROW(A12)-1)*5 + 6)
)</f>
        <v>6.2</v>
      </c>
      <c r="S13" t="str">
        <f t="shared" si="0"/>
        <v>Neutral</v>
      </c>
      <c r="T13">
        <f>interview_responses[[#This Row],[Tôi tin rằng với các quy định quản lý thuế hiện nay, hành vi gian lận hoặc trốn thuế sẽ dễ dàng bị phát hiện và xử lý nghiêm. - HUMAN-ENF1]]</f>
        <v>8</v>
      </c>
      <c r="U13" t="str">
        <f t="shared" si="1"/>
        <v>Support</v>
      </c>
      <c r="V13">
        <f t="shared" si="2"/>
        <v>1.7999999999999998</v>
      </c>
      <c r="W13" t="str" cm="1">
        <f t="array" ref="W13">INDEX(step2_raw_simulation[AI_ENF1_Reason], (ROW(W12)-1)*5 + 1)</f>
        <v>Nếu Nhà nước số hóa dần, nộp thuế trên ETax thì và có barem cụ thể thì khả năng gian lận sẽ giảm xuống, tuy nhiên có thể đang trong quá trình làm nên vẫn cần thêm thời gian; tôi không tin tưởng nhiều vào việc này do lịch sử của nhà nước trong vấn đề công nghệ.</v>
      </c>
      <c r="X13" t="str">
        <f>interview_responses[[#This Row],[Lý do - HUMAN-ENF1]]</f>
        <v>Nếu Nhà nước số hóa dần, nộp thuế trên ETax thì và có barem cụ thể thì khả năng gian lận sẽ giảm xuống, tuy nhiên có thể đang trong quá trình làm nên vẫn cần thêm thời gian.</v>
      </c>
      <c r="Y13">
        <f>AVERAGE(
  INDEX(step2_raw_simulation!P:P, (ROW(H12)-1)*5 + 2)
  :
  INDEX(step2_raw_simulation!P:P, (ROW(H12)-1)*5 + 6)
)</f>
        <v>5</v>
      </c>
      <c r="Z13" t="str">
        <f t="shared" si="3"/>
        <v>Neutral</v>
      </c>
      <c r="AA13">
        <f>interview_responses[[#This Row],[Tôi tin rằng Nhà nước, cơ quan thuế có đủ khả năng và công nghệ để phát hiện, xử lý nghiêm các hành vi trốn thuế. - HUMAN-ENF2]]</f>
        <v>6</v>
      </c>
      <c r="AB13" t="str">
        <f t="shared" si="4"/>
        <v>Neutral</v>
      </c>
      <c r="AC13">
        <f t="shared" si="5"/>
        <v>1</v>
      </c>
      <c r="AD13" t="str" cm="1">
        <f t="array" ref="AD13">INDEX(step2_raw_simulation[AI_ENF2_Reason], (ROW(AD12)-1)*5 + 1)</f>
        <v>Tôi nghĩ rằng Nhà nước và cơ quan thuế có đủ khả năng để phát hiện và xử lý các hành vi trốn thuế, nhưng vẫn cần thời gian để hoàn thiện hệ thống; mức độ tin tưởng còn thấp hơn ENF1.</v>
      </c>
      <c r="AE13" t="str">
        <f>interview_responses[[#This Row],[Lý do - HUMAN-ENF2]]</f>
        <v>Tôi có lòng tin chưa cao lắm với Nhà nước trong nhiều vấn đề, trong đó có vấn đề công nghệ.</v>
      </c>
      <c r="AF13">
        <f>AVERAGE(
  INDEX(step2_raw_simulation!U:U, (ROW(O12)-1)*5 + 2)
  :
  INDEX(step2_raw_simulation!U:U, (ROW(O12)-1)*5 + 6)
)</f>
        <v>7.6</v>
      </c>
      <c r="AG13" t="str">
        <f t="shared" si="6"/>
        <v>Neutral</v>
      </c>
      <c r="AH13">
        <f>interview_responses[[#This Row],[Các thủ tục khai báo thuế VÀ/HOẶC quy trình làm việc với cơ quan thuế đơn giản, tiện lợi, nhanh chóng hơn so với trước đây. - HUMAN-FAC1]]</f>
        <v>9</v>
      </c>
      <c r="AI13" t="str">
        <f t="shared" si="7"/>
        <v>Support</v>
      </c>
      <c r="AJ13">
        <f t="shared" si="8"/>
        <v>1.4000000000000004</v>
      </c>
      <c r="AK13" t="str" cm="1">
        <f t="array" ref="AK13">INDEX(step2_raw_simulation[AI_FAC1_Reason], (ROW(AK12)-1)*5 + 1)</f>
        <v>So với trước đây, quy trình khai báo thuế trên ETax đã dễ dàng và tiện lợi hơn nhiều; việc đơn giản hóa biểu thuế cũng giúp tôi hiểu rõ cách tính thuế hơn.</v>
      </c>
      <c r="AL13" t="str">
        <f>interview_responses[[#This Row],[Lý do - HUMAN-FAC1]]</f>
        <v>Cái này thì tôi thấy có cải thiện, do 2 năm khai thuế bằng ETax thì tiện hơn.</v>
      </c>
      <c r="AM13">
        <f>AVERAGE(
  INDEX(step2_raw_simulation!Z:Z, (ROW(V12)-1)*5 + 2)
  :
  INDEX(step2_raw_simulation!Z:Z, (ROW(V12)-1)*5 + 6)
)</f>
        <v>7.6</v>
      </c>
      <c r="AN13" t="str">
        <f t="shared" si="9"/>
        <v>Neutral</v>
      </c>
      <c r="AO13">
        <f>interview_responses[[#This Row],[So với trước đây, tôi thấy cách tính thuế và các bậc thuế trong phương án mới đơn giản, dễ hiểu và dễ thực hiện hơn. - HUMAN-FAC2]]</f>
        <v>8</v>
      </c>
      <c r="AP13" t="str">
        <f t="shared" si="10"/>
        <v>Support</v>
      </c>
      <c r="AQ13">
        <f t="shared" si="11"/>
        <v>0.40000000000000036</v>
      </c>
      <c r="AR13" t="str" cm="1">
        <f t="array" ref="AR13">INDEX(step2_raw_simulation[AI_FAC2_Reason], (ROW(AR12)-1)*5 + 1)</f>
        <v>Các bậc thuế mới có ít bậc hơn nên cách tính thuế trở nên rõ ràng và dễ thực hiện hơn, nhưng vẫn giữ được tính logic của trước đây.</v>
      </c>
      <c r="AS13" t="str">
        <f>interview_responses[[#This Row],[Lý do - HUMAN-FAC2]]</f>
        <v>Tôi thấy logic cơ bản thì ko khác gì, chỉ điều chỉnh mốc con số nên về tính đơn giản, dễ hiểu, dễ thực hiện thì vẫn không thay đổi, nhưng cách tính thì vẫn khá dễ hiểu.</v>
      </c>
      <c r="AT13">
        <f>AVERAGE(
  INDEX(step2_raw_simulation!AE:AE, (ROW(AC12)-1)*5 + 2)
  :
  INDEX(step2_raw_simulation!AE:AE, (ROW(AC12)-1)*5 + 6)
)</f>
        <v>6</v>
      </c>
      <c r="AU13" t="str">
        <f t="shared" si="12"/>
        <v>Neutral</v>
      </c>
      <c r="AV13">
        <f>interview_responses[[#This Row],[Tôi tin rằng Nhà nước, cơ quan thuế sẽ thực thi chính sách mới một cách khách quan, công tâm và đối xử bình đẳng với mọi người nộp thuế.  - HUMAN-TRU1]]</f>
        <v>7</v>
      </c>
      <c r="AW13" t="str">
        <f t="shared" si="13"/>
        <v>Neutral</v>
      </c>
      <c r="AX13">
        <f t="shared" si="14"/>
        <v>1</v>
      </c>
      <c r="AY13" t="str" cm="1">
        <f t="array" ref="AY13">INDEX(step2_raw_simulation[AI_TRU1_Reason], (ROW(AY12)-1)*5 + 1)</f>
        <v>Tôi tin rằng Nhà nước sẽ công tâm trong việc thực thi chính sách, nhưng mức độ tin tưởng chung về dịch vụ công của nhà nước ở mức trung bình đến thấp.</v>
      </c>
      <c r="AZ13" t="str">
        <f>interview_responses[[#This Row],[Lý do - HUMAN-TRU1]]</f>
        <v>Tôi ko có cơ sở nào nhưng lòng tin thì ở mức trung bình khá.</v>
      </c>
      <c r="BA13">
        <f>AVERAGE(
  INDEX(step2_raw_simulation!AJ:AJ, (ROW(AJ12)-1)*5 + 2)
  :
  INDEX(step2_raw_simulation!AJ:AJ, (ROW(AJ12)-1)*5 + 6)
)</f>
        <v>7.8</v>
      </c>
      <c r="BB13" t="str">
        <f t="shared" si="15"/>
        <v>Neutral</v>
      </c>
      <c r="BC13">
        <f>interview_responses[[#This Row],[Tôi thấy mức thuế tôi phải đóng theo phương án mới là công bằng (người thu nhập như tôi đóng mức này là hợp lý). - HUMAN-TRU2]]</f>
        <v>8</v>
      </c>
      <c r="BD13" t="str">
        <f t="shared" si="16"/>
        <v>Support</v>
      </c>
      <c r="BE13">
        <f t="shared" si="17"/>
        <v>0.20000000000000018</v>
      </c>
      <c r="BF13" t="str" cm="1">
        <f t="array" ref="BF13">INDEX(step2_raw_simulation[AI_TRU2_Reason], (ROW(BF12)-1)*5 + 1)</f>
        <v>Với mức giảm trừ gia cảnh cao hơn và thu nhập hàng tháng dưới ngưỡng chịu thuế, tôi thấy rằng mức thuế mới là hợp lý cho thu nhập hiện tại của mình.</v>
      </c>
      <c r="BG13" t="str">
        <f>interview_responses[[#This Row],[Lý do - HUMAN-TRU2]]</f>
        <v xml:space="preserve">Tôi thấy điều chỉnh theo hướng cải thiện nên vẫn ok. </v>
      </c>
      <c r="BH13">
        <f>AVERAGE(
  INDEX(step2_raw_simulation!AO:AO, (ROW(AQ12)-1)*5 + 2)
  :
  INDEX(step2_raw_simulation!AO:AO, (ROW(AQ12)-1)*5 + 6)
)</f>
        <v>6.6</v>
      </c>
      <c r="BI13" t="str">
        <f t="shared" si="18"/>
        <v>Neutral</v>
      </c>
      <c r="BJ13">
        <f>interview_responses[[#This Row],[Tôi tin tưởng số tiền thuế tôi đóng sẽ được Nhà nước sử dụng hiệu quả để cải thiện dịch vụ công (y tế, đường xá...). - HUMAN-TRU3]]</f>
        <v>4</v>
      </c>
      <c r="BK13" t="str">
        <f t="shared" si="19"/>
        <v>Oppose</v>
      </c>
      <c r="BL13">
        <f t="shared" si="20"/>
        <v>2.5999999999999996</v>
      </c>
      <c r="BM13" t="str" cm="1">
        <f t="array" ref="BM13">INDEX(step2_raw_simulation[AI_TRU3_Reason], (ROW(BM12)-1)*5 + 1)</f>
        <v>Tôi tin tưởng rằng số tiền thuế đóng sẽ được sử dụng hiệu quả để cải thiện các dịch vụ công, nhưng mức độ tin tưởng còn phụ thuộc vào hiệu quả thực tế trong việc sử dụng ngân sách.</v>
      </c>
      <c r="BN13" t="str">
        <f>interview_responses[[#This Row],[Lý do - HUMAN-TRU3]]</f>
        <v>Tôi không tin tưởng việc này, nhìn thấy dịch vụ và hàng hóa công ở mức trung bình đến tệ.</v>
      </c>
      <c r="BO13">
        <f>AVERAGE(
  INDEX(step2_raw_simulation!AT:AT, (ROW(AX12)-1)*5 + 2)
  :
  INDEX(step2_raw_simulation!AT:AT, (ROW(AX12)-1)*5 + 6)
)</f>
        <v>6</v>
      </c>
      <c r="BP13" t="str">
        <f t="shared" si="21"/>
        <v>Neutral</v>
      </c>
      <c r="BQ13">
        <f>interview_responses[[#This Row],[Tôi thấy Nhà nước đã giải thích rõ ràng, minh bạch về lý do và mục tiêu của việc sửa đổi thuế lần này. - HUMAN-TRU4]]</f>
        <v>6</v>
      </c>
      <c r="BR13" t="str">
        <f t="shared" si="22"/>
        <v>Neutral</v>
      </c>
      <c r="BS13">
        <f t="shared" si="23"/>
        <v>0</v>
      </c>
      <c r="BT13" t="str" cm="1">
        <f t="array" ref="BT13">INDEX(step2_raw_simulation[AI_TRU4_Reason], (ROW(BT12)-1)*5 + 1)</f>
        <v>Nhà nước đã giải thích rõ ràng về mục tiêu của chính sách mới, mặc dù tôi vẫn có một chút nghi ngờ về cách họ sẽ thực hiện nó.</v>
      </c>
      <c r="BU13" t="str">
        <f>interview_responses[[#This Row],[Lý do - HUMAN-TRU4]]</f>
        <v>Tôi thấy cũng có chia sẻ, truyền thông báo chí về việc này nên cũng tạm ok.</v>
      </c>
      <c r="BV13">
        <f>AVERAGE(
  INDEX(step2_raw_simulation!AY:AY, (ROW(BE12)-1)*5 + 2)
  :
  INDEX(step2_raw_simulation!AY:AY, (ROW(BE12)-1)*5 + 6)
)</f>
        <v>8.6</v>
      </c>
      <c r="BW13" t="str">
        <f t="shared" si="24"/>
        <v>Support</v>
      </c>
      <c r="BX13">
        <f>interview_responses[[#This Row],[Sau khi xem xét các quyền lợi và nghĩa vụ, bạn có ủng hộ và tuân thủ chính sách mới hiện nay? - HUMAN-OUT1]]</f>
        <v>7</v>
      </c>
      <c r="BY13" t="str">
        <f t="shared" si="25"/>
        <v>Neutral</v>
      </c>
      <c r="BZ13">
        <f t="shared" si="26"/>
        <v>1.5999999999999996</v>
      </c>
      <c r="CA13" t="str" cm="1">
        <f t="array" ref="CA13">INDEX(step2_raw_simulation[AI_OUT1_Reason], (ROW(CA12)-1)*5 + 1)</f>
        <v>Tôi ủng hộ vì nhìn chung mức thuế suất có điều chỉnh tốt hơn; vấn đề còn lại là Nhà nước dùng thuế hiệu quả đến đâu thôi. Với mức thu nhập và giảm trừ gia cảnh mới, tôi không phải nộp thuế nên tôi thấy chính sách này có lợi cho mình.</v>
      </c>
      <c r="CB13" t="str">
        <f>interview_responses[[#This Row],[Lý do - HUMAN-OUT1]]</f>
        <v>Tôi ủng hộ vì nhìn chung mức thuế suất có điều chỉnh tốt hơn; vấn đề còn lại là Nhà nước dùng thuế hiệu quả đến đâu thôi.</v>
      </c>
    </row>
    <row r="14" spans="1:80" x14ac:dyDescent="0.45">
      <c r="A14" cm="1">
        <f t="array" ref="A14">INDEX(step2_raw_simulation[Persona_ID], (ROW(A13)-1)*5 + 1)</f>
        <v>13</v>
      </c>
      <c r="B14" cm="1">
        <f t="array" ref="B14">INDEX(step2_raw_simulation[Run_ID], (ROW(B13)-1)*5 + 1)</f>
        <v>1</v>
      </c>
      <c r="C14" cm="1">
        <f t="array" ref="C14">INDEX(step2_raw_simulation[Used_Seed], (ROW(C13)-1)*5 + 1)</f>
        <v>1243</v>
      </c>
      <c r="D14" t="str" cm="1">
        <f t="array" ref="D14">INDEX(step2_raw_simulation[Gender], (ROW(D13)-1)*5 + 1)</f>
        <v>Nữ</v>
      </c>
      <c r="E14" t="str">
        <f>interview_responses[[#This Row],[Giới tính của bạn:]]</f>
        <v>Nữ</v>
      </c>
      <c r="F14" t="str" cm="1">
        <f t="array" ref="F14">INDEX(step2_raw_simulation[Age], (ROW(F13)-1)*5 + 1)</f>
        <v>40 - 49</v>
      </c>
      <c r="G14" t="str">
        <f>interview_responses[[#This Row],[Độ tuổi của bạn:]]</f>
        <v>40 - 49</v>
      </c>
      <c r="H14" t="str" cm="1">
        <f t="array" ref="H14">INDEX(step2_raw_simulation[Region], (ROW(H13)-1)*5 + 1)</f>
        <v>Thành thị</v>
      </c>
      <c r="I14" t="str">
        <f>interview_responses[[#This Row],[Khu vực bạn đang sinh sống:]]</f>
        <v>Thành thị</v>
      </c>
      <c r="J14" t="str" cm="1">
        <f t="array" ref="J14">INDEX(step2_raw_simulation[Education], (ROW(J13)-1)*5 + 1)</f>
        <v>Đại học</v>
      </c>
      <c r="K14" t="str">
        <f>interview_responses[[#This Row],[Trình độ học vấn cao nhất:]]</f>
        <v>Đại học</v>
      </c>
      <c r="L14" t="str" cm="1">
        <f t="array" ref="L14">INDEX(step2_raw_simulation[Employment], (ROW(L13)-1)*5 + 1)</f>
        <v>Chính thức</v>
      </c>
      <c r="M14" t="str">
        <f>interview_responses[[#This Row],[Tình trạng việc làm chính:]]</f>
        <v>Khu vực chính thức (Có Hợp đồng lao động, đóng BHXH)</v>
      </c>
      <c r="N14" cm="1">
        <f t="array" ref="N14">INDEX(step2_raw_simulation[Income_Mil], (ROW(N13)-1)*5 + 1)</f>
        <v>120</v>
      </c>
      <c r="O14" t="str">
        <f>interview_responses[[#This Row],[Thu nhập bình quân tháng theo Hợp đồng lao động của bạn là bao nhiêu? (Vui lòng điền tổng thu nhập trước khi khấu trừ các loại Bảo hiểm (BHXH, BHYT, BHTN) và Thuế TNCN)]]</f>
        <v>Trên 102 triệu VNĐ</v>
      </c>
      <c r="P14" cm="1">
        <f t="array" ref="P14">INDEX(step2_raw_simulation[Dependents], (ROW(P13)-1)*5 + 1)</f>
        <v>1</v>
      </c>
      <c r="Q14" t="str">
        <f>interview_responses[[#This Row],[Số người phụ thuộc (con nhỏ, cha mẹ già...) đủ điều kiện giảm trừ gia cảnh:]]</f>
        <v>1 người</v>
      </c>
      <c r="R14">
        <f>AVERAGE(
  INDEX(step2_raw_simulation!K:K, (ROW(A13)-1)*5 + 2)
  :
  INDEX(step2_raw_simulation!K:K, (ROW(A13)-1)*5 + 6)
)</f>
        <v>6.8</v>
      </c>
      <c r="S14" t="str">
        <f t="shared" si="0"/>
        <v>Neutral</v>
      </c>
      <c r="T14">
        <f>interview_responses[[#This Row],[Tôi tin rằng với các quy định quản lý thuế hiện nay, hành vi gian lận hoặc trốn thuế sẽ dễ dàng bị phát hiện và xử lý nghiêm. - HUMAN-ENF1]]</f>
        <v>8</v>
      </c>
      <c r="U14" t="str">
        <f t="shared" si="1"/>
        <v>Support</v>
      </c>
      <c r="V14">
        <f t="shared" si="2"/>
        <v>1.2000000000000002</v>
      </c>
      <c r="W14" t="str" cm="1">
        <f t="array" ref="W14">INDEX(step2_raw_simulation[AI_ENF1_Reason], (ROW(W13)-1)*5 + 1)</f>
        <v>Theo nhận định của tôi, áp lực từ cơ quan thuế đối với các hành vi gian lận hoặc trốn thuế chủ yếu đến từ cách triển khai thực thi quy định hơn là qui định chính nó. Dù có nhiều biện pháp như công nghệ và cross-check, nhưng không thể loại bỏ hoàn toàn rủi ro trốn thuế.</v>
      </c>
      <c r="X14" t="str">
        <f>interview_responses[[#This Row],[Lý do - HUMAN-ENF1]]</f>
        <v>Thực tế cơ quan thuế dễ dàng phát hiện hạng vi gian lận thuế không phải đến từ các qui định của Luật Thuế TNCN mà đến từ cách triển khai, tuyên truyền ở bước thực thi: áp dụng công nghệ, data cross - check,  thanh tra thuế, CQĐT .</v>
      </c>
      <c r="Y14">
        <f>AVERAGE(
  INDEX(step2_raw_simulation!P:P, (ROW(H13)-1)*5 + 2)
  :
  INDEX(step2_raw_simulation!P:P, (ROW(H13)-1)*5 + 6)
)</f>
        <v>6.8</v>
      </c>
      <c r="Z14" t="str">
        <f t="shared" si="3"/>
        <v>Neutral</v>
      </c>
      <c r="AA14">
        <f>interview_responses[[#This Row],[Tôi tin rằng Nhà nước, cơ quan thuế có đủ khả năng và công nghệ để phát hiện, xử lý nghiêm các hành vi trốn thuế. - HUMAN-ENF2]]</f>
        <v>9</v>
      </c>
      <c r="AB14" t="str">
        <f t="shared" si="4"/>
        <v>Support</v>
      </c>
      <c r="AC14">
        <f t="shared" si="5"/>
        <v>2.2000000000000002</v>
      </c>
      <c r="AD14" t="str" cm="1">
        <f t="array" ref="AD14">INDEX(step2_raw_simulation[AI_ENF2_Reason], (ROW(AD13)-1)*5 + 1)</f>
        <v>Nếu cơ quan thuế áp dụng các biện pháp như công nghệ, data cross-check hiệu quả hơn, khả năng phát hiện và xử lý nghiêm sẽ tăng. Tuy nhiên, thực tế vẫn còn phụ thuộc vào cách triển khai.</v>
      </c>
      <c r="AE14" t="str">
        <f>interview_responses[[#This Row],[Lý do - HUMAN-ENF2]]</f>
        <v>Khuyến khích hành vi tiêu dùng cashless của cá nhân, siết chặt các giao dịch cash của hộ kinh doanh cá thể và DN</v>
      </c>
      <c r="AF14">
        <f>AVERAGE(
  INDEX(step2_raw_simulation!U:U, (ROW(O13)-1)*5 + 2)
  :
  INDEX(step2_raw_simulation!U:U, (ROW(O13)-1)*5 + 6)
)</f>
        <v>7.6</v>
      </c>
      <c r="AG14" t="str">
        <f t="shared" si="6"/>
        <v>Neutral</v>
      </c>
      <c r="AH14">
        <f>interview_responses[[#This Row],[Các thủ tục khai báo thuế VÀ/HOẶC quy trình làm việc với cơ quan thuế đơn giản, tiện lợi, nhanh chóng hơn so với trước đây. - HUMAN-FAC1]]</f>
        <v>5</v>
      </c>
      <c r="AI14" t="str">
        <f t="shared" si="7"/>
        <v>Neutral</v>
      </c>
      <c r="AJ14">
        <f t="shared" si="8"/>
        <v>2.5999999999999996</v>
      </c>
      <c r="AK14" t="str" cm="1">
        <f t="array" ref="AK14">INDEX(step2_raw_simulation[AI_FAC1_Reason], (ROW(AK13)-1)*5 + 1)</f>
        <v>Trang web của cơ quan thuế chưa hỗ trợ đầy đủ chức năng truy suất lịch sử hồ sơ, nhưng việc rút gọn bậc thuế có thể làm thủ tục đơn giản hơn. So với trước đây, tôi thấy có sự cải thiện.</v>
      </c>
      <c r="AL14" t="str">
        <f>interview_responses[[#This Row],[Lý do - HUMAN-FAC1]]</f>
        <v>Trang web cau co quan thue vẫn chưa hỗ trợ chức năngtruy suất thông tin lịch sử về hồ sơ kê khai và nộp thúe cá nhân ( chỉ kiểm tra được các thông tin cơ bản, không thể hiênn chi tiết như Canada/ Mỹ)</v>
      </c>
      <c r="AM14">
        <f>AVERAGE(
  INDEX(step2_raw_simulation!Z:Z, (ROW(V13)-1)*5 + 2)
  :
  INDEX(step2_raw_simulation!Z:Z, (ROW(V13)-1)*5 + 6)
)</f>
        <v>8.4</v>
      </c>
      <c r="AN14" t="str">
        <f t="shared" si="9"/>
        <v>Support</v>
      </c>
      <c r="AO14">
        <f>interview_responses[[#This Row],[So với trước đây, tôi thấy cách tính thuế và các bậc thuế trong phương án mới đơn giản, dễ hiểu và dễ thực hiện hơn. - HUMAN-FAC2]]</f>
        <v>8</v>
      </c>
      <c r="AP14" t="str">
        <f t="shared" si="10"/>
        <v>Support</v>
      </c>
      <c r="AQ14">
        <f t="shared" si="11"/>
        <v>0.40000000000000036</v>
      </c>
      <c r="AR14" t="str" cm="1">
        <f t="array" ref="AR14">INDEX(step2_raw_simulation[AI_FAC2_Reason], (ROW(AR13)-1)*5 + 1)</f>
        <v>Bậc thuế từ 7 xuống còn 5 đã giảm độ phức tạp và dễ dàng tính toán hơn, nhưng việc không hỗ trợ truy suất lịch sử trên trang web vẫn là vấn đề cần cải thiện.</v>
      </c>
      <c r="AS14" t="str">
        <f>interview_responses[[#This Row],[Lý do - HUMAN-FAC2]]</f>
        <v>Bậc tính thuế ít hơn --&gt; tính toán đơn giản hơn.</v>
      </c>
      <c r="AT14">
        <f>AVERAGE(
  INDEX(step2_raw_simulation!AE:AE, (ROW(AC13)-1)*5 + 2)
  :
  INDEX(step2_raw_simulation!AE:AE, (ROW(AC13)-1)*5 + 6)
)</f>
        <v>6.4</v>
      </c>
      <c r="AU14" t="str">
        <f t="shared" si="12"/>
        <v>Neutral</v>
      </c>
      <c r="AV14">
        <f>interview_responses[[#This Row],[Tôi tin rằng Nhà nước, cơ quan thuế sẽ thực thi chính sách mới một cách khách quan, công tâm và đối xử bình đẳng với mọi người nộp thuế.  - HUMAN-TRU1]]</f>
        <v>5</v>
      </c>
      <c r="AW14" t="str">
        <f t="shared" si="13"/>
        <v>Neutral</v>
      </c>
      <c r="AX14">
        <f t="shared" si="14"/>
        <v>1.4000000000000004</v>
      </c>
      <c r="AY14" t="str" cm="1">
        <f t="array" ref="AY14">INDEX(step2_raw_simulation[AI_TRU1_Reason], (ROW(AY13)-1)*5 + 1)</f>
        <v>Tôi tin rằng cơ quan thuế sẽ thực thi chính sách một cách công tâm, nhưng mức độ tuân thủ và hiệu quả sử dụng ngân sách còn phụ thuộc vào địa phương và ngành cụ thể.</v>
      </c>
      <c r="AZ14" t="str">
        <f>interview_responses[[#This Row],[Lý do - HUMAN-TRU1]]</f>
        <v>Không có cơ sở để tin việc này, vì hiện nay các loại dữ liệu để support cơ quan thuế kiểm tra việc tuân thủ thuế chưa đồng bộ giữa các địa phương và các ngành --&gt; nên nếu công dân nào làm trong lĩnh vực buộc phải tuân thủ thì tuân thủ, sống ở địa phương nào mà cơ quan thuế làm gắt hơn thi sẽ
nộp thuế đầy đủ hơn..</v>
      </c>
      <c r="BA14">
        <f>AVERAGE(
  INDEX(step2_raw_simulation!AJ:AJ, (ROW(AJ13)-1)*5 + 2)
  :
  INDEX(step2_raw_simulation!AJ:AJ, (ROW(AJ13)-1)*5 + 6)
)</f>
        <v>6.6</v>
      </c>
      <c r="BB14" t="str">
        <f t="shared" si="15"/>
        <v>Neutral</v>
      </c>
      <c r="BC14">
        <f>interview_responses[[#This Row],[Tôi thấy mức thuế tôi phải đóng theo phương án mới là công bằng (người thu nhập như tôi đóng mức này là hợp lý). - HUMAN-TRU2]]</f>
        <v>5</v>
      </c>
      <c r="BD14" t="str">
        <f t="shared" si="16"/>
        <v>Neutral</v>
      </c>
      <c r="BE14">
        <f t="shared" si="17"/>
        <v>1.5999999999999996</v>
      </c>
      <c r="BF14" t="str" cm="1">
        <f t="array" ref="BF14">INDEX(step2_raw_simulation[AI_TRU2_Reason], (ROW(BF13)-1)*5 + 1)</f>
        <v>Mức thuế mới phù hợp với thu nhập của tôi, nhưng do cơ chế thực thi không đồng bộ giữa các địa phương nên mức độ công bằng vẫn chưa hoàn hảo.</v>
      </c>
      <c r="BG14" t="str">
        <f>interview_responses[[#This Row],[Lý do - HUMAN-TRU2]]</f>
        <v>Mức thuế hợp lý nhưng nói công bằng thì không hẳn, nhưu đã nói trên, tuỳ vào linh  vực và địa bàn sinh sống thì mức độ nộp thuế khác nhau ( do cơ quan thực thi quyết định)</v>
      </c>
      <c r="BH14">
        <f>AVERAGE(
  INDEX(step2_raw_simulation!AO:AO, (ROW(AQ13)-1)*5 + 2)
  :
  INDEX(step2_raw_simulation!AO:AO, (ROW(AQ13)-1)*5 + 6)
)</f>
        <v>6.2</v>
      </c>
      <c r="BI14" t="str">
        <f t="shared" si="18"/>
        <v>Neutral</v>
      </c>
      <c r="BJ14">
        <f>interview_responses[[#This Row],[Tôi tin tưởng số tiền thuế tôi đóng sẽ được Nhà nước sử dụng hiệu quả để cải thiện dịch vụ công (y tế, đường xá...). - HUMAN-TRU3]]</f>
        <v>5</v>
      </c>
      <c r="BK14" t="str">
        <f t="shared" si="19"/>
        <v>Neutral</v>
      </c>
      <c r="BL14">
        <f t="shared" si="20"/>
        <v>1.2000000000000002</v>
      </c>
      <c r="BM14" t="str" cm="1">
        <f t="array" ref="BM14">INDEX(step2_raw_simulation[AI_TRU3_Reason], (ROW(BM13)-1)*5 + 1)</f>
        <v>Thuế đóng góp vào dịch vụ công, nhưng việc sử dụng hiệu quả nguồn lực còn phụ thuộc vào nhiều yếu tố quản lý khác của nhà nước.</v>
      </c>
      <c r="BN14" t="str">
        <f>interview_responses[[#This Row],[Lý do - HUMAN-TRU3]]</f>
        <v>Luật ngân sách của VN không phản ánh được điều này, đại biểu QH VN không có nhiều cơ hội để phản biện ngân sách QG một cách phù hợp</v>
      </c>
      <c r="BO14">
        <f>AVERAGE(
  INDEX(step2_raw_simulation!AT:AT, (ROW(AX13)-1)*5 + 2)
  :
  INDEX(step2_raw_simulation!AT:AT, (ROW(AX13)-1)*5 + 6)
)</f>
        <v>6.2</v>
      </c>
      <c r="BP14" t="str">
        <f t="shared" si="21"/>
        <v>Neutral</v>
      </c>
      <c r="BQ14">
        <f>interview_responses[[#This Row],[Tôi thấy Nhà nước đã giải thích rõ ràng, minh bạch về lý do và mục tiêu của việc sửa đổi thuế lần này. - HUMAN-TRU4]]</f>
        <v>6</v>
      </c>
      <c r="BR14" t="str">
        <f t="shared" si="22"/>
        <v>Neutral</v>
      </c>
      <c r="BS14">
        <f t="shared" si="23"/>
        <v>0.20000000000000018</v>
      </c>
      <c r="BT14" t="str" cm="1">
        <f t="array" ref="BT14">INDEX(step2_raw_simulation[AI_TRU4_Reason], (ROW(BT13)-1)*5 + 1)</f>
        <v>Cơ quan thuế đã giải thích rõ ràng về chính sách mới, nhưng tôi vẫn có nghi ngờ về khả năng thực thi đồng bộ giữa các địa phương và ngành.</v>
      </c>
      <c r="BU14" t="str">
        <f>interview_responses[[#This Row],[Lý do - HUMAN-TRU4]]</f>
        <v>Theo quy định của Luật Ban hành VB pháp luật, Bộ TC đã giải thích đầy đủ nhưng không thuyết phục.</v>
      </c>
      <c r="BV14">
        <f>AVERAGE(
  INDEX(step2_raw_simulation!AY:AY, (ROW(BE13)-1)*5 + 2)
  :
  INDEX(step2_raw_simulation!AY:AY, (ROW(BE13)-1)*5 + 6)
)</f>
        <v>8.4</v>
      </c>
      <c r="BW14" t="str">
        <f t="shared" si="24"/>
        <v>Support</v>
      </c>
      <c r="BX14">
        <f>interview_responses[[#This Row],[Sau khi xem xét các quyền lợi và nghĩa vụ, bạn có ủng hộ và tuân thủ chính sách mới hiện nay? - HUMAN-OUT1]]</f>
        <v>9</v>
      </c>
      <c r="BY14" t="str">
        <f t="shared" si="25"/>
        <v>Support</v>
      </c>
      <c r="BZ14">
        <f t="shared" si="26"/>
        <v>0.59999999999999964</v>
      </c>
      <c r="CA14" t="str" cm="1">
        <f t="array" ref="CA14">INDEX(step2_raw_simulation[AI_OUT1_Reason], (ROW(CA13)-1)*5 + 1)</f>
        <v>Chính sách cải cách thuế mang lại lợi ích tài chính cho tôi, giảm gánh nặng chi phí. Tôi sẽ tiếp tục tuân thủ vì nó phù hợp với thu nhập của tôi.</v>
      </c>
      <c r="CB14" t="str">
        <f>interview_responses[[#This Row],[Lý do - HUMAN-OUT1]]</f>
        <v>Tôi không có cơ hội để không tuân thủ</v>
      </c>
    </row>
    <row r="15" spans="1:80" x14ac:dyDescent="0.45">
      <c r="A15" cm="1">
        <f t="array" ref="A15">INDEX(step2_raw_simulation[Persona_ID], (ROW(A14)-1)*5 + 1)</f>
        <v>14</v>
      </c>
      <c r="B15" cm="1">
        <f t="array" ref="B15">INDEX(step2_raw_simulation[Run_ID], (ROW(B14)-1)*5 + 1)</f>
        <v>1</v>
      </c>
      <c r="C15" cm="1">
        <f t="array" ref="C15">INDEX(step2_raw_simulation[Used_Seed], (ROW(C14)-1)*5 + 1)</f>
        <v>1343</v>
      </c>
      <c r="D15" t="str" cm="1">
        <f t="array" ref="D15">INDEX(step2_raw_simulation[Gender], (ROW(D14)-1)*5 + 1)</f>
        <v>Nam</v>
      </c>
      <c r="E15" t="str">
        <f>interview_responses[[#This Row],[Giới tính của bạn:]]</f>
        <v>Nam</v>
      </c>
      <c r="F15" t="str" cm="1">
        <f t="array" ref="F15">INDEX(step2_raw_simulation[Age], (ROW(F14)-1)*5 + 1)</f>
        <v>25 - 29</v>
      </c>
      <c r="G15" t="str">
        <f>interview_responses[[#This Row],[Độ tuổi của bạn:]]</f>
        <v>25 - 29</v>
      </c>
      <c r="H15" t="str" cm="1">
        <f t="array" ref="H15">INDEX(step2_raw_simulation[Region], (ROW(H14)-1)*5 + 1)</f>
        <v>Thành thị</v>
      </c>
      <c r="I15" t="str">
        <f>interview_responses[[#This Row],[Khu vực bạn đang sinh sống:]]</f>
        <v>Thành thị</v>
      </c>
      <c r="J15" t="str" cm="1">
        <f t="array" ref="J15">INDEX(step2_raw_simulation[Education], (ROW(J14)-1)*5 + 1)</f>
        <v>Đại học</v>
      </c>
      <c r="K15" t="str">
        <f>interview_responses[[#This Row],[Trình độ học vấn cao nhất:]]</f>
        <v>Đại học</v>
      </c>
      <c r="L15" t="str" cm="1">
        <f t="array" ref="L15">INDEX(step2_raw_simulation[Employment], (ROW(L14)-1)*5 + 1)</f>
        <v>Chính thức</v>
      </c>
      <c r="M15" t="str">
        <f>interview_responses[[#This Row],[Tình trạng việc làm chính:]]</f>
        <v>Khu vực chính thức (Có Hợp đồng lao động, đóng BHXH)</v>
      </c>
      <c r="N15" cm="1">
        <f t="array" ref="N15">INDEX(step2_raw_simulation[Income_Mil], (ROW(N14)-1)*5 + 1)</f>
        <v>15</v>
      </c>
      <c r="O15" t="str">
        <f>interview_responses[[#This Row],[Thu nhập bình quân tháng theo Hợp đồng lao động của bạn là bao nhiêu? (Vui lòng điền tổng thu nhập trước khi khấu trừ các loại Bảo hiểm (BHXH, BHYT, BHTN) và Thuế TNCN)]]</f>
        <v>Từ 12 - 18 triệu VNĐ</v>
      </c>
      <c r="P15" cm="1">
        <f t="array" ref="P15">INDEX(step2_raw_simulation[Dependents], (ROW(P14)-1)*5 + 1)</f>
        <v>1</v>
      </c>
      <c r="Q15" t="str">
        <f>interview_responses[[#This Row],[Số người phụ thuộc (con nhỏ, cha mẹ già...) đủ điều kiện giảm trừ gia cảnh:]]</f>
        <v>1 người</v>
      </c>
      <c r="R15">
        <f>AVERAGE(
  INDEX(step2_raw_simulation!K:K, (ROW(A14)-1)*5 + 2)
  :
  INDEX(step2_raw_simulation!K:K, (ROW(A14)-1)*5 + 6)
)</f>
        <v>4.2</v>
      </c>
      <c r="S15" t="str">
        <f t="shared" si="0"/>
        <v>Oppose</v>
      </c>
      <c r="T15">
        <f>interview_responses[[#This Row],[Tôi tin rằng với các quy định quản lý thuế hiện nay, hành vi gian lận hoặc trốn thuế sẽ dễ dàng bị phát hiện và xử lý nghiêm. - HUMAN-ENF1]]</f>
        <v>9</v>
      </c>
      <c r="U15" t="str">
        <f t="shared" si="1"/>
        <v>Support</v>
      </c>
      <c r="V15">
        <f t="shared" si="2"/>
        <v>4.8</v>
      </c>
      <c r="W15" t="str" cm="1">
        <f t="array" ref="W15">INDEX(step2_raw_simulation[AI_ENF1_Reason], (ROW(W14)-1)*5 + 1)</f>
        <v>Hiện nay, mức giảm trừ gia cảnh cao hơn thu nhập nên tôi không phải đóng thuế. Tuy nhiên, quy định quản lý thuế hiện tại chưa có biện pháp chế tài rõ ràng, dẫn đến việc gian lận dễ dàng.</v>
      </c>
      <c r="X15" t="str">
        <f>interview_responses[[#This Row],[Lý do - HUMAN-ENF1]]</f>
        <v>Quy định hiện nay chưa có biện pháp chế tài cũng như kiểm soát được giao dịch dòng tiền của cá nhân có phải là thu nhập hay không.
Chưa có quy định cụ thể thu nhập từ tiền lương, tiền công phải bắt buộc chuyển khoản qua tài khoản ngân hàng công ty, dẫn đến thu nhập thực tế cao hơn so với mức công ty kê khai.</v>
      </c>
      <c r="Y15">
        <f>AVERAGE(
  INDEX(step2_raw_simulation!P:P, (ROW(H14)-1)*5 + 2)
  :
  INDEX(step2_raw_simulation!P:P, (ROW(H14)-1)*5 + 6)
)</f>
        <v>5.6</v>
      </c>
      <c r="Z15" t="str">
        <f t="shared" si="3"/>
        <v>Neutral</v>
      </c>
      <c r="AA15">
        <f>interview_responses[[#This Row],[Tôi tin rằng Nhà nước, cơ quan thuế có đủ khả năng và công nghệ để phát hiện, xử lý nghiêm các hành vi trốn thuế. - HUMAN-ENF2]]</f>
        <v>10</v>
      </c>
      <c r="AB15" t="str">
        <f t="shared" si="4"/>
        <v>Support</v>
      </c>
      <c r="AC15">
        <f t="shared" si="5"/>
        <v>4.4000000000000004</v>
      </c>
      <c r="AD15" t="str" cm="1">
        <f t="array" ref="AD15">INDEX(step2_raw_simulation[AI_ENF2_Reason], (ROW(AD14)-1)*5 + 1)</f>
        <v>Dù Nhà nước và cơ quan thuế có khả năng phát hiện hành vi trốn thuế nhưng quy trình thực thi còn thiếu đồng bộ và chưa đầy đủ chức năng trên app Etax mobile.</v>
      </c>
      <c r="AE15" t="str">
        <f>interview_responses[[#This Row],[Lý do - HUMAN-ENF2]]</f>
        <v>Đồng ý vì Nhà nước và cơ quan thuể có đủ công cụ để thực thi.</v>
      </c>
      <c r="AF15">
        <f>AVERAGE(
  INDEX(step2_raw_simulation!U:U, (ROW(O14)-1)*5 + 2)
  :
  INDEX(step2_raw_simulation!U:U, (ROW(O14)-1)*5 + 6)
)</f>
        <v>5.8</v>
      </c>
      <c r="AG15" t="str">
        <f t="shared" si="6"/>
        <v>Neutral</v>
      </c>
      <c r="AH15">
        <f>interview_responses[[#This Row],[Các thủ tục khai báo thuế VÀ/HOẶC quy trình làm việc với cơ quan thuế đơn giản, tiện lợi, nhanh chóng hơn so với trước đây. - HUMAN-FAC1]]</f>
        <v>4</v>
      </c>
      <c r="AI15" t="str">
        <f t="shared" si="7"/>
        <v>Oppose</v>
      </c>
      <c r="AJ15">
        <f t="shared" si="8"/>
        <v>1.7999999999999998</v>
      </c>
      <c r="AK15" t="str" cm="1">
        <f t="array" ref="AK15">INDEX(step2_raw_simulation[AI_FAC1_Reason], (ROW(AK14)-1)*5 + 1)</f>
        <v>Thủ tục khai báo thuế đơn giản hơn trước, tuy nhiên việc làm việc với cơ quan thuế vẫn chưa hoàn toàn thuận tiện do quy trình phân cấp, phân quyền chưa đồng bộ.</v>
      </c>
      <c r="AL15" t="str">
        <f>interview_responses[[#This Row],[Lý do - HUMAN-FAC1]]</f>
        <v>Hiên nay, đang khuyến khích, triển khai cá nhân sử dụng app Etax mobile để thực hiện việc nộp thuế, hoàn thuế thu nhập cá nhân. Tuy nhiên, hiện tại app vẫn chưa đầy đủ chức năng (kê khai thuế, thay đổi thông tin cá nhân, hủy mã số thuế không đúng, đăng ký người phụ thuộc,...) để đảm bảo thực hiện các thủ tục, thao tác so với trang thuedientucanhan của Cục Thuế.
Do quy định phân cấp, phân quyền nên chưa được đồng bộ quy trình đối với cùng cấp thuế (Thuế cơ sở,...). Đơn vị thì làm việc trực tiếp, đơn vị làm việc qua zalo, mail, điện thoại, đơn vị chỉ làm việc trên hệ thống mà không có thông tin cán bộ quản lý thuế, gây khó khăn trong việc xử lý.</v>
      </c>
      <c r="AM15">
        <f>AVERAGE(
  INDEX(step2_raw_simulation!Z:Z, (ROW(V14)-1)*5 + 2)
  :
  INDEX(step2_raw_simulation!Z:Z, (ROW(V14)-1)*5 + 6)
)</f>
        <v>6.8</v>
      </c>
      <c r="AN15" t="str">
        <f t="shared" si="9"/>
        <v>Neutral</v>
      </c>
      <c r="AO15">
        <f>interview_responses[[#This Row],[So với trước đây, tôi thấy cách tính thuế và các bậc thuế trong phương án mới đơn giản, dễ hiểu và dễ thực hiện hơn. - HUMAN-FAC2]]</f>
        <v>5</v>
      </c>
      <c r="AP15" t="str">
        <f t="shared" si="10"/>
        <v>Neutral</v>
      </c>
      <c r="AQ15">
        <f t="shared" si="11"/>
        <v>1.7999999999999998</v>
      </c>
      <c r="AR15" t="str" cm="1">
        <f t="array" ref="AR15">INDEX(step2_raw_simulation[AI_FAC2_Reason], (ROW(AR14)-1)*5 + 1)</f>
        <v>Biểu thuế đã đơn giản hóa nhưng cách tính thuế vẫn phức tạp, đòi hỏi người nộp thuế phải hiểu rõ các bậc thuế mới.</v>
      </c>
      <c r="AS15" t="str">
        <f>interview_responses[[#This Row],[Lý do - HUMAN-FAC2]]</f>
        <v xml:space="preserve">Chỉ thay đổi bậc thuế, đối với cách tính, cách thực hiện vẫn như cũ. </v>
      </c>
      <c r="AT15">
        <f>AVERAGE(
  INDEX(step2_raw_simulation!AE:AE, (ROW(AC14)-1)*5 + 2)
  :
  INDEX(step2_raw_simulation!AE:AE, (ROW(AC14)-1)*5 + 6)
)</f>
        <v>7</v>
      </c>
      <c r="AU15" t="str">
        <f t="shared" si="12"/>
        <v>Neutral</v>
      </c>
      <c r="AV15">
        <f>interview_responses[[#This Row],[Tôi tin rằng Nhà nước, cơ quan thuế sẽ thực thi chính sách mới một cách khách quan, công tâm và đối xử bình đẳng với mọi người nộp thuế.  - HUMAN-TRU1]]</f>
        <v>10</v>
      </c>
      <c r="AW15" t="str">
        <f t="shared" si="13"/>
        <v>Support</v>
      </c>
      <c r="AX15">
        <f t="shared" si="14"/>
        <v>3</v>
      </c>
      <c r="AY15" t="str" cm="1">
        <f t="array" ref="AY15">INDEX(step2_raw_simulation[AI_TRU1_Reason], (ROW(AY14)-1)*5 + 1)</f>
        <v>Nhà nước đang triển khai nhiều chính sách bao trùm và tôi thấy mình đóng thuế ít hơn so với trước đây, nên có niềm tin vào sự công bằng trong việc thực thi chính sách.</v>
      </c>
      <c r="AZ15" t="str">
        <f>interview_responses[[#This Row],[Lý do - HUMAN-TRU1]]</f>
        <v>Đồng ý vì Nhà nước đang triển khai các chính sách bao trùm.</v>
      </c>
      <c r="BA15">
        <f>AVERAGE(
  INDEX(step2_raw_simulation!AJ:AJ, (ROW(AJ14)-1)*5 + 2)
  :
  INDEX(step2_raw_simulation!AJ:AJ, (ROW(AJ14)-1)*5 + 6)
)</f>
        <v>9</v>
      </c>
      <c r="BB15" t="str">
        <f t="shared" si="15"/>
        <v>Support</v>
      </c>
      <c r="BC15">
        <f>interview_responses[[#This Row],[Tôi thấy mức thuế tôi phải đóng theo phương án mới là công bằng (người thu nhập như tôi đóng mức này là hợp lý). - HUMAN-TRU2]]</f>
        <v>10</v>
      </c>
      <c r="BD15" t="str">
        <f t="shared" si="16"/>
        <v>Support</v>
      </c>
      <c r="BE15">
        <f t="shared" si="17"/>
        <v>1</v>
      </c>
      <c r="BF15" t="str" cm="1">
        <f t="array" ref="BF15">INDEX(step2_raw_simulation[AI_TRU2_Reason], (ROW(BF14)-1)*5 + 1)</f>
        <v>Mức giảm trừ gia cảnh cao hơn thu nhập nên mức thuế tôi phải đóng là hợp lý. Tôi đồng ý vì Nhà nước đang triển khai nhiều dự án mang lại lợi ích cho người dân.</v>
      </c>
      <c r="BG15" t="str">
        <f>interview_responses[[#This Row],[Lý do - HUMAN-TRU2]]</f>
        <v>Đồng ý. Tôi cảm thấy mình đóng thuế ít hơn so với trước đây.</v>
      </c>
      <c r="BH15">
        <f>AVERAGE(
  INDEX(step2_raw_simulation!AO:AO, (ROW(AQ14)-1)*5 + 2)
  :
  INDEX(step2_raw_simulation!AO:AO, (ROW(AQ14)-1)*5 + 6)
)</f>
        <v>8.6</v>
      </c>
      <c r="BI15" t="str">
        <f t="shared" si="18"/>
        <v>Support</v>
      </c>
      <c r="BJ15">
        <f>interview_responses[[#This Row],[Tôi tin tưởng số tiền thuế tôi đóng sẽ được Nhà nước sử dụng hiệu quả để cải thiện dịch vụ công (y tế, đường xá...). - HUMAN-TRU3]]</f>
        <v>10</v>
      </c>
      <c r="BK15" t="str">
        <f t="shared" si="19"/>
        <v>Support</v>
      </c>
      <c r="BL15">
        <f t="shared" si="20"/>
        <v>1.4000000000000004</v>
      </c>
      <c r="BM15" t="str" cm="1">
        <f t="array" ref="BM15">INDEX(step2_raw_simulation[AI_TRU3_Reason], (ROW(BM14)-1)*5 + 1)</f>
        <v>Tôi tin số tiền thuế tôi đóng sẽ được sử dụng hiệu quả để cải thiện dịch vụ công, như y tế và đường xá.</v>
      </c>
      <c r="BN15" t="str">
        <f>interview_responses[[#This Row],[Lý do - HUMAN-TRU3]]</f>
        <v>Đồng ý vì Nhà nước đang triển khai nhiều dự án, công trình mang lại lợi ích cho người dân.</v>
      </c>
      <c r="BO15">
        <f>AVERAGE(
  INDEX(step2_raw_simulation!AT:AT, (ROW(AX14)-1)*5 + 2)
  :
  INDEX(step2_raw_simulation!AT:AT, (ROW(AX14)-1)*5 + 6)
)</f>
        <v>8.6</v>
      </c>
      <c r="BP15" t="str">
        <f t="shared" si="21"/>
        <v>Support</v>
      </c>
      <c r="BQ15">
        <f>interview_responses[[#This Row],[Tôi thấy Nhà nước đã giải thích rõ ràng, minh bạch về lý do và mục tiêu của việc sửa đổi thuế lần này. - HUMAN-TRU4]]</f>
        <v>10</v>
      </c>
      <c r="BR15" t="str">
        <f t="shared" si="22"/>
        <v>Support</v>
      </c>
      <c r="BS15">
        <f t="shared" si="23"/>
        <v>1.4000000000000004</v>
      </c>
      <c r="BT15" t="str" cm="1">
        <f t="array" ref="BT15">INDEX(step2_raw_simulation[AI_TRU4_Reason], (ROW(BT14)-1)*5 + 1)</f>
        <v>Nhà nước đã giải thích rõ ràng về mục tiêu của việc sửa đổi chính sách thuế lần này. Các thông tin này được truyền thông rộng rãi qua báo đài.</v>
      </c>
      <c r="BU15" t="str">
        <f>interview_responses[[#This Row],[Lý do - HUMAN-TRU4]]</f>
        <v>Đồng ý. Thông tin đã được truyền thông rộng rãi qua báo đài.</v>
      </c>
      <c r="BV15">
        <f>AVERAGE(
  INDEX(step2_raw_simulation!AY:AY, (ROW(BE14)-1)*5 + 2)
  :
  INDEX(step2_raw_simulation!AY:AY, (ROW(BE14)-1)*5 + 6)
)</f>
        <v>9</v>
      </c>
      <c r="BW15" t="str">
        <f t="shared" si="24"/>
        <v>Support</v>
      </c>
      <c r="BX15">
        <f>interview_responses[[#This Row],[Sau khi xem xét các quyền lợi và nghĩa vụ, bạn có ủng hộ và tuân thủ chính sách mới hiện nay? - HUMAN-OUT1]]</f>
        <v>10</v>
      </c>
      <c r="BY15" t="str">
        <f t="shared" si="25"/>
        <v>Support</v>
      </c>
      <c r="BZ15">
        <f t="shared" si="26"/>
        <v>1</v>
      </c>
      <c r="CA15" t="str" cm="1">
        <f t="array" ref="CA15">INDEX(step2_raw_simulation[AI_OUT1_Reason], (ROW(CA14)-1)*5 + 1)</f>
        <v>Dù quy định quản lý thuế còn bất cập nhưng tôi ủng hộ và tuân thủ chính sách mới vì lợi ích chung cho cộng đồng.</v>
      </c>
      <c r="CB15" t="str">
        <f>interview_responses[[#This Row],[Lý do - HUMAN-OUT1]]</f>
        <v>Đồng ý. Vì đó là nghĩa vụ của công dân và tôi tin chính sách mới tốt hơn nên sẽ tuân theo.</v>
      </c>
    </row>
    <row r="16" spans="1:80" x14ac:dyDescent="0.45">
      <c r="A16" cm="1">
        <f t="array" ref="A16">INDEX(step2_raw_simulation[Persona_ID], (ROW(A15)-1)*5 + 1)</f>
        <v>15</v>
      </c>
      <c r="B16" cm="1">
        <f t="array" ref="B16">INDEX(step2_raw_simulation[Run_ID], (ROW(B15)-1)*5 + 1)</f>
        <v>1</v>
      </c>
      <c r="C16" cm="1">
        <f t="array" ref="C16">INDEX(step2_raw_simulation[Used_Seed], (ROW(C15)-1)*5 + 1)</f>
        <v>1443</v>
      </c>
      <c r="D16" t="str" cm="1">
        <f t="array" ref="D16">INDEX(step2_raw_simulation[Gender], (ROW(D15)-1)*5 + 1)</f>
        <v>Nữ</v>
      </c>
      <c r="E16" t="str">
        <f>interview_responses[[#This Row],[Giới tính của bạn:]]</f>
        <v>Nữ</v>
      </c>
      <c r="F16" t="str" cm="1">
        <f t="array" ref="F16">INDEX(step2_raw_simulation[Age], (ROW(F15)-1)*5 + 1)</f>
        <v>30 - 39</v>
      </c>
      <c r="G16" t="str">
        <f>interview_responses[[#This Row],[Độ tuổi của bạn:]]</f>
        <v>30 - 39</v>
      </c>
      <c r="H16" t="str" cm="1">
        <f t="array" ref="H16">INDEX(step2_raw_simulation[Region], (ROW(H15)-1)*5 + 1)</f>
        <v>Thành thị</v>
      </c>
      <c r="I16" t="str">
        <f>interview_responses[[#This Row],[Khu vực bạn đang sinh sống:]]</f>
        <v>Thành thị</v>
      </c>
      <c r="J16" t="str" cm="1">
        <f t="array" ref="J16">INDEX(step2_raw_simulation[Education], (ROW(J15)-1)*5 + 1)</f>
        <v>Đại học</v>
      </c>
      <c r="K16" t="str">
        <f>interview_responses[[#This Row],[Trình độ học vấn cao nhất:]]</f>
        <v>Đại học</v>
      </c>
      <c r="L16" t="str" cm="1">
        <f t="array" ref="L16">INDEX(step2_raw_simulation[Employment], (ROW(L15)-1)*5 + 1)</f>
        <v>Chính thức</v>
      </c>
      <c r="M16" t="str">
        <f>interview_responses[[#This Row],[Tình trạng việc làm chính:]]</f>
        <v>Khu vực chính thức (Có Hợp đồng lao động, đóng BHXH)</v>
      </c>
      <c r="N16" cm="1">
        <f t="array" ref="N16">INDEX(step2_raw_simulation[Income_Mil], (ROW(N15)-1)*5 + 1)</f>
        <v>40</v>
      </c>
      <c r="O16" t="str">
        <f>interview_responses[[#This Row],[Thu nhập bình quân tháng theo Hợp đồng lao động của bạn là bao nhiêu? (Vui lòng điền tổng thu nhập trước khi khấu trừ các loại Bảo hiểm (BHXH, BHYT, BHTN) và Thuế TNCN)]]</f>
        <v>Từ 32 - 48 triệu VNĐ</v>
      </c>
      <c r="P16" cm="1">
        <f t="array" ref="P16">INDEX(step2_raw_simulation[Dependents], (ROW(P15)-1)*5 + 1)</f>
        <v>1</v>
      </c>
      <c r="Q16" t="str">
        <f>interview_responses[[#This Row],[Số người phụ thuộc (con nhỏ, cha mẹ già...) đủ điều kiện giảm trừ gia cảnh:]]</f>
        <v>1 người</v>
      </c>
      <c r="R16">
        <f>AVERAGE(
  INDEX(step2_raw_simulation!K:K, (ROW(A15)-1)*5 + 2)
  :
  INDEX(step2_raw_simulation!K:K, (ROW(A15)-1)*5 + 6)
)</f>
        <v>8.4</v>
      </c>
      <c r="S16" t="str">
        <f t="shared" si="0"/>
        <v>Support</v>
      </c>
      <c r="T16">
        <f>interview_responses[[#This Row],[Tôi tin rằng với các quy định quản lý thuế hiện nay, hành vi gian lận hoặc trốn thuế sẽ dễ dàng bị phát hiện và xử lý nghiêm. - HUMAN-ENF1]]</f>
        <v>9</v>
      </c>
      <c r="U16" t="str">
        <f t="shared" si="1"/>
        <v>Support</v>
      </c>
      <c r="V16">
        <f t="shared" si="2"/>
        <v>0.59999999999999964</v>
      </c>
      <c r="W16" t="str" cm="1">
        <f t="array" ref="W16">INDEX(step2_raw_simulation[AI_ENF1_Reason], (ROW(W15)-1)*5 + 1)</f>
        <v>Theo thông tin, eTax đang liên thông dữ liệu giữa CQT, BHXH và tờ khai của DN khá tốt để đối chiếu cơ sở dữ liệu này. Điều này giúp giảm thiểu hành vi gian lận.</v>
      </c>
      <c r="X16" t="str">
        <f>interview_responses[[#This Row],[Lý do - HUMAN-ENF1]]</f>
        <v>Với thuế TNCN từ tiền lương, tiền công thì trước khi QH sửa đổi để cải cách biểu thuế, tình trạng gian lận đã rất ít xảy ra. Nếu như có thì chỉ ở đối tượng thuộc diện tự QTT trực tiếp với CQT, còn nếu QTT với công ty thì khó gian lận</v>
      </c>
      <c r="Y16">
        <f>AVERAGE(
  INDEX(step2_raw_simulation!P:P, (ROW(H15)-1)*5 + 2)
  :
  INDEX(step2_raw_simulation!P:P, (ROW(H15)-1)*5 + 6)
)</f>
        <v>8.6</v>
      </c>
      <c r="Z16" t="str">
        <f t="shared" si="3"/>
        <v>Support</v>
      </c>
      <c r="AA16">
        <f>interview_responses[[#This Row],[Tôi tin rằng Nhà nước, cơ quan thuế có đủ khả năng và công nghệ để phát hiện, xử lý nghiêm các hành vi trốn thuế. - HUMAN-ENF2]]</f>
        <v>10</v>
      </c>
      <c r="AB16" t="str">
        <f t="shared" si="4"/>
        <v>Support</v>
      </c>
      <c r="AC16">
        <f t="shared" si="5"/>
        <v>1.4000000000000004</v>
      </c>
      <c r="AD16" t="str" cm="1">
        <f t="array" ref="AD16">INDEX(step2_raw_simulation[AI_ENF2_Reason], (ROW(AD15)-1)*5 + 1)</f>
        <v>Có công nghệ hiện đại như eTax, tôi tin rằng Nhà nước có khả năng phát hiện và xử lý nghiêm các hành vi trốn thuế.</v>
      </c>
      <c r="AE16" t="str">
        <f>interview_responses[[#This Row],[Lý do - HUMAN-ENF2]]</f>
        <v>eTax đang liên thông dữ liệu giữa CQT, BHXH và tờ khai của DN khá tốt để đối chiếu cơ sở dữ liệu này</v>
      </c>
      <c r="AF16">
        <f>AVERAGE(
  INDEX(step2_raw_simulation!U:U, (ROW(O15)-1)*5 + 2)
  :
  INDEX(step2_raw_simulation!U:U, (ROW(O15)-1)*5 + 6)
)</f>
        <v>8.4</v>
      </c>
      <c r="AG16" t="str">
        <f t="shared" si="6"/>
        <v>Support</v>
      </c>
      <c r="AH16">
        <f>interview_responses[[#This Row],[Các thủ tục khai báo thuế VÀ/HOẶC quy trình làm việc với cơ quan thuế đơn giản, tiện lợi, nhanh chóng hơn so với trước đây. - HUMAN-FAC1]]</f>
        <v>10</v>
      </c>
      <c r="AI16" t="str">
        <f t="shared" si="7"/>
        <v>Support</v>
      </c>
      <c r="AJ16">
        <f t="shared" si="8"/>
        <v>1.5999999999999996</v>
      </c>
      <c r="AK16" t="str" cm="1">
        <f t="array" ref="AK16">INDEX(step2_raw_simulation[AI_FAC1_Reason], (ROW(AK15)-1)*5 + 1)</f>
        <v>So với trước đây, quy trình khai báo thuế đơn giản hơn. Việc giảm bậc thuế cũng giúp việc tính toán dễ dàng hơn.</v>
      </c>
      <c r="AL16" t="str">
        <f>interview_responses[[#This Row],[Lý do - HUMAN-FAC1]]</f>
        <v>eTax đang liên thông dữ liệu giữa CQT, BHXH và tờ khai của DN khá tốt để đối chiếu cơ sở dữ liệu này</v>
      </c>
      <c r="AM16">
        <f>AVERAGE(
  INDEX(step2_raw_simulation!Z:Z, (ROW(V15)-1)*5 + 2)
  :
  INDEX(step2_raw_simulation!Z:Z, (ROW(V15)-1)*5 + 6)
)</f>
        <v>8.6</v>
      </c>
      <c r="AN16" t="str">
        <f t="shared" si="9"/>
        <v>Support</v>
      </c>
      <c r="AO16">
        <f>interview_responses[[#This Row],[So với trước đây, tôi thấy cách tính thuế và các bậc thuế trong phương án mới đơn giản, dễ hiểu và dễ thực hiện hơn. - HUMAN-FAC2]]</f>
        <v>10</v>
      </c>
      <c r="AP16" t="str">
        <f t="shared" si="10"/>
        <v>Support</v>
      </c>
      <c r="AQ16">
        <f t="shared" si="11"/>
        <v>1.4000000000000004</v>
      </c>
      <c r="AR16" t="str" cm="1">
        <f t="array" ref="AR16">INDEX(step2_raw_simulation[AI_FAC2_Reason], (ROW(AR15)-1)*5 + 1)</f>
        <v>Biểu thuế mới đơn giản hóa các bậc thuế và công thức tính, điều này làm cho quá trình tính thuế trở nên rõ ràng hơn.</v>
      </c>
      <c r="AS16" t="str">
        <f>interview_responses[[#This Row],[Lý do - HUMAN-FAC2]]</f>
        <v>Tính thuế thì có công thức sẵn để tính, quan trọng là tính đúng hay sai</v>
      </c>
      <c r="AT16">
        <f>AVERAGE(
  INDEX(step2_raw_simulation!AE:AE, (ROW(AC15)-1)*5 + 2)
  :
  INDEX(step2_raw_simulation!AE:AE, (ROW(AC15)-1)*5 + 6)
)</f>
        <v>8</v>
      </c>
      <c r="AU16" t="str">
        <f t="shared" si="12"/>
        <v>Support</v>
      </c>
      <c r="AV16">
        <f>interview_responses[[#This Row],[Tôi tin rằng Nhà nước, cơ quan thuế sẽ thực thi chính sách mới một cách khách quan, công tâm và đối xử bình đẳng với mọi người nộp thuế.  - HUMAN-TRU1]]</f>
        <v>10</v>
      </c>
      <c r="AW16" t="str">
        <f t="shared" si="13"/>
        <v>Support</v>
      </c>
      <c r="AX16">
        <f t="shared" si="14"/>
        <v>2</v>
      </c>
      <c r="AY16" t="str" cm="1">
        <f t="array" ref="AY16">INDEX(step2_raw_simulation[AI_TRU1_Reason], (ROW(AY15)-1)*5 + 1)</f>
        <v>Tôi tin rằng Nhà nước sẽ thực thi chính sách một cách khách quan vì lợi ích chung của người dân. Các mức giảm trừ gia cảnh đã được điều chỉnh phù hợp với thu nhập trung bình tại thành thị.</v>
      </c>
      <c r="AZ16" t="str">
        <f>interview_responses[[#This Row],[Lý do - HUMAN-TRU1]]</f>
        <v>Không nhận ra sự khác biệt giữa quan điểm thực thi của Luật sửa đổi này với trước đây</v>
      </c>
      <c r="BA16">
        <f>AVERAGE(
  INDEX(step2_raw_simulation!AJ:AJ, (ROW(AJ15)-1)*5 + 2)
  :
  INDEX(step2_raw_simulation!AJ:AJ, (ROW(AJ15)-1)*5 + 6)
)</f>
        <v>8.6</v>
      </c>
      <c r="BB16" t="str">
        <f t="shared" si="15"/>
        <v>Support</v>
      </c>
      <c r="BC16">
        <f>interview_responses[[#This Row],[Tôi thấy mức thuế tôi phải đóng theo phương án mới là công bằng (người thu nhập như tôi đóng mức này là hợp lý). - HUMAN-TRU2]]</f>
        <v>8</v>
      </c>
      <c r="BD16" t="str">
        <f t="shared" si="16"/>
        <v>Support</v>
      </c>
      <c r="BE16">
        <f t="shared" si="17"/>
        <v>0.59999999999999964</v>
      </c>
      <c r="BF16" t="str" cm="1">
        <f t="array" ref="BF16">INDEX(step2_raw_simulation[AI_TRU2_Reason], (ROW(BF15)-1)*5 + 1)</f>
        <v>Tôi thấy mức thuế mới là công bằng, vì nó phản ánh đúng mức thu nhập của tôi và các đồng nghiệp khác trong khu vực.</v>
      </c>
      <c r="BG16" t="str">
        <f>interview_responses[[#This Row],[Lý do - HUMAN-TRU2]]</f>
        <v>Phần cập nhật GTGC và NPT đã có bậc tiệm cận với mức sống của thành thị</v>
      </c>
      <c r="BH16">
        <f>AVERAGE(
  INDEX(step2_raw_simulation!AO:AO, (ROW(AQ15)-1)*5 + 2)
  :
  INDEX(step2_raw_simulation!AO:AO, (ROW(AQ15)-1)*5 + 6)
)</f>
        <v>8.1999999999999993</v>
      </c>
      <c r="BI16" t="str">
        <f t="shared" si="18"/>
        <v>Support</v>
      </c>
      <c r="BJ16">
        <f>interview_responses[[#This Row],[Tôi tin tưởng số tiền thuế tôi đóng sẽ được Nhà nước sử dụng hiệu quả để cải thiện dịch vụ công (y tế, đường xá...). - HUMAN-TRU3]]</f>
        <v>9</v>
      </c>
      <c r="BK16" t="str">
        <f t="shared" si="19"/>
        <v>Support</v>
      </c>
      <c r="BL16">
        <f t="shared" si="20"/>
        <v>0.80000000000000071</v>
      </c>
      <c r="BM16" t="str" cm="1">
        <f t="array" ref="BM16">INDEX(step2_raw_simulation[AI_TRU3_Reason], (ROW(BM15)-1)*5 + 1)</f>
        <v>Tôi tin rằng số tiền thuế đóng sẽ được sử dụng hiệu quả để cải thiện dịch vụ công như y tế, giáo dục và giao thông</v>
      </c>
      <c r="BN16" t="str">
        <f>interview_responses[[#This Row],[Lý do - HUMAN-TRU3]]</f>
        <v>Đất nước đang vươn mình và chống tham nhũng, lãng phí. Thì tiền thuế đổ vào đầu tư công để phát triển đất nước cũng hợp lý</v>
      </c>
      <c r="BO16">
        <f>AVERAGE(
  INDEX(step2_raw_simulation!AT:AT, (ROW(AX15)-1)*5 + 2)
  :
  INDEX(step2_raw_simulation!AT:AT, (ROW(AX15)-1)*5 + 6)
)</f>
        <v>8.4</v>
      </c>
      <c r="BP16" t="str">
        <f t="shared" si="21"/>
        <v>Support</v>
      </c>
      <c r="BQ16">
        <f>interview_responses[[#This Row],[Tôi thấy Nhà nước đã giải thích rõ ràng, minh bạch về lý do và mục tiêu của việc sửa đổi thuế lần này. - HUMAN-TRU4]]</f>
        <v>9</v>
      </c>
      <c r="BR16" t="str">
        <f t="shared" si="22"/>
        <v>Support</v>
      </c>
      <c r="BS16">
        <f t="shared" si="23"/>
        <v>0.59999999999999964</v>
      </c>
      <c r="BT16" t="str" cm="1">
        <f t="array" ref="BT16">INDEX(step2_raw_simulation[AI_TRU4_Reason], (ROW(BT15)-1)*5 + 1)</f>
        <v>Nhà nước đã giải thích rõ ràng về mục tiêu của việc sửa đổi biểu thuế lần này. Tôi cảm thấy họ đang cố gắng minh bạch hóa quy trình.</v>
      </c>
      <c r="BU16" t="str">
        <f>interview_responses[[#This Row],[Lý do - HUMAN-TRU4]]</f>
        <v>Tranh luận rất sôi nổi trên báo chí và các diễn đàn MXH cả năm nay</v>
      </c>
      <c r="BV16">
        <f>AVERAGE(
  INDEX(step2_raw_simulation!AY:AY, (ROW(BE15)-1)*5 + 2)
  :
  INDEX(step2_raw_simulation!AY:AY, (ROW(BE15)-1)*5 + 6)
)</f>
        <v>8.8000000000000007</v>
      </c>
      <c r="BW16" t="str">
        <f t="shared" si="24"/>
        <v>Support</v>
      </c>
      <c r="BX16">
        <f>interview_responses[[#This Row],[Sau khi xem xét các quyền lợi và nghĩa vụ, bạn có ủng hộ và tuân thủ chính sách mới hiện nay? - HUMAN-OUT1]]</f>
        <v>9</v>
      </c>
      <c r="BY16" t="str">
        <f t="shared" si="25"/>
        <v>Support</v>
      </c>
      <c r="BZ16">
        <f t="shared" si="26"/>
        <v>0.19999999999999929</v>
      </c>
      <c r="CA16" t="str" cm="1">
        <f t="array" ref="CA16">INDEX(step2_raw_simulation[AI_OUT1_Reason], (ROW(CA15)-1)*5 + 1)</f>
        <v>Tôi ủng hộ và tuân thủ chính sách mới vì lợi ích tài chính của tôi tăng lên và mức thuế mới phù hợp với thu nhập hiện tại của tôi.</v>
      </c>
      <c r="CB16" t="str">
        <f>interview_responses[[#This Row],[Lý do - HUMAN-OUT1]]</f>
        <v>Không nhìn ra có khía cạnh nào chưa tốt ở biểu thuế luỹ tiến hết</v>
      </c>
    </row>
    <row r="17" spans="1:80" x14ac:dyDescent="0.45">
      <c r="A17" cm="1">
        <f t="array" ref="A17">INDEX(step2_raw_simulation[Persona_ID], (ROW(A16)-1)*5 + 1)</f>
        <v>16</v>
      </c>
      <c r="B17" cm="1">
        <f t="array" ref="B17">INDEX(step2_raw_simulation[Run_ID], (ROW(B16)-1)*5 + 1)</f>
        <v>1</v>
      </c>
      <c r="C17" cm="1">
        <f t="array" ref="C17">INDEX(step2_raw_simulation[Used_Seed], (ROW(C16)-1)*5 + 1)</f>
        <v>1543</v>
      </c>
      <c r="D17" t="str" cm="1">
        <f t="array" ref="D17">INDEX(step2_raw_simulation[Gender], (ROW(D16)-1)*5 + 1)</f>
        <v>Nam</v>
      </c>
      <c r="E17" t="str">
        <f>interview_responses[[#This Row],[Giới tính của bạn:]]</f>
        <v>Nam</v>
      </c>
      <c r="F17" t="str" cm="1">
        <f t="array" ref="F17">INDEX(step2_raw_simulation[Age], (ROW(F16)-1)*5 + 1)</f>
        <v>30 - 39</v>
      </c>
      <c r="G17" t="str">
        <f>interview_responses[[#This Row],[Độ tuổi của bạn:]]</f>
        <v>30 - 39</v>
      </c>
      <c r="H17" t="str" cm="1">
        <f t="array" ref="H17">INDEX(step2_raw_simulation[Region], (ROW(H16)-1)*5 + 1)</f>
        <v>Thành thị</v>
      </c>
      <c r="I17" t="str">
        <f>interview_responses[[#This Row],[Khu vực bạn đang sinh sống:]]</f>
        <v>Thành thị</v>
      </c>
      <c r="J17" t="str" cm="1">
        <f t="array" ref="J17">INDEX(step2_raw_simulation[Education], (ROW(J16)-1)*5 + 1)</f>
        <v>Đại học</v>
      </c>
      <c r="K17" t="str">
        <f>interview_responses[[#This Row],[Trình độ học vấn cao nhất:]]</f>
        <v>Đại học</v>
      </c>
      <c r="L17" t="str" cm="1">
        <f t="array" ref="L17">INDEX(step2_raw_simulation[Employment], (ROW(L16)-1)*5 + 1)</f>
        <v>Chính thức</v>
      </c>
      <c r="M17" t="str">
        <f>interview_responses[[#This Row],[Tình trạng việc làm chính:]]</f>
        <v>Khu vực chính thức (Có Hợp đồng lao động, đóng BHXH)</v>
      </c>
      <c r="N17" cm="1">
        <f t="array" ref="N17">INDEX(step2_raw_simulation[Income_Mil], (ROW(N16)-1)*5 + 1)</f>
        <v>120</v>
      </c>
      <c r="O17" t="str">
        <f>interview_responses[[#This Row],[Thu nhập bình quân tháng theo Hợp đồng lao động của bạn là bao nhiêu? (Vui lòng điền tổng thu nhập trước khi khấu trừ các loại Bảo hiểm (BHXH, BHYT, BHTN) và Thuế TNCN)]]</f>
        <v>Trên 102 triệu VNĐ</v>
      </c>
      <c r="P17" cm="1">
        <f t="array" ref="P17">INDEX(step2_raw_simulation[Dependents], (ROW(P16)-1)*5 + 1)</f>
        <v>3</v>
      </c>
      <c r="Q17" t="str">
        <f>interview_responses[[#This Row],[Số người phụ thuộc (con nhỏ, cha mẹ già...) đủ điều kiện giảm trừ gia cảnh:]]</f>
        <v>3 người</v>
      </c>
      <c r="R17">
        <f>AVERAGE(
  INDEX(step2_raw_simulation!K:K, (ROW(A16)-1)*5 + 2)
  :
  INDEX(step2_raw_simulation!K:K, (ROW(A16)-1)*5 + 6)
)</f>
        <v>4</v>
      </c>
      <c r="S17" t="str">
        <f t="shared" si="0"/>
        <v>Oppose</v>
      </c>
      <c r="T17">
        <f>interview_responses[[#This Row],[Tôi tin rằng với các quy định quản lý thuế hiện nay, hành vi gian lận hoặc trốn thuế sẽ dễ dàng bị phát hiện và xử lý nghiêm. - HUMAN-ENF1]]</f>
        <v>3</v>
      </c>
      <c r="U17" t="str">
        <f t="shared" si="1"/>
        <v>Oppose</v>
      </c>
      <c r="V17">
        <f t="shared" si="2"/>
        <v>1</v>
      </c>
      <c r="W17" t="str" cm="1">
        <f t="array" ref="W17">INDEX(step2_raw_simulation[AI_ENF1_Reason], (ROW(W16)-1)*5 + 1)</f>
        <v>Tôi không hoàn toàn đồng ý. Dù cơ quan thuế có khả năng phát hiện và xử lý trốn thuế, nhưng thực tế vẫn chủ yếu dựa trên tự nguyện khai báo, dẫn đến nhiều rủi ro cho những người dễ bị lôi kéo bởi lợi ích vật chất.</v>
      </c>
      <c r="X17" t="str">
        <f>interview_responses[[#This Row],[Lý do - HUMAN-ENF1]]</f>
        <v>Quy định về quản lý thuế TNCN chưa có cơ chế thực thi và giám sát chặt. Ví dụ người lao động được người sử dụng lao động cho ESOP được yêu cầu phải nộp thuế khi bán cổ phiếu nhưng hoàn toàn dựa trên tự nguyện khai báo của người lao động và cũng chưa có cách thức để giám sát cổ phiếu được mua vào bán ra là cổ phiếu ESOP</v>
      </c>
      <c r="Y17">
        <f>AVERAGE(
  INDEX(step2_raw_simulation!P:P, (ROW(H16)-1)*5 + 2)
  :
  INDEX(step2_raw_simulation!P:P, (ROW(H16)-1)*5 + 6)
)</f>
        <v>4.8</v>
      </c>
      <c r="Z17" t="str">
        <f t="shared" si="3"/>
        <v>Oppose</v>
      </c>
      <c r="AA17">
        <f>interview_responses[[#This Row],[Tôi tin rằng Nhà nước, cơ quan thuế có đủ khả năng và công nghệ để phát hiện, xử lý nghiêm các hành vi trốn thuế. - HUMAN-ENF2]]</f>
        <v>5</v>
      </c>
      <c r="AB17" t="str">
        <f t="shared" si="4"/>
        <v>Neutral</v>
      </c>
      <c r="AC17">
        <f t="shared" si="5"/>
        <v>0.20000000000000018</v>
      </c>
      <c r="AD17" t="str" cm="1">
        <f t="array" ref="AD17">INDEX(step2_raw_simulation[AI_ENF2_Reason], (ROW(AD16)-1)*5 + 1)</f>
        <v>Tôi đồng ý. Việc sử dụng công nghệ như eTax giúp quá trình khai báo thuế trở nên thuận tiện hơn, giảm bớt thủ tục và rủi ro cho người nộp thuế.</v>
      </c>
      <c r="AE17" t="str">
        <f>interview_responses[[#This Row],[Lý do - HUMAN-ENF2]]</f>
        <v>Nhà nước có khả năng phát hiện và xử lý hành vi trốn thuế nhưng chỉ là manual, case by case; chưa có tính hệ thống và truy vết theo batch. Đã biết nhiều case nhà nước có thể trực tiếp truy thu thuế từ tài khoản ngân hàng của người trốn thuế mà người trốn thuế chỉ biết khi đã bị trừ tiền. Tuy nhiên, tôi tin rằng đây là những trường hợp lọt vào tầm ngắm của cơ quan do giàu có, nổi tiếng, tố cáo</v>
      </c>
      <c r="AF17">
        <f>AVERAGE(
  INDEX(step2_raw_simulation!U:U, (ROW(O16)-1)*5 + 2)
  :
  INDEX(step2_raw_simulation!U:U, (ROW(O16)-1)*5 + 6)
)</f>
        <v>7.2</v>
      </c>
      <c r="AG17" t="str">
        <f t="shared" si="6"/>
        <v>Neutral</v>
      </c>
      <c r="AH17">
        <f>interview_responses[[#This Row],[Các thủ tục khai báo thuế VÀ/HOẶC quy trình làm việc với cơ quan thuế đơn giản, tiện lợi, nhanh chóng hơn so với trước đây. - HUMAN-FAC1]]</f>
        <v>9</v>
      </c>
      <c r="AI17" t="str">
        <f t="shared" si="7"/>
        <v>Support</v>
      </c>
      <c r="AJ17">
        <f t="shared" si="8"/>
        <v>1.7999999999999998</v>
      </c>
      <c r="AK17" t="str" cm="1">
        <f t="array" ref="AK17">INDEX(step2_raw_simulation[AI_FAC1_Reason], (ROW(AK16)-1)*5 + 1)</f>
        <v>Tôi thấy các quy định mới đơn giản hóa quy trình khai báo thuế, nhưng vẫn còn nhiều chi tiết cần làm rõ để thuận tiện hơn nữa. Ví dụ, cách tính thuế đối với một số trường hợp cụ thể chưa rõ ràng.</v>
      </c>
      <c r="AL17" t="str">
        <f>interview_responses[[#This Row],[Lý do - HUMAN-FAC1]]</f>
        <v>Đồng ý, với ứng dụng eTax việc tra cứu thuế, nộp thuế thuận tiện bao gồm cả thuế kinh doanh, thuế bán tài sản, thuế trước bạ</v>
      </c>
      <c r="AM17">
        <f>AVERAGE(
  INDEX(step2_raw_simulation!Z:Z, (ROW(V16)-1)*5 + 2)
  :
  INDEX(step2_raw_simulation!Z:Z, (ROW(V16)-1)*5 + 6)
)</f>
        <v>8</v>
      </c>
      <c r="AN17" t="str">
        <f t="shared" si="9"/>
        <v>Support</v>
      </c>
      <c r="AO17">
        <f>interview_responses[[#This Row],[So với trước đây, tôi thấy cách tính thuế và các bậc thuế trong phương án mới đơn giản, dễ hiểu và dễ thực hiện hơn. - HUMAN-FAC2]]</f>
        <v>1</v>
      </c>
      <c r="AP17" t="str">
        <f t="shared" si="10"/>
        <v>Oppose</v>
      </c>
      <c r="AQ17">
        <f t="shared" si="11"/>
        <v>7</v>
      </c>
      <c r="AR17" t="str" cm="1">
        <f t="array" ref="AR17">INDEX(step2_raw_simulation[AI_FAC2_Reason], (ROW(AR16)-1)*5 + 1)</f>
        <v>Chúng tôi có thể hiểu và áp dụng các bậc thuế mới dễ dàng hơn so với trước đây, do giảm bớt sự phức tạp. Tuy nhiên, việc thay đổi không hoàn toàn đồng nghĩa với việc đơn giản hóa mọi quy trình.</v>
      </c>
      <c r="AS17" t="str">
        <f>interview_responses[[#This Row],[Lý do - HUMAN-FAC2]]</f>
        <v>chỉ thay đổi các tham số và bậc, cách tính ko thay đổi</v>
      </c>
      <c r="AT17">
        <f>AVERAGE(
  INDEX(step2_raw_simulation!AE:AE, (ROW(AC16)-1)*5 + 2)
  :
  INDEX(step2_raw_simulation!AE:AE, (ROW(AC16)-1)*5 + 6)
)</f>
        <v>5.6</v>
      </c>
      <c r="AU17" t="str">
        <f t="shared" si="12"/>
        <v>Neutral</v>
      </c>
      <c r="AV17">
        <f>interview_responses[[#This Row],[Tôi tin rằng Nhà nước, cơ quan thuế sẽ thực thi chính sách mới một cách khách quan, công tâm và đối xử bình đẳng với mọi người nộp thuế.  - HUMAN-TRU1]]</f>
        <v>3</v>
      </c>
      <c r="AW17" t="str">
        <f t="shared" si="13"/>
        <v>Oppose</v>
      </c>
      <c r="AX17">
        <f t="shared" si="14"/>
        <v>2.5999999999999996</v>
      </c>
      <c r="AY17" t="str" cm="1">
        <f t="array" ref="AY17">INDEX(step2_raw_simulation[AI_TRU1_Reason], (ROW(AY16)-1)*5 + 1)</f>
        <v>Tôi tin rằng cơ quan thuế sẽ thực thi chính sách một cách khách quan nhưng vẫn lo ngại về khả năng công khai và minh bạch trong quá trình quản lý thuế</v>
      </c>
      <c r="AZ17" t="str">
        <f>interview_responses[[#This Row],[Lý do - HUMAN-TRU1]]</f>
        <v>thay đổi tham số ko làm thay đổi các ứng xử của cơ quan thuế</v>
      </c>
      <c r="BA17">
        <f>AVERAGE(
  INDEX(step2_raw_simulation!AJ:AJ, (ROW(AJ16)-1)*5 + 2)
  :
  INDEX(step2_raw_simulation!AJ:AJ, (ROW(AJ16)-1)*5 + 6)
)</f>
        <v>6.8</v>
      </c>
      <c r="BB17" t="str">
        <f t="shared" si="15"/>
        <v>Neutral</v>
      </c>
      <c r="BC17">
        <f>interview_responses[[#This Row],[Tôi thấy mức thuế tôi phải đóng theo phương án mới là công bằng (người thu nhập như tôi đóng mức này là hợp lý). - HUMAN-TRU2]]</f>
        <v>7</v>
      </c>
      <c r="BD17" t="str">
        <f t="shared" si="16"/>
        <v>Neutral</v>
      </c>
      <c r="BE17">
        <f t="shared" si="17"/>
        <v>0.20000000000000018</v>
      </c>
      <c r="BF17" t="str" cm="1">
        <f t="array" ref="BF17">INDEX(step2_raw_simulation[AI_TRU2_Reason], (ROW(BF16)-1)*5 + 1)</f>
        <v>Thuế mới giảm, điều này làm cho tôi cảm thấy hợp lý hơn. Tuy nhiên, mức sống khác nhau giữa các vùng miền chưa được phản ánh đủ.</v>
      </c>
      <c r="BG17" t="str">
        <f>interview_responses[[#This Row],[Lý do - HUMAN-TRU2]]</f>
        <v>tôi thấy phương án giảm trừ gia cảnh mới phù hợp hơn với thực tế đời sống nhưng vẫn chưa phản ánh đúng, đặc biệt là mức sống rất khác nhau theo vùng miền</v>
      </c>
      <c r="BH17">
        <f>AVERAGE(
  INDEX(step2_raw_simulation!AO:AO, (ROW(AQ16)-1)*5 + 2)
  :
  INDEX(step2_raw_simulation!AO:AO, (ROW(AQ16)-1)*5 + 6)
)</f>
        <v>5.2</v>
      </c>
      <c r="BI17" t="str">
        <f t="shared" si="18"/>
        <v>Neutral</v>
      </c>
      <c r="BJ17">
        <f>interview_responses[[#This Row],[Tôi tin tưởng số tiền thuế tôi đóng sẽ được Nhà nước sử dụng hiệu quả để cải thiện dịch vụ công (y tế, đường xá...). - HUMAN-TRU3]]</f>
        <v>2</v>
      </c>
      <c r="BK17" t="str">
        <f t="shared" si="19"/>
        <v>Oppose</v>
      </c>
      <c r="BL17">
        <f t="shared" si="20"/>
        <v>3.2</v>
      </c>
      <c r="BM17" t="str" cm="1">
        <f t="array" ref="BM17">INDEX(step2_raw_simulation[AI_TRU3_Reason], (ROW(BM16)-1)*5 + 1)</f>
        <v>Tôi tin rằng số thuế thu được sẽ được sử dụng hiệu quả nhưng vẫn lo ngại về việc công khai và minh bạch trong quá trình sử dụng nguồn tài chính này</v>
      </c>
      <c r="BN17" t="str">
        <f>interview_responses[[#This Row],[Lý do - HUMAN-TRU3]]</f>
        <v>tôi ko rõ tiền thuế được sử dụng như thế nào</v>
      </c>
      <c r="BO17">
        <f>AVERAGE(
  INDEX(step2_raw_simulation!AT:AT, (ROW(AX16)-1)*5 + 2)
  :
  INDEX(step2_raw_simulation!AT:AT, (ROW(AX16)-1)*5 + 6)
)</f>
        <v>5</v>
      </c>
      <c r="BP17" t="str">
        <f t="shared" si="21"/>
        <v>Neutral</v>
      </c>
      <c r="BQ17">
        <f>interview_responses[[#This Row],[Tôi thấy Nhà nước đã giải thích rõ ràng, minh bạch về lý do và mục tiêu của việc sửa đổi thuế lần này. - HUMAN-TRU4]]</f>
        <v>6</v>
      </c>
      <c r="BR17" t="str">
        <f t="shared" si="22"/>
        <v>Neutral</v>
      </c>
      <c r="BS17">
        <f t="shared" si="23"/>
        <v>1</v>
      </c>
      <c r="BT17" t="str" cm="1">
        <f t="array" ref="BT17">INDEX(step2_raw_simulation[AI_TRU4_Reason], (ROW(BT16)-1)*5 + 1)</f>
        <v>Nhà nước đã giải thích một cách tổng quát, nhưng chi tiết về lý do và mục tiêu cụ thể của việc sửa đổi thuế chưa đủ. Tuy nhiên, tôi ủng hộ việc giảm gánh nặng thuế cho người dân.</v>
      </c>
      <c r="BU17" t="str">
        <f>interview_responses[[#This Row],[Lý do - HUMAN-TRU4]]</f>
        <v>tôi không tìm thấy nhiều thông tin về lý do và mục tiêu sửa đổi</v>
      </c>
      <c r="BV17">
        <f>AVERAGE(
  INDEX(step2_raw_simulation!AY:AY, (ROW(BE16)-1)*5 + 2)
  :
  INDEX(step2_raw_simulation!AY:AY, (ROW(BE16)-1)*5 + 6)
)</f>
        <v>8.1999999999999993</v>
      </c>
      <c r="BW17" t="str">
        <f t="shared" si="24"/>
        <v>Support</v>
      </c>
      <c r="BX17">
        <f>interview_responses[[#This Row],[Sau khi xem xét các quyền lợi và nghĩa vụ, bạn có ủng hộ và tuân thủ chính sách mới hiện nay? - HUMAN-OUT1]]</f>
        <v>8</v>
      </c>
      <c r="BY17" t="str">
        <f t="shared" si="25"/>
        <v>Support</v>
      </c>
      <c r="BZ17">
        <f t="shared" si="26"/>
        <v>0.19999999999999929</v>
      </c>
      <c r="CA17" t="str" cm="1">
        <f t="array" ref="CA17">INDEX(step2_raw_simulation[AI_OUT1_Reason], (ROW(CA16)-1)*5 + 1)</f>
        <v>Chính sách mới có lợi hơn so với trước đây, nhưng vẫn cần cải thiện về mặt minh bạch và công khai. Tôi sẽ tuân thủ vì lợi ích cá nhân cũng như đóng góp chung cho xã hội.</v>
      </c>
      <c r="CB17" t="str">
        <f>interview_responses[[#This Row],[Lý do - HUMAN-OUT1]]</f>
        <v>tôi đóng ít hơn nên tôi ủng hộ :)</v>
      </c>
    </row>
    <row r="18" spans="1:80" x14ac:dyDescent="0.45">
      <c r="A18" cm="1">
        <f t="array" ref="A18">INDEX(step2_raw_simulation[Persona_ID], (ROW(A17)-1)*5 + 1)</f>
        <v>17</v>
      </c>
      <c r="B18" cm="1">
        <f t="array" ref="B18">INDEX(step2_raw_simulation[Run_ID], (ROW(B17)-1)*5 + 1)</f>
        <v>1</v>
      </c>
      <c r="C18" cm="1">
        <f t="array" ref="C18">INDEX(step2_raw_simulation[Used_Seed], (ROW(C17)-1)*5 + 1)</f>
        <v>1643</v>
      </c>
      <c r="D18" t="str" cm="1">
        <f t="array" ref="D18">INDEX(step2_raw_simulation[Gender], (ROW(D17)-1)*5 + 1)</f>
        <v>Nữ</v>
      </c>
      <c r="E18" t="str">
        <f>interview_responses[[#This Row],[Giới tính của bạn:]]</f>
        <v>Nữ</v>
      </c>
      <c r="F18" t="str" cm="1">
        <f t="array" ref="F18">INDEX(step2_raw_simulation[Age], (ROW(F17)-1)*5 + 1)</f>
        <v>30 - 39</v>
      </c>
      <c r="G18" t="str">
        <f>interview_responses[[#This Row],[Độ tuổi của bạn:]]</f>
        <v>30 - 39</v>
      </c>
      <c r="H18" t="str" cm="1">
        <f t="array" ref="H18">INDEX(step2_raw_simulation[Region], (ROW(H17)-1)*5 + 1)</f>
        <v>Thành thị</v>
      </c>
      <c r="I18" t="str">
        <f>interview_responses[[#This Row],[Khu vực bạn đang sinh sống:]]</f>
        <v>Thành thị</v>
      </c>
      <c r="J18" t="str" cm="1">
        <f t="array" ref="J18">INDEX(step2_raw_simulation[Education], (ROW(J17)-1)*5 + 1)</f>
        <v>Sau Đại học</v>
      </c>
      <c r="K18" t="str">
        <f>interview_responses[[#This Row],[Trình độ học vấn cao nhất:]]</f>
        <v>Sau Đại học</v>
      </c>
      <c r="L18" t="str" cm="1">
        <f t="array" ref="L18">INDEX(step2_raw_simulation[Employment], (ROW(L17)-1)*5 + 1)</f>
        <v>Chính thức</v>
      </c>
      <c r="M18" t="str">
        <f>interview_responses[[#This Row],[Tình trạng việc làm chính:]]</f>
        <v>Khu vực chính thức (Có Hợp đồng lao động, đóng BHXH)</v>
      </c>
      <c r="N18" cm="1">
        <f t="array" ref="N18">INDEX(step2_raw_simulation[Income_Mil], (ROW(N17)-1)*5 + 1)</f>
        <v>40</v>
      </c>
      <c r="O18" t="str">
        <f>interview_responses[[#This Row],[Thu nhập bình quân tháng theo Hợp đồng lao động của bạn là bao nhiêu? (Vui lòng điền tổng thu nhập trước khi khấu trừ các loại Bảo hiểm (BHXH, BHYT, BHTN) và Thuế TNCN)]]</f>
        <v>Từ 32 - 48 triệu VNĐ</v>
      </c>
      <c r="P18" cm="1">
        <f t="array" ref="P18">INDEX(step2_raw_simulation[Dependents], (ROW(P17)-1)*5 + 1)</f>
        <v>0</v>
      </c>
      <c r="Q18" t="str">
        <f>interview_responses[[#This Row],[Số người phụ thuộc (con nhỏ, cha mẹ già...) đủ điều kiện giảm trừ gia cảnh:]]</f>
        <v>0 người</v>
      </c>
      <c r="R18">
        <f>AVERAGE(
  INDEX(step2_raw_simulation!K:K, (ROW(A17)-1)*5 + 2)
  :
  INDEX(step2_raw_simulation!K:K, (ROW(A17)-1)*5 + 6)
)</f>
        <v>6.4</v>
      </c>
      <c r="S18" t="str">
        <f t="shared" si="0"/>
        <v>Neutral</v>
      </c>
      <c r="T18">
        <f>interview_responses[[#This Row],[Tôi tin rằng với các quy định quản lý thuế hiện nay, hành vi gian lận hoặc trốn thuế sẽ dễ dàng bị phát hiện và xử lý nghiêm. - HUMAN-ENF1]]</f>
        <v>8</v>
      </c>
      <c r="U18" t="str">
        <f t="shared" si="1"/>
        <v>Support</v>
      </c>
      <c r="V18">
        <f t="shared" si="2"/>
        <v>1.5999999999999996</v>
      </c>
      <c r="W18" t="str" cm="1">
        <f t="array" ref="W18">INDEX(step2_raw_simulation[AI_ENF1_Reason], (ROW(W17)-1)*5 + 1)</f>
        <v>Dù các quy định quản lý thuế hiện nay được sửa đổi chặt chẽ hơn, nhưng vẫn có thể chưa đủ mức kiểm soát 100% đối với hành vi gian lận tinh vi.</v>
      </c>
      <c r="X18" t="str">
        <f>interview_responses[[#This Row],[Lý do - HUMAN-ENF1]]</f>
        <v>Các quy định quản lý thuế hiện nay được sửa đổi chặt chẽ hơn, nhưng có thể chưa đủ mức kiểm soát 100% đối với hành vi gian lận tinh vi.</v>
      </c>
      <c r="Y18">
        <f>AVERAGE(
  INDEX(step2_raw_simulation!P:P, (ROW(H17)-1)*5 + 2)
  :
  INDEX(step2_raw_simulation!P:P, (ROW(H17)-1)*5 + 6)
)</f>
        <v>6</v>
      </c>
      <c r="Z18" t="str">
        <f t="shared" si="3"/>
        <v>Neutral</v>
      </c>
      <c r="AA18">
        <f>interview_responses[[#This Row],[Tôi tin rằng Nhà nước, cơ quan thuế có đủ khả năng và công nghệ để phát hiện, xử lý nghiêm các hành vi trốn thuế. - HUMAN-ENF2]]</f>
        <v>8</v>
      </c>
      <c r="AB18" t="str">
        <f t="shared" si="4"/>
        <v>Support</v>
      </c>
      <c r="AC18">
        <f t="shared" si="5"/>
        <v>2</v>
      </c>
      <c r="AD18" t="str" cm="1">
        <f t="array" ref="AD18">INDEX(step2_raw_simulation[AI_ENF2_Reason], (ROW(AD17)-1)*5 + 1)</f>
        <v>Nhà nước, cơ quan thuế đang tăng cường khả năng và công nghệ để phát hiện, xử lý nghiêm các hành vi trốn thuế, nhưng vẫn chưa đủ mức phát hiện 100% đối với hành vi gian lận tinh vi.</v>
      </c>
      <c r="AE18" t="str">
        <f>interview_responses[[#This Row],[Lý do - HUMAN-ENF2]]</f>
        <v>Nhà nước, cơ quan thuế đang tăng cường khả năng và công nghệ để phát hiện, xử lý nghiêm các hành vi trốn thuế, nhưng có thể chưa đủ mức phát hiện 100% đối với hành vi gian lận tinh vi.</v>
      </c>
      <c r="AF18">
        <f>AVERAGE(
  INDEX(step2_raw_simulation!U:U, (ROW(O17)-1)*5 + 2)
  :
  INDEX(step2_raw_simulation!U:U, (ROW(O17)-1)*5 + 6)
)</f>
        <v>7.4</v>
      </c>
      <c r="AG18" t="str">
        <f t="shared" si="6"/>
        <v>Neutral</v>
      </c>
      <c r="AH18">
        <f>interview_responses[[#This Row],[Các thủ tục khai báo thuế VÀ/HOẶC quy trình làm việc với cơ quan thuế đơn giản, tiện lợi, nhanh chóng hơn so với trước đây. - HUMAN-FAC1]]</f>
        <v>5</v>
      </c>
      <c r="AI18" t="str">
        <f t="shared" si="7"/>
        <v>Neutral</v>
      </c>
      <c r="AJ18">
        <f t="shared" si="8"/>
        <v>2.4000000000000004</v>
      </c>
      <c r="AK18" t="str" cm="1">
        <f t="array" ref="AK18">INDEX(step2_raw_simulation[AI_FAC1_Reason], (ROW(AK17)-1)*5 + 1)</f>
        <v>Các thủ tục chuyển từ trực tiếp sang trực tuyến thì nhanh chóng hơn. Nhưng vì các thủ tục kiểm soát được tăng cường nên không đơn giản hơn đối với cá nhân.</v>
      </c>
      <c r="AL18" t="str">
        <f>interview_responses[[#This Row],[Lý do - HUMAN-FAC1]]</f>
        <v>Các thủ tục chuyển từ trực tiếp sang trực tuyến thì nhanh chóng hơn. Nhưng vì các thủ tục kiểm soát được tăng cường nên có thể không đơn giản hơn.</v>
      </c>
      <c r="AM18">
        <f>AVERAGE(
  INDEX(step2_raw_simulation!Z:Z, (ROW(V17)-1)*5 + 2)
  :
  INDEX(step2_raw_simulation!Z:Z, (ROW(V17)-1)*5 + 6)
)</f>
        <v>8.8000000000000007</v>
      </c>
      <c r="AN18" t="str">
        <f t="shared" si="9"/>
        <v>Support</v>
      </c>
      <c r="AO18">
        <f>interview_responses[[#This Row],[So với trước đây, tôi thấy cách tính thuế và các bậc thuế trong phương án mới đơn giản, dễ hiểu và dễ thực hiện hơn. - HUMAN-FAC2]]</f>
        <v>10</v>
      </c>
      <c r="AP18" t="str">
        <f t="shared" si="10"/>
        <v>Support</v>
      </c>
      <c r="AQ18">
        <f t="shared" si="11"/>
        <v>1.1999999999999993</v>
      </c>
      <c r="AR18" t="str" cm="1">
        <f t="array" ref="AR18">INDEX(step2_raw_simulation[AI_FAC2_Reason], (ROW(AR17)-1)*5 + 1)</f>
        <v>So với trước đây, cách tính thuế và các bậc thuế trong phương án mới đơn giản, dễ hiểu và dễ thực hiện hơn. Điều này giúp giảm độ phức tạp cho người nộp thuế.</v>
      </c>
      <c r="AS18" t="str">
        <f>interview_responses[[#This Row],[Lý do - HUMAN-FAC2]]</f>
        <v>Đối với riêng cá nhân thì tôi thấy dễ thực hiện hơn vì biểu thuế ít bậc hơn.</v>
      </c>
      <c r="AT18">
        <f>AVERAGE(
  INDEX(step2_raw_simulation!AE:AE, (ROW(AC17)-1)*5 + 2)
  :
  INDEX(step2_raw_simulation!AE:AE, (ROW(AC17)-1)*5 + 6)
)</f>
        <v>7.4</v>
      </c>
      <c r="AU18" t="str">
        <f t="shared" si="12"/>
        <v>Neutral</v>
      </c>
      <c r="AV18">
        <f>interview_responses[[#This Row],[Tôi tin rằng Nhà nước, cơ quan thuế sẽ thực thi chính sách mới một cách khách quan, công tâm và đối xử bình đẳng với mọi người nộp thuế.  - HUMAN-TRU1]]</f>
        <v>8</v>
      </c>
      <c r="AW18" t="str">
        <f t="shared" si="13"/>
        <v>Support</v>
      </c>
      <c r="AX18">
        <f t="shared" si="14"/>
        <v>0.59999999999999964</v>
      </c>
      <c r="AY18" t="str" cm="1">
        <f t="array" ref="AY18">INDEX(step2_raw_simulation[AI_TRU1_Reason], (ROW(AY17)-1)*5 + 1)</f>
        <v>Chính sách thuế của Nhà nước luôn có mục tiêu khách quan, công tâm và đối xử bình đẳng với mọi người nộp thuế. Tuy nhiên, do là cá nhân, tôi cũng nhận thấy có thiên kiến riêng.</v>
      </c>
      <c r="AZ18" t="str">
        <f>interview_responses[[#This Row],[Lý do - HUMAN-TRU1]]</f>
        <v>Chính sách thuế của Nhà nước luôn có mục tiêu khách quan, công tâm và đối xử bình đẳng với mọi người nộp thuế. Nhưng người thực thi là cá nhân, cũng giống như mọi công dân sẽ có thiên kiến riêng của mình.</v>
      </c>
      <c r="BA18">
        <f>AVERAGE(
  INDEX(step2_raw_simulation!AJ:AJ, (ROW(AJ17)-1)*5 + 2)
  :
  INDEX(step2_raw_simulation!AJ:AJ, (ROW(AJ17)-1)*5 + 6)
)</f>
        <v>8.4</v>
      </c>
      <c r="BB18" t="str">
        <f t="shared" si="15"/>
        <v>Support</v>
      </c>
      <c r="BC18">
        <f>interview_responses[[#This Row],[Tôi thấy mức thuế tôi phải đóng theo phương án mới là công bằng (người thu nhập như tôi đóng mức này là hợp lý). - HUMAN-TRU2]]</f>
        <v>8</v>
      </c>
      <c r="BD18" t="str">
        <f t="shared" si="16"/>
        <v>Support</v>
      </c>
      <c r="BE18">
        <f t="shared" si="17"/>
        <v>0.40000000000000036</v>
      </c>
      <c r="BF18" t="str" cm="1">
        <f t="array" ref="BF18">INDEX(step2_raw_simulation[AI_TRU2_Reason], (ROW(BF17)-1)*5 + 1)</f>
        <v>Mức thuế tôi phải đóng theo phương án mới được xem xét kỹ lưỡng và hợp lý so với thu nhập của tôi. So với biểu thuế cũ thì mức thuế mới được cải thiện đáng kể.</v>
      </c>
      <c r="BG18" t="str">
        <f>interview_responses[[#This Row],[Lý do - HUMAN-TRU2]]</f>
        <v>Tôi thấy công bằng ở mức độ tương đối. Nếu so sánh với biểu thuế cũ thì biểu thuế mới được sửa đổi tốt hơn rồi.</v>
      </c>
      <c r="BH18">
        <f>AVERAGE(
  INDEX(step2_raw_simulation!AO:AO, (ROW(AQ17)-1)*5 + 2)
  :
  INDEX(step2_raw_simulation!AO:AO, (ROW(AQ17)-1)*5 + 6)
)</f>
        <v>7</v>
      </c>
      <c r="BI18" t="str">
        <f t="shared" si="18"/>
        <v>Neutral</v>
      </c>
      <c r="BJ18">
        <f>interview_responses[[#This Row],[Tôi tin tưởng số tiền thuế tôi đóng sẽ được Nhà nước sử dụng hiệu quả để cải thiện dịch vụ công (y tế, đường xá...). - HUMAN-TRU3]]</f>
        <v>8</v>
      </c>
      <c r="BK18" t="str">
        <f t="shared" si="19"/>
        <v>Support</v>
      </c>
      <c r="BL18">
        <f t="shared" si="20"/>
        <v>1</v>
      </c>
      <c r="BM18" t="str" cm="1">
        <f t="array" ref="BM18">INDEX(step2_raw_simulation[AI_TRU3_Reason], (ROW(BM17)-1)*5 + 1)</f>
        <v>Tôi tin số tiền thuế tôi đóng sẽ được sử dụng hiệu quả để cải thiện dịch vụ công, nhưng việc đánh giá hiệu quả chưa có KPI rõ ràng để xem xét.</v>
      </c>
      <c r="BN18" t="str">
        <f>interview_responses[[#This Row],[Lý do - HUMAN-TRU3]]</f>
        <v>Tôi nhận thấy Nhà nước đã nỗ lực sử dụng nhiều nguồn ngân sách để đầu tư công, phát triển cơ sở hạ tầng và cải thiện đời sống người dân gần đây trong năm 2025. Tuy nhiên, việc đánh giá hiệu quả chưa có KPI rõ ràng để xem xét.</v>
      </c>
      <c r="BO18">
        <f>AVERAGE(
  INDEX(step2_raw_simulation!AT:AT, (ROW(AX17)-1)*5 + 2)
  :
  INDEX(step2_raw_simulation!AT:AT, (ROW(AX17)-1)*5 + 6)
)</f>
        <v>7.8</v>
      </c>
      <c r="BP18" t="str">
        <f t="shared" si="21"/>
        <v>Neutral</v>
      </c>
      <c r="BQ18">
        <f>interview_responses[[#This Row],[Tôi thấy Nhà nước đã giải thích rõ ràng, minh bạch về lý do và mục tiêu của việc sửa đổi thuế lần này. - HUMAN-TRU4]]</f>
        <v>8</v>
      </c>
      <c r="BR18" t="str">
        <f t="shared" si="22"/>
        <v>Support</v>
      </c>
      <c r="BS18">
        <f t="shared" si="23"/>
        <v>0.20000000000000018</v>
      </c>
      <c r="BT18" t="str" cm="1">
        <f t="array" ref="BT18">INDEX(step2_raw_simulation[AI_TRU4_Reason], (ROW(BT17)-1)*5 + 1)</f>
        <v>Nhà nước đã truyền thông minh bạch về lý do và mục tiêu của việc sửa đổi thuế lần này. Tuy nhiên, để nâng cao niềm tin, cần có thêm nhiều thông tin chi tiết hơn.</v>
      </c>
      <c r="BU18" t="str">
        <f>interview_responses[[#This Row],[Lý do - HUMAN-TRU4]]</f>
        <v xml:space="preserve">Nhà nước đã truyền thông rõ ràng, minh bạch về lý do và mục tiêu của việc sửa đổi thuế lần này một cách tương đối. </v>
      </c>
      <c r="BV18">
        <f>AVERAGE(
  INDEX(step2_raw_simulation!AY:AY, (ROW(BE17)-1)*5 + 2)
  :
  INDEX(step2_raw_simulation!AY:AY, (ROW(BE17)-1)*5 + 6)
)</f>
        <v>9</v>
      </c>
      <c r="BW18" t="str">
        <f t="shared" si="24"/>
        <v>Support</v>
      </c>
      <c r="BX18">
        <f>interview_responses[[#This Row],[Sau khi xem xét các quyền lợi và nghĩa vụ, bạn có ủng hộ và tuân thủ chính sách mới hiện nay? - HUMAN-OUT1]]</f>
        <v>10</v>
      </c>
      <c r="BY18" t="str">
        <f t="shared" si="25"/>
        <v>Support</v>
      </c>
      <c r="BZ18">
        <f t="shared" si="26"/>
        <v>1</v>
      </c>
      <c r="CA18" t="str" cm="1">
        <f t="array" ref="CA18">INDEX(step2_raw_simulation[AI_OUT1_Reason], (ROW(CA17)-1)*5 + 1)</f>
        <v>Tôi thấy chính sách mới có hướng sửa đổi tích cực so với trước đây nên ủng hộ và tuân thủ chính sách mới. Việc giảm thuế cho bản thân và người phụ thuộc giúp cải thiện mức sống.</v>
      </c>
      <c r="CB18" t="str">
        <f>interview_responses[[#This Row],[Lý do - HUMAN-OUT1]]</f>
        <v>Tôi thấy chính sách mới có hướng sửa đổi tích cực so với trước đây nên ủng hộ và tuân thủ chính sách mới.</v>
      </c>
    </row>
    <row r="19" spans="1:80" x14ac:dyDescent="0.45">
      <c r="A19" cm="1">
        <f t="array" ref="A19">INDEX(step2_raw_simulation[Persona_ID], (ROW(A18)-1)*5 + 1)</f>
        <v>18</v>
      </c>
      <c r="B19" cm="1">
        <f t="array" ref="B19">INDEX(step2_raw_simulation[Run_ID], (ROW(B18)-1)*5 + 1)</f>
        <v>1</v>
      </c>
      <c r="C19" cm="1">
        <f t="array" ref="C19">INDEX(step2_raw_simulation[Used_Seed], (ROW(C18)-1)*5 + 1)</f>
        <v>1743</v>
      </c>
      <c r="D19" t="str" cm="1">
        <f t="array" ref="D19">INDEX(step2_raw_simulation[Gender], (ROW(D18)-1)*5 + 1)</f>
        <v>Nữ</v>
      </c>
      <c r="E19" t="str">
        <f>interview_responses[[#This Row],[Giới tính của bạn:]]</f>
        <v>Nữ</v>
      </c>
      <c r="F19" t="str" cm="1">
        <f t="array" ref="F19">INDEX(step2_raw_simulation[Age], (ROW(F18)-1)*5 + 1)</f>
        <v>30 - 39</v>
      </c>
      <c r="G19" t="str">
        <f>interview_responses[[#This Row],[Độ tuổi của bạn:]]</f>
        <v>30 - 39</v>
      </c>
      <c r="H19" t="str" cm="1">
        <f t="array" ref="H19">INDEX(step2_raw_simulation[Region], (ROW(H18)-1)*5 + 1)</f>
        <v>Thành thị</v>
      </c>
      <c r="I19" t="str">
        <f>interview_responses[[#This Row],[Khu vực bạn đang sinh sống:]]</f>
        <v>Thành thị</v>
      </c>
      <c r="J19" t="str" cm="1">
        <f t="array" ref="J19">INDEX(step2_raw_simulation[Education], (ROW(J18)-1)*5 + 1)</f>
        <v>Đại học</v>
      </c>
      <c r="K19" t="str">
        <f>interview_responses[[#This Row],[Trình độ học vấn cao nhất:]]</f>
        <v>Đại học</v>
      </c>
      <c r="L19" t="str" cm="1">
        <f t="array" ref="L19">INDEX(step2_raw_simulation[Employment], (ROW(L18)-1)*5 + 1)</f>
        <v>Chính thức</v>
      </c>
      <c r="M19" t="str">
        <f>interview_responses[[#This Row],[Tình trạng việc làm chính:]]</f>
        <v>Khu vực chính thức (Có Hợp đồng lao động, đóng BHXH)</v>
      </c>
      <c r="N19" cm="1">
        <f t="array" ref="N19">INDEX(step2_raw_simulation[Income_Mil], (ROW(N18)-1)*5 + 1)</f>
        <v>40</v>
      </c>
      <c r="O19" t="str">
        <f>interview_responses[[#This Row],[Thu nhập bình quân tháng theo Hợp đồng lao động của bạn là bao nhiêu? (Vui lòng điền tổng thu nhập trước khi khấu trừ các loại Bảo hiểm (BHXH, BHYT, BHTN) và Thuế TNCN)]]</f>
        <v>Từ 32 - 48 triệu VNĐ</v>
      </c>
      <c r="P19" cm="1">
        <f t="array" ref="P19">INDEX(step2_raw_simulation[Dependents], (ROW(P18)-1)*5 + 1)</f>
        <v>2</v>
      </c>
      <c r="Q19" t="str">
        <f>interview_responses[[#This Row],[Số người phụ thuộc (con nhỏ, cha mẹ già...) đủ điều kiện giảm trừ gia cảnh:]]</f>
        <v>2 người</v>
      </c>
      <c r="R19">
        <f>AVERAGE(
  INDEX(step2_raw_simulation!K:K, (ROW(A18)-1)*5 + 2)
  :
  INDEX(step2_raw_simulation!K:K, (ROW(A18)-1)*5 + 6)
)</f>
        <v>6.6</v>
      </c>
      <c r="S19" t="str">
        <f t="shared" si="0"/>
        <v>Neutral</v>
      </c>
      <c r="T19">
        <f>interview_responses[[#This Row],[Tôi tin rằng với các quy định quản lý thuế hiện nay, hành vi gian lận hoặc trốn thuế sẽ dễ dàng bị phát hiện và xử lý nghiêm. - HUMAN-ENF1]]</f>
        <v>9</v>
      </c>
      <c r="U19" t="str">
        <f t="shared" si="1"/>
        <v>Support</v>
      </c>
      <c r="V19">
        <f t="shared" si="2"/>
        <v>2.4000000000000004</v>
      </c>
      <c r="W19" t="str" cm="1">
        <f t="array" ref="W19">INDEX(step2_raw_simulation[AI_ENF1_Reason], (ROW(W18)-1)*5 + 1)</f>
        <v>Công nghệ truy xuất và rà soát toàn bộ hoạt động kinh tế chưa phát triển, nhưng với thuế điện tử, khả năng phát hiện gian lận tăng. Tăng thuế đối với người nộp thuế là một biện pháp răn đe.</v>
      </c>
      <c r="X19" t="str">
        <f>interview_responses[[#This Row],[Lý do - HUMAN-ENF1]]</f>
        <v>Đô thị là nơi tập trung kinh tế, tại đó giao dịch thanh toán phần lớn bằng điện tử, các dấu vết dễ dàng truy xuất, lưu lại dấu vết. Hoá đơn cũng bắt buộc xuất điện tử. Chế tài xử phạt tăng, điều tra xử lý vi phạm trên diện rộng đã tăng tính răn đe.</v>
      </c>
      <c r="Y19">
        <f>AVERAGE(
  INDEX(step2_raw_simulation!P:P, (ROW(H18)-1)*5 + 2)
  :
  INDEX(step2_raw_simulation!P:P, (ROW(H18)-1)*5 + 6)
)</f>
        <v>6.6</v>
      </c>
      <c r="Z19" t="str">
        <f t="shared" si="3"/>
        <v>Neutral</v>
      </c>
      <c r="AA19">
        <f>interview_responses[[#This Row],[Tôi tin rằng Nhà nước, cơ quan thuế có đủ khả năng và công nghệ để phát hiện, xử lý nghiêm các hành vi trốn thuế. - HUMAN-ENF2]]</f>
        <v>7</v>
      </c>
      <c r="AB19" t="str">
        <f t="shared" si="4"/>
        <v>Neutral</v>
      </c>
      <c r="AC19">
        <f t="shared" si="5"/>
        <v>0.40000000000000036</v>
      </c>
      <c r="AD19" t="str" cm="1">
        <f t="array" ref="AD19">INDEX(step2_raw_simulation[AI_ENF2_Reason], (ROW(AD18)-1)*5 + 1)</f>
        <v>Công nghệ hiện đại giúp Nhà nước dễ dàng phát hiện và xử lý trốn thuế, nhưng nguồn lực thực thi pháp luật chưa đồng đều.</v>
      </c>
      <c r="AE19" t="str">
        <f>interview_responses[[#This Row],[Lý do - HUMAN-ENF2]]</f>
        <v>Khi điều tra sẽ phát hiện, nhưng nguồn lực và công nghệ để rà soát toàn bộ hoạt động kinh tế ở giai đoạn hiện tại thì chưa</v>
      </c>
      <c r="AF19">
        <f>AVERAGE(
  INDEX(step2_raw_simulation!U:U, (ROW(O18)-1)*5 + 2)
  :
  INDEX(step2_raw_simulation!U:U, (ROW(O18)-1)*5 + 6)
)</f>
        <v>7.8</v>
      </c>
      <c r="AG19" t="str">
        <f t="shared" si="6"/>
        <v>Neutral</v>
      </c>
      <c r="AH19">
        <f>interview_responses[[#This Row],[Các thủ tục khai báo thuế VÀ/HOẶC quy trình làm việc với cơ quan thuế đơn giản, tiện lợi, nhanh chóng hơn so với trước đây. - HUMAN-FAC1]]</f>
        <v>5</v>
      </c>
      <c r="AI19" t="str">
        <f t="shared" si="7"/>
        <v>Neutral</v>
      </c>
      <c r="AJ19">
        <f t="shared" si="8"/>
        <v>2.8</v>
      </c>
      <c r="AK19" t="str" cm="1">
        <f t="array" ref="AK19">INDEX(step2_raw_simulation[AI_FAC1_Reason], (ROW(AK18)-1)*5 + 1)</f>
        <v>So với trước đây, việc tính thuế đơn giản hơn nhiều, thuận tiện cho người nộp thuế.</v>
      </c>
      <c r="AL19" t="str">
        <f>interview_responses[[#This Row],[Lý do - HUMAN-FAC1]]</f>
        <v>Ko biết do tôi chưa từng làm thủ tục</v>
      </c>
      <c r="AM19">
        <f>AVERAGE(
  INDEX(step2_raw_simulation!Z:Z, (ROW(V18)-1)*5 + 2)
  :
  INDEX(step2_raw_simulation!Z:Z, (ROW(V18)-1)*5 + 6)
)</f>
        <v>7.2</v>
      </c>
      <c r="AN19" t="str">
        <f t="shared" si="9"/>
        <v>Neutral</v>
      </c>
      <c r="AO19">
        <f>interview_responses[[#This Row],[So với trước đây, tôi thấy cách tính thuế và các bậc thuế trong phương án mới đơn giản, dễ hiểu và dễ thực hiện hơn. - HUMAN-FAC2]]</f>
        <v>5</v>
      </c>
      <c r="AP19" t="str">
        <f t="shared" si="10"/>
        <v>Neutral</v>
      </c>
      <c r="AQ19">
        <f t="shared" si="11"/>
        <v>2.2000000000000002</v>
      </c>
      <c r="AR19" t="str" cm="1">
        <f t="array" ref="AR19">INDEX(step2_raw_simulation[AI_FAC2_Reason], (ROW(AR18)-1)*5 + 1)</f>
        <v>Bậc thuế và biểu thuế mới dễ hiểu, việc tính toán thu nhập chịu thuế và thuế phải đóng trở nên rõ ràng hơn.</v>
      </c>
      <c r="AS19" t="str">
        <f>interview_responses[[#This Row],[Lý do - HUMAN-FAC2]]</f>
        <v>Câu hỏi chưa rõ. Dễ tính - dễ thực hiện với ai? Với người làm ctac khấu trừ thuế hay với cơ quan nhà nước?nếu với người lao động bình thường thì do tôi ko tự đọc quy định, ko tự tính nên ko biết có dễ hiểu ko, tôi sẽ hỏi chat GPT hoặc các web và nhập số liệu chờ kết quả. Tôi cũng ko phải người tính thuế ở cty nên ko biết so vs trước đây dễ hay khó hơn.</v>
      </c>
      <c r="AT19">
        <f>AVERAGE(
  INDEX(step2_raw_simulation!AE:AE, (ROW(AC18)-1)*5 + 2)
  :
  INDEX(step2_raw_simulation!AE:AE, (ROW(AC18)-1)*5 + 6)
)</f>
        <v>7</v>
      </c>
      <c r="AU19" t="str">
        <f t="shared" si="12"/>
        <v>Neutral</v>
      </c>
      <c r="AV19">
        <f>interview_responses[[#This Row],[Tôi tin rằng Nhà nước, cơ quan thuế sẽ thực thi chính sách mới một cách khách quan, công tâm và đối xử bình đẳng với mọi người nộp thuế.  - HUMAN-TRU1]]</f>
        <v>5</v>
      </c>
      <c r="AW19" t="str">
        <f t="shared" si="13"/>
        <v>Neutral</v>
      </c>
      <c r="AX19">
        <f t="shared" si="14"/>
        <v>2</v>
      </c>
      <c r="AY19" t="str" cm="1">
        <f t="array" ref="AY19">INDEX(step2_raw_simulation[AI_TRU1_Reason], (ROW(AY18)-1)*5 + 1)</f>
        <v>Cải cách thuế hướng đến công bằng, nhưng chưa chắc chắn về sự thực thi khách quan giữa người lao động với doanh nghiệp nhỏ lẻ.</v>
      </c>
      <c r="AZ19" t="str">
        <f>interview_responses[[#This Row],[Lý do - HUMAN-TRU1]]</f>
        <v>Nếu đối với những người cùng đối tượng chịu thuế tại cùng khu vực sống sẽ bình đẳng, nhưng giữa người làm công với người kinh doanh nhỏ lẻ thì ko biết vì tôi ko tìm hiểu quy định, giữa người sống ở thành thị với nông thôn ko biết có áp dụng hệ số và chênh lệch theo chi phí sinh hoạt hay ko, nếu ko thì ko bình đẳng</v>
      </c>
      <c r="BA19">
        <f>AVERAGE(
  INDEX(step2_raw_simulation!AJ:AJ, (ROW(AJ18)-1)*5 + 2)
  :
  INDEX(step2_raw_simulation!AJ:AJ, (ROW(AJ18)-1)*5 + 6)
)</f>
        <v>7.4</v>
      </c>
      <c r="BB19" t="str">
        <f t="shared" si="15"/>
        <v>Neutral</v>
      </c>
      <c r="BC19">
        <f>interview_responses[[#This Row],[Tôi thấy mức thuế tôi phải đóng theo phương án mới là công bằng (người thu nhập như tôi đóng mức này là hợp lý). - HUMAN-TRU2]]</f>
        <v>9</v>
      </c>
      <c r="BD19" t="str">
        <f t="shared" si="16"/>
        <v>Support</v>
      </c>
      <c r="BE19">
        <f t="shared" si="17"/>
        <v>1.5999999999999996</v>
      </c>
      <c r="BF19" t="str" cm="1">
        <f t="array" ref="BF19">INDEX(step2_raw_simulation[AI_TRU2_Reason], (ROW(BF18)-1)*5 + 1)</f>
        <v>Thuế mới phù hợp với thu nhập của tôi và giảm gánh nặng tài chính, khiến tôi cảm thấy công bằng hơn.</v>
      </c>
      <c r="BG19" t="str">
        <f>interview_responses[[#This Row],[Lý do - HUMAN-TRU2]]</f>
        <v>Số thuế nhỏ , phù hợp để đóng góp 1 chút cho ngân sách nn</v>
      </c>
      <c r="BH19">
        <f>AVERAGE(
  INDEX(step2_raw_simulation!AO:AO, (ROW(AQ18)-1)*5 + 2)
  :
  INDEX(step2_raw_simulation!AO:AO, (ROW(AQ18)-1)*5 + 6)
)</f>
        <v>7</v>
      </c>
      <c r="BI19" t="str">
        <f t="shared" si="18"/>
        <v>Neutral</v>
      </c>
      <c r="BJ19">
        <f>interview_responses[[#This Row],[Tôi tin tưởng số tiền thuế tôi đóng sẽ được Nhà nước sử dụng hiệu quả để cải thiện dịch vụ công (y tế, đường xá...). - HUMAN-TRU3]]</f>
        <v>6</v>
      </c>
      <c r="BK19" t="str">
        <f t="shared" si="19"/>
        <v>Neutral</v>
      </c>
      <c r="BL19">
        <f t="shared" si="20"/>
        <v>1</v>
      </c>
      <c r="BM19" t="str" cm="1">
        <f t="array" ref="BM19">INDEX(step2_raw_simulation[AI_TRU3_Reason], (ROW(BM18)-1)*5 + 1)</f>
        <v>Thuốc đóng góp cho ngân sách nhà nước để cải thiện dịch vụ công, nhưng còn nhiều thắc mắc về cách sử dụng nguồn thu.</v>
      </c>
      <c r="BN19" t="str">
        <f>interview_responses[[#This Row],[Lý do - HUMAN-TRU3]]</f>
        <v>Chiến lược cải cách đang thực hiện trên diện rộng, tôi tin chính sách chung là đúng đắn nhưng ko biết năng lực thực thi của cả hệ thống có đáp ứng đc ko, lãnh đạo đất nước ko phải người đc đào tạo bài bản về kinh tế, ko tin lắm sẽ làm đc</v>
      </c>
      <c r="BO19">
        <f>AVERAGE(
  INDEX(step2_raw_simulation!AT:AT, (ROW(AX18)-1)*5 + 2)
  :
  INDEX(step2_raw_simulation!AT:AT, (ROW(AX18)-1)*5 + 6)
)</f>
        <v>5.4</v>
      </c>
      <c r="BP19" t="str">
        <f t="shared" si="21"/>
        <v>Neutral</v>
      </c>
      <c r="BQ19">
        <f>interview_responses[[#This Row],[Tôi thấy Nhà nước đã giải thích rõ ràng, minh bạch về lý do và mục tiêu của việc sửa đổi thuế lần này. - HUMAN-TRU4]]</f>
        <v>6</v>
      </c>
      <c r="BR19" t="str">
        <f t="shared" si="22"/>
        <v>Neutral</v>
      </c>
      <c r="BS19">
        <f t="shared" si="23"/>
        <v>0.59999999999999964</v>
      </c>
      <c r="BT19" t="str" cm="1">
        <f t="array" ref="BT19">INDEX(step2_raw_simulation[AI_TRU4_Reason], (ROW(BT18)-1)*5 + 1)</f>
        <v>Chính phủ đã giải thích rõ ràng về mục tiêu và lý do của việc sửa đổi thuế, tạo ra sự tin tưởng nhất định.</v>
      </c>
      <c r="BU19" t="str">
        <f>interview_responses[[#This Row],[Lý do - HUMAN-TRU4]]</f>
        <v>Ko nghe, ko đọc giải thích nên ko biết</v>
      </c>
      <c r="BV19">
        <f>AVERAGE(
  INDEX(step2_raw_simulation!AY:AY, (ROW(BE18)-1)*5 + 2)
  :
  INDEX(step2_raw_simulation!AY:AY, (ROW(BE18)-1)*5 + 6)
)</f>
        <v>8</v>
      </c>
      <c r="BW19" t="str">
        <f t="shared" si="24"/>
        <v>Support</v>
      </c>
      <c r="BX19">
        <f>interview_responses[[#This Row],[Sau khi xem xét các quyền lợi và nghĩa vụ, bạn có ủng hộ và tuân thủ chính sách mới hiện nay? - HUMAN-OUT1]]</f>
        <v>9</v>
      </c>
      <c r="BY19" t="str">
        <f t="shared" si="25"/>
        <v>Support</v>
      </c>
      <c r="BZ19">
        <f t="shared" si="26"/>
        <v>1</v>
      </c>
      <c r="CA19" t="str" cm="1">
        <f t="array" ref="CA19">INDEX(step2_raw_simulation[AI_OUT1_Reason], (ROW(CA18)-1)*5 + 1)</f>
        <v>Nhìn chung, tôi ủng hộ chính sách mới vì nó giảm gánh nặng cho người nộp thuế và đơn giản hóa thủ tục.</v>
      </c>
      <c r="CB19" t="str">
        <f>interview_responses[[#This Row],[Lý do - HUMAN-OUT1]]</f>
        <v>Tôi đóng ít hơn và phù hợp thì ủng hộ thôi</v>
      </c>
    </row>
    <row r="20" spans="1:80" x14ac:dyDescent="0.45">
      <c r="A20" cm="1">
        <f t="array" ref="A20">INDEX(step2_raw_simulation[Persona_ID], (ROW(A19)-1)*5 + 1)</f>
        <v>19</v>
      </c>
      <c r="B20" cm="1">
        <f t="array" ref="B20">INDEX(step2_raw_simulation[Run_ID], (ROW(B19)-1)*5 + 1)</f>
        <v>1</v>
      </c>
      <c r="C20" cm="1">
        <f t="array" ref="C20">INDEX(step2_raw_simulation[Used_Seed], (ROW(C19)-1)*5 + 1)</f>
        <v>1843</v>
      </c>
      <c r="D20" t="str" cm="1">
        <f t="array" ref="D20">INDEX(step2_raw_simulation[Gender], (ROW(D19)-1)*5 + 1)</f>
        <v>Nữ</v>
      </c>
      <c r="E20" t="str">
        <f>interview_responses[[#This Row],[Giới tính của bạn:]]</f>
        <v>Nữ</v>
      </c>
      <c r="F20" t="str" cm="1">
        <f t="array" ref="F20">INDEX(step2_raw_simulation[Age], (ROW(F19)-1)*5 + 1)</f>
        <v>40 - 49</v>
      </c>
      <c r="G20" t="str">
        <f>interview_responses[[#This Row],[Độ tuổi của bạn:]]</f>
        <v>40 - 49</v>
      </c>
      <c r="H20" t="str" cm="1">
        <f t="array" ref="H20">INDEX(step2_raw_simulation[Region], (ROW(H19)-1)*5 + 1)</f>
        <v>Thành thị</v>
      </c>
      <c r="I20" t="str">
        <f>interview_responses[[#This Row],[Khu vực bạn đang sinh sống:]]</f>
        <v>Thành thị</v>
      </c>
      <c r="J20" t="str" cm="1">
        <f t="array" ref="J20">INDEX(step2_raw_simulation[Education], (ROW(J19)-1)*5 + 1)</f>
        <v>Sau Đại học</v>
      </c>
      <c r="K20" t="str">
        <f>interview_responses[[#This Row],[Trình độ học vấn cao nhất:]]</f>
        <v>Sau Đại học</v>
      </c>
      <c r="L20" t="str" cm="1">
        <f t="array" ref="L20">INDEX(step2_raw_simulation[Employment], (ROW(L19)-1)*5 + 1)</f>
        <v>Chính thức</v>
      </c>
      <c r="M20" t="str">
        <f>interview_responses[[#This Row],[Tình trạng việc làm chính:]]</f>
        <v>Khu vực chính thức (Có Hợp đồng lao động, đóng BHXH)</v>
      </c>
      <c r="N20" cm="1">
        <f t="array" ref="N20">INDEX(step2_raw_simulation[Income_Mil], (ROW(N19)-1)*5 + 1)</f>
        <v>120</v>
      </c>
      <c r="O20" t="str">
        <f>interview_responses[[#This Row],[Thu nhập bình quân tháng theo Hợp đồng lao động của bạn là bao nhiêu? (Vui lòng điền tổng thu nhập trước khi khấu trừ các loại Bảo hiểm (BHXH, BHYT, BHTN) và Thuế TNCN)]]</f>
        <v>Trên 102 triệu VNĐ</v>
      </c>
      <c r="P20" cm="1">
        <f t="array" ref="P20">INDEX(step2_raw_simulation[Dependents], (ROW(P19)-1)*5 + 1)</f>
        <v>2</v>
      </c>
      <c r="Q20" t="str">
        <f>interview_responses[[#This Row],[Số người phụ thuộc (con nhỏ, cha mẹ già...) đủ điều kiện giảm trừ gia cảnh:]]</f>
        <v>2 người</v>
      </c>
      <c r="R20">
        <f>AVERAGE(
  INDEX(step2_raw_simulation!K:K, (ROW(A19)-1)*5 + 2)
  :
  INDEX(step2_raw_simulation!K:K, (ROW(A19)-1)*5 + 6)
)</f>
        <v>3.4</v>
      </c>
      <c r="S20" t="str">
        <f t="shared" si="0"/>
        <v>Oppose</v>
      </c>
      <c r="T20">
        <f>interview_responses[[#This Row],[Tôi tin rằng với các quy định quản lý thuế hiện nay, hành vi gian lận hoặc trốn thuế sẽ dễ dàng bị phát hiện và xử lý nghiêm. - HUMAN-ENF1]]</f>
        <v>4</v>
      </c>
      <c r="U20" t="str">
        <f t="shared" si="1"/>
        <v>Oppose</v>
      </c>
      <c r="V20">
        <f t="shared" si="2"/>
        <v>0.60000000000000009</v>
      </c>
      <c r="W20" t="str" cm="1">
        <f t="array" ref="W20">INDEX(step2_raw_simulation[AI_ENF1_Reason], (ROW(W19)-1)*5 + 1)</f>
        <v>Theo tôi, mặc dù đã có sự cải thiện trong quản lý thuế nhưng vẫn còn nhiều vấn đề chưa được giải quyết triệt để. Việc truy thu và xử lý gian lận thuế không hiệu quả, dẫn đến tình trạng trốn thuế vẫn diễn ra.</v>
      </c>
      <c r="X20" t="str">
        <f>interview_responses[[#This Row],[Lý do - HUMAN-ENF1]]</f>
        <v>Tôi không thấy nhà nước có giải pháp truy thu thuế hiệu quả, cụ thể là tình trạng trốn thuế/đóng thuế không đúng theo quy định vẫn diễn ra. Ngoài ra, như báo đài đưa tin, 1 số truong hợp người Việt không được thông quan khi đi nước ngoài chỉ vì chưa hoàn tất nợ thuế . Tuy nhiên số nợ đó họ không hề biết đến =&gt; chứng tỏ bộ máy quản lý đang còn rất lỏng lẻo.</v>
      </c>
      <c r="Y20">
        <f>AVERAGE(
  INDEX(step2_raw_simulation!P:P, (ROW(H19)-1)*5 + 2)
  :
  INDEX(step2_raw_simulation!P:P, (ROW(H19)-1)*5 + 6)
)</f>
        <v>3.8</v>
      </c>
      <c r="Z20" t="str">
        <f t="shared" si="3"/>
        <v>Oppose</v>
      </c>
      <c r="AA20">
        <f>interview_responses[[#This Row],[Tôi tin rằng Nhà nước, cơ quan thuế có đủ khả năng và công nghệ để phát hiện, xử lý nghiêm các hành vi trốn thuế. - HUMAN-ENF2]]</f>
        <v>6</v>
      </c>
      <c r="AB20" t="str">
        <f t="shared" si="4"/>
        <v>Neutral</v>
      </c>
      <c r="AC20">
        <f t="shared" si="5"/>
        <v>2.2000000000000002</v>
      </c>
      <c r="AD20" t="str" cm="1">
        <f t="array" ref="AD20">INDEX(step2_raw_simulation[AI_ENF2_Reason], (ROW(AD19)-1)*5 + 1)</f>
        <v>Cơ quan thuế có công nghệ hiện đại hơn nhưng nguồn nhân lực quản lý thuế vẫn chưa được nâng cao, tạo nên rủi ro về việc gian lận vẫn còn nhiều.</v>
      </c>
      <c r="AE20" t="str">
        <f>interview_responses[[#This Row],[Lý do - HUMAN-ENF2]]</f>
        <v>Điểm này tôi đồng ý, quan trọng Nhà nước có tiến hành làm 1 cách triệt để hay không. Vấn đề chủ yếu theo tôi xuất phát từ nguồn nhân lực quản ly bên Thuế (khả năng quản lý, tính chịu trách nhiệm, kế hoạch triển khai - bao gồm cả vấn đề truyền thông đến người nộp thuế)</v>
      </c>
      <c r="AF20">
        <f>AVERAGE(
  INDEX(step2_raw_simulation!U:U, (ROW(O19)-1)*5 + 2)
  :
  INDEX(step2_raw_simulation!U:U, (ROW(O19)-1)*5 + 6)
)</f>
        <v>7.6</v>
      </c>
      <c r="AG20" t="str">
        <f t="shared" si="6"/>
        <v>Neutral</v>
      </c>
      <c r="AH20">
        <f>interview_responses[[#This Row],[Các thủ tục khai báo thuế VÀ/HOẶC quy trình làm việc với cơ quan thuế đơn giản, tiện lợi, nhanh chóng hơn so với trước đây. - HUMAN-FAC1]]</f>
        <v>5</v>
      </c>
      <c r="AI20" t="str">
        <f t="shared" si="7"/>
        <v>Neutral</v>
      </c>
      <c r="AJ20">
        <f t="shared" si="8"/>
        <v>2.5999999999999996</v>
      </c>
      <c r="AK20" t="str" cm="1">
        <f t="array" ref="AK20">INDEX(step2_raw_simulation[AI_FAC1_Reason], (ROW(AK19)-1)*5 + 1)</f>
        <v>So với trước đây, quy trình khai báo thuế đơn giản hơn. Tuy nhiên, việc vẫn cần phải in giấy tờ và ký xác nhận khiến thủ tục chưa thật sự tiện lợi.</v>
      </c>
      <c r="AL20" t="str">
        <f>interview_responses[[#This Row],[Lý do - HUMAN-FAC1]]</f>
        <v>Có sự thay đổi nhưng vấn đề về thủ tục giấy tờ vẫn còn nhiêu khê, chưa có tính thống nhất. Chưa hoàn toàn automation mà vẫn phải làm đơn từ thông qua in writing. Ví dụ: hằng năm, công ty tôi vẫn yêu cầu từng nhân viên điền &amp; ký giấy tờ xác nhận uỷ quyền khai báo, confirm chỉ có 1 nguồn thu nhập, rồi từ đó Hr mới có cơ sở làm thủ tục =&gt; tại sao đã có phần mềm etax mà không tận dụng? Ngoài ra, Nhà nước đang sử dụng quá nhiều app. Tại sao không tích hợp thông tin tax vào app vssid để tiện quản lý?</v>
      </c>
      <c r="AM20">
        <f>AVERAGE(
  INDEX(step2_raw_simulation!Z:Z, (ROW(V19)-1)*5 + 2)
  :
  INDEX(step2_raw_simulation!Z:Z, (ROW(V19)-1)*5 + 6)
)</f>
        <v>8.1999999999999993</v>
      </c>
      <c r="AN20" t="str">
        <f t="shared" si="9"/>
        <v>Support</v>
      </c>
      <c r="AO20">
        <f>interview_responses[[#This Row],[So với trước đây, tôi thấy cách tính thuế và các bậc thuế trong phương án mới đơn giản, dễ hiểu và dễ thực hiện hơn. - HUMAN-FAC2]]</f>
        <v>6</v>
      </c>
      <c r="AP20" t="str">
        <f t="shared" si="10"/>
        <v>Neutral</v>
      </c>
      <c r="AQ20">
        <f t="shared" si="11"/>
        <v>2.1999999999999993</v>
      </c>
      <c r="AR20" t="str" cm="1">
        <f t="array" ref="AR20">INDEX(step2_raw_simulation[AI_FAC2_Reason], (ROW(AR19)-1)*5 + 1)</f>
        <v>Số bậc thuế giảm từ 7 xuống còn 5, giúp dễ dàng tính toán và hiểu rõ hơn. Tuy nhiên, việc tích hợp hoàn toàn vào app điện tử vẫn chưa được thực hiện.</v>
      </c>
      <c r="AS20" t="str">
        <f>interview_responses[[#This Row],[Lý do - HUMAN-FAC2]]</f>
        <v xml:space="preserve">Đồng ý. Việc giảm thiểu bớt số bậc tính thuế giúp dễ nhớ &amp; dễ tính toán. </v>
      </c>
      <c r="AT20">
        <f>AVERAGE(
  INDEX(step2_raw_simulation!AE:AE, (ROW(AC19)-1)*5 + 2)
  :
  INDEX(step2_raw_simulation!AE:AE, (ROW(AC19)-1)*5 + 6)
)</f>
        <v>6.2</v>
      </c>
      <c r="AU20" t="str">
        <f t="shared" si="12"/>
        <v>Neutral</v>
      </c>
      <c r="AV20">
        <f>interview_responses[[#This Row],[Tôi tin rằng Nhà nước, cơ quan thuế sẽ thực thi chính sách mới một cách khách quan, công tâm và đối xử bình đẳng với mọi người nộp thuế.  - HUMAN-TRU1]]</f>
        <v>4</v>
      </c>
      <c r="AW20" t="str">
        <f t="shared" si="13"/>
        <v>Oppose</v>
      </c>
      <c r="AX20">
        <f t="shared" si="14"/>
        <v>2.2000000000000002</v>
      </c>
      <c r="AY20" t="str" cm="1">
        <f t="array" ref="AY20">INDEX(step2_raw_simulation[AI_TRU1_Reason], (ROW(AY19)-1)*5 + 1)</f>
        <v>Tôi đồng ý về mặt khách quan nhưng vẫn có sự nghi ngờ về cách thực thi chính sách mới, nhất là vấn đề minh bạch và công bằng trong quản lý thuế</v>
      </c>
      <c r="AZ20" t="str">
        <f>interview_responses[[#This Row],[Lý do - HUMAN-TRU1]]</f>
        <v>Cho đến khi các hành vi tiêu cực, bao gồm cách thức quản lý lỏng lẻo còn diễn ra thì sự công tâm, bình đẳng sẽ không thể tồn tại</v>
      </c>
      <c r="BA20">
        <f>AVERAGE(
  INDEX(step2_raw_simulation!AJ:AJ, (ROW(AJ19)-1)*5 + 2)
  :
  INDEX(step2_raw_simulation!AJ:AJ, (ROW(AJ19)-1)*5 + 6)
)</f>
        <v>5.6</v>
      </c>
      <c r="BB20" t="str">
        <f t="shared" si="15"/>
        <v>Neutral</v>
      </c>
      <c r="BC20">
        <f>interview_responses[[#This Row],[Tôi thấy mức thuế tôi phải đóng theo phương án mới là công bằng (người thu nhập như tôi đóng mức này là hợp lý). - HUMAN-TRU2]]</f>
        <v>5</v>
      </c>
      <c r="BD20" t="str">
        <f t="shared" si="16"/>
        <v>Neutral</v>
      </c>
      <c r="BE20">
        <f t="shared" si="17"/>
        <v>0.59999999999999964</v>
      </c>
      <c r="BF20" t="str" cm="1">
        <f t="array" ref="BF20">INDEX(step2_raw_simulation[AI_TRU2_Reason], (ROW(BF19)-1)*5 + 1)</f>
        <v>Mức giảm trừ gia cảnh tăng lên giúp giảm gánh nặng thuế, nhưng mức thuế vẫn còn cao so với thu nhập thực tế.</v>
      </c>
      <c r="BG20" t="str">
        <f>interview_responses[[#This Row],[Lý do - HUMAN-TRU2]]</f>
        <v>Trên thực tế với mức lương như tôi đang hưởng, mức giảm trừ thuế theo quy định mới không giúp giảm được nhiều</v>
      </c>
      <c r="BH20">
        <f>AVERAGE(
  INDEX(step2_raw_simulation!AO:AO, (ROW(AQ19)-1)*5 + 2)
  :
  INDEX(step2_raw_simulation!AO:AO, (ROW(AQ19)-1)*5 + 6)
)</f>
        <v>5.8</v>
      </c>
      <c r="BI20" t="str">
        <f t="shared" si="18"/>
        <v>Neutral</v>
      </c>
      <c r="BJ20">
        <f>interview_responses[[#This Row],[Tôi tin tưởng số tiền thuế tôi đóng sẽ được Nhà nước sử dụng hiệu quả để cải thiện dịch vụ công (y tế, đường xá...). - HUMAN-TRU3]]</f>
        <v>4</v>
      </c>
      <c r="BK20" t="str">
        <f t="shared" si="19"/>
        <v>Oppose</v>
      </c>
      <c r="BL20">
        <f t="shared" si="20"/>
        <v>1.7999999999999998</v>
      </c>
      <c r="BM20" t="str" cm="1">
        <f t="array" ref="BM20">INDEX(step2_raw_simulation[AI_TRU3_Reason], (ROW(BM19)-1)*5 + 1)</f>
        <v>Tôi đồng ý về mặt nguyên tắc nhưng lo ngại về việc số tiền thuế đóng có được sử dụng hiệu quả hay không. Việc truyền thông chưa thật rõ ràng khiến tôi cảm thấy nghi ngờ.</v>
      </c>
      <c r="BN20" t="str">
        <f>interview_responses[[#This Row],[Lý do - HUMAN-TRU3]]</f>
        <v xml:space="preserve">Mức độ đồng ý của tôi khá thấp, vì tôi không thấy các thông tin này được công khai rộng rãi, nên tôi ko rõ phần thuế mình đóng được Nhà nước sử dụng như thế nào. Chưa kể việc ăn chặn tiền Thuế của 1 số cán bộ khiến tôi không thể đặt sự tin tưởng được. </v>
      </c>
      <c r="BO20">
        <f>AVERAGE(
  INDEX(step2_raw_simulation!AT:AT, (ROW(AX19)-1)*5 + 2)
  :
  INDEX(step2_raw_simulation!AT:AT, (ROW(AX19)-1)*5 + 6)
)</f>
        <v>6.2</v>
      </c>
      <c r="BP20" t="str">
        <f t="shared" si="21"/>
        <v>Neutral</v>
      </c>
      <c r="BQ20">
        <f>interview_responses[[#This Row],[Tôi thấy Nhà nước đã giải thích rõ ràng, minh bạch về lý do và mục tiêu của việc sửa đổi thuế lần này. - HUMAN-TRU4]]</f>
        <v>5</v>
      </c>
      <c r="BR20" t="str">
        <f t="shared" si="22"/>
        <v>Neutral</v>
      </c>
      <c r="BS20">
        <f t="shared" si="23"/>
        <v>1.2000000000000002</v>
      </c>
      <c r="BT20" t="str" cm="1">
        <f t="array" ref="BT20">INDEX(step2_raw_simulation[AI_TRU4_Reason], (ROW(BT19)-1)*5 + 1)</f>
        <v>Công bố chính sách mới khá rõ ràng, tuy nhiên việc thực hiện và công khai minh bạch hơn nữa là cần thiết để tăng niềm tin của người dân</v>
      </c>
      <c r="BU20" t="str">
        <f>interview_responses[[#This Row],[Lý do - HUMAN-TRU4]]</f>
        <v xml:space="preserve">Neutral. Tôi đồng ý trong các văn bản hiện hành (bao gồm báo đài) thông tin rất rõ ràng. Tuy nhiên, tính minh bạch, rõ ràng còn thể hiện qua mức độ truyền thông tin của Nhà nước đến với người lao động. Tôi đánh giá chưa thật sự hiệu quả. Tôi tin ở thời điểm hiện tại, vẫn có những người chưa hề hay biết về mục đích, tinh hiệu quả của sự thay đổi này. </v>
      </c>
      <c r="BV20">
        <f>AVERAGE(
  INDEX(step2_raw_simulation!AY:AY, (ROW(BE19)-1)*5 + 2)
  :
  INDEX(step2_raw_simulation!AY:AY, (ROW(BE19)-1)*5 + 6)
)</f>
        <v>7.6</v>
      </c>
      <c r="BW20" t="str">
        <f t="shared" si="24"/>
        <v>Neutral</v>
      </c>
      <c r="BX20">
        <f>interview_responses[[#This Row],[Sau khi xem xét các quyền lợi và nghĩa vụ, bạn có ủng hộ và tuân thủ chính sách mới hiện nay? - HUMAN-OUT1]]</f>
        <v>5</v>
      </c>
      <c r="BY20" t="str">
        <f t="shared" si="25"/>
        <v>Neutral</v>
      </c>
      <c r="BZ20">
        <f t="shared" si="26"/>
        <v>2.5999999999999996</v>
      </c>
      <c r="CA20" t="str" cm="1">
        <f t="array" ref="CA20">INDEX(step2_raw_simulation[AI_OUT1_Reason], (ROW(CA19)-1)*5 + 1)</f>
        <v>Sau khi xem xét các thay đổi về thuế, tôi đồng ý với chính sách mới nhưng vẫn có những lo ngại và hi vọng nhà nước sẽ tiếp tục cải thiện.</v>
      </c>
      <c r="CB20" t="str">
        <f>interview_responses[[#This Row],[Lý do - HUMAN-OUT1]]</f>
        <v>Tôi vẫn sẽ tuân thủ nhưng tôi mong nhà nước cần đánh giá lại cách tính thuế với những người có mức lương như tôi. Tôi nhận thấy người làm công ăn lương khi tuân thủ các nghĩa vụ đóng các khoản theo quy định nhà nước, nhưng khi hưởng chỉ được hưởng ở 1 mức nhất định. Ví dụ bảo hiểm thất nghiệp maximum là 12 tháng dù đi làm 12 năm hay 15 năm. Vậy tại sao đối với thuế thu nhập, không áp dụng mức trần phù hợp với người làm công ăn lương, để những người như chúng tôi cảm thấy nhẹ nhàng hơn khi đóng thuế.</v>
      </c>
    </row>
    <row r="21" spans="1:80" x14ac:dyDescent="0.45">
      <c r="A21" cm="1">
        <f t="array" ref="A21">INDEX(step2_raw_simulation[Persona_ID], (ROW(A20)-1)*5 + 1)</f>
        <v>20</v>
      </c>
      <c r="B21" cm="1">
        <f t="array" ref="B21">INDEX(step2_raw_simulation[Run_ID], (ROW(B20)-1)*5 + 1)</f>
        <v>1</v>
      </c>
      <c r="C21" cm="1">
        <f t="array" ref="C21">INDEX(step2_raw_simulation[Used_Seed], (ROW(C20)-1)*5 + 1)</f>
        <v>1943</v>
      </c>
      <c r="D21" t="str" cm="1">
        <f t="array" ref="D21">INDEX(step2_raw_simulation[Gender], (ROW(D20)-1)*5 + 1)</f>
        <v>Nam</v>
      </c>
      <c r="E21" t="str">
        <f>interview_responses[[#This Row],[Giới tính của bạn:]]</f>
        <v>Nam</v>
      </c>
      <c r="F21" t="str" cm="1">
        <f t="array" ref="F21">INDEX(step2_raw_simulation[Age], (ROW(F20)-1)*5 + 1)</f>
        <v>30 - 39</v>
      </c>
      <c r="G21" t="str">
        <f>interview_responses[[#This Row],[Độ tuổi của bạn:]]</f>
        <v>30 - 39</v>
      </c>
      <c r="H21" t="str" cm="1">
        <f t="array" ref="H21">INDEX(step2_raw_simulation[Region], (ROW(H20)-1)*5 + 1)</f>
        <v>Thành thị</v>
      </c>
      <c r="I21" t="str">
        <f>interview_responses[[#This Row],[Khu vực bạn đang sinh sống:]]</f>
        <v>Thành thị</v>
      </c>
      <c r="J21" t="str" cm="1">
        <f t="array" ref="J21">INDEX(step2_raw_simulation[Education], (ROW(J20)-1)*5 + 1)</f>
        <v>Sau Đại học</v>
      </c>
      <c r="K21" t="str">
        <f>interview_responses[[#This Row],[Trình độ học vấn cao nhất:]]</f>
        <v>Sau Đại học</v>
      </c>
      <c r="L21" t="str" cm="1">
        <f t="array" ref="L21">INDEX(step2_raw_simulation[Employment], (ROW(L20)-1)*5 + 1)</f>
        <v>Chính thức</v>
      </c>
      <c r="M21" t="str">
        <f>interview_responses[[#This Row],[Tình trạng việc làm chính:]]</f>
        <v>Khu vực chính thức (Có Hợp đồng lao động, đóng BHXH)</v>
      </c>
      <c r="N21" cm="1">
        <f t="array" ref="N21">INDEX(step2_raw_simulation[Income_Mil], (ROW(N20)-1)*5 + 1)</f>
        <v>59</v>
      </c>
      <c r="O21" t="str">
        <f>interview_responses[[#This Row],[Thu nhập bình quân tháng theo Hợp đồng lao động của bạn là bao nhiêu? (Vui lòng điền tổng thu nhập trước khi khấu trừ các loại Bảo hiểm (BHXH, BHYT, BHTN) và Thuế TNCN)]]</f>
        <v>Từ 48 - 70 triệu VNĐ</v>
      </c>
      <c r="P21" cm="1">
        <f t="array" ref="P21">INDEX(step2_raw_simulation[Dependents], (ROW(P20)-1)*5 + 1)</f>
        <v>1</v>
      </c>
      <c r="Q21" t="str">
        <f>interview_responses[[#This Row],[Số người phụ thuộc (con nhỏ, cha mẹ già...) đủ điều kiện giảm trừ gia cảnh:]]</f>
        <v>1 người</v>
      </c>
      <c r="R21">
        <f>AVERAGE(
  INDEX(step2_raw_simulation!K:K, (ROW(A20)-1)*5 + 2)
  :
  INDEX(step2_raw_simulation!K:K, (ROW(A20)-1)*5 + 6)
)</f>
        <v>6.8</v>
      </c>
      <c r="S21" t="str">
        <f t="shared" si="0"/>
        <v>Neutral</v>
      </c>
      <c r="T21">
        <f>interview_responses[[#This Row],[Tôi tin rằng với các quy định quản lý thuế hiện nay, hành vi gian lận hoặc trốn thuế sẽ dễ dàng bị phát hiện và xử lý nghiêm. - HUMAN-ENF1]]</f>
        <v>7</v>
      </c>
      <c r="U21" t="str">
        <f t="shared" si="1"/>
        <v>Neutral</v>
      </c>
      <c r="V21">
        <f t="shared" si="2"/>
        <v>0.20000000000000018</v>
      </c>
      <c r="W21" t="str" cm="1">
        <f t="array" ref="W21">INDEX(step2_raw_simulation[AI_ENF1_Reason], (ROW(W20)-1)*5 + 1)</f>
        <v>Dựa trên nhận thức hiện tại, tôi đồng ý rằng Nhà nước đang tăng cường quản lý thuế và công nghệ để phát hiện gian lận. Tuy nhiên, việc nửa online nửa offline vẫn còn gây bất tiện.</v>
      </c>
      <c r="X21" t="str">
        <f>interview_responses[[#This Row],[Lý do - HUMAN-ENF1]]</f>
        <v xml:space="preserve">Thời gian gần đây Nhà nước bắt đầu có sự gay gắt hơn trong việc truy thu thuế, đặc biệt hộ kinh doanh (bao gồm offline &amp; online), đồng thời đưa ra nhiều quy định để kiểm soát chặt vấn đề này từ năm 2026. </v>
      </c>
      <c r="Y21">
        <f>AVERAGE(
  INDEX(step2_raw_simulation!P:P, (ROW(H20)-1)*5 + 2)
  :
  INDEX(step2_raw_simulation!P:P, (ROW(H20)-1)*5 + 6)
)</f>
        <v>7</v>
      </c>
      <c r="Z21" t="str">
        <f t="shared" si="3"/>
        <v>Neutral</v>
      </c>
      <c r="AA21">
        <f>interview_responses[[#This Row],[Tôi tin rằng Nhà nước, cơ quan thuế có đủ khả năng và công nghệ để phát hiện, xử lý nghiêm các hành vi trốn thuế. - HUMAN-ENF2]]</f>
        <v>6</v>
      </c>
      <c r="AB21" t="str">
        <f t="shared" si="4"/>
        <v>Neutral</v>
      </c>
      <c r="AC21">
        <f t="shared" si="5"/>
        <v>1</v>
      </c>
      <c r="AD21" t="str" cm="1">
        <f t="array" ref="AD21">INDEX(step2_raw_simulation[AI_ENF2_Reason], (ROW(AD20)-1)*5 + 1)</f>
        <v>Nhà nước có đủ khả năng với sự hỗ trợ của công nghệ như etax, nhưng thực tế cho thấy việc áp dụng hoàn toàn vẫn chưa phổ biến.</v>
      </c>
      <c r="AE21" t="str">
        <f>interview_responses[[#This Row],[Lý do - HUMAN-ENF2]]</f>
        <v>Nhìn chung, trong 2-3 năm trở lại đây, Nhà nước đã đầu tư khá nhiều vào công nghệ nhằm hỗ trợ cho các thủ tục hành chính trở nên tiện lợi hơn, ví dụ như etax nên tôi đồng ý với nhận định này. Tuy nhiên, Nhà nước cần tận dụng tối đa tính năng của ứng dụng trong việc quản lý thuế, tránh việc nửa online nửa offline như hiện tại.</v>
      </c>
      <c r="AF21">
        <f>AVERAGE(
  INDEX(step2_raw_simulation!U:U, (ROW(O20)-1)*5 + 2)
  :
  INDEX(step2_raw_simulation!U:U, (ROW(O20)-1)*5 + 6)
)</f>
        <v>7.8</v>
      </c>
      <c r="AG21" t="str">
        <f t="shared" si="6"/>
        <v>Neutral</v>
      </c>
      <c r="AH21">
        <f>interview_responses[[#This Row],[Các thủ tục khai báo thuế VÀ/HOẶC quy trình làm việc với cơ quan thuế đơn giản, tiện lợi, nhanh chóng hơn so với trước đây. - HUMAN-FAC1]]</f>
        <v>6</v>
      </c>
      <c r="AI21" t="str">
        <f t="shared" si="7"/>
        <v>Neutral</v>
      </c>
      <c r="AJ21">
        <f t="shared" si="8"/>
        <v>1.7999999999999998</v>
      </c>
      <c r="AK21" t="str" cm="1">
        <f t="array" ref="AK21">INDEX(step2_raw_simulation[AI_FAC1_Reason], (ROW(AK20)-1)*5 + 1)</f>
        <v>So với trước đây, thủ tục đơn giản hơn nhưng chỉ là mức độ tạm chấp nhận. Việc trực tuyến hóa còn hạn chế.</v>
      </c>
      <c r="AL21" t="str">
        <f>interview_responses[[#This Row],[Lý do - HUMAN-FAC1]]</f>
        <v xml:space="preserve">So với trước đây thì đúng là thủ tục có phần đơn giản hơn nhưng chỉ ở mức tạm chấp nhận. </v>
      </c>
      <c r="AM21">
        <f>AVERAGE(
  INDEX(step2_raw_simulation!Z:Z, (ROW(V20)-1)*5 + 2)
  :
  INDEX(step2_raw_simulation!Z:Z, (ROW(V20)-1)*5 + 6)
)</f>
        <v>7.8</v>
      </c>
      <c r="AN21" t="str">
        <f t="shared" si="9"/>
        <v>Neutral</v>
      </c>
      <c r="AO21">
        <f>interview_responses[[#This Row],[So với trước đây, tôi thấy cách tính thuế và các bậc thuế trong phương án mới đơn giản, dễ hiểu và dễ thực hiện hơn. - HUMAN-FAC2]]</f>
        <v>8</v>
      </c>
      <c r="AP21" t="str">
        <f t="shared" si="10"/>
        <v>Support</v>
      </c>
      <c r="AQ21">
        <f t="shared" si="11"/>
        <v>0.20000000000000018</v>
      </c>
      <c r="AR21" t="str" cm="1">
        <f t="array" ref="AR21">INDEX(step2_raw_simulation[AI_FAC2_Reason], (ROW(AR20)-1)*5 + 1)</f>
        <v>Biểu thuế mới có phần dễ hiểu và thực hiện đơn giản hơn, giảm bớt sự phức tạp so với trước đây.</v>
      </c>
      <c r="AS21" t="str">
        <f>interview_responses[[#This Row],[Lý do - HUMAN-FAC2]]</f>
        <v>Việc giảm thiểu số bậc thuế giúp cho việc tính toán trở nên đơn giản và nhanh chóng</v>
      </c>
      <c r="AT21">
        <f>AVERAGE(
  INDEX(step2_raw_simulation!AE:AE, (ROW(AC20)-1)*5 + 2)
  :
  INDEX(step2_raw_simulation!AE:AE, (ROW(AC20)-1)*5 + 6)
)</f>
        <v>6.6</v>
      </c>
      <c r="AU21" t="str">
        <f t="shared" si="12"/>
        <v>Neutral</v>
      </c>
      <c r="AV21">
        <f>interview_responses[[#This Row],[Tôi tin rằng Nhà nước, cơ quan thuế sẽ thực thi chính sách mới một cách khách quan, công tâm và đối xử bình đẳng với mọi người nộp thuế.  - HUMAN-TRU1]]</f>
        <v>6</v>
      </c>
      <c r="AW21" t="str">
        <f t="shared" si="13"/>
        <v>Neutral</v>
      </c>
      <c r="AX21">
        <f t="shared" si="14"/>
        <v>0.59999999999999964</v>
      </c>
      <c r="AY21" t="str" cm="1">
        <f t="array" ref="AY21">INDEX(step2_raw_simulation[AI_TRU1_Reason], (ROW(AY20)-1)*5 + 1)</f>
        <v>Tôi tin rằng Nhà nước sẽ công bằng trong việc thực thi chính sách nhưng cần minh bạch rõ ràng hơn về cách sử dụng tiền thuế.</v>
      </c>
      <c r="AZ21" t="str">
        <f>interview_responses[[#This Row],[Lý do - HUMAN-TRU1]]</f>
        <v xml:space="preserve">Các thay đổi gần đây dù ít hay nhiều đều mang lại tín hiệu tích cực, đặc biệt việc thay đổi mức giảm trừ gia cảnh &amp; người phụ thuộc giúp giảm thiểu gánh nặng tài chính cho người lao động có thu nhập thấp nên tôi đồng ý với câu này. </v>
      </c>
      <c r="BA21">
        <f>AVERAGE(
  INDEX(step2_raw_simulation!AJ:AJ, (ROW(AJ20)-1)*5 + 2)
  :
  INDEX(step2_raw_simulation!AJ:AJ, (ROW(AJ20)-1)*5 + 6)
)</f>
        <v>8.4</v>
      </c>
      <c r="BB21" t="str">
        <f t="shared" si="15"/>
        <v>Support</v>
      </c>
      <c r="BC21">
        <f>interview_responses[[#This Row],[Tôi thấy mức thuế tôi phải đóng theo phương án mới là công bằng (người thu nhập như tôi đóng mức này là hợp lý). - HUMAN-TRU2]]</f>
        <v>6</v>
      </c>
      <c r="BD21" t="str">
        <f t="shared" si="16"/>
        <v>Neutral</v>
      </c>
      <c r="BE21">
        <f t="shared" si="17"/>
        <v>2.4000000000000004</v>
      </c>
      <c r="BF21" t="str" cm="1">
        <f t="array" ref="BF21">INDEX(step2_raw_simulation[AI_TRU2_Reason], (ROW(BF20)-1)*5 + 1)</f>
        <v>Mức giảm trừ gia cảnh và người phụ thuộc tăng lên giúp tôi thấy thuế mới là hợp lý với thu nhập hiện tại.</v>
      </c>
      <c r="BG21" t="str">
        <f>interview_responses[[#This Row],[Lý do - HUMAN-TRU2]]</f>
        <v>Dù giảm không quá nhiều nhưng tôi vẫn cảm thấy hài lòng với sự thay đổi này.</v>
      </c>
      <c r="BH21">
        <f>AVERAGE(
  INDEX(step2_raw_simulation!AO:AO, (ROW(AQ20)-1)*5 + 2)
  :
  INDEX(step2_raw_simulation!AO:AO, (ROW(AQ20)-1)*5 + 6)
)</f>
        <v>7</v>
      </c>
      <c r="BI21" t="str">
        <f t="shared" si="18"/>
        <v>Neutral</v>
      </c>
      <c r="BJ21">
        <f>interview_responses[[#This Row],[Tôi tin tưởng số tiền thuế tôi đóng sẽ được Nhà nước sử dụng hiệu quả để cải thiện dịch vụ công (y tế, đường xá...). - HUMAN-TRU3]]</f>
        <v>5</v>
      </c>
      <c r="BK21" t="str">
        <f t="shared" si="19"/>
        <v>Neutral</v>
      </c>
      <c r="BL21">
        <f t="shared" si="20"/>
        <v>2</v>
      </c>
      <c r="BM21" t="str" cm="1">
        <f t="array" ref="BM21">INDEX(step2_raw_simulation[AI_TRU3_Reason], (ROW(BM20)-1)*5 + 1)</f>
        <v>Thuế mới sẽ được sử dụng hiệu quả để cải thiện dịch vụ công nhưng cần minh bạch hơn về cách sử dụng.</v>
      </c>
      <c r="BN21" t="str">
        <f>interview_responses[[#This Row],[Lý do - HUMAN-TRU3]]</f>
        <v>Ở phần này tôi cần Nhà nước đưa ra thông tin minh bạch hơn vì hiện tôi không biết nhà nước đang thu bao nhiêu, chi bao nhiêu, tỷ trọng chi như thế nào.</v>
      </c>
      <c r="BO21">
        <f>AVERAGE(
  INDEX(step2_raw_simulation!AT:AT, (ROW(AX20)-1)*5 + 2)
  :
  INDEX(step2_raw_simulation!AT:AT, (ROW(AX20)-1)*5 + 6)
)</f>
        <v>7.6</v>
      </c>
      <c r="BP21" t="str">
        <f t="shared" si="21"/>
        <v>Neutral</v>
      </c>
      <c r="BQ21">
        <f>interview_responses[[#This Row],[Tôi thấy Nhà nước đã giải thích rõ ràng, minh bạch về lý do và mục tiêu của việc sửa đổi thuế lần này. - HUMAN-TRU4]]</f>
        <v>6</v>
      </c>
      <c r="BR21" t="str">
        <f t="shared" si="22"/>
        <v>Neutral</v>
      </c>
      <c r="BS21">
        <f t="shared" si="23"/>
        <v>1.5999999999999996</v>
      </c>
      <c r="BT21" t="str" cm="1">
        <f t="array" ref="BT21">INDEX(step2_raw_simulation[AI_TRU4_Reason], (ROW(BT20)-1)*5 + 1)</f>
        <v>Nhà nước đã giải thích rõ ràng về mục tiêu của chính sách thuế mới, tôi tin tưởng điều này.</v>
      </c>
      <c r="BU21" t="str">
        <f>interview_responses[[#This Row],[Lý do - HUMAN-TRU4]]</f>
        <v xml:space="preserve">Phần này tôi có đọc qua các thông tin trên báo đài nên thấy mọi thứ đều rõ ràng. </v>
      </c>
      <c r="BV21">
        <f>AVERAGE(
  INDEX(step2_raw_simulation!AY:AY, (ROW(BE20)-1)*5 + 2)
  :
  INDEX(step2_raw_simulation!AY:AY, (ROW(BE20)-1)*5 + 6)
)</f>
        <v>8.8000000000000007</v>
      </c>
      <c r="BW21" t="str">
        <f t="shared" si="24"/>
        <v>Support</v>
      </c>
      <c r="BX21">
        <f>interview_responses[[#This Row],[Sau khi xem xét các quyền lợi và nghĩa vụ, bạn có ủng hộ và tuân thủ chính sách mới hiện nay? - HUMAN-OUT1]]</f>
        <v>7</v>
      </c>
      <c r="BY21" t="str">
        <f t="shared" si="25"/>
        <v>Neutral</v>
      </c>
      <c r="BZ21">
        <f t="shared" si="26"/>
        <v>1.8000000000000007</v>
      </c>
      <c r="CA21" t="str" cm="1">
        <f t="array" ref="CA21">INDEX(step2_raw_simulation[AI_OUT1_Reason], (ROW(CA20)-1)*5 + 1)</f>
        <v>Chính sách mới giúp giảm gánh nặng thuế cho người lao động và nhân viên, tạo cảm giác công bằng và tự nguyện tuân thủ.</v>
      </c>
      <c r="CB21" t="str">
        <f>interview_responses[[#This Row],[Lý do - HUMAN-OUT1]]</f>
        <v>Việc thay đổi thuế TNCN đâu đó giúp cho chính tôi và cả nhân viên bên dưới cảm thấy nhẹ gánh trong việc đóng thuế. Mặc dù mọi việc đều có 2 mặt nhưng tổng quan chung đây vẫn là 1 chính sách tốt từ phía Nhà nước đối với người lao động.</v>
      </c>
    </row>
    <row r="22" spans="1:80" x14ac:dyDescent="0.45">
      <c r="A22" cm="1">
        <f t="array" ref="A22">INDEX(step2_raw_simulation[Persona_ID], (ROW(A21)-1)*5 + 1)</f>
        <v>21</v>
      </c>
      <c r="B22" cm="1">
        <f t="array" ref="B22">INDEX(step2_raw_simulation[Run_ID], (ROW(B21)-1)*5 + 1)</f>
        <v>1</v>
      </c>
      <c r="C22" cm="1">
        <f t="array" ref="C22">INDEX(step2_raw_simulation[Used_Seed], (ROW(C21)-1)*5 + 1)</f>
        <v>2043</v>
      </c>
      <c r="D22" t="str" cm="1">
        <f t="array" ref="D22">INDEX(step2_raw_simulation[Gender], (ROW(D21)-1)*5 + 1)</f>
        <v>Nam</v>
      </c>
      <c r="E22" t="str">
        <f>interview_responses[[#This Row],[Giới tính của bạn:]]</f>
        <v>Nam</v>
      </c>
      <c r="F22" t="str" cm="1">
        <f t="array" ref="F22">INDEX(step2_raw_simulation[Age], (ROW(F21)-1)*5 + 1)</f>
        <v>25 - 29</v>
      </c>
      <c r="G22" t="str">
        <f>interview_responses[[#This Row],[Độ tuổi của bạn:]]</f>
        <v>25 - 29</v>
      </c>
      <c r="H22" t="str" cm="1">
        <f t="array" ref="H22">INDEX(step2_raw_simulation[Region], (ROW(H21)-1)*5 + 1)</f>
        <v>Thành thị</v>
      </c>
      <c r="I22" t="str">
        <f>interview_responses[[#This Row],[Khu vực bạn đang sinh sống:]]</f>
        <v>Thành thị</v>
      </c>
      <c r="J22" t="str" cm="1">
        <f t="array" ref="J22">INDEX(step2_raw_simulation[Education], (ROW(J21)-1)*5 + 1)</f>
        <v>Sau Đại học</v>
      </c>
      <c r="K22" t="str">
        <f>interview_responses[[#This Row],[Trình độ học vấn cao nhất:]]</f>
        <v>Sau Đại học</v>
      </c>
      <c r="L22" t="str" cm="1">
        <f t="array" ref="L22">INDEX(step2_raw_simulation[Employment], (ROW(L21)-1)*5 + 1)</f>
        <v>Chính thức</v>
      </c>
      <c r="M22" t="str">
        <f>interview_responses[[#This Row],[Tình trạng việc làm chính:]]</f>
        <v>Khu vực chính thức (Có Hợp đồng lao động, đóng BHXH)</v>
      </c>
      <c r="N22" cm="1">
        <f t="array" ref="N22">INDEX(step2_raw_simulation[Income_Mil], (ROW(N21)-1)*5 + 1)</f>
        <v>40</v>
      </c>
      <c r="O22" t="str">
        <f>interview_responses[[#This Row],[Thu nhập bình quân tháng theo Hợp đồng lao động của bạn là bao nhiêu? (Vui lòng điền tổng thu nhập trước khi khấu trừ các loại Bảo hiểm (BHXH, BHYT, BHTN) và Thuế TNCN)]]</f>
        <v>Từ 32 - 48 triệu VNĐ</v>
      </c>
      <c r="P22" cm="1">
        <f t="array" ref="P22">INDEX(step2_raw_simulation[Dependents], (ROW(P21)-1)*5 + 1)</f>
        <v>0</v>
      </c>
      <c r="Q22" t="str">
        <f>interview_responses[[#This Row],[Số người phụ thuộc (con nhỏ, cha mẹ già...) đủ điều kiện giảm trừ gia cảnh:]]</f>
        <v>0 người</v>
      </c>
      <c r="R22">
        <f>AVERAGE(
  INDEX(step2_raw_simulation!K:K, (ROW(A21)-1)*5 + 2)
  :
  INDEX(step2_raw_simulation!K:K, (ROW(A21)-1)*5 + 6)
)</f>
        <v>7.4</v>
      </c>
      <c r="S22" t="str">
        <f t="shared" si="0"/>
        <v>Neutral</v>
      </c>
      <c r="T22">
        <f>interview_responses[[#This Row],[Tôi tin rằng với các quy định quản lý thuế hiện nay, hành vi gian lận hoặc trốn thuế sẽ dễ dàng bị phát hiện và xử lý nghiêm. - HUMAN-ENF1]]</f>
        <v>8</v>
      </c>
      <c r="U22" t="str">
        <f t="shared" si="1"/>
        <v>Support</v>
      </c>
      <c r="V22">
        <f t="shared" si="2"/>
        <v>0.59999999999999964</v>
      </c>
      <c r="W22" t="str" cm="1">
        <f t="array" ref="W22">INDEX(step2_raw_simulation[AI_ENF1_Reason], (ROW(W21)-1)*5 + 1)</f>
        <v>Dựa trên dữ liệu, tôi tin rằng cơ quan thuế có nhiều khả năng phát hiện và xử lý gian lận hoặc trốn thuế.</v>
      </c>
      <c r="X22" t="str">
        <f>interview_responses[[#This Row],[Lý do - HUMAN-ENF1]]</f>
        <v>cơ quan thuế có nhiều dữ liệu để truy xuất và quản lý hơn</v>
      </c>
      <c r="Y22">
        <f>AVERAGE(
  INDEX(step2_raw_simulation!P:P, (ROW(H21)-1)*5 + 2)
  :
  INDEX(step2_raw_simulation!P:P, (ROW(H21)-1)*5 + 6)
)</f>
        <v>6.8</v>
      </c>
      <c r="Z22" t="str">
        <f t="shared" si="3"/>
        <v>Neutral</v>
      </c>
      <c r="AA22">
        <f>interview_responses[[#This Row],[Tôi tin rằng Nhà nước, cơ quan thuế có đủ khả năng và công nghệ để phát hiện, xử lý nghiêm các hành vi trốn thuế. - HUMAN-ENF2]]</f>
        <v>6</v>
      </c>
      <c r="AB22" t="str">
        <f t="shared" si="4"/>
        <v>Neutral</v>
      </c>
      <c r="AC22">
        <f t="shared" si="5"/>
        <v>0.79999999999999982</v>
      </c>
      <c r="AD22" t="str" cm="1">
        <f t="array" ref="AD22">INDEX(step2_raw_simulation[AI_ENF2_Reason], (ROW(AD21)-1)*5 + 1)</f>
        <v>Tuy nhiên, tôi vẫn lo ngại về khả năng thực thi khách quan của họ.</v>
      </c>
      <c r="AE22" t="str">
        <f>interview_responses[[#This Row],[Lý do - HUMAN-ENF2]]</f>
        <v>công nghệ có thể đủ, còn về khả năng tôi không chắc</v>
      </c>
      <c r="AF22">
        <f>AVERAGE(
  INDEX(step2_raw_simulation!U:U, (ROW(O21)-1)*5 + 2)
  :
  INDEX(step2_raw_simulation!U:U, (ROW(O21)-1)*5 + 6)
)</f>
        <v>8.4</v>
      </c>
      <c r="AG22" t="str">
        <f t="shared" si="6"/>
        <v>Support</v>
      </c>
      <c r="AH22">
        <f>interview_responses[[#This Row],[Các thủ tục khai báo thuế VÀ/HOẶC quy trình làm việc với cơ quan thuế đơn giản, tiện lợi, nhanh chóng hơn so với trước đây. - HUMAN-FAC1]]</f>
        <v>7</v>
      </c>
      <c r="AI22" t="str">
        <f t="shared" si="7"/>
        <v>Neutral</v>
      </c>
      <c r="AJ22">
        <f t="shared" si="8"/>
        <v>1.4000000000000004</v>
      </c>
      <c r="AK22" t="str" cm="1">
        <f t="array" ref="AK22">INDEX(step2_raw_simulation[AI_FAC1_Reason], (ROW(AK21)-1)*5 + 1)</f>
        <v>Quy trình mới đơn giản hơn và tiện lợi hơn so với trước đây.</v>
      </c>
      <c r="AL22" t="str">
        <f>interview_responses[[#This Row],[Lý do - HUMAN-FAC1]]</f>
        <v xml:space="preserve">Không rõ do tôi chưa thực hiện bao giờ. </v>
      </c>
      <c r="AM22">
        <f>AVERAGE(
  INDEX(step2_raw_simulation!Z:Z, (ROW(V21)-1)*5 + 2)
  :
  INDEX(step2_raw_simulation!Z:Z, (ROW(V21)-1)*5 + 6)
)</f>
        <v>8.1999999999999993</v>
      </c>
      <c r="AN22" t="str">
        <f t="shared" si="9"/>
        <v>Support</v>
      </c>
      <c r="AO22">
        <f>interview_responses[[#This Row],[So với trước đây, tôi thấy cách tính thuế và các bậc thuế trong phương án mới đơn giản, dễ hiểu và dễ thực hiện hơn. - HUMAN-FAC2]]</f>
        <v>8</v>
      </c>
      <c r="AP22" t="str">
        <f t="shared" si="10"/>
        <v>Support</v>
      </c>
      <c r="AQ22">
        <f t="shared" si="11"/>
        <v>0.19999999999999929</v>
      </c>
      <c r="AR22" t="str" cm="1">
        <f t="array" ref="AR22">INDEX(step2_raw_simulation[AI_FAC2_Reason], (ROW(AR21)-1)*5 + 1)</f>
        <v>Biểu thuế mới rõ ràng, dễ hiểu và thực hiện đơn giản hơn.</v>
      </c>
      <c r="AS22" t="str">
        <f>interview_responses[[#This Row],[Lý do - HUMAN-FAC2]]</f>
        <v>Đồng ý. Các bậc giảm đơn giản hơn trước.</v>
      </c>
      <c r="AT22">
        <f>AVERAGE(
  INDEX(step2_raw_simulation!AE:AE, (ROW(AC21)-1)*5 + 2)
  :
  INDEX(step2_raw_simulation!AE:AE, (ROW(AC21)-1)*5 + 6)
)</f>
        <v>6.2</v>
      </c>
      <c r="AU22" t="str">
        <f t="shared" si="12"/>
        <v>Neutral</v>
      </c>
      <c r="AV22">
        <f>interview_responses[[#This Row],[Tôi tin rằng Nhà nước, cơ quan thuế sẽ thực thi chính sách mới một cách khách quan, công tâm và đối xử bình đẳng với mọi người nộp thuế.  - HUMAN-TRU1]]</f>
        <v>7</v>
      </c>
      <c r="AW22" t="str">
        <f t="shared" si="13"/>
        <v>Neutral</v>
      </c>
      <c r="AX22">
        <f t="shared" si="14"/>
        <v>0.79999999999999982</v>
      </c>
      <c r="AY22" t="str" cm="1">
        <f t="array" ref="AY22">INDEX(step2_raw_simulation[AI_TRU1_Reason], (ROW(AY21)-1)*5 + 1)</f>
        <v>Tôi tin rằng cơ quan thuế sẽ công bằng trong việc thực thi chính sách mới.</v>
      </c>
      <c r="AZ22" t="str">
        <f>interview_responses[[#This Row],[Lý do - HUMAN-TRU1]]</f>
        <v>Dựa vào dữ liệu quá khứ, tôi cảm thấy chưa đủ thuyết phục Nhà nước, cơ quan thuế thực thi khách quan, công bằng.</v>
      </c>
      <c r="BA22">
        <f>AVERAGE(
  INDEX(step2_raw_simulation!AJ:AJ, (ROW(AJ21)-1)*5 + 2)
  :
  INDEX(step2_raw_simulation!AJ:AJ, (ROW(AJ21)-1)*5 + 6)
)</f>
        <v>7.2</v>
      </c>
      <c r="BB22" t="str">
        <f t="shared" si="15"/>
        <v>Neutral</v>
      </c>
      <c r="BC22">
        <f>interview_responses[[#This Row],[Tôi thấy mức thuế tôi phải đóng theo phương án mới là công bằng (người thu nhập như tôi đóng mức này là hợp lý). - HUMAN-TRU2]]</f>
        <v>6</v>
      </c>
      <c r="BD22" t="str">
        <f t="shared" si="16"/>
        <v>Neutral</v>
      </c>
      <c r="BE22">
        <f t="shared" si="17"/>
        <v>1.2000000000000002</v>
      </c>
      <c r="BF22" t="str" cm="1">
        <f t="array" ref="BF22">INDEX(step2_raw_simulation[AI_TRU2_Reason], (ROW(BF21)-1)*5 + 1)</f>
        <v>Mức thuế mới mà tôi phải đóng phù hợp với thu nhập của mình và được giảm trừ gia cảnh một cách công bằng.</v>
      </c>
      <c r="BG22" t="str">
        <f>interview_responses[[#This Row],[Lý do - HUMAN-TRU2]]</f>
        <v>Quyền lợi đi kèm chưa phù hợp so với mức thuế phải đóng.</v>
      </c>
      <c r="BH22">
        <f>AVERAGE(
  INDEX(step2_raw_simulation!AO:AO, (ROW(AQ21)-1)*5 + 2)
  :
  INDEX(step2_raw_simulation!AO:AO, (ROW(AQ21)-1)*5 + 6)
)</f>
        <v>6.2</v>
      </c>
      <c r="BI22" t="str">
        <f t="shared" si="18"/>
        <v>Neutral</v>
      </c>
      <c r="BJ22">
        <f>interview_responses[[#This Row],[Tôi tin tưởng số tiền thuế tôi đóng sẽ được Nhà nước sử dụng hiệu quả để cải thiện dịch vụ công (y tế, đường xá...). - HUMAN-TRU3]]</f>
        <v>6</v>
      </c>
      <c r="BK22" t="str">
        <f t="shared" si="19"/>
        <v>Neutral</v>
      </c>
      <c r="BL22">
        <f t="shared" si="20"/>
        <v>0.20000000000000018</v>
      </c>
      <c r="BM22" t="str" cm="1">
        <f t="array" ref="BM22">INDEX(step2_raw_simulation[AI_TRU3_Reason], (ROW(BM21)-1)*5 + 1)</f>
        <v>Tôi tin rằng số tiền thuế đóng sẽ được sử dụng hiệu quả cho các dịch vụ công.</v>
      </c>
      <c r="BN22" t="str">
        <f>interview_responses[[#This Row],[Lý do - HUMAN-TRU3]]</f>
        <v>Không thấy rõ số tiền thuế này được sử dụng hiệu quả thế nào.</v>
      </c>
      <c r="BO22">
        <f>AVERAGE(
  INDEX(step2_raw_simulation!AT:AT, (ROW(AX21)-1)*5 + 2)
  :
  INDEX(step2_raw_simulation!AT:AT, (ROW(AX21)-1)*5 + 6)
)</f>
        <v>7.4</v>
      </c>
      <c r="BP22" t="str">
        <f t="shared" si="21"/>
        <v>Neutral</v>
      </c>
      <c r="BQ22">
        <f>interview_responses[[#This Row],[Tôi thấy Nhà nước đã giải thích rõ ràng, minh bạch về lý do và mục tiêu của việc sửa đổi thuế lần này. - HUMAN-TRU4]]</f>
        <v>8</v>
      </c>
      <c r="BR22" t="str">
        <f t="shared" si="22"/>
        <v>Support</v>
      </c>
      <c r="BS22">
        <f t="shared" si="23"/>
        <v>0.59999999999999964</v>
      </c>
      <c r="BT22" t="str" cm="1">
        <f t="array" ref="BT22">INDEX(step2_raw_simulation[AI_TRU4_Reason], (ROW(BT21)-1)*5 + 1)</f>
        <v>Nhà nước đã giải thích rõ ràng về mục tiêu của việc cải cách thuế này.</v>
      </c>
      <c r="BU22" t="str">
        <f>interview_responses[[#This Row],[Lý do - HUMAN-TRU4]]</f>
        <v>Đồng ý. Tôi thấy nhà nước có truyền thông rõ ràng trên báo chí.</v>
      </c>
      <c r="BV22">
        <f>AVERAGE(
  INDEX(step2_raw_simulation!AY:AY, (ROW(BE21)-1)*5 + 2)
  :
  INDEX(step2_raw_simulation!AY:AY, (ROW(BE21)-1)*5 + 6)
)</f>
        <v>8.4</v>
      </c>
      <c r="BW22" t="str">
        <f t="shared" si="24"/>
        <v>Support</v>
      </c>
      <c r="BX22">
        <f>interview_responses[[#This Row],[Sau khi xem xét các quyền lợi và nghĩa vụ, bạn có ủng hộ và tuân thủ chính sách mới hiện nay? - HUMAN-OUT1]]</f>
        <v>8</v>
      </c>
      <c r="BY22" t="str">
        <f t="shared" si="25"/>
        <v>Support</v>
      </c>
      <c r="BZ22">
        <f t="shared" si="26"/>
        <v>0.40000000000000036</v>
      </c>
      <c r="CA22" t="str" cm="1">
        <f t="array" ref="CA22">INDEX(step2_raw_simulation[AI_OUT1_Reason], (ROW(CA21)-1)*5 + 1)</f>
        <v>Tổng thể, chính sách mới này có lợi cho tôi và tôi sẽ ủng hộ nó.</v>
      </c>
      <c r="CB22" t="str">
        <f>interview_responses[[#This Row],[Lý do - HUMAN-OUT1]]</f>
        <v>Đồng ý theo góc độ tuân thủ của công dân.</v>
      </c>
    </row>
    <row r="23" spans="1:80" x14ac:dyDescent="0.45">
      <c r="A23" cm="1">
        <f t="array" ref="A23">INDEX(step2_raw_simulation[Persona_ID], (ROW(A22)-1)*5 + 1)</f>
        <v>22</v>
      </c>
      <c r="B23" cm="1">
        <f t="array" ref="B23">INDEX(step2_raw_simulation[Run_ID], (ROW(B22)-1)*5 + 1)</f>
        <v>1</v>
      </c>
      <c r="C23" cm="1">
        <f t="array" ref="C23">INDEX(step2_raw_simulation[Used_Seed], (ROW(C22)-1)*5 + 1)</f>
        <v>2143</v>
      </c>
      <c r="D23" t="str" cm="1">
        <f t="array" ref="D23">INDEX(step2_raw_simulation[Gender], (ROW(D22)-1)*5 + 1)</f>
        <v>Nữ</v>
      </c>
      <c r="E23" t="str">
        <f>interview_responses[[#This Row],[Giới tính của bạn:]]</f>
        <v>Nữ</v>
      </c>
      <c r="F23" t="str" cm="1">
        <f t="array" ref="F23">INDEX(step2_raw_simulation[Age], (ROW(F22)-1)*5 + 1)</f>
        <v>30 - 39</v>
      </c>
      <c r="G23" t="str">
        <f>interview_responses[[#This Row],[Độ tuổi của bạn:]]</f>
        <v>30 - 39</v>
      </c>
      <c r="H23" t="str" cm="1">
        <f t="array" ref="H23">INDEX(step2_raw_simulation[Region], (ROW(H22)-1)*5 + 1)</f>
        <v>Thành thị</v>
      </c>
      <c r="I23" t="str">
        <f>interview_responses[[#This Row],[Khu vực bạn đang sinh sống:]]</f>
        <v>Thành thị</v>
      </c>
      <c r="J23" t="str" cm="1">
        <f t="array" ref="J23">INDEX(step2_raw_simulation[Education], (ROW(J22)-1)*5 + 1)</f>
        <v>Đại học</v>
      </c>
      <c r="K23" t="str">
        <f>interview_responses[[#This Row],[Trình độ học vấn cao nhất:]]</f>
        <v>Đại học</v>
      </c>
      <c r="L23" t="str" cm="1">
        <f t="array" ref="L23">INDEX(step2_raw_simulation[Employment], (ROW(L22)-1)*5 + 1)</f>
        <v>Chính thức</v>
      </c>
      <c r="M23" t="str">
        <f>interview_responses[[#This Row],[Tình trạng việc làm chính:]]</f>
        <v>Khu vực chính thức (Có Hợp đồng lao động, đóng BHXH)</v>
      </c>
      <c r="N23" cm="1">
        <f t="array" ref="N23">INDEX(step2_raw_simulation[Income_Mil], (ROW(N22)-1)*5 + 1)</f>
        <v>86</v>
      </c>
      <c r="O23" t="str">
        <f>interview_responses[[#This Row],[Thu nhập bình quân tháng theo Hợp đồng lao động của bạn là bao nhiêu? (Vui lòng điền tổng thu nhập trước khi khấu trừ các loại Bảo hiểm (BHXH, BHYT, BHTN) và Thuế TNCN)]]</f>
        <v>Từ 70 - 102 triệu VNĐ</v>
      </c>
      <c r="P23" cm="1">
        <f t="array" ref="P23">INDEX(step2_raw_simulation[Dependents], (ROW(P22)-1)*5 + 1)</f>
        <v>1</v>
      </c>
      <c r="Q23" t="str">
        <f>interview_responses[[#This Row],[Số người phụ thuộc (con nhỏ, cha mẹ già...) đủ điều kiện giảm trừ gia cảnh:]]</f>
        <v>1 người</v>
      </c>
      <c r="R23">
        <f>AVERAGE(
  INDEX(step2_raw_simulation!K:K, (ROW(A22)-1)*5 + 2)
  :
  INDEX(step2_raw_simulation!K:K, (ROW(A22)-1)*5 + 6)
)</f>
        <v>3.6</v>
      </c>
      <c r="S23" t="str">
        <f t="shared" si="0"/>
        <v>Oppose</v>
      </c>
      <c r="T23">
        <f>interview_responses[[#This Row],[Tôi tin rằng với các quy định quản lý thuế hiện nay, hành vi gian lận hoặc trốn thuế sẽ dễ dàng bị phát hiện và xử lý nghiêm. - HUMAN-ENF1]]</f>
        <v>7</v>
      </c>
      <c r="U23" t="str">
        <f t="shared" si="1"/>
        <v>Neutral</v>
      </c>
      <c r="V23">
        <f t="shared" si="2"/>
        <v>3.4</v>
      </c>
      <c r="W23" t="str" cm="1">
        <f t="array" ref="W23">INDEX(step2_raw_simulation[AI_ENF1_Reason], (ROW(W22)-1)*5 + 1)</f>
        <v>Tôi chưa thấy cách quản lý thuế của các nguồn thu nhập không chính thức hoặc từ nước ngoài không qua hợp đồng lao động; tương tự câu trước.</v>
      </c>
      <c r="X23" t="str">
        <f>interview_responses[[#This Row],[Lý do - HUMAN-ENF1]]</f>
        <v>Tôi chưa thấy cách quản lý thuế của các nguồn thu nhập không chính thức hoặc từ nước ngoài không qua hợp đồng lao động</v>
      </c>
      <c r="Y23">
        <f>AVERAGE(
  INDEX(step2_raw_simulation!P:P, (ROW(H22)-1)*5 + 2)
  :
  INDEX(step2_raw_simulation!P:P, (ROW(H22)-1)*5 + 6)
)</f>
        <v>3.4</v>
      </c>
      <c r="Z23" t="str">
        <f t="shared" si="3"/>
        <v>Oppose</v>
      </c>
      <c r="AA23">
        <f>interview_responses[[#This Row],[Tôi tin rằng Nhà nước, cơ quan thuế có đủ khả năng và công nghệ để phát hiện, xử lý nghiêm các hành vi trốn thuế. - HUMAN-ENF2]]</f>
        <v>7</v>
      </c>
      <c r="AB23" t="str">
        <f t="shared" si="4"/>
        <v>Neutral</v>
      </c>
      <c r="AC23">
        <f t="shared" si="5"/>
        <v>3.6</v>
      </c>
      <c r="AD23" t="str" cm="1">
        <f t="array" ref="AD23">INDEX(step2_raw_simulation[AI_ENF2_Reason], (ROW(AD22)-1)*5 + 1)</f>
        <v>Khi có vấn đề liên hệ với cơ quan thuế vẫn còn rất khó khăn;</v>
      </c>
      <c r="AE23" t="str">
        <f>interview_responses[[#This Row],[Lý do - HUMAN-ENF2]]</f>
        <v>Tương tự câu trước.</v>
      </c>
      <c r="AF23">
        <f>AVERAGE(
  INDEX(step2_raw_simulation!U:U, (ROW(O22)-1)*5 + 2)
  :
  INDEX(step2_raw_simulation!U:U, (ROW(O22)-1)*5 + 6)
)</f>
        <v>7</v>
      </c>
      <c r="AG23" t="str">
        <f t="shared" si="6"/>
        <v>Neutral</v>
      </c>
      <c r="AH23">
        <f>interview_responses[[#This Row],[Các thủ tục khai báo thuế VÀ/HOẶC quy trình làm việc với cơ quan thuế đơn giản, tiện lợi, nhanh chóng hơn so với trước đây. - HUMAN-FAC1]]</f>
        <v>6</v>
      </c>
      <c r="AI23" t="str">
        <f t="shared" si="7"/>
        <v>Neutral</v>
      </c>
      <c r="AJ23">
        <f t="shared" si="8"/>
        <v>1</v>
      </c>
      <c r="AK23" t="str" cm="1">
        <f t="array" ref="AK23">INDEX(step2_raw_simulation[AI_FAC1_Reason], (ROW(AK22)-1)*5 + 1)</f>
        <v>So với trước đây, các thủ tục khai báo thuế và quy trình làm việc với cơ quan thuế trở nên đơn giản hơn.</v>
      </c>
      <c r="AL23" t="str">
        <f>interview_responses[[#This Row],[Lý do - HUMAN-FAC1]]</f>
        <v>Khi có vấn đề liên hệ với cơ quan thuế vẫn còn rất khó khăn.</v>
      </c>
      <c r="AM23">
        <f>AVERAGE(
  INDEX(step2_raw_simulation!Z:Z, (ROW(V22)-1)*5 + 2)
  :
  INDEX(step2_raw_simulation!Z:Z, (ROW(V22)-1)*5 + 6)
)</f>
        <v>6.6</v>
      </c>
      <c r="AN23" t="str">
        <f t="shared" si="9"/>
        <v>Neutral</v>
      </c>
      <c r="AO23">
        <f>interview_responses[[#This Row],[So với trước đây, tôi thấy cách tính thuế và các bậc thuế trong phương án mới đơn giản, dễ hiểu và dễ thực hiện hơn. - HUMAN-FAC2]]</f>
        <v>6</v>
      </c>
      <c r="AP23" t="str">
        <f t="shared" si="10"/>
        <v>Neutral</v>
      </c>
      <c r="AQ23">
        <f t="shared" si="11"/>
        <v>0.59999999999999964</v>
      </c>
      <c r="AR23" t="str" cm="1">
        <f t="array" ref="AR23">INDEX(step2_raw_simulation[AI_FAC2_Reason], (ROW(AR22)-1)*5 + 1)</f>
        <v>Cách tính thuế và các bậc thuế trong phương án mới đơn giản, dễ hiểu và dễ thực hiện hơn; nguyên tắc tính cũng tương tự trước nên không thể kết luận là dễ thực hiện hơn.</v>
      </c>
      <c r="AS23" t="str">
        <f>interview_responses[[#This Row],[Lý do - HUMAN-FAC2]]</f>
        <v>Đơn giản hơn về từ 7 còn 5 bậc. Nguyên tắc tính cũng tương tự trước nên không thể kết luận là dễ hiểu hơn và dễ thực hiện hơn.</v>
      </c>
      <c r="AT23">
        <f>AVERAGE(
  INDEX(step2_raw_simulation!AE:AE, (ROW(AC22)-1)*5 + 2)
  :
  INDEX(step2_raw_simulation!AE:AE, (ROW(AC22)-1)*5 + 6)
)</f>
        <v>5.8</v>
      </c>
      <c r="AU23" t="str">
        <f t="shared" si="12"/>
        <v>Neutral</v>
      </c>
      <c r="AV23">
        <f>interview_responses[[#This Row],[Tôi tin rằng Nhà nước, cơ quan thuế sẽ thực thi chính sách mới một cách khách quan, công tâm và đối xử bình đẳng với mọi người nộp thuế.  - HUMAN-TRU1]]</f>
        <v>5</v>
      </c>
      <c r="AW23" t="str">
        <f t="shared" si="13"/>
        <v>Neutral</v>
      </c>
      <c r="AX23">
        <f t="shared" si="14"/>
        <v>0.79999999999999982</v>
      </c>
      <c r="AY23" t="str" cm="1">
        <f t="array" ref="AY23">INDEX(step2_raw_simulation[AI_TRU1_Reason], (ROW(AY22)-1)*5 + 1)</f>
        <v>Tôi tin rằng Nhà nước, cơ quan thuế sẽ thực thi chính sách mới một cách khách quan, công tâm và đối xử bình đẳng với mọi người nộp thuế; mức thuế tôi phải đóng theo phương án mới là hợp lý vì có sự tăng giảm các bậc thuế phù hợp.</v>
      </c>
      <c r="AZ23" t="str">
        <f>interview_responses[[#This Row],[Lý do - HUMAN-TRU1]]</f>
        <v>Để kết luận được điều này cần nhiều dữ liệu hơn.</v>
      </c>
      <c r="BA23">
        <f>AVERAGE(
  INDEX(step2_raw_simulation!AJ:AJ, (ROW(AJ22)-1)*5 + 2)
  :
  INDEX(step2_raw_simulation!AJ:AJ, (ROW(AJ22)-1)*5 + 6)
)</f>
        <v>6.2</v>
      </c>
      <c r="BB23" t="str">
        <f t="shared" si="15"/>
        <v>Neutral</v>
      </c>
      <c r="BC23">
        <f>interview_responses[[#This Row],[Tôi thấy mức thuế tôi phải đóng theo phương án mới là công bằng (người thu nhập như tôi đóng mức này là hợp lý). - HUMAN-TRU2]]</f>
        <v>6</v>
      </c>
      <c r="BD23" t="str">
        <f t="shared" si="16"/>
        <v>Neutral</v>
      </c>
      <c r="BE23">
        <f t="shared" si="17"/>
        <v>0.20000000000000018</v>
      </c>
      <c r="BF23" t="str" cm="1">
        <f t="array" ref="BF23">INDEX(step2_raw_simulation[AI_TRU2_Reason], (ROW(BF22)-1)*5 + 1)</f>
        <v>Tôi thấy mức thuế tôi phải đóng theo phương án mới là công bằng (người thu nhập như tôi đóng mức này là hợp lý); tuy nhiên, vẫn cần thêm dữ liệu để so sánh với các đối tượng khác.</v>
      </c>
      <c r="BG23" t="str">
        <f>interview_responses[[#This Row],[Lý do - HUMAN-TRU2]]</f>
        <v>Cần thêm dữ liệu và cần biết là đang so sánh với điều gì để kết luận là công bằng hay không. Hiện tại chỉ có thể kết luận là mức đóng ít hơn thì thích hơn.</v>
      </c>
      <c r="BH23">
        <f>AVERAGE(
  INDEX(step2_raw_simulation!AO:AO, (ROW(AQ22)-1)*5 + 2)
  :
  INDEX(step2_raw_simulation!AO:AO, (ROW(AQ22)-1)*5 + 6)
)</f>
        <v>5.2</v>
      </c>
      <c r="BI23" t="str">
        <f t="shared" si="18"/>
        <v>Neutral</v>
      </c>
      <c r="BJ23">
        <f>interview_responses[[#This Row],[Tôi tin tưởng số tiền thuế tôi đóng sẽ được Nhà nước sử dụng hiệu quả để cải thiện dịch vụ công (y tế, đường xá...). - HUMAN-TRU3]]</f>
        <v>3</v>
      </c>
      <c r="BK23" t="str">
        <f t="shared" si="19"/>
        <v>Oppose</v>
      </c>
      <c r="BL23">
        <f t="shared" si="20"/>
        <v>2.2000000000000002</v>
      </c>
      <c r="BM23" t="str" cm="1">
        <f t="array" ref="BM23">INDEX(step2_raw_simulation[AI_TRU3_Reason], (ROW(BM22)-1)*5 + 1)</f>
        <v>Tôi tin tưởng số tiền thuế tôi đóng sẽ được Nhà nước sử dụng hiệu quả để cải thiện dịch vụ công (y tế, đường xá...); cần thêm dữ liệu về cách sử dụng nguồn thu từ thuế.</v>
      </c>
      <c r="BN23" t="str">
        <f>interview_responses[[#This Row],[Lý do - HUMAN-TRU3]]</f>
        <v>Tôi chưa thấy sự minh bạch trong việc sử dụng tiền thuế của dân.</v>
      </c>
      <c r="BO23">
        <f>AVERAGE(
  INDEX(step2_raw_simulation!AT:AT, (ROW(AX22)-1)*5 + 2)
  :
  INDEX(step2_raw_simulation!AT:AT, (ROW(AX22)-1)*5 + 6)
)</f>
        <v>4.8</v>
      </c>
      <c r="BP23" t="str">
        <f t="shared" si="21"/>
        <v>Oppose</v>
      </c>
      <c r="BQ23">
        <f>interview_responses[[#This Row],[Tôi thấy Nhà nước đã giải thích rõ ràng, minh bạch về lý do và mục tiêu của việc sửa đổi thuế lần này. - HUMAN-TRU4]]</f>
        <v>5</v>
      </c>
      <c r="BR23" t="str">
        <f t="shared" si="22"/>
        <v>Neutral</v>
      </c>
      <c r="BS23">
        <f t="shared" si="23"/>
        <v>0.20000000000000018</v>
      </c>
      <c r="BT23" t="str" cm="1">
        <f t="array" ref="BT23">INDEX(step2_raw_simulation[AI_TRU4_Reason], (ROW(BT22)-1)*5 + 1)</f>
        <v>Tôi thấy Nhà nước đã giải thích rõ ràng, minh bạch về lý do và mục tiêu của việc sửa đổi thuế lần này; mặc dù chưa chủ động tìm hiểu nhưng theo tôi kênh truyền thông của nhà nước nên mạnh hơn.</v>
      </c>
      <c r="BU23" t="str">
        <f>interview_responses[[#This Row],[Lý do - HUMAN-TRU4]]</f>
        <v>Tôi chưa chủ động tìm hiểu nhà nước đã giải thích những gì về đợt sửa đổi thuế lần này. Nếu là minh bạch thì theo tôi kênh truyền thông của nhà nước nên mạnh hơn và tiếp cận người nghe rộng rãi hơn.</v>
      </c>
      <c r="BV23">
        <f>AVERAGE(
  INDEX(step2_raw_simulation!AY:AY, (ROW(BE22)-1)*5 + 2)
  :
  INDEX(step2_raw_simulation!AY:AY, (ROW(BE22)-1)*5 + 6)
)</f>
        <v>7.2</v>
      </c>
      <c r="BW23" t="str">
        <f t="shared" si="24"/>
        <v>Neutral</v>
      </c>
      <c r="BX23">
        <f>interview_responses[[#This Row],[Sau khi xem xét các quyền lợi và nghĩa vụ, bạn có ủng hộ và tuân thủ chính sách mới hiện nay? - HUMAN-OUT1]]</f>
        <v>8</v>
      </c>
      <c r="BY23" t="str">
        <f t="shared" si="25"/>
        <v>Support</v>
      </c>
      <c r="BZ23">
        <f t="shared" si="26"/>
        <v>0.79999999999999982</v>
      </c>
      <c r="CA23" t="str" cm="1">
        <f t="array" ref="CA23">INDEX(step2_raw_simulation[AI_OUT1_Reason], (ROW(CA22)-1)*5 + 1)</f>
        <v>Ngoài việc tuân thủ, dường như không còn lựa chọn nào khác; tuy nhiên, với sự đơn giản hóa các bậc thuế và tăng giảm mức giảm trừ gia cảnh, tôi ủng hộ chính sách mới.</v>
      </c>
      <c r="CB23" t="str">
        <f>interview_responses[[#This Row],[Lý do - HUMAN-OUT1]]</f>
        <v>Ngoài việc tuân thủ, dường như không còn lựa chọn nào khác.</v>
      </c>
    </row>
    <row r="24" spans="1:80" x14ac:dyDescent="0.45">
      <c r="A24" cm="1">
        <f t="array" ref="A24">INDEX(step2_raw_simulation[Persona_ID], (ROW(A23)-1)*5 + 1)</f>
        <v>23</v>
      </c>
      <c r="B24" cm="1">
        <f t="array" ref="B24">INDEX(step2_raw_simulation[Run_ID], (ROW(B23)-1)*5 + 1)</f>
        <v>1</v>
      </c>
      <c r="C24" cm="1">
        <f t="array" ref="C24">INDEX(step2_raw_simulation[Used_Seed], (ROW(C23)-1)*5 + 1)</f>
        <v>2243</v>
      </c>
      <c r="D24" t="str" cm="1">
        <f t="array" ref="D24">INDEX(step2_raw_simulation[Gender], (ROW(D23)-1)*5 + 1)</f>
        <v>Nữ</v>
      </c>
      <c r="E24" t="str">
        <f>interview_responses[[#This Row],[Giới tính của bạn:]]</f>
        <v>Nữ</v>
      </c>
      <c r="F24" t="str" cm="1">
        <f t="array" ref="F24">INDEX(step2_raw_simulation[Age], (ROW(F23)-1)*5 + 1)</f>
        <v>40 - 49</v>
      </c>
      <c r="G24" t="str">
        <f>interview_responses[[#This Row],[Độ tuổi của bạn:]]</f>
        <v>40 - 49</v>
      </c>
      <c r="H24" t="str" cm="1">
        <f t="array" ref="H24">INDEX(step2_raw_simulation[Region], (ROW(H23)-1)*5 + 1)</f>
        <v>Thành thị</v>
      </c>
      <c r="I24" t="str">
        <f>interview_responses[[#This Row],[Khu vực bạn đang sinh sống:]]</f>
        <v>Thành thị</v>
      </c>
      <c r="J24" t="str" cm="1">
        <f t="array" ref="J24">INDEX(step2_raw_simulation[Education], (ROW(J23)-1)*5 + 1)</f>
        <v>Sau Đại học</v>
      </c>
      <c r="K24" t="str">
        <f>interview_responses[[#This Row],[Trình độ học vấn cao nhất:]]</f>
        <v>Sau Đại học</v>
      </c>
      <c r="L24" t="str" cm="1">
        <f t="array" ref="L24">INDEX(step2_raw_simulation[Employment], (ROW(L23)-1)*5 + 1)</f>
        <v>Chính thức</v>
      </c>
      <c r="M24" t="str">
        <f>interview_responses[[#This Row],[Tình trạng việc làm chính:]]</f>
        <v>Khu vực chính thức (Có Hợp đồng lao động, đóng BHXH)</v>
      </c>
      <c r="N24" cm="1">
        <f t="array" ref="N24">INDEX(step2_raw_simulation[Income_Mil], (ROW(N23)-1)*5 + 1)</f>
        <v>120</v>
      </c>
      <c r="O24" t="str">
        <f>interview_responses[[#This Row],[Thu nhập bình quân tháng theo Hợp đồng lao động của bạn là bao nhiêu? (Vui lòng điền tổng thu nhập trước khi khấu trừ các loại Bảo hiểm (BHXH, BHYT, BHTN) và Thuế TNCN)]]</f>
        <v>Trên 102 triệu VNĐ</v>
      </c>
      <c r="P24" cm="1">
        <f t="array" ref="P24">INDEX(step2_raw_simulation[Dependents], (ROW(P23)-1)*5 + 1)</f>
        <v>2</v>
      </c>
      <c r="Q24" t="str">
        <f>interview_responses[[#This Row],[Số người phụ thuộc (con nhỏ, cha mẹ già...) đủ điều kiện giảm trừ gia cảnh:]]</f>
        <v>2 người</v>
      </c>
      <c r="R24">
        <f>AVERAGE(
  INDEX(step2_raw_simulation!K:K, (ROW(A23)-1)*5 + 2)
  :
  INDEX(step2_raw_simulation!K:K, (ROW(A23)-1)*5 + 6)
)</f>
        <v>5.6</v>
      </c>
      <c r="S24" t="str">
        <f t="shared" si="0"/>
        <v>Neutral</v>
      </c>
      <c r="T24">
        <f>interview_responses[[#This Row],[Tôi tin rằng với các quy định quản lý thuế hiện nay, hành vi gian lận hoặc trốn thuế sẽ dễ dàng bị phát hiện và xử lý nghiêm. - HUMAN-ENF1]]</f>
        <v>5</v>
      </c>
      <c r="U24" t="str">
        <f t="shared" si="1"/>
        <v>Neutral</v>
      </c>
      <c r="V24">
        <f t="shared" si="2"/>
        <v>0.59999999999999964</v>
      </c>
      <c r="W24" t="str" cm="1">
        <f t="array" ref="W24">INDEX(step2_raw_simulation[AI_ENF1_Reason], (ROW(W23)-1)*5 + 1)</f>
        <v>Dù cơ quan thuế có nỗ lực ứng dụng công nghệ nhưng nguồn lực và nhân sự vẫn còn hạn chế, nên việc phát hiện trốn/né thuế chưa dễ dàng.</v>
      </c>
      <c r="X24" t="str">
        <f>interview_responses[[#This Row],[Lý do - HUMAN-ENF1]]</f>
        <v>trên thực tế còn nhiều trường hợp trốn/né thuế khá tinh vi, và sự thiếu minh bạch của chính cán bộ xử lý nên dù cơ quan quản lý có nỗ lực để siết chặt nhưng chưa đến mức "dễ dàng bị phát hiện" và "xử lý nghiêm minh"</v>
      </c>
      <c r="Y24">
        <f>AVERAGE(
  INDEX(step2_raw_simulation!P:P, (ROW(H23)-1)*5 + 2)
  :
  INDEX(step2_raw_simulation!P:P, (ROW(H23)-1)*5 + 6)
)</f>
        <v>5.2</v>
      </c>
      <c r="Z24" t="str">
        <f t="shared" si="3"/>
        <v>Neutral</v>
      </c>
      <c r="AA24">
        <f>interview_responses[[#This Row],[Tôi tin rằng Nhà nước, cơ quan thuế có đủ khả năng và công nghệ để phát hiện, xử lý nghiêm các hành vi trốn thuế. - HUMAN-ENF2]]</f>
        <v>5</v>
      </c>
      <c r="AB24" t="str">
        <f t="shared" si="4"/>
        <v>Neutral</v>
      </c>
      <c r="AC24">
        <f t="shared" si="5"/>
        <v>0.20000000000000018</v>
      </c>
      <c r="AD24" t="str" cm="1">
        <f t="array" ref="AD24">INDEX(step2_raw_simulation[AI_ENF2_Reason], (ROW(AD23)-1)*5 + 1)</f>
        <v>Cơ quan thuế đã cải thiện đáng kể trong việc quản lý và giám sát thông qua công nghệ nhưng nguồn lực vẫn chưa đồng bộ trên toàn hệ thống.</v>
      </c>
      <c r="AE24" t="str">
        <f>interview_responses[[#This Row],[Lý do - HUMAN-ENF2]]</f>
        <v>mặc dù cơ quan quản lý đã có những nỗ lực ứng dụng công nghệ vào việc quản lý và giám sát nhưng còn bị hạn chế ở nguồn lực - nhân sự thực hiện - năng lực triển khai một cách đồng bộ trên toàn hệ thống.</v>
      </c>
      <c r="AF24">
        <f>AVERAGE(
  INDEX(step2_raw_simulation!U:U, (ROW(O23)-1)*5 + 2)
  :
  INDEX(step2_raw_simulation!U:U, (ROW(O23)-1)*5 + 6)
)</f>
        <v>6.8</v>
      </c>
      <c r="AG24" t="str">
        <f t="shared" si="6"/>
        <v>Neutral</v>
      </c>
      <c r="AH24">
        <f>interview_responses[[#This Row],[Các thủ tục khai báo thuế VÀ/HOẶC quy trình làm việc với cơ quan thuế đơn giản, tiện lợi, nhanh chóng hơn so với trước đây. - HUMAN-FAC1]]</f>
        <v>5</v>
      </c>
      <c r="AI24" t="str">
        <f t="shared" si="7"/>
        <v>Neutral</v>
      </c>
      <c r="AJ24">
        <f t="shared" si="8"/>
        <v>1.7999999999999998</v>
      </c>
      <c r="AK24" t="str" cm="1">
        <f t="array" ref="AK24">INDEX(step2_raw_simulation[AI_FAC1_Reason], (ROW(AK23)-1)*5 + 1)</f>
        <v>Trình tự làm việc với cơ quan thuế có đơn giản hơn, tuy nhiên còn nhiều bước thủ tục cần cải thiện. Việc tính toán thuế đã được giải quyết bởi người khác nên tôi không quá quan tâm.</v>
      </c>
      <c r="AL24" t="str">
        <f>interview_responses[[#This Row],[Lý do - HUMAN-FAC1]]</f>
        <v xml:space="preserve">mặc dù đã và đang đẩy mạnh các thủ tục thực hiện online nhưng còn nhiều bước và nhiều loại giấy tờ thủ tục, doanh nghiệp bắt buộc vẫn phải liên hệ trực tiếp cán bộ thuế. </v>
      </c>
      <c r="AM24">
        <f>AVERAGE(
  INDEX(step2_raw_simulation!Z:Z, (ROW(V23)-1)*5 + 2)
  :
  INDEX(step2_raw_simulation!Z:Z, (ROW(V23)-1)*5 + 6)
)</f>
        <v>7.4</v>
      </c>
      <c r="AN24" t="str">
        <f t="shared" si="9"/>
        <v>Neutral</v>
      </c>
      <c r="AO24">
        <f>interview_responses[[#This Row],[So với trước đây, tôi thấy cách tính thuế và các bậc thuế trong phương án mới đơn giản, dễ hiểu và dễ thực hiện hơn. - HUMAN-FAC2]]</f>
        <v>5</v>
      </c>
      <c r="AP24" t="str">
        <f t="shared" si="10"/>
        <v>Neutral</v>
      </c>
      <c r="AQ24">
        <f t="shared" si="11"/>
        <v>2.4000000000000004</v>
      </c>
      <c r="AR24" t="str" cm="1">
        <f t="array" ref="AR24">INDEX(step2_raw_simulation[AI_FAC2_Reason], (ROW(AR23)-1)*5 + 1)</f>
        <v>Biểu thuế mới đơn giản hóa so với trước nhưng vẫn cần thêm thời gian để làm quen.</v>
      </c>
      <c r="AS24" t="str">
        <f>interview_responses[[#This Row],[Lý do - HUMAN-FAC2]]</f>
        <v>không quan tâm lắm, việc tính toán này đã có người khác làm</v>
      </c>
      <c r="AT24">
        <f>AVERAGE(
  INDEX(step2_raw_simulation!AE:AE, (ROW(AC23)-1)*5 + 2)
  :
  INDEX(step2_raw_simulation!AE:AE, (ROW(AC23)-1)*5 + 6)
)</f>
        <v>6</v>
      </c>
      <c r="AU24" t="str">
        <f t="shared" si="12"/>
        <v>Neutral</v>
      </c>
      <c r="AV24">
        <f>interview_responses[[#This Row],[Tôi tin rằng Nhà nước, cơ quan thuế sẽ thực thi chính sách mới một cách khách quan, công tâm và đối xử bình đẳng với mọi người nộp thuế.  - HUMAN-TRU1]]</f>
        <v>5</v>
      </c>
      <c r="AW24" t="str">
        <f t="shared" si="13"/>
        <v>Neutral</v>
      </c>
      <c r="AX24">
        <f t="shared" si="14"/>
        <v>1</v>
      </c>
      <c r="AY24" t="str" cm="1">
        <f t="array" ref="AY24">INDEX(step2_raw_simulation[AI_TRU1_Reason], (ROW(AY23)-1)*5 + 1)</f>
        <v>Hi vọng chính phủ sẽ công bằng trong việc thực thi, nhưng e rằng sự khác biệt giữa các địa phương vẫn còn tồn tại.</v>
      </c>
      <c r="AZ24" t="str">
        <f>interview_responses[[#This Row],[Lý do - HUMAN-TRU1]]</f>
        <v>hi vọng là vậy, e rằng sẽ vẫn tồn tại sự khác biệt/cách biệt trong việc hiểu và vận dụng chính sách thuế ở các địa phương</v>
      </c>
      <c r="BA24">
        <f>AVERAGE(
  INDEX(step2_raw_simulation!AJ:AJ, (ROW(AJ23)-1)*5 + 2)
  :
  INDEX(step2_raw_simulation!AJ:AJ, (ROW(AJ23)-1)*5 + 6)
)</f>
        <v>7.6</v>
      </c>
      <c r="BB24" t="str">
        <f t="shared" si="15"/>
        <v>Neutral</v>
      </c>
      <c r="BC24">
        <f>interview_responses[[#This Row],[Tôi thấy mức thuế tôi phải đóng theo phương án mới là công bằng (người thu nhập như tôi đóng mức này là hợp lý). - HUMAN-TRU2]]</f>
        <v>5</v>
      </c>
      <c r="BD24" t="str">
        <f t="shared" si="16"/>
        <v>Neutral</v>
      </c>
      <c r="BE24">
        <f t="shared" si="17"/>
        <v>2.5999999999999996</v>
      </c>
      <c r="BF24" t="str" cm="1">
        <f t="array" ref="BF24">INDEX(step2_raw_simulation[AI_TRU2_Reason], (ROW(BF23)-1)*5 + 1)</f>
        <v>Mức thuế mới được xem là hợp lý cho thu nhập của tôi, mặc dù có thể cần thêm thời gian để làm quen với các quy định mới.</v>
      </c>
      <c r="BG24" t="str">
        <f>interview_responses[[#This Row],[Lý do - HUMAN-TRU2]]</f>
        <v xml:space="preserve">đành phải chấp nhận vì trước nay đã có tổ chức/hiệp hội/đại biểu quốc hội nào thành công trong việc thuyết phục sự diều chỉnh đâu. Còn nhiều khoản chi phí thực tế cũng như các ngưỡng chịu thuế cần được tính toán và xem xét. </v>
      </c>
      <c r="BH24">
        <f>AVERAGE(
  INDEX(step2_raw_simulation!AO:AO, (ROW(AQ23)-1)*5 + 2)
  :
  INDEX(step2_raw_simulation!AO:AO, (ROW(AQ23)-1)*5 + 6)
)</f>
        <v>6.2</v>
      </c>
      <c r="BI24" t="str">
        <f t="shared" si="18"/>
        <v>Neutral</v>
      </c>
      <c r="BJ24">
        <f>interview_responses[[#This Row],[Tôi tin tưởng số tiền thuế tôi đóng sẽ được Nhà nước sử dụng hiệu quả để cải thiện dịch vụ công (y tế, đường xá...). - HUMAN-TRU3]]</f>
        <v>5</v>
      </c>
      <c r="BK24" t="str">
        <f t="shared" si="19"/>
        <v>Neutral</v>
      </c>
      <c r="BL24">
        <f t="shared" si="20"/>
        <v>1.2000000000000002</v>
      </c>
      <c r="BM24" t="str" cm="1">
        <f t="array" ref="BM24">INDEX(step2_raw_simulation[AI_TRU3_Reason], (ROW(BM23)-1)*5 + 1)</f>
        <v>Tin rằng số tiền thuế đóng sẽ được sử dụng hiệu quả nhưng cần giám sát thường xuyên hơn từ cơ quan quản lý.</v>
      </c>
      <c r="BN24" t="str">
        <f>interview_responses[[#This Row],[Lý do - HUMAN-TRU3]]</f>
        <v xml:space="preserve">hi vọng là thế, cần có cơ quan giám sát tách bạch và có cơ chế minh bạch/giải trình về việc sử dụng tiền thuế vào các dịch vụ công nào, định kỳ hàng năm trước đại diện người dân </v>
      </c>
      <c r="BO24">
        <f>AVERAGE(
  INDEX(step2_raw_simulation!AT:AT, (ROW(AX23)-1)*5 + 2)
  :
  INDEX(step2_raw_simulation!AT:AT, (ROW(AX23)-1)*5 + 6)
)</f>
        <v>7.2</v>
      </c>
      <c r="BP24" t="str">
        <f t="shared" si="21"/>
        <v>Neutral</v>
      </c>
      <c r="BQ24">
        <f>interview_responses[[#This Row],[Tôi thấy Nhà nước đã giải thích rõ ràng, minh bạch về lý do và mục tiêu của việc sửa đổi thuế lần này. - HUMAN-TRU4]]</f>
        <v>5</v>
      </c>
      <c r="BR24" t="str">
        <f t="shared" si="22"/>
        <v>Neutral</v>
      </c>
      <c r="BS24">
        <f t="shared" si="23"/>
        <v>2.2000000000000002</v>
      </c>
      <c r="BT24" t="str" cm="1">
        <f t="array" ref="BT24">INDEX(step2_raw_simulation[AI_TRU4_Reason], (ROW(BT23)-1)*5 + 1)</f>
        <v>Nhà nước đã giải thích rõ ràng về mục tiêu sửa đổi, tuy nhiên việc cải thiện dịch vụ công cần thêm thời gian để thấy hiệu quả.</v>
      </c>
      <c r="BU24" t="str">
        <f>interview_responses[[#This Row],[Lý do - HUMAN-TRU4]]</f>
        <v>không phản đối cũng không hoàn toàn đồng ý, cơ bản là nhà nước truyền thông cũng đủ và tạo diễn đàn tranh luận cũng ở mức vừa đủ khi điều chỉnh chính sách về thuế TNCN, không quá khó hiểu hay phức tạp với mặt bằng chung người dân. Nhưng nó vừa đủ với dân trí thức là chính, còn phần đông người dân còn lại thì không nắm được gì nhiều.</v>
      </c>
      <c r="BV24">
        <f>AVERAGE(
  INDEX(step2_raw_simulation!AY:AY, (ROW(BE23)-1)*5 + 2)
  :
  INDEX(step2_raw_simulation!AY:AY, (ROW(BE23)-1)*5 + 6)
)</f>
        <v>7.8</v>
      </c>
      <c r="BW24" t="str">
        <f t="shared" si="24"/>
        <v>Neutral</v>
      </c>
      <c r="BX24">
        <f>interview_responses[[#This Row],[Sau khi xem xét các quyền lợi và nghĩa vụ, bạn có ủng hộ và tuân thủ chính sách mới hiện nay? - HUMAN-OUT1]]</f>
        <v>5</v>
      </c>
      <c r="BY24" t="str">
        <f t="shared" si="25"/>
        <v>Neutral</v>
      </c>
      <c r="BZ24">
        <f t="shared" si="26"/>
        <v>2.8</v>
      </c>
      <c r="CA24" t="str" cm="1">
        <f t="array" ref="CA24">INDEX(step2_raw_simulation[AI_OUT1_Reason], (ROW(CA23)-1)*5 + 1)</f>
        <v>Sẵn sàng tuân thủ vì không có lựa chọn khác, nhưng hy vọng các chính sách sẽ được cải thiện trong tương lai.</v>
      </c>
      <c r="CB24" t="str">
        <f>interview_responses[[#This Row],[Lý do - HUMAN-OUT1]]</f>
        <v>sẵn sàng tuân thủ vì không có lựa chọn, tuy nhiên tôi cũng k phản đối, chỉ hi vọng trong tương lai sẽ có nhiều chính sách đc cải thiện</v>
      </c>
    </row>
    <row r="25" spans="1:80" x14ac:dyDescent="0.45">
      <c r="A25" cm="1">
        <f t="array" ref="A25">INDEX(step2_raw_simulation[Persona_ID], (ROW(A24)-1)*5 + 1)</f>
        <v>24</v>
      </c>
      <c r="B25" cm="1">
        <f t="array" ref="B25">INDEX(step2_raw_simulation[Run_ID], (ROW(B24)-1)*5 + 1)</f>
        <v>1</v>
      </c>
      <c r="C25" cm="1">
        <f t="array" ref="C25">INDEX(step2_raw_simulation[Used_Seed], (ROW(C24)-1)*5 + 1)</f>
        <v>2343</v>
      </c>
      <c r="D25" t="str" cm="1">
        <f t="array" ref="D25">INDEX(step2_raw_simulation[Gender], (ROW(D24)-1)*5 + 1)</f>
        <v>Nữ</v>
      </c>
      <c r="E25" t="str">
        <f>interview_responses[[#This Row],[Giới tính của bạn:]]</f>
        <v>Nữ</v>
      </c>
      <c r="F25" t="str" cm="1">
        <f t="array" ref="F25">INDEX(step2_raw_simulation[Age], (ROW(F24)-1)*5 + 1)</f>
        <v>30 - 39</v>
      </c>
      <c r="G25" t="str">
        <f>interview_responses[[#This Row],[Độ tuổi của bạn:]]</f>
        <v>30 - 39</v>
      </c>
      <c r="H25" t="str" cm="1">
        <f t="array" ref="H25">INDEX(step2_raw_simulation[Region], (ROW(H24)-1)*5 + 1)</f>
        <v>Thành thị</v>
      </c>
      <c r="I25" t="str">
        <f>interview_responses[[#This Row],[Khu vực bạn đang sinh sống:]]</f>
        <v>Thành thị</v>
      </c>
      <c r="J25" t="str" cm="1">
        <f t="array" ref="J25">INDEX(step2_raw_simulation[Education], (ROW(J24)-1)*5 + 1)</f>
        <v>Đại học</v>
      </c>
      <c r="K25" t="str">
        <f>interview_responses[[#This Row],[Trình độ học vấn cao nhất:]]</f>
        <v>Đại học</v>
      </c>
      <c r="L25" t="str" cm="1">
        <f t="array" ref="L25">INDEX(step2_raw_simulation[Employment], (ROW(L24)-1)*5 + 1)</f>
        <v>Chính thức</v>
      </c>
      <c r="M25" t="str">
        <f>interview_responses[[#This Row],[Tình trạng việc làm chính:]]</f>
        <v>Khu vực chính thức (Có Hợp đồng lao động, đóng BHXH)</v>
      </c>
      <c r="N25" cm="1">
        <f t="array" ref="N25">INDEX(step2_raw_simulation[Income_Mil], (ROW(N24)-1)*5 + 1)</f>
        <v>40</v>
      </c>
      <c r="O25" t="str">
        <f>interview_responses[[#This Row],[Thu nhập bình quân tháng theo Hợp đồng lao động của bạn là bao nhiêu? (Vui lòng điền tổng thu nhập trước khi khấu trừ các loại Bảo hiểm (BHXH, BHYT, BHTN) và Thuế TNCN)]]</f>
        <v>Từ 32 - 48 triệu VNĐ</v>
      </c>
      <c r="P25" cm="1">
        <f t="array" ref="P25">INDEX(step2_raw_simulation[Dependents], (ROW(P24)-1)*5 + 1)</f>
        <v>1</v>
      </c>
      <c r="Q25" t="str">
        <f>interview_responses[[#This Row],[Số người phụ thuộc (con nhỏ, cha mẹ già...) đủ điều kiện giảm trừ gia cảnh:]]</f>
        <v>1 người</v>
      </c>
      <c r="R25">
        <f>AVERAGE(
  INDEX(step2_raw_simulation!K:K, (ROW(A24)-1)*5 + 2)
  :
  INDEX(step2_raw_simulation!K:K, (ROW(A24)-1)*5 + 6)
)</f>
        <v>6.8</v>
      </c>
      <c r="S25" t="str">
        <f t="shared" si="0"/>
        <v>Neutral</v>
      </c>
      <c r="T25">
        <f>interview_responses[[#This Row],[Tôi tin rằng với các quy định quản lý thuế hiện nay, hành vi gian lận hoặc trốn thuế sẽ dễ dàng bị phát hiện và xử lý nghiêm. - HUMAN-ENF1]]</f>
        <v>5</v>
      </c>
      <c r="U25" t="str">
        <f t="shared" si="1"/>
        <v>Neutral</v>
      </c>
      <c r="V25">
        <f t="shared" si="2"/>
        <v>1.7999999999999998</v>
      </c>
      <c r="W25" t="str" cm="1">
        <f t="array" ref="W25">INDEX(step2_raw_simulation[AI_ENF1_Reason], (ROW(W24)-1)*5 + 1)</f>
        <v>Điều này phức tạp vì mặc dù công nghệ VNeID giúp phát hiện trốn thuế dễ hơn, nhưng đối với nguồn thu đa dạng như đầu tư tài sản, rủi ro gian lận vẫn còn tồn tại. Với thu nhập của tôi, mức thuế giảm nên không quá ảnh hưởng.</v>
      </c>
      <c r="X25" t="str">
        <f>interview_responses[[#This Row],[Lý do - HUMAN-ENF1]]</f>
        <v>Với nhóm thu nhập từ tiền lương, tiền công, cơ chế khấu trừ tại nguồn và hóa đơn – chứng từ điện tử giúp tăng tính minh bạch, nên trốn thuế ‘thô’ sẽ khó hơn và khả năng bị phát hiện cao hơn. Tuy nhiên, ở các nguồn thu khác—nhất là giao dịch tài sản, thu nhập đa nguồn hoặc cấu trúc giao dịch phức tạp—rủi ro gian lận vẫn tồn tại do hạn chế về liên thông dữ liệu, định danh chủ thể hưởng lợi cuối cùng và khả năng theo dõi dòng tiền. Vì vậy, phát hiện được hay không còn phụ thuộc vào mức độ liên thông dữ liệu và năng lực kiểm tra theo rủi ro</v>
      </c>
      <c r="Y25">
        <f>AVERAGE(
  INDEX(step2_raw_simulation!P:P, (ROW(H24)-1)*5 + 2)
  :
  INDEX(step2_raw_simulation!P:P, (ROW(H24)-1)*5 + 6)
)</f>
        <v>6.8</v>
      </c>
      <c r="Z25" t="str">
        <f t="shared" si="3"/>
        <v>Neutral</v>
      </c>
      <c r="AA25">
        <f>interview_responses[[#This Row],[Tôi tin rằng Nhà nước, cơ quan thuế có đủ khả năng và công nghệ để phát hiện, xử lý nghiêm các hành vi trốn thuế. - HUMAN-ENF2]]</f>
        <v>8</v>
      </c>
      <c r="AB25" t="str">
        <f t="shared" si="4"/>
        <v>Support</v>
      </c>
      <c r="AC25">
        <f t="shared" si="5"/>
        <v>1.2000000000000002</v>
      </c>
      <c r="AD25" t="str" cm="1">
        <f t="array" ref="AD25">INDEX(step2_raw_simulation[AI_ENF2_Reason], (ROW(AD24)-1)*5 + 1)</f>
        <v>Điều này phức tạp vì mặc dù công nghệ VNeID giúp phát hiện trốn thuế dễ hơn, nhưng đối với nguồn thu đa dạng như đầu tư tài sản, rủi ro gian lận vẫn còn tồn tại.</v>
      </c>
      <c r="AE25" t="str">
        <f>interview_responses[[#This Row],[Lý do - HUMAN-ENF2]]</f>
        <v>Với công nghệ hiện tại và việc kiểm soát dữ liệu các nhân khá chặt chẽ thông qua VNeID, nhà nước có thể phát hiện các hành vi trốn thuế và xử lý. Mức độ nghiêm khắc sẽ cần tùy thuộc vào tình huống để đánh giá.</v>
      </c>
      <c r="AF25">
        <f>AVERAGE(
  INDEX(step2_raw_simulation!U:U, (ROW(O24)-1)*5 + 2)
  :
  INDEX(step2_raw_simulation!U:U, (ROW(O24)-1)*5 + 6)
)</f>
        <v>7.2</v>
      </c>
      <c r="AG25" t="str">
        <f t="shared" si="6"/>
        <v>Neutral</v>
      </c>
      <c r="AH25">
        <f>interview_responses[[#This Row],[Các thủ tục khai báo thuế VÀ/HOẶC quy trình làm việc với cơ quan thuế đơn giản, tiện lợi, nhanh chóng hơn so với trước đây. - HUMAN-FAC1]]</f>
        <v>8</v>
      </c>
      <c r="AI25" t="str">
        <f t="shared" si="7"/>
        <v>Support</v>
      </c>
      <c r="AJ25">
        <f t="shared" si="8"/>
        <v>0.79999999999999982</v>
      </c>
      <c r="AK25" t="str" cm="1">
        <f t="array" ref="AK25">INDEX(step2_raw_simulation[AI_FAC1_Reason], (ROW(AK24)-1)*5 + 1)</f>
        <v>Đoạn này đơn giản vì quy trình khai báo thuế qua ứng dụng etax đã dễ dàng hơn và không cần tiếp xúc nhiều với cán bộ thuế, giảm thời gian làm thủ tục.</v>
      </c>
      <c r="AL25" t="str">
        <f>interview_responses[[#This Row],[Lý do - HUMAN-FAC1]]</f>
        <v>(Câu trả lời được dựa trên quá trình khai thuế trước 1/5/2025) Việc khai báo thuế hiện nay có thể thực hiện qua ứng dụng etax khá tiện lợi, cá nhân nộp thuế không cần mất thời gian đến cơ quan thuế để làm thủ tục, do đó, quy trình khai báo thuế, nộp thuế đã giảm được thời gian cũng như không cần phải tiếp xúc nhiều với cán bộ thuế, tránh những mâu thuẫn xảy ra trong quá trình làm thủ tục. Thủ tục khai thuế của năm 2024 cũng cải thiện hơn trước đó nhiều khi cá nhân nộp thuế không phải tự tìm các giấy tờ nộp thuế liên quan mà đã được tích hợp sẵn. Tuy nhiên, quá trình phản hồi trên hệ thống online chậm hơn kỳ vọng (mất hơn 7 ngày). Vấn đề nộp/nhận thuế qua ngân hàng cũng giới hạn ở các ngân hàng liên kết như BIDV mà không mở cho tất cả các ngân hàng khác,</v>
      </c>
      <c r="AM25">
        <f>AVERAGE(
  INDEX(step2_raw_simulation!Z:Z, (ROW(V24)-1)*5 + 2)
  :
  INDEX(step2_raw_simulation!Z:Z, (ROW(V24)-1)*5 + 6)
)</f>
        <v>8.1999999999999993</v>
      </c>
      <c r="AN25" t="str">
        <f t="shared" si="9"/>
        <v>Support</v>
      </c>
      <c r="AO25">
        <f>interview_responses[[#This Row],[So với trước đây, tôi thấy cách tính thuế và các bậc thuế trong phương án mới đơn giản, dễ hiểu và dễ thực hiện hơn. - HUMAN-FAC2]]</f>
        <v>8</v>
      </c>
      <c r="AP25" t="str">
        <f t="shared" si="10"/>
        <v>Support</v>
      </c>
      <c r="AQ25">
        <f t="shared" si="11"/>
        <v>0.19999999999999929</v>
      </c>
      <c r="AR25" t="str" cm="1">
        <f t="array" ref="AR25">INDEX(step2_raw_simulation[AI_FAC2_Reason], (ROW(AR24)-1)*5 + 1)</f>
        <v>Đoạn này tốt vì cách tính thuế và biểu thuế mới đơn giản hóa quy trình, phù hợp với thu nhập từ tiền lương của tôi. Thuế bậc thấp giúp giảm bớt nỗi lo về việc tăng thu nhập không đáng kể nhưng mức thuế tăng.</v>
      </c>
      <c r="AS25" t="str">
        <f>interview_responses[[#This Row],[Lý do - HUMAN-FAC2]]</f>
        <v>Nhìn chung, cách tính thuế và các bậc thuế trong phương án mới đơn giản và dễ hiểu hơn vì đã giảm từ 7 bậc thuế xuống còn 5 bậc. Đơn giản hơn vì mức thu nhập chịu thuế không bị xé nhỏ ra để tính mức thuê TNCN và khoảng thu nhập để nhảy bậc cũng rộng hơn, do đó, người nộp thuế ở bậc 2, bậc 3 có thể giảm bớt nỗi lo về việc thu nhập tăng thêm không đáng kể nhưng mức thu nhập chịu thuế thì tính ở 1 mức khác. 
- Về tính dễ thực hiện: Cách tính thuế và biểu thuế mới sẽ nhìn chung sẽ dễ thực hiện với người nộp thuế có 1 nguồn thu nhập và mức thu nhập hàng tháng từ dưới 40 triệu, nghĩa là bậc thuế sẽ nằm ở mức 1 và 2 do đây là 2 mức có khoản thuế phải đóng từ 5-10%. Đối với những cá nhân có khoản thu nhập chịu thuế ở bậc 3, 4 và 5, cách tính thuế này có thể sẽ gây khó thực hiện do mức thuế từ 20%-35% là rất cao. Điều này dễ dẫn đến việc các cá nhân nộp thuế sẽ chuyển thu thập ....</v>
      </c>
      <c r="AT25">
        <f>AVERAGE(
  INDEX(step2_raw_simulation!AE:AE, (ROW(AC24)-1)*5 + 2)
  :
  INDEX(step2_raw_simulation!AE:AE, (ROW(AC24)-1)*5 + 6)
)</f>
        <v>4.4000000000000004</v>
      </c>
      <c r="AU25" t="str">
        <f t="shared" si="12"/>
        <v>Oppose</v>
      </c>
      <c r="AV25">
        <f>interview_responses[[#This Row],[Tôi tin rằng Nhà nước, cơ quan thuế sẽ thực thi chính sách mới một cách khách quan, công tâm và đối xử bình đẳng với mọi người nộp thuế.  - HUMAN-TRU1]]</f>
        <v>5</v>
      </c>
      <c r="AW25" t="str">
        <f t="shared" si="13"/>
        <v>Neutral</v>
      </c>
      <c r="AX25">
        <f t="shared" si="14"/>
        <v>0.59999999999999964</v>
      </c>
      <c r="AY25" t="str" cm="1">
        <f t="array" ref="AY25">INDEX(step2_raw_simulation[AI_TRU1_Reason], (ROW(AY24)-1)*5 + 1)</f>
        <v>Đoạn này phức tạp vì mức thuế mới chưa công bằng với người có nhiều nguồn thu, đặc biệt là những người ở khu vực thành thị. Thuế giảm chủ yếu cho người có thu nhập thấp và trung bình.</v>
      </c>
      <c r="AZ25" t="str">
        <f>interview_responses[[#This Row],[Lý do - HUMAN-TRU1]]</f>
        <v>Bản thân quy định đã chưa thể hiện sự công tâm và bình đẳng với mọi người nộp thuế. Do đó, khi thực thi, cơ quan thuế sẽ dễ dàng thực thi chính sách với những người lao động có 1 nguồn thu nhập tại các doanh nghiệp. Đối với người có nhiều nguồn thu nhập ngoài tiền lương như thu nhập từ đầu tư vốn, chuyển nhượng bất động sản thì việc quản lý nguồn thu nhập sẽ khó hơn cũng như mức thuế đang thấp hơn nhiều so với khấu trừ thuế từ tiền lương. Điều này dẫn đến hành vi cơ quan thuế sẽ đẩy mạnh việc thu thuế đối với những cá nhân có mức thu nhập thấp và trung bình thấp do có nguồn thu cố định và dễ thu, dễ quản lý trong khi bỏ qua những cá nhân có mức thu nhập cao khác. Tóm lại, ai đi làm công ăn lương mà ký hợp đồng lao động là đối tượng phải chấp hành nhiều nhất</v>
      </c>
      <c r="BA25">
        <f>AVERAGE(
  INDEX(step2_raw_simulation!AJ:AJ, (ROW(AJ24)-1)*5 + 2)
  :
  INDEX(step2_raw_simulation!AJ:AJ, (ROW(AJ24)-1)*5 + 6)
)</f>
        <v>5</v>
      </c>
      <c r="BB25" t="str">
        <f t="shared" si="15"/>
        <v>Neutral</v>
      </c>
      <c r="BC25">
        <f>interview_responses[[#This Row],[Tôi thấy mức thuế tôi phải đóng theo phương án mới là công bằng (người thu nhập như tôi đóng mức này là hợp lý). - HUMAN-TRU2]]</f>
        <v>3</v>
      </c>
      <c r="BD25" t="str">
        <f t="shared" si="16"/>
        <v>Oppose</v>
      </c>
      <c r="BE25">
        <f t="shared" si="17"/>
        <v>2</v>
      </c>
      <c r="BF25" t="str" cm="1">
        <f t="array" ref="BF25">INDEX(step2_raw_simulation[AI_TRU2_Reason], (ROW(BF24)-1)*5 + 1)</f>
        <v>Đoạn này phức tạp vì mức thuế mới chưa công bằng với người có nhiều nguồn thu, đặc biệt là những người ở khu vực thành thị. Thuế giảm chủ yếu cho người có thu nhập thấp và trung bình.</v>
      </c>
      <c r="BG25" t="str">
        <f>interview_responses[[#This Row],[Lý do - HUMAN-TRU2]]</f>
        <v>Mức đóng thuế hiện này chưa cân nhắc đến 2 yếu tố: (1) lạm phát; (2) điều kiện kinh tế xã hội từng vùng. Mặc dù mức giảm trừ gia cảnh tăng, biểu thuế thay đổi theo hướng giảm gánh nặng, nhưng mức tăng này chưa tương xứng với mức lạm phát hiện nay. Thu nhập bình quân của VN ở mức 8,1 triệu/tháng và hàng năm đều lương cơ bản đều tăng nhưng tăng lương cơ bản để bù đắp với lạm phát. Hay nói cách khác là thu nhập thực, sức mua hàng hóa của người dân là không thay đổi trong khi thu nhập danh nghĩa - mức thu nhập được căn cứ để tính thuế lại tăng. Bên cạnh đó, người ở khu vực thành thị, đặc biệt các thành phố như HN-HCM sẽ phải chịu các chi phí về nhà ở/giá thuê, y tế, giáo dục cao hoen nhiều hơn nhiều so với khu vực nông thôn hoặc các tỉnh thành nhỏ khác. Giá nhà ở HN, HCM so với các tỉnh khác là một ví dụ</v>
      </c>
      <c r="BH25">
        <f>AVERAGE(
  INDEX(step2_raw_simulation!AO:AO, (ROW(AQ24)-1)*5 + 2)
  :
  INDEX(step2_raw_simulation!AO:AO, (ROW(AQ24)-1)*5 + 6)
)</f>
        <v>5</v>
      </c>
      <c r="BI25" t="str">
        <f t="shared" si="18"/>
        <v>Neutral</v>
      </c>
      <c r="BJ25">
        <f>interview_responses[[#This Row],[Tôi tin tưởng số tiền thuế tôi đóng sẽ được Nhà nước sử dụng hiệu quả để cải thiện dịch vụ công (y tế, đường xá...). - HUMAN-TRU3]]</f>
        <v>3</v>
      </c>
      <c r="BK25" t="str">
        <f t="shared" si="19"/>
        <v>Oppose</v>
      </c>
      <c r="BL25">
        <f t="shared" si="20"/>
        <v>2</v>
      </c>
      <c r="BM25" t="str" cm="1">
        <f t="array" ref="BM25">INDEX(step2_raw_simulation[AI_TRU3_Reason], (ROW(BM24)-1)*5 + 1)</f>
        <v>Đoạn này phức tạp vì mặc dù thuế giảm nhưng gánh nặng về chi phí sinh hoạt cao tại khu vực thành thị chưa được bù đắp. Thuê sẽ chỉ thực hiện công bằng khi cải thiện dịch vụ công cho người yếu thế.</v>
      </c>
      <c r="BN25" t="str">
        <f>interview_responses[[#This Row],[Lý do - HUMAN-TRU3]]</f>
        <v>Nhà nước chưa công bố phân bổ đầu tư công cho các lĩnh vực/dịch vụ công mà chủ yếu liệt kê các dự án trọng điểm mà vốn đầu tư công sẽ ưu tiên. Cách truyền thông và minh bạch dữ liệu này không chứng minh được việc nhà nước sẽ sử dụng tiền thuế cho việc cải thiện các dịch vụ công. Trên thực tế, chỉ các bệnh viện tuyến tỉnh hoặc bệnh viện đa khoa ở TP lớn được phân bổ ngân sách để sửa chữa, cải tạo, trong khi các bệnh viện tuyến huyện (trước sát nhập) - nơi gần người dân và người yếu thế hơn thì hầu như không được phân bổ ngân sách để xây mới trong khi nhiều cơ sở đã xuống cấp.</v>
      </c>
      <c r="BO25">
        <f>AVERAGE(
  INDEX(step2_raw_simulation!AT:AT, (ROW(AX24)-1)*5 + 2)
  :
  INDEX(step2_raw_simulation!AT:AT, (ROW(AX24)-1)*5 + 6)
)</f>
        <v>5.2</v>
      </c>
      <c r="BP25" t="str">
        <f t="shared" si="21"/>
        <v>Neutral</v>
      </c>
      <c r="BQ25">
        <f>interview_responses[[#This Row],[Tôi thấy Nhà nước đã giải thích rõ ràng, minh bạch về lý do và mục tiêu của việc sửa đổi thuế lần này. - HUMAN-TRU4]]</f>
        <v>7</v>
      </c>
      <c r="BR25" t="str">
        <f t="shared" si="22"/>
        <v>Neutral</v>
      </c>
      <c r="BS25">
        <f t="shared" si="23"/>
        <v>1.7999999999999998</v>
      </c>
      <c r="BT25" t="str" cm="1">
        <f t="array" ref="BT25">INDEX(step2_raw_simulation[AI_TRU4_Reason], (ROW(BT24)-1)*5 + 1)</f>
        <v>Đoạn này phức tạp vì mặc dù thuế giảm nhưng gánh nặng về chi phí sinh hoạt cao tại khu vực thành thị chưa được bù đắp. Thuê sẽ chỉ thực hiện công bằng khi cải thiện dịch vụ công cho người yếu thế.</v>
      </c>
      <c r="BU25" t="str">
        <f>interview_responses[[#This Row],[Lý do - HUMAN-TRU4]]</f>
        <v>Nhà nước đã nêu khá rõ mục tiêu của sửa đổi thuế là để giảm gánh nặng thuế, tuy nhiên, việc triển khai sao cho minh bạch thì chưa được đề cập rõ ràng. Hầu hết các bài viết, bài báo  liên quan đền chỉ nhấn mạnh việc tăng mức GTGC, hạ biểu thuế mà chưa giải thích rõ ràng cách áp dụng như thế nào. Đơn cử các khoản chi cho y tế, giáo dục - đào tạo của người nộp thuế và người phụ thuộc là một trong các khoản được miễn giảm thuế nhưng chưa được hướng dẫn cụ thể.</v>
      </c>
      <c r="BV25">
        <f>AVERAGE(
  INDEX(step2_raw_simulation!AY:AY, (ROW(BE24)-1)*5 + 2)
  :
  INDEX(step2_raw_simulation!AY:AY, (ROW(BE24)-1)*5 + 6)
)</f>
        <v>6.4</v>
      </c>
      <c r="BW25" t="str">
        <f t="shared" si="24"/>
        <v>Neutral</v>
      </c>
      <c r="BX25">
        <f>interview_responses[[#This Row],[Sau khi xem xét các quyền lợi và nghĩa vụ, bạn có ủng hộ và tuân thủ chính sách mới hiện nay? - HUMAN-OUT1]]</f>
        <v>7</v>
      </c>
      <c r="BY25" t="str">
        <f t="shared" si="25"/>
        <v>Neutral</v>
      </c>
      <c r="BZ25">
        <f t="shared" si="26"/>
        <v>0.59999999999999964</v>
      </c>
      <c r="CA25" t="str" cm="1">
        <f t="array" ref="CA25">INDEX(step2_raw_simulation[AI_OUT1_Reason], (ROW(CA24)-1)*5 + 1)</f>
        <v>Mặc dù thuế giảm, nhưng mức lạm phát và chi phí sinh hoạt cao không tương ứng với sự giảm gánh nặng. Tuy nhiên, tôi sẽ tuân thủ vì tôn trọng pháp luật.</v>
      </c>
      <c r="CB25" t="str">
        <f>interview_responses[[#This Row],[Lý do - HUMAN-OUT1]]</f>
        <v>Ủng hộ 1 phần vì định hướng của Nhà nước cho thấy có mục tiêu giảm gánh nặng cho người nộp thuế nhưng thực tế, chính sách này chưa thể hiện sự công tâm, bình đẳng như truyền thông nêu ra. Về việc tuân thủ: mặc dù không ủng hộ hoàn toàn nhưng sẽ tuân thủ do tôn trọng pháp luật và cũng không có cách nào khác ngoài việc tuân thủ ^_^</v>
      </c>
    </row>
    <row r="26" spans="1:80" x14ac:dyDescent="0.45">
      <c r="A26" cm="1">
        <f t="array" ref="A26">INDEX(step2_raw_simulation[Persona_ID], (ROW(A25)-1)*5 + 1)</f>
        <v>25</v>
      </c>
      <c r="B26" cm="1">
        <f t="array" ref="B26">INDEX(step2_raw_simulation[Run_ID], (ROW(B25)-1)*5 + 1)</f>
        <v>1</v>
      </c>
      <c r="C26" cm="1">
        <f t="array" ref="C26">INDEX(step2_raw_simulation[Used_Seed], (ROW(C25)-1)*5 + 1)</f>
        <v>2443</v>
      </c>
      <c r="D26" t="str" cm="1">
        <f t="array" ref="D26">INDEX(step2_raw_simulation[Gender], (ROW(D25)-1)*5 + 1)</f>
        <v>Nữ</v>
      </c>
      <c r="E26" t="str">
        <f>interview_responses[[#This Row],[Giới tính của bạn:]]</f>
        <v>Nữ</v>
      </c>
      <c r="F26" t="str" cm="1">
        <f t="array" ref="F26">INDEX(step2_raw_simulation[Age], (ROW(F25)-1)*5 + 1)</f>
        <v>40 - 49</v>
      </c>
      <c r="G26" t="str">
        <f>interview_responses[[#This Row],[Độ tuổi của bạn:]]</f>
        <v>40 - 49</v>
      </c>
      <c r="H26" t="str" cm="1">
        <f t="array" ref="H26">INDEX(step2_raw_simulation[Region], (ROW(H25)-1)*5 + 1)</f>
        <v>Thành thị</v>
      </c>
      <c r="I26" t="str">
        <f>interview_responses[[#This Row],[Khu vực bạn đang sinh sống:]]</f>
        <v>Thành thị</v>
      </c>
      <c r="J26" t="str" cm="1">
        <f t="array" ref="J26">INDEX(step2_raw_simulation[Education], (ROW(J25)-1)*5 + 1)</f>
        <v>Đại học</v>
      </c>
      <c r="K26" t="str">
        <f>interview_responses[[#This Row],[Trình độ học vấn cao nhất:]]</f>
        <v>Đại học</v>
      </c>
      <c r="L26" t="str" cm="1">
        <f t="array" ref="L26">INDEX(step2_raw_simulation[Employment], (ROW(L25)-1)*5 + 1)</f>
        <v>Chính thức</v>
      </c>
      <c r="M26" t="str">
        <f>interview_responses[[#This Row],[Tình trạng việc làm chính:]]</f>
        <v>Khu vực chính thức (Có Hợp đồng lao động, đóng BHXH)</v>
      </c>
      <c r="N26" cm="1">
        <f t="array" ref="N26">INDEX(step2_raw_simulation[Income_Mil], (ROW(N25)-1)*5 + 1)</f>
        <v>15</v>
      </c>
      <c r="O26" t="str">
        <f>interview_responses[[#This Row],[Thu nhập bình quân tháng theo Hợp đồng lao động của bạn là bao nhiêu? (Vui lòng điền tổng thu nhập trước khi khấu trừ các loại Bảo hiểm (BHXH, BHYT, BHTN) và Thuế TNCN)]]</f>
        <v>Từ 12 - 18 triệu VNĐ</v>
      </c>
      <c r="P26" cm="1">
        <f t="array" ref="P26">INDEX(step2_raw_simulation[Dependents], (ROW(P25)-1)*5 + 1)</f>
        <v>2</v>
      </c>
      <c r="Q26" t="str">
        <f>interview_responses[[#This Row],[Số người phụ thuộc (con nhỏ, cha mẹ già...) đủ điều kiện giảm trừ gia cảnh:]]</f>
        <v>2 người</v>
      </c>
      <c r="R26">
        <f>AVERAGE(
  INDEX(step2_raw_simulation!K:K, (ROW(A25)-1)*5 + 2)
  :
  INDEX(step2_raw_simulation!K:K, (ROW(A25)-1)*5 + 6)
)</f>
        <v>8.8000000000000007</v>
      </c>
      <c r="S26" t="str">
        <f t="shared" si="0"/>
        <v>Support</v>
      </c>
      <c r="T26">
        <f>interview_responses[[#This Row],[Tôi tin rằng với các quy định quản lý thuế hiện nay, hành vi gian lận hoặc trốn thuế sẽ dễ dàng bị phát hiện và xử lý nghiêm. - HUMAN-ENF1]]</f>
        <v>8</v>
      </c>
      <c r="U26" t="str">
        <f t="shared" si="1"/>
        <v>Support</v>
      </c>
      <c r="V26">
        <f t="shared" si="2"/>
        <v>0.80000000000000071</v>
      </c>
      <c r="W26" t="str" cm="1">
        <f t="array" ref="W26">INDEX(step2_raw_simulation[AI_ENF1_Reason], (ROW(W25)-1)*5 + 1)</f>
        <v>Nhà nước đã đơn giản hóa quy trình quản lý thuế, tăng cường công nghệ để phát hiện gian lận. Thuật toán phân tích dữ liệu sẽ giúp nhanh chóng xác định các hành vi trốn thuế.</v>
      </c>
      <c r="X26" t="str">
        <f>interview_responses[[#This Row],[Lý do - HUMAN-ENF1]]</f>
        <v>rõ ràng, minh bạch hơn</v>
      </c>
      <c r="Y26">
        <f>AVERAGE(
  INDEX(step2_raw_simulation!P:P, (ROW(H25)-1)*5 + 2)
  :
  INDEX(step2_raw_simulation!P:P, (ROW(H25)-1)*5 + 6)
)</f>
        <v>8.1999999999999993</v>
      </c>
      <c r="Z26" t="str">
        <f t="shared" si="3"/>
        <v>Support</v>
      </c>
      <c r="AA26">
        <f>interview_responses[[#This Row],[Tôi tin rằng Nhà nước, cơ quan thuế có đủ khả năng và công nghệ để phát hiện, xử lý nghiêm các hành vi trốn thuế. - HUMAN-ENF2]]</f>
        <v>8</v>
      </c>
      <c r="AB26" t="str">
        <f t="shared" si="4"/>
        <v>Support</v>
      </c>
      <c r="AC26">
        <f t="shared" si="5"/>
        <v>0.19999999999999929</v>
      </c>
      <c r="AD26" t="str" cm="1">
        <f t="array" ref="AD26">INDEX(step2_raw_simulation[AI_ENF2_Reason], (ROW(AD25)-1)*5 + 1)</f>
        <v>Cơ quan thuế có nhiều nguồn lực và công nghệ hiện đại hơn, đảm bảo xử lý nghiêm minh đối với những người không tuân thủ.</v>
      </c>
      <c r="AE26" t="str">
        <f>interview_responses[[#This Row],[Lý do - HUMAN-ENF2]]</f>
        <v>quản lý cơ sở dữ liệu khoa học, hiện đại hơn</v>
      </c>
      <c r="AF26">
        <f>AVERAGE(
  INDEX(step2_raw_simulation!U:U, (ROW(O25)-1)*5 + 2)
  :
  INDEX(step2_raw_simulation!U:U, (ROW(O25)-1)*5 + 6)
)</f>
        <v>8.6</v>
      </c>
      <c r="AG26" t="str">
        <f t="shared" si="6"/>
        <v>Support</v>
      </c>
      <c r="AH26">
        <f>interview_responses[[#This Row],[Các thủ tục khai báo thuế VÀ/HOẶC quy trình làm việc với cơ quan thuế đơn giản, tiện lợi, nhanh chóng hơn so với trước đây. - HUMAN-FAC1]]</f>
        <v>8</v>
      </c>
      <c r="AI26" t="str">
        <f t="shared" si="7"/>
        <v>Support</v>
      </c>
      <c r="AJ26">
        <f t="shared" si="8"/>
        <v>0.59999999999999964</v>
      </c>
      <c r="AK26" t="str" cm="1">
        <f t="array" ref="AK26">INDEX(step2_raw_simulation[AI_FAC1_Reason], (ROW(AK25)-1)*5 + 1)</f>
        <v>Quy trình khai báo thuế trở nên đơn giản, dễ hiểu, giảm bớt các rào cản về thời gian và công sức cho người nộp thuế.</v>
      </c>
      <c r="AL26" t="str">
        <f>interview_responses[[#This Row],[Lý do - HUMAN-FAC1]]</f>
        <v>đã có thủ tục hành chính rõ ràng cụ thể, dịch vụ hành chính công</v>
      </c>
      <c r="AM26">
        <f>AVERAGE(
  INDEX(step2_raw_simulation!Z:Z, (ROW(V25)-1)*5 + 2)
  :
  INDEX(step2_raw_simulation!Z:Z, (ROW(V25)-1)*5 + 6)
)</f>
        <v>8</v>
      </c>
      <c r="AN26" t="str">
        <f t="shared" si="9"/>
        <v>Support</v>
      </c>
      <c r="AO26">
        <f>interview_responses[[#This Row],[So với trước đây, tôi thấy cách tính thuế và các bậc thuế trong phương án mới đơn giản, dễ hiểu và dễ thực hiện hơn. - HUMAN-FAC2]]</f>
        <v>8</v>
      </c>
      <c r="AP26" t="str">
        <f t="shared" si="10"/>
        <v>Support</v>
      </c>
      <c r="AQ26">
        <f t="shared" si="11"/>
        <v>0</v>
      </c>
      <c r="AR26" t="str" cm="1">
        <f t="array" ref="AR26">INDEX(step2_raw_simulation[AI_FAC2_Reason], (ROW(AR25)-1)*5 + 1)</f>
        <v>Biểu thuế mới với số bậc giảm từ 7 xuống còn 5 đã làm việc tính toán trở nên dễ dàng, phù hợp hơn đối với người dân thường.</v>
      </c>
      <c r="AS26" t="str">
        <f>interview_responses[[#This Row],[Lý do - HUMAN-FAC2]]</f>
        <v>có phương án tính rõ ràng</v>
      </c>
      <c r="AT26">
        <f>AVERAGE(
  INDEX(step2_raw_simulation!AE:AE, (ROW(AC25)-1)*5 + 2)
  :
  INDEX(step2_raw_simulation!AE:AE, (ROW(AC25)-1)*5 + 6)
)</f>
        <v>9</v>
      </c>
      <c r="AU26" t="str">
        <f t="shared" si="12"/>
        <v>Support</v>
      </c>
      <c r="AV26">
        <f>interview_responses[[#This Row],[Tôi tin rằng Nhà nước, cơ quan thuế sẽ thực thi chính sách mới một cách khách quan, công tâm và đối xử bình đẳng với mọi người nộp thuế.  - HUMAN-TRU1]]</f>
        <v>8</v>
      </c>
      <c r="AW26" t="str">
        <f t="shared" si="13"/>
        <v>Support</v>
      </c>
      <c r="AX26">
        <f t="shared" si="14"/>
        <v>1</v>
      </c>
      <c r="AY26" t="str" cm="1">
        <f t="array" ref="AY26">INDEX(step2_raw_simulation[AI_TRU1_Reason], (ROW(AY25)-1)*5 + 1)</f>
        <v>Nhà nước công khai quy định về quản lý thuế và xử phạt gian lận, tạo niềm tin cho người nộp thuế.</v>
      </c>
      <c r="AZ26" t="str">
        <f>interview_responses[[#This Row],[Lý do - HUMAN-TRU1]]</f>
        <v>vì chính sách, quy định, thủ tục minh bạch, rõ ràng, công khai</v>
      </c>
      <c r="BA26">
        <f>AVERAGE(
  INDEX(step2_raw_simulation!AJ:AJ, (ROW(AJ25)-1)*5 + 2)
  :
  INDEX(step2_raw_simulation!AJ:AJ, (ROW(AJ25)-1)*5 + 6)
)</f>
        <v>8</v>
      </c>
      <c r="BB26" t="str">
        <f t="shared" si="15"/>
        <v>Support</v>
      </c>
      <c r="BC26">
        <f>interview_responses[[#This Row],[Tôi thấy mức thuế tôi phải đóng theo phương án mới là công bằng (người thu nhập như tôi đóng mức này là hợp lý). - HUMAN-TRU2]]</f>
        <v>8</v>
      </c>
      <c r="BD26" t="str">
        <f t="shared" si="16"/>
        <v>Support</v>
      </c>
      <c r="BE26">
        <f t="shared" si="17"/>
        <v>0</v>
      </c>
      <c r="BF26" t="str" cm="1">
        <f t="array" ref="BF26">INDEX(step2_raw_simulation[AI_TRU2_Reason], (ROW(BF25)-1)*5 + 1)</f>
        <v>Mức giảm trừ gia cảnh cao hơn trong biểu thuế mới làm tôi thấy hợp lý khi chỉ phải đóng thuế từ thu nhập vượt quá mức này.</v>
      </c>
      <c r="BG26" t="str">
        <f>interview_responses[[#This Row],[Lý do - HUMAN-TRU2]]</f>
        <v>người thu nhập như tôi đóng mức này là hợp lý</v>
      </c>
      <c r="BH26">
        <f>AVERAGE(
  INDEX(step2_raw_simulation!AO:AO, (ROW(AQ25)-1)*5 + 2)
  :
  INDEX(step2_raw_simulation!AO:AO, (ROW(AQ25)-1)*5 + 6)
)</f>
        <v>9</v>
      </c>
      <c r="BI26" t="str">
        <f t="shared" si="18"/>
        <v>Support</v>
      </c>
      <c r="BJ26">
        <f>interview_responses[[#This Row],[Tôi tin tưởng số tiền thuế tôi đóng sẽ được Nhà nước sử dụng hiệu quả để cải thiện dịch vụ công (y tế, đường xá...). - HUMAN-TRU3]]</f>
        <v>9</v>
      </c>
      <c r="BK26" t="str">
        <f t="shared" si="19"/>
        <v>Support</v>
      </c>
      <c r="BL26">
        <f t="shared" si="20"/>
        <v>0</v>
      </c>
      <c r="BM26" t="str" cm="1">
        <f t="array" ref="BM26">INDEX(step2_raw_simulation[AI_TRU3_Reason], (ROW(BM25)-1)*5 + 1)</f>
        <v>Thuế được sử dụng hiệu quả để cải thiện dịch vụ công, như y tế và giao thông, giúp nâng cao chất lượng cuộc sống.</v>
      </c>
      <c r="BN26" t="str">
        <f>interview_responses[[#This Row],[Lý do - HUMAN-TRU3]]</f>
        <v>Nhà nước đang sử dụng rất hiệu quả để cải thiện hàng hoá công và dịch vụ công</v>
      </c>
      <c r="BO26">
        <f>AVERAGE(
  INDEX(step2_raw_simulation!AT:AT, (ROW(AX25)-1)*5 + 2)
  :
  INDEX(step2_raw_simulation!AT:AT, (ROW(AX25)-1)*5 + 6)
)</f>
        <v>8</v>
      </c>
      <c r="BP26" t="str">
        <f t="shared" si="21"/>
        <v>Support</v>
      </c>
      <c r="BQ26">
        <f>interview_responses[[#This Row],[Tôi thấy Nhà nước đã giải thích rõ ràng, minh bạch về lý do và mục tiêu của việc sửa đổi thuế lần này. - HUMAN-TRU4]]</f>
        <v>8</v>
      </c>
      <c r="BR26" t="str">
        <f t="shared" si="22"/>
        <v>Support</v>
      </c>
      <c r="BS26">
        <f t="shared" si="23"/>
        <v>0</v>
      </c>
      <c r="BT26" t="str" cm="1">
        <f t="array" ref="BT26">INDEX(step2_raw_simulation[AI_TRU4_Reason], (ROW(BT25)-1)*5 + 1)</f>
        <v>Nhà nước đã giải thích rõ mục đích của việc sửa đổi thuế qua các phương tiện truyền thông, tạo sự minh bạch trong quản lý tài chính.</v>
      </c>
      <c r="BU26" t="str">
        <f>interview_responses[[#This Row],[Lý do - HUMAN-TRU4]]</f>
        <v>giải thích rõ ràng, công khai trên các phương tiện truyền thông</v>
      </c>
      <c r="BV26">
        <f>AVERAGE(
  INDEX(step2_raw_simulation!AY:AY, (ROW(BE25)-1)*5 + 2)
  :
  INDEX(step2_raw_simulation!AY:AY, (ROW(BE25)-1)*5 + 6)
)</f>
        <v>9</v>
      </c>
      <c r="BW26" t="str">
        <f t="shared" si="24"/>
        <v>Support</v>
      </c>
      <c r="BX26">
        <f>interview_responses[[#This Row],[Sau khi xem xét các quyền lợi và nghĩa vụ, bạn có ủng hộ và tuân thủ chính sách mới hiện nay? - HUMAN-OUT1]]</f>
        <v>10</v>
      </c>
      <c r="BY26" t="str">
        <f t="shared" si="25"/>
        <v>Support</v>
      </c>
      <c r="BZ26">
        <f t="shared" si="26"/>
        <v>1</v>
      </c>
      <c r="CA26" t="str" cm="1">
        <f t="array" ref="CA26">INDEX(step2_raw_simulation[AI_OUT1_Reason], (ROW(CA25)-1)*5 + 1)</f>
        <v>Tôi ủng hộ và tuân thủ chính sách mới này vì nó công bằng đối với thu nhập như tôi và có lợi cho cộng đồng.</v>
      </c>
      <c r="CB26" t="str">
        <f>interview_responses[[#This Row],[Lý do - HUMAN-OUT1]]</f>
        <v>tôi ủng hộ và tuân thủ chính sách thuế của Nhà nước</v>
      </c>
    </row>
    <row r="27" spans="1:80" x14ac:dyDescent="0.45">
      <c r="V27" s="25">
        <f>AVERAGE(V2:V26)</f>
        <v>1.304</v>
      </c>
      <c r="W27" s="25"/>
      <c r="X27" s="25"/>
      <c r="Y27" s="25"/>
      <c r="Z27" s="25"/>
      <c r="AA27" s="25"/>
      <c r="AB27" s="25"/>
      <c r="AC27" s="25">
        <f>AVERAGE(AC2:AC26)</f>
        <v>1.3280000000000001</v>
      </c>
      <c r="AD27" s="25"/>
      <c r="AE27" s="25"/>
      <c r="AF27" s="25"/>
      <c r="AG27" s="25"/>
      <c r="AH27" s="25"/>
      <c r="AI27" s="25"/>
      <c r="AJ27" s="25">
        <f>AVERAGE(AJ2:AJ26)</f>
        <v>1.7999999999999998</v>
      </c>
      <c r="AK27" s="25"/>
      <c r="AL27" s="25"/>
      <c r="AM27" s="25"/>
      <c r="AN27" s="25"/>
      <c r="AO27" s="25"/>
      <c r="AP27" s="25"/>
      <c r="AQ27" s="25">
        <f>AVERAGE(AQ2:AQ26)</f>
        <v>1.5440000000000003</v>
      </c>
      <c r="AR27" s="25"/>
      <c r="AS27" s="25"/>
      <c r="AT27" s="25"/>
      <c r="AU27" s="25"/>
      <c r="AV27" s="25"/>
      <c r="AW27" s="25"/>
      <c r="AX27" s="25">
        <f>AVERAGE(AX2:AX26)</f>
        <v>1.1840000000000002</v>
      </c>
      <c r="AY27" s="25"/>
      <c r="AZ27" s="25"/>
      <c r="BA27" s="25"/>
      <c r="BB27" s="25"/>
      <c r="BC27" s="25"/>
      <c r="BD27" s="25"/>
      <c r="BE27" s="25">
        <f>AVERAGE(BE2:BE26)</f>
        <v>1.4880000000000004</v>
      </c>
      <c r="BF27" s="25"/>
      <c r="BG27" s="25"/>
      <c r="BH27" s="25"/>
      <c r="BI27" s="25"/>
      <c r="BJ27" s="25"/>
      <c r="BK27" s="25"/>
      <c r="BL27" s="25">
        <f>AVERAGE(BL2:BL26)</f>
        <v>1.4560000000000002</v>
      </c>
      <c r="BM27" s="25"/>
      <c r="BN27" s="25"/>
      <c r="BO27" s="25"/>
      <c r="BP27" s="25"/>
      <c r="BQ27" s="25"/>
      <c r="BR27" s="25"/>
      <c r="BS27" s="25">
        <f>AVERAGE(BS2:BS26)</f>
        <v>0.86399999999999988</v>
      </c>
      <c r="BT27" s="25"/>
      <c r="BU27" s="25"/>
      <c r="BV27" s="25"/>
      <c r="BW27" s="25"/>
      <c r="BX27" s="25"/>
      <c r="BY27" s="25"/>
      <c r="BZ27" s="25">
        <f>AVERAGE(BZ2:BZ26)</f>
        <v>1.04</v>
      </c>
    </row>
  </sheetData>
  <pageMargins left="0.7" right="0.7" top="0.75" bottom="0.75" header="0.3" footer="0.3"/>
  <ignoredErrors>
    <ignoredError sqref="T2"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CBFE-1EC0-456F-89EE-38BD861AE8F8}">
  <dimension ref="A1:AA27"/>
  <sheetViews>
    <sheetView topLeftCell="D1" workbookViewId="0">
      <selection activeCell="G30" sqref="G30"/>
    </sheetView>
  </sheetViews>
  <sheetFormatPr defaultRowHeight="14.25" x14ac:dyDescent="0.45"/>
  <sheetData>
    <row r="1" spans="1:27" x14ac:dyDescent="0.45">
      <c r="A1" s="22" t="s">
        <v>47</v>
      </c>
      <c r="B1" s="22" t="s">
        <v>1318</v>
      </c>
      <c r="C1" s="18" t="s">
        <v>1518</v>
      </c>
      <c r="D1" s="23" t="s">
        <v>52</v>
      </c>
      <c r="E1" s="23" t="s">
        <v>1323</v>
      </c>
      <c r="F1" s="21" t="s">
        <v>1519</v>
      </c>
      <c r="G1" s="22" t="s">
        <v>57</v>
      </c>
      <c r="H1" s="22" t="s">
        <v>1327</v>
      </c>
      <c r="I1" s="18" t="s">
        <v>1520</v>
      </c>
      <c r="J1" s="23" t="s">
        <v>62</v>
      </c>
      <c r="K1" s="23" t="s">
        <v>1331</v>
      </c>
      <c r="L1" s="23" t="s">
        <v>1521</v>
      </c>
      <c r="M1" s="22" t="s">
        <v>67</v>
      </c>
      <c r="N1" s="22" t="s">
        <v>1335</v>
      </c>
      <c r="O1" s="22" t="s">
        <v>1522</v>
      </c>
      <c r="P1" s="23" t="s">
        <v>72</v>
      </c>
      <c r="Q1" s="23" t="s">
        <v>1339</v>
      </c>
      <c r="R1" s="23" t="s">
        <v>1523</v>
      </c>
      <c r="S1" s="22" t="s">
        <v>77</v>
      </c>
      <c r="T1" s="22" t="s">
        <v>1343</v>
      </c>
      <c r="U1" s="22" t="s">
        <v>1524</v>
      </c>
      <c r="V1" s="23" t="s">
        <v>82</v>
      </c>
      <c r="W1" s="23" t="s">
        <v>1347</v>
      </c>
      <c r="X1" s="23" t="s">
        <v>1525</v>
      </c>
      <c r="Y1" s="22" t="s">
        <v>87</v>
      </c>
      <c r="Z1" s="22" t="s">
        <v>1351</v>
      </c>
      <c r="AA1" s="22" t="s">
        <v>1526</v>
      </c>
    </row>
    <row r="2" spans="1:27" x14ac:dyDescent="0.45">
      <c r="A2">
        <v>3.4</v>
      </c>
      <c r="B2">
        <v>3</v>
      </c>
      <c r="C2">
        <f>ABS(B2-A2)</f>
        <v>0.39999999999999991</v>
      </c>
      <c r="D2">
        <v>3.4</v>
      </c>
      <c r="E2">
        <v>5</v>
      </c>
      <c r="F2">
        <f>ABS(E2-D2)</f>
        <v>1.6</v>
      </c>
      <c r="G2">
        <v>4</v>
      </c>
      <c r="H2">
        <v>1</v>
      </c>
      <c r="I2">
        <f t="shared" ref="I2:I26" si="0">ABS(H2-G2)</f>
        <v>3</v>
      </c>
      <c r="J2">
        <v>6.6</v>
      </c>
      <c r="K2">
        <v>1</v>
      </c>
      <c r="L2">
        <f>ABS(K2-J2)</f>
        <v>5.6</v>
      </c>
      <c r="M2">
        <v>4.4000000000000004</v>
      </c>
      <c r="N2">
        <v>3</v>
      </c>
      <c r="O2">
        <f>ABS(N2-M2)</f>
        <v>1.4000000000000004</v>
      </c>
      <c r="P2">
        <v>4.8</v>
      </c>
      <c r="Q2">
        <v>2</v>
      </c>
      <c r="R2">
        <f>ABS(Q2-P2)</f>
        <v>2.8</v>
      </c>
      <c r="S2">
        <v>5</v>
      </c>
      <c r="T2">
        <v>2</v>
      </c>
      <c r="U2">
        <f>ABS(T2-S2)</f>
        <v>3</v>
      </c>
      <c r="V2">
        <v>4.8</v>
      </c>
      <c r="W2">
        <v>5</v>
      </c>
      <c r="X2">
        <f>ABS(W2-V2)</f>
        <v>0.20000000000000018</v>
      </c>
      <c r="Y2">
        <v>6.4</v>
      </c>
      <c r="Z2">
        <v>5</v>
      </c>
      <c r="AA2">
        <f>ABS(Z2-Y2)</f>
        <v>1.4000000000000004</v>
      </c>
    </row>
    <row r="3" spans="1:27" x14ac:dyDescent="0.45">
      <c r="A3">
        <v>3.6</v>
      </c>
      <c r="B3">
        <v>4</v>
      </c>
      <c r="C3">
        <f t="shared" ref="C3:C26" si="1">ABS(B3-A3)</f>
        <v>0.39999999999999991</v>
      </c>
      <c r="D3">
        <v>3.8</v>
      </c>
      <c r="E3">
        <v>5</v>
      </c>
      <c r="F3">
        <f t="shared" ref="F3:F26" si="2">ABS(E3-D3)</f>
        <v>1.2000000000000002</v>
      </c>
      <c r="G3">
        <v>5.4</v>
      </c>
      <c r="H3">
        <v>2</v>
      </c>
      <c r="I3">
        <f t="shared" si="0"/>
        <v>3.4000000000000004</v>
      </c>
      <c r="J3">
        <v>6.8</v>
      </c>
      <c r="K3">
        <v>5</v>
      </c>
      <c r="L3">
        <f t="shared" ref="L3:L26" si="3">ABS(K3-J3)</f>
        <v>1.7999999999999998</v>
      </c>
      <c r="M3">
        <v>4.5999999999999996</v>
      </c>
      <c r="N3">
        <v>4</v>
      </c>
      <c r="O3">
        <f t="shared" ref="O3:O26" si="4">ABS(N3-M3)</f>
        <v>0.59999999999999964</v>
      </c>
      <c r="P3">
        <v>5</v>
      </c>
      <c r="Q3">
        <v>2</v>
      </c>
      <c r="R3">
        <f t="shared" ref="R3:R26" si="5">ABS(Q3-P3)</f>
        <v>3</v>
      </c>
      <c r="S3">
        <v>5.2</v>
      </c>
      <c r="T3">
        <v>2</v>
      </c>
      <c r="U3">
        <f t="shared" ref="U3:U26" si="6">ABS(T3-S3)</f>
        <v>3.2</v>
      </c>
      <c r="V3">
        <v>4.8</v>
      </c>
      <c r="W3">
        <v>5</v>
      </c>
      <c r="X3">
        <f t="shared" ref="X3:X26" si="7">ABS(W3-V3)</f>
        <v>0.20000000000000018</v>
      </c>
      <c r="Y3">
        <v>6.4</v>
      </c>
      <c r="Z3">
        <v>5</v>
      </c>
      <c r="AA3">
        <f t="shared" ref="AA3:AA26" si="8">ABS(Z3-Y3)</f>
        <v>1.4000000000000004</v>
      </c>
    </row>
    <row r="4" spans="1:27" x14ac:dyDescent="0.45">
      <c r="A4">
        <v>3.8</v>
      </c>
      <c r="B4">
        <v>4</v>
      </c>
      <c r="C4">
        <f t="shared" si="1"/>
        <v>0.20000000000000018</v>
      </c>
      <c r="D4">
        <v>4</v>
      </c>
      <c r="E4">
        <v>5</v>
      </c>
      <c r="F4">
        <f t="shared" si="2"/>
        <v>1</v>
      </c>
      <c r="G4">
        <v>5.6</v>
      </c>
      <c r="H4">
        <v>4</v>
      </c>
      <c r="I4">
        <f t="shared" si="0"/>
        <v>1.5999999999999996</v>
      </c>
      <c r="J4">
        <v>6.8</v>
      </c>
      <c r="K4">
        <v>5</v>
      </c>
      <c r="L4">
        <f t="shared" si="3"/>
        <v>1.7999999999999998</v>
      </c>
      <c r="M4">
        <v>4.8</v>
      </c>
      <c r="N4">
        <v>4</v>
      </c>
      <c r="O4">
        <f t="shared" si="4"/>
        <v>0.79999999999999982</v>
      </c>
      <c r="P4">
        <v>5.6</v>
      </c>
      <c r="Q4">
        <v>3</v>
      </c>
      <c r="R4">
        <f t="shared" si="5"/>
        <v>2.5999999999999996</v>
      </c>
      <c r="S4">
        <v>5.2</v>
      </c>
      <c r="T4">
        <v>3</v>
      </c>
      <c r="U4">
        <f t="shared" si="6"/>
        <v>2.2000000000000002</v>
      </c>
      <c r="V4">
        <v>5</v>
      </c>
      <c r="W4">
        <v>5</v>
      </c>
      <c r="X4">
        <f t="shared" si="7"/>
        <v>0</v>
      </c>
      <c r="Y4">
        <v>6.6</v>
      </c>
      <c r="Z4">
        <v>5</v>
      </c>
      <c r="AA4">
        <f t="shared" si="8"/>
        <v>1.5999999999999996</v>
      </c>
    </row>
    <row r="5" spans="1:27" x14ac:dyDescent="0.45">
      <c r="A5">
        <v>4</v>
      </c>
      <c r="B5">
        <v>5</v>
      </c>
      <c r="C5">
        <f t="shared" si="1"/>
        <v>1</v>
      </c>
      <c r="D5">
        <v>4.8</v>
      </c>
      <c r="E5">
        <v>5</v>
      </c>
      <c r="F5">
        <f t="shared" si="2"/>
        <v>0.20000000000000018</v>
      </c>
      <c r="G5">
        <v>5.8</v>
      </c>
      <c r="H5">
        <v>4</v>
      </c>
      <c r="I5">
        <f t="shared" si="0"/>
        <v>1.7999999999999998</v>
      </c>
      <c r="J5">
        <v>7.2</v>
      </c>
      <c r="K5">
        <v>5</v>
      </c>
      <c r="L5">
        <f t="shared" si="3"/>
        <v>2.2000000000000002</v>
      </c>
      <c r="M5">
        <v>5</v>
      </c>
      <c r="N5">
        <v>5</v>
      </c>
      <c r="O5">
        <f t="shared" si="4"/>
        <v>0</v>
      </c>
      <c r="P5">
        <v>5.6</v>
      </c>
      <c r="Q5">
        <v>3</v>
      </c>
      <c r="R5">
        <f t="shared" si="5"/>
        <v>2.5999999999999996</v>
      </c>
      <c r="S5">
        <v>5.2</v>
      </c>
      <c r="T5">
        <v>3</v>
      </c>
      <c r="U5">
        <f t="shared" si="6"/>
        <v>2.2000000000000002</v>
      </c>
      <c r="V5">
        <v>5.2</v>
      </c>
      <c r="W5">
        <v>5</v>
      </c>
      <c r="X5">
        <f t="shared" si="7"/>
        <v>0.20000000000000018</v>
      </c>
      <c r="Y5">
        <v>7</v>
      </c>
      <c r="Z5">
        <v>5</v>
      </c>
      <c r="AA5">
        <f t="shared" si="8"/>
        <v>2</v>
      </c>
    </row>
    <row r="6" spans="1:27" x14ac:dyDescent="0.45">
      <c r="A6">
        <v>4.2</v>
      </c>
      <c r="B6">
        <v>5</v>
      </c>
      <c r="C6">
        <f t="shared" si="1"/>
        <v>0.79999999999999982</v>
      </c>
      <c r="D6">
        <v>4.8</v>
      </c>
      <c r="E6">
        <v>5</v>
      </c>
      <c r="F6">
        <f t="shared" si="2"/>
        <v>0.20000000000000018</v>
      </c>
      <c r="G6">
        <v>6.2</v>
      </c>
      <c r="H6">
        <v>4</v>
      </c>
      <c r="I6">
        <f t="shared" si="0"/>
        <v>2.2000000000000002</v>
      </c>
      <c r="J6">
        <v>7.2</v>
      </c>
      <c r="K6">
        <v>5</v>
      </c>
      <c r="L6">
        <f t="shared" si="3"/>
        <v>2.2000000000000002</v>
      </c>
      <c r="M6">
        <v>5.2</v>
      </c>
      <c r="N6">
        <v>5</v>
      </c>
      <c r="O6">
        <f t="shared" si="4"/>
        <v>0.20000000000000018</v>
      </c>
      <c r="P6">
        <v>6.2</v>
      </c>
      <c r="Q6">
        <v>5</v>
      </c>
      <c r="R6">
        <f t="shared" si="5"/>
        <v>1.2000000000000002</v>
      </c>
      <c r="S6">
        <v>5.4</v>
      </c>
      <c r="T6">
        <v>4</v>
      </c>
      <c r="U6">
        <f t="shared" si="6"/>
        <v>1.4000000000000004</v>
      </c>
      <c r="V6">
        <v>5.4</v>
      </c>
      <c r="W6">
        <v>5</v>
      </c>
      <c r="X6">
        <f t="shared" si="7"/>
        <v>0.40000000000000036</v>
      </c>
      <c r="Y6">
        <v>7</v>
      </c>
      <c r="Z6">
        <v>6</v>
      </c>
      <c r="AA6">
        <f t="shared" si="8"/>
        <v>1</v>
      </c>
    </row>
    <row r="7" spans="1:27" x14ac:dyDescent="0.45">
      <c r="A7">
        <v>4.5999999999999996</v>
      </c>
      <c r="B7">
        <v>5</v>
      </c>
      <c r="C7">
        <f t="shared" si="1"/>
        <v>0.40000000000000036</v>
      </c>
      <c r="D7">
        <v>5</v>
      </c>
      <c r="E7">
        <v>5</v>
      </c>
      <c r="F7">
        <f t="shared" si="2"/>
        <v>0</v>
      </c>
      <c r="G7">
        <v>6.6</v>
      </c>
      <c r="H7">
        <v>5</v>
      </c>
      <c r="I7">
        <f t="shared" si="0"/>
        <v>1.5999999999999996</v>
      </c>
      <c r="J7">
        <v>7.4</v>
      </c>
      <c r="K7">
        <v>5</v>
      </c>
      <c r="L7">
        <f t="shared" si="3"/>
        <v>2.4000000000000004</v>
      </c>
      <c r="M7">
        <v>5.6</v>
      </c>
      <c r="N7">
        <v>5</v>
      </c>
      <c r="O7">
        <f t="shared" si="4"/>
        <v>0.59999999999999964</v>
      </c>
      <c r="P7">
        <v>6.2</v>
      </c>
      <c r="Q7">
        <v>5</v>
      </c>
      <c r="R7">
        <f t="shared" si="5"/>
        <v>1.2000000000000002</v>
      </c>
      <c r="S7">
        <v>5.4</v>
      </c>
      <c r="T7">
        <v>4</v>
      </c>
      <c r="U7">
        <f t="shared" si="6"/>
        <v>1.4000000000000004</v>
      </c>
      <c r="V7">
        <v>5.4</v>
      </c>
      <c r="W7">
        <v>5</v>
      </c>
      <c r="X7">
        <f t="shared" si="7"/>
        <v>0.40000000000000036</v>
      </c>
      <c r="Y7">
        <v>7.2</v>
      </c>
      <c r="Z7">
        <v>6</v>
      </c>
      <c r="AA7">
        <f t="shared" si="8"/>
        <v>1.2000000000000002</v>
      </c>
    </row>
    <row r="8" spans="1:27" x14ac:dyDescent="0.45">
      <c r="A8">
        <v>4.8</v>
      </c>
      <c r="B8">
        <v>5</v>
      </c>
      <c r="C8">
        <f t="shared" si="1"/>
        <v>0.20000000000000018</v>
      </c>
      <c r="D8">
        <v>5.2</v>
      </c>
      <c r="E8">
        <v>6</v>
      </c>
      <c r="F8">
        <f t="shared" si="2"/>
        <v>0.79999999999999982</v>
      </c>
      <c r="G8">
        <v>6.6</v>
      </c>
      <c r="H8">
        <v>5</v>
      </c>
      <c r="I8">
        <f t="shared" si="0"/>
        <v>1.5999999999999996</v>
      </c>
      <c r="J8">
        <v>7.4</v>
      </c>
      <c r="K8">
        <v>5</v>
      </c>
      <c r="L8">
        <f t="shared" si="3"/>
        <v>2.4000000000000004</v>
      </c>
      <c r="M8">
        <v>5.6</v>
      </c>
      <c r="N8">
        <v>5</v>
      </c>
      <c r="O8">
        <f t="shared" si="4"/>
        <v>0.59999999999999964</v>
      </c>
      <c r="P8">
        <v>6.6</v>
      </c>
      <c r="Q8">
        <v>5</v>
      </c>
      <c r="R8">
        <f t="shared" si="5"/>
        <v>1.5999999999999996</v>
      </c>
      <c r="S8">
        <v>5.6</v>
      </c>
      <c r="T8">
        <v>5</v>
      </c>
      <c r="U8">
        <f t="shared" si="6"/>
        <v>0.59999999999999964</v>
      </c>
      <c r="V8">
        <v>5.6</v>
      </c>
      <c r="W8">
        <v>5</v>
      </c>
      <c r="X8">
        <f t="shared" si="7"/>
        <v>0.59999999999999964</v>
      </c>
      <c r="Y8">
        <v>7.4</v>
      </c>
      <c r="Z8">
        <v>7</v>
      </c>
      <c r="AA8">
        <f t="shared" si="8"/>
        <v>0.40000000000000036</v>
      </c>
    </row>
    <row r="9" spans="1:27" x14ac:dyDescent="0.45">
      <c r="A9">
        <v>5.6</v>
      </c>
      <c r="B9">
        <v>5</v>
      </c>
      <c r="C9">
        <f t="shared" si="1"/>
        <v>0.59999999999999964</v>
      </c>
      <c r="D9">
        <v>5.2</v>
      </c>
      <c r="E9">
        <v>6</v>
      </c>
      <c r="F9">
        <f t="shared" si="2"/>
        <v>0.79999999999999982</v>
      </c>
      <c r="G9">
        <v>6.8</v>
      </c>
      <c r="H9">
        <v>5</v>
      </c>
      <c r="I9">
        <f t="shared" si="0"/>
        <v>1.7999999999999998</v>
      </c>
      <c r="J9">
        <v>7.4</v>
      </c>
      <c r="K9">
        <v>6</v>
      </c>
      <c r="L9">
        <f t="shared" si="3"/>
        <v>1.4000000000000004</v>
      </c>
      <c r="M9">
        <v>5.8</v>
      </c>
      <c r="N9">
        <v>5</v>
      </c>
      <c r="O9">
        <f t="shared" si="4"/>
        <v>0.79999999999999982</v>
      </c>
      <c r="P9">
        <v>6.6</v>
      </c>
      <c r="Q9">
        <v>5</v>
      </c>
      <c r="R9">
        <f t="shared" si="5"/>
        <v>1.5999999999999996</v>
      </c>
      <c r="S9">
        <v>5.8</v>
      </c>
      <c r="T9">
        <v>5</v>
      </c>
      <c r="U9">
        <f t="shared" si="6"/>
        <v>0.79999999999999982</v>
      </c>
      <c r="V9">
        <v>5.6</v>
      </c>
      <c r="W9">
        <v>6</v>
      </c>
      <c r="X9">
        <f t="shared" si="7"/>
        <v>0.40000000000000036</v>
      </c>
      <c r="Y9">
        <v>7.6</v>
      </c>
      <c r="Z9">
        <v>7</v>
      </c>
      <c r="AA9">
        <f t="shared" si="8"/>
        <v>0.59999999999999964</v>
      </c>
    </row>
    <row r="10" spans="1:27" x14ac:dyDescent="0.45">
      <c r="A10">
        <v>6</v>
      </c>
      <c r="B10">
        <v>6</v>
      </c>
      <c r="C10">
        <f t="shared" si="1"/>
        <v>0</v>
      </c>
      <c r="D10">
        <v>5.6</v>
      </c>
      <c r="E10">
        <v>6</v>
      </c>
      <c r="F10">
        <f t="shared" si="2"/>
        <v>0.40000000000000036</v>
      </c>
      <c r="G10">
        <v>7</v>
      </c>
      <c r="H10">
        <v>5</v>
      </c>
      <c r="I10">
        <f t="shared" si="0"/>
        <v>2</v>
      </c>
      <c r="J10">
        <v>7.6</v>
      </c>
      <c r="K10">
        <v>6</v>
      </c>
      <c r="L10">
        <f t="shared" si="3"/>
        <v>1.5999999999999996</v>
      </c>
      <c r="M10">
        <v>6</v>
      </c>
      <c r="N10">
        <v>5</v>
      </c>
      <c r="O10">
        <f t="shared" si="4"/>
        <v>1</v>
      </c>
      <c r="P10">
        <v>6.8</v>
      </c>
      <c r="Q10">
        <v>5</v>
      </c>
      <c r="R10">
        <f t="shared" si="5"/>
        <v>1.7999999999999998</v>
      </c>
      <c r="S10">
        <v>6.2</v>
      </c>
      <c r="T10">
        <v>5</v>
      </c>
      <c r="U10">
        <f t="shared" si="6"/>
        <v>1.2000000000000002</v>
      </c>
      <c r="V10">
        <v>6</v>
      </c>
      <c r="W10">
        <v>6</v>
      </c>
      <c r="X10">
        <f t="shared" si="7"/>
        <v>0</v>
      </c>
      <c r="Y10">
        <v>7.8</v>
      </c>
      <c r="Z10">
        <v>7</v>
      </c>
      <c r="AA10">
        <f t="shared" si="8"/>
        <v>0.79999999999999982</v>
      </c>
    </row>
    <row r="11" spans="1:27" x14ac:dyDescent="0.45">
      <c r="A11">
        <v>6</v>
      </c>
      <c r="B11">
        <v>6</v>
      </c>
      <c r="C11">
        <f t="shared" si="1"/>
        <v>0</v>
      </c>
      <c r="D11">
        <v>5.8</v>
      </c>
      <c r="E11">
        <v>6</v>
      </c>
      <c r="F11">
        <f t="shared" si="2"/>
        <v>0.20000000000000018</v>
      </c>
      <c r="G11">
        <v>7.2</v>
      </c>
      <c r="H11">
        <v>5</v>
      </c>
      <c r="I11">
        <f t="shared" si="0"/>
        <v>2.2000000000000002</v>
      </c>
      <c r="J11">
        <v>7.6</v>
      </c>
      <c r="K11">
        <v>7</v>
      </c>
      <c r="L11">
        <f t="shared" si="3"/>
        <v>0.59999999999999964</v>
      </c>
      <c r="M11">
        <v>6</v>
      </c>
      <c r="N11">
        <v>5</v>
      </c>
      <c r="O11">
        <f t="shared" si="4"/>
        <v>1</v>
      </c>
      <c r="P11">
        <v>7.2</v>
      </c>
      <c r="Q11">
        <v>5</v>
      </c>
      <c r="R11">
        <f t="shared" si="5"/>
        <v>2.2000000000000002</v>
      </c>
      <c r="S11">
        <v>6.2</v>
      </c>
      <c r="T11">
        <v>5</v>
      </c>
      <c r="U11">
        <f t="shared" si="6"/>
        <v>1.2000000000000002</v>
      </c>
      <c r="V11">
        <v>6.2</v>
      </c>
      <c r="W11">
        <v>6</v>
      </c>
      <c r="X11">
        <f t="shared" si="7"/>
        <v>0.20000000000000018</v>
      </c>
      <c r="Y11">
        <v>7.8</v>
      </c>
      <c r="Z11">
        <v>7</v>
      </c>
      <c r="AA11">
        <f t="shared" si="8"/>
        <v>0.79999999999999982</v>
      </c>
    </row>
    <row r="12" spans="1:27" x14ac:dyDescent="0.45">
      <c r="A12">
        <v>6.2</v>
      </c>
      <c r="B12">
        <v>6</v>
      </c>
      <c r="C12">
        <f t="shared" si="1"/>
        <v>0.20000000000000018</v>
      </c>
      <c r="D12">
        <v>6</v>
      </c>
      <c r="E12">
        <v>7</v>
      </c>
      <c r="F12">
        <f t="shared" si="2"/>
        <v>1</v>
      </c>
      <c r="G12">
        <v>7.2</v>
      </c>
      <c r="H12">
        <v>5</v>
      </c>
      <c r="I12">
        <f t="shared" si="0"/>
        <v>2.2000000000000002</v>
      </c>
      <c r="J12">
        <v>7.8</v>
      </c>
      <c r="K12">
        <v>7</v>
      </c>
      <c r="L12">
        <f t="shared" si="3"/>
        <v>0.79999999999999982</v>
      </c>
      <c r="M12">
        <v>6.2</v>
      </c>
      <c r="N12">
        <v>5</v>
      </c>
      <c r="O12">
        <f t="shared" si="4"/>
        <v>1.2000000000000002</v>
      </c>
      <c r="P12">
        <v>7.2</v>
      </c>
      <c r="Q12">
        <v>6</v>
      </c>
      <c r="R12">
        <f t="shared" si="5"/>
        <v>1.2000000000000002</v>
      </c>
      <c r="S12">
        <v>6.2</v>
      </c>
      <c r="T12">
        <v>5</v>
      </c>
      <c r="U12">
        <f t="shared" si="6"/>
        <v>1.2000000000000002</v>
      </c>
      <c r="V12">
        <v>6.2</v>
      </c>
      <c r="W12">
        <v>6</v>
      </c>
      <c r="X12">
        <f t="shared" si="7"/>
        <v>0.20000000000000018</v>
      </c>
      <c r="Y12">
        <v>8</v>
      </c>
      <c r="Z12">
        <v>7</v>
      </c>
      <c r="AA12">
        <f t="shared" si="8"/>
        <v>1</v>
      </c>
    </row>
    <row r="13" spans="1:27" x14ac:dyDescent="0.45">
      <c r="A13">
        <v>6.4</v>
      </c>
      <c r="B13">
        <v>7</v>
      </c>
      <c r="C13">
        <f t="shared" si="1"/>
        <v>0.59999999999999964</v>
      </c>
      <c r="D13">
        <v>6</v>
      </c>
      <c r="E13">
        <v>7</v>
      </c>
      <c r="F13">
        <f t="shared" si="2"/>
        <v>1</v>
      </c>
      <c r="G13">
        <v>7.2</v>
      </c>
      <c r="H13">
        <v>5</v>
      </c>
      <c r="I13">
        <f t="shared" si="0"/>
        <v>2.2000000000000002</v>
      </c>
      <c r="J13">
        <v>7.8</v>
      </c>
      <c r="K13">
        <v>7</v>
      </c>
      <c r="L13">
        <f t="shared" si="3"/>
        <v>0.79999999999999982</v>
      </c>
      <c r="M13">
        <v>6.2</v>
      </c>
      <c r="N13">
        <v>6</v>
      </c>
      <c r="O13">
        <f t="shared" si="4"/>
        <v>0.20000000000000018</v>
      </c>
      <c r="P13">
        <v>7.4</v>
      </c>
      <c r="Q13">
        <v>6</v>
      </c>
      <c r="R13">
        <f t="shared" si="5"/>
        <v>1.4000000000000004</v>
      </c>
      <c r="S13">
        <v>6.4</v>
      </c>
      <c r="T13">
        <v>5</v>
      </c>
      <c r="U13">
        <f t="shared" si="6"/>
        <v>1.4000000000000004</v>
      </c>
      <c r="V13">
        <v>6.6</v>
      </c>
      <c r="W13">
        <v>6</v>
      </c>
      <c r="X13">
        <f t="shared" si="7"/>
        <v>0.59999999999999964</v>
      </c>
      <c r="Y13">
        <v>8</v>
      </c>
      <c r="Z13">
        <v>8</v>
      </c>
      <c r="AA13">
        <f t="shared" si="8"/>
        <v>0</v>
      </c>
    </row>
    <row r="14" spans="1:27" x14ac:dyDescent="0.45">
      <c r="A14">
        <v>6.4</v>
      </c>
      <c r="B14">
        <v>7</v>
      </c>
      <c r="C14">
        <f t="shared" si="1"/>
        <v>0.59999999999999964</v>
      </c>
      <c r="D14">
        <v>6.2</v>
      </c>
      <c r="E14">
        <v>7</v>
      </c>
      <c r="F14">
        <f t="shared" si="2"/>
        <v>0.79999999999999982</v>
      </c>
      <c r="G14">
        <v>7.4</v>
      </c>
      <c r="H14">
        <v>5</v>
      </c>
      <c r="I14">
        <f t="shared" si="0"/>
        <v>2.4000000000000004</v>
      </c>
      <c r="J14">
        <v>7.8</v>
      </c>
      <c r="K14">
        <v>7</v>
      </c>
      <c r="L14">
        <f t="shared" si="3"/>
        <v>0.79999999999999982</v>
      </c>
      <c r="M14">
        <v>6.4</v>
      </c>
      <c r="N14">
        <v>6</v>
      </c>
      <c r="O14">
        <f t="shared" si="4"/>
        <v>0.40000000000000036</v>
      </c>
      <c r="P14">
        <v>7.6</v>
      </c>
      <c r="Q14">
        <v>6</v>
      </c>
      <c r="R14">
        <f t="shared" si="5"/>
        <v>1.5999999999999996</v>
      </c>
      <c r="S14">
        <v>6.4</v>
      </c>
      <c r="T14">
        <v>5</v>
      </c>
      <c r="U14">
        <f t="shared" si="6"/>
        <v>1.4000000000000004</v>
      </c>
      <c r="V14">
        <v>7</v>
      </c>
      <c r="W14">
        <v>6</v>
      </c>
      <c r="X14">
        <f t="shared" si="7"/>
        <v>1</v>
      </c>
      <c r="Y14">
        <v>8.1999999999999993</v>
      </c>
      <c r="Z14">
        <v>8</v>
      </c>
      <c r="AA14">
        <f t="shared" si="8"/>
        <v>0.19999999999999929</v>
      </c>
    </row>
    <row r="15" spans="1:27" x14ac:dyDescent="0.45">
      <c r="A15">
        <v>6.4</v>
      </c>
      <c r="B15">
        <v>7</v>
      </c>
      <c r="C15">
        <f t="shared" si="1"/>
        <v>0.59999999999999964</v>
      </c>
      <c r="D15">
        <v>6.4</v>
      </c>
      <c r="E15">
        <v>7</v>
      </c>
      <c r="F15">
        <f t="shared" si="2"/>
        <v>0.59999999999999964</v>
      </c>
      <c r="G15">
        <v>7.6</v>
      </c>
      <c r="H15">
        <v>6</v>
      </c>
      <c r="I15">
        <f t="shared" si="0"/>
        <v>1.5999999999999996</v>
      </c>
      <c r="J15">
        <v>8</v>
      </c>
      <c r="K15">
        <v>7</v>
      </c>
      <c r="L15">
        <f t="shared" si="3"/>
        <v>1</v>
      </c>
      <c r="M15">
        <v>6.6</v>
      </c>
      <c r="N15">
        <v>6</v>
      </c>
      <c r="O15">
        <f t="shared" si="4"/>
        <v>0.59999999999999964</v>
      </c>
      <c r="P15">
        <v>7.6</v>
      </c>
      <c r="Q15">
        <v>6</v>
      </c>
      <c r="R15">
        <f t="shared" si="5"/>
        <v>1.5999999999999996</v>
      </c>
      <c r="S15">
        <v>6.6</v>
      </c>
      <c r="T15">
        <v>5</v>
      </c>
      <c r="U15">
        <f t="shared" si="6"/>
        <v>1.5999999999999996</v>
      </c>
      <c r="V15">
        <v>7.2</v>
      </c>
      <c r="W15">
        <v>6</v>
      </c>
      <c r="X15">
        <f t="shared" si="7"/>
        <v>1.2000000000000002</v>
      </c>
      <c r="Y15">
        <v>8.4</v>
      </c>
      <c r="Z15">
        <v>8</v>
      </c>
      <c r="AA15">
        <f t="shared" si="8"/>
        <v>0.40000000000000036</v>
      </c>
    </row>
    <row r="16" spans="1:27" x14ac:dyDescent="0.45">
      <c r="A16">
        <v>6.4</v>
      </c>
      <c r="B16">
        <v>8</v>
      </c>
      <c r="C16">
        <f t="shared" si="1"/>
        <v>1.5999999999999996</v>
      </c>
      <c r="D16">
        <v>6.4</v>
      </c>
      <c r="E16">
        <v>7</v>
      </c>
      <c r="F16">
        <f t="shared" si="2"/>
        <v>0.59999999999999964</v>
      </c>
      <c r="G16">
        <v>7.6</v>
      </c>
      <c r="H16">
        <v>6</v>
      </c>
      <c r="I16">
        <f t="shared" si="0"/>
        <v>1.5999999999999996</v>
      </c>
      <c r="J16">
        <v>8</v>
      </c>
      <c r="K16">
        <v>8</v>
      </c>
      <c r="L16">
        <f t="shared" si="3"/>
        <v>0</v>
      </c>
      <c r="M16">
        <v>6.8</v>
      </c>
      <c r="N16">
        <v>7</v>
      </c>
      <c r="O16">
        <f t="shared" si="4"/>
        <v>0.20000000000000018</v>
      </c>
      <c r="P16">
        <v>7.8</v>
      </c>
      <c r="Q16">
        <v>7</v>
      </c>
      <c r="R16">
        <f t="shared" si="5"/>
        <v>0.79999999999999982</v>
      </c>
      <c r="S16">
        <v>6.8</v>
      </c>
      <c r="T16">
        <v>5</v>
      </c>
      <c r="U16">
        <f t="shared" si="6"/>
        <v>1.7999999999999998</v>
      </c>
      <c r="V16">
        <v>7.4</v>
      </c>
      <c r="W16">
        <v>7</v>
      </c>
      <c r="X16">
        <f t="shared" si="7"/>
        <v>0.40000000000000036</v>
      </c>
      <c r="Y16">
        <v>8.4</v>
      </c>
      <c r="Z16">
        <v>8</v>
      </c>
      <c r="AA16">
        <f t="shared" si="8"/>
        <v>0.40000000000000036</v>
      </c>
    </row>
    <row r="17" spans="1:27" x14ac:dyDescent="0.45">
      <c r="A17">
        <v>6.6</v>
      </c>
      <c r="B17">
        <v>8</v>
      </c>
      <c r="C17">
        <f t="shared" si="1"/>
        <v>1.4000000000000004</v>
      </c>
      <c r="D17">
        <v>6.6</v>
      </c>
      <c r="E17">
        <v>8</v>
      </c>
      <c r="F17">
        <f t="shared" si="2"/>
        <v>1.4000000000000004</v>
      </c>
      <c r="G17">
        <v>7.6</v>
      </c>
      <c r="H17">
        <v>6</v>
      </c>
      <c r="I17">
        <f t="shared" si="0"/>
        <v>1.5999999999999996</v>
      </c>
      <c r="J17">
        <v>8</v>
      </c>
      <c r="K17">
        <v>8</v>
      </c>
      <c r="L17">
        <f t="shared" si="3"/>
        <v>0</v>
      </c>
      <c r="M17">
        <v>7</v>
      </c>
      <c r="N17">
        <v>7</v>
      </c>
      <c r="O17">
        <f t="shared" si="4"/>
        <v>0</v>
      </c>
      <c r="P17">
        <v>7.8</v>
      </c>
      <c r="Q17">
        <v>7</v>
      </c>
      <c r="R17">
        <f t="shared" si="5"/>
        <v>0.79999999999999982</v>
      </c>
      <c r="S17">
        <v>7</v>
      </c>
      <c r="T17">
        <v>5</v>
      </c>
      <c r="U17">
        <f t="shared" si="6"/>
        <v>2</v>
      </c>
      <c r="V17">
        <v>7.6</v>
      </c>
      <c r="W17">
        <v>7</v>
      </c>
      <c r="X17">
        <f t="shared" si="7"/>
        <v>0.59999999999999964</v>
      </c>
      <c r="Y17">
        <v>8.6</v>
      </c>
      <c r="Z17">
        <v>8</v>
      </c>
      <c r="AA17">
        <f t="shared" si="8"/>
        <v>0.59999999999999964</v>
      </c>
    </row>
    <row r="18" spans="1:27" x14ac:dyDescent="0.45">
      <c r="A18">
        <v>6.8</v>
      </c>
      <c r="B18">
        <v>8</v>
      </c>
      <c r="C18">
        <f t="shared" si="1"/>
        <v>1.2000000000000002</v>
      </c>
      <c r="D18">
        <v>6.8</v>
      </c>
      <c r="E18">
        <v>8</v>
      </c>
      <c r="F18">
        <f t="shared" si="2"/>
        <v>1.2000000000000002</v>
      </c>
      <c r="G18">
        <v>7.8</v>
      </c>
      <c r="H18">
        <v>7</v>
      </c>
      <c r="I18">
        <f t="shared" si="0"/>
        <v>0.79999999999999982</v>
      </c>
      <c r="J18">
        <v>8.1999999999999993</v>
      </c>
      <c r="K18">
        <v>8</v>
      </c>
      <c r="L18">
        <f t="shared" si="3"/>
        <v>0.19999999999999929</v>
      </c>
      <c r="M18">
        <v>7</v>
      </c>
      <c r="N18">
        <v>7</v>
      </c>
      <c r="O18">
        <f t="shared" si="4"/>
        <v>0</v>
      </c>
      <c r="P18">
        <v>8</v>
      </c>
      <c r="Q18">
        <v>7</v>
      </c>
      <c r="R18">
        <f t="shared" si="5"/>
        <v>1</v>
      </c>
      <c r="S18">
        <v>7</v>
      </c>
      <c r="T18">
        <v>5</v>
      </c>
      <c r="U18">
        <f t="shared" si="6"/>
        <v>2</v>
      </c>
      <c r="V18">
        <v>7.6</v>
      </c>
      <c r="W18">
        <v>7</v>
      </c>
      <c r="X18">
        <f t="shared" si="7"/>
        <v>0.59999999999999964</v>
      </c>
      <c r="Y18">
        <v>8.6</v>
      </c>
      <c r="Z18">
        <v>8</v>
      </c>
      <c r="AA18">
        <f t="shared" si="8"/>
        <v>0.59999999999999964</v>
      </c>
    </row>
    <row r="19" spans="1:27" x14ac:dyDescent="0.45">
      <c r="A19">
        <v>6.8</v>
      </c>
      <c r="B19">
        <v>8</v>
      </c>
      <c r="C19">
        <f t="shared" si="1"/>
        <v>1.2000000000000002</v>
      </c>
      <c r="D19">
        <v>6.8</v>
      </c>
      <c r="E19">
        <v>8</v>
      </c>
      <c r="F19">
        <f t="shared" si="2"/>
        <v>1.2000000000000002</v>
      </c>
      <c r="G19">
        <v>7.8</v>
      </c>
      <c r="H19">
        <v>7</v>
      </c>
      <c r="I19">
        <f t="shared" si="0"/>
        <v>0.79999999999999982</v>
      </c>
      <c r="J19">
        <v>8.1999999999999993</v>
      </c>
      <c r="K19">
        <v>8</v>
      </c>
      <c r="L19">
        <f t="shared" si="3"/>
        <v>0.19999999999999929</v>
      </c>
      <c r="M19">
        <v>7</v>
      </c>
      <c r="N19">
        <v>7</v>
      </c>
      <c r="O19">
        <f t="shared" si="4"/>
        <v>0</v>
      </c>
      <c r="P19">
        <v>8</v>
      </c>
      <c r="Q19">
        <v>8</v>
      </c>
      <c r="R19">
        <f t="shared" si="5"/>
        <v>0</v>
      </c>
      <c r="S19">
        <v>7</v>
      </c>
      <c r="T19">
        <v>6</v>
      </c>
      <c r="U19">
        <f t="shared" si="6"/>
        <v>1</v>
      </c>
      <c r="V19">
        <v>7.8</v>
      </c>
      <c r="W19">
        <v>8</v>
      </c>
      <c r="X19">
        <f t="shared" si="7"/>
        <v>0.20000000000000018</v>
      </c>
      <c r="Y19">
        <v>8.8000000000000007</v>
      </c>
      <c r="Z19">
        <v>9</v>
      </c>
      <c r="AA19">
        <f t="shared" si="8"/>
        <v>0.19999999999999929</v>
      </c>
    </row>
    <row r="20" spans="1:27" x14ac:dyDescent="0.45">
      <c r="A20">
        <v>6.8</v>
      </c>
      <c r="B20">
        <v>8</v>
      </c>
      <c r="C20">
        <f t="shared" si="1"/>
        <v>1.2000000000000002</v>
      </c>
      <c r="D20">
        <v>6.8</v>
      </c>
      <c r="E20">
        <v>8</v>
      </c>
      <c r="F20">
        <f t="shared" si="2"/>
        <v>1.2000000000000002</v>
      </c>
      <c r="G20">
        <v>8</v>
      </c>
      <c r="H20">
        <v>8</v>
      </c>
      <c r="I20">
        <f t="shared" si="0"/>
        <v>0</v>
      </c>
      <c r="J20">
        <v>8.1999999999999993</v>
      </c>
      <c r="K20">
        <v>8</v>
      </c>
      <c r="L20">
        <f t="shared" si="3"/>
        <v>0.19999999999999929</v>
      </c>
      <c r="M20">
        <v>7.2</v>
      </c>
      <c r="N20">
        <v>7</v>
      </c>
      <c r="O20">
        <f t="shared" si="4"/>
        <v>0.20000000000000018</v>
      </c>
      <c r="P20">
        <v>8.1999999999999993</v>
      </c>
      <c r="Q20">
        <v>8</v>
      </c>
      <c r="R20">
        <f t="shared" si="5"/>
        <v>0.19999999999999929</v>
      </c>
      <c r="S20">
        <v>7</v>
      </c>
      <c r="T20">
        <v>6</v>
      </c>
      <c r="U20">
        <f t="shared" si="6"/>
        <v>1</v>
      </c>
      <c r="V20">
        <v>7.8</v>
      </c>
      <c r="W20">
        <v>8</v>
      </c>
      <c r="X20">
        <f t="shared" si="7"/>
        <v>0.20000000000000018</v>
      </c>
      <c r="Y20">
        <v>8.8000000000000007</v>
      </c>
      <c r="Z20">
        <v>9</v>
      </c>
      <c r="AA20">
        <f t="shared" si="8"/>
        <v>0.19999999999999929</v>
      </c>
    </row>
    <row r="21" spans="1:27" x14ac:dyDescent="0.45">
      <c r="A21">
        <v>6.8</v>
      </c>
      <c r="B21">
        <v>8</v>
      </c>
      <c r="C21">
        <f t="shared" si="1"/>
        <v>1.2000000000000002</v>
      </c>
      <c r="D21">
        <v>7</v>
      </c>
      <c r="E21">
        <v>8</v>
      </c>
      <c r="F21">
        <f t="shared" si="2"/>
        <v>1</v>
      </c>
      <c r="G21">
        <v>8.1999999999999993</v>
      </c>
      <c r="H21">
        <v>8</v>
      </c>
      <c r="I21">
        <f t="shared" si="0"/>
        <v>0.19999999999999929</v>
      </c>
      <c r="J21">
        <v>8.4</v>
      </c>
      <c r="K21">
        <v>8</v>
      </c>
      <c r="L21">
        <f t="shared" si="3"/>
        <v>0.40000000000000036</v>
      </c>
      <c r="M21">
        <v>7.2</v>
      </c>
      <c r="N21">
        <v>8</v>
      </c>
      <c r="O21">
        <f t="shared" si="4"/>
        <v>0.79999999999999982</v>
      </c>
      <c r="P21">
        <v>8.1999999999999993</v>
      </c>
      <c r="Q21">
        <v>8</v>
      </c>
      <c r="R21">
        <f t="shared" si="5"/>
        <v>0.19999999999999929</v>
      </c>
      <c r="S21">
        <v>7.4</v>
      </c>
      <c r="T21">
        <v>6</v>
      </c>
      <c r="U21">
        <f t="shared" si="6"/>
        <v>1.4000000000000004</v>
      </c>
      <c r="V21">
        <v>7.8</v>
      </c>
      <c r="W21">
        <v>8</v>
      </c>
      <c r="X21">
        <f t="shared" si="7"/>
        <v>0.20000000000000018</v>
      </c>
      <c r="Y21">
        <v>8.8000000000000007</v>
      </c>
      <c r="Z21">
        <v>9</v>
      </c>
      <c r="AA21">
        <f t="shared" si="8"/>
        <v>0.19999999999999929</v>
      </c>
    </row>
    <row r="22" spans="1:27" x14ac:dyDescent="0.45">
      <c r="A22">
        <v>7.4</v>
      </c>
      <c r="B22">
        <v>9</v>
      </c>
      <c r="C22">
        <f t="shared" si="1"/>
        <v>1.5999999999999996</v>
      </c>
      <c r="D22">
        <v>7.4</v>
      </c>
      <c r="E22">
        <v>8</v>
      </c>
      <c r="F22">
        <f t="shared" si="2"/>
        <v>0.59999999999999964</v>
      </c>
      <c r="G22">
        <v>8.4</v>
      </c>
      <c r="H22">
        <v>8</v>
      </c>
      <c r="I22">
        <f t="shared" si="0"/>
        <v>0.40000000000000036</v>
      </c>
      <c r="J22">
        <v>8.6</v>
      </c>
      <c r="K22">
        <v>8</v>
      </c>
      <c r="L22">
        <f t="shared" si="3"/>
        <v>0.59999999999999964</v>
      </c>
      <c r="M22">
        <v>7.4</v>
      </c>
      <c r="N22">
        <v>8</v>
      </c>
      <c r="O22">
        <f t="shared" si="4"/>
        <v>0.59999999999999964</v>
      </c>
      <c r="P22">
        <v>8.4</v>
      </c>
      <c r="Q22">
        <v>8</v>
      </c>
      <c r="R22">
        <f t="shared" si="5"/>
        <v>0.40000000000000036</v>
      </c>
      <c r="S22">
        <v>7.6</v>
      </c>
      <c r="T22">
        <v>7</v>
      </c>
      <c r="U22">
        <f t="shared" si="6"/>
        <v>0.59999999999999964</v>
      </c>
      <c r="V22">
        <v>8</v>
      </c>
      <c r="W22">
        <v>8</v>
      </c>
      <c r="X22">
        <f t="shared" si="7"/>
        <v>0</v>
      </c>
      <c r="Y22">
        <v>8.8000000000000007</v>
      </c>
      <c r="Z22">
        <v>9</v>
      </c>
      <c r="AA22">
        <f t="shared" si="8"/>
        <v>0.19999999999999929</v>
      </c>
    </row>
    <row r="23" spans="1:27" x14ac:dyDescent="0.45">
      <c r="A23">
        <v>7.4</v>
      </c>
      <c r="B23">
        <v>9</v>
      </c>
      <c r="C23">
        <f t="shared" si="1"/>
        <v>1.5999999999999996</v>
      </c>
      <c r="D23">
        <v>8</v>
      </c>
      <c r="E23">
        <v>9</v>
      </c>
      <c r="F23">
        <f t="shared" si="2"/>
        <v>1</v>
      </c>
      <c r="G23">
        <v>8.4</v>
      </c>
      <c r="H23">
        <v>9</v>
      </c>
      <c r="I23">
        <f t="shared" si="0"/>
        <v>0.59999999999999964</v>
      </c>
      <c r="J23">
        <v>8.8000000000000007</v>
      </c>
      <c r="K23">
        <v>9</v>
      </c>
      <c r="L23">
        <f t="shared" si="3"/>
        <v>0.19999999999999929</v>
      </c>
      <c r="M23">
        <v>7.6</v>
      </c>
      <c r="N23">
        <v>8</v>
      </c>
      <c r="O23">
        <f t="shared" si="4"/>
        <v>0.40000000000000036</v>
      </c>
      <c r="P23">
        <v>8.4</v>
      </c>
      <c r="Q23">
        <v>8</v>
      </c>
      <c r="R23">
        <f t="shared" si="5"/>
        <v>0.40000000000000036</v>
      </c>
      <c r="S23">
        <v>7.6</v>
      </c>
      <c r="T23">
        <v>8</v>
      </c>
      <c r="U23">
        <f t="shared" si="6"/>
        <v>0.40000000000000036</v>
      </c>
      <c r="V23">
        <v>8</v>
      </c>
      <c r="W23">
        <v>8</v>
      </c>
      <c r="X23">
        <f t="shared" si="7"/>
        <v>0</v>
      </c>
      <c r="Y23">
        <v>9</v>
      </c>
      <c r="Z23">
        <v>10</v>
      </c>
      <c r="AA23">
        <f t="shared" si="8"/>
        <v>1</v>
      </c>
    </row>
    <row r="24" spans="1:27" x14ac:dyDescent="0.45">
      <c r="A24">
        <v>8.1999999999999993</v>
      </c>
      <c r="B24">
        <v>9</v>
      </c>
      <c r="C24">
        <f t="shared" si="1"/>
        <v>0.80000000000000071</v>
      </c>
      <c r="D24">
        <v>8.1999999999999993</v>
      </c>
      <c r="E24">
        <v>10</v>
      </c>
      <c r="F24">
        <f t="shared" si="2"/>
        <v>1.8000000000000007</v>
      </c>
      <c r="G24">
        <v>8.4</v>
      </c>
      <c r="H24">
        <v>9</v>
      </c>
      <c r="I24">
        <f t="shared" si="0"/>
        <v>0.59999999999999964</v>
      </c>
      <c r="J24">
        <v>8.8000000000000007</v>
      </c>
      <c r="K24">
        <v>10</v>
      </c>
      <c r="L24">
        <f t="shared" si="3"/>
        <v>1.1999999999999993</v>
      </c>
      <c r="M24">
        <v>8</v>
      </c>
      <c r="N24">
        <v>9</v>
      </c>
      <c r="O24">
        <f t="shared" si="4"/>
        <v>1</v>
      </c>
      <c r="P24">
        <v>8.4</v>
      </c>
      <c r="Q24">
        <v>9</v>
      </c>
      <c r="R24">
        <f t="shared" si="5"/>
        <v>0.59999999999999964</v>
      </c>
      <c r="S24">
        <v>8.1999999999999993</v>
      </c>
      <c r="T24">
        <v>9</v>
      </c>
      <c r="U24">
        <f t="shared" si="6"/>
        <v>0.80000000000000071</v>
      </c>
      <c r="V24">
        <v>8.1999999999999993</v>
      </c>
      <c r="W24">
        <v>9</v>
      </c>
      <c r="X24">
        <f t="shared" si="7"/>
        <v>0.80000000000000071</v>
      </c>
      <c r="Y24">
        <v>9</v>
      </c>
      <c r="Z24">
        <v>10</v>
      </c>
      <c r="AA24">
        <f t="shared" si="8"/>
        <v>1</v>
      </c>
    </row>
    <row r="25" spans="1:27" x14ac:dyDescent="0.45">
      <c r="A25">
        <v>8.4</v>
      </c>
      <c r="B25">
        <v>10</v>
      </c>
      <c r="C25">
        <f t="shared" si="1"/>
        <v>1.5999999999999996</v>
      </c>
      <c r="D25">
        <v>8.4</v>
      </c>
      <c r="E25">
        <v>10</v>
      </c>
      <c r="F25">
        <f t="shared" si="2"/>
        <v>1.5999999999999996</v>
      </c>
      <c r="G25">
        <v>8.6</v>
      </c>
      <c r="H25">
        <v>10</v>
      </c>
      <c r="I25">
        <f t="shared" si="0"/>
        <v>1.4000000000000004</v>
      </c>
      <c r="J25">
        <v>8.8000000000000007</v>
      </c>
      <c r="K25">
        <v>10</v>
      </c>
      <c r="L25">
        <f t="shared" si="3"/>
        <v>1.1999999999999993</v>
      </c>
      <c r="M25">
        <v>8</v>
      </c>
      <c r="N25">
        <v>10</v>
      </c>
      <c r="O25">
        <f t="shared" si="4"/>
        <v>2</v>
      </c>
      <c r="P25">
        <v>8.6</v>
      </c>
      <c r="Q25">
        <v>10</v>
      </c>
      <c r="R25">
        <f t="shared" si="5"/>
        <v>1.4000000000000004</v>
      </c>
      <c r="S25">
        <v>8.6</v>
      </c>
      <c r="T25">
        <v>9</v>
      </c>
      <c r="U25">
        <f t="shared" si="6"/>
        <v>0.40000000000000036</v>
      </c>
      <c r="V25">
        <v>8.4</v>
      </c>
      <c r="W25">
        <v>10</v>
      </c>
      <c r="X25">
        <f t="shared" si="7"/>
        <v>1.5999999999999996</v>
      </c>
      <c r="Y25">
        <v>9</v>
      </c>
      <c r="Z25">
        <v>10</v>
      </c>
      <c r="AA25">
        <f t="shared" si="8"/>
        <v>1</v>
      </c>
    </row>
    <row r="26" spans="1:27" x14ac:dyDescent="0.45">
      <c r="A26">
        <v>8.8000000000000007</v>
      </c>
      <c r="B26">
        <v>10</v>
      </c>
      <c r="C26">
        <f t="shared" si="1"/>
        <v>1.1999999999999993</v>
      </c>
      <c r="D26">
        <v>8.6</v>
      </c>
      <c r="E26">
        <v>10</v>
      </c>
      <c r="F26">
        <f t="shared" si="2"/>
        <v>1.4000000000000004</v>
      </c>
      <c r="G26">
        <v>8.6</v>
      </c>
      <c r="H26">
        <v>10</v>
      </c>
      <c r="I26">
        <f t="shared" si="0"/>
        <v>1.4000000000000004</v>
      </c>
      <c r="J26">
        <v>9.4</v>
      </c>
      <c r="K26">
        <v>10</v>
      </c>
      <c r="L26">
        <f t="shared" si="3"/>
        <v>0.59999999999999964</v>
      </c>
      <c r="M26">
        <v>9</v>
      </c>
      <c r="N26">
        <v>10</v>
      </c>
      <c r="O26">
        <f t="shared" si="4"/>
        <v>1</v>
      </c>
      <c r="P26">
        <v>9</v>
      </c>
      <c r="Q26">
        <v>10</v>
      </c>
      <c r="R26">
        <f t="shared" si="5"/>
        <v>1</v>
      </c>
      <c r="S26">
        <v>9</v>
      </c>
      <c r="T26">
        <v>10</v>
      </c>
      <c r="U26">
        <f t="shared" si="6"/>
        <v>1</v>
      </c>
      <c r="V26">
        <v>8.6</v>
      </c>
      <c r="W26">
        <v>10</v>
      </c>
      <c r="X26">
        <f t="shared" si="7"/>
        <v>1.4000000000000004</v>
      </c>
      <c r="Y26">
        <v>9</v>
      </c>
      <c r="Z26">
        <v>10</v>
      </c>
      <c r="AA26">
        <f t="shared" si="8"/>
        <v>1</v>
      </c>
    </row>
    <row r="27" spans="1:27" x14ac:dyDescent="0.45">
      <c r="C27">
        <f>AVERAGE(C2:C26)</f>
        <v>0.82399999999999995</v>
      </c>
      <c r="F27">
        <f>AVERAGE(F2:F26)</f>
        <v>0.91199999999999992</v>
      </c>
      <c r="I27">
        <f>AVERAGE(I2:I26)</f>
        <v>1.5599999999999996</v>
      </c>
      <c r="L27">
        <f>AVERAGE(L2:L26)</f>
        <v>1.2079999999999997</v>
      </c>
      <c r="O27">
        <f>AVERAGE(O2:O26)</f>
        <v>0.62399999999999989</v>
      </c>
      <c r="R27">
        <f>AVERAGE(R2:R26)</f>
        <v>1.3279999999999998</v>
      </c>
      <c r="U27">
        <f>AVERAGE(U2:U26)</f>
        <v>1.4079999999999999</v>
      </c>
      <c r="X27">
        <f>AVERAGE(X2:X26)</f>
        <v>0.46400000000000008</v>
      </c>
      <c r="AA27">
        <f>AVERAGE(AA2:AA26)</f>
        <v>0.76800000000000002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
  <sheetViews>
    <sheetView tabSelected="1" topLeftCell="B1" workbookViewId="0">
      <selection activeCell="B2" sqref="B2:L10"/>
    </sheetView>
  </sheetViews>
  <sheetFormatPr defaultRowHeight="14.25" x14ac:dyDescent="0.45"/>
  <cols>
    <col min="1" max="1" width="18.3984375" bestFit="1" customWidth="1"/>
    <col min="2" max="2" width="23.46484375" customWidth="1"/>
    <col min="3" max="3" width="17.19921875" bestFit="1" customWidth="1"/>
    <col min="4" max="4" width="17.19921875" customWidth="1"/>
    <col min="5" max="5" width="17.265625" bestFit="1" customWidth="1"/>
    <col min="6" max="6" width="17.265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1527</v>
      </c>
      <c r="F1" s="5" t="s">
        <v>1528</v>
      </c>
      <c r="G1" s="1" t="s">
        <v>7</v>
      </c>
      <c r="H1" s="1" t="s">
        <v>8</v>
      </c>
      <c r="I1" s="1" t="s">
        <v>9</v>
      </c>
      <c r="J1" s="1" t="s">
        <v>10</v>
      </c>
      <c r="K1" s="1" t="s">
        <v>11</v>
      </c>
      <c r="L1" s="1" t="s">
        <v>12</v>
      </c>
    </row>
    <row r="2" spans="1:13" x14ac:dyDescent="0.45">
      <c r="A2" s="4" t="s">
        <v>13</v>
      </c>
      <c r="B2" s="4">
        <f>step2_combined_data!V27</f>
        <v>1.304</v>
      </c>
      <c r="C2" s="15">
        <f>CM_REPORT!E7</f>
        <v>0.56000000000000005</v>
      </c>
      <c r="D2" s="32">
        <f>CM_REPORT!E8</f>
        <v>0.36628778965160635</v>
      </c>
      <c r="E2" s="33">
        <f>(ABS(J2-G2)+ABS(K2-H2)+ABS(L2-I2))/2</f>
        <v>0.32</v>
      </c>
      <c r="F2" s="31">
        <f>EMD!C27</f>
        <v>0.82399999999999995</v>
      </c>
      <c r="G2" s="15">
        <v>0.12</v>
      </c>
      <c r="H2" s="15">
        <v>0.44</v>
      </c>
      <c r="I2" s="15">
        <v>0.44</v>
      </c>
      <c r="J2" s="15">
        <f>(COUNTIF(step2_combined_data!$S$2:$S$26,"Oppose"))/25</f>
        <v>0.28000000000000003</v>
      </c>
      <c r="K2" s="15">
        <f>(COUNTIF(step2_combined_data!$S$2:$S$26,"Neutral"))/25</f>
        <v>0.6</v>
      </c>
      <c r="L2" s="15">
        <f>(COUNTIF(step2_combined_data!$S$2:$S$26,"Support"))/25</f>
        <v>0.12</v>
      </c>
      <c r="M2" s="26">
        <f>J2+K2+L2</f>
        <v>1</v>
      </c>
    </row>
    <row r="3" spans="1:13" x14ac:dyDescent="0.45">
      <c r="A3" s="4" t="s">
        <v>14</v>
      </c>
      <c r="B3" s="4">
        <f>step2_combined_data!AC27</f>
        <v>1.3280000000000001</v>
      </c>
      <c r="C3" s="15">
        <f>CM_REPORT!E16</f>
        <v>0.56000000000000005</v>
      </c>
      <c r="D3" s="32">
        <f>CM_REPORT!E17</f>
        <v>0.22315184957216841</v>
      </c>
      <c r="E3" s="33">
        <f t="shared" ref="E3:E10" si="0">(ABS(J3-G3)+ABS(K3-H3)+ABS(L3-I3))/2</f>
        <v>0.24000000000000005</v>
      </c>
      <c r="F3" s="31">
        <f>EMD!F27</f>
        <v>0.91199999999999992</v>
      </c>
      <c r="G3" s="15">
        <v>0</v>
      </c>
      <c r="H3" s="15">
        <v>0.6</v>
      </c>
      <c r="I3" s="15">
        <v>0.4</v>
      </c>
      <c r="J3" s="15">
        <f>(COUNTIF(step2_combined_data!$Z$2:$Z$26,"Oppose"))/25</f>
        <v>0.2</v>
      </c>
      <c r="K3" s="15">
        <f>(COUNTIF(step2_combined_data!$Z$2:$Z$26,"Neutral"))/25</f>
        <v>0.64</v>
      </c>
      <c r="L3" s="15">
        <f>(COUNTIF(step2_combined_data!$Z$2:$Z$26,"Support"))/25</f>
        <v>0.16</v>
      </c>
      <c r="M3" s="26">
        <f t="shared" ref="M3:M10" si="1">J3+K3+L3</f>
        <v>1</v>
      </c>
    </row>
    <row r="4" spans="1:13" x14ac:dyDescent="0.45">
      <c r="A4" s="4" t="s">
        <v>15</v>
      </c>
      <c r="B4" s="4">
        <f>step2_combined_data!AJ27</f>
        <v>1.7999999999999998</v>
      </c>
      <c r="C4" s="15">
        <f>CM_REPORT!E26</f>
        <v>0.6</v>
      </c>
      <c r="D4" s="32">
        <f>CM_REPORT!E27</f>
        <v>0.302541741159911</v>
      </c>
      <c r="E4" s="33">
        <f t="shared" si="0"/>
        <v>0.16000000000000003</v>
      </c>
      <c r="F4" s="31">
        <f>EMD!I27</f>
        <v>1.5599999999999996</v>
      </c>
      <c r="G4" s="15">
        <v>0.2</v>
      </c>
      <c r="H4" s="15">
        <v>0.52</v>
      </c>
      <c r="I4" s="15">
        <v>0.28000000000000003</v>
      </c>
      <c r="J4" s="15">
        <f>(COUNTIF(step2_combined_data!$AG$2:$AG$26,"Oppose"))/25</f>
        <v>0.04</v>
      </c>
      <c r="K4" s="15">
        <f>(COUNTIF(step2_combined_data!$AG$2:$AG$26,"Neutral"))/25</f>
        <v>0.68</v>
      </c>
      <c r="L4" s="15">
        <f>(COUNTIF(step2_combined_data!$AG$2:$AG$26,"Support"))/25</f>
        <v>0.28000000000000003</v>
      </c>
      <c r="M4" s="26">
        <f t="shared" si="1"/>
        <v>1</v>
      </c>
    </row>
    <row r="5" spans="1:13" x14ac:dyDescent="0.45">
      <c r="A5" s="4" t="s">
        <v>16</v>
      </c>
      <c r="B5" s="4">
        <f>step2_combined_data!AQ27</f>
        <v>1.5440000000000003</v>
      </c>
      <c r="C5" s="15">
        <f>CM_REPORT!E36</f>
        <v>0.56000000000000005</v>
      </c>
      <c r="D5" s="32">
        <f>CM_REPORT!E37</f>
        <v>0.15179083485654057</v>
      </c>
      <c r="E5" s="33">
        <f t="shared" si="0"/>
        <v>3.9999999999999994E-2</v>
      </c>
      <c r="F5" s="31">
        <f>EMD!L27</f>
        <v>1.2079999999999997</v>
      </c>
      <c r="G5" s="15">
        <v>0.04</v>
      </c>
      <c r="H5" s="15">
        <v>0.52</v>
      </c>
      <c r="I5" s="15">
        <v>0.44</v>
      </c>
      <c r="J5" s="15">
        <f>(COUNTIF(step2_combined_data!$AN$2:$AN$26,"Oppose"))/25</f>
        <v>0</v>
      </c>
      <c r="K5" s="15">
        <f>(COUNTIF(step2_combined_data!$AN$2:$AN$26,"Neutral"))/25</f>
        <v>0.52</v>
      </c>
      <c r="L5" s="15">
        <f>(COUNTIF(step2_combined_data!$AN$2:$AN$26,"Support"))/25</f>
        <v>0.48</v>
      </c>
      <c r="M5" s="26">
        <f t="shared" si="1"/>
        <v>1</v>
      </c>
    </row>
    <row r="6" spans="1:13" x14ac:dyDescent="0.45">
      <c r="A6" s="4" t="s">
        <v>17</v>
      </c>
      <c r="B6" s="4">
        <f>step2_combined_data!AX27</f>
        <v>1.1840000000000002</v>
      </c>
      <c r="C6" s="15">
        <f>CM_REPORT!E46</f>
        <v>0.56000000000000005</v>
      </c>
      <c r="D6" s="32">
        <f>CM_REPORT!E47</f>
        <v>6.7299764156685704E-2</v>
      </c>
      <c r="E6" s="33">
        <f t="shared" si="0"/>
        <v>0.12</v>
      </c>
      <c r="F6" s="31">
        <f>EMD!O27</f>
        <v>0.62399999999999989</v>
      </c>
      <c r="G6" s="15">
        <v>0.12</v>
      </c>
      <c r="H6" s="15">
        <v>0.64</v>
      </c>
      <c r="I6" s="15">
        <v>0.24</v>
      </c>
      <c r="J6" s="15">
        <f>(COUNTIF(step2_combined_data!$AU$2:$AU$26,"Oppose"))/25</f>
        <v>0.12</v>
      </c>
      <c r="K6" s="15">
        <f>(COUNTIF(step2_combined_data!$AU$2:$AU$26,"Neutral"))/25</f>
        <v>0.76</v>
      </c>
      <c r="L6" s="15">
        <f>(COUNTIF(step2_combined_data!$AU$2:$AU$26,"Support"))/25</f>
        <v>0.12</v>
      </c>
      <c r="M6" s="26">
        <f t="shared" si="1"/>
        <v>1</v>
      </c>
    </row>
    <row r="7" spans="1:13" x14ac:dyDescent="0.45">
      <c r="A7" s="4" t="s">
        <v>18</v>
      </c>
      <c r="B7" s="4">
        <f>step2_combined_data!BE27</f>
        <v>1.4880000000000004</v>
      </c>
      <c r="C7" s="15">
        <f>CM_REPORT!E56</f>
        <v>0.6</v>
      </c>
      <c r="D7" s="32">
        <f>CM_REPORT!E57</f>
        <v>0.30076400330123909</v>
      </c>
      <c r="E7" s="33">
        <f t="shared" si="0"/>
        <v>0.11999999999999997</v>
      </c>
      <c r="F7" s="31">
        <f>EMD!R27</f>
        <v>1.3279999999999998</v>
      </c>
      <c r="G7" s="15">
        <v>0.16</v>
      </c>
      <c r="H7" s="15">
        <v>0.52</v>
      </c>
      <c r="I7" s="15">
        <v>0.32</v>
      </c>
      <c r="J7" s="15">
        <f>(COUNTIF(step2_combined_data!$BB$2:$BB$26,"Oppose"))/25</f>
        <v>0.04</v>
      </c>
      <c r="K7" s="15">
        <f>(COUNTIF(step2_combined_data!$BB$2:$BB$26,"Neutral"))/25</f>
        <v>0.6</v>
      </c>
      <c r="L7" s="15">
        <f>(COUNTIF(step2_combined_data!$BB$2:$BB$26,"Support"))/25</f>
        <v>0.36</v>
      </c>
      <c r="M7" s="26">
        <f t="shared" si="1"/>
        <v>1</v>
      </c>
    </row>
    <row r="8" spans="1:13" x14ac:dyDescent="0.45">
      <c r="A8" s="4" t="s">
        <v>19</v>
      </c>
      <c r="B8" s="4">
        <f>step2_combined_data!BL27</f>
        <v>1.4560000000000002</v>
      </c>
      <c r="C8" s="15">
        <f>CM_REPORT!E66</f>
        <v>0.72</v>
      </c>
      <c r="D8" s="32">
        <f>CM_REPORT!E67</f>
        <v>0.50390325986026885</v>
      </c>
      <c r="E8" s="33">
        <f t="shared" si="0"/>
        <v>0.28000000000000003</v>
      </c>
      <c r="F8" s="31">
        <f>EMD!U27</f>
        <v>1.4079999999999999</v>
      </c>
      <c r="G8" s="15">
        <v>0.24</v>
      </c>
      <c r="H8" s="15">
        <v>0.6</v>
      </c>
      <c r="I8" s="15">
        <v>0.16</v>
      </c>
      <c r="J8" s="15">
        <f>(COUNTIF(step2_combined_data!$BI$2:$BI$26,"Oppose"))/25</f>
        <v>0</v>
      </c>
      <c r="K8" s="15">
        <f>(COUNTIF(step2_combined_data!$BI$2:$BI$26,"Neutral"))/25</f>
        <v>0.88</v>
      </c>
      <c r="L8" s="15">
        <f>(COUNTIF(step2_combined_data!$BI$2:$BI$26,"Support"))/25</f>
        <v>0.12</v>
      </c>
      <c r="M8" s="26">
        <f t="shared" si="1"/>
        <v>1</v>
      </c>
    </row>
    <row r="9" spans="1:13" x14ac:dyDescent="0.45">
      <c r="A9" s="4" t="s">
        <v>20</v>
      </c>
      <c r="B9" s="4">
        <f>step2_combined_data!BS27</f>
        <v>0.86399999999999988</v>
      </c>
      <c r="C9" s="15">
        <f>CM_REPORT!E75</f>
        <v>0.8</v>
      </c>
      <c r="D9" s="32">
        <f>CM_REPORT!E76</f>
        <v>0.56617647058823528</v>
      </c>
      <c r="E9" s="33">
        <f t="shared" si="0"/>
        <v>0.11999999999999997</v>
      </c>
      <c r="F9" s="31">
        <f>EMD!X27</f>
        <v>0.46400000000000008</v>
      </c>
      <c r="G9" s="15">
        <v>0</v>
      </c>
      <c r="H9" s="15">
        <v>0.68</v>
      </c>
      <c r="I9" s="15">
        <v>0.32</v>
      </c>
      <c r="J9" s="15">
        <f>(COUNTIF(step2_combined_data!$BP$2:$BP$26,"Oppose"))/25</f>
        <v>0.08</v>
      </c>
      <c r="K9" s="15">
        <f>(COUNTIF(step2_combined_data!$BP$2:$BP$26,"Neutral"))/25</f>
        <v>0.72</v>
      </c>
      <c r="L9" s="15">
        <f>(COUNTIF(step2_combined_data!$BP$2:$BP$26,"Support"))/25</f>
        <v>0.2</v>
      </c>
      <c r="M9" s="26">
        <f t="shared" si="1"/>
        <v>1</v>
      </c>
    </row>
    <row r="10" spans="1:13" x14ac:dyDescent="0.45">
      <c r="A10" s="4" t="s">
        <v>21</v>
      </c>
      <c r="B10" s="4">
        <f>step2_combined_data!BZ27</f>
        <v>1.04</v>
      </c>
      <c r="C10" s="15">
        <f>CM_REPORT!E85</f>
        <v>0.88</v>
      </c>
      <c r="D10" s="32">
        <f>CM_REPORT!E86</f>
        <v>0.7566444492037343</v>
      </c>
      <c r="E10" s="33">
        <f t="shared" si="0"/>
        <v>3.9999999999999952E-2</v>
      </c>
      <c r="F10" s="31">
        <f>EMD!AA27</f>
        <v>0.76800000000000002</v>
      </c>
      <c r="G10" s="15">
        <v>0</v>
      </c>
      <c r="H10" s="15">
        <v>0.44</v>
      </c>
      <c r="I10" s="15">
        <v>0.56000000000000005</v>
      </c>
      <c r="J10" s="15">
        <f>(COUNTIF(step2_combined_data!$BW$2:$BW$26,"Oppose"))/25</f>
        <v>0</v>
      </c>
      <c r="K10" s="15">
        <f>(COUNTIF(step2_combined_data!$BW$2:$BW$26,"Neutral"))/25</f>
        <v>0.4</v>
      </c>
      <c r="L10" s="15">
        <f>(COUNTIF(step2_combined_data!$BW$2:$BW$26,"Support"))/25</f>
        <v>0.6</v>
      </c>
      <c r="M10" s="26">
        <f t="shared" si="1"/>
        <v>1</v>
      </c>
    </row>
    <row r="13" spans="1:13" x14ac:dyDescent="0.45">
      <c r="A13" s="28" t="s">
        <v>40</v>
      </c>
      <c r="B13" t="s">
        <v>1502</v>
      </c>
      <c r="C13" s="30" t="s">
        <v>1503</v>
      </c>
    </row>
    <row r="14" spans="1:13" x14ac:dyDescent="0.45">
      <c r="A14" s="29" t="s">
        <v>1500</v>
      </c>
      <c r="B14">
        <v>7</v>
      </c>
      <c r="C14" s="26">
        <f>GETPIVOTDATA("Giới tính của bạn:",$A$13,"Giới tính của bạn:","Nam")/GETPIVOTDATA("Giới tính của bạn:",$A$13)</f>
        <v>0.28000000000000003</v>
      </c>
    </row>
    <row r="15" spans="1:13" x14ac:dyDescent="0.45">
      <c r="A15" s="29" t="s">
        <v>1501</v>
      </c>
      <c r="B15">
        <v>18</v>
      </c>
      <c r="C15" s="26">
        <f>GETPIVOTDATA("Giới tính của bạn:",$A$13,"Giới tính của bạn:","Nữ")/GETPIVOTDATA("Giới tính của bạn:",$A$13)</f>
        <v>0.72</v>
      </c>
    </row>
    <row r="16" spans="1:13" x14ac:dyDescent="0.45">
      <c r="A16" s="29" t="s">
        <v>34</v>
      </c>
      <c r="B16">
        <v>25</v>
      </c>
      <c r="C16" s="26">
        <f>C14+C15</f>
        <v>1</v>
      </c>
    </row>
    <row r="19" spans="1:3" x14ac:dyDescent="0.45">
      <c r="A19" s="28" t="s">
        <v>41</v>
      </c>
      <c r="B19" t="s">
        <v>1502</v>
      </c>
      <c r="C19" s="30" t="s">
        <v>1503</v>
      </c>
    </row>
    <row r="20" spans="1:3" x14ac:dyDescent="0.45">
      <c r="A20" s="29" t="s">
        <v>626</v>
      </c>
      <c r="B20">
        <v>2</v>
      </c>
      <c r="C20" s="26">
        <f>GETPIVOTDATA("Độ tuổi của bạn:",$A$19,"Độ tuổi của bạn:","25 - 29")/GETPIVOTDATA("Độ tuổi của bạn:",$A$19)</f>
        <v>0.08</v>
      </c>
    </row>
    <row r="21" spans="1:3" x14ac:dyDescent="0.45">
      <c r="A21" s="29" t="s">
        <v>93</v>
      </c>
      <c r="B21">
        <v>13</v>
      </c>
      <c r="C21" s="26">
        <f>GETPIVOTDATA("Độ tuổi của bạn:",$A$19,"Độ tuổi của bạn:","30 - 39")/GETPIVOTDATA("Độ tuổi của bạn:",$A$19)</f>
        <v>0.52</v>
      </c>
    </row>
    <row r="22" spans="1:3" x14ac:dyDescent="0.45">
      <c r="A22" s="29" t="s">
        <v>162</v>
      </c>
      <c r="B22">
        <v>10</v>
      </c>
      <c r="C22" s="26">
        <f>GETPIVOTDATA("Độ tuổi của bạn:",$A$19,"Độ tuổi của bạn:","40 - 49")/GETPIVOTDATA("Độ tuổi của bạn:",$A$19)</f>
        <v>0.4</v>
      </c>
    </row>
    <row r="23" spans="1:3" x14ac:dyDescent="0.45">
      <c r="A23" s="29" t="s">
        <v>34</v>
      </c>
      <c r="B23">
        <v>25</v>
      </c>
      <c r="C23" s="26">
        <f>C20+C21+C22</f>
        <v>1</v>
      </c>
    </row>
    <row r="26" spans="1:3" x14ac:dyDescent="0.45">
      <c r="A26" s="28" t="s">
        <v>43</v>
      </c>
      <c r="B26" t="s">
        <v>1502</v>
      </c>
      <c r="C26" s="30" t="s">
        <v>1503</v>
      </c>
    </row>
    <row r="27" spans="1:3" x14ac:dyDescent="0.45">
      <c r="A27" s="29" t="s">
        <v>1504</v>
      </c>
      <c r="B27">
        <v>13</v>
      </c>
      <c r="C27" s="26">
        <f>GETPIVOTDATA("Trình độ học vấn cao nhất:",$A$26,"Trình độ học vấn cao nhất:","Đại học")/GETPIVOTDATA("Trình độ học vấn cao nhất:",$A$26)</f>
        <v>0.52</v>
      </c>
    </row>
    <row r="28" spans="1:3" x14ac:dyDescent="0.45">
      <c r="A28" s="29" t="s">
        <v>1505</v>
      </c>
      <c r="B28">
        <v>12</v>
      </c>
      <c r="C28" s="26">
        <f>GETPIVOTDATA("Trình độ học vấn cao nhất:",$A$26,"Trình độ học vấn cao nhất:","Sau Đại học")/GETPIVOTDATA("Trình độ học vấn cao nhất:",$A$26)</f>
        <v>0.48</v>
      </c>
    </row>
    <row r="29" spans="1:3" x14ac:dyDescent="0.45">
      <c r="A29" s="29" t="s">
        <v>34</v>
      </c>
      <c r="B29">
        <v>25</v>
      </c>
      <c r="C29" s="26">
        <f>SUM(C27:C28)</f>
        <v>1</v>
      </c>
    </row>
    <row r="32" spans="1:3" x14ac:dyDescent="0.45">
      <c r="A32" s="28" t="s">
        <v>44</v>
      </c>
      <c r="B32" t="s">
        <v>1502</v>
      </c>
      <c r="C32" s="30" t="s">
        <v>1503</v>
      </c>
    </row>
    <row r="33" spans="1:3" x14ac:dyDescent="0.45">
      <c r="A33" s="29" t="s">
        <v>1506</v>
      </c>
      <c r="B33">
        <v>21</v>
      </c>
      <c r="C33" s="26">
        <f>GETPIVOTDATA("Tình trạng việc làm chính:",$A$32,"Tình trạng việc làm chính:","Khu vực chính thức (Có Hợp đồng lao động, đóng BHXH)")/GETPIVOTDATA("Tình trạng việc làm chính:",$A$32)</f>
        <v>0.84</v>
      </c>
    </row>
    <row r="34" spans="1:3" x14ac:dyDescent="0.45">
      <c r="A34" s="29" t="s">
        <v>1507</v>
      </c>
      <c r="B34">
        <v>4</v>
      </c>
      <c r="C34" s="26">
        <f>GETPIVOTDATA("Tình trạng việc làm chính:",$A$32,"Tình trạng việc làm chính:","Khu vực phi chính thức (Lao động tự do, không có HĐLĐ)")/GETPIVOTDATA("Tình trạng việc làm chính:",$A$32)</f>
        <v>0.16</v>
      </c>
    </row>
    <row r="35" spans="1:3" x14ac:dyDescent="0.45">
      <c r="A35" s="29" t="s">
        <v>34</v>
      </c>
      <c r="B35">
        <v>25</v>
      </c>
      <c r="C35" s="26">
        <f>SUM(C33:C34)</f>
        <v>1</v>
      </c>
    </row>
    <row r="38" spans="1:3" x14ac:dyDescent="0.45">
      <c r="A38" s="28" t="s">
        <v>1529</v>
      </c>
      <c r="B38" t="s">
        <v>1502</v>
      </c>
      <c r="C38" s="30" t="s">
        <v>1503</v>
      </c>
    </row>
    <row r="39" spans="1:3" x14ac:dyDescent="0.45">
      <c r="A39" s="29" t="s">
        <v>1508</v>
      </c>
      <c r="B39">
        <v>7</v>
      </c>
      <c r="C39"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TNCN)",$A$38)</f>
        <v>0.28000000000000003</v>
      </c>
    </row>
    <row r="40" spans="1:3" x14ac:dyDescent="0.45">
      <c r="A40" s="29" t="s">
        <v>1509</v>
      </c>
      <c r="B40">
        <v>4</v>
      </c>
      <c r="C40"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TNCN)",$A$38)</f>
        <v>0.16</v>
      </c>
    </row>
    <row r="41" spans="1:3" x14ac:dyDescent="0.45">
      <c r="A41" s="29" t="s">
        <v>1510</v>
      </c>
      <c r="B41">
        <v>3</v>
      </c>
      <c r="C41"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TNCN)",$A$38)</f>
        <v>0.12</v>
      </c>
    </row>
    <row r="42" spans="1:3" x14ac:dyDescent="0.45">
      <c r="A42" s="29" t="s">
        <v>1511</v>
      </c>
      <c r="B42">
        <v>7</v>
      </c>
      <c r="C42"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TNCN)",$A$38)</f>
        <v>0.28000000000000003</v>
      </c>
    </row>
    <row r="43" spans="1:3" x14ac:dyDescent="0.45">
      <c r="A43" s="29" t="s">
        <v>1512</v>
      </c>
      <c r="B43">
        <v>1</v>
      </c>
      <c r="C43"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TNCN)",$A$38)</f>
        <v>0.04</v>
      </c>
    </row>
    <row r="44" spans="1:3" x14ac:dyDescent="0.45">
      <c r="A44" s="29" t="s">
        <v>1513</v>
      </c>
      <c r="B44">
        <v>3</v>
      </c>
      <c r="C44" s="26">
        <f>GETPIVOTDATA("Thu nhập bình quân tháng theo Hợp đồng lao động của bạn là bao nhiêu? (Vui lòng điền tổng thu nhập trước khi khấu trừ các loại Bảo hiểm (BHXH, BHYT, BHTN) và Thuế TNCN)",$A$38,"Thu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TNCN)",$A$38)</f>
        <v>0.12</v>
      </c>
    </row>
    <row r="45" spans="1:3" x14ac:dyDescent="0.45">
      <c r="A45" s="29" t="s">
        <v>34</v>
      </c>
      <c r="B45">
        <v>25</v>
      </c>
      <c r="C45" s="26">
        <f>SUM(C39:C44)</f>
        <v>1</v>
      </c>
    </row>
    <row r="48" spans="1:3" x14ac:dyDescent="0.45">
      <c r="A48" s="28" t="s">
        <v>46</v>
      </c>
      <c r="B48" t="s">
        <v>1502</v>
      </c>
      <c r="C48" s="30" t="s">
        <v>1503</v>
      </c>
    </row>
    <row r="49" spans="1:3" x14ac:dyDescent="0.45">
      <c r="A49" s="29" t="s">
        <v>1514</v>
      </c>
      <c r="B49">
        <v>2</v>
      </c>
      <c r="C49" s="26">
        <f>GETPIVOTDATA("Số người phụ thuộc (con nhỏ, cha mẹ già...) đủ điều kiện giảm trừ gia cảnh:",$A$48,"Số người phụ thuộc (con nhỏ, cha mẹ già...) đủ điều kiện giảm trừ gia cảnh:","0 người")/GETPIVOTDATA("Số người phụ thuộc (con nhỏ, cha mẹ già...) đủ điều kiện giảm trừ gia cảnh:",$A$48)</f>
        <v>0.08</v>
      </c>
    </row>
    <row r="50" spans="1:3" x14ac:dyDescent="0.45">
      <c r="A50" s="29" t="s">
        <v>1515</v>
      </c>
      <c r="B50">
        <v>9</v>
      </c>
      <c r="C50" s="26">
        <f>GETPIVOTDATA("Số người phụ thuộc (con nhỏ, cha mẹ già...) đủ điều kiện giảm trừ gia cảnh:",$A$48,"Số người phụ thuộc (con nhỏ, cha mẹ già...) đủ điều kiện giảm trừ gia cảnh:","1 người")/GETPIVOTDATA("Số người phụ thuộc (con nhỏ, cha mẹ già...) đủ điều kiện giảm trừ gia cảnh:",$A$48)</f>
        <v>0.36</v>
      </c>
    </row>
    <row r="51" spans="1:3" x14ac:dyDescent="0.45">
      <c r="A51" s="29" t="s">
        <v>1516</v>
      </c>
      <c r="B51">
        <v>10</v>
      </c>
      <c r="C51" s="26">
        <f>GETPIVOTDATA("Số người phụ thuộc (con nhỏ, cha mẹ già...) đủ điều kiện giảm trừ gia cảnh:",$A$48,"Số người phụ thuộc (con nhỏ, cha mẹ già...) đủ điều kiện giảm trừ gia cảnh:","2 người")/GETPIVOTDATA("Số người phụ thuộc (con nhỏ, cha mẹ già...) đủ điều kiện giảm trừ gia cảnh:",$A$48)</f>
        <v>0.4</v>
      </c>
    </row>
    <row r="52" spans="1:3" x14ac:dyDescent="0.45">
      <c r="A52" s="29" t="s">
        <v>1517</v>
      </c>
      <c r="B52">
        <v>4</v>
      </c>
      <c r="C52" s="26">
        <f>GETPIVOTDATA("Số người phụ thuộc (con nhỏ, cha mẹ già...) đủ điều kiện giảm trừ gia cảnh:",$A$48,"Số người phụ thuộc (con nhỏ, cha mẹ già...) đủ điều kiện giảm trừ gia cảnh:","3 người")/GETPIVOTDATA("Số người phụ thuộc (con nhỏ, cha mẹ già...) đủ điều kiện giảm trừ gia cảnh:",$A$48)</f>
        <v>0.16</v>
      </c>
    </row>
    <row r="53" spans="1:3" x14ac:dyDescent="0.45">
      <c r="A53" s="29" t="s">
        <v>34</v>
      </c>
      <c r="B53">
        <v>25</v>
      </c>
      <c r="C53" s="26">
        <f>SUM(C49:C52)</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topLeftCell="A73" workbookViewId="0">
      <selection activeCell="G5" sqref="G5"/>
    </sheetView>
  </sheetViews>
  <sheetFormatPr defaultRowHeight="14.25" x14ac:dyDescent="0.45"/>
  <cols>
    <col min="2" max="2" width="16.73046875" bestFit="1" customWidth="1"/>
  </cols>
  <sheetData>
    <row r="1" spans="1:11" x14ac:dyDescent="0.45">
      <c r="A1" s="38" t="s">
        <v>22</v>
      </c>
      <c r="B1" s="38"/>
      <c r="C1" s="37" t="s">
        <v>23</v>
      </c>
      <c r="D1" s="37"/>
      <c r="E1" s="37"/>
      <c r="F1" s="1" t="s">
        <v>34</v>
      </c>
    </row>
    <row r="2" spans="1:11" x14ac:dyDescent="0.45">
      <c r="A2" s="38"/>
      <c r="B2" s="38"/>
      <c r="C2" s="1" t="s">
        <v>1</v>
      </c>
      <c r="D2" s="1" t="s">
        <v>2</v>
      </c>
      <c r="E2" s="1" t="s">
        <v>3</v>
      </c>
      <c r="F2" s="4"/>
    </row>
    <row r="3" spans="1:11" x14ac:dyDescent="0.45">
      <c r="A3" s="37" t="s">
        <v>24</v>
      </c>
      <c r="B3" s="1" t="s">
        <v>1</v>
      </c>
      <c r="C3" s="3">
        <f>CM_ENF1!B2</f>
        <v>3</v>
      </c>
      <c r="D3" s="4">
        <f>CM_ENF1!C2</f>
        <v>3</v>
      </c>
      <c r="E3" s="4">
        <f>CM_ENF1!D2</f>
        <v>1</v>
      </c>
      <c r="F3" s="6">
        <f>SUM(C3:E3)</f>
        <v>7</v>
      </c>
    </row>
    <row r="4" spans="1:11" x14ac:dyDescent="0.45">
      <c r="A4" s="37"/>
      <c r="B4" s="1" t="s">
        <v>2</v>
      </c>
      <c r="C4" s="4">
        <f>CM_ENF1!B3</f>
        <v>0</v>
      </c>
      <c r="D4" s="3">
        <f>CM_ENF1!C3</f>
        <v>8</v>
      </c>
      <c r="E4" s="4">
        <f>CM_ENF1!D3</f>
        <v>7</v>
      </c>
      <c r="F4" s="6">
        <f t="shared" ref="F4:F5" si="0">SUM(C4:E4)</f>
        <v>15</v>
      </c>
    </row>
    <row r="5" spans="1:11" x14ac:dyDescent="0.45">
      <c r="A5" s="37"/>
      <c r="B5" s="1" t="s">
        <v>3</v>
      </c>
      <c r="C5" s="4">
        <f>CM_ENF1!B4</f>
        <v>0</v>
      </c>
      <c r="D5" s="4">
        <f>CM_ENF1!C4</f>
        <v>0</v>
      </c>
      <c r="E5" s="3">
        <f>CM_ENF1!D4</f>
        <v>3</v>
      </c>
      <c r="F5" s="6">
        <f t="shared" si="0"/>
        <v>3</v>
      </c>
      <c r="G5" s="27" t="s">
        <v>36</v>
      </c>
      <c r="H5" s="27" t="s">
        <v>1499</v>
      </c>
      <c r="I5" s="27" t="s">
        <v>1497</v>
      </c>
      <c r="J5" s="27" t="s">
        <v>1498</v>
      </c>
    </row>
    <row r="6" spans="1:11" x14ac:dyDescent="0.45">
      <c r="A6" s="2"/>
      <c r="B6" s="1" t="s">
        <v>34</v>
      </c>
      <c r="C6" s="6">
        <f>SUM(C3:C5)</f>
        <v>3</v>
      </c>
      <c r="D6" s="6">
        <f>SUM(D3:D5)</f>
        <v>11</v>
      </c>
      <c r="E6" s="6">
        <f>SUM(E3:E5)</f>
        <v>11</v>
      </c>
      <c r="F6" s="6">
        <f>SUM(C6:E6)</f>
        <v>25</v>
      </c>
      <c r="G6" s="8">
        <f>C3+D4+E5</f>
        <v>14</v>
      </c>
      <c r="H6" s="8">
        <f>(C6*F3)+(D6*F4)+(E6*F5)</f>
        <v>219</v>
      </c>
      <c r="I6" s="8">
        <f>(C6^2)+(D6^2)+(E6^2)</f>
        <v>251</v>
      </c>
      <c r="J6" s="8">
        <f>(F3^2)+(F4^2)+(F5^2)</f>
        <v>283</v>
      </c>
      <c r="K6" s="10"/>
    </row>
    <row r="7" spans="1:11" x14ac:dyDescent="0.45">
      <c r="A7" s="4"/>
      <c r="B7" s="5" t="s">
        <v>25</v>
      </c>
      <c r="C7" s="6"/>
      <c r="D7" s="6"/>
      <c r="E7" s="16">
        <f>(C3+D4+E5)/25</f>
        <v>0.56000000000000005</v>
      </c>
      <c r="F7" s="4"/>
    </row>
    <row r="8" spans="1:11" x14ac:dyDescent="0.45">
      <c r="A8" s="4"/>
      <c r="B8" s="5" t="s">
        <v>35</v>
      </c>
      <c r="C8" s="4"/>
      <c r="D8" s="4"/>
      <c r="E8" s="9">
        <f>(G6*F6-H6)/SQRT((F6^2-I6)*(F6^2-J6))</f>
        <v>0.36628778965160635</v>
      </c>
      <c r="F8" s="4"/>
    </row>
    <row r="10" spans="1:11" x14ac:dyDescent="0.45">
      <c r="A10" s="38" t="s">
        <v>26</v>
      </c>
      <c r="B10" s="38"/>
      <c r="C10" s="37" t="s">
        <v>23</v>
      </c>
      <c r="D10" s="37"/>
      <c r="E10" s="37"/>
      <c r="F10" s="1" t="s">
        <v>34</v>
      </c>
    </row>
    <row r="11" spans="1:11" x14ac:dyDescent="0.45">
      <c r="A11" s="38"/>
      <c r="B11" s="38"/>
      <c r="C11" s="1" t="s">
        <v>1</v>
      </c>
      <c r="D11" s="1" t="s">
        <v>2</v>
      </c>
      <c r="E11" s="1" t="s">
        <v>3</v>
      </c>
      <c r="F11" s="4"/>
    </row>
    <row r="12" spans="1:11" x14ac:dyDescent="0.45">
      <c r="A12" s="37" t="s">
        <v>24</v>
      </c>
      <c r="B12" s="1" t="s">
        <v>1</v>
      </c>
      <c r="C12" s="3">
        <f>CM_ENF2!B2</f>
        <v>0</v>
      </c>
      <c r="D12" s="4">
        <f>CM_ENF2!C2</f>
        <v>5</v>
      </c>
      <c r="E12" s="4">
        <f>CM_ENF2!D2</f>
        <v>0</v>
      </c>
      <c r="F12" s="6">
        <f>SUM(C12:E12)</f>
        <v>5</v>
      </c>
    </row>
    <row r="13" spans="1:11" x14ac:dyDescent="0.45">
      <c r="A13" s="37"/>
      <c r="B13" s="1" t="s">
        <v>2</v>
      </c>
      <c r="C13" s="4">
        <f>CM_ENF2!B3</f>
        <v>0</v>
      </c>
      <c r="D13" s="3">
        <f>CM_ENF2!C3</f>
        <v>10</v>
      </c>
      <c r="E13" s="4">
        <f>CM_ENF2!D3</f>
        <v>6</v>
      </c>
      <c r="F13" s="6">
        <f t="shared" ref="F13:F14" si="1">SUM(C13:E13)</f>
        <v>16</v>
      </c>
    </row>
    <row r="14" spans="1:11" x14ac:dyDescent="0.45">
      <c r="A14" s="37"/>
      <c r="B14" s="1" t="s">
        <v>3</v>
      </c>
      <c r="C14" s="4">
        <f>CM_ENF2!B4</f>
        <v>0</v>
      </c>
      <c r="D14" s="4">
        <f>CM_ENF2!C4</f>
        <v>0</v>
      </c>
      <c r="E14" s="3">
        <f>CM_ENF2!D4</f>
        <v>4</v>
      </c>
      <c r="F14" s="6">
        <f t="shared" si="1"/>
        <v>4</v>
      </c>
      <c r="G14" s="27" t="s">
        <v>36</v>
      </c>
      <c r="H14" s="27" t="s">
        <v>1499</v>
      </c>
      <c r="I14" s="27" t="s">
        <v>1497</v>
      </c>
      <c r="J14" s="27" t="s">
        <v>1498</v>
      </c>
    </row>
    <row r="15" spans="1:11" x14ac:dyDescent="0.45">
      <c r="A15" s="2"/>
      <c r="B15" s="1" t="s">
        <v>34</v>
      </c>
      <c r="C15" s="6">
        <f>SUM(C12:C14)</f>
        <v>0</v>
      </c>
      <c r="D15" s="6">
        <f>SUM(D12:D14)</f>
        <v>15</v>
      </c>
      <c r="E15" s="6">
        <f>SUM(E12:E14)</f>
        <v>10</v>
      </c>
      <c r="F15" s="6">
        <f>SUM(C15:E15)</f>
        <v>25</v>
      </c>
      <c r="G15" s="8">
        <f>C12+D13+E14</f>
        <v>14</v>
      </c>
      <c r="H15" s="8">
        <f>(C15*F12)+(D15*F13)+(E15*F14)</f>
        <v>280</v>
      </c>
      <c r="I15" s="8">
        <f>(C15^2)+(D15^2)+(E15^2)</f>
        <v>325</v>
      </c>
      <c r="J15" s="8">
        <f>(F12^2)+(F13^2)+(F14^2)</f>
        <v>297</v>
      </c>
      <c r="K15" s="10"/>
    </row>
    <row r="16" spans="1:11" x14ac:dyDescent="0.45">
      <c r="A16" s="4"/>
      <c r="B16" s="5" t="s">
        <v>25</v>
      </c>
      <c r="C16" s="6"/>
      <c r="D16" s="6"/>
      <c r="E16" s="16">
        <f>(C12+D13+E14)/25</f>
        <v>0.56000000000000005</v>
      </c>
      <c r="F16" s="4"/>
    </row>
    <row r="17" spans="1:11" x14ac:dyDescent="0.45">
      <c r="A17" s="4"/>
      <c r="B17" s="5" t="s">
        <v>35</v>
      </c>
      <c r="C17" s="4"/>
      <c r="D17" s="4"/>
      <c r="E17" s="9">
        <f>(G15*F15-H15)/SQRT((F15^2-I15)*(F15^2-J15))</f>
        <v>0.22315184957216841</v>
      </c>
      <c r="F17" s="4"/>
    </row>
    <row r="20" spans="1:11" x14ac:dyDescent="0.45">
      <c r="A20" s="38" t="s">
        <v>27</v>
      </c>
      <c r="B20" s="38"/>
      <c r="C20" s="37" t="s">
        <v>23</v>
      </c>
      <c r="D20" s="37"/>
      <c r="E20" s="37"/>
      <c r="F20" s="1" t="s">
        <v>34</v>
      </c>
    </row>
    <row r="21" spans="1:11" x14ac:dyDescent="0.45">
      <c r="A21" s="38"/>
      <c r="B21" s="38"/>
      <c r="C21" s="1" t="s">
        <v>1</v>
      </c>
      <c r="D21" s="1" t="s">
        <v>2</v>
      </c>
      <c r="E21" s="1" t="s">
        <v>3</v>
      </c>
      <c r="F21" s="4"/>
    </row>
    <row r="22" spans="1:11" x14ac:dyDescent="0.45">
      <c r="A22" s="37" t="s">
        <v>24</v>
      </c>
      <c r="B22" s="1" t="s">
        <v>1</v>
      </c>
      <c r="C22" s="3">
        <f>CM_FAC1!B2</f>
        <v>1</v>
      </c>
      <c r="D22" s="4">
        <f>CM_FAC1!C2</f>
        <v>0</v>
      </c>
      <c r="E22" s="4">
        <f>CM_FAC1!D2</f>
        <v>0</v>
      </c>
      <c r="F22" s="6">
        <f>SUM(C22:E22)</f>
        <v>1</v>
      </c>
    </row>
    <row r="23" spans="1:11" x14ac:dyDescent="0.45">
      <c r="A23" s="37"/>
      <c r="B23" s="1" t="s">
        <v>2</v>
      </c>
      <c r="C23" s="4">
        <f>CM_FAC1!B3</f>
        <v>4</v>
      </c>
      <c r="D23" s="3">
        <f>CM_FAC1!C3</f>
        <v>10</v>
      </c>
      <c r="E23" s="4">
        <f>CM_FAC1!D3</f>
        <v>3</v>
      </c>
      <c r="F23" s="6">
        <f t="shared" ref="F23:F24" si="2">SUM(C23:E23)</f>
        <v>17</v>
      </c>
    </row>
    <row r="24" spans="1:11" x14ac:dyDescent="0.45">
      <c r="A24" s="37"/>
      <c r="B24" s="1" t="s">
        <v>3</v>
      </c>
      <c r="C24" s="4">
        <f>CM_FAC1!B4</f>
        <v>0</v>
      </c>
      <c r="D24" s="4">
        <f>CM_FAC1!C4</f>
        <v>3</v>
      </c>
      <c r="E24" s="3">
        <f>CM_FAC1!D4</f>
        <v>4</v>
      </c>
      <c r="F24" s="6">
        <f t="shared" si="2"/>
        <v>7</v>
      </c>
      <c r="G24" s="27" t="s">
        <v>36</v>
      </c>
      <c r="H24" s="27" t="s">
        <v>1499</v>
      </c>
      <c r="I24" s="27" t="s">
        <v>1497</v>
      </c>
      <c r="J24" s="27" t="s">
        <v>1498</v>
      </c>
    </row>
    <row r="25" spans="1:11" x14ac:dyDescent="0.45">
      <c r="A25" s="2"/>
      <c r="B25" s="1" t="s">
        <v>34</v>
      </c>
      <c r="C25" s="6">
        <f>SUM(C22:C24)</f>
        <v>5</v>
      </c>
      <c r="D25" s="6">
        <f>SUM(D22:D24)</f>
        <v>13</v>
      </c>
      <c r="E25" s="6">
        <f>SUM(E22:E24)</f>
        <v>7</v>
      </c>
      <c r="F25" s="6">
        <f>SUM(C25:E25)</f>
        <v>25</v>
      </c>
      <c r="G25" s="8">
        <f>C22+D23+E24</f>
        <v>15</v>
      </c>
      <c r="H25" s="8">
        <f>(C25*F22)+(D25*F23)+(E25*F24)</f>
        <v>275</v>
      </c>
      <c r="I25" s="8">
        <f>(C25^2)+(D25^2)+(E25^2)</f>
        <v>243</v>
      </c>
      <c r="J25" s="8">
        <f>(F22^2)+(F23^2)+(F24^2)</f>
        <v>339</v>
      </c>
      <c r="K25" s="10"/>
    </row>
    <row r="26" spans="1:11" x14ac:dyDescent="0.45">
      <c r="A26" s="4"/>
      <c r="B26" s="5" t="s">
        <v>25</v>
      </c>
      <c r="C26" s="6"/>
      <c r="D26" s="6"/>
      <c r="E26" s="16">
        <f>(C22+D23+E24)/25</f>
        <v>0.6</v>
      </c>
      <c r="F26" s="4"/>
    </row>
    <row r="27" spans="1:11" x14ac:dyDescent="0.45">
      <c r="A27" s="4"/>
      <c r="B27" s="5" t="s">
        <v>35</v>
      </c>
      <c r="C27" s="4"/>
      <c r="D27" s="4"/>
      <c r="E27" s="9">
        <f>(G25*F25-H25)/SQRT((F25^2-I25)*(F25^2-J25))</f>
        <v>0.302541741159911</v>
      </c>
      <c r="F27" s="4"/>
    </row>
    <row r="30" spans="1:11" x14ac:dyDescent="0.45">
      <c r="A30" s="38" t="s">
        <v>28</v>
      </c>
      <c r="B30" s="38"/>
      <c r="C30" s="37" t="s">
        <v>23</v>
      </c>
      <c r="D30" s="37"/>
      <c r="E30" s="37"/>
      <c r="F30" s="1" t="s">
        <v>34</v>
      </c>
    </row>
    <row r="31" spans="1:11" x14ac:dyDescent="0.45">
      <c r="A31" s="38"/>
      <c r="B31" s="38"/>
      <c r="C31" s="1" t="s">
        <v>1</v>
      </c>
      <c r="D31" s="1" t="s">
        <v>2</v>
      </c>
      <c r="E31" s="1" t="s">
        <v>3</v>
      </c>
      <c r="F31" s="4"/>
    </row>
    <row r="32" spans="1:11" x14ac:dyDescent="0.45">
      <c r="A32" s="37" t="s">
        <v>24</v>
      </c>
      <c r="B32" s="1" t="s">
        <v>1</v>
      </c>
      <c r="C32" s="3">
        <f>CM_FAC2!B2</f>
        <v>0</v>
      </c>
      <c r="D32" s="4">
        <f>CM_FAC2!C2</f>
        <v>0</v>
      </c>
      <c r="E32" s="4">
        <f>CM_FAC2!D2</f>
        <v>0</v>
      </c>
      <c r="F32" s="6">
        <f>SUM(C32:E32)</f>
        <v>0</v>
      </c>
    </row>
    <row r="33" spans="1:11" x14ac:dyDescent="0.45">
      <c r="A33" s="37"/>
      <c r="B33" s="1" t="s">
        <v>2</v>
      </c>
      <c r="C33" s="4">
        <f>CM_FAC2!B3</f>
        <v>0</v>
      </c>
      <c r="D33" s="3">
        <f>CM_FAC2!C3</f>
        <v>8</v>
      </c>
      <c r="E33" s="4">
        <f>CM_FAC2!D3</f>
        <v>5</v>
      </c>
      <c r="F33" s="6">
        <f t="shared" ref="F33:F34" si="3">SUM(C33:E33)</f>
        <v>13</v>
      </c>
    </row>
    <row r="34" spans="1:11" x14ac:dyDescent="0.45">
      <c r="A34" s="37"/>
      <c r="B34" s="1" t="s">
        <v>3</v>
      </c>
      <c r="C34" s="4">
        <f>CM_FAC2!B4</f>
        <v>1</v>
      </c>
      <c r="D34" s="4">
        <f>CM_FAC2!C4</f>
        <v>5</v>
      </c>
      <c r="E34" s="3">
        <f>CM_FAC2!D4</f>
        <v>6</v>
      </c>
      <c r="F34" s="6">
        <f t="shared" si="3"/>
        <v>12</v>
      </c>
      <c r="G34" s="27" t="s">
        <v>36</v>
      </c>
      <c r="H34" s="27" t="s">
        <v>1499</v>
      </c>
      <c r="I34" s="27" t="s">
        <v>1497</v>
      </c>
      <c r="J34" s="27" t="s">
        <v>1498</v>
      </c>
    </row>
    <row r="35" spans="1:11" x14ac:dyDescent="0.45">
      <c r="A35" s="2"/>
      <c r="B35" s="1" t="s">
        <v>34</v>
      </c>
      <c r="C35" s="6">
        <f>SUM(C32:C34)</f>
        <v>1</v>
      </c>
      <c r="D35" s="6">
        <f>SUM(D32:D34)</f>
        <v>13</v>
      </c>
      <c r="E35" s="6">
        <f>SUM(E32:E34)</f>
        <v>11</v>
      </c>
      <c r="F35" s="6">
        <f>SUM(C35:E35)</f>
        <v>25</v>
      </c>
      <c r="G35" s="8">
        <f>C32+D33+E34</f>
        <v>14</v>
      </c>
      <c r="H35" s="8">
        <f>(C35*F32)+(D35*F33)+(E35*F34)</f>
        <v>301</v>
      </c>
      <c r="I35" s="8">
        <f>(C35^2)+(D35^2)+(E35^2)</f>
        <v>291</v>
      </c>
      <c r="J35" s="8">
        <f>(F32^2)+(F33^2)+(F34^2)</f>
        <v>313</v>
      </c>
      <c r="K35" s="10"/>
    </row>
    <row r="36" spans="1:11" x14ac:dyDescent="0.45">
      <c r="A36" s="4"/>
      <c r="B36" s="5" t="s">
        <v>25</v>
      </c>
      <c r="C36" s="6"/>
      <c r="D36" s="6"/>
      <c r="E36" s="16">
        <f>(C32+D33+E34)/25</f>
        <v>0.56000000000000005</v>
      </c>
      <c r="F36" s="4"/>
    </row>
    <row r="37" spans="1:11" x14ac:dyDescent="0.45">
      <c r="A37" s="4"/>
      <c r="B37" s="5" t="s">
        <v>35</v>
      </c>
      <c r="C37" s="4"/>
      <c r="D37" s="4"/>
      <c r="E37" s="9">
        <f>(G35*F35-H35)/SQRT((F35^2-I35)*(F35^2-J35))</f>
        <v>0.15179083485654057</v>
      </c>
      <c r="F37" s="4"/>
    </row>
    <row r="40" spans="1:11" x14ac:dyDescent="0.45">
      <c r="A40" s="38" t="s">
        <v>29</v>
      </c>
      <c r="B40" s="38"/>
      <c r="C40" s="37" t="s">
        <v>23</v>
      </c>
      <c r="D40" s="37"/>
      <c r="E40" s="37"/>
      <c r="F40" s="1" t="s">
        <v>34</v>
      </c>
    </row>
    <row r="41" spans="1:11" x14ac:dyDescent="0.45">
      <c r="A41" s="38"/>
      <c r="B41" s="38"/>
      <c r="C41" s="1" t="s">
        <v>1</v>
      </c>
      <c r="D41" s="1" t="s">
        <v>2</v>
      </c>
      <c r="E41" s="1" t="s">
        <v>3</v>
      </c>
      <c r="F41" s="4"/>
    </row>
    <row r="42" spans="1:11" x14ac:dyDescent="0.45">
      <c r="A42" s="37" t="s">
        <v>24</v>
      </c>
      <c r="B42" s="1" t="s">
        <v>1</v>
      </c>
      <c r="C42" s="3">
        <f>CM_TRU1!B2</f>
        <v>0</v>
      </c>
      <c r="D42" s="4">
        <f>CM_TRU1!C2</f>
        <v>3</v>
      </c>
      <c r="E42" s="4">
        <f>CM_TRU1!D2</f>
        <v>0</v>
      </c>
      <c r="F42" s="6">
        <f>SUM(C42:E42)</f>
        <v>3</v>
      </c>
    </row>
    <row r="43" spans="1:11" x14ac:dyDescent="0.45">
      <c r="A43" s="37"/>
      <c r="B43" s="1" t="s">
        <v>2</v>
      </c>
      <c r="C43" s="4">
        <f>CM_TRU1!B3</f>
        <v>3</v>
      </c>
      <c r="D43" s="3">
        <f>CM_TRU1!C3</f>
        <v>12</v>
      </c>
      <c r="E43" s="4">
        <f>CM_TRU1!D3</f>
        <v>4</v>
      </c>
      <c r="F43" s="6">
        <f t="shared" ref="F43:F44" si="4">SUM(C43:E43)</f>
        <v>19</v>
      </c>
    </row>
    <row r="44" spans="1:11" x14ac:dyDescent="0.45">
      <c r="A44" s="37"/>
      <c r="B44" s="1" t="s">
        <v>3</v>
      </c>
      <c r="C44" s="4">
        <f>CM_TRU1!B4</f>
        <v>0</v>
      </c>
      <c r="D44" s="4">
        <f>CM_TRU1!C4</f>
        <v>1</v>
      </c>
      <c r="E44" s="3">
        <f>CM_TRU1!D4</f>
        <v>2</v>
      </c>
      <c r="F44" s="6">
        <f t="shared" si="4"/>
        <v>3</v>
      </c>
      <c r="G44" s="27" t="s">
        <v>36</v>
      </c>
      <c r="H44" s="27" t="s">
        <v>1499</v>
      </c>
      <c r="I44" s="27" t="s">
        <v>1497</v>
      </c>
      <c r="J44" s="27" t="s">
        <v>1498</v>
      </c>
    </row>
    <row r="45" spans="1:11" x14ac:dyDescent="0.45">
      <c r="A45" s="2"/>
      <c r="B45" s="1" t="s">
        <v>34</v>
      </c>
      <c r="C45" s="6">
        <f>SUM(C42:C44)</f>
        <v>3</v>
      </c>
      <c r="D45" s="6">
        <f>SUM(D42:D44)</f>
        <v>16</v>
      </c>
      <c r="E45" s="6">
        <f>SUM(E42:E44)</f>
        <v>6</v>
      </c>
      <c r="F45" s="6">
        <f>SUM(C45:E45)</f>
        <v>25</v>
      </c>
      <c r="G45" s="8">
        <f>C42+D43+E44</f>
        <v>14</v>
      </c>
      <c r="H45" s="8">
        <f>(C45*F42)+(D45*F43)+(E45*F44)</f>
        <v>331</v>
      </c>
      <c r="I45" s="8">
        <f>(C45^2)+(D45^2)+(E45^2)</f>
        <v>301</v>
      </c>
      <c r="J45" s="8">
        <f>(F42^2)+(F43^2)+(F44^2)</f>
        <v>379</v>
      </c>
      <c r="K45" s="10"/>
    </row>
    <row r="46" spans="1:11" x14ac:dyDescent="0.45">
      <c r="A46" s="4"/>
      <c r="B46" s="5" t="s">
        <v>25</v>
      </c>
      <c r="C46" s="6"/>
      <c r="D46" s="6"/>
      <c r="E46" s="16">
        <f>(C42+D43+E44)/25</f>
        <v>0.56000000000000005</v>
      </c>
      <c r="F46" s="4"/>
    </row>
    <row r="47" spans="1:11" x14ac:dyDescent="0.45">
      <c r="A47" s="4"/>
      <c r="B47" s="5" t="s">
        <v>35</v>
      </c>
      <c r="C47" s="4"/>
      <c r="D47" s="4"/>
      <c r="E47" s="9">
        <f>(G45*F45-H45)/SQRT((F45^2-I45)*(F45^2-J45))</f>
        <v>6.7299764156685704E-2</v>
      </c>
      <c r="F47" s="4"/>
    </row>
    <row r="50" spans="1:11" x14ac:dyDescent="0.45">
      <c r="A50" s="38" t="s">
        <v>30</v>
      </c>
      <c r="B50" s="38"/>
      <c r="C50" s="37" t="s">
        <v>23</v>
      </c>
      <c r="D50" s="37"/>
      <c r="E50" s="37"/>
      <c r="F50" s="1" t="s">
        <v>34</v>
      </c>
    </row>
    <row r="51" spans="1:11" x14ac:dyDescent="0.45">
      <c r="A51" s="38"/>
      <c r="B51" s="38"/>
      <c r="C51" s="1" t="s">
        <v>1</v>
      </c>
      <c r="D51" s="1" t="s">
        <v>2</v>
      </c>
      <c r="E51" s="1" t="s">
        <v>3</v>
      </c>
      <c r="F51" s="4"/>
    </row>
    <row r="52" spans="1:11" x14ac:dyDescent="0.45">
      <c r="A52" s="37" t="s">
        <v>24</v>
      </c>
      <c r="B52" s="1" t="s">
        <v>1</v>
      </c>
      <c r="C52" s="3">
        <f>CM_TRU2!B2</f>
        <v>1</v>
      </c>
      <c r="D52" s="4">
        <f>CM_TRU2!C2</f>
        <v>0</v>
      </c>
      <c r="E52" s="4">
        <f>CM_TRU2!D2</f>
        <v>0</v>
      </c>
      <c r="F52" s="6">
        <f>SUM(C52:E52)</f>
        <v>1</v>
      </c>
    </row>
    <row r="53" spans="1:11" x14ac:dyDescent="0.45">
      <c r="A53" s="37"/>
      <c r="B53" s="1" t="s">
        <v>2</v>
      </c>
      <c r="C53" s="4">
        <f>CM_TRU2!B3</f>
        <v>3</v>
      </c>
      <c r="D53" s="3">
        <f>CM_TRU2!C3</f>
        <v>9</v>
      </c>
      <c r="E53" s="4">
        <f>CM_TRU2!D3</f>
        <v>3</v>
      </c>
      <c r="F53" s="6">
        <f t="shared" ref="F53:F54" si="5">SUM(C53:E53)</f>
        <v>15</v>
      </c>
    </row>
    <row r="54" spans="1:11" x14ac:dyDescent="0.45">
      <c r="A54" s="37"/>
      <c r="B54" s="1" t="s">
        <v>3</v>
      </c>
      <c r="C54" s="4">
        <f>CM_TRU2!B4</f>
        <v>0</v>
      </c>
      <c r="D54" s="4">
        <f>CM_TRU2!C4</f>
        <v>4</v>
      </c>
      <c r="E54" s="3">
        <f>CM_TRU2!D4</f>
        <v>5</v>
      </c>
      <c r="F54" s="6">
        <f t="shared" si="5"/>
        <v>9</v>
      </c>
      <c r="G54" s="27" t="s">
        <v>36</v>
      </c>
      <c r="H54" s="27" t="s">
        <v>1499</v>
      </c>
      <c r="I54" s="27" t="s">
        <v>1497</v>
      </c>
      <c r="J54" s="27" t="s">
        <v>1498</v>
      </c>
    </row>
    <row r="55" spans="1:11" x14ac:dyDescent="0.45">
      <c r="A55" s="2"/>
      <c r="B55" s="1" t="s">
        <v>34</v>
      </c>
      <c r="C55" s="6">
        <f>SUM(C52:C54)</f>
        <v>4</v>
      </c>
      <c r="D55" s="6">
        <f>SUM(D52:D54)</f>
        <v>13</v>
      </c>
      <c r="E55" s="6">
        <f>SUM(E52:E54)</f>
        <v>8</v>
      </c>
      <c r="F55" s="6">
        <f>SUM(C55:E55)</f>
        <v>25</v>
      </c>
      <c r="G55" s="8">
        <f>C52+D53+E54</f>
        <v>15</v>
      </c>
      <c r="H55" s="8">
        <f>(C55*F52)+(D55*F53)+(E55*F54)</f>
        <v>271</v>
      </c>
      <c r="I55" s="8">
        <f>(C55^2)+(D55^2)+(E55^2)</f>
        <v>249</v>
      </c>
      <c r="J55" s="8">
        <f>(F52^2)+(F53^2)+(F54^2)</f>
        <v>307</v>
      </c>
      <c r="K55" s="10"/>
    </row>
    <row r="56" spans="1:11" x14ac:dyDescent="0.45">
      <c r="A56" s="4"/>
      <c r="B56" s="5" t="s">
        <v>25</v>
      </c>
      <c r="C56" s="6"/>
      <c r="D56" s="6"/>
      <c r="E56" s="16">
        <f>(C52+D53+E54)/25</f>
        <v>0.6</v>
      </c>
      <c r="F56" s="4"/>
    </row>
    <row r="57" spans="1:11" x14ac:dyDescent="0.45">
      <c r="A57" s="4"/>
      <c r="B57" s="5" t="s">
        <v>35</v>
      </c>
      <c r="C57" s="4"/>
      <c r="D57" s="4"/>
      <c r="E57" s="9">
        <f>(G55*F55-H55)/SQRT((F55^2-I55)*(F55^2-J55))</f>
        <v>0.30076400330123909</v>
      </c>
      <c r="F57" s="4"/>
    </row>
    <row r="60" spans="1:11" x14ac:dyDescent="0.45">
      <c r="A60" s="38" t="s">
        <v>31</v>
      </c>
      <c r="B60" s="38"/>
      <c r="C60" s="37" t="s">
        <v>23</v>
      </c>
      <c r="D60" s="37"/>
      <c r="E60" s="37"/>
      <c r="F60" s="1" t="s">
        <v>34</v>
      </c>
    </row>
    <row r="61" spans="1:11" x14ac:dyDescent="0.45">
      <c r="A61" s="38"/>
      <c r="B61" s="38"/>
      <c r="C61" s="13" t="s">
        <v>1</v>
      </c>
      <c r="D61" s="1" t="s">
        <v>2</v>
      </c>
      <c r="E61" s="1" t="s">
        <v>3</v>
      </c>
      <c r="F61" s="4"/>
    </row>
    <row r="62" spans="1:11" x14ac:dyDescent="0.45">
      <c r="A62" s="37" t="s">
        <v>24</v>
      </c>
      <c r="B62" s="11" t="s">
        <v>1</v>
      </c>
      <c r="C62" s="3">
        <f>CM_TRU3!B2</f>
        <v>0</v>
      </c>
      <c r="D62">
        <f>CM_TRU3!C2</f>
        <v>0</v>
      </c>
      <c r="E62">
        <f>CM_TRU3!D2</f>
        <v>0</v>
      </c>
      <c r="F62" s="6">
        <f>SUM(C62:E62)</f>
        <v>0</v>
      </c>
    </row>
    <row r="63" spans="1:11" x14ac:dyDescent="0.45">
      <c r="A63" s="37"/>
      <c r="B63" s="1" t="s">
        <v>2</v>
      </c>
      <c r="C63">
        <f>CM_TRU3!B3</f>
        <v>6</v>
      </c>
      <c r="D63" s="3">
        <f>CM_TRU3!C3</f>
        <v>15</v>
      </c>
      <c r="E63">
        <f>CM_TRU3!D3</f>
        <v>1</v>
      </c>
      <c r="F63" s="6">
        <f t="shared" ref="F63:F64" si="6">SUM(C63:E63)</f>
        <v>22</v>
      </c>
    </row>
    <row r="64" spans="1:11" x14ac:dyDescent="0.45">
      <c r="A64" s="37"/>
      <c r="B64" s="1" t="s">
        <v>3</v>
      </c>
      <c r="C64">
        <f>CM_TRU3!B4</f>
        <v>0</v>
      </c>
      <c r="D64">
        <f>CM_TRU3!C4</f>
        <v>0</v>
      </c>
      <c r="E64" s="3">
        <f>CM_TRU3!D4</f>
        <v>3</v>
      </c>
      <c r="F64" s="12">
        <f t="shared" si="6"/>
        <v>3</v>
      </c>
      <c r="G64" s="27" t="s">
        <v>36</v>
      </c>
      <c r="H64" s="27" t="s">
        <v>1499</v>
      </c>
      <c r="I64" s="27" t="s">
        <v>1497</v>
      </c>
      <c r="J64" s="27" t="s">
        <v>1498</v>
      </c>
    </row>
    <row r="65" spans="1:11" x14ac:dyDescent="0.45">
      <c r="A65" s="2"/>
      <c r="B65" s="1" t="s">
        <v>34</v>
      </c>
      <c r="C65" s="6">
        <f>SUM(C62:C64)</f>
        <v>6</v>
      </c>
      <c r="D65" s="6">
        <f>SUM(D62:D64)</f>
        <v>15</v>
      </c>
      <c r="E65" s="14">
        <f>SUM(E62:E64)</f>
        <v>4</v>
      </c>
      <c r="F65" s="6">
        <f>SUM(C65:E65)</f>
        <v>25</v>
      </c>
      <c r="G65" s="8">
        <f>C62+D63+E64</f>
        <v>18</v>
      </c>
      <c r="H65" s="8">
        <f>(C65*F62)+(D65*F63)+(E65*F64)</f>
        <v>342</v>
      </c>
      <c r="I65" s="8">
        <f>(C65^2)+(D65^2)+(E65^2)</f>
        <v>277</v>
      </c>
      <c r="J65" s="8">
        <f>(F62^2)+(F63^2)+(F64^2)</f>
        <v>493</v>
      </c>
      <c r="K65" s="10"/>
    </row>
    <row r="66" spans="1:11" x14ac:dyDescent="0.45">
      <c r="A66" s="4"/>
      <c r="B66" s="5" t="s">
        <v>25</v>
      </c>
      <c r="C66" s="6"/>
      <c r="D66" s="6"/>
      <c r="E66" s="16">
        <f>(C62+D63+E64)/25</f>
        <v>0.72</v>
      </c>
      <c r="F66" s="4"/>
    </row>
    <row r="67" spans="1:11" x14ac:dyDescent="0.45">
      <c r="A67" s="4"/>
      <c r="B67" s="5" t="s">
        <v>35</v>
      </c>
      <c r="C67" s="4"/>
      <c r="D67" s="4"/>
      <c r="E67" s="9">
        <f>(G65*F65-H65)/SQRT((F65^2-I65)*(F65^2-J65))</f>
        <v>0.50390325986026885</v>
      </c>
      <c r="F67" s="4"/>
    </row>
    <row r="69" spans="1:11" x14ac:dyDescent="0.45">
      <c r="A69" s="38" t="s">
        <v>32</v>
      </c>
      <c r="B69" s="38"/>
      <c r="C69" s="37" t="s">
        <v>23</v>
      </c>
      <c r="D69" s="37"/>
      <c r="E69" s="37"/>
      <c r="F69" s="1" t="s">
        <v>34</v>
      </c>
    </row>
    <row r="70" spans="1:11" x14ac:dyDescent="0.45">
      <c r="A70" s="38"/>
      <c r="B70" s="38"/>
      <c r="C70" s="1" t="s">
        <v>1</v>
      </c>
      <c r="D70" s="1" t="s">
        <v>2</v>
      </c>
      <c r="E70" s="1" t="s">
        <v>3</v>
      </c>
      <c r="F70" s="4"/>
    </row>
    <row r="71" spans="1:11" x14ac:dyDescent="0.45">
      <c r="A71" s="37" t="s">
        <v>24</v>
      </c>
      <c r="B71" s="1" t="s">
        <v>1</v>
      </c>
      <c r="C71" s="3">
        <f>CM_TRU4!B2</f>
        <v>0</v>
      </c>
      <c r="D71" s="4">
        <f>CM_TRU4!C2</f>
        <v>0</v>
      </c>
      <c r="E71" s="4">
        <f>CM_TRU4!D2</f>
        <v>0</v>
      </c>
      <c r="F71" s="6">
        <f>SUM(C71:E71)</f>
        <v>0</v>
      </c>
    </row>
    <row r="72" spans="1:11" x14ac:dyDescent="0.45">
      <c r="A72" s="37"/>
      <c r="B72" s="1" t="s">
        <v>2</v>
      </c>
      <c r="C72" s="4">
        <f>CM_TRU4!B3</f>
        <v>2</v>
      </c>
      <c r="D72" s="3">
        <f>CM_TRU4!C3</f>
        <v>15</v>
      </c>
      <c r="E72" s="4">
        <f>CM_TRU4!D3</f>
        <v>0</v>
      </c>
      <c r="F72" s="6">
        <f t="shared" ref="F72:F73" si="7">SUM(C72:E72)</f>
        <v>17</v>
      </c>
    </row>
    <row r="73" spans="1:11" x14ac:dyDescent="0.45">
      <c r="A73" s="37"/>
      <c r="B73" s="1" t="s">
        <v>3</v>
      </c>
      <c r="C73" s="4">
        <f>CM_TRU4!B4</f>
        <v>0</v>
      </c>
      <c r="D73" s="4">
        <f>CM_TRU4!C4</f>
        <v>3</v>
      </c>
      <c r="E73" s="3">
        <f>CM_TRU4!D4</f>
        <v>5</v>
      </c>
      <c r="F73" s="6">
        <f t="shared" si="7"/>
        <v>8</v>
      </c>
      <c r="G73" s="27" t="s">
        <v>36</v>
      </c>
      <c r="H73" s="27" t="s">
        <v>1499</v>
      </c>
      <c r="I73" s="27" t="s">
        <v>1497</v>
      </c>
      <c r="J73" s="27" t="s">
        <v>1498</v>
      </c>
    </row>
    <row r="74" spans="1:11" x14ac:dyDescent="0.45">
      <c r="A74" s="2"/>
      <c r="B74" s="1" t="s">
        <v>34</v>
      </c>
      <c r="C74" s="6">
        <f>SUM(C71:C73)</f>
        <v>2</v>
      </c>
      <c r="D74" s="6">
        <f>SUM(D71:D73)</f>
        <v>18</v>
      </c>
      <c r="E74" s="6">
        <f>SUM(E71:E73)</f>
        <v>5</v>
      </c>
      <c r="F74" s="6">
        <f>SUM(C74:E74)</f>
        <v>25</v>
      </c>
      <c r="G74" s="8">
        <f>C71+D72+E73</f>
        <v>20</v>
      </c>
      <c r="H74" s="8">
        <f>(C74*F71)+(D74*F72)+(E74*F73)</f>
        <v>346</v>
      </c>
      <c r="I74" s="8">
        <f>(C74^2)+(D74^2)+(E74^2)</f>
        <v>353</v>
      </c>
      <c r="J74" s="8">
        <f>(F71^2)+(F72^2)+(F73^2)</f>
        <v>353</v>
      </c>
      <c r="K74" s="10"/>
    </row>
    <row r="75" spans="1:11" x14ac:dyDescent="0.45">
      <c r="A75" s="4"/>
      <c r="B75" s="5" t="s">
        <v>25</v>
      </c>
      <c r="C75" s="6"/>
      <c r="D75" s="6"/>
      <c r="E75" s="16">
        <f>(C71+D72+E73)/25</f>
        <v>0.8</v>
      </c>
      <c r="F75" s="4"/>
    </row>
    <row r="76" spans="1:11" x14ac:dyDescent="0.45">
      <c r="A76" s="4"/>
      <c r="B76" s="5" t="s">
        <v>35</v>
      </c>
      <c r="C76" s="4"/>
      <c r="D76" s="4"/>
      <c r="E76" s="9">
        <f>(G74*F74-H74)/SQRT((F74^2-I74)*(F74^2-J74))</f>
        <v>0.56617647058823528</v>
      </c>
      <c r="F76" s="4"/>
    </row>
    <row r="79" spans="1:11" x14ac:dyDescent="0.45">
      <c r="A79" s="38" t="s">
        <v>33</v>
      </c>
      <c r="B79" s="38"/>
      <c r="C79" s="37" t="s">
        <v>23</v>
      </c>
      <c r="D79" s="37"/>
      <c r="E79" s="37"/>
      <c r="F79" s="1" t="s">
        <v>34</v>
      </c>
    </row>
    <row r="80" spans="1:11" x14ac:dyDescent="0.45">
      <c r="A80" s="38"/>
      <c r="B80" s="38"/>
      <c r="C80" s="1" t="s">
        <v>1</v>
      </c>
      <c r="D80" s="1" t="s">
        <v>2</v>
      </c>
      <c r="E80" s="1" t="s">
        <v>3</v>
      </c>
      <c r="F80" s="4"/>
    </row>
    <row r="81" spans="1:11" x14ac:dyDescent="0.45">
      <c r="A81" s="37" t="s">
        <v>24</v>
      </c>
      <c r="B81" s="1" t="s">
        <v>1</v>
      </c>
      <c r="C81" s="7">
        <f>CM_OUT1!B2</f>
        <v>0</v>
      </c>
      <c r="D81">
        <f>CM_OUT1!C2</f>
        <v>0</v>
      </c>
      <c r="E81">
        <f>CM_OUT1!D2</f>
        <v>0</v>
      </c>
      <c r="F81" s="6">
        <f>SUM(C81:E81)</f>
        <v>0</v>
      </c>
    </row>
    <row r="82" spans="1:11" x14ac:dyDescent="0.45">
      <c r="A82" s="37"/>
      <c r="B82" s="1" t="s">
        <v>2</v>
      </c>
      <c r="C82">
        <f>CM_OUT1!B3</f>
        <v>0</v>
      </c>
      <c r="D82" s="7">
        <f>CM_OUT1!C3</f>
        <v>9</v>
      </c>
      <c r="E82">
        <f>CM_OUT1!D3</f>
        <v>1</v>
      </c>
      <c r="F82" s="6">
        <f t="shared" ref="F82:F83" si="8">SUM(C82:E82)</f>
        <v>10</v>
      </c>
    </row>
    <row r="83" spans="1:11" x14ac:dyDescent="0.45">
      <c r="A83" s="37"/>
      <c r="B83" s="1" t="s">
        <v>3</v>
      </c>
      <c r="C83">
        <f>CM_OUT1!B4</f>
        <v>0</v>
      </c>
      <c r="D83">
        <f>CM_OUT1!C4</f>
        <v>2</v>
      </c>
      <c r="E83" s="7">
        <f>CM_OUT1!D4</f>
        <v>13</v>
      </c>
      <c r="F83" s="6">
        <f t="shared" si="8"/>
        <v>15</v>
      </c>
      <c r="G83" s="27" t="s">
        <v>36</v>
      </c>
      <c r="H83" s="27" t="s">
        <v>1499</v>
      </c>
      <c r="I83" s="27" t="s">
        <v>1497</v>
      </c>
      <c r="J83" s="27" t="s">
        <v>1498</v>
      </c>
    </row>
    <row r="84" spans="1:11" x14ac:dyDescent="0.45">
      <c r="A84" s="2"/>
      <c r="B84" s="1" t="s">
        <v>34</v>
      </c>
      <c r="C84" s="6">
        <f>SUM(C81:C83)</f>
        <v>0</v>
      </c>
      <c r="D84" s="6">
        <f>SUM(D81:D83)</f>
        <v>11</v>
      </c>
      <c r="E84" s="6">
        <f>SUM(E81:E83)</f>
        <v>14</v>
      </c>
      <c r="F84" s="6">
        <f>SUM(C84:E84)</f>
        <v>25</v>
      </c>
      <c r="G84" s="8">
        <f>C81+D82+E83</f>
        <v>22</v>
      </c>
      <c r="H84" s="8">
        <f>(C84*F81)+(D84*F82)+(E84*F83)</f>
        <v>320</v>
      </c>
      <c r="I84" s="8">
        <f>(C84^2)+(D84^2)+(E84^2)</f>
        <v>317</v>
      </c>
      <c r="J84" s="8">
        <f>(F81^2)+(F82^2)+(F83^2)</f>
        <v>325</v>
      </c>
      <c r="K84" s="10"/>
    </row>
    <row r="85" spans="1:11" x14ac:dyDescent="0.45">
      <c r="A85" s="4"/>
      <c r="B85" s="5" t="s">
        <v>25</v>
      </c>
      <c r="C85" s="6"/>
      <c r="D85" s="6"/>
      <c r="E85" s="16">
        <f>(C81+D82+E83)/25</f>
        <v>0.88</v>
      </c>
      <c r="F85" s="4"/>
    </row>
    <row r="86" spans="1:11" x14ac:dyDescent="0.45">
      <c r="A86" s="4"/>
      <c r="B86" s="5" t="s">
        <v>35</v>
      </c>
      <c r="C86" s="4"/>
      <c r="D86" s="4"/>
      <c r="E86" s="9">
        <f>(G84*F84-H84)/SQRT((F84^2-I84)*(F84^2-J84))</f>
        <v>0.7566444492037343</v>
      </c>
      <c r="F86" s="4"/>
    </row>
  </sheetData>
  <mergeCells count="27">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 ref="A1:B2"/>
    <mergeCell ref="C1:E1"/>
    <mergeCell ref="A3:A5"/>
    <mergeCell ref="A10:B11"/>
    <mergeCell ref="C10:E10"/>
    <mergeCell ref="A52:A54"/>
    <mergeCell ref="A60:B61"/>
    <mergeCell ref="C60:E60"/>
    <mergeCell ref="A62:A64"/>
    <mergeCell ref="A69:B70"/>
    <mergeCell ref="C69:E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COUNTIFS(step2_combined_data!$U$2:$U$26,"Oppose", step2_combined_data!$S$2:$S$26,"Oppose")</f>
        <v>3</v>
      </c>
      <c r="C2" s="4">
        <f>COUNTIFS(step2_combined_data!$U$2:$U$26,"Neutral", step2_combined_data!$S$2:$S$26,"Oppose")</f>
        <v>3</v>
      </c>
      <c r="D2" s="4">
        <f>COUNTIFS(step2_combined_data!$U$2:$U$26,"Support", step2_combined_data!$S$2:$S$26,"Oppose")</f>
        <v>1</v>
      </c>
    </row>
    <row r="3" spans="1:4" x14ac:dyDescent="0.45">
      <c r="A3" s="1" t="s">
        <v>2</v>
      </c>
      <c r="B3" s="4">
        <f>COUNTIFS(step2_combined_data!$U$2:$U$26,"Oppose", step2_combined_data!$S$2:$S$26,"Neutral")</f>
        <v>0</v>
      </c>
      <c r="C3" s="4">
        <f>COUNTIFS(step2_combined_data!$U$2:$U$26,"Neutral", step2_combined_data!$S$2:$S$26,"Neutral")</f>
        <v>8</v>
      </c>
      <c r="D3" s="4">
        <f>COUNTIFS(step2_combined_data!$U$2:$U$26,"Support", step2_combined_data!$S$2:$S$26,"Neutral")</f>
        <v>7</v>
      </c>
    </row>
    <row r="4" spans="1:4" x14ac:dyDescent="0.45">
      <c r="A4" s="1" t="s">
        <v>3</v>
      </c>
      <c r="B4" s="4">
        <f>COUNTIFS(step2_combined_data!$U$2:$U$26,"Oppose", step2_combined_data!$S$2:$S$26,"Support")</f>
        <v>0</v>
      </c>
      <c r="C4" s="4">
        <f>COUNTIFS(step2_combined_data!$U$2:$U$26,"Neutral", step2_combined_data!$S$2:$S$26,"Support")</f>
        <v>0</v>
      </c>
      <c r="D4" s="4">
        <f>COUNTIFS(step2_combined_data!$U$2:$U$26,"Support", step2_combined_data!$S$2:$S$26,"Support")</f>
        <v>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COUNTIFS(step2_combined_data!$AB$2:$AB$26,"Oppose", step2_combined_data!$Z$2:$Z$26,"Oppose")</f>
        <v>0</v>
      </c>
      <c r="C2" s="4">
        <f>COUNTIFS(step2_combined_data!$AB$2:$AB$26,"Neutral", step2_combined_data!$Z$2:$Z$26,"Oppose")</f>
        <v>5</v>
      </c>
      <c r="D2" s="4">
        <f>COUNTIFS(step2_combined_data!$AB$2:$AB$26,"Support", step2_combined_data!$Z$2:$Z$26,"Oppose")</f>
        <v>0</v>
      </c>
    </row>
    <row r="3" spans="1:4" x14ac:dyDescent="0.45">
      <c r="A3" s="1" t="s">
        <v>2</v>
      </c>
      <c r="B3" s="4">
        <f>COUNTIFS(step2_combined_data!$AB$2:$AB$26,"Oppose", step2_combined_data!$Z$2:$Z$26,"Neutral")</f>
        <v>0</v>
      </c>
      <c r="C3" s="4">
        <f>COUNTIFS(step2_combined_data!$AB$2:$AB$26,"Neutral", step2_combined_data!$Z$2:$Z$26,"Neutral")</f>
        <v>10</v>
      </c>
      <c r="D3" s="4">
        <f>COUNTIFS(step2_combined_data!$AB$2:$AB$26,"Support", step2_combined_data!$Z$2:$Z$26,"Neutral")</f>
        <v>6</v>
      </c>
    </row>
    <row r="4" spans="1:4" x14ac:dyDescent="0.45">
      <c r="A4" s="1" t="s">
        <v>3</v>
      </c>
      <c r="B4" s="4">
        <f>COUNTIFS(step2_combined_data!$AB$2:$AB$26,"Oppose", step2_combined_data!$Z$2:$Z$26,"Support")</f>
        <v>0</v>
      </c>
      <c r="C4" s="4">
        <f>COUNTIFS(step2_combined_data!$AB$2:$AB$26,"Neutral", step2_combined_data!$Z$2:$Z$26,"Support")</f>
        <v>0</v>
      </c>
      <c r="D4" s="4">
        <f>COUNTIFS(step2_combined_data!$AB$2:$AB$26,"Support", step2_combined_data!$Z$2:$Z$26,"Support")</f>
        <v>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COUNTIFS(step2_combined_data!$AI$2:$AI$26,"Oppose", step2_combined_data!$AG$2:$AG$26,"Oppose")</f>
        <v>1</v>
      </c>
      <c r="C2" s="4">
        <f>COUNTIFS(step2_combined_data!$AI$2:$AI$26,"Neutral", step2_combined_data!$AG$2:$AG$26,"Oppose")</f>
        <v>0</v>
      </c>
      <c r="D2" s="4">
        <f>COUNTIFS(step2_combined_data!$AI$2:$AI$26,"Support", step2_combined_data!$AG$2:$AG$26,"Oppose")</f>
        <v>0</v>
      </c>
    </row>
    <row r="3" spans="1:4" x14ac:dyDescent="0.45">
      <c r="A3" s="1" t="s">
        <v>2</v>
      </c>
      <c r="B3" s="4">
        <f>COUNTIFS(step2_combined_data!$AI$2:$AI$26,"Oppose", step2_combined_data!$AG$2:$AG$26,"Neutral")</f>
        <v>4</v>
      </c>
      <c r="C3" s="4">
        <f>COUNTIFS(step2_combined_data!$AI$2:$AI$26,"Neutral", step2_combined_data!$AG$2:$AG$26,"Neutral")</f>
        <v>10</v>
      </c>
      <c r="D3" s="4">
        <f>COUNTIFS(step2_combined_data!$AI$2:$AI$26,"Support", step2_combined_data!$AG$2:$AG$26,"Neutral")</f>
        <v>3</v>
      </c>
    </row>
    <row r="4" spans="1:4" x14ac:dyDescent="0.45">
      <c r="A4" s="1" t="s">
        <v>3</v>
      </c>
      <c r="B4" s="4">
        <f>COUNTIFS(step2_combined_data!$AI$2:$AI$26,"Oppose", step2_combined_data!$AG$2:$AG$26,"Support")</f>
        <v>0</v>
      </c>
      <c r="C4" s="4">
        <f>COUNTIFS(step2_combined_data!$AI$2:$AI$26,"Neutral", step2_combined_data!$AG$2:$AG$26,"Support")</f>
        <v>3</v>
      </c>
      <c r="D4" s="4">
        <f>COUNTIFS(step2_combined_data!$AI$2:$AI$26,"Support", step2_combined_data!$AG$2:$AG$26,"Support")</f>
        <v>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COUNTIFS(step2_combined_data!$AP$2:$AP$26,"Oppose", step2_combined_data!$AN$2:$AN$26,"Oppose")</f>
        <v>0</v>
      </c>
      <c r="C2" s="4">
        <f>COUNTIFS(step2_combined_data!$AP$2:$AP$26,"Neutral", step2_combined_data!$AN$2:$AN$26,"Oppose")</f>
        <v>0</v>
      </c>
      <c r="D2" s="4">
        <f>COUNTIFS(step2_combined_data!$AP$2:$AP$26,"Support", step2_combined_data!$AN$2:$AN$26,"Oppose")</f>
        <v>0</v>
      </c>
    </row>
    <row r="3" spans="1:4" x14ac:dyDescent="0.45">
      <c r="A3" s="1" t="s">
        <v>2</v>
      </c>
      <c r="B3" s="4">
        <f>COUNTIFS(step2_combined_data!$AP$2:$AP$26,"Oppose", step2_combined_data!$AN$2:$AN$26,"Neutral")</f>
        <v>0</v>
      </c>
      <c r="C3" s="4">
        <f>COUNTIFS(step2_combined_data!$AP$2:$AP$26,"Neutral", step2_combined_data!$AN$2:$AN$26,"Neutral")</f>
        <v>8</v>
      </c>
      <c r="D3" s="4">
        <f>COUNTIFS(step2_combined_data!$AP$2:$AP$26,"Support", step2_combined_data!$AN$2:$AN$26,"Neutral")</f>
        <v>5</v>
      </c>
    </row>
    <row r="4" spans="1:4" x14ac:dyDescent="0.45">
      <c r="A4" s="1" t="s">
        <v>3</v>
      </c>
      <c r="B4" s="4">
        <f>COUNTIFS(step2_combined_data!$AP$2:$AP$26,"Oppose", step2_combined_data!$AN$2:$AN$26,"Support")</f>
        <v>1</v>
      </c>
      <c r="C4" s="4">
        <f>COUNTIFS(step2_combined_data!$AP$2:$AP$26,"Neutral", step2_combined_data!$AN$2:$AN$26,"Support")</f>
        <v>5</v>
      </c>
      <c r="D4" s="4">
        <f>COUNTIFS(step2_combined_data!$AP$2:$AP$26,"Support", step2_combined_data!$AN$2:$AN$26,"Support")</f>
        <v>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COUNTIFS(step2_combined_data!$AW$2:$AW$26,"Oppose", step2_combined_data!$AU$2:$AU$26,"Oppose")</f>
        <v>0</v>
      </c>
      <c r="C2" s="4">
        <f>COUNTIFS(step2_combined_data!$AW$2:$AW$26,"Neutral", step2_combined_data!$AU$2:$AU$26,"Oppose")</f>
        <v>3</v>
      </c>
      <c r="D2" s="4">
        <f>COUNTIFS(step2_combined_data!$AW$2:$AW$26,"Support", step2_combined_data!$AU$2:$AU$26,"Oppose")</f>
        <v>0</v>
      </c>
    </row>
    <row r="3" spans="1:4" x14ac:dyDescent="0.45">
      <c r="A3" s="1" t="s">
        <v>2</v>
      </c>
      <c r="B3" s="4">
        <f>COUNTIFS(step2_combined_data!$AW$2:$AW$26,"Oppose", step2_combined_data!$AU$2:$AU$26,"Neutral")</f>
        <v>3</v>
      </c>
      <c r="C3" s="4">
        <f>COUNTIFS(step2_combined_data!$AW$2:$AW$26,"Neutral", step2_combined_data!$AU$2:$AU$26,"Neutral")</f>
        <v>12</v>
      </c>
      <c r="D3" s="4">
        <f>COUNTIFS(step2_combined_data!$AW$2:$AW$26,"Support", step2_combined_data!$AU$2:$AU$26,"Neutral")</f>
        <v>4</v>
      </c>
    </row>
    <row r="4" spans="1:4" x14ac:dyDescent="0.45">
      <c r="A4" s="1" t="s">
        <v>3</v>
      </c>
      <c r="B4" s="4">
        <f>COUNTIFS(step2_combined_data!$AW$2:$AW$26,"Oppose", step2_combined_data!$AU$2:$AU$26,"Support")</f>
        <v>0</v>
      </c>
      <c r="C4" s="4">
        <f>COUNTIFS(step2_combined_data!$AW$2:$AW$26,"Neutral", step2_combined_data!$AU$2:$AU$26,"Support")</f>
        <v>1</v>
      </c>
      <c r="D4" s="4">
        <f>COUNTIFS(step2_combined_data!$AW$2:$AW$26,"Support", step2_combined_data!$AU$2:$AU$26,"Support")</f>
        <v>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COUNTIFS(step2_combined_data!$BD$2:$BD$26,"Oppose", step2_combined_data!$BB$2:$BB$26,"Oppose")</f>
        <v>1</v>
      </c>
      <c r="C2" s="4">
        <f>COUNTIFS(step2_combined_data!$BD$2:$BD$26,"Neutral", step2_combined_data!$BB$2:$BB$26,"Oppose")</f>
        <v>0</v>
      </c>
      <c r="D2" s="4">
        <f>COUNTIFS(step2_combined_data!$BD$2:$BD$26,"Support", step2_combined_data!$BB$2:$BB$26,"Oppose")</f>
        <v>0</v>
      </c>
    </row>
    <row r="3" spans="1:4" x14ac:dyDescent="0.45">
      <c r="A3" s="1" t="s">
        <v>2</v>
      </c>
      <c r="B3" s="4">
        <f>COUNTIFS(step2_combined_data!$BD$2:$BD$26,"Oppose", step2_combined_data!$BB$2:$BB$26,"Neutral")</f>
        <v>3</v>
      </c>
      <c r="C3" s="4">
        <f>COUNTIFS(step2_combined_data!$BD$2:$BD$26,"Neutral", step2_combined_data!$BB$2:$BB$26,"Neutral")</f>
        <v>9</v>
      </c>
      <c r="D3" s="4">
        <f>COUNTIFS(step2_combined_data!$BD$2:$BD$26,"Support", step2_combined_data!$BB$2:$BB$26,"Neutral")</f>
        <v>3</v>
      </c>
    </row>
    <row r="4" spans="1:4" x14ac:dyDescent="0.45">
      <c r="A4" s="1" t="s">
        <v>3</v>
      </c>
      <c r="B4" s="4">
        <f>COUNTIFS(step2_combined_data!$BD$2:$BD$26,"Oppose", step2_combined_data!$BB$2:$BB$26,"Support")</f>
        <v>0</v>
      </c>
      <c r="C4" s="4">
        <f>COUNTIFS(step2_combined_data!$BD$2:$BD$26,"Neutral", step2_combined_data!$BB$2:$BB$26,"Support")</f>
        <v>4</v>
      </c>
      <c r="D4" s="4">
        <f>COUNTIFS(step2_combined_data!$BD$2:$BD$26,"Support", step2_combined_data!$BB$2:$BB$26,"Support")</f>
        <v>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COUNTIFS(step2_combined_data!$BK$2:$BK$26,"Oppose", step2_combined_data!$BI$2:$BI$26,"Oppose")</f>
        <v>0</v>
      </c>
      <c r="C2" s="4">
        <f>COUNTIFS(step2_combined_data!$BK$2:$BK$26,"Neutral", step2_combined_data!$BI$2:$BI$26,"Oppose")</f>
        <v>0</v>
      </c>
      <c r="D2" s="4">
        <f>COUNTIFS(step2_combined_data!$BK$2:$BK$26,"Support", step2_combined_data!$BI$2:$BI$26,"Oppose")</f>
        <v>0</v>
      </c>
    </row>
    <row r="3" spans="1:4" x14ac:dyDescent="0.45">
      <c r="A3" s="1" t="s">
        <v>2</v>
      </c>
      <c r="B3" s="4">
        <f>COUNTIFS(step2_combined_data!$BK$2:$BK$26,"Oppose", step2_combined_data!$BI$2:$BI$26,"Neutral")</f>
        <v>6</v>
      </c>
      <c r="C3" s="4">
        <f>COUNTIFS(step2_combined_data!$BK$2:$BK$26,"Neutral", step2_combined_data!$BI$2:$BI$26,"Neutral")</f>
        <v>15</v>
      </c>
      <c r="D3" s="4">
        <f>COUNTIFS(step2_combined_data!$BK$2:$BK$26,"Support", step2_combined_data!$BI$2:$BI$26,"Neutral")</f>
        <v>1</v>
      </c>
    </row>
    <row r="4" spans="1:4" x14ac:dyDescent="0.45">
      <c r="A4" s="1" t="s">
        <v>3</v>
      </c>
      <c r="B4" s="4">
        <f>COUNTIFS(step2_combined_data!$BK$2:$BK$26,"Oppose", step2_combined_data!$BI$2:$BI$26,"Support")</f>
        <v>0</v>
      </c>
      <c r="C4" s="4">
        <f>COUNTIFS(step2_combined_data!$BK$2:$BK$26,"Neutral", step2_combined_data!$BI$2:$BI$26,"Support")</f>
        <v>0</v>
      </c>
      <c r="D4" s="4">
        <f>COUNTIFS(step2_combined_data!$BK$2:$BK$26,"Support", step2_combined_data!$BI$2:$BI$26,"Support")</f>
        <v>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COUNTIFS(step2_combined_data!$BP$2:$BP$26,"Oppose", step2_combined_data!$BR$2:$BR$26,"Oppose")</f>
        <v>0</v>
      </c>
      <c r="C2" s="4">
        <f>COUNTIFS(step2_combined_data!$BP$2:$BP$26,"Neutral", step2_combined_data!$BR$2:$BR$26,"Oppose")</f>
        <v>0</v>
      </c>
      <c r="D2" s="4">
        <f>COUNTIFS(step2_combined_data!$BP$2:$BP$26,"Support", step2_combined_data!$BR$2:$BR$26,"Oppose")</f>
        <v>0</v>
      </c>
    </row>
    <row r="3" spans="1:4" x14ac:dyDescent="0.45">
      <c r="A3" s="1" t="s">
        <v>2</v>
      </c>
      <c r="B3" s="4">
        <f>COUNTIFS(step2_combined_data!$BP$2:$BP$26,"Oppose", step2_combined_data!$BR$2:$BR$26,"Neutral")</f>
        <v>2</v>
      </c>
      <c r="C3" s="4">
        <f>COUNTIFS(step2_combined_data!$BP$2:$BP$26,"Neutral", step2_combined_data!$BR$2:$BR$26,"Neutral")</f>
        <v>15</v>
      </c>
      <c r="D3" s="4">
        <f>COUNTIFS(step2_combined_data!$BP$2:$BP$26,"Support", step2_combined_data!$BR$2:$BR$26,"Neutral")</f>
        <v>0</v>
      </c>
    </row>
    <row r="4" spans="1:4" x14ac:dyDescent="0.45">
      <c r="A4" s="1" t="s">
        <v>3</v>
      </c>
      <c r="B4" s="4">
        <f>COUNTIFS(step2_combined_data!$BP$2:$BP$26,"Oppose", step2_combined_data!$BR$2:$BR$26,"Support")</f>
        <v>0</v>
      </c>
      <c r="C4" s="4">
        <f>COUNTIFS(step2_combined_data!$BP$2:$BP$26,"Neutral", step2_combined_data!$BR$2:$BR$26,"Support")</f>
        <v>3</v>
      </c>
      <c r="D4" s="4">
        <f>COUNTIFS(step2_combined_data!$BP$2:$BP$26,"Support", step2_combined_data!$BR$2:$BR$26,"Support")</f>
        <v>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COUNTIFS(step2_combined_data!$BY$2:$BY$26,"Oppose", step2_combined_data!$BW$2:$BW$26,"Oppose")</f>
        <v>0</v>
      </c>
      <c r="C2" s="4">
        <f>COUNTIFS(step2_combined_data!$BY$2:$BY$26,"Neutral", step2_combined_data!$BW$2:$BW$26,"Oppose")</f>
        <v>0</v>
      </c>
      <c r="D2" s="4">
        <f>COUNTIFS(step2_combined_data!$BY$2:$BY$26,"Support", step2_combined_data!$BW$2:$BW$26,"Oppose")</f>
        <v>0</v>
      </c>
    </row>
    <row r="3" spans="1:4" x14ac:dyDescent="0.45">
      <c r="A3" s="1" t="s">
        <v>2</v>
      </c>
      <c r="B3" s="4">
        <f>COUNTIFS(step2_combined_data!$BY$2:$BY$26,"Oppose", step2_combined_data!$BW$2:$BW$26,"Neutral")</f>
        <v>0</v>
      </c>
      <c r="C3" s="4">
        <f>COUNTIFS(step2_combined_data!$BY$2:$BY$26,"Neutral", step2_combined_data!$BW$2:$BW$26,"Neutral")</f>
        <v>9</v>
      </c>
      <c r="D3" s="4">
        <f>COUNTIFS(step2_combined_data!$BY$2:$BY$26,"Support", step2_combined_data!$BW$2:$BW$26,"Neutral")</f>
        <v>1</v>
      </c>
    </row>
    <row r="4" spans="1:4" x14ac:dyDescent="0.45">
      <c r="A4" s="1" t="s">
        <v>3</v>
      </c>
      <c r="B4" s="4">
        <f>COUNTIFS(step2_combined_data!$BY$2:$BY$26,"Oppose", step2_combined_data!$BW$2:$BW$26,"Support")</f>
        <v>0</v>
      </c>
      <c r="C4" s="4">
        <f>COUNTIFS(step2_combined_data!$BY$2:$BY$26,"Neutral", step2_combined_data!$BW$2:$BW$26,"Support")</f>
        <v>2</v>
      </c>
      <c r="D4" s="4">
        <f>COUNTIFS(step2_combined_data!$BY$2:$BY$26,"Support", step2_combined_data!$BW$2:$BW$26,"Support")</f>
        <v>13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step2_raw_simulation</vt:lpstr>
      <vt:lpstr>interview_responses</vt:lpstr>
      <vt:lpstr>step2_combined_data</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2026-02-20T07:14:55Z</dcterms:modified>
</cp:coreProperties>
</file>