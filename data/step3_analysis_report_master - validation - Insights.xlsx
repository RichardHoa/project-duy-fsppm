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fuveduvn-my.sharepoint.com/personal/mpp26_duypham_student_fulbright_edu_vn/Documents/FSMPP/18. Thesis/Final Data/"/>
    </mc:Choice>
  </mc:AlternateContent>
  <xr:revisionPtr revIDLastSave="2524" documentId="13_ncr:1_{8DA829A7-D392-410C-B92C-4D9E531A3674}" xr6:coauthVersionLast="47" xr6:coauthVersionMax="47" xr10:uidLastSave="{E22E1666-FB0B-4359-B580-23F67AB8A6FF}"/>
  <bookViews>
    <workbookView xWindow="-98" yWindow="-98" windowWidth="21795" windowHeight="13875" firstSheet="1" activeTab="3" xr2:uid="{00000000-000D-0000-FFFF-FFFF00000000}"/>
  </bookViews>
  <sheets>
    <sheet name="step3_validation" sheetId="18" r:id="rId1"/>
    <sheet name="survey_responses" sheetId="16" r:id="rId2"/>
    <sheet name="step3_combined_data" sheetId="12" r:id="rId3"/>
    <sheet name="Insights" sheetId="22" r:id="rId4"/>
    <sheet name="SUMMARY_REPORT" sheetId="10" r:id="rId5"/>
    <sheet name="CM_REPORT" sheetId="11" r:id="rId6"/>
    <sheet name="CM_ENF1" sheetId="1" r:id="rId7"/>
    <sheet name="CM_ENF2" sheetId="2" r:id="rId8"/>
    <sheet name="CM_FAC1" sheetId="3" r:id="rId9"/>
    <sheet name="CM_FAC2" sheetId="4" r:id="rId10"/>
    <sheet name="CM_TRU1" sheetId="5" r:id="rId11"/>
    <sheet name="CM_TRU2" sheetId="6" r:id="rId12"/>
    <sheet name="CM_TRU3" sheetId="7" r:id="rId13"/>
    <sheet name="CM_TRU4" sheetId="8" r:id="rId14"/>
    <sheet name="CM_OUT1" sheetId="9" r:id="rId15"/>
  </sheets>
  <definedNames>
    <definedName name="_xlnm._FilterDatabase" localSheetId="2" hidden="1">step3_combined_data!$A$1:$BI$409</definedName>
    <definedName name="ExternalData_1" localSheetId="1" hidden="1">survey_responses!$A$1:$Q$404</definedName>
    <definedName name="ExternalData_3" localSheetId="0" hidden="1">step3_validation!$A$1:$AS$404</definedName>
  </definedNames>
  <calcPr calcId="191029"/>
  <pivotCaches>
    <pivotCache cacheId="0" r:id="rId1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9" i="22" l="1"/>
  <c r="C89" i="22"/>
  <c r="B89" i="22"/>
  <c r="D88" i="22"/>
  <c r="C88" i="22"/>
  <c r="B88" i="22"/>
  <c r="D87" i="22"/>
  <c r="C87" i="22"/>
  <c r="B87" i="22"/>
  <c r="D86" i="22"/>
  <c r="C86" i="22"/>
  <c r="B86" i="22"/>
  <c r="D85" i="22"/>
  <c r="C85" i="22"/>
  <c r="B85" i="22"/>
  <c r="D84" i="22"/>
  <c r="C84" i="22"/>
  <c r="B84" i="22"/>
  <c r="D20" i="22"/>
  <c r="C20" i="22"/>
  <c r="B20" i="22"/>
  <c r="D19" i="22"/>
  <c r="C19" i="22"/>
  <c r="B19" i="22"/>
  <c r="D18" i="22"/>
  <c r="C18" i="22"/>
  <c r="B18" i="22"/>
  <c r="D17" i="22"/>
  <c r="C17" i="22"/>
  <c r="B17" i="22"/>
  <c r="D16" i="22"/>
  <c r="C16" i="22"/>
  <c r="B16" i="22"/>
  <c r="D15" i="22"/>
  <c r="C15" i="22"/>
  <c r="B15" i="22"/>
  <c r="E84" i="22" l="1"/>
  <c r="H84" i="22" s="1"/>
  <c r="E85" i="22"/>
  <c r="J85" i="22" s="1"/>
  <c r="E86" i="22"/>
  <c r="J86" i="22" s="1"/>
  <c r="E87" i="22"/>
  <c r="J87" i="22" s="1"/>
  <c r="E88" i="22"/>
  <c r="H88" i="22" s="1"/>
  <c r="E89" i="22"/>
  <c r="I89" i="22" s="1"/>
  <c r="E20" i="22"/>
  <c r="I20" i="22" s="1"/>
  <c r="E15" i="22"/>
  <c r="J15" i="22" s="1"/>
  <c r="E16" i="22"/>
  <c r="H16" i="22" s="1"/>
  <c r="E17" i="22"/>
  <c r="H17" i="22" s="1"/>
  <c r="E18" i="22"/>
  <c r="J18" i="22" s="1"/>
  <c r="E19" i="22"/>
  <c r="H19" i="22" s="1"/>
  <c r="D8" i="22"/>
  <c r="C8" i="22"/>
  <c r="B8" i="22"/>
  <c r="D7" i="22"/>
  <c r="C7" i="22"/>
  <c r="B7" i="22"/>
  <c r="D4" i="22"/>
  <c r="D3" i="22"/>
  <c r="C4" i="22"/>
  <c r="C3" i="22"/>
  <c r="B4" i="22"/>
  <c r="B3" i="22"/>
  <c r="D79" i="22"/>
  <c r="D78" i="22"/>
  <c r="D77" i="22"/>
  <c r="D76" i="22"/>
  <c r="D75" i="22"/>
  <c r="D74" i="22"/>
  <c r="D73" i="22"/>
  <c r="D72" i="22"/>
  <c r="D42" i="22"/>
  <c r="C79" i="22"/>
  <c r="C78" i="22"/>
  <c r="C77" i="22"/>
  <c r="C76" i="22"/>
  <c r="C75" i="22"/>
  <c r="C74" i="22"/>
  <c r="C73" i="22"/>
  <c r="C72" i="22"/>
  <c r="C42" i="22"/>
  <c r="B79" i="22"/>
  <c r="B78" i="22"/>
  <c r="B77" i="22"/>
  <c r="B76" i="22"/>
  <c r="B75" i="22"/>
  <c r="B74" i="22"/>
  <c r="B73" i="22"/>
  <c r="B72" i="22"/>
  <c r="B42" i="22"/>
  <c r="I88" i="22" l="1"/>
  <c r="I87" i="22"/>
  <c r="H85" i="22"/>
  <c r="I85" i="22"/>
  <c r="J84" i="22"/>
  <c r="I84" i="22"/>
  <c r="K84" i="22" s="1"/>
  <c r="K88" i="22"/>
  <c r="H89" i="22"/>
  <c r="I86" i="22"/>
  <c r="J89" i="22"/>
  <c r="J88" i="22"/>
  <c r="H87" i="22"/>
  <c r="H86" i="22"/>
  <c r="H20" i="22"/>
  <c r="J20" i="22"/>
  <c r="H18" i="22"/>
  <c r="J16" i="22"/>
  <c r="I16" i="22"/>
  <c r="I15" i="22"/>
  <c r="H15" i="22"/>
  <c r="I19" i="22"/>
  <c r="I18" i="22"/>
  <c r="K18" i="22" s="1"/>
  <c r="J19" i="22"/>
  <c r="J17" i="22"/>
  <c r="K15" i="22"/>
  <c r="I17" i="22"/>
  <c r="K20" i="22"/>
  <c r="E3" i="22"/>
  <c r="J3" i="22" s="1"/>
  <c r="E4" i="22"/>
  <c r="I4" i="22" s="1"/>
  <c r="E8" i="22"/>
  <c r="J8" i="22" s="1"/>
  <c r="E7" i="22"/>
  <c r="H7" i="22" s="1"/>
  <c r="E72" i="22"/>
  <c r="H72" i="22" s="1"/>
  <c r="E73" i="22"/>
  <c r="H73" i="22" s="1"/>
  <c r="E74" i="22"/>
  <c r="J74" i="22" s="1"/>
  <c r="E75" i="22"/>
  <c r="H75" i="22" s="1"/>
  <c r="E76" i="22"/>
  <c r="J76" i="22" s="1"/>
  <c r="E77" i="22"/>
  <c r="I77" i="22" s="1"/>
  <c r="E78" i="22"/>
  <c r="J78" i="22" s="1"/>
  <c r="E79" i="22"/>
  <c r="I79" i="22" s="1"/>
  <c r="BH192" i="12"/>
  <c r="BH193" i="12"/>
  <c r="BH194" i="12"/>
  <c r="BH195" i="12"/>
  <c r="BH196" i="12"/>
  <c r="BH197" i="12"/>
  <c r="BH198" i="12"/>
  <c r="BH199" i="12"/>
  <c r="BH200" i="12"/>
  <c r="BH201" i="12"/>
  <c r="BH202" i="12"/>
  <c r="BH203" i="12"/>
  <c r="BH204" i="12"/>
  <c r="BH205" i="12"/>
  <c r="BH206" i="12"/>
  <c r="BH207" i="12"/>
  <c r="BH208" i="12"/>
  <c r="BH209" i="12"/>
  <c r="BH210" i="12"/>
  <c r="BH211" i="12"/>
  <c r="BH212" i="12"/>
  <c r="BH213" i="12"/>
  <c r="BH214" i="12"/>
  <c r="BH215" i="12"/>
  <c r="BH216" i="12"/>
  <c r="BH217" i="12"/>
  <c r="BH218" i="12"/>
  <c r="BH219" i="12"/>
  <c r="BH220" i="12"/>
  <c r="BH221" i="12"/>
  <c r="BH222" i="12"/>
  <c r="BH223" i="12"/>
  <c r="BH224" i="12"/>
  <c r="BH225" i="12"/>
  <c r="BH226" i="12"/>
  <c r="BH227" i="12"/>
  <c r="BH228" i="12"/>
  <c r="BH229" i="12"/>
  <c r="BH230" i="12"/>
  <c r="BH231" i="12"/>
  <c r="BH232" i="12"/>
  <c r="BH233" i="12"/>
  <c r="BH234" i="12"/>
  <c r="BH235" i="12"/>
  <c r="BH236" i="12"/>
  <c r="BH237" i="12"/>
  <c r="BH238" i="12"/>
  <c r="BH239" i="12"/>
  <c r="BH240" i="12"/>
  <c r="BH241" i="12"/>
  <c r="BH242" i="12"/>
  <c r="BH243" i="12"/>
  <c r="BH244" i="12"/>
  <c r="BH245" i="12"/>
  <c r="BH246" i="12"/>
  <c r="BH247" i="12"/>
  <c r="BH248" i="12"/>
  <c r="BH249" i="12"/>
  <c r="BH250" i="12"/>
  <c r="BH251" i="12"/>
  <c r="BH252" i="12"/>
  <c r="BH253" i="12"/>
  <c r="BH254" i="12"/>
  <c r="BH255" i="12"/>
  <c r="BH256" i="12"/>
  <c r="BH257" i="12"/>
  <c r="BH258" i="12"/>
  <c r="BH259" i="12"/>
  <c r="BH260" i="12"/>
  <c r="BH261" i="12"/>
  <c r="BH262" i="12"/>
  <c r="BH263" i="12"/>
  <c r="BH264" i="12"/>
  <c r="BH265" i="12"/>
  <c r="BH266" i="12"/>
  <c r="BH267" i="12"/>
  <c r="BH268" i="12"/>
  <c r="BH269" i="12"/>
  <c r="BH270" i="12"/>
  <c r="BH271" i="12"/>
  <c r="BH272" i="12"/>
  <c r="BH273" i="12"/>
  <c r="BH274" i="12"/>
  <c r="BH275" i="12"/>
  <c r="BH276" i="12"/>
  <c r="BH277" i="12"/>
  <c r="BH278" i="12"/>
  <c r="BH279" i="12"/>
  <c r="BH280" i="12"/>
  <c r="BH281" i="12"/>
  <c r="BH282" i="12"/>
  <c r="BH283" i="12"/>
  <c r="BH284" i="12"/>
  <c r="BH285" i="12"/>
  <c r="BH286" i="12"/>
  <c r="BH287" i="12"/>
  <c r="BH288" i="12"/>
  <c r="BH289" i="12"/>
  <c r="BH290" i="12"/>
  <c r="BH291" i="12"/>
  <c r="BH292" i="12"/>
  <c r="BH293" i="12"/>
  <c r="BH294" i="12"/>
  <c r="BH295" i="12"/>
  <c r="BH296" i="12"/>
  <c r="BH297" i="12"/>
  <c r="BH298" i="12"/>
  <c r="BH299" i="12"/>
  <c r="BH300" i="12"/>
  <c r="BH301" i="12"/>
  <c r="BH302" i="12"/>
  <c r="BH303" i="12"/>
  <c r="BH304" i="12"/>
  <c r="BH305" i="12"/>
  <c r="BH306" i="12"/>
  <c r="BH307" i="12"/>
  <c r="BH308" i="12"/>
  <c r="BH309" i="12"/>
  <c r="BH310" i="12"/>
  <c r="BH311" i="12"/>
  <c r="BH312" i="12"/>
  <c r="BH313" i="12"/>
  <c r="BH314" i="12"/>
  <c r="BH315" i="12"/>
  <c r="BH316" i="12"/>
  <c r="BH317" i="12"/>
  <c r="BH318" i="12"/>
  <c r="BH319" i="12"/>
  <c r="BH320" i="12"/>
  <c r="BH321" i="12"/>
  <c r="BH322" i="12"/>
  <c r="BH323" i="12"/>
  <c r="BH324" i="12"/>
  <c r="BH325" i="12"/>
  <c r="BH326" i="12"/>
  <c r="BH327" i="12"/>
  <c r="BH328" i="12"/>
  <c r="BH329" i="12"/>
  <c r="BH330" i="12"/>
  <c r="BH331" i="12"/>
  <c r="BH332" i="12"/>
  <c r="BH333" i="12"/>
  <c r="BH334" i="12"/>
  <c r="BH335" i="12"/>
  <c r="BH336" i="12"/>
  <c r="BH337" i="12"/>
  <c r="BH338" i="12"/>
  <c r="BH339" i="12"/>
  <c r="BH340" i="12"/>
  <c r="BH341" i="12"/>
  <c r="BH342" i="12"/>
  <c r="BH343" i="12"/>
  <c r="BH344" i="12"/>
  <c r="BH345" i="12"/>
  <c r="BH346" i="12"/>
  <c r="BH347" i="12"/>
  <c r="BH348" i="12"/>
  <c r="BH349" i="12"/>
  <c r="BH350" i="12"/>
  <c r="BH351" i="12"/>
  <c r="BH352" i="12"/>
  <c r="BH353" i="12"/>
  <c r="BH354" i="12"/>
  <c r="BH355" i="12"/>
  <c r="BH356" i="12"/>
  <c r="BH357" i="12"/>
  <c r="BH358" i="12"/>
  <c r="BH359" i="12"/>
  <c r="BH360" i="12"/>
  <c r="BH361" i="12"/>
  <c r="BH362" i="12"/>
  <c r="BH363" i="12"/>
  <c r="BH364" i="12"/>
  <c r="BH365" i="12"/>
  <c r="BH366" i="12"/>
  <c r="BH367" i="12"/>
  <c r="BH368" i="12"/>
  <c r="BH369" i="12"/>
  <c r="BH370" i="12"/>
  <c r="BH371" i="12"/>
  <c r="BH372" i="12"/>
  <c r="BH373" i="12"/>
  <c r="BH374" i="12"/>
  <c r="BH375" i="12"/>
  <c r="BH376" i="12"/>
  <c r="BH377" i="12"/>
  <c r="BH378" i="12"/>
  <c r="BH379" i="12"/>
  <c r="BH380" i="12"/>
  <c r="BH381" i="12"/>
  <c r="BH382" i="12"/>
  <c r="BH383" i="12"/>
  <c r="BH384" i="12"/>
  <c r="BH385" i="12"/>
  <c r="BH386" i="12"/>
  <c r="BH387" i="12"/>
  <c r="BH388" i="12"/>
  <c r="BH389" i="12"/>
  <c r="BH390" i="12"/>
  <c r="BH391" i="12"/>
  <c r="BH392" i="12"/>
  <c r="BH393" i="12"/>
  <c r="BH394" i="12"/>
  <c r="BH395" i="12"/>
  <c r="BH396" i="12"/>
  <c r="BH397" i="12"/>
  <c r="BH398" i="12"/>
  <c r="BH399" i="12"/>
  <c r="BH400" i="12"/>
  <c r="BH401" i="12"/>
  <c r="BH402" i="12"/>
  <c r="BH403" i="12"/>
  <c r="BH404" i="12"/>
  <c r="BG192" i="12"/>
  <c r="BG193" i="12"/>
  <c r="BG194" i="12"/>
  <c r="BG195" i="12"/>
  <c r="BG196" i="12"/>
  <c r="BG197" i="12"/>
  <c r="BG198" i="12"/>
  <c r="BG199" i="12"/>
  <c r="BG200" i="12"/>
  <c r="BG201" i="12"/>
  <c r="BG202" i="12"/>
  <c r="BG203" i="12"/>
  <c r="BG204" i="12"/>
  <c r="BG205" i="12"/>
  <c r="BG206" i="12"/>
  <c r="BG207" i="12"/>
  <c r="BG208" i="12"/>
  <c r="BG209" i="12"/>
  <c r="BG210" i="12"/>
  <c r="BG211" i="12"/>
  <c r="BG212" i="12"/>
  <c r="BG213" i="12"/>
  <c r="BG214" i="12"/>
  <c r="BG215" i="12"/>
  <c r="BG216" i="12"/>
  <c r="BG217" i="12"/>
  <c r="BG218" i="12"/>
  <c r="BG219" i="12"/>
  <c r="BG220" i="12"/>
  <c r="BG221" i="12"/>
  <c r="BG222" i="12"/>
  <c r="BG223" i="12"/>
  <c r="BG224" i="12"/>
  <c r="BG225" i="12"/>
  <c r="BG226" i="12"/>
  <c r="BG227" i="12"/>
  <c r="BG228" i="12"/>
  <c r="BG229" i="12"/>
  <c r="BG230" i="12"/>
  <c r="BG231" i="12"/>
  <c r="BG232" i="12"/>
  <c r="BG233" i="12"/>
  <c r="BG234" i="12"/>
  <c r="BG235" i="12"/>
  <c r="BG236" i="12"/>
  <c r="BG237" i="12"/>
  <c r="BG238" i="12"/>
  <c r="BG239" i="12"/>
  <c r="BG240" i="12"/>
  <c r="BG241" i="12"/>
  <c r="BG242" i="12"/>
  <c r="BG243" i="12"/>
  <c r="BG244" i="12"/>
  <c r="BG245" i="12"/>
  <c r="BG246" i="12"/>
  <c r="BG247" i="12"/>
  <c r="BG248" i="12"/>
  <c r="BG249" i="12"/>
  <c r="BG250" i="12"/>
  <c r="BG251" i="12"/>
  <c r="BG252" i="12"/>
  <c r="BG253" i="12"/>
  <c r="BG254" i="12"/>
  <c r="BG255" i="12"/>
  <c r="BG256" i="12"/>
  <c r="BG257" i="12"/>
  <c r="BG258" i="12"/>
  <c r="BG259" i="12"/>
  <c r="BG260" i="12"/>
  <c r="BG261" i="12"/>
  <c r="BG262" i="12"/>
  <c r="BG263" i="12"/>
  <c r="BG264" i="12"/>
  <c r="BG265" i="12"/>
  <c r="BG266" i="12"/>
  <c r="BG267" i="12"/>
  <c r="BG268" i="12"/>
  <c r="BG269" i="12"/>
  <c r="BG270" i="12"/>
  <c r="BG271" i="12"/>
  <c r="BG272" i="12"/>
  <c r="BG273" i="12"/>
  <c r="BG274" i="12"/>
  <c r="BG275" i="12"/>
  <c r="BG276" i="12"/>
  <c r="BG277" i="12"/>
  <c r="BG278" i="12"/>
  <c r="BG279" i="12"/>
  <c r="BG280" i="12"/>
  <c r="BG281" i="12"/>
  <c r="BG282" i="12"/>
  <c r="BG283" i="12"/>
  <c r="BG284" i="12"/>
  <c r="BG285" i="12"/>
  <c r="BG286" i="12"/>
  <c r="BG287" i="12"/>
  <c r="BG288" i="12"/>
  <c r="BG289" i="12"/>
  <c r="BG290" i="12"/>
  <c r="BG291" i="12"/>
  <c r="BG292" i="12"/>
  <c r="BG293" i="12"/>
  <c r="BG294" i="12"/>
  <c r="BG295" i="12"/>
  <c r="BG296" i="12"/>
  <c r="BG297" i="12"/>
  <c r="BG298" i="12"/>
  <c r="BG299" i="12"/>
  <c r="BG300" i="12"/>
  <c r="BG301" i="12"/>
  <c r="BG302" i="12"/>
  <c r="BG303" i="12"/>
  <c r="BG304" i="12"/>
  <c r="BG305" i="12"/>
  <c r="BG306" i="12"/>
  <c r="BG307" i="12"/>
  <c r="BG308" i="12"/>
  <c r="BG309" i="12"/>
  <c r="BG310" i="12"/>
  <c r="BG311" i="12"/>
  <c r="BG312" i="12"/>
  <c r="BG313" i="12"/>
  <c r="BG314" i="12"/>
  <c r="BG315" i="12"/>
  <c r="BG316" i="12"/>
  <c r="BG317" i="12"/>
  <c r="BG318" i="12"/>
  <c r="BG319" i="12"/>
  <c r="BG320" i="12"/>
  <c r="BG321" i="12"/>
  <c r="BG322" i="12"/>
  <c r="BG323" i="12"/>
  <c r="BG324" i="12"/>
  <c r="BG325" i="12"/>
  <c r="BG326" i="12"/>
  <c r="BG327" i="12"/>
  <c r="BG328" i="12"/>
  <c r="BG329" i="12"/>
  <c r="BG330" i="12"/>
  <c r="BG331" i="12"/>
  <c r="BG332" i="12"/>
  <c r="BG333" i="12"/>
  <c r="BG334" i="12"/>
  <c r="BG335" i="12"/>
  <c r="BG336" i="12"/>
  <c r="BG337" i="12"/>
  <c r="BG338" i="12"/>
  <c r="BG339" i="12"/>
  <c r="BG340" i="12"/>
  <c r="BG341" i="12"/>
  <c r="BG342" i="12"/>
  <c r="BG343" i="12"/>
  <c r="BG344" i="12"/>
  <c r="BG345" i="12"/>
  <c r="BG346" i="12"/>
  <c r="BG347" i="12"/>
  <c r="BG348" i="12"/>
  <c r="BG349" i="12"/>
  <c r="BG350" i="12"/>
  <c r="BG351" i="12"/>
  <c r="BG352" i="12"/>
  <c r="BG353" i="12"/>
  <c r="BG354" i="12"/>
  <c r="BG355" i="12"/>
  <c r="BG356" i="12"/>
  <c r="BG357" i="12"/>
  <c r="BG358" i="12"/>
  <c r="BG359" i="12"/>
  <c r="BG360" i="12"/>
  <c r="BG361" i="12"/>
  <c r="BG362" i="12"/>
  <c r="BG363" i="12"/>
  <c r="BG364" i="12"/>
  <c r="BG365" i="12"/>
  <c r="BG366" i="12"/>
  <c r="BG367" i="12"/>
  <c r="BG368" i="12"/>
  <c r="BG369" i="12"/>
  <c r="BG370" i="12"/>
  <c r="BG371" i="12"/>
  <c r="BG372" i="12"/>
  <c r="BG373" i="12"/>
  <c r="BG374" i="12"/>
  <c r="BG375" i="12"/>
  <c r="BG376" i="12"/>
  <c r="BG377" i="12"/>
  <c r="BG378" i="12"/>
  <c r="BG379" i="12"/>
  <c r="BG380" i="12"/>
  <c r="BG381" i="12"/>
  <c r="BG382" i="12"/>
  <c r="BG383" i="12"/>
  <c r="BG384" i="12"/>
  <c r="BG385" i="12"/>
  <c r="BG386" i="12"/>
  <c r="BG387" i="12"/>
  <c r="BG388" i="12"/>
  <c r="BG389" i="12"/>
  <c r="BG390" i="12"/>
  <c r="BG391" i="12"/>
  <c r="BG392" i="12"/>
  <c r="BG393" i="12"/>
  <c r="BG394" i="12"/>
  <c r="BG395" i="12"/>
  <c r="BG396" i="12"/>
  <c r="BG397" i="12"/>
  <c r="BG398" i="12"/>
  <c r="BG399" i="12"/>
  <c r="BG400" i="12"/>
  <c r="BG401" i="12"/>
  <c r="BG402" i="12"/>
  <c r="BG403" i="12"/>
  <c r="BG404" i="12"/>
  <c r="BE192" i="12"/>
  <c r="BF192" i="12" s="1"/>
  <c r="BE193" i="12"/>
  <c r="BE194" i="12"/>
  <c r="BF194" i="12" s="1"/>
  <c r="BE195" i="12"/>
  <c r="BF195" i="12" s="1"/>
  <c r="BE196" i="12"/>
  <c r="BE197" i="12"/>
  <c r="BF197" i="12" s="1"/>
  <c r="BE198" i="12"/>
  <c r="BF198" i="12" s="1"/>
  <c r="BE199" i="12"/>
  <c r="BF199" i="12" s="1"/>
  <c r="BE200" i="12"/>
  <c r="BF200" i="12" s="1"/>
  <c r="BE201" i="12"/>
  <c r="BE202" i="12"/>
  <c r="BF202" i="12" s="1"/>
  <c r="BE203" i="12"/>
  <c r="BF203" i="12" s="1"/>
  <c r="BE204" i="12"/>
  <c r="BE205" i="12"/>
  <c r="BF205" i="12" s="1"/>
  <c r="BE206" i="12"/>
  <c r="BF206" i="12" s="1"/>
  <c r="BE207" i="12"/>
  <c r="BF207" i="12" s="1"/>
  <c r="BE208" i="12"/>
  <c r="BF208" i="12" s="1"/>
  <c r="BE209" i="12"/>
  <c r="BE210" i="12"/>
  <c r="BF210" i="12" s="1"/>
  <c r="BE211" i="12"/>
  <c r="BF211" i="12" s="1"/>
  <c r="BE212" i="12"/>
  <c r="BE213" i="12"/>
  <c r="BF213" i="12" s="1"/>
  <c r="BE214" i="12"/>
  <c r="BF214" i="12" s="1"/>
  <c r="BE215" i="12"/>
  <c r="BF215" i="12" s="1"/>
  <c r="BE216" i="12"/>
  <c r="BF216" i="12" s="1"/>
  <c r="BE217" i="12"/>
  <c r="BE218" i="12"/>
  <c r="BF218" i="12" s="1"/>
  <c r="BE219" i="12"/>
  <c r="BF219" i="12" s="1"/>
  <c r="BE220" i="12"/>
  <c r="BE221" i="12"/>
  <c r="BF221" i="12" s="1"/>
  <c r="BE222" i="12"/>
  <c r="BF222" i="12" s="1"/>
  <c r="BE223" i="12"/>
  <c r="BF223" i="12" s="1"/>
  <c r="BE224" i="12"/>
  <c r="BF224" i="12" s="1"/>
  <c r="BE225" i="12"/>
  <c r="BI225" i="12" s="1"/>
  <c r="BE226" i="12"/>
  <c r="BF226" i="12" s="1"/>
  <c r="BE227" i="12"/>
  <c r="BF227" i="12" s="1"/>
  <c r="BE228" i="12"/>
  <c r="BE229" i="12"/>
  <c r="BF229" i="12" s="1"/>
  <c r="BE230" i="12"/>
  <c r="BF230" i="12" s="1"/>
  <c r="BE231" i="12"/>
  <c r="BF231" i="12" s="1"/>
  <c r="BE232" i="12"/>
  <c r="BF232" i="12" s="1"/>
  <c r="BE233" i="12"/>
  <c r="BE234" i="12"/>
  <c r="BF234" i="12" s="1"/>
  <c r="BE235" i="12"/>
  <c r="BF235" i="12" s="1"/>
  <c r="BE236" i="12"/>
  <c r="BE237" i="12"/>
  <c r="BF237" i="12" s="1"/>
  <c r="BE238" i="12"/>
  <c r="BF238" i="12" s="1"/>
  <c r="BE239" i="12"/>
  <c r="BF239" i="12" s="1"/>
  <c r="BE240" i="12"/>
  <c r="BF240" i="12" s="1"/>
  <c r="BE241" i="12"/>
  <c r="BE242" i="12"/>
  <c r="BF242" i="12" s="1"/>
  <c r="BE243" i="12"/>
  <c r="BF243" i="12" s="1"/>
  <c r="BE244" i="12"/>
  <c r="BE245" i="12"/>
  <c r="BF245" i="12" s="1"/>
  <c r="BE246" i="12"/>
  <c r="BF246" i="12" s="1"/>
  <c r="BE247" i="12"/>
  <c r="BF247" i="12" s="1"/>
  <c r="BE248" i="12"/>
  <c r="BF248" i="12" s="1"/>
  <c r="BE249" i="12"/>
  <c r="BE250" i="12"/>
  <c r="BF250" i="12" s="1"/>
  <c r="BE251" i="12"/>
  <c r="BF251" i="12" s="1"/>
  <c r="BE252" i="12"/>
  <c r="BE253" i="12"/>
  <c r="BF253" i="12" s="1"/>
  <c r="BE254" i="12"/>
  <c r="BF254" i="12" s="1"/>
  <c r="BE255" i="12"/>
  <c r="BF255" i="12" s="1"/>
  <c r="BE256" i="12"/>
  <c r="BF256" i="12" s="1"/>
  <c r="BE257" i="12"/>
  <c r="BE258" i="12"/>
  <c r="BF258" i="12" s="1"/>
  <c r="BE259" i="12"/>
  <c r="BF259" i="12" s="1"/>
  <c r="BE260" i="12"/>
  <c r="BE261" i="12"/>
  <c r="BF261" i="12" s="1"/>
  <c r="BE262" i="12"/>
  <c r="BF262" i="12" s="1"/>
  <c r="BE263" i="12"/>
  <c r="BF263" i="12" s="1"/>
  <c r="BE264" i="12"/>
  <c r="BF264" i="12" s="1"/>
  <c r="BE265" i="12"/>
  <c r="BE266" i="12"/>
  <c r="BF266" i="12" s="1"/>
  <c r="BE267" i="12"/>
  <c r="BF267" i="12" s="1"/>
  <c r="BE268" i="12"/>
  <c r="BE269" i="12"/>
  <c r="BF269" i="12" s="1"/>
  <c r="BE270" i="12"/>
  <c r="BF270" i="12" s="1"/>
  <c r="BE271" i="12"/>
  <c r="BF271" i="12" s="1"/>
  <c r="BE272" i="12"/>
  <c r="BF272" i="12" s="1"/>
  <c r="BE273" i="12"/>
  <c r="BE274" i="12"/>
  <c r="BF274" i="12" s="1"/>
  <c r="BE275" i="12"/>
  <c r="BF275" i="12" s="1"/>
  <c r="BE276" i="12"/>
  <c r="BE277" i="12"/>
  <c r="BF277" i="12" s="1"/>
  <c r="BE278" i="12"/>
  <c r="BF278" i="12" s="1"/>
  <c r="BE279" i="12"/>
  <c r="BF279" i="12" s="1"/>
  <c r="BE280" i="12"/>
  <c r="BF280" i="12" s="1"/>
  <c r="BE281" i="12"/>
  <c r="BE282" i="12"/>
  <c r="BF282" i="12" s="1"/>
  <c r="BE283" i="12"/>
  <c r="BF283" i="12" s="1"/>
  <c r="BE284" i="12"/>
  <c r="BE285" i="12"/>
  <c r="BF285" i="12" s="1"/>
  <c r="BE286" i="12"/>
  <c r="BF286" i="12" s="1"/>
  <c r="BE287" i="12"/>
  <c r="BF287" i="12" s="1"/>
  <c r="BE288" i="12"/>
  <c r="BF288" i="12" s="1"/>
  <c r="BE289" i="12"/>
  <c r="BI289" i="12" s="1"/>
  <c r="BE290" i="12"/>
  <c r="BF290" i="12" s="1"/>
  <c r="BE291" i="12"/>
  <c r="BF291" i="12" s="1"/>
  <c r="BE292" i="12"/>
  <c r="BE293" i="12"/>
  <c r="BF293" i="12" s="1"/>
  <c r="BE294" i="12"/>
  <c r="BF294" i="12" s="1"/>
  <c r="BE295" i="12"/>
  <c r="BF295" i="12" s="1"/>
  <c r="BE296" i="12"/>
  <c r="BF296" i="12" s="1"/>
  <c r="BE297" i="12"/>
  <c r="BE298" i="12"/>
  <c r="BF298" i="12" s="1"/>
  <c r="BE299" i="12"/>
  <c r="BF299" i="12" s="1"/>
  <c r="BE300" i="12"/>
  <c r="BE301" i="12"/>
  <c r="BF301" i="12" s="1"/>
  <c r="BE302" i="12"/>
  <c r="BF302" i="12" s="1"/>
  <c r="BE303" i="12"/>
  <c r="BF303" i="12" s="1"/>
  <c r="BE304" i="12"/>
  <c r="BF304" i="12" s="1"/>
  <c r="BE305" i="12"/>
  <c r="BE306" i="12"/>
  <c r="BF306" i="12" s="1"/>
  <c r="BE307" i="12"/>
  <c r="BF307" i="12" s="1"/>
  <c r="BE308" i="12"/>
  <c r="BE309" i="12"/>
  <c r="BF309" i="12" s="1"/>
  <c r="BE310" i="12"/>
  <c r="BF310" i="12" s="1"/>
  <c r="BE311" i="12"/>
  <c r="BF311" i="12" s="1"/>
  <c r="BE312" i="12"/>
  <c r="BF312" i="12" s="1"/>
  <c r="BE313" i="12"/>
  <c r="BE314" i="12"/>
  <c r="BF314" i="12" s="1"/>
  <c r="BE315" i="12"/>
  <c r="BF315" i="12" s="1"/>
  <c r="BE316" i="12"/>
  <c r="BE317" i="12"/>
  <c r="BF317" i="12" s="1"/>
  <c r="BE318" i="12"/>
  <c r="BF318" i="12" s="1"/>
  <c r="BE319" i="12"/>
  <c r="BF319" i="12" s="1"/>
  <c r="BE320" i="12"/>
  <c r="BF320" i="12" s="1"/>
  <c r="BE321" i="12"/>
  <c r="BE322" i="12"/>
  <c r="BF322" i="12" s="1"/>
  <c r="BE323" i="12"/>
  <c r="BF323" i="12" s="1"/>
  <c r="BE324" i="12"/>
  <c r="BE325" i="12"/>
  <c r="BF325" i="12" s="1"/>
  <c r="BE326" i="12"/>
  <c r="BF326" i="12" s="1"/>
  <c r="BE327" i="12"/>
  <c r="BF327" i="12" s="1"/>
  <c r="BE328" i="12"/>
  <c r="BF328" i="12" s="1"/>
  <c r="BE329" i="12"/>
  <c r="BE330" i="12"/>
  <c r="BF330" i="12" s="1"/>
  <c r="BE331" i="12"/>
  <c r="BF331" i="12" s="1"/>
  <c r="BE332" i="12"/>
  <c r="BE333" i="12"/>
  <c r="BF333" i="12" s="1"/>
  <c r="BE334" i="12"/>
  <c r="BF334" i="12" s="1"/>
  <c r="BE335" i="12"/>
  <c r="BF335" i="12" s="1"/>
  <c r="BE336" i="12"/>
  <c r="BF336" i="12" s="1"/>
  <c r="BE337" i="12"/>
  <c r="BE338" i="12"/>
  <c r="BF338" i="12" s="1"/>
  <c r="BE339" i="12"/>
  <c r="BF339" i="12" s="1"/>
  <c r="BE340" i="12"/>
  <c r="BE341" i="12"/>
  <c r="BF341" i="12" s="1"/>
  <c r="BE342" i="12"/>
  <c r="BF342" i="12" s="1"/>
  <c r="BE343" i="12"/>
  <c r="BF343" i="12" s="1"/>
  <c r="BE344" i="12"/>
  <c r="BF344" i="12" s="1"/>
  <c r="BE345" i="12"/>
  <c r="BE346" i="12"/>
  <c r="BF346" i="12" s="1"/>
  <c r="BE347" i="12"/>
  <c r="BF347" i="12" s="1"/>
  <c r="BE348" i="12"/>
  <c r="BE349" i="12"/>
  <c r="BF349" i="12" s="1"/>
  <c r="BE350" i="12"/>
  <c r="BF350" i="12" s="1"/>
  <c r="BE351" i="12"/>
  <c r="BF351" i="12" s="1"/>
  <c r="BE352" i="12"/>
  <c r="BF352" i="12" s="1"/>
  <c r="BE353" i="12"/>
  <c r="BI353" i="12" s="1"/>
  <c r="BE354" i="12"/>
  <c r="BF354" i="12" s="1"/>
  <c r="BE355" i="12"/>
  <c r="BF355" i="12" s="1"/>
  <c r="BE356" i="12"/>
  <c r="BE357" i="12"/>
  <c r="BF357" i="12" s="1"/>
  <c r="BE358" i="12"/>
  <c r="BF358" i="12" s="1"/>
  <c r="BE359" i="12"/>
  <c r="BF359" i="12" s="1"/>
  <c r="BE360" i="12"/>
  <c r="BF360" i="12" s="1"/>
  <c r="BE361" i="12"/>
  <c r="BE362" i="12"/>
  <c r="BF362" i="12" s="1"/>
  <c r="BE363" i="12"/>
  <c r="BF363" i="12" s="1"/>
  <c r="BE364" i="12"/>
  <c r="BE365" i="12"/>
  <c r="BF365" i="12" s="1"/>
  <c r="BE366" i="12"/>
  <c r="BF366" i="12" s="1"/>
  <c r="BE367" i="12"/>
  <c r="BF367" i="12" s="1"/>
  <c r="BE368" i="12"/>
  <c r="BF368" i="12" s="1"/>
  <c r="BE369" i="12"/>
  <c r="BE370" i="12"/>
  <c r="BF370" i="12" s="1"/>
  <c r="BE371" i="12"/>
  <c r="BF371" i="12" s="1"/>
  <c r="BE372" i="12"/>
  <c r="BE373" i="12"/>
  <c r="BF373" i="12" s="1"/>
  <c r="BE374" i="12"/>
  <c r="BF374" i="12" s="1"/>
  <c r="BE375" i="12"/>
  <c r="BF375" i="12" s="1"/>
  <c r="BE376" i="12"/>
  <c r="BF376" i="12" s="1"/>
  <c r="BE377" i="12"/>
  <c r="BE378" i="12"/>
  <c r="BF378" i="12" s="1"/>
  <c r="BE379" i="12"/>
  <c r="BF379" i="12" s="1"/>
  <c r="BE380" i="12"/>
  <c r="BE381" i="12"/>
  <c r="BF381" i="12" s="1"/>
  <c r="BE382" i="12"/>
  <c r="BF382" i="12" s="1"/>
  <c r="BE383" i="12"/>
  <c r="BF383" i="12" s="1"/>
  <c r="BE384" i="12"/>
  <c r="BF384" i="12" s="1"/>
  <c r="BE385" i="12"/>
  <c r="BE386" i="12"/>
  <c r="BF386" i="12" s="1"/>
  <c r="BE387" i="12"/>
  <c r="BF387" i="12" s="1"/>
  <c r="BE388" i="12"/>
  <c r="BE389" i="12"/>
  <c r="BF389" i="12" s="1"/>
  <c r="BE390" i="12"/>
  <c r="BF390" i="12" s="1"/>
  <c r="BE391" i="12"/>
  <c r="BF391" i="12" s="1"/>
  <c r="BE392" i="12"/>
  <c r="BF392" i="12" s="1"/>
  <c r="BE393" i="12"/>
  <c r="BE394" i="12"/>
  <c r="BF394" i="12" s="1"/>
  <c r="BE395" i="12"/>
  <c r="BF395" i="12" s="1"/>
  <c r="BE396" i="12"/>
  <c r="BE397" i="12"/>
  <c r="BF397" i="12" s="1"/>
  <c r="BE398" i="12"/>
  <c r="BF398" i="12" s="1"/>
  <c r="BE399" i="12"/>
  <c r="BF399" i="12" s="1"/>
  <c r="BE400" i="12"/>
  <c r="BF400" i="12" s="1"/>
  <c r="BE401" i="12"/>
  <c r="BE402" i="12"/>
  <c r="BF402" i="12" s="1"/>
  <c r="BE403" i="12"/>
  <c r="BF403" i="12" s="1"/>
  <c r="BE404" i="12"/>
  <c r="BE3" i="12"/>
  <c r="BE4" i="12"/>
  <c r="BE5" i="12"/>
  <c r="BE6" i="12"/>
  <c r="BE7" i="12"/>
  <c r="BE8" i="12"/>
  <c r="BE9" i="12"/>
  <c r="BE10" i="12"/>
  <c r="BE11" i="12"/>
  <c r="BE12" i="12"/>
  <c r="BE13" i="12"/>
  <c r="BE14" i="12"/>
  <c r="BE15" i="12"/>
  <c r="BE16" i="12"/>
  <c r="BE17" i="12"/>
  <c r="BE18" i="12"/>
  <c r="BE19" i="12"/>
  <c r="BE20" i="12"/>
  <c r="BE21" i="12"/>
  <c r="BE22" i="12"/>
  <c r="BE23" i="12"/>
  <c r="BE24" i="12"/>
  <c r="BE25" i="12"/>
  <c r="BE26" i="12"/>
  <c r="BE27" i="12"/>
  <c r="BE28" i="12"/>
  <c r="BE29" i="12"/>
  <c r="BE30" i="12"/>
  <c r="BE31" i="12"/>
  <c r="BE32" i="12"/>
  <c r="BE33" i="12"/>
  <c r="BE34" i="12"/>
  <c r="BE35" i="12"/>
  <c r="BE36" i="12"/>
  <c r="BE37" i="12"/>
  <c r="BE38" i="12"/>
  <c r="BE39" i="12"/>
  <c r="BE40" i="12"/>
  <c r="BE41" i="12"/>
  <c r="BE42" i="12"/>
  <c r="BE43" i="12"/>
  <c r="BE44" i="12"/>
  <c r="BE45" i="12"/>
  <c r="BE46" i="12"/>
  <c r="BE47" i="12"/>
  <c r="BE48" i="12"/>
  <c r="BE49" i="12"/>
  <c r="BE50" i="12"/>
  <c r="BE51" i="12"/>
  <c r="BE52" i="12"/>
  <c r="BE53" i="12"/>
  <c r="BE54" i="12"/>
  <c r="BE55" i="12"/>
  <c r="BE56" i="12"/>
  <c r="BE57" i="12"/>
  <c r="BE58" i="12"/>
  <c r="BE59" i="12"/>
  <c r="BE60" i="12"/>
  <c r="BE61" i="12"/>
  <c r="BE62" i="12"/>
  <c r="BE63" i="12"/>
  <c r="BE64" i="12"/>
  <c r="BE65" i="12"/>
  <c r="BE66" i="12"/>
  <c r="BE67" i="12"/>
  <c r="BE68" i="12"/>
  <c r="BE69" i="12"/>
  <c r="BE70" i="12"/>
  <c r="BE71" i="12"/>
  <c r="BE72" i="12"/>
  <c r="BE73" i="12"/>
  <c r="BE74" i="12"/>
  <c r="BE75" i="12"/>
  <c r="BE76" i="12"/>
  <c r="BE77" i="12"/>
  <c r="BE78" i="12"/>
  <c r="BE79" i="12"/>
  <c r="BE80" i="12"/>
  <c r="BE81" i="12"/>
  <c r="BE82" i="12"/>
  <c r="BE83" i="12"/>
  <c r="BE84" i="12"/>
  <c r="BE85" i="12"/>
  <c r="BE86" i="12"/>
  <c r="BE87" i="12"/>
  <c r="BE88" i="12"/>
  <c r="BE89" i="12"/>
  <c r="BE90" i="12"/>
  <c r="BE91" i="12"/>
  <c r="BE92" i="12"/>
  <c r="BE93" i="12"/>
  <c r="BE94" i="12"/>
  <c r="BE95" i="12"/>
  <c r="BE96" i="12"/>
  <c r="BE97" i="12"/>
  <c r="BE98" i="12"/>
  <c r="BE99" i="12"/>
  <c r="BE100" i="12"/>
  <c r="BE101" i="12"/>
  <c r="BE102" i="12"/>
  <c r="BE103" i="12"/>
  <c r="BE104" i="12"/>
  <c r="BE105" i="12"/>
  <c r="BE106" i="12"/>
  <c r="BE107" i="12"/>
  <c r="BE108" i="12"/>
  <c r="BE109" i="12"/>
  <c r="BE110" i="12"/>
  <c r="BE111" i="12"/>
  <c r="BE112" i="12"/>
  <c r="BE113" i="12"/>
  <c r="BE114" i="12"/>
  <c r="BE115" i="12"/>
  <c r="BE116" i="12"/>
  <c r="BE117" i="12"/>
  <c r="BE118" i="12"/>
  <c r="BE119" i="12"/>
  <c r="BE120" i="12"/>
  <c r="BE121" i="12"/>
  <c r="BE122" i="12"/>
  <c r="BE123" i="12"/>
  <c r="BE124" i="12"/>
  <c r="BE125" i="12"/>
  <c r="BE126" i="12"/>
  <c r="BE127" i="12"/>
  <c r="BE128" i="12"/>
  <c r="BE129" i="12"/>
  <c r="BE130" i="12"/>
  <c r="BE131" i="12"/>
  <c r="BE132" i="12"/>
  <c r="BE133" i="12"/>
  <c r="BE134" i="12"/>
  <c r="BE135" i="12"/>
  <c r="BE136" i="12"/>
  <c r="BE137" i="12"/>
  <c r="BE138" i="12"/>
  <c r="BE139" i="12"/>
  <c r="BE140" i="12"/>
  <c r="BE141" i="12"/>
  <c r="BE142" i="12"/>
  <c r="BE143" i="12"/>
  <c r="BE144" i="12"/>
  <c r="BE145" i="12"/>
  <c r="BE146" i="12"/>
  <c r="BE147" i="12"/>
  <c r="BE148" i="12"/>
  <c r="BE149" i="12"/>
  <c r="BE150" i="12"/>
  <c r="BE151" i="12"/>
  <c r="BE152" i="12"/>
  <c r="BE153" i="12"/>
  <c r="BE154" i="12"/>
  <c r="BE155" i="12"/>
  <c r="BE156" i="12"/>
  <c r="BE157" i="12"/>
  <c r="BE158" i="12"/>
  <c r="BE159" i="12"/>
  <c r="BE160" i="12"/>
  <c r="BE161" i="12"/>
  <c r="BE162" i="12"/>
  <c r="BE163" i="12"/>
  <c r="BE164" i="12"/>
  <c r="BE165" i="12"/>
  <c r="BE166" i="12"/>
  <c r="BE167" i="12"/>
  <c r="BE168" i="12"/>
  <c r="BE169" i="12"/>
  <c r="BE170" i="12"/>
  <c r="BE171" i="12"/>
  <c r="BE172" i="12"/>
  <c r="BE173" i="12"/>
  <c r="BE174" i="12"/>
  <c r="BE175" i="12"/>
  <c r="BE176" i="12"/>
  <c r="BE177" i="12"/>
  <c r="BE178" i="12"/>
  <c r="BE179" i="12"/>
  <c r="BE180" i="12"/>
  <c r="BE181" i="12"/>
  <c r="BE182" i="12"/>
  <c r="BE183" i="12"/>
  <c r="BE184" i="12"/>
  <c r="BE185" i="12"/>
  <c r="BE186" i="12"/>
  <c r="BE187" i="12"/>
  <c r="BE188" i="12"/>
  <c r="BE189" i="12"/>
  <c r="BE190" i="12"/>
  <c r="BE191" i="12"/>
  <c r="BE2" i="12"/>
  <c r="BC192" i="12"/>
  <c r="BC193" i="12"/>
  <c r="BC194" i="12"/>
  <c r="BC195" i="12"/>
  <c r="BC196" i="12"/>
  <c r="BC197" i="12"/>
  <c r="BC198" i="12"/>
  <c r="BC199" i="12"/>
  <c r="BC200" i="12"/>
  <c r="BC201" i="12"/>
  <c r="BC202" i="12"/>
  <c r="BC203" i="12"/>
  <c r="BC204" i="12"/>
  <c r="BC205" i="12"/>
  <c r="BC206" i="12"/>
  <c r="BC207" i="12"/>
  <c r="BC208" i="12"/>
  <c r="BC209" i="12"/>
  <c r="BC210" i="12"/>
  <c r="BC211" i="12"/>
  <c r="BC212" i="12"/>
  <c r="BC213" i="12"/>
  <c r="BC214" i="12"/>
  <c r="BC215" i="12"/>
  <c r="BC216" i="12"/>
  <c r="BC217" i="12"/>
  <c r="BC218" i="12"/>
  <c r="BC219" i="12"/>
  <c r="BC220" i="12"/>
  <c r="BC221" i="12"/>
  <c r="BC222" i="12"/>
  <c r="BC223" i="12"/>
  <c r="BC224" i="12"/>
  <c r="BC225" i="12"/>
  <c r="BC226" i="12"/>
  <c r="BC227" i="12"/>
  <c r="BC228" i="12"/>
  <c r="BC229" i="12"/>
  <c r="BC230" i="12"/>
  <c r="BC231" i="12"/>
  <c r="BC232" i="12"/>
  <c r="BC233" i="12"/>
  <c r="BC234" i="12"/>
  <c r="BC235" i="12"/>
  <c r="BC236" i="12"/>
  <c r="BC237" i="12"/>
  <c r="BC238" i="12"/>
  <c r="BC239" i="12"/>
  <c r="BC240" i="12"/>
  <c r="BC241" i="12"/>
  <c r="BC242" i="12"/>
  <c r="BC243" i="12"/>
  <c r="BC244" i="12"/>
  <c r="BC245" i="12"/>
  <c r="BC246" i="12"/>
  <c r="BC247" i="12"/>
  <c r="BC248" i="12"/>
  <c r="BC249" i="12"/>
  <c r="BC250" i="12"/>
  <c r="BC251" i="12"/>
  <c r="BC252" i="12"/>
  <c r="BC253" i="12"/>
  <c r="BC254" i="12"/>
  <c r="BC255" i="12"/>
  <c r="BC256" i="12"/>
  <c r="BC257" i="12"/>
  <c r="BC258" i="12"/>
  <c r="BC259" i="12"/>
  <c r="BC260" i="12"/>
  <c r="BC261" i="12"/>
  <c r="BC262" i="12"/>
  <c r="BC263" i="12"/>
  <c r="BC264" i="12"/>
  <c r="BC265" i="12"/>
  <c r="BC266" i="12"/>
  <c r="BC267" i="12"/>
  <c r="BC268" i="12"/>
  <c r="BC269" i="12"/>
  <c r="BC270" i="12"/>
  <c r="BC271" i="12"/>
  <c r="BC272" i="12"/>
  <c r="BC273" i="12"/>
  <c r="BC274" i="12"/>
  <c r="BC275" i="12"/>
  <c r="BC276" i="12"/>
  <c r="BC277" i="12"/>
  <c r="BC278" i="12"/>
  <c r="BC279" i="12"/>
  <c r="BC280" i="12"/>
  <c r="BC281" i="12"/>
  <c r="BC282" i="12"/>
  <c r="BC283" i="12"/>
  <c r="BC284" i="12"/>
  <c r="BC285" i="12"/>
  <c r="BC286" i="12"/>
  <c r="BC287" i="12"/>
  <c r="BC288" i="12"/>
  <c r="BC289" i="12"/>
  <c r="BC290" i="12"/>
  <c r="BC291" i="12"/>
  <c r="BC292" i="12"/>
  <c r="BC293" i="12"/>
  <c r="BC294" i="12"/>
  <c r="BC295" i="12"/>
  <c r="BC296" i="12"/>
  <c r="BC297" i="12"/>
  <c r="BC298" i="12"/>
  <c r="BC299" i="12"/>
  <c r="BC300" i="12"/>
  <c r="BC301" i="12"/>
  <c r="BC302" i="12"/>
  <c r="BC303" i="12"/>
  <c r="BC304" i="12"/>
  <c r="BC305" i="12"/>
  <c r="BC306" i="12"/>
  <c r="BC307" i="12"/>
  <c r="BC308" i="12"/>
  <c r="BC309" i="12"/>
  <c r="BC310" i="12"/>
  <c r="BC311" i="12"/>
  <c r="BC312" i="12"/>
  <c r="BC313" i="12"/>
  <c r="BC314" i="12"/>
  <c r="BC315" i="12"/>
  <c r="BC316" i="12"/>
  <c r="BC317" i="12"/>
  <c r="BC318" i="12"/>
  <c r="BC319" i="12"/>
  <c r="BC320" i="12"/>
  <c r="BC321" i="12"/>
  <c r="BC322" i="12"/>
  <c r="BC323" i="12"/>
  <c r="BC324" i="12"/>
  <c r="BC325" i="12"/>
  <c r="BC326" i="12"/>
  <c r="BC327" i="12"/>
  <c r="BC328" i="12"/>
  <c r="BC329" i="12"/>
  <c r="BC330" i="12"/>
  <c r="BC331" i="12"/>
  <c r="BC332" i="12"/>
  <c r="BC333" i="12"/>
  <c r="BC334" i="12"/>
  <c r="BC335" i="12"/>
  <c r="BC336" i="12"/>
  <c r="BC337" i="12"/>
  <c r="BC338" i="12"/>
  <c r="BC339" i="12"/>
  <c r="BC340" i="12"/>
  <c r="BC341" i="12"/>
  <c r="BC342" i="12"/>
  <c r="BC343" i="12"/>
  <c r="BC344" i="12"/>
  <c r="BC345" i="12"/>
  <c r="BC346" i="12"/>
  <c r="BC347" i="12"/>
  <c r="BC348" i="12"/>
  <c r="BC349" i="12"/>
  <c r="BC350" i="12"/>
  <c r="BC351" i="12"/>
  <c r="BC352" i="12"/>
  <c r="BC353" i="12"/>
  <c r="BC354" i="12"/>
  <c r="BC355" i="12"/>
  <c r="BC356" i="12"/>
  <c r="BC357" i="12"/>
  <c r="BC358" i="12"/>
  <c r="BC359" i="12"/>
  <c r="BC360" i="12"/>
  <c r="BC361" i="12"/>
  <c r="BC362" i="12"/>
  <c r="BC363" i="12"/>
  <c r="BC364" i="12"/>
  <c r="BC365" i="12"/>
  <c r="BC366" i="12"/>
  <c r="BC367" i="12"/>
  <c r="BC368" i="12"/>
  <c r="BC369" i="12"/>
  <c r="BC370" i="12"/>
  <c r="BC371" i="12"/>
  <c r="BC372" i="12"/>
  <c r="BC373" i="12"/>
  <c r="BC374" i="12"/>
  <c r="BC375" i="12"/>
  <c r="BC376" i="12"/>
  <c r="BC377" i="12"/>
  <c r="BC378" i="12"/>
  <c r="BC379" i="12"/>
  <c r="BC380" i="12"/>
  <c r="BC381" i="12"/>
  <c r="BC382" i="12"/>
  <c r="BC383" i="12"/>
  <c r="BC384" i="12"/>
  <c r="BC385" i="12"/>
  <c r="BC386" i="12"/>
  <c r="BC387" i="12"/>
  <c r="BC388" i="12"/>
  <c r="BC389" i="12"/>
  <c r="BC390" i="12"/>
  <c r="BC391" i="12"/>
  <c r="BC392" i="12"/>
  <c r="BC393" i="12"/>
  <c r="BC394" i="12"/>
  <c r="BC395" i="12"/>
  <c r="BC396" i="12"/>
  <c r="BC397" i="12"/>
  <c r="BC398" i="12"/>
  <c r="BC399" i="12"/>
  <c r="BC400" i="12"/>
  <c r="BC401" i="12"/>
  <c r="BC402" i="12"/>
  <c r="BC403" i="12"/>
  <c r="BC404" i="12"/>
  <c r="BB192" i="12"/>
  <c r="BB193" i="12"/>
  <c r="BB194" i="12"/>
  <c r="BB195" i="12"/>
  <c r="BB196" i="12"/>
  <c r="BB197" i="12"/>
  <c r="BB198" i="12"/>
  <c r="BB199" i="12"/>
  <c r="BB200" i="12"/>
  <c r="BB201" i="12"/>
  <c r="BB202" i="12"/>
  <c r="BB203" i="12"/>
  <c r="BB204" i="12"/>
  <c r="BB205" i="12"/>
  <c r="BB206" i="12"/>
  <c r="BB207" i="12"/>
  <c r="BB208" i="12"/>
  <c r="BB209" i="12"/>
  <c r="BB210" i="12"/>
  <c r="BB211" i="12"/>
  <c r="BB212" i="12"/>
  <c r="BB213" i="12"/>
  <c r="BB214" i="12"/>
  <c r="BB215" i="12"/>
  <c r="BB216" i="12"/>
  <c r="BB217" i="12"/>
  <c r="BB218" i="12"/>
  <c r="BB219" i="12"/>
  <c r="BB220" i="12"/>
  <c r="BB221" i="12"/>
  <c r="BB222" i="12"/>
  <c r="BB223" i="12"/>
  <c r="BB224" i="12"/>
  <c r="BB225" i="12"/>
  <c r="BB226" i="12"/>
  <c r="BB227" i="12"/>
  <c r="BB228" i="12"/>
  <c r="BB229" i="12"/>
  <c r="BB230" i="12"/>
  <c r="BB231" i="12"/>
  <c r="BB232" i="12"/>
  <c r="BB233" i="12"/>
  <c r="BB234" i="12"/>
  <c r="BB235" i="12"/>
  <c r="BB236" i="12"/>
  <c r="BB237" i="12"/>
  <c r="BB238" i="12"/>
  <c r="BB239" i="12"/>
  <c r="BB240" i="12"/>
  <c r="BB241" i="12"/>
  <c r="BB242" i="12"/>
  <c r="BB243" i="12"/>
  <c r="BB244" i="12"/>
  <c r="BB245" i="12"/>
  <c r="BB246" i="12"/>
  <c r="BB247" i="12"/>
  <c r="BB248" i="12"/>
  <c r="BB249" i="12"/>
  <c r="BB250" i="12"/>
  <c r="BB251" i="12"/>
  <c r="BB252" i="12"/>
  <c r="BB253" i="12"/>
  <c r="BB254" i="12"/>
  <c r="BB255" i="12"/>
  <c r="BB256" i="12"/>
  <c r="BB257" i="12"/>
  <c r="BB258" i="12"/>
  <c r="BB259" i="12"/>
  <c r="BB260" i="12"/>
  <c r="BB261" i="12"/>
  <c r="BB262" i="12"/>
  <c r="BB263" i="12"/>
  <c r="BB264" i="12"/>
  <c r="BB265" i="12"/>
  <c r="BB266" i="12"/>
  <c r="BB267" i="12"/>
  <c r="BB268" i="12"/>
  <c r="BB269" i="12"/>
  <c r="BB270" i="12"/>
  <c r="BB271" i="12"/>
  <c r="BB272" i="12"/>
  <c r="BB273" i="12"/>
  <c r="BB274" i="12"/>
  <c r="BB275" i="12"/>
  <c r="BB276" i="12"/>
  <c r="BB277" i="12"/>
  <c r="BB278" i="12"/>
  <c r="BB279" i="12"/>
  <c r="BB280" i="12"/>
  <c r="BB281" i="12"/>
  <c r="BB282" i="12"/>
  <c r="BB283" i="12"/>
  <c r="BB284" i="12"/>
  <c r="BB285" i="12"/>
  <c r="BB286" i="12"/>
  <c r="BB287" i="12"/>
  <c r="BB288" i="12"/>
  <c r="BB289" i="12"/>
  <c r="BB290" i="12"/>
  <c r="BB291" i="12"/>
  <c r="BB292" i="12"/>
  <c r="BB293" i="12"/>
  <c r="BB294" i="12"/>
  <c r="BB295" i="12"/>
  <c r="BB296" i="12"/>
  <c r="BB297" i="12"/>
  <c r="BB298" i="12"/>
  <c r="BB299" i="12"/>
  <c r="BB300" i="12"/>
  <c r="BB301" i="12"/>
  <c r="BB302" i="12"/>
  <c r="BB303" i="12"/>
  <c r="BB304" i="12"/>
  <c r="BB305" i="12"/>
  <c r="BB306" i="12"/>
  <c r="BB307" i="12"/>
  <c r="BB308" i="12"/>
  <c r="BB309" i="12"/>
  <c r="BB310" i="12"/>
  <c r="BB311" i="12"/>
  <c r="BB312" i="12"/>
  <c r="BB313" i="12"/>
  <c r="BB314" i="12"/>
  <c r="BB315" i="12"/>
  <c r="BB316" i="12"/>
  <c r="BB317" i="12"/>
  <c r="BB318" i="12"/>
  <c r="BB319" i="12"/>
  <c r="BB320" i="12"/>
  <c r="BB321" i="12"/>
  <c r="BB322" i="12"/>
  <c r="BB323" i="12"/>
  <c r="BB324" i="12"/>
  <c r="BB325" i="12"/>
  <c r="BB326" i="12"/>
  <c r="BB327" i="12"/>
  <c r="BB328" i="12"/>
  <c r="BB329" i="12"/>
  <c r="BB330" i="12"/>
  <c r="BB331" i="12"/>
  <c r="BB332" i="12"/>
  <c r="BB333" i="12"/>
  <c r="BB334" i="12"/>
  <c r="BB335" i="12"/>
  <c r="BB336" i="12"/>
  <c r="BB337" i="12"/>
  <c r="BB338" i="12"/>
  <c r="BB339" i="12"/>
  <c r="BB340" i="12"/>
  <c r="BB341" i="12"/>
  <c r="BB342" i="12"/>
  <c r="BB343" i="12"/>
  <c r="BB344" i="12"/>
  <c r="BB345" i="12"/>
  <c r="BB346" i="12"/>
  <c r="BB347" i="12"/>
  <c r="BB348" i="12"/>
  <c r="BB349" i="12"/>
  <c r="BB350" i="12"/>
  <c r="BB351" i="12"/>
  <c r="BB352" i="12"/>
  <c r="BB353" i="12"/>
  <c r="BB354" i="12"/>
  <c r="BB355" i="12"/>
  <c r="BB356" i="12"/>
  <c r="BB357" i="12"/>
  <c r="BB358" i="12"/>
  <c r="BB359" i="12"/>
  <c r="BB360" i="12"/>
  <c r="BB361" i="12"/>
  <c r="BB362" i="12"/>
  <c r="BB363" i="12"/>
  <c r="BB364" i="12"/>
  <c r="BB365" i="12"/>
  <c r="BB366" i="12"/>
  <c r="BB367" i="12"/>
  <c r="BB368" i="12"/>
  <c r="BB369" i="12"/>
  <c r="BB370" i="12"/>
  <c r="BB371" i="12"/>
  <c r="BB372" i="12"/>
  <c r="BB373" i="12"/>
  <c r="BB374" i="12"/>
  <c r="BB375" i="12"/>
  <c r="BB376" i="12"/>
  <c r="BB377" i="12"/>
  <c r="BB378" i="12"/>
  <c r="BB379" i="12"/>
  <c r="BB380" i="12"/>
  <c r="BB381" i="12"/>
  <c r="BB382" i="12"/>
  <c r="BB383" i="12"/>
  <c r="BB384" i="12"/>
  <c r="BB385" i="12"/>
  <c r="BB386" i="12"/>
  <c r="BB387" i="12"/>
  <c r="BB388" i="12"/>
  <c r="BB389" i="12"/>
  <c r="BB390" i="12"/>
  <c r="BB391" i="12"/>
  <c r="BB392" i="12"/>
  <c r="BB393" i="12"/>
  <c r="BB394" i="12"/>
  <c r="BB395" i="12"/>
  <c r="BB396" i="12"/>
  <c r="BB397" i="12"/>
  <c r="BB398" i="12"/>
  <c r="BB399" i="12"/>
  <c r="BB400" i="12"/>
  <c r="BB401" i="12"/>
  <c r="BB402" i="12"/>
  <c r="BB403" i="12"/>
  <c r="BB404" i="12"/>
  <c r="BA199" i="12"/>
  <c r="BA267" i="12"/>
  <c r="BA275" i="12"/>
  <c r="AZ192" i="12"/>
  <c r="BD192" i="12" s="1"/>
  <c r="AZ193" i="12"/>
  <c r="BD193" i="12" s="1"/>
  <c r="AZ194" i="12"/>
  <c r="AZ195" i="12"/>
  <c r="BD195" i="12" s="1"/>
  <c r="AZ196" i="12"/>
  <c r="BD196" i="12" s="1"/>
  <c r="AZ197" i="12"/>
  <c r="BD197" i="12" s="1"/>
  <c r="AZ198" i="12"/>
  <c r="BD198" i="12" s="1"/>
  <c r="AZ199" i="12"/>
  <c r="BD199" i="12" s="1"/>
  <c r="AZ200" i="12"/>
  <c r="BD200" i="12" s="1"/>
  <c r="AZ201" i="12"/>
  <c r="BD201" i="12" s="1"/>
  <c r="AZ202" i="12"/>
  <c r="AZ203" i="12"/>
  <c r="BD203" i="12" s="1"/>
  <c r="AZ204" i="12"/>
  <c r="BD204" i="12" s="1"/>
  <c r="AZ205" i="12"/>
  <c r="BD205" i="12" s="1"/>
  <c r="AZ206" i="12"/>
  <c r="BD206" i="12" s="1"/>
  <c r="AZ207" i="12"/>
  <c r="BD207" i="12" s="1"/>
  <c r="AZ208" i="12"/>
  <c r="BD208" i="12" s="1"/>
  <c r="AZ209" i="12"/>
  <c r="BD209" i="12" s="1"/>
  <c r="AZ210" i="12"/>
  <c r="AZ211" i="12"/>
  <c r="BD211" i="12" s="1"/>
  <c r="AZ212" i="12"/>
  <c r="BD212" i="12" s="1"/>
  <c r="AZ213" i="12"/>
  <c r="BD213" i="12" s="1"/>
  <c r="AZ214" i="12"/>
  <c r="BD214" i="12" s="1"/>
  <c r="AZ215" i="12"/>
  <c r="BD215" i="12" s="1"/>
  <c r="AZ216" i="12"/>
  <c r="BD216" i="12" s="1"/>
  <c r="AZ217" i="12"/>
  <c r="BD217" i="12" s="1"/>
  <c r="AZ218" i="12"/>
  <c r="AZ219" i="12"/>
  <c r="BD219" i="12" s="1"/>
  <c r="AZ220" i="12"/>
  <c r="BD220" i="12" s="1"/>
  <c r="AZ221" i="12"/>
  <c r="BD221" i="12" s="1"/>
  <c r="AZ222" i="12"/>
  <c r="BD222" i="12" s="1"/>
  <c r="AZ223" i="12"/>
  <c r="BD223" i="12" s="1"/>
  <c r="AZ224" i="12"/>
  <c r="BD224" i="12" s="1"/>
  <c r="AZ225" i="12"/>
  <c r="BD225" i="12" s="1"/>
  <c r="AZ226" i="12"/>
  <c r="AZ227" i="12"/>
  <c r="BD227" i="12" s="1"/>
  <c r="AZ228" i="12"/>
  <c r="BD228" i="12" s="1"/>
  <c r="AZ229" i="12"/>
  <c r="BD229" i="12" s="1"/>
  <c r="AZ230" i="12"/>
  <c r="BD230" i="12" s="1"/>
  <c r="AZ231" i="12"/>
  <c r="BD231" i="12" s="1"/>
  <c r="AZ232" i="12"/>
  <c r="BD232" i="12" s="1"/>
  <c r="AZ233" i="12"/>
  <c r="BD233" i="12" s="1"/>
  <c r="AZ234" i="12"/>
  <c r="AZ235" i="12"/>
  <c r="BD235" i="12" s="1"/>
  <c r="AZ236" i="12"/>
  <c r="BD236" i="12" s="1"/>
  <c r="AZ237" i="12"/>
  <c r="BD237" i="12" s="1"/>
  <c r="AZ238" i="12"/>
  <c r="BD238" i="12" s="1"/>
  <c r="AZ239" i="12"/>
  <c r="BD239" i="12" s="1"/>
  <c r="AZ240" i="12"/>
  <c r="BD240" i="12" s="1"/>
  <c r="AZ241" i="12"/>
  <c r="BD241" i="12" s="1"/>
  <c r="AZ242" i="12"/>
  <c r="AZ243" i="12"/>
  <c r="BD243" i="12" s="1"/>
  <c r="AZ244" i="12"/>
  <c r="BD244" i="12" s="1"/>
  <c r="AZ245" i="12"/>
  <c r="BD245" i="12" s="1"/>
  <c r="AZ246" i="12"/>
  <c r="BD246" i="12" s="1"/>
  <c r="AZ247" i="12"/>
  <c r="BD247" i="12" s="1"/>
  <c r="AZ248" i="12"/>
  <c r="BD248" i="12" s="1"/>
  <c r="AZ249" i="12"/>
  <c r="BD249" i="12" s="1"/>
  <c r="AZ250" i="12"/>
  <c r="AZ251" i="12"/>
  <c r="BD251" i="12" s="1"/>
  <c r="AZ252" i="12"/>
  <c r="BD252" i="12" s="1"/>
  <c r="AZ253" i="12"/>
  <c r="BD253" i="12" s="1"/>
  <c r="AZ254" i="12"/>
  <c r="BD254" i="12" s="1"/>
  <c r="AZ255" i="12"/>
  <c r="BD255" i="12" s="1"/>
  <c r="AZ256" i="12"/>
  <c r="BD256" i="12" s="1"/>
  <c r="AZ257" i="12"/>
  <c r="BD257" i="12" s="1"/>
  <c r="AZ258" i="12"/>
  <c r="AZ259" i="12"/>
  <c r="BD259" i="12" s="1"/>
  <c r="AZ260" i="12"/>
  <c r="BD260" i="12" s="1"/>
  <c r="AZ261" i="12"/>
  <c r="BD261" i="12" s="1"/>
  <c r="AZ262" i="12"/>
  <c r="BD262" i="12" s="1"/>
  <c r="AZ263" i="12"/>
  <c r="BD263" i="12" s="1"/>
  <c r="AZ264" i="12"/>
  <c r="BD264" i="12" s="1"/>
  <c r="AZ265" i="12"/>
  <c r="BD265" i="12" s="1"/>
  <c r="AZ266" i="12"/>
  <c r="AZ267" i="12"/>
  <c r="BD267" i="12" s="1"/>
  <c r="AZ268" i="12"/>
  <c r="BD268" i="12" s="1"/>
  <c r="AZ269" i="12"/>
  <c r="BD269" i="12" s="1"/>
  <c r="AZ270" i="12"/>
  <c r="BD270" i="12" s="1"/>
  <c r="AZ271" i="12"/>
  <c r="BD271" i="12" s="1"/>
  <c r="AZ272" i="12"/>
  <c r="BD272" i="12" s="1"/>
  <c r="AZ273" i="12"/>
  <c r="BD273" i="12" s="1"/>
  <c r="AZ274" i="12"/>
  <c r="AZ275" i="12"/>
  <c r="BD275" i="12" s="1"/>
  <c r="AZ276" i="12"/>
  <c r="BA276" i="12" s="1"/>
  <c r="AZ277" i="12"/>
  <c r="BA277" i="12" s="1"/>
  <c r="AZ278" i="12"/>
  <c r="BA278" i="12" s="1"/>
  <c r="AZ279" i="12"/>
  <c r="BD279" i="12" s="1"/>
  <c r="AZ280" i="12"/>
  <c r="BA280" i="12" s="1"/>
  <c r="AZ281" i="12"/>
  <c r="BD281" i="12" s="1"/>
  <c r="AZ282" i="12"/>
  <c r="AZ283" i="12"/>
  <c r="BD283" i="12" s="1"/>
  <c r="AZ284" i="12"/>
  <c r="BA284" i="12" s="1"/>
  <c r="AZ285" i="12"/>
  <c r="BA285" i="12" s="1"/>
  <c r="AZ286" i="12"/>
  <c r="BA286" i="12" s="1"/>
  <c r="AZ287" i="12"/>
  <c r="BD287" i="12" s="1"/>
  <c r="AZ288" i="12"/>
  <c r="BA288" i="12" s="1"/>
  <c r="AZ289" i="12"/>
  <c r="BD289" i="12" s="1"/>
  <c r="AZ290" i="12"/>
  <c r="AZ291" i="12"/>
  <c r="BD291" i="12" s="1"/>
  <c r="AZ292" i="12"/>
  <c r="BA292" i="12" s="1"/>
  <c r="AZ293" i="12"/>
  <c r="BA293" i="12" s="1"/>
  <c r="AZ294" i="12"/>
  <c r="BA294" i="12" s="1"/>
  <c r="AZ295" i="12"/>
  <c r="BD295" i="12" s="1"/>
  <c r="AZ296" i="12"/>
  <c r="BA296" i="12" s="1"/>
  <c r="AZ297" i="12"/>
  <c r="BD297" i="12" s="1"/>
  <c r="AZ298" i="12"/>
  <c r="AZ299" i="12"/>
  <c r="BD299" i="12" s="1"/>
  <c r="AZ300" i="12"/>
  <c r="BA300" i="12" s="1"/>
  <c r="AZ301" i="12"/>
  <c r="BA301" i="12" s="1"/>
  <c r="AZ302" i="12"/>
  <c r="BA302" i="12" s="1"/>
  <c r="AZ303" i="12"/>
  <c r="BD303" i="12" s="1"/>
  <c r="AZ304" i="12"/>
  <c r="BA304" i="12" s="1"/>
  <c r="AZ305" i="12"/>
  <c r="BD305" i="12" s="1"/>
  <c r="AZ306" i="12"/>
  <c r="AZ307" i="12"/>
  <c r="BD307" i="12" s="1"/>
  <c r="AZ308" i="12"/>
  <c r="BA308" i="12" s="1"/>
  <c r="AZ309" i="12"/>
  <c r="BA309" i="12" s="1"/>
  <c r="AZ310" i="12"/>
  <c r="BA310" i="12" s="1"/>
  <c r="AZ311" i="12"/>
  <c r="BD311" i="12" s="1"/>
  <c r="AZ312" i="12"/>
  <c r="BA312" i="12" s="1"/>
  <c r="AZ313" i="12"/>
  <c r="BD313" i="12" s="1"/>
  <c r="AZ314" i="12"/>
  <c r="AZ315" i="12"/>
  <c r="BD315" i="12" s="1"/>
  <c r="AZ316" i="12"/>
  <c r="BA316" i="12" s="1"/>
  <c r="AZ317" i="12"/>
  <c r="BA317" i="12" s="1"/>
  <c r="AZ318" i="12"/>
  <c r="BA318" i="12" s="1"/>
  <c r="AZ319" i="12"/>
  <c r="BD319" i="12" s="1"/>
  <c r="AZ320" i="12"/>
  <c r="BA320" i="12" s="1"/>
  <c r="AZ321" i="12"/>
  <c r="BD321" i="12" s="1"/>
  <c r="AZ322" i="12"/>
  <c r="AZ323" i="12"/>
  <c r="BD323" i="12" s="1"/>
  <c r="AZ324" i="12"/>
  <c r="BA324" i="12" s="1"/>
  <c r="AZ325" i="12"/>
  <c r="BA325" i="12" s="1"/>
  <c r="AZ326" i="12"/>
  <c r="BA326" i="12" s="1"/>
  <c r="AZ327" i="12"/>
  <c r="BD327" i="12" s="1"/>
  <c r="AZ328" i="12"/>
  <c r="BA328" i="12" s="1"/>
  <c r="AZ329" i="12"/>
  <c r="BD329" i="12" s="1"/>
  <c r="AZ330" i="12"/>
  <c r="AZ331" i="12"/>
  <c r="BD331" i="12" s="1"/>
  <c r="AZ332" i="12"/>
  <c r="BA332" i="12" s="1"/>
  <c r="AZ333" i="12"/>
  <c r="BA333" i="12" s="1"/>
  <c r="AZ334" i="12"/>
  <c r="BA334" i="12" s="1"/>
  <c r="AZ335" i="12"/>
  <c r="BD335" i="12" s="1"/>
  <c r="AZ336" i="12"/>
  <c r="BA336" i="12" s="1"/>
  <c r="AZ337" i="12"/>
  <c r="BD337" i="12" s="1"/>
  <c r="AZ338" i="12"/>
  <c r="AZ339" i="12"/>
  <c r="BD339" i="12" s="1"/>
  <c r="AZ340" i="12"/>
  <c r="BA340" i="12" s="1"/>
  <c r="AZ341" i="12"/>
  <c r="BA341" i="12" s="1"/>
  <c r="AZ342" i="12"/>
  <c r="BA342" i="12" s="1"/>
  <c r="AZ343" i="12"/>
  <c r="BD343" i="12" s="1"/>
  <c r="AZ344" i="12"/>
  <c r="BA344" i="12" s="1"/>
  <c r="AZ345" i="12"/>
  <c r="BD345" i="12" s="1"/>
  <c r="AZ346" i="12"/>
  <c r="AZ347" i="12"/>
  <c r="BD347" i="12" s="1"/>
  <c r="AZ348" i="12"/>
  <c r="BA348" i="12" s="1"/>
  <c r="AZ349" i="12"/>
  <c r="BA349" i="12" s="1"/>
  <c r="AZ350" i="12"/>
  <c r="BA350" i="12" s="1"/>
  <c r="AZ351" i="12"/>
  <c r="BD351" i="12" s="1"/>
  <c r="AZ352" i="12"/>
  <c r="BA352" i="12" s="1"/>
  <c r="AZ353" i="12"/>
  <c r="BD353" i="12" s="1"/>
  <c r="AZ354" i="12"/>
  <c r="AZ355" i="12"/>
  <c r="BD355" i="12" s="1"/>
  <c r="AZ356" i="12"/>
  <c r="BA356" i="12" s="1"/>
  <c r="AZ357" i="12"/>
  <c r="BA357" i="12" s="1"/>
  <c r="AZ358" i="12"/>
  <c r="BA358" i="12" s="1"/>
  <c r="AZ359" i="12"/>
  <c r="BD359" i="12" s="1"/>
  <c r="AZ360" i="12"/>
  <c r="BA360" i="12" s="1"/>
  <c r="AZ361" i="12"/>
  <c r="BD361" i="12" s="1"/>
  <c r="AZ362" i="12"/>
  <c r="AZ363" i="12"/>
  <c r="BD363" i="12" s="1"/>
  <c r="AZ364" i="12"/>
  <c r="BA364" i="12" s="1"/>
  <c r="AZ365" i="12"/>
  <c r="BA365" i="12" s="1"/>
  <c r="AZ366" i="12"/>
  <c r="BA366" i="12" s="1"/>
  <c r="AZ367" i="12"/>
  <c r="BD367" i="12" s="1"/>
  <c r="AZ368" i="12"/>
  <c r="BA368" i="12" s="1"/>
  <c r="AZ369" i="12"/>
  <c r="BD369" i="12" s="1"/>
  <c r="AZ370" i="12"/>
  <c r="AZ371" i="12"/>
  <c r="BD371" i="12" s="1"/>
  <c r="AZ372" i="12"/>
  <c r="BA372" i="12" s="1"/>
  <c r="AZ373" i="12"/>
  <c r="BA373" i="12" s="1"/>
  <c r="AZ374" i="12"/>
  <c r="BA374" i="12" s="1"/>
  <c r="AZ375" i="12"/>
  <c r="BD375" i="12" s="1"/>
  <c r="AZ376" i="12"/>
  <c r="BA376" i="12" s="1"/>
  <c r="AZ377" i="12"/>
  <c r="BD377" i="12" s="1"/>
  <c r="AZ378" i="12"/>
  <c r="AZ379" i="12"/>
  <c r="BD379" i="12" s="1"/>
  <c r="AZ380" i="12"/>
  <c r="BA380" i="12" s="1"/>
  <c r="AZ381" i="12"/>
  <c r="BA381" i="12" s="1"/>
  <c r="AZ382" i="12"/>
  <c r="BA382" i="12" s="1"/>
  <c r="AZ383" i="12"/>
  <c r="BD383" i="12" s="1"/>
  <c r="AZ384" i="12"/>
  <c r="BA384" i="12" s="1"/>
  <c r="AZ385" i="12"/>
  <c r="BD385" i="12" s="1"/>
  <c r="AZ386" i="12"/>
  <c r="AZ387" i="12"/>
  <c r="BD387" i="12" s="1"/>
  <c r="AZ388" i="12"/>
  <c r="BA388" i="12" s="1"/>
  <c r="AZ389" i="12"/>
  <c r="BA389" i="12" s="1"/>
  <c r="AZ390" i="12"/>
  <c r="BA390" i="12" s="1"/>
  <c r="AZ391" i="12"/>
  <c r="BD391" i="12" s="1"/>
  <c r="AZ392" i="12"/>
  <c r="BA392" i="12" s="1"/>
  <c r="AZ393" i="12"/>
  <c r="BD393" i="12" s="1"/>
  <c r="AZ394" i="12"/>
  <c r="AZ395" i="12"/>
  <c r="BD395" i="12" s="1"/>
  <c r="AZ396" i="12"/>
  <c r="BA396" i="12" s="1"/>
  <c r="AZ397" i="12"/>
  <c r="BA397" i="12" s="1"/>
  <c r="AZ398" i="12"/>
  <c r="BA398" i="12" s="1"/>
  <c r="AZ399" i="12"/>
  <c r="BD399" i="12" s="1"/>
  <c r="AZ400" i="12"/>
  <c r="BA400" i="12" s="1"/>
  <c r="AZ401" i="12"/>
  <c r="BD401" i="12" s="1"/>
  <c r="AZ402" i="12"/>
  <c r="AZ403" i="12"/>
  <c r="BD403" i="12" s="1"/>
  <c r="AZ404" i="12"/>
  <c r="BA404" i="12" s="1"/>
  <c r="AZ3" i="12"/>
  <c r="AZ4" i="12"/>
  <c r="AZ5" i="12"/>
  <c r="AZ6" i="12"/>
  <c r="AZ7" i="12"/>
  <c r="AZ8" i="12"/>
  <c r="AZ9" i="12"/>
  <c r="AZ10" i="12"/>
  <c r="AZ11" i="12"/>
  <c r="AZ12" i="12"/>
  <c r="AZ13" i="12"/>
  <c r="AZ14" i="12"/>
  <c r="AZ15" i="12"/>
  <c r="AZ16" i="12"/>
  <c r="AZ17" i="12"/>
  <c r="AZ18" i="12"/>
  <c r="AZ19" i="12"/>
  <c r="AZ20" i="12"/>
  <c r="AZ21" i="12"/>
  <c r="AZ22" i="12"/>
  <c r="AZ23" i="12"/>
  <c r="AZ24" i="12"/>
  <c r="AZ25" i="12"/>
  <c r="AZ26" i="12"/>
  <c r="AZ27" i="12"/>
  <c r="AZ28" i="12"/>
  <c r="AZ29" i="12"/>
  <c r="AZ30" i="12"/>
  <c r="AZ31" i="12"/>
  <c r="AZ32" i="12"/>
  <c r="AZ33" i="12"/>
  <c r="AZ34" i="12"/>
  <c r="AZ35" i="12"/>
  <c r="AZ36" i="12"/>
  <c r="AZ37" i="12"/>
  <c r="AZ38" i="12"/>
  <c r="AZ39" i="12"/>
  <c r="AZ40" i="12"/>
  <c r="AZ41" i="12"/>
  <c r="AZ42" i="12"/>
  <c r="AZ43" i="12"/>
  <c r="AZ44" i="12"/>
  <c r="AZ45" i="12"/>
  <c r="AZ46" i="12"/>
  <c r="AZ47" i="12"/>
  <c r="AZ48" i="12"/>
  <c r="AZ49" i="12"/>
  <c r="AZ50" i="12"/>
  <c r="AZ51" i="12"/>
  <c r="AZ52" i="12"/>
  <c r="AZ53" i="12"/>
  <c r="AZ54" i="12"/>
  <c r="AZ55" i="12"/>
  <c r="AZ56" i="12"/>
  <c r="AZ57" i="12"/>
  <c r="AZ58" i="12"/>
  <c r="AZ59" i="12"/>
  <c r="AZ60" i="12"/>
  <c r="AZ61" i="12"/>
  <c r="AZ62" i="12"/>
  <c r="AZ63" i="12"/>
  <c r="AZ64" i="12"/>
  <c r="AZ65" i="12"/>
  <c r="AZ66" i="12"/>
  <c r="AZ67" i="12"/>
  <c r="AZ68" i="12"/>
  <c r="AZ69" i="12"/>
  <c r="AZ70" i="12"/>
  <c r="AZ71" i="12"/>
  <c r="AZ72" i="12"/>
  <c r="AZ73" i="12"/>
  <c r="AZ74" i="12"/>
  <c r="AZ75" i="12"/>
  <c r="AZ76" i="12"/>
  <c r="AZ77" i="12"/>
  <c r="AZ78" i="12"/>
  <c r="AZ79" i="12"/>
  <c r="AZ80" i="12"/>
  <c r="AZ81" i="12"/>
  <c r="AZ82" i="12"/>
  <c r="AZ83" i="12"/>
  <c r="AZ84" i="12"/>
  <c r="AZ85" i="12"/>
  <c r="AZ86" i="12"/>
  <c r="AZ87" i="12"/>
  <c r="AZ88" i="12"/>
  <c r="AZ89" i="12"/>
  <c r="AZ90" i="12"/>
  <c r="AZ91" i="12"/>
  <c r="AZ92" i="12"/>
  <c r="AZ93" i="12"/>
  <c r="AZ94" i="12"/>
  <c r="AZ95" i="12"/>
  <c r="AZ96" i="12"/>
  <c r="AZ97" i="12"/>
  <c r="AZ98" i="12"/>
  <c r="AZ99" i="12"/>
  <c r="AZ100" i="12"/>
  <c r="AZ101" i="12"/>
  <c r="AZ102" i="12"/>
  <c r="AZ103" i="12"/>
  <c r="AZ104" i="12"/>
  <c r="AZ105" i="12"/>
  <c r="AZ106" i="12"/>
  <c r="AZ107" i="12"/>
  <c r="AZ108" i="12"/>
  <c r="AZ109" i="12"/>
  <c r="AZ110" i="12"/>
  <c r="AZ111" i="12"/>
  <c r="AZ112" i="12"/>
  <c r="AZ113" i="12"/>
  <c r="AZ114" i="12"/>
  <c r="AZ115" i="12"/>
  <c r="AZ116" i="12"/>
  <c r="AZ117" i="12"/>
  <c r="AZ118" i="12"/>
  <c r="AZ119" i="12"/>
  <c r="AZ120" i="12"/>
  <c r="AZ121" i="12"/>
  <c r="AZ122" i="12"/>
  <c r="AZ123" i="12"/>
  <c r="AZ124" i="12"/>
  <c r="AZ125" i="12"/>
  <c r="AZ126" i="12"/>
  <c r="AZ127" i="12"/>
  <c r="AZ128" i="12"/>
  <c r="AZ129" i="12"/>
  <c r="AZ130" i="12"/>
  <c r="AZ131" i="12"/>
  <c r="AZ132" i="12"/>
  <c r="AZ133" i="12"/>
  <c r="AZ134" i="12"/>
  <c r="AZ135" i="12"/>
  <c r="AZ136" i="12"/>
  <c r="AZ137" i="12"/>
  <c r="AZ138" i="12"/>
  <c r="AZ139" i="12"/>
  <c r="AZ140" i="12"/>
  <c r="AZ141" i="12"/>
  <c r="AZ142" i="12"/>
  <c r="AZ143" i="12"/>
  <c r="AZ144" i="12"/>
  <c r="AZ145" i="12"/>
  <c r="AZ146" i="12"/>
  <c r="AZ147" i="12"/>
  <c r="AZ148" i="12"/>
  <c r="AZ149" i="12"/>
  <c r="AZ150" i="12"/>
  <c r="AZ151" i="12"/>
  <c r="AZ152" i="12"/>
  <c r="AZ153" i="12"/>
  <c r="AZ154" i="12"/>
  <c r="AZ155" i="12"/>
  <c r="AZ156" i="12"/>
  <c r="AZ157" i="12"/>
  <c r="AZ158" i="12"/>
  <c r="AZ159" i="12"/>
  <c r="AZ160" i="12"/>
  <c r="AZ161" i="12"/>
  <c r="AZ162" i="12"/>
  <c r="AZ163" i="12"/>
  <c r="AZ164" i="12"/>
  <c r="AZ165" i="12"/>
  <c r="AZ166" i="12"/>
  <c r="AZ167" i="12"/>
  <c r="AZ168" i="12"/>
  <c r="AZ169" i="12"/>
  <c r="AZ170" i="12"/>
  <c r="AZ171" i="12"/>
  <c r="AZ172" i="12"/>
  <c r="AZ173" i="12"/>
  <c r="AZ174" i="12"/>
  <c r="AZ175" i="12"/>
  <c r="AZ176" i="12"/>
  <c r="AZ177" i="12"/>
  <c r="AZ178" i="12"/>
  <c r="AZ179" i="12"/>
  <c r="AZ180" i="12"/>
  <c r="AZ181" i="12"/>
  <c r="AZ182" i="12"/>
  <c r="AZ183" i="12"/>
  <c r="AZ184" i="12"/>
  <c r="AZ185" i="12"/>
  <c r="AZ186" i="12"/>
  <c r="AZ187" i="12"/>
  <c r="AZ188" i="12"/>
  <c r="AZ189" i="12"/>
  <c r="AZ190" i="12"/>
  <c r="AZ191" i="12"/>
  <c r="AZ2" i="12"/>
  <c r="AX192" i="12"/>
  <c r="AX193" i="12"/>
  <c r="AX194" i="12"/>
  <c r="AX195" i="12"/>
  <c r="AX196" i="12"/>
  <c r="AX197" i="12"/>
  <c r="AX198" i="12"/>
  <c r="AX199" i="12"/>
  <c r="AX200" i="12"/>
  <c r="AX201" i="12"/>
  <c r="AX202" i="12"/>
  <c r="AX203" i="12"/>
  <c r="AX204" i="12"/>
  <c r="AX205" i="12"/>
  <c r="AX206" i="12"/>
  <c r="AX207" i="12"/>
  <c r="AX208" i="12"/>
  <c r="AX209" i="12"/>
  <c r="AX210" i="12"/>
  <c r="AX211" i="12"/>
  <c r="AX212" i="12"/>
  <c r="AX213" i="12"/>
  <c r="AX214" i="12"/>
  <c r="AX215" i="12"/>
  <c r="AX216" i="12"/>
  <c r="AX217" i="12"/>
  <c r="AX218" i="12"/>
  <c r="AX219" i="12"/>
  <c r="AX220" i="12"/>
  <c r="AX221" i="12"/>
  <c r="AX222" i="12"/>
  <c r="AX223" i="12"/>
  <c r="AX224" i="12"/>
  <c r="AX225" i="12"/>
  <c r="AX226" i="12"/>
  <c r="AX227" i="12"/>
  <c r="AX228" i="12"/>
  <c r="AX229" i="12"/>
  <c r="AX230" i="12"/>
  <c r="AX231" i="12"/>
  <c r="AX232" i="12"/>
  <c r="AX233" i="12"/>
  <c r="AX234" i="12"/>
  <c r="AX235" i="12"/>
  <c r="AX236" i="12"/>
  <c r="AX237" i="12"/>
  <c r="AX238" i="12"/>
  <c r="AX239" i="12"/>
  <c r="AX240" i="12"/>
  <c r="AX241" i="12"/>
  <c r="AX242" i="12"/>
  <c r="AX243" i="12"/>
  <c r="AX244" i="12"/>
  <c r="AX245" i="12"/>
  <c r="AX246" i="12"/>
  <c r="AX247" i="12"/>
  <c r="AX248" i="12"/>
  <c r="AX249" i="12"/>
  <c r="AX250" i="12"/>
  <c r="AX251" i="12"/>
  <c r="AX252" i="12"/>
  <c r="AX253" i="12"/>
  <c r="AX254" i="12"/>
  <c r="AX255" i="12"/>
  <c r="AX256" i="12"/>
  <c r="AX257" i="12"/>
  <c r="AX258" i="12"/>
  <c r="AX259" i="12"/>
  <c r="AX260" i="12"/>
  <c r="AX261" i="12"/>
  <c r="AX262" i="12"/>
  <c r="AX263" i="12"/>
  <c r="AX264" i="12"/>
  <c r="AX265" i="12"/>
  <c r="AX266" i="12"/>
  <c r="AX267" i="12"/>
  <c r="AX268" i="12"/>
  <c r="AX269" i="12"/>
  <c r="AX270" i="12"/>
  <c r="AX271" i="12"/>
  <c r="AX272" i="12"/>
  <c r="AX273" i="12"/>
  <c r="AX274" i="12"/>
  <c r="AX275" i="12"/>
  <c r="AX276" i="12"/>
  <c r="AX277" i="12"/>
  <c r="AX278" i="12"/>
  <c r="AX279" i="12"/>
  <c r="AX280" i="12"/>
  <c r="AX281" i="12"/>
  <c r="AX282" i="12"/>
  <c r="AX283" i="12"/>
  <c r="AX284" i="12"/>
  <c r="AX285" i="12"/>
  <c r="AX286" i="12"/>
  <c r="AX287" i="12"/>
  <c r="AX288" i="12"/>
  <c r="AX289" i="12"/>
  <c r="AX290" i="12"/>
  <c r="AX291" i="12"/>
  <c r="AX292" i="12"/>
  <c r="AX293" i="12"/>
  <c r="AX294" i="12"/>
  <c r="AX295" i="12"/>
  <c r="AX296" i="12"/>
  <c r="AX297" i="12"/>
  <c r="AX298" i="12"/>
  <c r="AX299" i="12"/>
  <c r="AX300" i="12"/>
  <c r="AX301" i="12"/>
  <c r="AX302" i="12"/>
  <c r="AX303" i="12"/>
  <c r="AX304" i="12"/>
  <c r="AX305" i="12"/>
  <c r="AX306" i="12"/>
  <c r="AX307" i="12"/>
  <c r="AX308" i="12"/>
  <c r="AX309" i="12"/>
  <c r="AX310" i="12"/>
  <c r="AX311" i="12"/>
  <c r="AX312" i="12"/>
  <c r="AX313" i="12"/>
  <c r="AX314" i="12"/>
  <c r="AX315" i="12"/>
  <c r="AX316" i="12"/>
  <c r="AX317" i="12"/>
  <c r="AX318" i="12"/>
  <c r="AX319" i="12"/>
  <c r="AX320" i="12"/>
  <c r="AX321" i="12"/>
  <c r="AX322" i="12"/>
  <c r="AX323" i="12"/>
  <c r="AX324" i="12"/>
  <c r="AX325" i="12"/>
  <c r="AX326" i="12"/>
  <c r="AX327" i="12"/>
  <c r="AX328" i="12"/>
  <c r="AX329" i="12"/>
  <c r="AX330" i="12"/>
  <c r="AX331" i="12"/>
  <c r="AX332" i="12"/>
  <c r="AX333" i="12"/>
  <c r="AX334" i="12"/>
  <c r="AX335" i="12"/>
  <c r="AX336" i="12"/>
  <c r="AX337" i="12"/>
  <c r="AX338" i="12"/>
  <c r="AX339" i="12"/>
  <c r="AX340" i="12"/>
  <c r="AX341" i="12"/>
  <c r="AX342" i="12"/>
  <c r="AX343" i="12"/>
  <c r="AX344" i="12"/>
  <c r="AX345" i="12"/>
  <c r="AX346" i="12"/>
  <c r="AX347" i="12"/>
  <c r="AX348" i="12"/>
  <c r="AX349" i="12"/>
  <c r="AX350" i="12"/>
  <c r="AX351" i="12"/>
  <c r="AX352" i="12"/>
  <c r="AX353" i="12"/>
  <c r="AX354" i="12"/>
  <c r="AX355" i="12"/>
  <c r="AX356" i="12"/>
  <c r="AX357" i="12"/>
  <c r="AX358" i="12"/>
  <c r="AX359" i="12"/>
  <c r="AX360" i="12"/>
  <c r="AX361" i="12"/>
  <c r="AX362" i="12"/>
  <c r="AX363" i="12"/>
  <c r="AX364" i="12"/>
  <c r="AX365" i="12"/>
  <c r="AX366" i="12"/>
  <c r="AX367" i="12"/>
  <c r="AX368" i="12"/>
  <c r="AX369" i="12"/>
  <c r="AX370" i="12"/>
  <c r="AX371" i="12"/>
  <c r="AX372" i="12"/>
  <c r="AX373" i="12"/>
  <c r="AX374" i="12"/>
  <c r="AX375" i="12"/>
  <c r="AX376" i="12"/>
  <c r="AX377" i="12"/>
  <c r="AX378" i="12"/>
  <c r="AX379" i="12"/>
  <c r="AX380" i="12"/>
  <c r="AX381" i="12"/>
  <c r="AX382" i="12"/>
  <c r="AX383" i="12"/>
  <c r="AX384" i="12"/>
  <c r="AX385" i="12"/>
  <c r="AX386" i="12"/>
  <c r="AX387" i="12"/>
  <c r="AX388" i="12"/>
  <c r="AX389" i="12"/>
  <c r="AX390" i="12"/>
  <c r="AX391" i="12"/>
  <c r="AX392" i="12"/>
  <c r="AX393" i="12"/>
  <c r="AX394" i="12"/>
  <c r="AX395" i="12"/>
  <c r="AX396" i="12"/>
  <c r="AX397" i="12"/>
  <c r="AX398" i="12"/>
  <c r="AX399" i="12"/>
  <c r="AX400" i="12"/>
  <c r="AX401" i="12"/>
  <c r="AX402" i="12"/>
  <c r="AX403" i="12"/>
  <c r="AX404" i="12"/>
  <c r="AW192" i="12"/>
  <c r="AW193" i="12"/>
  <c r="AW194" i="12"/>
  <c r="AW195" i="12"/>
  <c r="AW196" i="12"/>
  <c r="AW197" i="12"/>
  <c r="AW198" i="12"/>
  <c r="AW199" i="12"/>
  <c r="AW200" i="12"/>
  <c r="AW201" i="12"/>
  <c r="AW202" i="12"/>
  <c r="AW203" i="12"/>
  <c r="AW204" i="12"/>
  <c r="AW205" i="12"/>
  <c r="AW206" i="12"/>
  <c r="AW207" i="12"/>
  <c r="AW208" i="12"/>
  <c r="AW209" i="12"/>
  <c r="AW210" i="12"/>
  <c r="AW211" i="12"/>
  <c r="AW212" i="12"/>
  <c r="AW213" i="12"/>
  <c r="AW214" i="12"/>
  <c r="AW215" i="12"/>
  <c r="AW216" i="12"/>
  <c r="AW217" i="12"/>
  <c r="AW218" i="12"/>
  <c r="AW219" i="12"/>
  <c r="AW220" i="12"/>
  <c r="AW221" i="12"/>
  <c r="AW222" i="12"/>
  <c r="AW223" i="12"/>
  <c r="AW224" i="12"/>
  <c r="AW225" i="12"/>
  <c r="AW226" i="12"/>
  <c r="AW227" i="12"/>
  <c r="AW228" i="12"/>
  <c r="AW229" i="12"/>
  <c r="AW230" i="12"/>
  <c r="AW231" i="12"/>
  <c r="AW232" i="12"/>
  <c r="AW233" i="12"/>
  <c r="AW234" i="12"/>
  <c r="AW235" i="12"/>
  <c r="AW236" i="12"/>
  <c r="AW237" i="12"/>
  <c r="AW238" i="12"/>
  <c r="AW239" i="12"/>
  <c r="AW240" i="12"/>
  <c r="AW241" i="12"/>
  <c r="AW242" i="12"/>
  <c r="AW243" i="12"/>
  <c r="AW244" i="12"/>
  <c r="AW245" i="12"/>
  <c r="AW246" i="12"/>
  <c r="AW247" i="12"/>
  <c r="AW248" i="12"/>
  <c r="AW249" i="12"/>
  <c r="AW250" i="12"/>
  <c r="AW251" i="12"/>
  <c r="AW252" i="12"/>
  <c r="AW253" i="12"/>
  <c r="AW254" i="12"/>
  <c r="AW255" i="12"/>
  <c r="AW256" i="12"/>
  <c r="AW257" i="12"/>
  <c r="AW258" i="12"/>
  <c r="AW259" i="12"/>
  <c r="AW260" i="12"/>
  <c r="AW261" i="12"/>
  <c r="AW262" i="12"/>
  <c r="AW263" i="12"/>
  <c r="AW264" i="12"/>
  <c r="AW265" i="12"/>
  <c r="AW266" i="12"/>
  <c r="AW267" i="12"/>
  <c r="AW268" i="12"/>
  <c r="AW269" i="12"/>
  <c r="AW270" i="12"/>
  <c r="AW271" i="12"/>
  <c r="AW272" i="12"/>
  <c r="AW273" i="12"/>
  <c r="AW274" i="12"/>
  <c r="AW275" i="12"/>
  <c r="AW276" i="12"/>
  <c r="AW277" i="12"/>
  <c r="AW278" i="12"/>
  <c r="AW279" i="12"/>
  <c r="AW280" i="12"/>
  <c r="AW281" i="12"/>
  <c r="AW282" i="12"/>
  <c r="AW283" i="12"/>
  <c r="AW284" i="12"/>
  <c r="AW285" i="12"/>
  <c r="AW286" i="12"/>
  <c r="AW287" i="12"/>
  <c r="AW288" i="12"/>
  <c r="AW289" i="12"/>
  <c r="AW290" i="12"/>
  <c r="AW291" i="12"/>
  <c r="AW292" i="12"/>
  <c r="AW293" i="12"/>
  <c r="AW294" i="12"/>
  <c r="AW295" i="12"/>
  <c r="AW296" i="12"/>
  <c r="AW297" i="12"/>
  <c r="AW298" i="12"/>
  <c r="AW299" i="12"/>
  <c r="AW300" i="12"/>
  <c r="AW301" i="12"/>
  <c r="AW302" i="12"/>
  <c r="AW303" i="12"/>
  <c r="AW304" i="12"/>
  <c r="AW305" i="12"/>
  <c r="AW306" i="12"/>
  <c r="AW307" i="12"/>
  <c r="AW308" i="12"/>
  <c r="AW309" i="12"/>
  <c r="AW310" i="12"/>
  <c r="AW311" i="12"/>
  <c r="AW312" i="12"/>
  <c r="AW313" i="12"/>
  <c r="AW314" i="12"/>
  <c r="AW315" i="12"/>
  <c r="AW316" i="12"/>
  <c r="AW317" i="12"/>
  <c r="AW318" i="12"/>
  <c r="AW319" i="12"/>
  <c r="AW320" i="12"/>
  <c r="AW321" i="12"/>
  <c r="AW322" i="12"/>
  <c r="AW323" i="12"/>
  <c r="AW324" i="12"/>
  <c r="AW325" i="12"/>
  <c r="AW326" i="12"/>
  <c r="AW327" i="12"/>
  <c r="AW328" i="12"/>
  <c r="AW329" i="12"/>
  <c r="AW330" i="12"/>
  <c r="AW331" i="12"/>
  <c r="AW332" i="12"/>
  <c r="AW333" i="12"/>
  <c r="AW334" i="12"/>
  <c r="AW335" i="12"/>
  <c r="AW336" i="12"/>
  <c r="AW337" i="12"/>
  <c r="AW338" i="12"/>
  <c r="AW339" i="12"/>
  <c r="AW340" i="12"/>
  <c r="AW341" i="12"/>
  <c r="AW342" i="12"/>
  <c r="AW343" i="12"/>
  <c r="AW344" i="12"/>
  <c r="AW345" i="12"/>
  <c r="AW346" i="12"/>
  <c r="AW347" i="12"/>
  <c r="AW348" i="12"/>
  <c r="AW349" i="12"/>
  <c r="AW350" i="12"/>
  <c r="AW351" i="12"/>
  <c r="AW352" i="12"/>
  <c r="AW353" i="12"/>
  <c r="AW354" i="12"/>
  <c r="AW355" i="12"/>
  <c r="AW356" i="12"/>
  <c r="AW357" i="12"/>
  <c r="AW358" i="12"/>
  <c r="AW359" i="12"/>
  <c r="AW360" i="12"/>
  <c r="AW361" i="12"/>
  <c r="AW362" i="12"/>
  <c r="AW363" i="12"/>
  <c r="AW364" i="12"/>
  <c r="AW365" i="12"/>
  <c r="AW366" i="12"/>
  <c r="AW367" i="12"/>
  <c r="AW368" i="12"/>
  <c r="AW369" i="12"/>
  <c r="AW370" i="12"/>
  <c r="AW371" i="12"/>
  <c r="AW372" i="12"/>
  <c r="AW373" i="12"/>
  <c r="AW374" i="12"/>
  <c r="AW375" i="12"/>
  <c r="AW376" i="12"/>
  <c r="AW377" i="12"/>
  <c r="AW378" i="12"/>
  <c r="AW379" i="12"/>
  <c r="AW380" i="12"/>
  <c r="AW381" i="12"/>
  <c r="AW382" i="12"/>
  <c r="AW383" i="12"/>
  <c r="AW384" i="12"/>
  <c r="AW385" i="12"/>
  <c r="AW386" i="12"/>
  <c r="AW387" i="12"/>
  <c r="AW388" i="12"/>
  <c r="AW389" i="12"/>
  <c r="AW390" i="12"/>
  <c r="AW391" i="12"/>
  <c r="AW392" i="12"/>
  <c r="AW393" i="12"/>
  <c r="AW394" i="12"/>
  <c r="AW395" i="12"/>
  <c r="AW396" i="12"/>
  <c r="AW397" i="12"/>
  <c r="AW398" i="12"/>
  <c r="AW399" i="12"/>
  <c r="AW400" i="12"/>
  <c r="AW401" i="12"/>
  <c r="AW402" i="12"/>
  <c r="AW403" i="12"/>
  <c r="AW404" i="12"/>
  <c r="AV228" i="12"/>
  <c r="AV396" i="12"/>
  <c r="AU192" i="12"/>
  <c r="AY192" i="12" s="1"/>
  <c r="AU193" i="12"/>
  <c r="AV193" i="12" s="1"/>
  <c r="AU194" i="12"/>
  <c r="AY194" i="12" s="1"/>
  <c r="AU195" i="12"/>
  <c r="AU196" i="12"/>
  <c r="AY196" i="12" s="1"/>
  <c r="AU197" i="12"/>
  <c r="AU198" i="12"/>
  <c r="AU199" i="12"/>
  <c r="AU200" i="12"/>
  <c r="AY200" i="12" s="1"/>
  <c r="AU201" i="12"/>
  <c r="AV201" i="12" s="1"/>
  <c r="AU202" i="12"/>
  <c r="AY202" i="12" s="1"/>
  <c r="AU203" i="12"/>
  <c r="AU204" i="12"/>
  <c r="AY204" i="12" s="1"/>
  <c r="AU205" i="12"/>
  <c r="AU206" i="12"/>
  <c r="AU207" i="12"/>
  <c r="AV207" i="12" s="1"/>
  <c r="AU208" i="12"/>
  <c r="AY208" i="12" s="1"/>
  <c r="AU209" i="12"/>
  <c r="AV209" i="12" s="1"/>
  <c r="AU210" i="12"/>
  <c r="AY210" i="12" s="1"/>
  <c r="AU211" i="12"/>
  <c r="AU212" i="12"/>
  <c r="AY212" i="12" s="1"/>
  <c r="AU213" i="12"/>
  <c r="AU214" i="12"/>
  <c r="AU215" i="12"/>
  <c r="AU216" i="12"/>
  <c r="AY216" i="12" s="1"/>
  <c r="AU217" i="12"/>
  <c r="AV217" i="12" s="1"/>
  <c r="AU218" i="12"/>
  <c r="AY218" i="12" s="1"/>
  <c r="AU219" i="12"/>
  <c r="AU220" i="12"/>
  <c r="AY220" i="12" s="1"/>
  <c r="AU221" i="12"/>
  <c r="AU222" i="12"/>
  <c r="AU223" i="12"/>
  <c r="AU224" i="12"/>
  <c r="AY224" i="12" s="1"/>
  <c r="AU225" i="12"/>
  <c r="AV225" i="12" s="1"/>
  <c r="AU226" i="12"/>
  <c r="AY226" i="12" s="1"/>
  <c r="AU227" i="12"/>
  <c r="AU228" i="12"/>
  <c r="AY228" i="12" s="1"/>
  <c r="AU229" i="12"/>
  <c r="AU230" i="12"/>
  <c r="AU231" i="12"/>
  <c r="AU232" i="12"/>
  <c r="AY232" i="12" s="1"/>
  <c r="AU233" i="12"/>
  <c r="AV233" i="12" s="1"/>
  <c r="AU234" i="12"/>
  <c r="AY234" i="12" s="1"/>
  <c r="AU235" i="12"/>
  <c r="AU236" i="12"/>
  <c r="AY236" i="12" s="1"/>
  <c r="AU237" i="12"/>
  <c r="AU238" i="12"/>
  <c r="AU239" i="12"/>
  <c r="AV239" i="12" s="1"/>
  <c r="AU240" i="12"/>
  <c r="AY240" i="12" s="1"/>
  <c r="AU241" i="12"/>
  <c r="AV241" i="12" s="1"/>
  <c r="AU242" i="12"/>
  <c r="AY242" i="12" s="1"/>
  <c r="AU243" i="12"/>
  <c r="AU244" i="12"/>
  <c r="AY244" i="12" s="1"/>
  <c r="AU245" i="12"/>
  <c r="AU246" i="12"/>
  <c r="AU247" i="12"/>
  <c r="AU248" i="12"/>
  <c r="AY248" i="12" s="1"/>
  <c r="AU249" i="12"/>
  <c r="AV249" i="12" s="1"/>
  <c r="AU250" i="12"/>
  <c r="AY250" i="12" s="1"/>
  <c r="AU251" i="12"/>
  <c r="AU252" i="12"/>
  <c r="AY252" i="12" s="1"/>
  <c r="AU253" i="12"/>
  <c r="AU254" i="12"/>
  <c r="AU255" i="12"/>
  <c r="AU256" i="12"/>
  <c r="AY256" i="12" s="1"/>
  <c r="AU257" i="12"/>
  <c r="AV257" i="12" s="1"/>
  <c r="AU258" i="12"/>
  <c r="AY258" i="12" s="1"/>
  <c r="AU259" i="12"/>
  <c r="AU260" i="12"/>
  <c r="AY260" i="12" s="1"/>
  <c r="AU261" i="12"/>
  <c r="AU262" i="12"/>
  <c r="AU263" i="12"/>
  <c r="AU264" i="12"/>
  <c r="AY264" i="12" s="1"/>
  <c r="AU265" i="12"/>
  <c r="AV265" i="12" s="1"/>
  <c r="AU266" i="12"/>
  <c r="AY266" i="12" s="1"/>
  <c r="AU267" i="12"/>
  <c r="AU268" i="12"/>
  <c r="AY268" i="12" s="1"/>
  <c r="AU269" i="12"/>
  <c r="AU270" i="12"/>
  <c r="AU271" i="12"/>
  <c r="AV271" i="12" s="1"/>
  <c r="AU272" i="12"/>
  <c r="AY272" i="12" s="1"/>
  <c r="AU273" i="12"/>
  <c r="AV273" i="12" s="1"/>
  <c r="AU274" i="12"/>
  <c r="AY274" i="12" s="1"/>
  <c r="AU275" i="12"/>
  <c r="AU276" i="12"/>
  <c r="AY276" i="12" s="1"/>
  <c r="AU277" i="12"/>
  <c r="AU278" i="12"/>
  <c r="AU279" i="12"/>
  <c r="AU280" i="12"/>
  <c r="AY280" i="12" s="1"/>
  <c r="AU281" i="12"/>
  <c r="AV281" i="12" s="1"/>
  <c r="AU282" i="12"/>
  <c r="AY282" i="12" s="1"/>
  <c r="AU283" i="12"/>
  <c r="AY283" i="12" s="1"/>
  <c r="AU284" i="12"/>
  <c r="AY284" i="12" s="1"/>
  <c r="AU285" i="12"/>
  <c r="AU286" i="12"/>
  <c r="AU287" i="12"/>
  <c r="AU288" i="12"/>
  <c r="AY288" i="12" s="1"/>
  <c r="AU289" i="12"/>
  <c r="AY289" i="12" s="1"/>
  <c r="AU290" i="12"/>
  <c r="AY290" i="12" s="1"/>
  <c r="AU291" i="12"/>
  <c r="AY291" i="12" s="1"/>
  <c r="AU292" i="12"/>
  <c r="AY292" i="12" s="1"/>
  <c r="AU293" i="12"/>
  <c r="AY293" i="12" s="1"/>
  <c r="AU294" i="12"/>
  <c r="AU295" i="12"/>
  <c r="AU296" i="12"/>
  <c r="AY296" i="12" s="1"/>
  <c r="AU297" i="12"/>
  <c r="AV297" i="12" s="1"/>
  <c r="AU298" i="12"/>
  <c r="AY298" i="12" s="1"/>
  <c r="AU299" i="12"/>
  <c r="AY299" i="12" s="1"/>
  <c r="AU300" i="12"/>
  <c r="AY300" i="12" s="1"/>
  <c r="AU301" i="12"/>
  <c r="AY301" i="12" s="1"/>
  <c r="AU302" i="12"/>
  <c r="AU303" i="12"/>
  <c r="AV303" i="12" s="1"/>
  <c r="AU304" i="12"/>
  <c r="AY304" i="12" s="1"/>
  <c r="AU305" i="12"/>
  <c r="AV305" i="12" s="1"/>
  <c r="AU306" i="12"/>
  <c r="AY306" i="12" s="1"/>
  <c r="AU307" i="12"/>
  <c r="AY307" i="12" s="1"/>
  <c r="AU308" i="12"/>
  <c r="AY308" i="12" s="1"/>
  <c r="AU309" i="12"/>
  <c r="AY309" i="12" s="1"/>
  <c r="AU310" i="12"/>
  <c r="AU311" i="12"/>
  <c r="AU312" i="12"/>
  <c r="AY312" i="12" s="1"/>
  <c r="AU313" i="12"/>
  <c r="AY313" i="12" s="1"/>
  <c r="AU314" i="12"/>
  <c r="AY314" i="12" s="1"/>
  <c r="AU315" i="12"/>
  <c r="AY315" i="12" s="1"/>
  <c r="AU316" i="12"/>
  <c r="AY316" i="12" s="1"/>
  <c r="AU317" i="12"/>
  <c r="AY317" i="12" s="1"/>
  <c r="AU318" i="12"/>
  <c r="AU319" i="12"/>
  <c r="AU320" i="12"/>
  <c r="AY320" i="12" s="1"/>
  <c r="AU321" i="12"/>
  <c r="AY321" i="12" s="1"/>
  <c r="AU322" i="12"/>
  <c r="AY322" i="12" s="1"/>
  <c r="AU323" i="12"/>
  <c r="AY323" i="12" s="1"/>
  <c r="AU324" i="12"/>
  <c r="AY324" i="12" s="1"/>
  <c r="AU325" i="12"/>
  <c r="AY325" i="12" s="1"/>
  <c r="AU326" i="12"/>
  <c r="AU327" i="12"/>
  <c r="AU328" i="12"/>
  <c r="AY328" i="12" s="1"/>
  <c r="AU329" i="12"/>
  <c r="AV329" i="12" s="1"/>
  <c r="AU330" i="12"/>
  <c r="AY330" i="12" s="1"/>
  <c r="AU331" i="12"/>
  <c r="AY331" i="12" s="1"/>
  <c r="AU332" i="12"/>
  <c r="AY332" i="12" s="1"/>
  <c r="AU333" i="12"/>
  <c r="AY333" i="12" s="1"/>
  <c r="AU334" i="12"/>
  <c r="AU335" i="12"/>
  <c r="AV335" i="12" s="1"/>
  <c r="AU336" i="12"/>
  <c r="AY336" i="12" s="1"/>
  <c r="AU337" i="12"/>
  <c r="AV337" i="12" s="1"/>
  <c r="AU338" i="12"/>
  <c r="AY338" i="12" s="1"/>
  <c r="AU339" i="12"/>
  <c r="AY339" i="12" s="1"/>
  <c r="AU340" i="12"/>
  <c r="AY340" i="12" s="1"/>
  <c r="AU341" i="12"/>
  <c r="AY341" i="12" s="1"/>
  <c r="AU342" i="12"/>
  <c r="AU343" i="12"/>
  <c r="AU344" i="12"/>
  <c r="AY344" i="12" s="1"/>
  <c r="AU345" i="12"/>
  <c r="AY345" i="12" s="1"/>
  <c r="AU346" i="12"/>
  <c r="AY346" i="12" s="1"/>
  <c r="AU347" i="12"/>
  <c r="AY347" i="12" s="1"/>
  <c r="AU348" i="12"/>
  <c r="AY348" i="12" s="1"/>
  <c r="AU349" i="12"/>
  <c r="AY349" i="12" s="1"/>
  <c r="AU350" i="12"/>
  <c r="AU351" i="12"/>
  <c r="AU352" i="12"/>
  <c r="AY352" i="12" s="1"/>
  <c r="AU353" i="12"/>
  <c r="AV353" i="12" s="1"/>
  <c r="AU354" i="12"/>
  <c r="AY354" i="12" s="1"/>
  <c r="AU355" i="12"/>
  <c r="AV355" i="12" s="1"/>
  <c r="AU356" i="12"/>
  <c r="AY356" i="12" s="1"/>
  <c r="AU357" i="12"/>
  <c r="AY357" i="12" s="1"/>
  <c r="AU358" i="12"/>
  <c r="AU359" i="12"/>
  <c r="AU360" i="12"/>
  <c r="AY360" i="12" s="1"/>
  <c r="AU361" i="12"/>
  <c r="AY361" i="12" s="1"/>
  <c r="AU362" i="12"/>
  <c r="AY362" i="12" s="1"/>
  <c r="AU363" i="12"/>
  <c r="AY363" i="12" s="1"/>
  <c r="AU364" i="12"/>
  <c r="AY364" i="12" s="1"/>
  <c r="AU365" i="12"/>
  <c r="AY365" i="12" s="1"/>
  <c r="AU366" i="12"/>
  <c r="AU367" i="12"/>
  <c r="AU368" i="12"/>
  <c r="AY368" i="12" s="1"/>
  <c r="AU369" i="12"/>
  <c r="AY369" i="12" s="1"/>
  <c r="AU370" i="12"/>
  <c r="AY370" i="12" s="1"/>
  <c r="AU371" i="12"/>
  <c r="AY371" i="12" s="1"/>
  <c r="AU372" i="12"/>
  <c r="AY372" i="12" s="1"/>
  <c r="AU373" i="12"/>
  <c r="AY373" i="12" s="1"/>
  <c r="AU374" i="12"/>
  <c r="AU375" i="12"/>
  <c r="AU376" i="12"/>
  <c r="AY376" i="12" s="1"/>
  <c r="AU377" i="12"/>
  <c r="AV377" i="12" s="1"/>
  <c r="AU378" i="12"/>
  <c r="AY378" i="12" s="1"/>
  <c r="AU379" i="12"/>
  <c r="AV379" i="12" s="1"/>
  <c r="AU380" i="12"/>
  <c r="AY380" i="12" s="1"/>
  <c r="AU381" i="12"/>
  <c r="AY381" i="12" s="1"/>
  <c r="AU382" i="12"/>
  <c r="AU383" i="12"/>
  <c r="AU384" i="12"/>
  <c r="AY384" i="12" s="1"/>
  <c r="AU385" i="12"/>
  <c r="AY385" i="12" s="1"/>
  <c r="AU386" i="12"/>
  <c r="AY386" i="12" s="1"/>
  <c r="AU387" i="12"/>
  <c r="AY387" i="12" s="1"/>
  <c r="AU388" i="12"/>
  <c r="AY388" i="12" s="1"/>
  <c r="AU389" i="12"/>
  <c r="AY389" i="12" s="1"/>
  <c r="AU390" i="12"/>
  <c r="AU391" i="12"/>
  <c r="AU392" i="12"/>
  <c r="AY392" i="12" s="1"/>
  <c r="AU393" i="12"/>
  <c r="AV393" i="12" s="1"/>
  <c r="AU394" i="12"/>
  <c r="AY394" i="12" s="1"/>
  <c r="AU395" i="12"/>
  <c r="AY395" i="12" s="1"/>
  <c r="AU396" i="12"/>
  <c r="AY396" i="12" s="1"/>
  <c r="AU397" i="12"/>
  <c r="AY397" i="12" s="1"/>
  <c r="AU398" i="12"/>
  <c r="AU399" i="12"/>
  <c r="AV399" i="12" s="1"/>
  <c r="AU400" i="12"/>
  <c r="AY400" i="12" s="1"/>
  <c r="AU401" i="12"/>
  <c r="AV401" i="12" s="1"/>
  <c r="AU402" i="12"/>
  <c r="AY402" i="12" s="1"/>
  <c r="AU403" i="12"/>
  <c r="AY403" i="12" s="1"/>
  <c r="AU404" i="12"/>
  <c r="AY404" i="12" s="1"/>
  <c r="AU3" i="12"/>
  <c r="AU4" i="12"/>
  <c r="AU5" i="12"/>
  <c r="AU6" i="12"/>
  <c r="AU7" i="12"/>
  <c r="AU8" i="12"/>
  <c r="AU9" i="12"/>
  <c r="AU10" i="12"/>
  <c r="AU11" i="12"/>
  <c r="AU12" i="12"/>
  <c r="AU13" i="12"/>
  <c r="AU14" i="12"/>
  <c r="AU15" i="12"/>
  <c r="AU16" i="12"/>
  <c r="AU17" i="12"/>
  <c r="AU18" i="12"/>
  <c r="AU19" i="12"/>
  <c r="AU20" i="12"/>
  <c r="AU21" i="12"/>
  <c r="AU22" i="12"/>
  <c r="AU23" i="12"/>
  <c r="AU24" i="12"/>
  <c r="AU25" i="12"/>
  <c r="AU26" i="12"/>
  <c r="AU27" i="12"/>
  <c r="AU28" i="12"/>
  <c r="AU29" i="12"/>
  <c r="AU30" i="12"/>
  <c r="AU31" i="12"/>
  <c r="AU32" i="12"/>
  <c r="AU33" i="12"/>
  <c r="AU34" i="12"/>
  <c r="AU35" i="12"/>
  <c r="AU36" i="12"/>
  <c r="AU37" i="12"/>
  <c r="AU38" i="12"/>
  <c r="AU39" i="12"/>
  <c r="AU40" i="12"/>
  <c r="AU41" i="12"/>
  <c r="AU42" i="12"/>
  <c r="AU43" i="12"/>
  <c r="AU44" i="12"/>
  <c r="AU45" i="12"/>
  <c r="AU46" i="12"/>
  <c r="AU47" i="12"/>
  <c r="AU48" i="12"/>
  <c r="AU49" i="12"/>
  <c r="AU50" i="12"/>
  <c r="AU51" i="12"/>
  <c r="AU52" i="12"/>
  <c r="AU53" i="12"/>
  <c r="AU54" i="12"/>
  <c r="AU55" i="12"/>
  <c r="AU56" i="12"/>
  <c r="AU57" i="12"/>
  <c r="AU58" i="12"/>
  <c r="AU59" i="12"/>
  <c r="AU60" i="12"/>
  <c r="AU61" i="12"/>
  <c r="AU62" i="12"/>
  <c r="AU63" i="12"/>
  <c r="AU64" i="12"/>
  <c r="AU65" i="12"/>
  <c r="AU66" i="12"/>
  <c r="AU67" i="12"/>
  <c r="AU68" i="12"/>
  <c r="AU69" i="12"/>
  <c r="AU70" i="12"/>
  <c r="AU71" i="12"/>
  <c r="AU72" i="12"/>
  <c r="AU73" i="12"/>
  <c r="AU74" i="12"/>
  <c r="AU75" i="12"/>
  <c r="AU76" i="12"/>
  <c r="AU77" i="12"/>
  <c r="AU78" i="12"/>
  <c r="AU79" i="12"/>
  <c r="AU80" i="12"/>
  <c r="AU81" i="12"/>
  <c r="AU82" i="12"/>
  <c r="AU83" i="12"/>
  <c r="AU84" i="12"/>
  <c r="AU85" i="12"/>
  <c r="AU86" i="12"/>
  <c r="AU87" i="12"/>
  <c r="AU88" i="12"/>
  <c r="AU89" i="12"/>
  <c r="AU90" i="12"/>
  <c r="AU91" i="12"/>
  <c r="AU92" i="12"/>
  <c r="AU93" i="12"/>
  <c r="AU94" i="12"/>
  <c r="AU95" i="12"/>
  <c r="AU96" i="12"/>
  <c r="AU97" i="12"/>
  <c r="AU98" i="12"/>
  <c r="AU99" i="12"/>
  <c r="AU100" i="12"/>
  <c r="AU101" i="12"/>
  <c r="AU102" i="12"/>
  <c r="AU103" i="12"/>
  <c r="AU104" i="12"/>
  <c r="AU105" i="12"/>
  <c r="AU106" i="12"/>
  <c r="AU107" i="12"/>
  <c r="AU108" i="12"/>
  <c r="AU109" i="12"/>
  <c r="AU110" i="12"/>
  <c r="AU111" i="12"/>
  <c r="AU112" i="12"/>
  <c r="AU113" i="12"/>
  <c r="AU114" i="12"/>
  <c r="AU115" i="12"/>
  <c r="AU116" i="12"/>
  <c r="AU117" i="12"/>
  <c r="AU118" i="12"/>
  <c r="AU119" i="12"/>
  <c r="AU120" i="12"/>
  <c r="AU121" i="12"/>
  <c r="AU122" i="12"/>
  <c r="AU123" i="12"/>
  <c r="AU124" i="12"/>
  <c r="AU125" i="12"/>
  <c r="AU126" i="12"/>
  <c r="AU127" i="12"/>
  <c r="AU128" i="12"/>
  <c r="AU129" i="12"/>
  <c r="AU130" i="12"/>
  <c r="AU131" i="12"/>
  <c r="AU132" i="12"/>
  <c r="AU133" i="12"/>
  <c r="AU134" i="12"/>
  <c r="AU135" i="12"/>
  <c r="AU136" i="12"/>
  <c r="AU137" i="12"/>
  <c r="AU138" i="12"/>
  <c r="AU139" i="12"/>
  <c r="AU140" i="12"/>
  <c r="AU141" i="12"/>
  <c r="AU142" i="12"/>
  <c r="AU143" i="12"/>
  <c r="AU144" i="12"/>
  <c r="AU145" i="12"/>
  <c r="AU146" i="12"/>
  <c r="AU147" i="12"/>
  <c r="AU148" i="12"/>
  <c r="AU149" i="12"/>
  <c r="AU150" i="12"/>
  <c r="AU151" i="12"/>
  <c r="AU152" i="12"/>
  <c r="AU153" i="12"/>
  <c r="AU154" i="12"/>
  <c r="AU155" i="12"/>
  <c r="AU156" i="12"/>
  <c r="AU157" i="12"/>
  <c r="AU158" i="12"/>
  <c r="AU159" i="12"/>
  <c r="AU160" i="12"/>
  <c r="AU161" i="12"/>
  <c r="AU162" i="12"/>
  <c r="AU163" i="12"/>
  <c r="AU164" i="12"/>
  <c r="AU165" i="12"/>
  <c r="AU166" i="12"/>
  <c r="AU167" i="12"/>
  <c r="AU168" i="12"/>
  <c r="AU169" i="12"/>
  <c r="AU170" i="12"/>
  <c r="AU171" i="12"/>
  <c r="AU172" i="12"/>
  <c r="AU173" i="12"/>
  <c r="AU174" i="12"/>
  <c r="AU175" i="12"/>
  <c r="AU176" i="12"/>
  <c r="AU177" i="12"/>
  <c r="AU178" i="12"/>
  <c r="AU179" i="12"/>
  <c r="AU180" i="12"/>
  <c r="AU181" i="12"/>
  <c r="AU182" i="12"/>
  <c r="AU183" i="12"/>
  <c r="AU184" i="12"/>
  <c r="AU185" i="12"/>
  <c r="AU186" i="12"/>
  <c r="AU187" i="12"/>
  <c r="AU188" i="12"/>
  <c r="AU189" i="12"/>
  <c r="AU190" i="12"/>
  <c r="AU191" i="12"/>
  <c r="AU2" i="12"/>
  <c r="AS192" i="12"/>
  <c r="AS193" i="12"/>
  <c r="AS194" i="12"/>
  <c r="AS195" i="12"/>
  <c r="AS196" i="12"/>
  <c r="AS197" i="12"/>
  <c r="AS198" i="12"/>
  <c r="AS199" i="12"/>
  <c r="AS200" i="12"/>
  <c r="AS201" i="12"/>
  <c r="AS202" i="12"/>
  <c r="AS203" i="12"/>
  <c r="AS204" i="12"/>
  <c r="AS205" i="12"/>
  <c r="AS206" i="12"/>
  <c r="AS207" i="12"/>
  <c r="AS208" i="12"/>
  <c r="AS209" i="12"/>
  <c r="AS210" i="12"/>
  <c r="AS211" i="12"/>
  <c r="AS212" i="12"/>
  <c r="AS213" i="12"/>
  <c r="AS214" i="12"/>
  <c r="AS215" i="12"/>
  <c r="AS216" i="12"/>
  <c r="AS217" i="12"/>
  <c r="AS218" i="12"/>
  <c r="AS219" i="12"/>
  <c r="AS220" i="12"/>
  <c r="AS221" i="12"/>
  <c r="AS222" i="12"/>
  <c r="AS223" i="12"/>
  <c r="AS224" i="12"/>
  <c r="AS225" i="12"/>
  <c r="AS226" i="12"/>
  <c r="AS227" i="12"/>
  <c r="AS228" i="12"/>
  <c r="AS229" i="12"/>
  <c r="AS230" i="12"/>
  <c r="AS231" i="12"/>
  <c r="AS232" i="12"/>
  <c r="AS233" i="12"/>
  <c r="AS234" i="12"/>
  <c r="AS235" i="12"/>
  <c r="AS236" i="12"/>
  <c r="AS237" i="12"/>
  <c r="AS238" i="12"/>
  <c r="AS239" i="12"/>
  <c r="AS240" i="12"/>
  <c r="AS241" i="12"/>
  <c r="AS242" i="12"/>
  <c r="AS243" i="12"/>
  <c r="AS244" i="12"/>
  <c r="AS245" i="12"/>
  <c r="AS246" i="12"/>
  <c r="AS247" i="12"/>
  <c r="AS248" i="12"/>
  <c r="AS249" i="12"/>
  <c r="AS250" i="12"/>
  <c r="AS251" i="12"/>
  <c r="AS252" i="12"/>
  <c r="AS253" i="12"/>
  <c r="AS254" i="12"/>
  <c r="AS255" i="12"/>
  <c r="AS256" i="12"/>
  <c r="AS257" i="12"/>
  <c r="AS258" i="12"/>
  <c r="AS259" i="12"/>
  <c r="AS260" i="12"/>
  <c r="AS261" i="12"/>
  <c r="AS262" i="12"/>
  <c r="AS263" i="12"/>
  <c r="AS264" i="12"/>
  <c r="AS265" i="12"/>
  <c r="AS266" i="12"/>
  <c r="AS267" i="12"/>
  <c r="AS268" i="12"/>
  <c r="AS269" i="12"/>
  <c r="AS270" i="12"/>
  <c r="AS271" i="12"/>
  <c r="AS272" i="12"/>
  <c r="AS273" i="12"/>
  <c r="AS274" i="12"/>
  <c r="AS275" i="12"/>
  <c r="AS276" i="12"/>
  <c r="AS277" i="12"/>
  <c r="AS278" i="12"/>
  <c r="AS279" i="12"/>
  <c r="AS280" i="12"/>
  <c r="AS281" i="12"/>
  <c r="AS282" i="12"/>
  <c r="AS283" i="12"/>
  <c r="AS284" i="12"/>
  <c r="AS285" i="12"/>
  <c r="AS286" i="12"/>
  <c r="AS287" i="12"/>
  <c r="AS288" i="12"/>
  <c r="AS289" i="12"/>
  <c r="AS290" i="12"/>
  <c r="AS291" i="12"/>
  <c r="AS292" i="12"/>
  <c r="AS293" i="12"/>
  <c r="AS294" i="12"/>
  <c r="AS295" i="12"/>
  <c r="AS296" i="12"/>
  <c r="AS297" i="12"/>
  <c r="AS298" i="12"/>
  <c r="AS299" i="12"/>
  <c r="AS300" i="12"/>
  <c r="AS301" i="12"/>
  <c r="AS302" i="12"/>
  <c r="AS303" i="12"/>
  <c r="AS304" i="12"/>
  <c r="AS305" i="12"/>
  <c r="AS306" i="12"/>
  <c r="AS307" i="12"/>
  <c r="AS308" i="12"/>
  <c r="AS309" i="12"/>
  <c r="AS310" i="12"/>
  <c r="AS311" i="12"/>
  <c r="AS312" i="12"/>
  <c r="AS313" i="12"/>
  <c r="AS314" i="12"/>
  <c r="AS315" i="12"/>
  <c r="AS316" i="12"/>
  <c r="AS317" i="12"/>
  <c r="AS318" i="12"/>
  <c r="AS319" i="12"/>
  <c r="AS320" i="12"/>
  <c r="AS321" i="12"/>
  <c r="AS322" i="12"/>
  <c r="AS323" i="12"/>
  <c r="AS324" i="12"/>
  <c r="AS325" i="12"/>
  <c r="AS326" i="12"/>
  <c r="AS327" i="12"/>
  <c r="AS328" i="12"/>
  <c r="AS329" i="12"/>
  <c r="AS330" i="12"/>
  <c r="AS331" i="12"/>
  <c r="AS332" i="12"/>
  <c r="AS333" i="12"/>
  <c r="AS334" i="12"/>
  <c r="AS335" i="12"/>
  <c r="AS336" i="12"/>
  <c r="AS337" i="12"/>
  <c r="AS338" i="12"/>
  <c r="AS339" i="12"/>
  <c r="AS340" i="12"/>
  <c r="AS341" i="12"/>
  <c r="AS342" i="12"/>
  <c r="AS343" i="12"/>
  <c r="AS344" i="12"/>
  <c r="AS345" i="12"/>
  <c r="AS346" i="12"/>
  <c r="AS347" i="12"/>
  <c r="AS348" i="12"/>
  <c r="AS349" i="12"/>
  <c r="AS350" i="12"/>
  <c r="AS351" i="12"/>
  <c r="AS352" i="12"/>
  <c r="AS353" i="12"/>
  <c r="AS354" i="12"/>
  <c r="AS355" i="12"/>
  <c r="AS356" i="12"/>
  <c r="AS357" i="12"/>
  <c r="AS358" i="12"/>
  <c r="AS359" i="12"/>
  <c r="AS360" i="12"/>
  <c r="AS361" i="12"/>
  <c r="AS362" i="12"/>
  <c r="AS363" i="12"/>
  <c r="AS364" i="12"/>
  <c r="AS365" i="12"/>
  <c r="AS366" i="12"/>
  <c r="AS367" i="12"/>
  <c r="AS368" i="12"/>
  <c r="AS369" i="12"/>
  <c r="AS370" i="12"/>
  <c r="AS371" i="12"/>
  <c r="AS372" i="12"/>
  <c r="AS373" i="12"/>
  <c r="AS374" i="12"/>
  <c r="AS375" i="12"/>
  <c r="AS376" i="12"/>
  <c r="AS377" i="12"/>
  <c r="AS378" i="12"/>
  <c r="AS379" i="12"/>
  <c r="AS380" i="12"/>
  <c r="AS381" i="12"/>
  <c r="AS382" i="12"/>
  <c r="AS383" i="12"/>
  <c r="AS384" i="12"/>
  <c r="AS385" i="12"/>
  <c r="AS386" i="12"/>
  <c r="AS387" i="12"/>
  <c r="AS388" i="12"/>
  <c r="AS389" i="12"/>
  <c r="AS390" i="12"/>
  <c r="AS391" i="12"/>
  <c r="AS392" i="12"/>
  <c r="AS393" i="12"/>
  <c r="AS394" i="12"/>
  <c r="AS395" i="12"/>
  <c r="AS396" i="12"/>
  <c r="AS397" i="12"/>
  <c r="AS398" i="12"/>
  <c r="AS399" i="12"/>
  <c r="AS400" i="12"/>
  <c r="AS401" i="12"/>
  <c r="AS402" i="12"/>
  <c r="AS403" i="12"/>
  <c r="AS404" i="12"/>
  <c r="AR192" i="12"/>
  <c r="AR193" i="12"/>
  <c r="AR194" i="12"/>
  <c r="AR195" i="12"/>
  <c r="AR196" i="12"/>
  <c r="AR197" i="12"/>
  <c r="AR198" i="12"/>
  <c r="AR199" i="12"/>
  <c r="AR200" i="12"/>
  <c r="AR201" i="12"/>
  <c r="AR202" i="12"/>
  <c r="AR203" i="12"/>
  <c r="AR204" i="12"/>
  <c r="AR205" i="12"/>
  <c r="AR206" i="12"/>
  <c r="AR207" i="12"/>
  <c r="AR208" i="12"/>
  <c r="AR209" i="12"/>
  <c r="AR210" i="12"/>
  <c r="AR211" i="12"/>
  <c r="AR212" i="12"/>
  <c r="AR213" i="12"/>
  <c r="AR214" i="12"/>
  <c r="AR215" i="12"/>
  <c r="AR216" i="12"/>
  <c r="AR217" i="12"/>
  <c r="AR218" i="12"/>
  <c r="AR219" i="12"/>
  <c r="AR220" i="12"/>
  <c r="AR221" i="12"/>
  <c r="AR222" i="12"/>
  <c r="AR223" i="12"/>
  <c r="AR224" i="12"/>
  <c r="AR225" i="12"/>
  <c r="AR226" i="12"/>
  <c r="AR227" i="12"/>
  <c r="AR228" i="12"/>
  <c r="AR229" i="12"/>
  <c r="AR230" i="12"/>
  <c r="AR231" i="12"/>
  <c r="AR232" i="12"/>
  <c r="AR233" i="12"/>
  <c r="AR234" i="12"/>
  <c r="AR235" i="12"/>
  <c r="AR236" i="12"/>
  <c r="AR237" i="12"/>
  <c r="AR238" i="12"/>
  <c r="AR239" i="12"/>
  <c r="AR240" i="12"/>
  <c r="AR241" i="12"/>
  <c r="AR242" i="12"/>
  <c r="AR243" i="12"/>
  <c r="AR244" i="12"/>
  <c r="AR245" i="12"/>
  <c r="AR246" i="12"/>
  <c r="AR247" i="12"/>
  <c r="AR248" i="12"/>
  <c r="AR249" i="12"/>
  <c r="AR250" i="12"/>
  <c r="AR251" i="12"/>
  <c r="AR252" i="12"/>
  <c r="AR253" i="12"/>
  <c r="AR254" i="12"/>
  <c r="AR255" i="12"/>
  <c r="AR256" i="12"/>
  <c r="AR257" i="12"/>
  <c r="AR258" i="12"/>
  <c r="AR259" i="12"/>
  <c r="AR260" i="12"/>
  <c r="AR261" i="12"/>
  <c r="AR262" i="12"/>
  <c r="AR263" i="12"/>
  <c r="AR264" i="12"/>
  <c r="AR265" i="12"/>
  <c r="AR266" i="12"/>
  <c r="AR267" i="12"/>
  <c r="AR268" i="12"/>
  <c r="AR269" i="12"/>
  <c r="AR270" i="12"/>
  <c r="AR271" i="12"/>
  <c r="AR272" i="12"/>
  <c r="AR273" i="12"/>
  <c r="AR274" i="12"/>
  <c r="AR275" i="12"/>
  <c r="AR276" i="12"/>
  <c r="AR277" i="12"/>
  <c r="AR278" i="12"/>
  <c r="AR279" i="12"/>
  <c r="AR280" i="12"/>
  <c r="AR281" i="12"/>
  <c r="AR282" i="12"/>
  <c r="AR283" i="12"/>
  <c r="AR284" i="12"/>
  <c r="AR285" i="12"/>
  <c r="AR286" i="12"/>
  <c r="AR287" i="12"/>
  <c r="AR288" i="12"/>
  <c r="AR289" i="12"/>
  <c r="AR290" i="12"/>
  <c r="AR291" i="12"/>
  <c r="AR292" i="12"/>
  <c r="AR293" i="12"/>
  <c r="AR294" i="12"/>
  <c r="AR295" i="12"/>
  <c r="AR296" i="12"/>
  <c r="AR297" i="12"/>
  <c r="AR298" i="12"/>
  <c r="AR299" i="12"/>
  <c r="AR300" i="12"/>
  <c r="AR301" i="12"/>
  <c r="AR302" i="12"/>
  <c r="AR303" i="12"/>
  <c r="AR304" i="12"/>
  <c r="AR305" i="12"/>
  <c r="AR306" i="12"/>
  <c r="AR307" i="12"/>
  <c r="AR308" i="12"/>
  <c r="AR309" i="12"/>
  <c r="AR310" i="12"/>
  <c r="AR311" i="12"/>
  <c r="AR312" i="12"/>
  <c r="AR313" i="12"/>
  <c r="AR314" i="12"/>
  <c r="AR315" i="12"/>
  <c r="AR316" i="12"/>
  <c r="AR317" i="12"/>
  <c r="AR318" i="12"/>
  <c r="AR319" i="12"/>
  <c r="AR320" i="12"/>
  <c r="AR321" i="12"/>
  <c r="AR322" i="12"/>
  <c r="AR323" i="12"/>
  <c r="AR324" i="12"/>
  <c r="AR325" i="12"/>
  <c r="AR326" i="12"/>
  <c r="AR327" i="12"/>
  <c r="AR328" i="12"/>
  <c r="AR329" i="12"/>
  <c r="AR330" i="12"/>
  <c r="AR331" i="12"/>
  <c r="AR332" i="12"/>
  <c r="AR333" i="12"/>
  <c r="AR334" i="12"/>
  <c r="AR335" i="12"/>
  <c r="AR336" i="12"/>
  <c r="AR337" i="12"/>
  <c r="AR338" i="12"/>
  <c r="AR339" i="12"/>
  <c r="AR340" i="12"/>
  <c r="AR341" i="12"/>
  <c r="AR342" i="12"/>
  <c r="AR343" i="12"/>
  <c r="AR344" i="12"/>
  <c r="AR345" i="12"/>
  <c r="AR346" i="12"/>
  <c r="AR347" i="12"/>
  <c r="AR348" i="12"/>
  <c r="AR349" i="12"/>
  <c r="AR350" i="12"/>
  <c r="AR351" i="12"/>
  <c r="AR352" i="12"/>
  <c r="AR353" i="12"/>
  <c r="AR354" i="12"/>
  <c r="AR355" i="12"/>
  <c r="AR356" i="12"/>
  <c r="AR357" i="12"/>
  <c r="AR358" i="12"/>
  <c r="AR359" i="12"/>
  <c r="AR360" i="12"/>
  <c r="AR361" i="12"/>
  <c r="AR362" i="12"/>
  <c r="AR363" i="12"/>
  <c r="AR364" i="12"/>
  <c r="AR365" i="12"/>
  <c r="AR366" i="12"/>
  <c r="AR367" i="12"/>
  <c r="AR368" i="12"/>
  <c r="AR369" i="12"/>
  <c r="AR370" i="12"/>
  <c r="AR371" i="12"/>
  <c r="AR372" i="12"/>
  <c r="AR373" i="12"/>
  <c r="AR374" i="12"/>
  <c r="AR375" i="12"/>
  <c r="AR376" i="12"/>
  <c r="AR377" i="12"/>
  <c r="AR378" i="12"/>
  <c r="AR379" i="12"/>
  <c r="AR380" i="12"/>
  <c r="AR381" i="12"/>
  <c r="AR382" i="12"/>
  <c r="AR383" i="12"/>
  <c r="AR384" i="12"/>
  <c r="AR385" i="12"/>
  <c r="AR386" i="12"/>
  <c r="AR387" i="12"/>
  <c r="AR388" i="12"/>
  <c r="AR389" i="12"/>
  <c r="AR390" i="12"/>
  <c r="AR391" i="12"/>
  <c r="AR392" i="12"/>
  <c r="AR393" i="12"/>
  <c r="AR394" i="12"/>
  <c r="AR395" i="12"/>
  <c r="AR396" i="12"/>
  <c r="AR397" i="12"/>
  <c r="AR398" i="12"/>
  <c r="AR399" i="12"/>
  <c r="AR400" i="12"/>
  <c r="AR401" i="12"/>
  <c r="AR402" i="12"/>
  <c r="AR403" i="12"/>
  <c r="AR404" i="12"/>
  <c r="AQ327" i="12"/>
  <c r="AP192" i="12"/>
  <c r="AP193" i="12"/>
  <c r="AT193" i="12" s="1"/>
  <c r="AP194" i="12"/>
  <c r="AP195" i="12"/>
  <c r="AT195" i="12" s="1"/>
  <c r="AP196" i="12"/>
  <c r="AP197" i="12"/>
  <c r="AT197" i="12" s="1"/>
  <c r="AP198" i="12"/>
  <c r="AP199" i="12"/>
  <c r="AT199" i="12" s="1"/>
  <c r="AP200" i="12"/>
  <c r="AP201" i="12"/>
  <c r="AT201" i="12" s="1"/>
  <c r="AP202" i="12"/>
  <c r="AP203" i="12"/>
  <c r="AT203" i="12" s="1"/>
  <c r="AP204" i="12"/>
  <c r="AP205" i="12"/>
  <c r="AT205" i="12" s="1"/>
  <c r="AP206" i="12"/>
  <c r="AP207" i="12"/>
  <c r="AT207" i="12" s="1"/>
  <c r="AP208" i="12"/>
  <c r="AP209" i="12"/>
  <c r="AT209" i="12" s="1"/>
  <c r="AP210" i="12"/>
  <c r="AP211" i="12"/>
  <c r="AT211" i="12" s="1"/>
  <c r="AP212" i="12"/>
  <c r="AP213" i="12"/>
  <c r="AT213" i="12" s="1"/>
  <c r="AP214" i="12"/>
  <c r="AP215" i="12"/>
  <c r="AT215" i="12" s="1"/>
  <c r="AP216" i="12"/>
  <c r="AP217" i="12"/>
  <c r="AT217" i="12" s="1"/>
  <c r="AP218" i="12"/>
  <c r="AP219" i="12"/>
  <c r="AT219" i="12" s="1"/>
  <c r="AP220" i="12"/>
  <c r="AQ220" i="12" s="1"/>
  <c r="AP221" i="12"/>
  <c r="AT221" i="12" s="1"/>
  <c r="AP222" i="12"/>
  <c r="AP223" i="12"/>
  <c r="AT223" i="12" s="1"/>
  <c r="AP224" i="12"/>
  <c r="AP225" i="12"/>
  <c r="AT225" i="12" s="1"/>
  <c r="AP226" i="12"/>
  <c r="AP227" i="12"/>
  <c r="AT227" i="12" s="1"/>
  <c r="AP228" i="12"/>
  <c r="AQ228" i="12" s="1"/>
  <c r="AP229" i="12"/>
  <c r="AT229" i="12" s="1"/>
  <c r="AP230" i="12"/>
  <c r="AP231" i="12"/>
  <c r="AT231" i="12" s="1"/>
  <c r="AP232" i="12"/>
  <c r="AP233" i="12"/>
  <c r="AT233" i="12" s="1"/>
  <c r="AP234" i="12"/>
  <c r="AP235" i="12"/>
  <c r="AT235" i="12" s="1"/>
  <c r="AP236" i="12"/>
  <c r="AP237" i="12"/>
  <c r="AT237" i="12" s="1"/>
  <c r="AP238" i="12"/>
  <c r="AP239" i="12"/>
  <c r="AT239" i="12" s="1"/>
  <c r="AP240" i="12"/>
  <c r="AP241" i="12"/>
  <c r="AT241" i="12" s="1"/>
  <c r="AP242" i="12"/>
  <c r="AP243" i="12"/>
  <c r="AT243" i="12" s="1"/>
  <c r="AP244" i="12"/>
  <c r="AQ244" i="12" s="1"/>
  <c r="AP245" i="12"/>
  <c r="AT245" i="12" s="1"/>
  <c r="AP246" i="12"/>
  <c r="AP247" i="12"/>
  <c r="AT247" i="12" s="1"/>
  <c r="AP248" i="12"/>
  <c r="AP249" i="12"/>
  <c r="AT249" i="12" s="1"/>
  <c r="AP250" i="12"/>
  <c r="AP251" i="12"/>
  <c r="AT251" i="12" s="1"/>
  <c r="AP252" i="12"/>
  <c r="AP253" i="12"/>
  <c r="AT253" i="12" s="1"/>
  <c r="AP254" i="12"/>
  <c r="AP255" i="12"/>
  <c r="AT255" i="12" s="1"/>
  <c r="AP256" i="12"/>
  <c r="AP257" i="12"/>
  <c r="AT257" i="12" s="1"/>
  <c r="AP258" i="12"/>
  <c r="AP259" i="12"/>
  <c r="AT259" i="12" s="1"/>
  <c r="AP260" i="12"/>
  <c r="AP261" i="12"/>
  <c r="AT261" i="12" s="1"/>
  <c r="AP262" i="12"/>
  <c r="AP263" i="12"/>
  <c r="AT263" i="12" s="1"/>
  <c r="AP264" i="12"/>
  <c r="AP265" i="12"/>
  <c r="AT265" i="12" s="1"/>
  <c r="AP266" i="12"/>
  <c r="AP267" i="12"/>
  <c r="AT267" i="12" s="1"/>
  <c r="AP268" i="12"/>
  <c r="AQ268" i="12" s="1"/>
  <c r="AP269" i="12"/>
  <c r="AT269" i="12" s="1"/>
  <c r="AP270" i="12"/>
  <c r="AP271" i="12"/>
  <c r="AT271" i="12" s="1"/>
  <c r="AP272" i="12"/>
  <c r="AP273" i="12"/>
  <c r="AT273" i="12" s="1"/>
  <c r="AP274" i="12"/>
  <c r="AP275" i="12"/>
  <c r="AT275" i="12" s="1"/>
  <c r="AP276" i="12"/>
  <c r="AP277" i="12"/>
  <c r="AT277" i="12" s="1"/>
  <c r="AP278" i="12"/>
  <c r="AP279" i="12"/>
  <c r="AT279" i="12" s="1"/>
  <c r="AP280" i="12"/>
  <c r="AP281" i="12"/>
  <c r="AT281" i="12" s="1"/>
  <c r="AP282" i="12"/>
  <c r="AP283" i="12"/>
  <c r="AT283" i="12" s="1"/>
  <c r="AP284" i="12"/>
  <c r="AQ284" i="12" s="1"/>
  <c r="AP285" i="12"/>
  <c r="AT285" i="12" s="1"/>
  <c r="AP286" i="12"/>
  <c r="AP287" i="12"/>
  <c r="AT287" i="12" s="1"/>
  <c r="AP288" i="12"/>
  <c r="AP289" i="12"/>
  <c r="AT289" i="12" s="1"/>
  <c r="AP290" i="12"/>
  <c r="AP291" i="12"/>
  <c r="AT291" i="12" s="1"/>
  <c r="AP292" i="12"/>
  <c r="AQ292" i="12" s="1"/>
  <c r="AP293" i="12"/>
  <c r="AT293" i="12" s="1"/>
  <c r="AP294" i="12"/>
  <c r="AP295" i="12"/>
  <c r="AT295" i="12" s="1"/>
  <c r="AP296" i="12"/>
  <c r="AP297" i="12"/>
  <c r="AT297" i="12" s="1"/>
  <c r="AP298" i="12"/>
  <c r="AP299" i="12"/>
  <c r="AT299" i="12" s="1"/>
  <c r="AP300" i="12"/>
  <c r="AQ300" i="12" s="1"/>
  <c r="AP301" i="12"/>
  <c r="AT301" i="12" s="1"/>
  <c r="AP302" i="12"/>
  <c r="AP303" i="12"/>
  <c r="AT303" i="12" s="1"/>
  <c r="AP304" i="12"/>
  <c r="AP305" i="12"/>
  <c r="AT305" i="12" s="1"/>
  <c r="AP306" i="12"/>
  <c r="AP307" i="12"/>
  <c r="AT307" i="12" s="1"/>
  <c r="AP308" i="12"/>
  <c r="AQ308" i="12" s="1"/>
  <c r="AP309" i="12"/>
  <c r="AT309" i="12" s="1"/>
  <c r="AP310" i="12"/>
  <c r="AP311" i="12"/>
  <c r="AT311" i="12" s="1"/>
  <c r="AP312" i="12"/>
  <c r="AP313" i="12"/>
  <c r="AT313" i="12" s="1"/>
  <c r="AP314" i="12"/>
  <c r="AP315" i="12"/>
  <c r="AT315" i="12" s="1"/>
  <c r="AP316" i="12"/>
  <c r="AP317" i="12"/>
  <c r="AT317" i="12" s="1"/>
  <c r="AP318" i="12"/>
  <c r="AP319" i="12"/>
  <c r="AT319" i="12" s="1"/>
  <c r="AP320" i="12"/>
  <c r="AP321" i="12"/>
  <c r="AT321" i="12" s="1"/>
  <c r="AP322" i="12"/>
  <c r="AP323" i="12"/>
  <c r="AT323" i="12" s="1"/>
  <c r="AP324" i="12"/>
  <c r="AP325" i="12"/>
  <c r="AT325" i="12" s="1"/>
  <c r="AP326" i="12"/>
  <c r="AP327" i="12"/>
  <c r="AT327" i="12" s="1"/>
  <c r="AP328" i="12"/>
  <c r="AP329" i="12"/>
  <c r="AT329" i="12" s="1"/>
  <c r="AP330" i="12"/>
  <c r="AP331" i="12"/>
  <c r="AT331" i="12" s="1"/>
  <c r="AP332" i="12"/>
  <c r="AQ332" i="12" s="1"/>
  <c r="AP333" i="12"/>
  <c r="AT333" i="12" s="1"/>
  <c r="AP334" i="12"/>
  <c r="AP335" i="12"/>
  <c r="AT335" i="12" s="1"/>
  <c r="AP336" i="12"/>
  <c r="AP337" i="12"/>
  <c r="AT337" i="12" s="1"/>
  <c r="AP338" i="12"/>
  <c r="AP339" i="12"/>
  <c r="AT339" i="12" s="1"/>
  <c r="AP340" i="12"/>
  <c r="AQ340" i="12" s="1"/>
  <c r="AP341" i="12"/>
  <c r="AT341" i="12" s="1"/>
  <c r="AP342" i="12"/>
  <c r="AP343" i="12"/>
  <c r="AT343" i="12" s="1"/>
  <c r="AP344" i="12"/>
  <c r="AP345" i="12"/>
  <c r="AT345" i="12" s="1"/>
  <c r="AP346" i="12"/>
  <c r="AP347" i="12"/>
  <c r="AT347" i="12" s="1"/>
  <c r="AP348" i="12"/>
  <c r="AQ348" i="12" s="1"/>
  <c r="AP349" i="12"/>
  <c r="AT349" i="12" s="1"/>
  <c r="AP350" i="12"/>
  <c r="AP351" i="12"/>
  <c r="AT351" i="12" s="1"/>
  <c r="AP352" i="12"/>
  <c r="AP353" i="12"/>
  <c r="AT353" i="12" s="1"/>
  <c r="AP354" i="12"/>
  <c r="AP355" i="12"/>
  <c r="AT355" i="12" s="1"/>
  <c r="AP356" i="12"/>
  <c r="AQ356" i="12" s="1"/>
  <c r="AP357" i="12"/>
  <c r="AT357" i="12" s="1"/>
  <c r="AP358" i="12"/>
  <c r="AP359" i="12"/>
  <c r="AT359" i="12" s="1"/>
  <c r="AP360" i="12"/>
  <c r="AP361" i="12"/>
  <c r="AT361" i="12" s="1"/>
  <c r="AP362" i="12"/>
  <c r="AP363" i="12"/>
  <c r="AT363" i="12" s="1"/>
  <c r="AP364" i="12"/>
  <c r="AQ364" i="12" s="1"/>
  <c r="AP365" i="12"/>
  <c r="AT365" i="12" s="1"/>
  <c r="AP366" i="12"/>
  <c r="AP367" i="12"/>
  <c r="AT367" i="12" s="1"/>
  <c r="AP368" i="12"/>
  <c r="AP369" i="12"/>
  <c r="AT369" i="12" s="1"/>
  <c r="AP370" i="12"/>
  <c r="AP371" i="12"/>
  <c r="AT371" i="12" s="1"/>
  <c r="AP372" i="12"/>
  <c r="AQ372" i="12" s="1"/>
  <c r="AP373" i="12"/>
  <c r="AT373" i="12" s="1"/>
  <c r="AP374" i="12"/>
  <c r="AP375" i="12"/>
  <c r="AT375" i="12" s="1"/>
  <c r="AP376" i="12"/>
  <c r="AP377" i="12"/>
  <c r="AT377" i="12" s="1"/>
  <c r="AP378" i="12"/>
  <c r="AP379" i="12"/>
  <c r="AT379" i="12" s="1"/>
  <c r="AP380" i="12"/>
  <c r="AQ380" i="12" s="1"/>
  <c r="AP381" i="12"/>
  <c r="AT381" i="12" s="1"/>
  <c r="AP382" i="12"/>
  <c r="AP383" i="12"/>
  <c r="AT383" i="12" s="1"/>
  <c r="AP384" i="12"/>
  <c r="AP385" i="12"/>
  <c r="AT385" i="12" s="1"/>
  <c r="AP386" i="12"/>
  <c r="AP387" i="12"/>
  <c r="AT387" i="12" s="1"/>
  <c r="AP388" i="12"/>
  <c r="AP389" i="12"/>
  <c r="AT389" i="12" s="1"/>
  <c r="AP390" i="12"/>
  <c r="AP391" i="12"/>
  <c r="AT391" i="12" s="1"/>
  <c r="AP392" i="12"/>
  <c r="AP393" i="12"/>
  <c r="AT393" i="12" s="1"/>
  <c r="AP394" i="12"/>
  <c r="AP395" i="12"/>
  <c r="AT395" i="12" s="1"/>
  <c r="AP396" i="12"/>
  <c r="AQ396" i="12" s="1"/>
  <c r="AP397" i="12"/>
  <c r="AT397" i="12" s="1"/>
  <c r="AP398" i="12"/>
  <c r="AP399" i="12"/>
  <c r="AT399" i="12" s="1"/>
  <c r="AP400" i="12"/>
  <c r="AP401" i="12"/>
  <c r="AT401" i="12" s="1"/>
  <c r="AP402" i="12"/>
  <c r="AP403" i="12"/>
  <c r="AT403" i="12" s="1"/>
  <c r="AP404" i="12"/>
  <c r="AQ404" i="12" s="1"/>
  <c r="AP3" i="12"/>
  <c r="AP4" i="12"/>
  <c r="AP5" i="12"/>
  <c r="AP6" i="12"/>
  <c r="AP7" i="12"/>
  <c r="AP8" i="12"/>
  <c r="AP9" i="12"/>
  <c r="AP10" i="12"/>
  <c r="AP11" i="12"/>
  <c r="AP12" i="12"/>
  <c r="AP13" i="12"/>
  <c r="AP14" i="12"/>
  <c r="AP15" i="12"/>
  <c r="AP16" i="12"/>
  <c r="AP17" i="12"/>
  <c r="AP18" i="12"/>
  <c r="AP19" i="12"/>
  <c r="AP20" i="12"/>
  <c r="AP21" i="12"/>
  <c r="AP22" i="12"/>
  <c r="AP23" i="12"/>
  <c r="AP24" i="12"/>
  <c r="AP25" i="12"/>
  <c r="AP26" i="12"/>
  <c r="AP27" i="12"/>
  <c r="AP28" i="12"/>
  <c r="AP29" i="12"/>
  <c r="AP30" i="12"/>
  <c r="AP31" i="12"/>
  <c r="AP32" i="12"/>
  <c r="AP33" i="12"/>
  <c r="AP34" i="12"/>
  <c r="AP35" i="12"/>
  <c r="AP36" i="12"/>
  <c r="AP37" i="12"/>
  <c r="AP38" i="12"/>
  <c r="AP39" i="12"/>
  <c r="AP40" i="12"/>
  <c r="AP41" i="12"/>
  <c r="AP42" i="12"/>
  <c r="AP43" i="12"/>
  <c r="AP44" i="12"/>
  <c r="AP45" i="12"/>
  <c r="AP46" i="12"/>
  <c r="AP47" i="12"/>
  <c r="AP48" i="12"/>
  <c r="AP49" i="12"/>
  <c r="AP50" i="12"/>
  <c r="AP51" i="12"/>
  <c r="AP52" i="12"/>
  <c r="AP53" i="12"/>
  <c r="AP54" i="12"/>
  <c r="AP55" i="12"/>
  <c r="AP56" i="12"/>
  <c r="AP57" i="12"/>
  <c r="AP58" i="12"/>
  <c r="AP59" i="12"/>
  <c r="AP60" i="12"/>
  <c r="AP61" i="12"/>
  <c r="AP62" i="12"/>
  <c r="AP63" i="12"/>
  <c r="AP64" i="12"/>
  <c r="AP65" i="12"/>
  <c r="AP66" i="12"/>
  <c r="AP67" i="12"/>
  <c r="AP68" i="12"/>
  <c r="AP69" i="12"/>
  <c r="AP70" i="12"/>
  <c r="AP71" i="12"/>
  <c r="AP72" i="12"/>
  <c r="AP73" i="12"/>
  <c r="AP74" i="12"/>
  <c r="AP75" i="12"/>
  <c r="AP76" i="12"/>
  <c r="AP77" i="12"/>
  <c r="AP78" i="12"/>
  <c r="AP79" i="12"/>
  <c r="AP80" i="12"/>
  <c r="AP81" i="12"/>
  <c r="AP82" i="12"/>
  <c r="AP83" i="12"/>
  <c r="AP84" i="12"/>
  <c r="AP85" i="12"/>
  <c r="AP86" i="12"/>
  <c r="AP87" i="12"/>
  <c r="AP88" i="12"/>
  <c r="AP89" i="12"/>
  <c r="AP90" i="12"/>
  <c r="AP91" i="12"/>
  <c r="AP92" i="12"/>
  <c r="AP93" i="12"/>
  <c r="AP94" i="12"/>
  <c r="AP95" i="12"/>
  <c r="AP96" i="12"/>
  <c r="AP97" i="12"/>
  <c r="AP98" i="12"/>
  <c r="AP99" i="12"/>
  <c r="AP100" i="12"/>
  <c r="AP101" i="12"/>
  <c r="AP102" i="12"/>
  <c r="AP103" i="12"/>
  <c r="AP104" i="12"/>
  <c r="AP105" i="12"/>
  <c r="AP106" i="12"/>
  <c r="AP107" i="12"/>
  <c r="AP108" i="12"/>
  <c r="AP109" i="12"/>
  <c r="AP110" i="12"/>
  <c r="AP111" i="12"/>
  <c r="AP112" i="12"/>
  <c r="AP113" i="12"/>
  <c r="AP114" i="12"/>
  <c r="AP115" i="12"/>
  <c r="AP116" i="12"/>
  <c r="AP117" i="12"/>
  <c r="AP118" i="12"/>
  <c r="AP119" i="12"/>
  <c r="AP120" i="12"/>
  <c r="AP121" i="12"/>
  <c r="AP122" i="12"/>
  <c r="AP123" i="12"/>
  <c r="AP124" i="12"/>
  <c r="AP125" i="12"/>
  <c r="AP126" i="12"/>
  <c r="AP127" i="12"/>
  <c r="AP128" i="12"/>
  <c r="AP129" i="12"/>
  <c r="AP130" i="12"/>
  <c r="AP131" i="12"/>
  <c r="AP132" i="12"/>
  <c r="AP133" i="12"/>
  <c r="AP134" i="12"/>
  <c r="AP135" i="12"/>
  <c r="AP136" i="12"/>
  <c r="AP137" i="12"/>
  <c r="AP138" i="12"/>
  <c r="AP139" i="12"/>
  <c r="AP140" i="12"/>
  <c r="AP141" i="12"/>
  <c r="AP142" i="12"/>
  <c r="AP143" i="12"/>
  <c r="AP144" i="12"/>
  <c r="AP145" i="12"/>
  <c r="AP146" i="12"/>
  <c r="AP147" i="12"/>
  <c r="AP148" i="12"/>
  <c r="AP149" i="12"/>
  <c r="AP150" i="12"/>
  <c r="AP151" i="12"/>
  <c r="AP152" i="12"/>
  <c r="AP153" i="12"/>
  <c r="AP154" i="12"/>
  <c r="AP155" i="12"/>
  <c r="AP156" i="12"/>
  <c r="AP157" i="12"/>
  <c r="AP158" i="12"/>
  <c r="AP159" i="12"/>
  <c r="AP160" i="12"/>
  <c r="AP161" i="12"/>
  <c r="AP162" i="12"/>
  <c r="AP163" i="12"/>
  <c r="AP164" i="12"/>
  <c r="AP165" i="12"/>
  <c r="AP166" i="12"/>
  <c r="AP167" i="12"/>
  <c r="AP168" i="12"/>
  <c r="AP169" i="12"/>
  <c r="AP170" i="12"/>
  <c r="AP171" i="12"/>
  <c r="AP172" i="12"/>
  <c r="AP173" i="12"/>
  <c r="AP174" i="12"/>
  <c r="AP175" i="12"/>
  <c r="AP176" i="12"/>
  <c r="AP177" i="12"/>
  <c r="AP178" i="12"/>
  <c r="AP179" i="12"/>
  <c r="AP180" i="12"/>
  <c r="AP181" i="12"/>
  <c r="AP182" i="12"/>
  <c r="AP183" i="12"/>
  <c r="AP184" i="12"/>
  <c r="AP185" i="12"/>
  <c r="AP186" i="12"/>
  <c r="AP187" i="12"/>
  <c r="AP188" i="12"/>
  <c r="AP189" i="12"/>
  <c r="AP190" i="12"/>
  <c r="AP191" i="12"/>
  <c r="AP2" i="12"/>
  <c r="AN192" i="12"/>
  <c r="AN193" i="12"/>
  <c r="AN194" i="12"/>
  <c r="AN195" i="12"/>
  <c r="AN196" i="12"/>
  <c r="AN197" i="12"/>
  <c r="AN198" i="12"/>
  <c r="AN199" i="12"/>
  <c r="AN200" i="12"/>
  <c r="AN201" i="12"/>
  <c r="AN202" i="12"/>
  <c r="AN203" i="12"/>
  <c r="AN204" i="12"/>
  <c r="AN205" i="12"/>
  <c r="AN206" i="12"/>
  <c r="AN207" i="12"/>
  <c r="AN208" i="12"/>
  <c r="AN209" i="12"/>
  <c r="AN210" i="12"/>
  <c r="AN211" i="12"/>
  <c r="AN212" i="12"/>
  <c r="AN213" i="12"/>
  <c r="AN214" i="12"/>
  <c r="AN215" i="12"/>
  <c r="AN216" i="12"/>
  <c r="AN217" i="12"/>
  <c r="AN218" i="12"/>
  <c r="AN219" i="12"/>
  <c r="AN220" i="12"/>
  <c r="AN221" i="12"/>
  <c r="AN222" i="12"/>
  <c r="AN223" i="12"/>
  <c r="AN224" i="12"/>
  <c r="AN225" i="12"/>
  <c r="AN226" i="12"/>
  <c r="AN227" i="12"/>
  <c r="AN228" i="12"/>
  <c r="AN229" i="12"/>
  <c r="AN230" i="12"/>
  <c r="AN231" i="12"/>
  <c r="AN232" i="12"/>
  <c r="AN233" i="12"/>
  <c r="AN234" i="12"/>
  <c r="AN235" i="12"/>
  <c r="AN236" i="12"/>
  <c r="AN237" i="12"/>
  <c r="AN238" i="12"/>
  <c r="AN239" i="12"/>
  <c r="AN240" i="12"/>
  <c r="AN241" i="12"/>
  <c r="AN242" i="12"/>
  <c r="AN243" i="12"/>
  <c r="AN244" i="12"/>
  <c r="AN245" i="12"/>
  <c r="AN246" i="12"/>
  <c r="AN247" i="12"/>
  <c r="AN248" i="12"/>
  <c r="AN249" i="12"/>
  <c r="AN250" i="12"/>
  <c r="AN251" i="12"/>
  <c r="AN252" i="12"/>
  <c r="AN253" i="12"/>
  <c r="AN254" i="12"/>
  <c r="AN255" i="12"/>
  <c r="AN256" i="12"/>
  <c r="AN257" i="12"/>
  <c r="AN258" i="12"/>
  <c r="AN259" i="12"/>
  <c r="AN260" i="12"/>
  <c r="AN261" i="12"/>
  <c r="AN262" i="12"/>
  <c r="AN263" i="12"/>
  <c r="AN264" i="12"/>
  <c r="AN265" i="12"/>
  <c r="AN266" i="12"/>
  <c r="AN267" i="12"/>
  <c r="AN268" i="12"/>
  <c r="AN269" i="12"/>
  <c r="AN270" i="12"/>
  <c r="AN271" i="12"/>
  <c r="AN272" i="12"/>
  <c r="AN273" i="12"/>
  <c r="AN274" i="12"/>
  <c r="AN275" i="12"/>
  <c r="AN276" i="12"/>
  <c r="AN277" i="12"/>
  <c r="AN278" i="12"/>
  <c r="AN279" i="12"/>
  <c r="AN280" i="12"/>
  <c r="AN281" i="12"/>
  <c r="AN282" i="12"/>
  <c r="AN283" i="12"/>
  <c r="AN284" i="12"/>
  <c r="AN285" i="12"/>
  <c r="AN286" i="12"/>
  <c r="AN287" i="12"/>
  <c r="AN288" i="12"/>
  <c r="AN289" i="12"/>
  <c r="AN290" i="12"/>
  <c r="AN291" i="12"/>
  <c r="AN292" i="12"/>
  <c r="AN293" i="12"/>
  <c r="AN294" i="12"/>
  <c r="AN295" i="12"/>
  <c r="AN296" i="12"/>
  <c r="AN297" i="12"/>
  <c r="AN298" i="12"/>
  <c r="AN299" i="12"/>
  <c r="AN300" i="12"/>
  <c r="AN301" i="12"/>
  <c r="AN302" i="12"/>
  <c r="AN303" i="12"/>
  <c r="AN304" i="12"/>
  <c r="AN305" i="12"/>
  <c r="AN306" i="12"/>
  <c r="AN307" i="12"/>
  <c r="AN308" i="12"/>
  <c r="AN309" i="12"/>
  <c r="AN310" i="12"/>
  <c r="AN311" i="12"/>
  <c r="AN312" i="12"/>
  <c r="AN313" i="12"/>
  <c r="AN314" i="12"/>
  <c r="AN315" i="12"/>
  <c r="AN316" i="12"/>
  <c r="AN317" i="12"/>
  <c r="AN318" i="12"/>
  <c r="AN319" i="12"/>
  <c r="AN320" i="12"/>
  <c r="AN321" i="12"/>
  <c r="AN322" i="12"/>
  <c r="AN323" i="12"/>
  <c r="AN324" i="12"/>
  <c r="AN325" i="12"/>
  <c r="AN326" i="12"/>
  <c r="AN327" i="12"/>
  <c r="AN328" i="12"/>
  <c r="AN329" i="12"/>
  <c r="AN330" i="12"/>
  <c r="AN331" i="12"/>
  <c r="AN332" i="12"/>
  <c r="AN333" i="12"/>
  <c r="AN334" i="12"/>
  <c r="AN335" i="12"/>
  <c r="AN336" i="12"/>
  <c r="AN337" i="12"/>
  <c r="AN338" i="12"/>
  <c r="AN339" i="12"/>
  <c r="AN340" i="12"/>
  <c r="AN341" i="12"/>
  <c r="AN342" i="12"/>
  <c r="AN343" i="12"/>
  <c r="AN344" i="12"/>
  <c r="AN345" i="12"/>
  <c r="AN346" i="12"/>
  <c r="AN347" i="12"/>
  <c r="AN348" i="12"/>
  <c r="AN349" i="12"/>
  <c r="AN350" i="12"/>
  <c r="AN351" i="12"/>
  <c r="AN352" i="12"/>
  <c r="AN353" i="12"/>
  <c r="AN354" i="12"/>
  <c r="AN355" i="12"/>
  <c r="AN356" i="12"/>
  <c r="AN357" i="12"/>
  <c r="AN358" i="12"/>
  <c r="AN359" i="12"/>
  <c r="AN360" i="12"/>
  <c r="AN361" i="12"/>
  <c r="AN362" i="12"/>
  <c r="AN363" i="12"/>
  <c r="AN364" i="12"/>
  <c r="AN365" i="12"/>
  <c r="AN366" i="12"/>
  <c r="AN367" i="12"/>
  <c r="AN368" i="12"/>
  <c r="AN369" i="12"/>
  <c r="AN370" i="12"/>
  <c r="AN371" i="12"/>
  <c r="AN372" i="12"/>
  <c r="AN373" i="12"/>
  <c r="AN374" i="12"/>
  <c r="AN375" i="12"/>
  <c r="AN376" i="12"/>
  <c r="AN377" i="12"/>
  <c r="AN378" i="12"/>
  <c r="AN379" i="12"/>
  <c r="AN380" i="12"/>
  <c r="AN381" i="12"/>
  <c r="AN382" i="12"/>
  <c r="AN383" i="12"/>
  <c r="AN384" i="12"/>
  <c r="AN385" i="12"/>
  <c r="AN386" i="12"/>
  <c r="AN387" i="12"/>
  <c r="AN388" i="12"/>
  <c r="AN389" i="12"/>
  <c r="AN390" i="12"/>
  <c r="AN391" i="12"/>
  <c r="AN392" i="12"/>
  <c r="AN393" i="12"/>
  <c r="AN394" i="12"/>
  <c r="AN395" i="12"/>
  <c r="AN396" i="12"/>
  <c r="AN397" i="12"/>
  <c r="AN398" i="12"/>
  <c r="AN399" i="12"/>
  <c r="AN400" i="12"/>
  <c r="AN401" i="12"/>
  <c r="AN402" i="12"/>
  <c r="AN403" i="12"/>
  <c r="AN404" i="12"/>
  <c r="AM192" i="12"/>
  <c r="AM193" i="12"/>
  <c r="AM194" i="12"/>
  <c r="AM195" i="12"/>
  <c r="AM196" i="12"/>
  <c r="AM197" i="12"/>
  <c r="AM198" i="12"/>
  <c r="AM199" i="12"/>
  <c r="AM200" i="12"/>
  <c r="AM201" i="12"/>
  <c r="AM202" i="12"/>
  <c r="AM203" i="12"/>
  <c r="AM204" i="12"/>
  <c r="AM205" i="12"/>
  <c r="AM206" i="12"/>
  <c r="AM207" i="12"/>
  <c r="AM208" i="12"/>
  <c r="AM209" i="12"/>
  <c r="AM210" i="12"/>
  <c r="AM211" i="12"/>
  <c r="AM212" i="12"/>
  <c r="AM213" i="12"/>
  <c r="AM214" i="12"/>
  <c r="AM215" i="12"/>
  <c r="AM216" i="12"/>
  <c r="AM217" i="12"/>
  <c r="AM218" i="12"/>
  <c r="AM219" i="12"/>
  <c r="AM220" i="12"/>
  <c r="AM221" i="12"/>
  <c r="AM222" i="12"/>
  <c r="AM223" i="12"/>
  <c r="AM224" i="12"/>
  <c r="AM225" i="12"/>
  <c r="AM226" i="12"/>
  <c r="AM227" i="12"/>
  <c r="AM228" i="12"/>
  <c r="AM229" i="12"/>
  <c r="AM230" i="12"/>
  <c r="AM231" i="12"/>
  <c r="AM232" i="12"/>
  <c r="AM233" i="12"/>
  <c r="AM234" i="12"/>
  <c r="AM235" i="12"/>
  <c r="AM236" i="12"/>
  <c r="AM237" i="12"/>
  <c r="AM238" i="12"/>
  <c r="AM239" i="12"/>
  <c r="AM240" i="12"/>
  <c r="AM241" i="12"/>
  <c r="AM242" i="12"/>
  <c r="AM243" i="12"/>
  <c r="AM244" i="12"/>
  <c r="AM245" i="12"/>
  <c r="AM246" i="12"/>
  <c r="AM247" i="12"/>
  <c r="AM248" i="12"/>
  <c r="AM249" i="12"/>
  <c r="AM250" i="12"/>
  <c r="AM251" i="12"/>
  <c r="AM252" i="12"/>
  <c r="AM253" i="12"/>
  <c r="AM254" i="12"/>
  <c r="AM255" i="12"/>
  <c r="AM256" i="12"/>
  <c r="AM257" i="12"/>
  <c r="AM258" i="12"/>
  <c r="AM259" i="12"/>
  <c r="AM260" i="12"/>
  <c r="AM261" i="12"/>
  <c r="AM262" i="12"/>
  <c r="AM263" i="12"/>
  <c r="AM264" i="12"/>
  <c r="AM265" i="12"/>
  <c r="AM266" i="12"/>
  <c r="AM267" i="12"/>
  <c r="AM268" i="12"/>
  <c r="AM269" i="12"/>
  <c r="AM270" i="12"/>
  <c r="AM271" i="12"/>
  <c r="AM272" i="12"/>
  <c r="AM273" i="12"/>
  <c r="AM274" i="12"/>
  <c r="AM275" i="12"/>
  <c r="AM276" i="12"/>
  <c r="AM277" i="12"/>
  <c r="AM278" i="12"/>
  <c r="AM279" i="12"/>
  <c r="AM280" i="12"/>
  <c r="AM281" i="12"/>
  <c r="AM282" i="12"/>
  <c r="AM283" i="12"/>
  <c r="AM284" i="12"/>
  <c r="AM285" i="12"/>
  <c r="AM286" i="12"/>
  <c r="AM287" i="12"/>
  <c r="AM288" i="12"/>
  <c r="AM289" i="12"/>
  <c r="AM290" i="12"/>
  <c r="AM291" i="12"/>
  <c r="AM292" i="12"/>
  <c r="AM293" i="12"/>
  <c r="AM294" i="12"/>
  <c r="AM295" i="12"/>
  <c r="AM296" i="12"/>
  <c r="AM297" i="12"/>
  <c r="AM298" i="12"/>
  <c r="AM299" i="12"/>
  <c r="AM300" i="12"/>
  <c r="AM301" i="12"/>
  <c r="AM302" i="12"/>
  <c r="AM303" i="12"/>
  <c r="AM304" i="12"/>
  <c r="AM305" i="12"/>
  <c r="AM306" i="12"/>
  <c r="AM307" i="12"/>
  <c r="AM308" i="12"/>
  <c r="AM309" i="12"/>
  <c r="AM310" i="12"/>
  <c r="AM311" i="12"/>
  <c r="AM312" i="12"/>
  <c r="AM313" i="12"/>
  <c r="AM314" i="12"/>
  <c r="AM315" i="12"/>
  <c r="AM316" i="12"/>
  <c r="AM317" i="12"/>
  <c r="AM318" i="12"/>
  <c r="AM319" i="12"/>
  <c r="AM320" i="12"/>
  <c r="AM321" i="12"/>
  <c r="AM322" i="12"/>
  <c r="AM323" i="12"/>
  <c r="AM324" i="12"/>
  <c r="AM325" i="12"/>
  <c r="AM326" i="12"/>
  <c r="AM327" i="12"/>
  <c r="AM328" i="12"/>
  <c r="AM329" i="12"/>
  <c r="AM330" i="12"/>
  <c r="AM331" i="12"/>
  <c r="AM332" i="12"/>
  <c r="AM333" i="12"/>
  <c r="AM334" i="12"/>
  <c r="AM335" i="12"/>
  <c r="AM336" i="12"/>
  <c r="AM337" i="12"/>
  <c r="AM338" i="12"/>
  <c r="AM339" i="12"/>
  <c r="AM340" i="12"/>
  <c r="AM341" i="12"/>
  <c r="AM342" i="12"/>
  <c r="AM343" i="12"/>
  <c r="AM344" i="12"/>
  <c r="AM345" i="12"/>
  <c r="AM346" i="12"/>
  <c r="AM347" i="12"/>
  <c r="AM348" i="12"/>
  <c r="AM349" i="12"/>
  <c r="AM350" i="12"/>
  <c r="AM351" i="12"/>
  <c r="AM352" i="12"/>
  <c r="AM353" i="12"/>
  <c r="AM354" i="12"/>
  <c r="AM355" i="12"/>
  <c r="AM356" i="12"/>
  <c r="AM357" i="12"/>
  <c r="AM358" i="12"/>
  <c r="AM359" i="12"/>
  <c r="AM360" i="12"/>
  <c r="AM361" i="12"/>
  <c r="AM362" i="12"/>
  <c r="AM363" i="12"/>
  <c r="AM364" i="12"/>
  <c r="AM365" i="12"/>
  <c r="AM366" i="12"/>
  <c r="AM367" i="12"/>
  <c r="AM368" i="12"/>
  <c r="AM369" i="12"/>
  <c r="AM370" i="12"/>
  <c r="AM371" i="12"/>
  <c r="AM372" i="12"/>
  <c r="AM373" i="12"/>
  <c r="AM374" i="12"/>
  <c r="AM375" i="12"/>
  <c r="AM376" i="12"/>
  <c r="AM377" i="12"/>
  <c r="AM378" i="12"/>
  <c r="AM379" i="12"/>
  <c r="AM380" i="12"/>
  <c r="AM381" i="12"/>
  <c r="AM382" i="12"/>
  <c r="AM383" i="12"/>
  <c r="AM384" i="12"/>
  <c r="AM385" i="12"/>
  <c r="AM386" i="12"/>
  <c r="AM387" i="12"/>
  <c r="AM388" i="12"/>
  <c r="AM389" i="12"/>
  <c r="AM390" i="12"/>
  <c r="AM391" i="12"/>
  <c r="AM392" i="12"/>
  <c r="AM393" i="12"/>
  <c r="AM394" i="12"/>
  <c r="AM395" i="12"/>
  <c r="AM396" i="12"/>
  <c r="AM397" i="12"/>
  <c r="AM398" i="12"/>
  <c r="AM399" i="12"/>
  <c r="AM400" i="12"/>
  <c r="AM401" i="12"/>
  <c r="AM402" i="12"/>
  <c r="AM403" i="12"/>
  <c r="AM404" i="12"/>
  <c r="AL362" i="12"/>
  <c r="AK192" i="12"/>
  <c r="AO192" i="12" s="1"/>
  <c r="AK193" i="12"/>
  <c r="AO193" i="12" s="1"/>
  <c r="AK194" i="12"/>
  <c r="AO194" i="12" s="1"/>
  <c r="AK195" i="12"/>
  <c r="AO195" i="12" s="1"/>
  <c r="AK196" i="12"/>
  <c r="AL196" i="12" s="1"/>
  <c r="AK197" i="12"/>
  <c r="AL197" i="12" s="1"/>
  <c r="AK198" i="12"/>
  <c r="AK199" i="12"/>
  <c r="AL199" i="12" s="1"/>
  <c r="AK200" i="12"/>
  <c r="AL200" i="12" s="1"/>
  <c r="AK201" i="12"/>
  <c r="AO201" i="12" s="1"/>
  <c r="AK202" i="12"/>
  <c r="AO202" i="12" s="1"/>
  <c r="AK203" i="12"/>
  <c r="AO203" i="12" s="1"/>
  <c r="AK204" i="12"/>
  <c r="AL204" i="12" s="1"/>
  <c r="AK205" i="12"/>
  <c r="AL205" i="12" s="1"/>
  <c r="AK206" i="12"/>
  <c r="AK207" i="12"/>
  <c r="AL207" i="12" s="1"/>
  <c r="AK208" i="12"/>
  <c r="AL208" i="12" s="1"/>
  <c r="AK209" i="12"/>
  <c r="AL209" i="12" s="1"/>
  <c r="AK210" i="12"/>
  <c r="AL210" i="12" s="1"/>
  <c r="AK211" i="12"/>
  <c r="AO211" i="12" s="1"/>
  <c r="AK212" i="12"/>
  <c r="AL212" i="12" s="1"/>
  <c r="AK213" i="12"/>
  <c r="AL213" i="12" s="1"/>
  <c r="AK214" i="12"/>
  <c r="AK215" i="12"/>
  <c r="AL215" i="12" s="1"/>
  <c r="AK216" i="12"/>
  <c r="AL216" i="12" s="1"/>
  <c r="AK217" i="12"/>
  <c r="AL217" i="12" s="1"/>
  <c r="AK218" i="12"/>
  <c r="AO218" i="12" s="1"/>
  <c r="AK219" i="12"/>
  <c r="AO219" i="12" s="1"/>
  <c r="AK220" i="12"/>
  <c r="AL220" i="12" s="1"/>
  <c r="AK221" i="12"/>
  <c r="AL221" i="12" s="1"/>
  <c r="AK222" i="12"/>
  <c r="AK223" i="12"/>
  <c r="AL223" i="12" s="1"/>
  <c r="AK224" i="12"/>
  <c r="AL224" i="12" s="1"/>
  <c r="AK225" i="12"/>
  <c r="AL225" i="12" s="1"/>
  <c r="AK226" i="12"/>
  <c r="AL226" i="12" s="1"/>
  <c r="AK227" i="12"/>
  <c r="AO227" i="12" s="1"/>
  <c r="AK228" i="12"/>
  <c r="AL228" i="12" s="1"/>
  <c r="AK229" i="12"/>
  <c r="AL229" i="12" s="1"/>
  <c r="AK230" i="12"/>
  <c r="AK231" i="12"/>
  <c r="AL231" i="12" s="1"/>
  <c r="AK232" i="12"/>
  <c r="AL232" i="12" s="1"/>
  <c r="AK233" i="12"/>
  <c r="AL233" i="12" s="1"/>
  <c r="AK234" i="12"/>
  <c r="AO234" i="12" s="1"/>
  <c r="AK235" i="12"/>
  <c r="AO235" i="12" s="1"/>
  <c r="AK236" i="12"/>
  <c r="AL236" i="12" s="1"/>
  <c r="AK237" i="12"/>
  <c r="AL237" i="12" s="1"/>
  <c r="AK238" i="12"/>
  <c r="AK239" i="12"/>
  <c r="AL239" i="12" s="1"/>
  <c r="AK240" i="12"/>
  <c r="AL240" i="12" s="1"/>
  <c r="AK241" i="12"/>
  <c r="AL241" i="12" s="1"/>
  <c r="AK242" i="12"/>
  <c r="AO242" i="12" s="1"/>
  <c r="AK243" i="12"/>
  <c r="AO243" i="12" s="1"/>
  <c r="AK244" i="12"/>
  <c r="AL244" i="12" s="1"/>
  <c r="AK245" i="12"/>
  <c r="AL245" i="12" s="1"/>
  <c r="AK246" i="12"/>
  <c r="AK247" i="12"/>
  <c r="AL247" i="12" s="1"/>
  <c r="AK248" i="12"/>
  <c r="AL248" i="12" s="1"/>
  <c r="AK249" i="12"/>
  <c r="AL249" i="12" s="1"/>
  <c r="AK250" i="12"/>
  <c r="AL250" i="12" s="1"/>
  <c r="AK251" i="12"/>
  <c r="AO251" i="12" s="1"/>
  <c r="AK252" i="12"/>
  <c r="AL252" i="12" s="1"/>
  <c r="AK253" i="12"/>
  <c r="AL253" i="12" s="1"/>
  <c r="AK254" i="12"/>
  <c r="AK255" i="12"/>
  <c r="AL255" i="12" s="1"/>
  <c r="AK256" i="12"/>
  <c r="AL256" i="12" s="1"/>
  <c r="AK257" i="12"/>
  <c r="AL257" i="12" s="1"/>
  <c r="AK258" i="12"/>
  <c r="AL258" i="12" s="1"/>
  <c r="AK259" i="12"/>
  <c r="AO259" i="12" s="1"/>
  <c r="AK260" i="12"/>
  <c r="AL260" i="12" s="1"/>
  <c r="AK261" i="12"/>
  <c r="AL261" i="12" s="1"/>
  <c r="AK262" i="12"/>
  <c r="AK263" i="12"/>
  <c r="AL263" i="12" s="1"/>
  <c r="AK264" i="12"/>
  <c r="AL264" i="12" s="1"/>
  <c r="AK265" i="12"/>
  <c r="AL265" i="12" s="1"/>
  <c r="AK266" i="12"/>
  <c r="AO266" i="12" s="1"/>
  <c r="AK267" i="12"/>
  <c r="AO267" i="12" s="1"/>
  <c r="AK268" i="12"/>
  <c r="AL268" i="12" s="1"/>
  <c r="AK269" i="12"/>
  <c r="AL269" i="12" s="1"/>
  <c r="AK270" i="12"/>
  <c r="AK271" i="12"/>
  <c r="AL271" i="12" s="1"/>
  <c r="AK272" i="12"/>
  <c r="AL272" i="12" s="1"/>
  <c r="AK273" i="12"/>
  <c r="AL273" i="12" s="1"/>
  <c r="AK274" i="12"/>
  <c r="AL274" i="12" s="1"/>
  <c r="AK275" i="12"/>
  <c r="AO275" i="12" s="1"/>
  <c r="AK276" i="12"/>
  <c r="AL276" i="12" s="1"/>
  <c r="AK277" i="12"/>
  <c r="AL277" i="12" s="1"/>
  <c r="AK278" i="12"/>
  <c r="AK279" i="12"/>
  <c r="AL279" i="12" s="1"/>
  <c r="AK280" i="12"/>
  <c r="AL280" i="12" s="1"/>
  <c r="AK281" i="12"/>
  <c r="AL281" i="12" s="1"/>
  <c r="AK282" i="12"/>
  <c r="AO282" i="12" s="1"/>
  <c r="AK283" i="12"/>
  <c r="AO283" i="12" s="1"/>
  <c r="AK284" i="12"/>
  <c r="AL284" i="12" s="1"/>
  <c r="AK285" i="12"/>
  <c r="AL285" i="12" s="1"/>
  <c r="AK286" i="12"/>
  <c r="AK287" i="12"/>
  <c r="AL287" i="12" s="1"/>
  <c r="AK288" i="12"/>
  <c r="AL288" i="12" s="1"/>
  <c r="AK289" i="12"/>
  <c r="AL289" i="12" s="1"/>
  <c r="AK290" i="12"/>
  <c r="AL290" i="12" s="1"/>
  <c r="AK291" i="12"/>
  <c r="AO291" i="12" s="1"/>
  <c r="AK292" i="12"/>
  <c r="AL292" i="12" s="1"/>
  <c r="AK293" i="12"/>
  <c r="AL293" i="12" s="1"/>
  <c r="AK294" i="12"/>
  <c r="AK295" i="12"/>
  <c r="AL295" i="12" s="1"/>
  <c r="AK296" i="12"/>
  <c r="AL296" i="12" s="1"/>
  <c r="AK297" i="12"/>
  <c r="AL297" i="12" s="1"/>
  <c r="AK298" i="12"/>
  <c r="AO298" i="12" s="1"/>
  <c r="AK299" i="12"/>
  <c r="AO299" i="12" s="1"/>
  <c r="AK300" i="12"/>
  <c r="AL300" i="12" s="1"/>
  <c r="AK301" i="12"/>
  <c r="AL301" i="12" s="1"/>
  <c r="AK302" i="12"/>
  <c r="AK303" i="12"/>
  <c r="AL303" i="12" s="1"/>
  <c r="AK304" i="12"/>
  <c r="AL304" i="12" s="1"/>
  <c r="AK305" i="12"/>
  <c r="AL305" i="12" s="1"/>
  <c r="AK306" i="12"/>
  <c r="AO306" i="12" s="1"/>
  <c r="AK307" i="12"/>
  <c r="AO307" i="12" s="1"/>
  <c r="AK308" i="12"/>
  <c r="AL308" i="12" s="1"/>
  <c r="AK309" i="12"/>
  <c r="AL309" i="12" s="1"/>
  <c r="AK310" i="12"/>
  <c r="AK311" i="12"/>
  <c r="AL311" i="12" s="1"/>
  <c r="AK312" i="12"/>
  <c r="AL312" i="12" s="1"/>
  <c r="AK313" i="12"/>
  <c r="AL313" i="12" s="1"/>
  <c r="AK314" i="12"/>
  <c r="AL314" i="12" s="1"/>
  <c r="AK315" i="12"/>
  <c r="AO315" i="12" s="1"/>
  <c r="AK316" i="12"/>
  <c r="AL316" i="12" s="1"/>
  <c r="AK317" i="12"/>
  <c r="AL317" i="12" s="1"/>
  <c r="AK318" i="12"/>
  <c r="AK319" i="12"/>
  <c r="AL319" i="12" s="1"/>
  <c r="AK320" i="12"/>
  <c r="AL320" i="12" s="1"/>
  <c r="AK321" i="12"/>
  <c r="AL321" i="12" s="1"/>
  <c r="AK322" i="12"/>
  <c r="AL322" i="12" s="1"/>
  <c r="AK323" i="12"/>
  <c r="AO323" i="12" s="1"/>
  <c r="AK324" i="12"/>
  <c r="AL324" i="12" s="1"/>
  <c r="AK325" i="12"/>
  <c r="AL325" i="12" s="1"/>
  <c r="AK326" i="12"/>
  <c r="AK327" i="12"/>
  <c r="AL327" i="12" s="1"/>
  <c r="AK328" i="12"/>
  <c r="AL328" i="12" s="1"/>
  <c r="AK329" i="12"/>
  <c r="AL329" i="12" s="1"/>
  <c r="AK330" i="12"/>
  <c r="AO330" i="12" s="1"/>
  <c r="AK331" i="12"/>
  <c r="AO331" i="12" s="1"/>
  <c r="AK332" i="12"/>
  <c r="AL332" i="12" s="1"/>
  <c r="AK333" i="12"/>
  <c r="AL333" i="12" s="1"/>
  <c r="AK334" i="12"/>
  <c r="AK335" i="12"/>
  <c r="AL335" i="12" s="1"/>
  <c r="AK336" i="12"/>
  <c r="AL336" i="12" s="1"/>
  <c r="AK337" i="12"/>
  <c r="AL337" i="12" s="1"/>
  <c r="AK338" i="12"/>
  <c r="AL338" i="12" s="1"/>
  <c r="AK339" i="12"/>
  <c r="AO339" i="12" s="1"/>
  <c r="AK340" i="12"/>
  <c r="AL340" i="12" s="1"/>
  <c r="AK341" i="12"/>
  <c r="AL341" i="12" s="1"/>
  <c r="AK342" i="12"/>
  <c r="AK343" i="12"/>
  <c r="AL343" i="12" s="1"/>
  <c r="AK344" i="12"/>
  <c r="AL344" i="12" s="1"/>
  <c r="AK345" i="12"/>
  <c r="AL345" i="12" s="1"/>
  <c r="AK346" i="12"/>
  <c r="AO346" i="12" s="1"/>
  <c r="AK347" i="12"/>
  <c r="AO347" i="12" s="1"/>
  <c r="AK348" i="12"/>
  <c r="AL348" i="12" s="1"/>
  <c r="AK349" i="12"/>
  <c r="AL349" i="12" s="1"/>
  <c r="AK350" i="12"/>
  <c r="AK351" i="12"/>
  <c r="AL351" i="12" s="1"/>
  <c r="AK352" i="12"/>
  <c r="AL352" i="12" s="1"/>
  <c r="AK353" i="12"/>
  <c r="AL353" i="12" s="1"/>
  <c r="AK354" i="12"/>
  <c r="AO354" i="12" s="1"/>
  <c r="AK355" i="12"/>
  <c r="AO355" i="12" s="1"/>
  <c r="AK356" i="12"/>
  <c r="AL356" i="12" s="1"/>
  <c r="AK357" i="12"/>
  <c r="AL357" i="12" s="1"/>
  <c r="AK358" i="12"/>
  <c r="AK359" i="12"/>
  <c r="AL359" i="12" s="1"/>
  <c r="AK360" i="12"/>
  <c r="AL360" i="12" s="1"/>
  <c r="AK361" i="12"/>
  <c r="AL361" i="12" s="1"/>
  <c r="AK362" i="12"/>
  <c r="AO362" i="12" s="1"/>
  <c r="AK363" i="12"/>
  <c r="AO363" i="12" s="1"/>
  <c r="AK364" i="12"/>
  <c r="AL364" i="12" s="1"/>
  <c r="AK365" i="12"/>
  <c r="AL365" i="12" s="1"/>
  <c r="AK366" i="12"/>
  <c r="AK367" i="12"/>
  <c r="AL367" i="12" s="1"/>
  <c r="AK368" i="12"/>
  <c r="AL368" i="12" s="1"/>
  <c r="AK369" i="12"/>
  <c r="AL369" i="12" s="1"/>
  <c r="AK370" i="12"/>
  <c r="AO370" i="12" s="1"/>
  <c r="AK371" i="12"/>
  <c r="AO371" i="12" s="1"/>
  <c r="AK372" i="12"/>
  <c r="AL372" i="12" s="1"/>
  <c r="AK373" i="12"/>
  <c r="AL373" i="12" s="1"/>
  <c r="AK374" i="12"/>
  <c r="AK375" i="12"/>
  <c r="AL375" i="12" s="1"/>
  <c r="AK376" i="12"/>
  <c r="AL376" i="12" s="1"/>
  <c r="AK377" i="12"/>
  <c r="AL377" i="12" s="1"/>
  <c r="AK378" i="12"/>
  <c r="AL378" i="12" s="1"/>
  <c r="AK379" i="12"/>
  <c r="AO379" i="12" s="1"/>
  <c r="AK380" i="12"/>
  <c r="AL380" i="12" s="1"/>
  <c r="AK381" i="12"/>
  <c r="AL381" i="12" s="1"/>
  <c r="AK382" i="12"/>
  <c r="AK383" i="12"/>
  <c r="AL383" i="12" s="1"/>
  <c r="AK384" i="12"/>
  <c r="AL384" i="12" s="1"/>
  <c r="AK385" i="12"/>
  <c r="AL385" i="12" s="1"/>
  <c r="AK386" i="12"/>
  <c r="AL386" i="12" s="1"/>
  <c r="AK387" i="12"/>
  <c r="AO387" i="12" s="1"/>
  <c r="AK388" i="12"/>
  <c r="AL388" i="12" s="1"/>
  <c r="AK389" i="12"/>
  <c r="AL389" i="12" s="1"/>
  <c r="AK390" i="12"/>
  <c r="AK391" i="12"/>
  <c r="AL391" i="12" s="1"/>
  <c r="AK392" i="12"/>
  <c r="AL392" i="12" s="1"/>
  <c r="AK393" i="12"/>
  <c r="AL393" i="12" s="1"/>
  <c r="AK394" i="12"/>
  <c r="AO394" i="12" s="1"/>
  <c r="AK395" i="12"/>
  <c r="AO395" i="12" s="1"/>
  <c r="AK396" i="12"/>
  <c r="AL396" i="12" s="1"/>
  <c r="AK397" i="12"/>
  <c r="AL397" i="12" s="1"/>
  <c r="AK398" i="12"/>
  <c r="AK399" i="12"/>
  <c r="AL399" i="12" s="1"/>
  <c r="AK400" i="12"/>
  <c r="AL400" i="12" s="1"/>
  <c r="AK401" i="12"/>
  <c r="AL401" i="12" s="1"/>
  <c r="AK402" i="12"/>
  <c r="AL402" i="12" s="1"/>
  <c r="AK403" i="12"/>
  <c r="AO403" i="12" s="1"/>
  <c r="AK404" i="12"/>
  <c r="AL404" i="12" s="1"/>
  <c r="AK3" i="12"/>
  <c r="AK4" i="12"/>
  <c r="AK5" i="12"/>
  <c r="AK6" i="12"/>
  <c r="AK7" i="12"/>
  <c r="AK8" i="12"/>
  <c r="AK9" i="12"/>
  <c r="AK10" i="12"/>
  <c r="AK11" i="12"/>
  <c r="AK12" i="12"/>
  <c r="AK13" i="12"/>
  <c r="AK14" i="12"/>
  <c r="AK15" i="12"/>
  <c r="AK16" i="12"/>
  <c r="AK17" i="12"/>
  <c r="AK18" i="12"/>
  <c r="AK19" i="12"/>
  <c r="AK20" i="12"/>
  <c r="AK21" i="12"/>
  <c r="AK22" i="12"/>
  <c r="AK23" i="12"/>
  <c r="AK24" i="12"/>
  <c r="AK25" i="12"/>
  <c r="AK26" i="12"/>
  <c r="AK27" i="12"/>
  <c r="AK28" i="12"/>
  <c r="AK29" i="12"/>
  <c r="AK30" i="12"/>
  <c r="AK31" i="12"/>
  <c r="AK32" i="12"/>
  <c r="AK33" i="12"/>
  <c r="AK34" i="12"/>
  <c r="AK35" i="12"/>
  <c r="AK36" i="12"/>
  <c r="AK37" i="12"/>
  <c r="AK38" i="12"/>
  <c r="AK39" i="12"/>
  <c r="AK40" i="12"/>
  <c r="AK41" i="12"/>
  <c r="AK42" i="12"/>
  <c r="AK43" i="12"/>
  <c r="AK44" i="12"/>
  <c r="AK45" i="12"/>
  <c r="AK46" i="12"/>
  <c r="AK47" i="12"/>
  <c r="AK48" i="12"/>
  <c r="AK49" i="12"/>
  <c r="AK50" i="12"/>
  <c r="AK51" i="12"/>
  <c r="AK52" i="12"/>
  <c r="AK53" i="12"/>
  <c r="AK54" i="12"/>
  <c r="AK55" i="12"/>
  <c r="AK56" i="12"/>
  <c r="AK57" i="12"/>
  <c r="AK58" i="12"/>
  <c r="AK59" i="12"/>
  <c r="AK60" i="12"/>
  <c r="AK61" i="12"/>
  <c r="AK62" i="12"/>
  <c r="AK63" i="12"/>
  <c r="AK64" i="12"/>
  <c r="AK65" i="12"/>
  <c r="AK66" i="12"/>
  <c r="AK67" i="12"/>
  <c r="AK68" i="12"/>
  <c r="AK69" i="12"/>
  <c r="AK70" i="12"/>
  <c r="AK71" i="12"/>
  <c r="AK72" i="12"/>
  <c r="AK73" i="12"/>
  <c r="AK74" i="12"/>
  <c r="AK75" i="12"/>
  <c r="AK76" i="12"/>
  <c r="AK77" i="12"/>
  <c r="AK78" i="12"/>
  <c r="AK79" i="12"/>
  <c r="AK80" i="12"/>
  <c r="AK81" i="12"/>
  <c r="AK82" i="12"/>
  <c r="AK83" i="12"/>
  <c r="AK84" i="12"/>
  <c r="AK85" i="12"/>
  <c r="AK86" i="12"/>
  <c r="AK87" i="12"/>
  <c r="AK88" i="12"/>
  <c r="AK89" i="12"/>
  <c r="AK90" i="12"/>
  <c r="AK91" i="12"/>
  <c r="AK92" i="12"/>
  <c r="AK93" i="12"/>
  <c r="AK94" i="12"/>
  <c r="AK95" i="12"/>
  <c r="AK96" i="12"/>
  <c r="AK97" i="12"/>
  <c r="AK98" i="12"/>
  <c r="AK99" i="12"/>
  <c r="AK100" i="12"/>
  <c r="AK101" i="12"/>
  <c r="AK102" i="12"/>
  <c r="AK103" i="12"/>
  <c r="AK104" i="12"/>
  <c r="AK105" i="12"/>
  <c r="AK106" i="12"/>
  <c r="AK107" i="12"/>
  <c r="AK108" i="12"/>
  <c r="AK109" i="12"/>
  <c r="AK110" i="12"/>
  <c r="AK111" i="12"/>
  <c r="AK112" i="12"/>
  <c r="AK113" i="12"/>
  <c r="AK114" i="12"/>
  <c r="AK115" i="12"/>
  <c r="AK116" i="12"/>
  <c r="AK117" i="12"/>
  <c r="AK118" i="12"/>
  <c r="AK119" i="12"/>
  <c r="AK120" i="12"/>
  <c r="AK121" i="12"/>
  <c r="AK122" i="12"/>
  <c r="AK123" i="12"/>
  <c r="AK124" i="12"/>
  <c r="AK125" i="12"/>
  <c r="AK126" i="12"/>
  <c r="AK127" i="12"/>
  <c r="AK128" i="12"/>
  <c r="AK129" i="12"/>
  <c r="AK130" i="12"/>
  <c r="AK131" i="12"/>
  <c r="AK132" i="12"/>
  <c r="AK133" i="12"/>
  <c r="AK134" i="12"/>
  <c r="AK135" i="12"/>
  <c r="AK136" i="12"/>
  <c r="AK137" i="12"/>
  <c r="AK138" i="12"/>
  <c r="AK139" i="12"/>
  <c r="AK140" i="12"/>
  <c r="AK141" i="12"/>
  <c r="AK142" i="12"/>
  <c r="AK143" i="12"/>
  <c r="AK144" i="12"/>
  <c r="AK145" i="12"/>
  <c r="AK146" i="12"/>
  <c r="AK147" i="12"/>
  <c r="AK148" i="12"/>
  <c r="AK149" i="12"/>
  <c r="AK150" i="12"/>
  <c r="AK151" i="12"/>
  <c r="AK152" i="12"/>
  <c r="AK153" i="12"/>
  <c r="AK154" i="12"/>
  <c r="AK155" i="12"/>
  <c r="AK156" i="12"/>
  <c r="AK157" i="12"/>
  <c r="AK158" i="12"/>
  <c r="AK159" i="12"/>
  <c r="AK160" i="12"/>
  <c r="AK161" i="12"/>
  <c r="AK162" i="12"/>
  <c r="AK163" i="12"/>
  <c r="AK164" i="12"/>
  <c r="AK165" i="12"/>
  <c r="AK166" i="12"/>
  <c r="AK167" i="12"/>
  <c r="AK168" i="12"/>
  <c r="AK169" i="12"/>
  <c r="AK170" i="12"/>
  <c r="AK171" i="12"/>
  <c r="AK172" i="12"/>
  <c r="AK173" i="12"/>
  <c r="AK174" i="12"/>
  <c r="AK175" i="12"/>
  <c r="AK176" i="12"/>
  <c r="AK177" i="12"/>
  <c r="AK178" i="12"/>
  <c r="AK179" i="12"/>
  <c r="AK180" i="12"/>
  <c r="AK181" i="12"/>
  <c r="AK182" i="12"/>
  <c r="AK183" i="12"/>
  <c r="AK184" i="12"/>
  <c r="AK185" i="12"/>
  <c r="AK186" i="12"/>
  <c r="AK187" i="12"/>
  <c r="AK188" i="12"/>
  <c r="AK189" i="12"/>
  <c r="AK190" i="12"/>
  <c r="AK191" i="12"/>
  <c r="AK2" i="12"/>
  <c r="AJ262" i="12"/>
  <c r="AI192" i="12"/>
  <c r="AI193" i="12"/>
  <c r="AI194" i="12"/>
  <c r="AI195" i="12"/>
  <c r="AI196" i="12"/>
  <c r="AI197" i="12"/>
  <c r="AI198" i="12"/>
  <c r="AI199" i="12"/>
  <c r="AI200" i="12"/>
  <c r="AI201" i="12"/>
  <c r="AI202" i="12"/>
  <c r="AI203" i="12"/>
  <c r="AI204" i="12"/>
  <c r="AI205" i="12"/>
  <c r="AI206" i="12"/>
  <c r="AI207" i="12"/>
  <c r="AI208" i="12"/>
  <c r="AI209" i="12"/>
  <c r="AI210" i="12"/>
  <c r="AI211" i="12"/>
  <c r="AI212" i="12"/>
  <c r="AI213" i="12"/>
  <c r="AI214" i="12"/>
  <c r="AI215" i="12"/>
  <c r="AI216" i="12"/>
  <c r="AI217" i="12"/>
  <c r="AI218" i="12"/>
  <c r="AI219" i="12"/>
  <c r="AI220" i="12"/>
  <c r="AI221" i="12"/>
  <c r="AI222" i="12"/>
  <c r="AI223" i="12"/>
  <c r="AI224" i="12"/>
  <c r="AI225" i="12"/>
  <c r="AI226" i="12"/>
  <c r="AI227" i="12"/>
  <c r="AI228" i="12"/>
  <c r="AI229" i="12"/>
  <c r="AI230" i="12"/>
  <c r="AI231" i="12"/>
  <c r="AI232" i="12"/>
  <c r="AI233" i="12"/>
  <c r="AI234" i="12"/>
  <c r="AI235" i="12"/>
  <c r="AI236" i="12"/>
  <c r="AI237" i="12"/>
  <c r="AI238" i="12"/>
  <c r="AI239" i="12"/>
  <c r="AI240" i="12"/>
  <c r="AI241" i="12"/>
  <c r="AI242" i="12"/>
  <c r="AI243" i="12"/>
  <c r="AI244" i="12"/>
  <c r="AI245" i="12"/>
  <c r="AI246" i="12"/>
  <c r="AI247" i="12"/>
  <c r="AI248" i="12"/>
  <c r="AI249" i="12"/>
  <c r="AI250" i="12"/>
  <c r="AI251" i="12"/>
  <c r="AI252" i="12"/>
  <c r="AI253" i="12"/>
  <c r="AI254" i="12"/>
  <c r="AI255" i="12"/>
  <c r="AI256" i="12"/>
  <c r="AI257" i="12"/>
  <c r="AI258" i="12"/>
  <c r="AI259" i="12"/>
  <c r="AI260" i="12"/>
  <c r="AI261" i="12"/>
  <c r="AI262" i="12"/>
  <c r="AI263" i="12"/>
  <c r="AI264" i="12"/>
  <c r="AI265" i="12"/>
  <c r="AI266" i="12"/>
  <c r="AI267" i="12"/>
  <c r="AI268" i="12"/>
  <c r="AI269" i="12"/>
  <c r="AI270" i="12"/>
  <c r="AI271" i="12"/>
  <c r="AI272" i="12"/>
  <c r="AI273" i="12"/>
  <c r="AI274" i="12"/>
  <c r="AI275" i="12"/>
  <c r="AI276" i="12"/>
  <c r="AI277" i="12"/>
  <c r="AI278" i="12"/>
  <c r="AI279" i="12"/>
  <c r="AI280" i="12"/>
  <c r="AI281" i="12"/>
  <c r="AI282" i="12"/>
  <c r="AI283" i="12"/>
  <c r="AI284" i="12"/>
  <c r="AI285" i="12"/>
  <c r="AI286" i="12"/>
  <c r="AI287" i="12"/>
  <c r="AI288" i="12"/>
  <c r="AI289" i="12"/>
  <c r="AI290" i="12"/>
  <c r="AI291" i="12"/>
  <c r="AI292" i="12"/>
  <c r="AI293" i="12"/>
  <c r="AI294" i="12"/>
  <c r="AI295" i="12"/>
  <c r="AI296" i="12"/>
  <c r="AI297" i="12"/>
  <c r="AI298" i="12"/>
  <c r="AI299" i="12"/>
  <c r="AI300" i="12"/>
  <c r="AI301" i="12"/>
  <c r="AI302" i="12"/>
  <c r="AI303" i="12"/>
  <c r="AI304" i="12"/>
  <c r="AI305" i="12"/>
  <c r="AI306" i="12"/>
  <c r="AI307" i="12"/>
  <c r="AI308" i="12"/>
  <c r="AI309" i="12"/>
  <c r="AI310" i="12"/>
  <c r="AI311" i="12"/>
  <c r="AI312" i="12"/>
  <c r="AI313" i="12"/>
  <c r="AI314" i="12"/>
  <c r="AI315" i="12"/>
  <c r="AI316" i="12"/>
  <c r="AI317" i="12"/>
  <c r="AI318" i="12"/>
  <c r="AI319" i="12"/>
  <c r="AI320" i="12"/>
  <c r="AI321" i="12"/>
  <c r="AI322" i="12"/>
  <c r="AI323" i="12"/>
  <c r="AI324" i="12"/>
  <c r="AI325" i="12"/>
  <c r="AI326" i="12"/>
  <c r="AI327" i="12"/>
  <c r="AI328" i="12"/>
  <c r="AI329" i="12"/>
  <c r="AI330" i="12"/>
  <c r="AI331" i="12"/>
  <c r="AI332" i="12"/>
  <c r="AI333" i="12"/>
  <c r="AI334" i="12"/>
  <c r="AI335" i="12"/>
  <c r="AI336" i="12"/>
  <c r="AI337" i="12"/>
  <c r="AI338" i="12"/>
  <c r="AI339" i="12"/>
  <c r="AI340" i="12"/>
  <c r="AI341" i="12"/>
  <c r="AI342" i="12"/>
  <c r="AI343" i="12"/>
  <c r="AI344" i="12"/>
  <c r="AI345" i="12"/>
  <c r="AI346" i="12"/>
  <c r="AI347" i="12"/>
  <c r="AI348" i="12"/>
  <c r="AI349" i="12"/>
  <c r="AI350" i="12"/>
  <c r="AI351" i="12"/>
  <c r="AI352" i="12"/>
  <c r="AI353" i="12"/>
  <c r="AI354" i="12"/>
  <c r="AI355" i="12"/>
  <c r="AI356" i="12"/>
  <c r="AI357" i="12"/>
  <c r="AI358" i="12"/>
  <c r="AI359" i="12"/>
  <c r="AI360" i="12"/>
  <c r="AI361" i="12"/>
  <c r="AI362" i="12"/>
  <c r="AI363" i="12"/>
  <c r="AI364" i="12"/>
  <c r="AI365" i="12"/>
  <c r="AI366" i="12"/>
  <c r="AI367" i="12"/>
  <c r="AI368" i="12"/>
  <c r="AI369" i="12"/>
  <c r="AI370" i="12"/>
  <c r="AI371" i="12"/>
  <c r="AI372" i="12"/>
  <c r="AI373" i="12"/>
  <c r="AI374" i="12"/>
  <c r="AI375" i="12"/>
  <c r="AI376" i="12"/>
  <c r="AI377" i="12"/>
  <c r="AI378" i="12"/>
  <c r="AI379" i="12"/>
  <c r="AI380" i="12"/>
  <c r="AI381" i="12"/>
  <c r="AI382" i="12"/>
  <c r="AI383" i="12"/>
  <c r="AI384" i="12"/>
  <c r="AI385" i="12"/>
  <c r="AI386" i="12"/>
  <c r="AI387" i="12"/>
  <c r="AI388" i="12"/>
  <c r="AI389" i="12"/>
  <c r="AI390" i="12"/>
  <c r="AI391" i="12"/>
  <c r="AI392" i="12"/>
  <c r="AI393" i="12"/>
  <c r="AI394" i="12"/>
  <c r="AI395" i="12"/>
  <c r="AI396" i="12"/>
  <c r="AI397" i="12"/>
  <c r="AI398" i="12"/>
  <c r="AI399" i="12"/>
  <c r="AI400" i="12"/>
  <c r="AI401" i="12"/>
  <c r="AI402" i="12"/>
  <c r="AI403" i="12"/>
  <c r="AI404" i="12"/>
  <c r="AH192" i="12"/>
  <c r="AH193" i="12"/>
  <c r="AH194" i="12"/>
  <c r="AH195" i="12"/>
  <c r="AH196" i="12"/>
  <c r="AH197" i="12"/>
  <c r="AH198" i="12"/>
  <c r="AH199" i="12"/>
  <c r="AH200" i="12"/>
  <c r="AH201" i="12"/>
  <c r="AH202" i="12"/>
  <c r="AH203" i="12"/>
  <c r="AH204" i="12"/>
  <c r="AH205" i="12"/>
  <c r="AH206" i="12"/>
  <c r="AH207" i="12"/>
  <c r="AH208" i="12"/>
  <c r="AH209" i="12"/>
  <c r="AH210" i="12"/>
  <c r="AH211" i="12"/>
  <c r="AH212" i="12"/>
  <c r="AH213" i="12"/>
  <c r="AH214" i="12"/>
  <c r="AH215" i="12"/>
  <c r="AH216" i="12"/>
  <c r="AH217" i="12"/>
  <c r="AH218" i="12"/>
  <c r="AH219" i="12"/>
  <c r="AH220" i="12"/>
  <c r="AH221" i="12"/>
  <c r="AH222" i="12"/>
  <c r="AH223" i="12"/>
  <c r="AH224" i="12"/>
  <c r="AH225" i="12"/>
  <c r="AH226" i="12"/>
  <c r="AH227" i="12"/>
  <c r="AH228" i="12"/>
  <c r="AH229" i="12"/>
  <c r="AH230" i="12"/>
  <c r="AH231" i="12"/>
  <c r="AH232" i="12"/>
  <c r="AH233" i="12"/>
  <c r="AH234" i="12"/>
  <c r="AH235" i="12"/>
  <c r="AH236" i="12"/>
  <c r="AH237" i="12"/>
  <c r="AH238" i="12"/>
  <c r="AH239" i="12"/>
  <c r="AH240" i="12"/>
  <c r="AH241" i="12"/>
  <c r="AH242" i="12"/>
  <c r="AH243" i="12"/>
  <c r="AH244" i="12"/>
  <c r="AH245" i="12"/>
  <c r="AH246" i="12"/>
  <c r="AH247" i="12"/>
  <c r="AH248" i="12"/>
  <c r="AH249" i="12"/>
  <c r="AH250" i="12"/>
  <c r="AH251" i="12"/>
  <c r="AH252" i="12"/>
  <c r="AH253" i="12"/>
  <c r="AH254" i="12"/>
  <c r="AH255" i="12"/>
  <c r="AH256" i="12"/>
  <c r="AH257" i="12"/>
  <c r="AH258" i="12"/>
  <c r="AH259" i="12"/>
  <c r="AH260" i="12"/>
  <c r="AH261" i="12"/>
  <c r="AH262" i="12"/>
  <c r="AH263" i="12"/>
  <c r="AH264" i="12"/>
  <c r="AH265" i="12"/>
  <c r="AH266" i="12"/>
  <c r="AH267" i="12"/>
  <c r="AH268" i="12"/>
  <c r="AH269" i="12"/>
  <c r="AH270" i="12"/>
  <c r="AH271" i="12"/>
  <c r="AH272" i="12"/>
  <c r="AH273" i="12"/>
  <c r="AH274" i="12"/>
  <c r="AH275" i="12"/>
  <c r="AH276" i="12"/>
  <c r="AH277" i="12"/>
  <c r="AH278" i="12"/>
  <c r="AH279" i="12"/>
  <c r="AH280" i="12"/>
  <c r="AH281" i="12"/>
  <c r="AH282" i="12"/>
  <c r="AH283" i="12"/>
  <c r="AH284" i="12"/>
  <c r="AH285" i="12"/>
  <c r="AH286" i="12"/>
  <c r="AH287" i="12"/>
  <c r="AH288" i="12"/>
  <c r="AH289" i="12"/>
  <c r="AH290" i="12"/>
  <c r="AH291" i="12"/>
  <c r="AH292" i="12"/>
  <c r="AH293" i="12"/>
  <c r="AH294" i="12"/>
  <c r="AH295" i="12"/>
  <c r="AH296" i="12"/>
  <c r="AH297" i="12"/>
  <c r="AH298" i="12"/>
  <c r="AH299" i="12"/>
  <c r="AH300" i="12"/>
  <c r="AH301" i="12"/>
  <c r="AH302" i="12"/>
  <c r="AH303" i="12"/>
  <c r="AH304" i="12"/>
  <c r="AH305" i="12"/>
  <c r="AH306" i="12"/>
  <c r="AH307" i="12"/>
  <c r="AH308" i="12"/>
  <c r="AH309" i="12"/>
  <c r="AH310" i="12"/>
  <c r="AH311" i="12"/>
  <c r="AH312" i="12"/>
  <c r="AH313" i="12"/>
  <c r="AH314" i="12"/>
  <c r="AH315" i="12"/>
  <c r="AH316" i="12"/>
  <c r="AH317" i="12"/>
  <c r="AH318" i="12"/>
  <c r="AH319" i="12"/>
  <c r="AH320" i="12"/>
  <c r="AH321" i="12"/>
  <c r="AH322" i="12"/>
  <c r="AH323" i="12"/>
  <c r="AH324" i="12"/>
  <c r="AH325" i="12"/>
  <c r="AH326" i="12"/>
  <c r="AH327" i="12"/>
  <c r="AH328" i="12"/>
  <c r="AH329" i="12"/>
  <c r="AH330" i="12"/>
  <c r="AH331" i="12"/>
  <c r="AH332" i="12"/>
  <c r="AH333" i="12"/>
  <c r="AH334" i="12"/>
  <c r="AH335" i="12"/>
  <c r="AH336" i="12"/>
  <c r="AH337" i="12"/>
  <c r="AH338" i="12"/>
  <c r="AH339" i="12"/>
  <c r="AH340" i="12"/>
  <c r="AH341" i="12"/>
  <c r="AH342" i="12"/>
  <c r="AH343" i="12"/>
  <c r="AH344" i="12"/>
  <c r="AH345" i="12"/>
  <c r="AH346" i="12"/>
  <c r="AH347" i="12"/>
  <c r="AH348" i="12"/>
  <c r="AH349" i="12"/>
  <c r="AH350" i="12"/>
  <c r="AH351" i="12"/>
  <c r="AH352" i="12"/>
  <c r="AH353" i="12"/>
  <c r="AH354" i="12"/>
  <c r="AH355" i="12"/>
  <c r="AH356" i="12"/>
  <c r="AH357" i="12"/>
  <c r="AH358" i="12"/>
  <c r="AH359" i="12"/>
  <c r="AH360" i="12"/>
  <c r="AH361" i="12"/>
  <c r="AH362" i="12"/>
  <c r="AH363" i="12"/>
  <c r="AH364" i="12"/>
  <c r="AH365" i="12"/>
  <c r="AH366" i="12"/>
  <c r="AH367" i="12"/>
  <c r="AH368" i="12"/>
  <c r="AH369" i="12"/>
  <c r="AH370" i="12"/>
  <c r="AH371" i="12"/>
  <c r="AH372" i="12"/>
  <c r="AH373" i="12"/>
  <c r="AH374" i="12"/>
  <c r="AH375" i="12"/>
  <c r="AH376" i="12"/>
  <c r="AH377" i="12"/>
  <c r="AH378" i="12"/>
  <c r="AH379" i="12"/>
  <c r="AH380" i="12"/>
  <c r="AH381" i="12"/>
  <c r="AH382" i="12"/>
  <c r="AH383" i="12"/>
  <c r="AH384" i="12"/>
  <c r="AH385" i="12"/>
  <c r="AH386" i="12"/>
  <c r="AH387" i="12"/>
  <c r="AH388" i="12"/>
  <c r="AH389" i="12"/>
  <c r="AH390" i="12"/>
  <c r="AH391" i="12"/>
  <c r="AH392" i="12"/>
  <c r="AH393" i="12"/>
  <c r="AH394" i="12"/>
  <c r="AH395" i="12"/>
  <c r="AH396" i="12"/>
  <c r="AH397" i="12"/>
  <c r="AH398" i="12"/>
  <c r="AH399" i="12"/>
  <c r="AH400" i="12"/>
  <c r="AH401" i="12"/>
  <c r="AH402" i="12"/>
  <c r="AH403" i="12"/>
  <c r="AH404" i="12"/>
  <c r="AF192" i="12"/>
  <c r="AJ192" i="12" s="1"/>
  <c r="AF193" i="12"/>
  <c r="AJ193" i="12" s="1"/>
  <c r="AF194" i="12"/>
  <c r="AF195" i="12"/>
  <c r="AG195" i="12" s="1"/>
  <c r="AF196" i="12"/>
  <c r="AJ196" i="12" s="1"/>
  <c r="AF197" i="12"/>
  <c r="AJ197" i="12" s="1"/>
  <c r="AF198" i="12"/>
  <c r="AG198" i="12" s="1"/>
  <c r="AF199" i="12"/>
  <c r="AJ199" i="12" s="1"/>
  <c r="AF200" i="12"/>
  <c r="AJ200" i="12" s="1"/>
  <c r="AF201" i="12"/>
  <c r="AJ201" i="12" s="1"/>
  <c r="AF202" i="12"/>
  <c r="AG202" i="12" s="1"/>
  <c r="AF203" i="12"/>
  <c r="AG203" i="12" s="1"/>
  <c r="AF204" i="12"/>
  <c r="AJ204" i="12" s="1"/>
  <c r="AF205" i="12"/>
  <c r="AJ205" i="12" s="1"/>
  <c r="AF206" i="12"/>
  <c r="AJ206" i="12" s="1"/>
  <c r="AF207" i="12"/>
  <c r="AJ207" i="12" s="1"/>
  <c r="AF208" i="12"/>
  <c r="AJ208" i="12" s="1"/>
  <c r="AF209" i="12"/>
  <c r="AJ209" i="12" s="1"/>
  <c r="AF210" i="12"/>
  <c r="AF211" i="12"/>
  <c r="AJ211" i="12" s="1"/>
  <c r="AF212" i="12"/>
  <c r="AJ212" i="12" s="1"/>
  <c r="AF213" i="12"/>
  <c r="AJ213" i="12" s="1"/>
  <c r="AF214" i="12"/>
  <c r="AJ214" i="12" s="1"/>
  <c r="AF215" i="12"/>
  <c r="AJ215" i="12" s="1"/>
  <c r="AF216" i="12"/>
  <c r="AJ216" i="12" s="1"/>
  <c r="AF217" i="12"/>
  <c r="AJ217" i="12" s="1"/>
  <c r="AF218" i="12"/>
  <c r="AF219" i="12"/>
  <c r="AF220" i="12"/>
  <c r="AJ220" i="12" s="1"/>
  <c r="AF221" i="12"/>
  <c r="AJ221" i="12" s="1"/>
  <c r="AF222" i="12"/>
  <c r="AJ222" i="12" s="1"/>
  <c r="AF223" i="12"/>
  <c r="AJ223" i="12" s="1"/>
  <c r="AF224" i="12"/>
  <c r="AJ224" i="12" s="1"/>
  <c r="AF225" i="12"/>
  <c r="AJ225" i="12" s="1"/>
  <c r="AF226" i="12"/>
  <c r="AF227" i="12"/>
  <c r="AJ227" i="12" s="1"/>
  <c r="AF228" i="12"/>
  <c r="AJ228" i="12" s="1"/>
  <c r="AF229" i="12"/>
  <c r="AJ229" i="12" s="1"/>
  <c r="AF230" i="12"/>
  <c r="AG230" i="12" s="1"/>
  <c r="AF231" i="12"/>
  <c r="AJ231" i="12" s="1"/>
  <c r="AF232" i="12"/>
  <c r="AJ232" i="12" s="1"/>
  <c r="AF233" i="12"/>
  <c r="AJ233" i="12" s="1"/>
  <c r="AF234" i="12"/>
  <c r="AF235" i="12"/>
  <c r="AG235" i="12" s="1"/>
  <c r="AF236" i="12"/>
  <c r="AJ236" i="12" s="1"/>
  <c r="AF237" i="12"/>
  <c r="AJ237" i="12" s="1"/>
  <c r="AF238" i="12"/>
  <c r="AJ238" i="12" s="1"/>
  <c r="AF239" i="12"/>
  <c r="AJ239" i="12" s="1"/>
  <c r="AF240" i="12"/>
  <c r="AJ240" i="12" s="1"/>
  <c r="AF241" i="12"/>
  <c r="AJ241" i="12" s="1"/>
  <c r="AF242" i="12"/>
  <c r="AF243" i="12"/>
  <c r="AG243" i="12" s="1"/>
  <c r="AF244" i="12"/>
  <c r="AJ244" i="12" s="1"/>
  <c r="AF245" i="12"/>
  <c r="AJ245" i="12" s="1"/>
  <c r="AF246" i="12"/>
  <c r="AJ246" i="12" s="1"/>
  <c r="AF247" i="12"/>
  <c r="AJ247" i="12" s="1"/>
  <c r="AF248" i="12"/>
  <c r="AJ248" i="12" s="1"/>
  <c r="AF249" i="12"/>
  <c r="AJ249" i="12" s="1"/>
  <c r="AF250" i="12"/>
  <c r="AF251" i="12"/>
  <c r="AF252" i="12"/>
  <c r="AJ252" i="12" s="1"/>
  <c r="AF253" i="12"/>
  <c r="AJ253" i="12" s="1"/>
  <c r="AF254" i="12"/>
  <c r="AJ254" i="12" s="1"/>
  <c r="AF255" i="12"/>
  <c r="AJ255" i="12" s="1"/>
  <c r="AF256" i="12"/>
  <c r="AJ256" i="12" s="1"/>
  <c r="AF257" i="12"/>
  <c r="AJ257" i="12" s="1"/>
  <c r="AF258" i="12"/>
  <c r="AF259" i="12"/>
  <c r="AG259" i="12" s="1"/>
  <c r="AF260" i="12"/>
  <c r="AJ260" i="12" s="1"/>
  <c r="AF261" i="12"/>
  <c r="AJ261" i="12" s="1"/>
  <c r="AF262" i="12"/>
  <c r="AG262" i="12" s="1"/>
  <c r="AF263" i="12"/>
  <c r="AJ263" i="12" s="1"/>
  <c r="AF264" i="12"/>
  <c r="AJ264" i="12" s="1"/>
  <c r="AF265" i="12"/>
  <c r="AJ265" i="12" s="1"/>
  <c r="AF266" i="12"/>
  <c r="AG266" i="12" s="1"/>
  <c r="AF267" i="12"/>
  <c r="AG267" i="12" s="1"/>
  <c r="AF268" i="12"/>
  <c r="AJ268" i="12" s="1"/>
  <c r="AF269" i="12"/>
  <c r="AJ269" i="12" s="1"/>
  <c r="AF270" i="12"/>
  <c r="AJ270" i="12" s="1"/>
  <c r="AF271" i="12"/>
  <c r="AJ271" i="12" s="1"/>
  <c r="AF272" i="12"/>
  <c r="AJ272" i="12" s="1"/>
  <c r="AF273" i="12"/>
  <c r="AJ273" i="12" s="1"/>
  <c r="AF274" i="12"/>
  <c r="AF275" i="12"/>
  <c r="AJ275" i="12" s="1"/>
  <c r="AF276" i="12"/>
  <c r="AJ276" i="12" s="1"/>
  <c r="AF277" i="12"/>
  <c r="AJ277" i="12" s="1"/>
  <c r="AF278" i="12"/>
  <c r="AJ278" i="12" s="1"/>
  <c r="AF279" i="12"/>
  <c r="AJ279" i="12" s="1"/>
  <c r="AF280" i="12"/>
  <c r="AJ280" i="12" s="1"/>
  <c r="AF281" i="12"/>
  <c r="AJ281" i="12" s="1"/>
  <c r="AF282" i="12"/>
  <c r="AF283" i="12"/>
  <c r="AF284" i="12"/>
  <c r="AJ284" i="12" s="1"/>
  <c r="AF285" i="12"/>
  <c r="AJ285" i="12" s="1"/>
  <c r="AF286" i="12"/>
  <c r="AG286" i="12" s="1"/>
  <c r="AF287" i="12"/>
  <c r="AJ287" i="12" s="1"/>
  <c r="AF288" i="12"/>
  <c r="AJ288" i="12" s="1"/>
  <c r="AF289" i="12"/>
  <c r="AJ289" i="12" s="1"/>
  <c r="AF290" i="12"/>
  <c r="AF291" i="12"/>
  <c r="AJ291" i="12" s="1"/>
  <c r="AF292" i="12"/>
  <c r="AJ292" i="12" s="1"/>
  <c r="AF293" i="12"/>
  <c r="AJ293" i="12" s="1"/>
  <c r="AF294" i="12"/>
  <c r="AJ294" i="12" s="1"/>
  <c r="AF295" i="12"/>
  <c r="AJ295" i="12" s="1"/>
  <c r="AF296" i="12"/>
  <c r="AJ296" i="12" s="1"/>
  <c r="AF297" i="12"/>
  <c r="AJ297" i="12" s="1"/>
  <c r="AF298" i="12"/>
  <c r="AF299" i="12"/>
  <c r="AG299" i="12" s="1"/>
  <c r="AF300" i="12"/>
  <c r="AJ300" i="12" s="1"/>
  <c r="AF301" i="12"/>
  <c r="AJ301" i="12" s="1"/>
  <c r="AF302" i="12"/>
  <c r="AJ302" i="12" s="1"/>
  <c r="AF303" i="12"/>
  <c r="AJ303" i="12" s="1"/>
  <c r="AF304" i="12"/>
  <c r="AJ304" i="12" s="1"/>
  <c r="AF305" i="12"/>
  <c r="AJ305" i="12" s="1"/>
  <c r="AF306" i="12"/>
  <c r="AF307" i="12"/>
  <c r="AF308" i="12"/>
  <c r="AJ308" i="12" s="1"/>
  <c r="AF309" i="12"/>
  <c r="AJ309" i="12" s="1"/>
  <c r="AF310" i="12"/>
  <c r="AJ310" i="12" s="1"/>
  <c r="AF311" i="12"/>
  <c r="AJ311" i="12" s="1"/>
  <c r="AF312" i="12"/>
  <c r="AJ312" i="12" s="1"/>
  <c r="AF313" i="12"/>
  <c r="AJ313" i="12" s="1"/>
  <c r="AF314" i="12"/>
  <c r="AF315" i="12"/>
  <c r="AF316" i="12"/>
  <c r="AJ316" i="12" s="1"/>
  <c r="AF317" i="12"/>
  <c r="AJ317" i="12" s="1"/>
  <c r="AF318" i="12"/>
  <c r="AJ318" i="12" s="1"/>
  <c r="AF319" i="12"/>
  <c r="AJ319" i="12" s="1"/>
  <c r="AF320" i="12"/>
  <c r="AJ320" i="12" s="1"/>
  <c r="AF321" i="12"/>
  <c r="AJ321" i="12" s="1"/>
  <c r="AF322" i="12"/>
  <c r="AF323" i="12"/>
  <c r="AG323" i="12" s="1"/>
  <c r="AF324" i="12"/>
  <c r="AJ324" i="12" s="1"/>
  <c r="AF325" i="12"/>
  <c r="AJ325" i="12" s="1"/>
  <c r="AF326" i="12"/>
  <c r="AJ326" i="12" s="1"/>
  <c r="AF327" i="12"/>
  <c r="AJ327" i="12" s="1"/>
  <c r="AF328" i="12"/>
  <c r="AJ328" i="12" s="1"/>
  <c r="AF329" i="12"/>
  <c r="AJ329" i="12" s="1"/>
  <c r="AF330" i="12"/>
  <c r="AG330" i="12" s="1"/>
  <c r="AF331" i="12"/>
  <c r="AG331" i="12" s="1"/>
  <c r="AF332" i="12"/>
  <c r="AJ332" i="12" s="1"/>
  <c r="AF333" i="12"/>
  <c r="AJ333" i="12" s="1"/>
  <c r="AF334" i="12"/>
  <c r="AJ334" i="12" s="1"/>
  <c r="AF335" i="12"/>
  <c r="AJ335" i="12" s="1"/>
  <c r="AF336" i="12"/>
  <c r="AJ336" i="12" s="1"/>
  <c r="AF337" i="12"/>
  <c r="AJ337" i="12" s="1"/>
  <c r="AF338" i="12"/>
  <c r="AF339" i="12"/>
  <c r="AJ339" i="12" s="1"/>
  <c r="AF340" i="12"/>
  <c r="AJ340" i="12" s="1"/>
  <c r="AF341" i="12"/>
  <c r="AJ341" i="12" s="1"/>
  <c r="AF342" i="12"/>
  <c r="AJ342" i="12" s="1"/>
  <c r="AF343" i="12"/>
  <c r="AJ343" i="12" s="1"/>
  <c r="AF344" i="12"/>
  <c r="AJ344" i="12" s="1"/>
  <c r="AF345" i="12"/>
  <c r="AJ345" i="12" s="1"/>
  <c r="AF346" i="12"/>
  <c r="AF347" i="12"/>
  <c r="AF348" i="12"/>
  <c r="AJ348" i="12" s="1"/>
  <c r="AF349" i="12"/>
  <c r="AG349" i="12" s="1"/>
  <c r="AF350" i="12"/>
  <c r="AJ350" i="12" s="1"/>
  <c r="AF351" i="12"/>
  <c r="AJ351" i="12" s="1"/>
  <c r="AF352" i="12"/>
  <c r="AG352" i="12" s="1"/>
  <c r="AF353" i="12"/>
  <c r="AG353" i="12" s="1"/>
  <c r="AF354" i="12"/>
  <c r="AF355" i="12"/>
  <c r="AG355" i="12" s="1"/>
  <c r="AF356" i="12"/>
  <c r="AG356" i="12" s="1"/>
  <c r="AF357" i="12"/>
  <c r="AG357" i="12" s="1"/>
  <c r="AF358" i="12"/>
  <c r="AJ358" i="12" s="1"/>
  <c r="AF359" i="12"/>
  <c r="AJ359" i="12" s="1"/>
  <c r="AF360" i="12"/>
  <c r="AG360" i="12" s="1"/>
  <c r="AF361" i="12"/>
  <c r="AG361" i="12" s="1"/>
  <c r="AF362" i="12"/>
  <c r="AF363" i="12"/>
  <c r="AG363" i="12" s="1"/>
  <c r="AF364" i="12"/>
  <c r="AG364" i="12" s="1"/>
  <c r="AF365" i="12"/>
  <c r="AG365" i="12" s="1"/>
  <c r="AF366" i="12"/>
  <c r="AJ366" i="12" s="1"/>
  <c r="AF367" i="12"/>
  <c r="AJ367" i="12" s="1"/>
  <c r="AF368" i="12"/>
  <c r="AG368" i="12" s="1"/>
  <c r="AF369" i="12"/>
  <c r="AG369" i="12" s="1"/>
  <c r="AF370" i="12"/>
  <c r="AF371" i="12"/>
  <c r="AG371" i="12" s="1"/>
  <c r="AF372" i="12"/>
  <c r="AG372" i="12" s="1"/>
  <c r="AF373" i="12"/>
  <c r="AG373" i="12" s="1"/>
  <c r="AF374" i="12"/>
  <c r="AJ374" i="12" s="1"/>
  <c r="AF375" i="12"/>
  <c r="AJ375" i="12" s="1"/>
  <c r="AF376" i="12"/>
  <c r="AG376" i="12" s="1"/>
  <c r="AF377" i="12"/>
  <c r="AF378" i="12"/>
  <c r="AF379" i="12"/>
  <c r="AG379" i="12" s="1"/>
  <c r="AF380" i="12"/>
  <c r="AG380" i="12" s="1"/>
  <c r="AF381" i="12"/>
  <c r="AG381" i="12" s="1"/>
  <c r="AF382" i="12"/>
  <c r="AJ382" i="12" s="1"/>
  <c r="AF383" i="12"/>
  <c r="AJ383" i="12" s="1"/>
  <c r="AF384" i="12"/>
  <c r="AG384" i="12" s="1"/>
  <c r="AF385" i="12"/>
  <c r="AF386" i="12"/>
  <c r="AF387" i="12"/>
  <c r="AG387" i="12" s="1"/>
  <c r="AF388" i="12"/>
  <c r="AG388" i="12" s="1"/>
  <c r="AF389" i="12"/>
  <c r="AG389" i="12" s="1"/>
  <c r="AF390" i="12"/>
  <c r="AJ390" i="12" s="1"/>
  <c r="AF391" i="12"/>
  <c r="AJ391" i="12" s="1"/>
  <c r="AF392" i="12"/>
  <c r="AG392" i="12" s="1"/>
  <c r="AF393" i="12"/>
  <c r="AF394" i="12"/>
  <c r="AF395" i="12"/>
  <c r="AG395" i="12" s="1"/>
  <c r="AF396" i="12"/>
  <c r="AG396" i="12" s="1"/>
  <c r="AF397" i="12"/>
  <c r="AG397" i="12" s="1"/>
  <c r="AF398" i="12"/>
  <c r="AJ398" i="12" s="1"/>
  <c r="AF399" i="12"/>
  <c r="AJ399" i="12" s="1"/>
  <c r="AF400" i="12"/>
  <c r="AG400" i="12" s="1"/>
  <c r="AF401" i="12"/>
  <c r="AF402" i="12"/>
  <c r="AF403" i="12"/>
  <c r="AG403" i="12" s="1"/>
  <c r="AF404" i="12"/>
  <c r="AJ404" i="12" s="1"/>
  <c r="AF3" i="12"/>
  <c r="AF4" i="12"/>
  <c r="AF5" i="12"/>
  <c r="AF6" i="12"/>
  <c r="AF7" i="12"/>
  <c r="AF8" i="12"/>
  <c r="AF9" i="12"/>
  <c r="AF10" i="12"/>
  <c r="AF11" i="12"/>
  <c r="AF12" i="12"/>
  <c r="AF13" i="12"/>
  <c r="AF14" i="12"/>
  <c r="AF15" i="12"/>
  <c r="AF16" i="12"/>
  <c r="AF17" i="12"/>
  <c r="AF18" i="12"/>
  <c r="AF19" i="12"/>
  <c r="AF20" i="12"/>
  <c r="AF21" i="12"/>
  <c r="AF22" i="12"/>
  <c r="AF23" i="12"/>
  <c r="AF24" i="12"/>
  <c r="AF25" i="12"/>
  <c r="AF26" i="12"/>
  <c r="AF27" i="12"/>
  <c r="AF28" i="12"/>
  <c r="AF29" i="12"/>
  <c r="AF30" i="12"/>
  <c r="AF31" i="12"/>
  <c r="AF32" i="12"/>
  <c r="AF33" i="12"/>
  <c r="AF34" i="12"/>
  <c r="AF35" i="12"/>
  <c r="AF36" i="12"/>
  <c r="AF37" i="12"/>
  <c r="AF38" i="12"/>
  <c r="AF39" i="12"/>
  <c r="AF40" i="12"/>
  <c r="AF41" i="12"/>
  <c r="AF42" i="12"/>
  <c r="AF43" i="12"/>
  <c r="AF44" i="12"/>
  <c r="AF45" i="12"/>
  <c r="AF46" i="12"/>
  <c r="AF47" i="12"/>
  <c r="AF48" i="12"/>
  <c r="AF49" i="12"/>
  <c r="AF50" i="12"/>
  <c r="AF51" i="12"/>
  <c r="AF52" i="12"/>
  <c r="AF53" i="12"/>
  <c r="AF54" i="12"/>
  <c r="AF55" i="12"/>
  <c r="AF56" i="12"/>
  <c r="AF57" i="12"/>
  <c r="AF58" i="12"/>
  <c r="AF59" i="12"/>
  <c r="AF60" i="12"/>
  <c r="AF61" i="12"/>
  <c r="AF62" i="12"/>
  <c r="AF63" i="12"/>
  <c r="AF64" i="12"/>
  <c r="AF65" i="12"/>
  <c r="AF66" i="12"/>
  <c r="AF67" i="12"/>
  <c r="AF68" i="12"/>
  <c r="AF69" i="12"/>
  <c r="AF70" i="12"/>
  <c r="AF71" i="12"/>
  <c r="AF72" i="12"/>
  <c r="AF73" i="12"/>
  <c r="AF74" i="12"/>
  <c r="AF75" i="12"/>
  <c r="AF76" i="12"/>
  <c r="AF77" i="12"/>
  <c r="AF78" i="12"/>
  <c r="AF79" i="12"/>
  <c r="AF80" i="12"/>
  <c r="AF81" i="12"/>
  <c r="AF82" i="12"/>
  <c r="AF83" i="12"/>
  <c r="AF84" i="12"/>
  <c r="AF85" i="12"/>
  <c r="AF86" i="12"/>
  <c r="AF87" i="12"/>
  <c r="AF88" i="12"/>
  <c r="AF89" i="12"/>
  <c r="AF90" i="12"/>
  <c r="AF91" i="12"/>
  <c r="AF92" i="12"/>
  <c r="AF93" i="12"/>
  <c r="AF94" i="12"/>
  <c r="AF95" i="12"/>
  <c r="AF96" i="12"/>
  <c r="AF97" i="12"/>
  <c r="AF98" i="12"/>
  <c r="AF99" i="12"/>
  <c r="AF100" i="12"/>
  <c r="AF101" i="12"/>
  <c r="AF102" i="12"/>
  <c r="AF103" i="12"/>
  <c r="AF104" i="12"/>
  <c r="AF105" i="12"/>
  <c r="AF106" i="12"/>
  <c r="AF107" i="12"/>
  <c r="AF108" i="12"/>
  <c r="AF109" i="12"/>
  <c r="AF110" i="12"/>
  <c r="AF111" i="12"/>
  <c r="AF112" i="12"/>
  <c r="AF113" i="12"/>
  <c r="AF114" i="12"/>
  <c r="AF115" i="12"/>
  <c r="AF116" i="12"/>
  <c r="AF117" i="12"/>
  <c r="AF118" i="12"/>
  <c r="AF119" i="12"/>
  <c r="AF120" i="12"/>
  <c r="AF121" i="12"/>
  <c r="AF122" i="12"/>
  <c r="AF123" i="12"/>
  <c r="AF124" i="12"/>
  <c r="AF125" i="12"/>
  <c r="AF126" i="12"/>
  <c r="AF127" i="12"/>
  <c r="AF128" i="12"/>
  <c r="AF129" i="12"/>
  <c r="AF130" i="12"/>
  <c r="AF131" i="12"/>
  <c r="AF132" i="12"/>
  <c r="AF133" i="12"/>
  <c r="AF134" i="12"/>
  <c r="AF135" i="12"/>
  <c r="AF136" i="12"/>
  <c r="AF137" i="12"/>
  <c r="AF138" i="12"/>
  <c r="AF139" i="12"/>
  <c r="AF140" i="12"/>
  <c r="AF141" i="12"/>
  <c r="AF142" i="12"/>
  <c r="AF143" i="12"/>
  <c r="AF144" i="12"/>
  <c r="AF145" i="12"/>
  <c r="AF146" i="12"/>
  <c r="AF147" i="12"/>
  <c r="AF148" i="12"/>
  <c r="AF149" i="12"/>
  <c r="AF150" i="12"/>
  <c r="AF151" i="12"/>
  <c r="AF152" i="12"/>
  <c r="AF153" i="12"/>
  <c r="AF154" i="12"/>
  <c r="AF155" i="12"/>
  <c r="AF156" i="12"/>
  <c r="AF157" i="12"/>
  <c r="AF158" i="12"/>
  <c r="AF159" i="12"/>
  <c r="AF160" i="12"/>
  <c r="AF161" i="12"/>
  <c r="AF162" i="12"/>
  <c r="AF163" i="12"/>
  <c r="AF164" i="12"/>
  <c r="AF165" i="12"/>
  <c r="AF166" i="12"/>
  <c r="AF167" i="12"/>
  <c r="AF168" i="12"/>
  <c r="AF169" i="12"/>
  <c r="AF170" i="12"/>
  <c r="AF171" i="12"/>
  <c r="AF172" i="12"/>
  <c r="AF173" i="12"/>
  <c r="AF174" i="12"/>
  <c r="AF175" i="12"/>
  <c r="AF176" i="12"/>
  <c r="AF177" i="12"/>
  <c r="AF178" i="12"/>
  <c r="AF179" i="12"/>
  <c r="AF180" i="12"/>
  <c r="AF181" i="12"/>
  <c r="AF182" i="12"/>
  <c r="AF183" i="12"/>
  <c r="AF184" i="12"/>
  <c r="AF185" i="12"/>
  <c r="AF186" i="12"/>
  <c r="AF187" i="12"/>
  <c r="AF188" i="12"/>
  <c r="AF189" i="12"/>
  <c r="AF190" i="12"/>
  <c r="AF191" i="12"/>
  <c r="AF2" i="12"/>
  <c r="AD192" i="12"/>
  <c r="AD193" i="12"/>
  <c r="AD194" i="12"/>
  <c r="AD195" i="12"/>
  <c r="AD196" i="12"/>
  <c r="AD197" i="12"/>
  <c r="AD198" i="12"/>
  <c r="AD199" i="12"/>
  <c r="AD200" i="12"/>
  <c r="AD201" i="12"/>
  <c r="AD202" i="12"/>
  <c r="AD203" i="12"/>
  <c r="AD204" i="12"/>
  <c r="AD205" i="12"/>
  <c r="AD206" i="12"/>
  <c r="AD207" i="12"/>
  <c r="AD208" i="12"/>
  <c r="AD209" i="12"/>
  <c r="AD210" i="12"/>
  <c r="AD211" i="12"/>
  <c r="AD212" i="12"/>
  <c r="AD213" i="12"/>
  <c r="AD214" i="12"/>
  <c r="AD215" i="12"/>
  <c r="AD216" i="12"/>
  <c r="AD217" i="12"/>
  <c r="AD218" i="12"/>
  <c r="AD219" i="12"/>
  <c r="AD220" i="12"/>
  <c r="AD221" i="12"/>
  <c r="AD222" i="12"/>
  <c r="AD223" i="12"/>
  <c r="AD224" i="12"/>
  <c r="AD225" i="12"/>
  <c r="AD226" i="12"/>
  <c r="AD227" i="12"/>
  <c r="AD228" i="12"/>
  <c r="AD229" i="12"/>
  <c r="AD230" i="12"/>
  <c r="AD231" i="12"/>
  <c r="AD232" i="12"/>
  <c r="AD233" i="12"/>
  <c r="AD234" i="12"/>
  <c r="AD235" i="12"/>
  <c r="AD236" i="12"/>
  <c r="AD237" i="12"/>
  <c r="AD238" i="12"/>
  <c r="AD239" i="12"/>
  <c r="AD240" i="12"/>
  <c r="AD241" i="12"/>
  <c r="AD242" i="12"/>
  <c r="AD243" i="12"/>
  <c r="AD244" i="12"/>
  <c r="AD245" i="12"/>
  <c r="AD246" i="12"/>
  <c r="AD247" i="12"/>
  <c r="AD248" i="12"/>
  <c r="AD249" i="12"/>
  <c r="AD250" i="12"/>
  <c r="AD251" i="12"/>
  <c r="AD252" i="12"/>
  <c r="AD253" i="12"/>
  <c r="AD254" i="12"/>
  <c r="AD255" i="12"/>
  <c r="AD256" i="12"/>
  <c r="AD257" i="12"/>
  <c r="AD258" i="12"/>
  <c r="AD259" i="12"/>
  <c r="AD260" i="12"/>
  <c r="AD261" i="12"/>
  <c r="AD262" i="12"/>
  <c r="AD263" i="12"/>
  <c r="AD264" i="12"/>
  <c r="AD265" i="12"/>
  <c r="AD266" i="12"/>
  <c r="AD267" i="12"/>
  <c r="AD268" i="12"/>
  <c r="AD269" i="12"/>
  <c r="AD270" i="12"/>
  <c r="AD271" i="12"/>
  <c r="AD272" i="12"/>
  <c r="AD273" i="12"/>
  <c r="AD274" i="12"/>
  <c r="AD275" i="12"/>
  <c r="AD276" i="12"/>
  <c r="AD277" i="12"/>
  <c r="AD278" i="12"/>
  <c r="AD279" i="12"/>
  <c r="AD280" i="12"/>
  <c r="AD281" i="12"/>
  <c r="AD282" i="12"/>
  <c r="AD283" i="12"/>
  <c r="AD284" i="12"/>
  <c r="AD285" i="12"/>
  <c r="AD286" i="12"/>
  <c r="AD287" i="12"/>
  <c r="AD288" i="12"/>
  <c r="AD289" i="12"/>
  <c r="AD290" i="12"/>
  <c r="AD291" i="12"/>
  <c r="AD292" i="12"/>
  <c r="AD293" i="12"/>
  <c r="AD294" i="12"/>
  <c r="AD295" i="12"/>
  <c r="AD296" i="12"/>
  <c r="AD297" i="12"/>
  <c r="AD298" i="12"/>
  <c r="AD299" i="12"/>
  <c r="AD300" i="12"/>
  <c r="AD301" i="12"/>
  <c r="AD302" i="12"/>
  <c r="AD303" i="12"/>
  <c r="AD304" i="12"/>
  <c r="AD305" i="12"/>
  <c r="AD306" i="12"/>
  <c r="AD307" i="12"/>
  <c r="AD308" i="12"/>
  <c r="AD309" i="12"/>
  <c r="AD310" i="12"/>
  <c r="AD311" i="12"/>
  <c r="AD312" i="12"/>
  <c r="AD313" i="12"/>
  <c r="AD314" i="12"/>
  <c r="AD315" i="12"/>
  <c r="AD316" i="12"/>
  <c r="AD317" i="12"/>
  <c r="AD318" i="12"/>
  <c r="AD319" i="12"/>
  <c r="AD320" i="12"/>
  <c r="AD321" i="12"/>
  <c r="AD322" i="12"/>
  <c r="AD323" i="12"/>
  <c r="AD324" i="12"/>
  <c r="AD325" i="12"/>
  <c r="AD326" i="12"/>
  <c r="AD327" i="12"/>
  <c r="AD328" i="12"/>
  <c r="AD329" i="12"/>
  <c r="AD330" i="12"/>
  <c r="AD331" i="12"/>
  <c r="AD332" i="12"/>
  <c r="AD333" i="12"/>
  <c r="AD334" i="12"/>
  <c r="AD335" i="12"/>
  <c r="AD336" i="12"/>
  <c r="AD337" i="12"/>
  <c r="AD338" i="12"/>
  <c r="AD339" i="12"/>
  <c r="AD340" i="12"/>
  <c r="AD341" i="12"/>
  <c r="AD342" i="12"/>
  <c r="AD343" i="12"/>
  <c r="AD344" i="12"/>
  <c r="AD345" i="12"/>
  <c r="AD346" i="12"/>
  <c r="AD347" i="12"/>
  <c r="AD348" i="12"/>
  <c r="AD349" i="12"/>
  <c r="AD350" i="12"/>
  <c r="AD351" i="12"/>
  <c r="AD352" i="12"/>
  <c r="AD353" i="12"/>
  <c r="AD354" i="12"/>
  <c r="AD355" i="12"/>
  <c r="AD356" i="12"/>
  <c r="AD357" i="12"/>
  <c r="AD358" i="12"/>
  <c r="AD359" i="12"/>
  <c r="AD360" i="12"/>
  <c r="AD361" i="12"/>
  <c r="AD362" i="12"/>
  <c r="AD363" i="12"/>
  <c r="AD364" i="12"/>
  <c r="AD365" i="12"/>
  <c r="AD366" i="12"/>
  <c r="AD367" i="12"/>
  <c r="AD368" i="12"/>
  <c r="AD369" i="12"/>
  <c r="AD370" i="12"/>
  <c r="AD371" i="12"/>
  <c r="AD372" i="12"/>
  <c r="AD373" i="12"/>
  <c r="AD374" i="12"/>
  <c r="AD375" i="12"/>
  <c r="AD376" i="12"/>
  <c r="AD377" i="12"/>
  <c r="AD378" i="12"/>
  <c r="AD379" i="12"/>
  <c r="AD380" i="12"/>
  <c r="AD381" i="12"/>
  <c r="AD382" i="12"/>
  <c r="AD383" i="12"/>
  <c r="AD384" i="12"/>
  <c r="AD385" i="12"/>
  <c r="AD386" i="12"/>
  <c r="AD387" i="12"/>
  <c r="AD388" i="12"/>
  <c r="AD389" i="12"/>
  <c r="AD390" i="12"/>
  <c r="AD391" i="12"/>
  <c r="AD392" i="12"/>
  <c r="AD393" i="12"/>
  <c r="AD394" i="12"/>
  <c r="AD395" i="12"/>
  <c r="AD396" i="12"/>
  <c r="AD397" i="12"/>
  <c r="AD398" i="12"/>
  <c r="AD399" i="12"/>
  <c r="AD400" i="12"/>
  <c r="AD401" i="12"/>
  <c r="AD402" i="12"/>
  <c r="AD403" i="12"/>
  <c r="AD404" i="12"/>
  <c r="AC192" i="12"/>
  <c r="AC193" i="12"/>
  <c r="AC194" i="12"/>
  <c r="AC195" i="12"/>
  <c r="AC196" i="12"/>
  <c r="AC197" i="12"/>
  <c r="AC198" i="12"/>
  <c r="AC199" i="12"/>
  <c r="AC200" i="12"/>
  <c r="AC201" i="12"/>
  <c r="AC202" i="12"/>
  <c r="AC203" i="12"/>
  <c r="AC204" i="12"/>
  <c r="AC205" i="12"/>
  <c r="AC206" i="12"/>
  <c r="AC207" i="12"/>
  <c r="AC208" i="12"/>
  <c r="AC209" i="12"/>
  <c r="AC210" i="12"/>
  <c r="AC211" i="12"/>
  <c r="AC212" i="12"/>
  <c r="AC213" i="12"/>
  <c r="AC214" i="12"/>
  <c r="AC215" i="12"/>
  <c r="AC216" i="12"/>
  <c r="AC217" i="12"/>
  <c r="AC218" i="12"/>
  <c r="AC219" i="12"/>
  <c r="AC220" i="12"/>
  <c r="AC221" i="12"/>
  <c r="AC222" i="12"/>
  <c r="AC223" i="12"/>
  <c r="AC224" i="12"/>
  <c r="AC225" i="12"/>
  <c r="AC226" i="12"/>
  <c r="AC227" i="12"/>
  <c r="AC228" i="12"/>
  <c r="AC229" i="12"/>
  <c r="AC230" i="12"/>
  <c r="AC231" i="12"/>
  <c r="AC232" i="12"/>
  <c r="AC233" i="12"/>
  <c r="AC234" i="12"/>
  <c r="AC235" i="12"/>
  <c r="AC236" i="12"/>
  <c r="AC237" i="12"/>
  <c r="AC238" i="12"/>
  <c r="AC239" i="12"/>
  <c r="AC240" i="12"/>
  <c r="AC241" i="12"/>
  <c r="AC242" i="12"/>
  <c r="AC243" i="12"/>
  <c r="AC244" i="12"/>
  <c r="AC245" i="12"/>
  <c r="AC246" i="12"/>
  <c r="AC247" i="12"/>
  <c r="AC248" i="12"/>
  <c r="AC249" i="12"/>
  <c r="AC250" i="12"/>
  <c r="AC251" i="12"/>
  <c r="AC252" i="12"/>
  <c r="AC253" i="12"/>
  <c r="AC254" i="12"/>
  <c r="AC255" i="12"/>
  <c r="AC256" i="12"/>
  <c r="AC257" i="12"/>
  <c r="AC258" i="12"/>
  <c r="AC259" i="12"/>
  <c r="AC260" i="12"/>
  <c r="AC261" i="12"/>
  <c r="AC262" i="12"/>
  <c r="AC263" i="12"/>
  <c r="AC264" i="12"/>
  <c r="AC265" i="12"/>
  <c r="AC266" i="12"/>
  <c r="AC267" i="12"/>
  <c r="AC268" i="12"/>
  <c r="AC269" i="12"/>
  <c r="AC270" i="12"/>
  <c r="AC271" i="12"/>
  <c r="AC272" i="12"/>
  <c r="AC273" i="12"/>
  <c r="AC274" i="12"/>
  <c r="AC275" i="12"/>
  <c r="AC276" i="12"/>
  <c r="AC277" i="12"/>
  <c r="AC278" i="12"/>
  <c r="AC279" i="12"/>
  <c r="AC280" i="12"/>
  <c r="AC281" i="12"/>
  <c r="AC282" i="12"/>
  <c r="AC283" i="12"/>
  <c r="AC284" i="12"/>
  <c r="AC285" i="12"/>
  <c r="AC286" i="12"/>
  <c r="AC287" i="12"/>
  <c r="AC288" i="12"/>
  <c r="AC289" i="12"/>
  <c r="AC290" i="12"/>
  <c r="AC291" i="12"/>
  <c r="AC292" i="12"/>
  <c r="AC293" i="12"/>
  <c r="AC294" i="12"/>
  <c r="AC295" i="12"/>
  <c r="AC296" i="12"/>
  <c r="AC297" i="12"/>
  <c r="AC298" i="12"/>
  <c r="AC299" i="12"/>
  <c r="AC300" i="12"/>
  <c r="AC301" i="12"/>
  <c r="AC302" i="12"/>
  <c r="AC303" i="12"/>
  <c r="AC304" i="12"/>
  <c r="AC305" i="12"/>
  <c r="AC306" i="12"/>
  <c r="AC307" i="12"/>
  <c r="AC308" i="12"/>
  <c r="AC309" i="12"/>
  <c r="AC310" i="12"/>
  <c r="AC311" i="12"/>
  <c r="AC312" i="12"/>
  <c r="AC313" i="12"/>
  <c r="AC314" i="12"/>
  <c r="AC315" i="12"/>
  <c r="AC316" i="12"/>
  <c r="AC317" i="12"/>
  <c r="AC318" i="12"/>
  <c r="AC319" i="12"/>
  <c r="AC320" i="12"/>
  <c r="AC321" i="12"/>
  <c r="AC322" i="12"/>
  <c r="AC323" i="12"/>
  <c r="AC324" i="12"/>
  <c r="AC325" i="12"/>
  <c r="AC326" i="12"/>
  <c r="AC327" i="12"/>
  <c r="AC328" i="12"/>
  <c r="AC329" i="12"/>
  <c r="AC330" i="12"/>
  <c r="AC331" i="12"/>
  <c r="AC332" i="12"/>
  <c r="AC333" i="12"/>
  <c r="AC334" i="12"/>
  <c r="AC335" i="12"/>
  <c r="AC336" i="12"/>
  <c r="AC337" i="12"/>
  <c r="AC338" i="12"/>
  <c r="AC339" i="12"/>
  <c r="AC340" i="12"/>
  <c r="AC341" i="12"/>
  <c r="AC342" i="12"/>
  <c r="AC343" i="12"/>
  <c r="AC344" i="12"/>
  <c r="AC345" i="12"/>
  <c r="AC346" i="12"/>
  <c r="AC347" i="12"/>
  <c r="AC348" i="12"/>
  <c r="AC349" i="12"/>
  <c r="AC350" i="12"/>
  <c r="AC351" i="12"/>
  <c r="AC352" i="12"/>
  <c r="AC353" i="12"/>
  <c r="AC354" i="12"/>
  <c r="AC355" i="12"/>
  <c r="AC356" i="12"/>
  <c r="AC357" i="12"/>
  <c r="AC358" i="12"/>
  <c r="AC359" i="12"/>
  <c r="AC360" i="12"/>
  <c r="AC361" i="12"/>
  <c r="AC362" i="12"/>
  <c r="AC363" i="12"/>
  <c r="AC364" i="12"/>
  <c r="AC365" i="12"/>
  <c r="AC366" i="12"/>
  <c r="AC367" i="12"/>
  <c r="AC368" i="12"/>
  <c r="AC369" i="12"/>
  <c r="AC370" i="12"/>
  <c r="AC371" i="12"/>
  <c r="AC372" i="12"/>
  <c r="AC373" i="12"/>
  <c r="AC374" i="12"/>
  <c r="AC375" i="12"/>
  <c r="AC376" i="12"/>
  <c r="AC377" i="12"/>
  <c r="AC378" i="12"/>
  <c r="AC379" i="12"/>
  <c r="AC380" i="12"/>
  <c r="AC381" i="12"/>
  <c r="AC382" i="12"/>
  <c r="AC383" i="12"/>
  <c r="AC384" i="12"/>
  <c r="AC385" i="12"/>
  <c r="AC386" i="12"/>
  <c r="AC387" i="12"/>
  <c r="AC388" i="12"/>
  <c r="AC389" i="12"/>
  <c r="AC390" i="12"/>
  <c r="AC391" i="12"/>
  <c r="AC392" i="12"/>
  <c r="AC393" i="12"/>
  <c r="AC394" i="12"/>
  <c r="AC395" i="12"/>
  <c r="AC396" i="12"/>
  <c r="AC397" i="12"/>
  <c r="AC398" i="12"/>
  <c r="AC399" i="12"/>
  <c r="AC400" i="12"/>
  <c r="AC401" i="12"/>
  <c r="AC402" i="12"/>
  <c r="AC403" i="12"/>
  <c r="AC404" i="12"/>
  <c r="AA192" i="12"/>
  <c r="AE192" i="12" s="1"/>
  <c r="AA193" i="12"/>
  <c r="AE193" i="12" s="1"/>
  <c r="AA194" i="12"/>
  <c r="AA195" i="12"/>
  <c r="AA196" i="12"/>
  <c r="AA197" i="12"/>
  <c r="AB197" i="12" s="1"/>
  <c r="AA198" i="12"/>
  <c r="AB198" i="12" s="1"/>
  <c r="AA199" i="12"/>
  <c r="AE199" i="12" s="1"/>
  <c r="AA200" i="12"/>
  <c r="AE200" i="12" s="1"/>
  <c r="AA201" i="12"/>
  <c r="AA202" i="12"/>
  <c r="AA203" i="12"/>
  <c r="AA204" i="12"/>
  <c r="AA205" i="12"/>
  <c r="AA206" i="12"/>
  <c r="AB206" i="12" s="1"/>
  <c r="AA207" i="12"/>
  <c r="AB207" i="12" s="1"/>
  <c r="AA208" i="12"/>
  <c r="AE208" i="12" s="1"/>
  <c r="AA209" i="12"/>
  <c r="AA210" i="12"/>
  <c r="AA211" i="12"/>
  <c r="AA212" i="12"/>
  <c r="AA213" i="12"/>
  <c r="AA214" i="12"/>
  <c r="AB214" i="12" s="1"/>
  <c r="AA215" i="12"/>
  <c r="AB215" i="12" s="1"/>
  <c r="AA216" i="12"/>
  <c r="AE216" i="12" s="1"/>
  <c r="AA217" i="12"/>
  <c r="AA218" i="12"/>
  <c r="AA219" i="12"/>
  <c r="AA220" i="12"/>
  <c r="AA221" i="12"/>
  <c r="AA222" i="12"/>
  <c r="AB222" i="12" s="1"/>
  <c r="AA223" i="12"/>
  <c r="AB223" i="12" s="1"/>
  <c r="AA224" i="12"/>
  <c r="AE224" i="12" s="1"/>
  <c r="AA225" i="12"/>
  <c r="AA226" i="12"/>
  <c r="AA227" i="12"/>
  <c r="AA228" i="12"/>
  <c r="AA229" i="12"/>
  <c r="AA230" i="12"/>
  <c r="AB230" i="12" s="1"/>
  <c r="AA231" i="12"/>
  <c r="AE231" i="12" s="1"/>
  <c r="AA232" i="12"/>
  <c r="AE232" i="12" s="1"/>
  <c r="AA233" i="12"/>
  <c r="AA234" i="12"/>
  <c r="AA235" i="12"/>
  <c r="AA236" i="12"/>
  <c r="AA237" i="12"/>
  <c r="AA238" i="12"/>
  <c r="AB238" i="12" s="1"/>
  <c r="AA239" i="12"/>
  <c r="AB239" i="12" s="1"/>
  <c r="AA240" i="12"/>
  <c r="AE240" i="12" s="1"/>
  <c r="AA241" i="12"/>
  <c r="AA242" i="12"/>
  <c r="AA243" i="12"/>
  <c r="AA244" i="12"/>
  <c r="AA245" i="12"/>
  <c r="AA246" i="12"/>
  <c r="AB246" i="12" s="1"/>
  <c r="AA247" i="12"/>
  <c r="AB247" i="12" s="1"/>
  <c r="AA248" i="12"/>
  <c r="AE248" i="12" s="1"/>
  <c r="AA249" i="12"/>
  <c r="AA250" i="12"/>
  <c r="AA251" i="12"/>
  <c r="AA252" i="12"/>
  <c r="AA253" i="12"/>
  <c r="AA254" i="12"/>
  <c r="AB254" i="12" s="1"/>
  <c r="AA255" i="12"/>
  <c r="AB255" i="12" s="1"/>
  <c r="AA256" i="12"/>
  <c r="AE256" i="12" s="1"/>
  <c r="AA257" i="12"/>
  <c r="AA258" i="12"/>
  <c r="AA259" i="12"/>
  <c r="AA260" i="12"/>
  <c r="AA261" i="12"/>
  <c r="AA262" i="12"/>
  <c r="AB262" i="12" s="1"/>
  <c r="AA263" i="12"/>
  <c r="AE263" i="12" s="1"/>
  <c r="AA264" i="12"/>
  <c r="AE264" i="12" s="1"/>
  <c r="AA265" i="12"/>
  <c r="AA266" i="12"/>
  <c r="AA267" i="12"/>
  <c r="AA268" i="12"/>
  <c r="AA269" i="12"/>
  <c r="AA270" i="12"/>
  <c r="AB270" i="12" s="1"/>
  <c r="AA271" i="12"/>
  <c r="AB271" i="12" s="1"/>
  <c r="AA272" i="12"/>
  <c r="AE272" i="12" s="1"/>
  <c r="AA273" i="12"/>
  <c r="AA274" i="12"/>
  <c r="AA275" i="12"/>
  <c r="AA276" i="12"/>
  <c r="AA277" i="12"/>
  <c r="AA278" i="12"/>
  <c r="AB278" i="12" s="1"/>
  <c r="AA279" i="12"/>
  <c r="AB279" i="12" s="1"/>
  <c r="AA280" i="12"/>
  <c r="AE280" i="12" s="1"/>
  <c r="AA281" i="12"/>
  <c r="AA282" i="12"/>
  <c r="AA283" i="12"/>
  <c r="AA284" i="12"/>
  <c r="AA285" i="12"/>
  <c r="AA286" i="12"/>
  <c r="AB286" i="12" s="1"/>
  <c r="AA287" i="12"/>
  <c r="AB287" i="12" s="1"/>
  <c r="AA288" i="12"/>
  <c r="AE288" i="12" s="1"/>
  <c r="AA289" i="12"/>
  <c r="AA290" i="12"/>
  <c r="AA291" i="12"/>
  <c r="AA292" i="12"/>
  <c r="AA293" i="12"/>
  <c r="AA294" i="12"/>
  <c r="AB294" i="12" s="1"/>
  <c r="AA295" i="12"/>
  <c r="AE295" i="12" s="1"/>
  <c r="AA296" i="12"/>
  <c r="AE296" i="12" s="1"/>
  <c r="AA297" i="12"/>
  <c r="AA298" i="12"/>
  <c r="AA299" i="12"/>
  <c r="AA300" i="12"/>
  <c r="AA301" i="12"/>
  <c r="AA302" i="12"/>
  <c r="AB302" i="12" s="1"/>
  <c r="AA303" i="12"/>
  <c r="AB303" i="12" s="1"/>
  <c r="AA304" i="12"/>
  <c r="AE304" i="12" s="1"/>
  <c r="AA305" i="12"/>
  <c r="AA306" i="12"/>
  <c r="AA307" i="12"/>
  <c r="AA308" i="12"/>
  <c r="AA309" i="12"/>
  <c r="AA310" i="12"/>
  <c r="AB310" i="12" s="1"/>
  <c r="AA311" i="12"/>
  <c r="AB311" i="12" s="1"/>
  <c r="AA312" i="12"/>
  <c r="AE312" i="12" s="1"/>
  <c r="AA313" i="12"/>
  <c r="AA314" i="12"/>
  <c r="AA315" i="12"/>
  <c r="AA316" i="12"/>
  <c r="AA317" i="12"/>
  <c r="AA318" i="12"/>
  <c r="AB318" i="12" s="1"/>
  <c r="AA319" i="12"/>
  <c r="AB319" i="12" s="1"/>
  <c r="AA320" i="12"/>
  <c r="AE320" i="12" s="1"/>
  <c r="AA321" i="12"/>
  <c r="AA322" i="12"/>
  <c r="AA323" i="12"/>
  <c r="AA324" i="12"/>
  <c r="AA325" i="12"/>
  <c r="AA326" i="12"/>
  <c r="AB326" i="12" s="1"/>
  <c r="AA327" i="12"/>
  <c r="AE327" i="12" s="1"/>
  <c r="AA328" i="12"/>
  <c r="AE328" i="12" s="1"/>
  <c r="AA329" i="12"/>
  <c r="AA330" i="12"/>
  <c r="AA331" i="12"/>
  <c r="AA332" i="12"/>
  <c r="AA333" i="12"/>
  <c r="AA334" i="12"/>
  <c r="AB334" i="12" s="1"/>
  <c r="AA335" i="12"/>
  <c r="AB335" i="12" s="1"/>
  <c r="AA336" i="12"/>
  <c r="AE336" i="12" s="1"/>
  <c r="AA337" i="12"/>
  <c r="AA338" i="12"/>
  <c r="AA339" i="12"/>
  <c r="AA340" i="12"/>
  <c r="AA341" i="12"/>
  <c r="AA342" i="12"/>
  <c r="AB342" i="12" s="1"/>
  <c r="AA343" i="12"/>
  <c r="AB343" i="12" s="1"/>
  <c r="AA344" i="12"/>
  <c r="AE344" i="12" s="1"/>
  <c r="AA345" i="12"/>
  <c r="AA346" i="12"/>
  <c r="AA347" i="12"/>
  <c r="AA348" i="12"/>
  <c r="AA349" i="12"/>
  <c r="AA350" i="12"/>
  <c r="AB350" i="12" s="1"/>
  <c r="AA351" i="12"/>
  <c r="AB351" i="12" s="1"/>
  <c r="AA352" i="12"/>
  <c r="AE352" i="12" s="1"/>
  <c r="AA353" i="12"/>
  <c r="AA354" i="12"/>
  <c r="AA355" i="12"/>
  <c r="AA356" i="12"/>
  <c r="AA357" i="12"/>
  <c r="AA358" i="12"/>
  <c r="AB358" i="12" s="1"/>
  <c r="AA359" i="12"/>
  <c r="AE359" i="12" s="1"/>
  <c r="AA360" i="12"/>
  <c r="AE360" i="12" s="1"/>
  <c r="AA361" i="12"/>
  <c r="AA362" i="12"/>
  <c r="AA363" i="12"/>
  <c r="AA364" i="12"/>
  <c r="AA365" i="12"/>
  <c r="AA366" i="12"/>
  <c r="AB366" i="12" s="1"/>
  <c r="AA367" i="12"/>
  <c r="AB367" i="12" s="1"/>
  <c r="AA368" i="12"/>
  <c r="AE368" i="12" s="1"/>
  <c r="AA369" i="12"/>
  <c r="AA370" i="12"/>
  <c r="AA371" i="12"/>
  <c r="AA372" i="12"/>
  <c r="AA373" i="12"/>
  <c r="AA374" i="12"/>
  <c r="AB374" i="12" s="1"/>
  <c r="AA375" i="12"/>
  <c r="AB375" i="12" s="1"/>
  <c r="AA376" i="12"/>
  <c r="AE376" i="12" s="1"/>
  <c r="AA377" i="12"/>
  <c r="AA378" i="12"/>
  <c r="AA379" i="12"/>
  <c r="AA380" i="12"/>
  <c r="AA381" i="12"/>
  <c r="AA382" i="12"/>
  <c r="AB382" i="12" s="1"/>
  <c r="AA383" i="12"/>
  <c r="AB383" i="12" s="1"/>
  <c r="AA384" i="12"/>
  <c r="AE384" i="12" s="1"/>
  <c r="AA385" i="12"/>
  <c r="AA386" i="12"/>
  <c r="AA387" i="12"/>
  <c r="AA388" i="12"/>
  <c r="AA389" i="12"/>
  <c r="AA390" i="12"/>
  <c r="AB390" i="12" s="1"/>
  <c r="AA391" i="12"/>
  <c r="AE391" i="12" s="1"/>
  <c r="AA392" i="12"/>
  <c r="AE392" i="12" s="1"/>
  <c r="AA393" i="12"/>
  <c r="AA394" i="12"/>
  <c r="AA395" i="12"/>
  <c r="AA396" i="12"/>
  <c r="AA397" i="12"/>
  <c r="AA398" i="12"/>
  <c r="AB398" i="12" s="1"/>
  <c r="AA399" i="12"/>
  <c r="AB399" i="12" s="1"/>
  <c r="AA400" i="12"/>
  <c r="AE400" i="12" s="1"/>
  <c r="AA401" i="12"/>
  <c r="AA402" i="12"/>
  <c r="AA403" i="12"/>
  <c r="AA404" i="12"/>
  <c r="AA3" i="12"/>
  <c r="AA4" i="12"/>
  <c r="AA5" i="12"/>
  <c r="AA6" i="12"/>
  <c r="AA7" i="12"/>
  <c r="AA8" i="12"/>
  <c r="AA9" i="12"/>
  <c r="AA10" i="12"/>
  <c r="AA11" i="12"/>
  <c r="AA12" i="12"/>
  <c r="AA13" i="12"/>
  <c r="AA14" i="12"/>
  <c r="AA15" i="12"/>
  <c r="AA16" i="12"/>
  <c r="AA17" i="12"/>
  <c r="AA18" i="12"/>
  <c r="AA19" i="12"/>
  <c r="AA20" i="12"/>
  <c r="AA21" i="12"/>
  <c r="AA22" i="12"/>
  <c r="AA23" i="12"/>
  <c r="AA24" i="12"/>
  <c r="AA25" i="12"/>
  <c r="AA26" i="12"/>
  <c r="AA27" i="12"/>
  <c r="AA28" i="12"/>
  <c r="AA29" i="12"/>
  <c r="AA30" i="12"/>
  <c r="AA31" i="12"/>
  <c r="AA32" i="12"/>
  <c r="AA33" i="12"/>
  <c r="AA34" i="12"/>
  <c r="AA35" i="12"/>
  <c r="AA36" i="12"/>
  <c r="AA37" i="12"/>
  <c r="AA38" i="12"/>
  <c r="AA39" i="12"/>
  <c r="AA40" i="12"/>
  <c r="AA41" i="12"/>
  <c r="AA42" i="12"/>
  <c r="AA43" i="12"/>
  <c r="AA44" i="12"/>
  <c r="AA45" i="12"/>
  <c r="AA46" i="12"/>
  <c r="AA47" i="12"/>
  <c r="AA48" i="12"/>
  <c r="AA49" i="12"/>
  <c r="AA50" i="12"/>
  <c r="AA51" i="12"/>
  <c r="AA52" i="12"/>
  <c r="AA53" i="12"/>
  <c r="AA54" i="12"/>
  <c r="AA55" i="12"/>
  <c r="AA56" i="12"/>
  <c r="AA57" i="12"/>
  <c r="AA58" i="12"/>
  <c r="AA59" i="12"/>
  <c r="AA60" i="12"/>
  <c r="AA61" i="12"/>
  <c r="AA62" i="12"/>
  <c r="AA63" i="12"/>
  <c r="AA64" i="12"/>
  <c r="AA65" i="12"/>
  <c r="AA66" i="12"/>
  <c r="AA67" i="12"/>
  <c r="AA68" i="12"/>
  <c r="AA69" i="12"/>
  <c r="AA70" i="12"/>
  <c r="AA71" i="12"/>
  <c r="AA72" i="12"/>
  <c r="AA73" i="12"/>
  <c r="AA74" i="12"/>
  <c r="AA75" i="12"/>
  <c r="AA76" i="12"/>
  <c r="AA77" i="12"/>
  <c r="AA78" i="12"/>
  <c r="AA79" i="12"/>
  <c r="AA80" i="12"/>
  <c r="AA81" i="12"/>
  <c r="AA82" i="12"/>
  <c r="AA83" i="12"/>
  <c r="AA84" i="12"/>
  <c r="AA85" i="12"/>
  <c r="AA86" i="12"/>
  <c r="AA87" i="12"/>
  <c r="AA88" i="12"/>
  <c r="AA89" i="12"/>
  <c r="AA90" i="12"/>
  <c r="AA91" i="12"/>
  <c r="AA92" i="12"/>
  <c r="AA93" i="12"/>
  <c r="AA94" i="12"/>
  <c r="AA95" i="12"/>
  <c r="AA96" i="12"/>
  <c r="AA97" i="12"/>
  <c r="AA98" i="12"/>
  <c r="AA99" i="12"/>
  <c r="AA100" i="12"/>
  <c r="AA101" i="12"/>
  <c r="AA102" i="12"/>
  <c r="AA103" i="12"/>
  <c r="AA104" i="12"/>
  <c r="AA105" i="12"/>
  <c r="AA106" i="12"/>
  <c r="AA107" i="12"/>
  <c r="AA108" i="12"/>
  <c r="AA109" i="12"/>
  <c r="AA110" i="12"/>
  <c r="AA111" i="12"/>
  <c r="AA112" i="12"/>
  <c r="AA113" i="12"/>
  <c r="AA114" i="12"/>
  <c r="AA115" i="12"/>
  <c r="AA116" i="12"/>
  <c r="AA117" i="12"/>
  <c r="AA118" i="12"/>
  <c r="AA119" i="12"/>
  <c r="AA120" i="12"/>
  <c r="AA121" i="12"/>
  <c r="AA122" i="12"/>
  <c r="AA123" i="12"/>
  <c r="AA124" i="12"/>
  <c r="AA125" i="12"/>
  <c r="AA126" i="12"/>
  <c r="AA127" i="12"/>
  <c r="AA128" i="12"/>
  <c r="AA129" i="12"/>
  <c r="AA130" i="12"/>
  <c r="AA131" i="12"/>
  <c r="AA132" i="12"/>
  <c r="AA133" i="12"/>
  <c r="AA134" i="12"/>
  <c r="AA135" i="12"/>
  <c r="AA136" i="12"/>
  <c r="AA137" i="12"/>
  <c r="AA138" i="12"/>
  <c r="AA139" i="12"/>
  <c r="AA140" i="12"/>
  <c r="AA141" i="12"/>
  <c r="AA142" i="12"/>
  <c r="AA143" i="12"/>
  <c r="AA144" i="12"/>
  <c r="AA145" i="12"/>
  <c r="AA146" i="12"/>
  <c r="AA147" i="12"/>
  <c r="AA148" i="12"/>
  <c r="AA149" i="12"/>
  <c r="AA150" i="12"/>
  <c r="AA151" i="12"/>
  <c r="AA152" i="12"/>
  <c r="AA153" i="12"/>
  <c r="AA154" i="12"/>
  <c r="AA155" i="12"/>
  <c r="AA156" i="12"/>
  <c r="AA157" i="12"/>
  <c r="AA158" i="12"/>
  <c r="AA159" i="12"/>
  <c r="AA160" i="12"/>
  <c r="AA161" i="12"/>
  <c r="AA162" i="12"/>
  <c r="AA163" i="12"/>
  <c r="AA164" i="12"/>
  <c r="AA165" i="12"/>
  <c r="AA166" i="12"/>
  <c r="AA167" i="12"/>
  <c r="AA168" i="12"/>
  <c r="AA169" i="12"/>
  <c r="AA170" i="12"/>
  <c r="AA171" i="12"/>
  <c r="AA172" i="12"/>
  <c r="AA173" i="12"/>
  <c r="AA174" i="12"/>
  <c r="AA175" i="12"/>
  <c r="AA176" i="12"/>
  <c r="AA177" i="12"/>
  <c r="AA178" i="12"/>
  <c r="AA179" i="12"/>
  <c r="AA180" i="12"/>
  <c r="AA181" i="12"/>
  <c r="AA182" i="12"/>
  <c r="AA183" i="12"/>
  <c r="AA184" i="12"/>
  <c r="AA185" i="12"/>
  <c r="AA186" i="12"/>
  <c r="AA187" i="12"/>
  <c r="AA188" i="12"/>
  <c r="AA189" i="12"/>
  <c r="AA190" i="12"/>
  <c r="AA191" i="12"/>
  <c r="AA2" i="12"/>
  <c r="Y192" i="12"/>
  <c r="Y193" i="12"/>
  <c r="Y194" i="12"/>
  <c r="Y195" i="12"/>
  <c r="Y196" i="12"/>
  <c r="Y197" i="12"/>
  <c r="Y198" i="12"/>
  <c r="Y199" i="12"/>
  <c r="Y200" i="12"/>
  <c r="Y201" i="12"/>
  <c r="Y202" i="12"/>
  <c r="Y203" i="12"/>
  <c r="Y204" i="12"/>
  <c r="Y205" i="12"/>
  <c r="Y206" i="12"/>
  <c r="Y207" i="12"/>
  <c r="Y208" i="12"/>
  <c r="Y209" i="12"/>
  <c r="Y210" i="12"/>
  <c r="Y211" i="12"/>
  <c r="Y212" i="12"/>
  <c r="Y213" i="12"/>
  <c r="Y214" i="12"/>
  <c r="Y215" i="12"/>
  <c r="Y216" i="12"/>
  <c r="Y217" i="12"/>
  <c r="Y218" i="12"/>
  <c r="Y219" i="12"/>
  <c r="Y220" i="12"/>
  <c r="Y221" i="12"/>
  <c r="Y222" i="12"/>
  <c r="Y223" i="12"/>
  <c r="Y224" i="12"/>
  <c r="Y225" i="12"/>
  <c r="Y226" i="12"/>
  <c r="Y227" i="12"/>
  <c r="Y228" i="12"/>
  <c r="Y229" i="12"/>
  <c r="Y230" i="12"/>
  <c r="Y231" i="12"/>
  <c r="Y232" i="12"/>
  <c r="Y233" i="12"/>
  <c r="Y234" i="12"/>
  <c r="Y235" i="12"/>
  <c r="Y236" i="12"/>
  <c r="Y237" i="12"/>
  <c r="Y238" i="12"/>
  <c r="Y239" i="12"/>
  <c r="Y240" i="12"/>
  <c r="Y241" i="12"/>
  <c r="Y242" i="12"/>
  <c r="Y243" i="12"/>
  <c r="Y244" i="12"/>
  <c r="Y245" i="12"/>
  <c r="Y246" i="12"/>
  <c r="Y247" i="12"/>
  <c r="Y248" i="12"/>
  <c r="Y249" i="12"/>
  <c r="Y250" i="12"/>
  <c r="Y251" i="12"/>
  <c r="Y252" i="12"/>
  <c r="Y253" i="12"/>
  <c r="Y254" i="12"/>
  <c r="Y255" i="12"/>
  <c r="Y256" i="12"/>
  <c r="Y257" i="12"/>
  <c r="Y258" i="12"/>
  <c r="Y259" i="12"/>
  <c r="Y260" i="12"/>
  <c r="Y261" i="12"/>
  <c r="Y262" i="12"/>
  <c r="Y263" i="12"/>
  <c r="Y264" i="12"/>
  <c r="Y265" i="12"/>
  <c r="Y266" i="12"/>
  <c r="Y267" i="12"/>
  <c r="Y268" i="12"/>
  <c r="Y269" i="12"/>
  <c r="Y270" i="12"/>
  <c r="Y271" i="12"/>
  <c r="Y272" i="12"/>
  <c r="Y273" i="12"/>
  <c r="Y274" i="12"/>
  <c r="Y275" i="12"/>
  <c r="Y276" i="12"/>
  <c r="Y277" i="12"/>
  <c r="Y278" i="12"/>
  <c r="Y279" i="12"/>
  <c r="Y280" i="12"/>
  <c r="Y281" i="12"/>
  <c r="Y282" i="12"/>
  <c r="Y283" i="12"/>
  <c r="Y284" i="12"/>
  <c r="Y285" i="12"/>
  <c r="Y286" i="12"/>
  <c r="Y287" i="12"/>
  <c r="Y288" i="12"/>
  <c r="Y289" i="12"/>
  <c r="Y290" i="12"/>
  <c r="Y291" i="12"/>
  <c r="Y292" i="12"/>
  <c r="Y293" i="12"/>
  <c r="Y294" i="12"/>
  <c r="Y295" i="12"/>
  <c r="Y296" i="12"/>
  <c r="Y297" i="12"/>
  <c r="Y298" i="12"/>
  <c r="Y299" i="12"/>
  <c r="Y300" i="12"/>
  <c r="Y301" i="12"/>
  <c r="Y302" i="12"/>
  <c r="Y303" i="12"/>
  <c r="Y304" i="12"/>
  <c r="Y305" i="12"/>
  <c r="Y306" i="12"/>
  <c r="Y307" i="12"/>
  <c r="Y308" i="12"/>
  <c r="Y309" i="12"/>
  <c r="Y310" i="12"/>
  <c r="Y311" i="12"/>
  <c r="Y312" i="12"/>
  <c r="Y313" i="12"/>
  <c r="Y314" i="12"/>
  <c r="Y315" i="12"/>
  <c r="Y316" i="12"/>
  <c r="Y317" i="12"/>
  <c r="Y318" i="12"/>
  <c r="Y319" i="12"/>
  <c r="Y320" i="12"/>
  <c r="Y321" i="12"/>
  <c r="Y322" i="12"/>
  <c r="Y323" i="12"/>
  <c r="Y324" i="12"/>
  <c r="Y325" i="12"/>
  <c r="Y326" i="12"/>
  <c r="Y327" i="12"/>
  <c r="Y328" i="12"/>
  <c r="Y329" i="12"/>
  <c r="Y330" i="12"/>
  <c r="Y331" i="12"/>
  <c r="Y332" i="12"/>
  <c r="Y333" i="12"/>
  <c r="Y334" i="12"/>
  <c r="Y335" i="12"/>
  <c r="Y336" i="12"/>
  <c r="Y337" i="12"/>
  <c r="Y338" i="12"/>
  <c r="Y339" i="12"/>
  <c r="Y340" i="12"/>
  <c r="Y341" i="12"/>
  <c r="Y342" i="12"/>
  <c r="Y343" i="12"/>
  <c r="Y344" i="12"/>
  <c r="Y345" i="12"/>
  <c r="Y346" i="12"/>
  <c r="Y347" i="12"/>
  <c r="Y348" i="12"/>
  <c r="Y349" i="12"/>
  <c r="Y350" i="12"/>
  <c r="Y351" i="12"/>
  <c r="Y352" i="12"/>
  <c r="Y353" i="12"/>
  <c r="Y354" i="12"/>
  <c r="Y355" i="12"/>
  <c r="Y356" i="12"/>
  <c r="Y357" i="12"/>
  <c r="Y358" i="12"/>
  <c r="Y359" i="12"/>
  <c r="Y360" i="12"/>
  <c r="Y361" i="12"/>
  <c r="Y362" i="12"/>
  <c r="Y363" i="12"/>
  <c r="Y364" i="12"/>
  <c r="Y365" i="12"/>
  <c r="Y366" i="12"/>
  <c r="Y367" i="12"/>
  <c r="Y368" i="12"/>
  <c r="Y369" i="12"/>
  <c r="Y370" i="12"/>
  <c r="Y371" i="12"/>
  <c r="Y372" i="12"/>
  <c r="Y373" i="12"/>
  <c r="Y374" i="12"/>
  <c r="Y375" i="12"/>
  <c r="Y376" i="12"/>
  <c r="Y377" i="12"/>
  <c r="Y378" i="12"/>
  <c r="Y379" i="12"/>
  <c r="Y380" i="12"/>
  <c r="Y381" i="12"/>
  <c r="Y382" i="12"/>
  <c r="Y383" i="12"/>
  <c r="Y384" i="12"/>
  <c r="Y385" i="12"/>
  <c r="Y386" i="12"/>
  <c r="Y387" i="12"/>
  <c r="Y388" i="12"/>
  <c r="Y389" i="12"/>
  <c r="Y390" i="12"/>
  <c r="Y391" i="12"/>
  <c r="Y392" i="12"/>
  <c r="Y393" i="12"/>
  <c r="Y394" i="12"/>
  <c r="Y395" i="12"/>
  <c r="Y396" i="12"/>
  <c r="Y397" i="12"/>
  <c r="Y398" i="12"/>
  <c r="Y399" i="12"/>
  <c r="Y400" i="12"/>
  <c r="Y401" i="12"/>
  <c r="Y402" i="12"/>
  <c r="Y403" i="12"/>
  <c r="Y404" i="12"/>
  <c r="X192" i="12"/>
  <c r="X193" i="12"/>
  <c r="X194" i="12"/>
  <c r="X195" i="12"/>
  <c r="X196" i="12"/>
  <c r="X197" i="12"/>
  <c r="X198" i="12"/>
  <c r="X199" i="12"/>
  <c r="X200" i="12"/>
  <c r="X201" i="12"/>
  <c r="X202" i="12"/>
  <c r="X203" i="12"/>
  <c r="X204" i="12"/>
  <c r="X205" i="12"/>
  <c r="X206" i="12"/>
  <c r="X207" i="12"/>
  <c r="X208" i="12"/>
  <c r="X209" i="12"/>
  <c r="X210" i="12"/>
  <c r="X211" i="12"/>
  <c r="X212" i="12"/>
  <c r="X213" i="12"/>
  <c r="X214" i="12"/>
  <c r="X215" i="12"/>
  <c r="X216" i="12"/>
  <c r="X217" i="12"/>
  <c r="X218" i="12"/>
  <c r="X219" i="12"/>
  <c r="X220" i="12"/>
  <c r="X221" i="12"/>
  <c r="X222" i="12"/>
  <c r="X223" i="12"/>
  <c r="X224" i="12"/>
  <c r="X225" i="12"/>
  <c r="X226" i="12"/>
  <c r="X227" i="12"/>
  <c r="X228" i="12"/>
  <c r="X229" i="12"/>
  <c r="X230" i="12"/>
  <c r="X231" i="12"/>
  <c r="X232" i="12"/>
  <c r="X233" i="12"/>
  <c r="X234" i="12"/>
  <c r="X235" i="12"/>
  <c r="X236" i="12"/>
  <c r="X237" i="12"/>
  <c r="X238" i="12"/>
  <c r="X239" i="12"/>
  <c r="X240" i="12"/>
  <c r="X241" i="12"/>
  <c r="X242" i="12"/>
  <c r="X243" i="12"/>
  <c r="X244" i="12"/>
  <c r="X245" i="12"/>
  <c r="X246" i="12"/>
  <c r="X247" i="12"/>
  <c r="X248" i="12"/>
  <c r="X249" i="12"/>
  <c r="X250" i="12"/>
  <c r="X251" i="12"/>
  <c r="X252" i="12"/>
  <c r="X253" i="12"/>
  <c r="X254" i="12"/>
  <c r="X255" i="12"/>
  <c r="X256" i="12"/>
  <c r="X257" i="12"/>
  <c r="X258" i="12"/>
  <c r="X259" i="12"/>
  <c r="X260" i="12"/>
  <c r="X261" i="12"/>
  <c r="X262" i="12"/>
  <c r="X263" i="12"/>
  <c r="X264" i="12"/>
  <c r="X265" i="12"/>
  <c r="X266" i="12"/>
  <c r="X267" i="12"/>
  <c r="X268" i="12"/>
  <c r="X269" i="12"/>
  <c r="X270" i="12"/>
  <c r="X271" i="12"/>
  <c r="X272" i="12"/>
  <c r="X273" i="12"/>
  <c r="X274" i="12"/>
  <c r="X275" i="12"/>
  <c r="X276" i="12"/>
  <c r="X277" i="12"/>
  <c r="X278" i="12"/>
  <c r="X279" i="12"/>
  <c r="X280" i="12"/>
  <c r="X281" i="12"/>
  <c r="X282" i="12"/>
  <c r="X283" i="12"/>
  <c r="X284" i="12"/>
  <c r="X285" i="12"/>
  <c r="X286" i="12"/>
  <c r="X287" i="12"/>
  <c r="X288" i="12"/>
  <c r="X289" i="12"/>
  <c r="X290" i="12"/>
  <c r="X291" i="12"/>
  <c r="X292" i="12"/>
  <c r="X293" i="12"/>
  <c r="X294" i="12"/>
  <c r="X295" i="12"/>
  <c r="X296" i="12"/>
  <c r="X297" i="12"/>
  <c r="X298" i="12"/>
  <c r="X299" i="12"/>
  <c r="X300" i="12"/>
  <c r="X301" i="12"/>
  <c r="X302" i="12"/>
  <c r="X303" i="12"/>
  <c r="X304" i="12"/>
  <c r="X305" i="12"/>
  <c r="X306" i="12"/>
  <c r="X307" i="12"/>
  <c r="X308" i="12"/>
  <c r="X309" i="12"/>
  <c r="X310" i="12"/>
  <c r="X311" i="12"/>
  <c r="X312" i="12"/>
  <c r="X313" i="12"/>
  <c r="X314" i="12"/>
  <c r="X315" i="12"/>
  <c r="X316" i="12"/>
  <c r="X317" i="12"/>
  <c r="X318" i="12"/>
  <c r="X319" i="12"/>
  <c r="X320" i="12"/>
  <c r="X321" i="12"/>
  <c r="X322" i="12"/>
  <c r="X323" i="12"/>
  <c r="X324" i="12"/>
  <c r="X325" i="12"/>
  <c r="X326" i="12"/>
  <c r="X327" i="12"/>
  <c r="X328" i="12"/>
  <c r="X329" i="12"/>
  <c r="X330" i="12"/>
  <c r="X331" i="12"/>
  <c r="X332" i="12"/>
  <c r="X333" i="12"/>
  <c r="X334" i="12"/>
  <c r="X335" i="12"/>
  <c r="X336" i="12"/>
  <c r="X337" i="12"/>
  <c r="X338" i="12"/>
  <c r="X339" i="12"/>
  <c r="X340" i="12"/>
  <c r="X341" i="12"/>
  <c r="X342" i="12"/>
  <c r="X343" i="12"/>
  <c r="X344" i="12"/>
  <c r="X345" i="12"/>
  <c r="X346" i="12"/>
  <c r="X347" i="12"/>
  <c r="X348" i="12"/>
  <c r="X349" i="12"/>
  <c r="X350" i="12"/>
  <c r="X351" i="12"/>
  <c r="X352" i="12"/>
  <c r="X353" i="12"/>
  <c r="X354" i="12"/>
  <c r="X355" i="12"/>
  <c r="X356" i="12"/>
  <c r="X357" i="12"/>
  <c r="X358" i="12"/>
  <c r="X359" i="12"/>
  <c r="X360" i="12"/>
  <c r="X361" i="12"/>
  <c r="X362" i="12"/>
  <c r="X363" i="12"/>
  <c r="X364" i="12"/>
  <c r="X365" i="12"/>
  <c r="X366" i="12"/>
  <c r="X367" i="12"/>
  <c r="X368" i="12"/>
  <c r="X369" i="12"/>
  <c r="X370" i="12"/>
  <c r="X371" i="12"/>
  <c r="X372" i="12"/>
  <c r="X373" i="12"/>
  <c r="X374" i="12"/>
  <c r="X375" i="12"/>
  <c r="X376" i="12"/>
  <c r="X377" i="12"/>
  <c r="X378" i="12"/>
  <c r="X379" i="12"/>
  <c r="X380" i="12"/>
  <c r="X381" i="12"/>
  <c r="X382" i="12"/>
  <c r="X383" i="12"/>
  <c r="X384" i="12"/>
  <c r="X385" i="12"/>
  <c r="X386" i="12"/>
  <c r="X387" i="12"/>
  <c r="X388" i="12"/>
  <c r="X389" i="12"/>
  <c r="X390" i="12"/>
  <c r="X391" i="12"/>
  <c r="X392" i="12"/>
  <c r="X393" i="12"/>
  <c r="X394" i="12"/>
  <c r="X395" i="12"/>
  <c r="X396" i="12"/>
  <c r="X397" i="12"/>
  <c r="X398" i="12"/>
  <c r="X399" i="12"/>
  <c r="X400" i="12"/>
  <c r="X401" i="12"/>
  <c r="X402" i="12"/>
  <c r="X403" i="12"/>
  <c r="X404" i="12"/>
  <c r="V192" i="12"/>
  <c r="W192" i="12" s="1"/>
  <c r="V193" i="12"/>
  <c r="V194" i="12"/>
  <c r="V195" i="12"/>
  <c r="V196" i="12"/>
  <c r="V197" i="12"/>
  <c r="Z197" i="12" s="1"/>
  <c r="V198" i="12"/>
  <c r="V199" i="12"/>
  <c r="W199" i="12" s="1"/>
  <c r="V200" i="12"/>
  <c r="W200" i="12" s="1"/>
  <c r="V201" i="12"/>
  <c r="V202" i="12"/>
  <c r="V203" i="12"/>
  <c r="W203" i="12" s="1"/>
  <c r="V204" i="12"/>
  <c r="V205" i="12"/>
  <c r="V206" i="12"/>
  <c r="V207" i="12"/>
  <c r="W207" i="12" s="1"/>
  <c r="V208" i="12"/>
  <c r="W208" i="12" s="1"/>
  <c r="V209" i="12"/>
  <c r="V210" i="12"/>
  <c r="V211" i="12"/>
  <c r="V212" i="12"/>
  <c r="V213" i="12"/>
  <c r="V214" i="12"/>
  <c r="V215" i="12"/>
  <c r="W215" i="12" s="1"/>
  <c r="V216" i="12"/>
  <c r="W216" i="12" s="1"/>
  <c r="V217" i="12"/>
  <c r="V218" i="12"/>
  <c r="V219" i="12"/>
  <c r="Z219" i="12" s="1"/>
  <c r="V220" i="12"/>
  <c r="V221" i="12"/>
  <c r="V222" i="12"/>
  <c r="V223" i="12"/>
  <c r="W223" i="12" s="1"/>
  <c r="V224" i="12"/>
  <c r="W224" i="12" s="1"/>
  <c r="V225" i="12"/>
  <c r="V226" i="12"/>
  <c r="W226" i="12" s="1"/>
  <c r="V227" i="12"/>
  <c r="V228" i="12"/>
  <c r="V229" i="12"/>
  <c r="V230" i="12"/>
  <c r="V231" i="12"/>
  <c r="W231" i="12" s="1"/>
  <c r="V232" i="12"/>
  <c r="W232" i="12" s="1"/>
  <c r="V233" i="12"/>
  <c r="V234" i="12"/>
  <c r="V235" i="12"/>
  <c r="V236" i="12"/>
  <c r="V237" i="12"/>
  <c r="V238" i="12"/>
  <c r="V239" i="12"/>
  <c r="V240" i="12"/>
  <c r="W240" i="12" s="1"/>
  <c r="V241" i="12"/>
  <c r="Z241" i="12" s="1"/>
  <c r="V242" i="12"/>
  <c r="V243" i="12"/>
  <c r="V244" i="12"/>
  <c r="V245" i="12"/>
  <c r="W245" i="12" s="1"/>
  <c r="V246" i="12"/>
  <c r="V247" i="12"/>
  <c r="V248" i="12"/>
  <c r="W248" i="12" s="1"/>
  <c r="V249" i="12"/>
  <c r="V250" i="12"/>
  <c r="V251" i="12"/>
  <c r="V252" i="12"/>
  <c r="V253" i="12"/>
  <c r="V254" i="12"/>
  <c r="V255" i="12"/>
  <c r="V256" i="12"/>
  <c r="W256" i="12" s="1"/>
  <c r="V257" i="12"/>
  <c r="V258" i="12"/>
  <c r="V259" i="12"/>
  <c r="V260" i="12"/>
  <c r="V261" i="12"/>
  <c r="Z261" i="12" s="1"/>
  <c r="V262" i="12"/>
  <c r="V263" i="12"/>
  <c r="V264" i="12"/>
  <c r="W264" i="12" s="1"/>
  <c r="V265" i="12"/>
  <c r="V266" i="12"/>
  <c r="V267" i="12"/>
  <c r="W267" i="12" s="1"/>
  <c r="V268" i="12"/>
  <c r="V269" i="12"/>
  <c r="V270" i="12"/>
  <c r="V271" i="12"/>
  <c r="V272" i="12"/>
  <c r="W272" i="12" s="1"/>
  <c r="V273" i="12"/>
  <c r="V274" i="12"/>
  <c r="V275" i="12"/>
  <c r="V276" i="12"/>
  <c r="V277" i="12"/>
  <c r="V278" i="12"/>
  <c r="V279" i="12"/>
  <c r="V280" i="12"/>
  <c r="W280" i="12" s="1"/>
  <c r="V281" i="12"/>
  <c r="V282" i="12"/>
  <c r="V283" i="12"/>
  <c r="Z283" i="12" s="1"/>
  <c r="V284" i="12"/>
  <c r="V285" i="12"/>
  <c r="V286" i="12"/>
  <c r="V287" i="12"/>
  <c r="V288" i="12"/>
  <c r="W288" i="12" s="1"/>
  <c r="V289" i="12"/>
  <c r="V290" i="12"/>
  <c r="W290" i="12" s="1"/>
  <c r="V291" i="12"/>
  <c r="V292" i="12"/>
  <c r="V293" i="12"/>
  <c r="Z293" i="12" s="1"/>
  <c r="V294" i="12"/>
  <c r="V295" i="12"/>
  <c r="V296" i="12"/>
  <c r="W296" i="12" s="1"/>
  <c r="V297" i="12"/>
  <c r="V298" i="12"/>
  <c r="V299" i="12"/>
  <c r="Z299" i="12" s="1"/>
  <c r="V300" i="12"/>
  <c r="V301" i="12"/>
  <c r="Z301" i="12" s="1"/>
  <c r="V302" i="12"/>
  <c r="V303" i="12"/>
  <c r="V304" i="12"/>
  <c r="W304" i="12" s="1"/>
  <c r="V305" i="12"/>
  <c r="Z305" i="12" s="1"/>
  <c r="V306" i="12"/>
  <c r="V307" i="12"/>
  <c r="V308" i="12"/>
  <c r="V309" i="12"/>
  <c r="Z309" i="12" s="1"/>
  <c r="V310" i="12"/>
  <c r="V311" i="12"/>
  <c r="V312" i="12"/>
  <c r="W312" i="12" s="1"/>
  <c r="V313" i="12"/>
  <c r="Z313" i="12" s="1"/>
  <c r="V314" i="12"/>
  <c r="V315" i="12"/>
  <c r="Z315" i="12" s="1"/>
  <c r="V316" i="12"/>
  <c r="V317" i="12"/>
  <c r="Z317" i="12" s="1"/>
  <c r="V318" i="12"/>
  <c r="V319" i="12"/>
  <c r="V320" i="12"/>
  <c r="W320" i="12" s="1"/>
  <c r="V321" i="12"/>
  <c r="Z321" i="12" s="1"/>
  <c r="V322" i="12"/>
  <c r="V323" i="12"/>
  <c r="Z323" i="12" s="1"/>
  <c r="V324" i="12"/>
  <c r="V325" i="12"/>
  <c r="Z325" i="12" s="1"/>
  <c r="V326" i="12"/>
  <c r="V327" i="12"/>
  <c r="V328" i="12"/>
  <c r="W328" i="12" s="1"/>
  <c r="V329" i="12"/>
  <c r="Z329" i="12" s="1"/>
  <c r="V330" i="12"/>
  <c r="V331" i="12"/>
  <c r="W331" i="12" s="1"/>
  <c r="V332" i="12"/>
  <c r="V333" i="12"/>
  <c r="Z333" i="12" s="1"/>
  <c r="V334" i="12"/>
  <c r="V335" i="12"/>
  <c r="V336" i="12"/>
  <c r="W336" i="12" s="1"/>
  <c r="V337" i="12"/>
  <c r="Z337" i="12" s="1"/>
  <c r="V338" i="12"/>
  <c r="V339" i="12"/>
  <c r="Z339" i="12" s="1"/>
  <c r="V340" i="12"/>
  <c r="V341" i="12"/>
  <c r="Z341" i="12" s="1"/>
  <c r="V342" i="12"/>
  <c r="V343" i="12"/>
  <c r="V344" i="12"/>
  <c r="W344" i="12" s="1"/>
  <c r="V345" i="12"/>
  <c r="Z345" i="12" s="1"/>
  <c r="V346" i="12"/>
  <c r="V347" i="12"/>
  <c r="Z347" i="12" s="1"/>
  <c r="V348" i="12"/>
  <c r="V349" i="12"/>
  <c r="Z349" i="12" s="1"/>
  <c r="V350" i="12"/>
  <c r="V351" i="12"/>
  <c r="V352" i="12"/>
  <c r="W352" i="12" s="1"/>
  <c r="V353" i="12"/>
  <c r="Z353" i="12" s="1"/>
  <c r="V354" i="12"/>
  <c r="W354" i="12" s="1"/>
  <c r="V355" i="12"/>
  <c r="Z355" i="12" s="1"/>
  <c r="V356" i="12"/>
  <c r="V357" i="12"/>
  <c r="Z357" i="12" s="1"/>
  <c r="V358" i="12"/>
  <c r="V359" i="12"/>
  <c r="V360" i="12"/>
  <c r="W360" i="12" s="1"/>
  <c r="V361" i="12"/>
  <c r="Z361" i="12" s="1"/>
  <c r="V362" i="12"/>
  <c r="V363" i="12"/>
  <c r="Z363" i="12" s="1"/>
  <c r="V364" i="12"/>
  <c r="V365" i="12"/>
  <c r="Z365" i="12" s="1"/>
  <c r="V366" i="12"/>
  <c r="V367" i="12"/>
  <c r="V368" i="12"/>
  <c r="W368" i="12" s="1"/>
  <c r="V369" i="12"/>
  <c r="Z369" i="12" s="1"/>
  <c r="V370" i="12"/>
  <c r="V371" i="12"/>
  <c r="Z371" i="12" s="1"/>
  <c r="V372" i="12"/>
  <c r="V373" i="12"/>
  <c r="W373" i="12" s="1"/>
  <c r="V374" i="12"/>
  <c r="V375" i="12"/>
  <c r="V376" i="12"/>
  <c r="W376" i="12" s="1"/>
  <c r="V377" i="12"/>
  <c r="Z377" i="12" s="1"/>
  <c r="V378" i="12"/>
  <c r="V379" i="12"/>
  <c r="Z379" i="12" s="1"/>
  <c r="V380" i="12"/>
  <c r="V381" i="12"/>
  <c r="Z381" i="12" s="1"/>
  <c r="V382" i="12"/>
  <c r="V383" i="12"/>
  <c r="V384" i="12"/>
  <c r="W384" i="12" s="1"/>
  <c r="V385" i="12"/>
  <c r="Z385" i="12" s="1"/>
  <c r="V386" i="12"/>
  <c r="V387" i="12"/>
  <c r="Z387" i="12" s="1"/>
  <c r="V388" i="12"/>
  <c r="V389" i="12"/>
  <c r="Z389" i="12" s="1"/>
  <c r="V390" i="12"/>
  <c r="V391" i="12"/>
  <c r="V392" i="12"/>
  <c r="W392" i="12" s="1"/>
  <c r="V393" i="12"/>
  <c r="Z393" i="12" s="1"/>
  <c r="V394" i="12"/>
  <c r="V395" i="12"/>
  <c r="W395" i="12" s="1"/>
  <c r="V396" i="12"/>
  <c r="V397" i="12"/>
  <c r="Z397" i="12" s="1"/>
  <c r="V398" i="12"/>
  <c r="V399" i="12"/>
  <c r="V400" i="12"/>
  <c r="W400" i="12" s="1"/>
  <c r="V401" i="12"/>
  <c r="Z401" i="12" s="1"/>
  <c r="V402" i="12"/>
  <c r="V403" i="12"/>
  <c r="Z403" i="12" s="1"/>
  <c r="V404" i="12"/>
  <c r="V3" i="12"/>
  <c r="V4" i="12"/>
  <c r="V5" i="12"/>
  <c r="V6" i="12"/>
  <c r="V7" i="12"/>
  <c r="V8" i="12"/>
  <c r="V9" i="12"/>
  <c r="V10" i="12"/>
  <c r="V11" i="12"/>
  <c r="V12" i="12"/>
  <c r="V13" i="12"/>
  <c r="V14" i="12"/>
  <c r="V15" i="12"/>
  <c r="V16" i="12"/>
  <c r="V17" i="12"/>
  <c r="V18" i="12"/>
  <c r="V19" i="12"/>
  <c r="V20" i="12"/>
  <c r="V21" i="12"/>
  <c r="V22" i="12"/>
  <c r="V23" i="12"/>
  <c r="V24" i="12"/>
  <c r="V25" i="12"/>
  <c r="V26" i="12"/>
  <c r="V27" i="12"/>
  <c r="V28" i="12"/>
  <c r="V29" i="12"/>
  <c r="V30" i="12"/>
  <c r="V31" i="12"/>
  <c r="V32" i="12"/>
  <c r="V33" i="12"/>
  <c r="V34" i="12"/>
  <c r="V35" i="12"/>
  <c r="V36" i="12"/>
  <c r="V37" i="12"/>
  <c r="V38" i="12"/>
  <c r="V39" i="12"/>
  <c r="V40" i="12"/>
  <c r="V41" i="12"/>
  <c r="V42" i="12"/>
  <c r="V43" i="12"/>
  <c r="V44" i="12"/>
  <c r="V45" i="12"/>
  <c r="V46" i="12"/>
  <c r="V47" i="12"/>
  <c r="V48" i="12"/>
  <c r="V49" i="12"/>
  <c r="V50" i="12"/>
  <c r="V51" i="12"/>
  <c r="V52" i="12"/>
  <c r="V53" i="12"/>
  <c r="V54" i="12"/>
  <c r="V55" i="12"/>
  <c r="V56" i="12"/>
  <c r="V57" i="12"/>
  <c r="V58" i="12"/>
  <c r="V59" i="12"/>
  <c r="V60" i="12"/>
  <c r="V61" i="12"/>
  <c r="V62" i="12"/>
  <c r="V63" i="12"/>
  <c r="V64" i="12"/>
  <c r="V65" i="12"/>
  <c r="V66" i="12"/>
  <c r="V67" i="12"/>
  <c r="V68" i="12"/>
  <c r="V69" i="12"/>
  <c r="V70" i="12"/>
  <c r="V71" i="12"/>
  <c r="V72" i="12"/>
  <c r="V73" i="12"/>
  <c r="V74" i="12"/>
  <c r="V75" i="12"/>
  <c r="V76" i="12"/>
  <c r="V77" i="12"/>
  <c r="V78" i="12"/>
  <c r="V79" i="12"/>
  <c r="V80" i="12"/>
  <c r="V81" i="12"/>
  <c r="V82" i="12"/>
  <c r="V83" i="12"/>
  <c r="V84" i="12"/>
  <c r="V85" i="12"/>
  <c r="V86" i="12"/>
  <c r="V87" i="12"/>
  <c r="V88" i="12"/>
  <c r="V89" i="12"/>
  <c r="V90" i="12"/>
  <c r="V91" i="12"/>
  <c r="V92" i="12"/>
  <c r="V93" i="12"/>
  <c r="V94" i="12"/>
  <c r="V95" i="12"/>
  <c r="V96" i="12"/>
  <c r="V97" i="12"/>
  <c r="V98" i="12"/>
  <c r="V99" i="12"/>
  <c r="V100" i="12"/>
  <c r="V101" i="12"/>
  <c r="V102" i="12"/>
  <c r="V103" i="12"/>
  <c r="V104" i="12"/>
  <c r="V105" i="12"/>
  <c r="V106" i="12"/>
  <c r="V107" i="12"/>
  <c r="V108" i="12"/>
  <c r="V109" i="12"/>
  <c r="V110" i="12"/>
  <c r="V111" i="12"/>
  <c r="V112" i="12"/>
  <c r="V113" i="12"/>
  <c r="V114" i="12"/>
  <c r="V115" i="12"/>
  <c r="V116" i="12"/>
  <c r="V117" i="12"/>
  <c r="V118" i="12"/>
  <c r="V119" i="12"/>
  <c r="V120" i="12"/>
  <c r="V121" i="12"/>
  <c r="V122" i="12"/>
  <c r="V123" i="12"/>
  <c r="V124" i="12"/>
  <c r="V125" i="12"/>
  <c r="V126" i="12"/>
  <c r="V127" i="12"/>
  <c r="V128" i="12"/>
  <c r="V129" i="12"/>
  <c r="V130" i="12"/>
  <c r="V131" i="12"/>
  <c r="V132" i="12"/>
  <c r="V133" i="12"/>
  <c r="V134" i="12"/>
  <c r="V135" i="12"/>
  <c r="V136" i="12"/>
  <c r="V137" i="12"/>
  <c r="V138" i="12"/>
  <c r="V139" i="12"/>
  <c r="V140" i="12"/>
  <c r="V141" i="12"/>
  <c r="V142" i="12"/>
  <c r="V143" i="12"/>
  <c r="V144" i="12"/>
  <c r="V145" i="12"/>
  <c r="V146" i="12"/>
  <c r="V147" i="12"/>
  <c r="V148" i="12"/>
  <c r="V149" i="12"/>
  <c r="V150" i="12"/>
  <c r="V151" i="12"/>
  <c r="V152" i="12"/>
  <c r="V153" i="12"/>
  <c r="V154" i="12"/>
  <c r="V155" i="12"/>
  <c r="V156" i="12"/>
  <c r="V157" i="12"/>
  <c r="V158" i="12"/>
  <c r="V159" i="12"/>
  <c r="V160" i="12"/>
  <c r="V161" i="12"/>
  <c r="V162" i="12"/>
  <c r="V163" i="12"/>
  <c r="V164" i="12"/>
  <c r="V165" i="12"/>
  <c r="V166" i="12"/>
  <c r="V167" i="12"/>
  <c r="V168" i="12"/>
  <c r="V169" i="12"/>
  <c r="V170" i="12"/>
  <c r="V171" i="12"/>
  <c r="V172" i="12"/>
  <c r="V173" i="12"/>
  <c r="V174" i="12"/>
  <c r="V175" i="12"/>
  <c r="V176" i="12"/>
  <c r="V177" i="12"/>
  <c r="V178" i="12"/>
  <c r="V179" i="12"/>
  <c r="V180" i="12"/>
  <c r="V181" i="12"/>
  <c r="V182" i="12"/>
  <c r="V183" i="12"/>
  <c r="V184" i="12"/>
  <c r="V185" i="12"/>
  <c r="V186" i="12"/>
  <c r="V187" i="12"/>
  <c r="V188" i="12"/>
  <c r="V189" i="12"/>
  <c r="V190" i="12"/>
  <c r="V191" i="12"/>
  <c r="V2" i="12"/>
  <c r="T192" i="12"/>
  <c r="T193" i="12"/>
  <c r="T194" i="12"/>
  <c r="T195" i="12"/>
  <c r="T196" i="12"/>
  <c r="T197" i="12"/>
  <c r="T198" i="12"/>
  <c r="T199" i="12"/>
  <c r="T200" i="12"/>
  <c r="T201" i="12"/>
  <c r="T202" i="12"/>
  <c r="T203" i="12"/>
  <c r="T204" i="12"/>
  <c r="T205" i="12"/>
  <c r="T206" i="12"/>
  <c r="T207" i="12"/>
  <c r="T208" i="12"/>
  <c r="T209" i="12"/>
  <c r="T210" i="12"/>
  <c r="T211" i="12"/>
  <c r="T212" i="12"/>
  <c r="T213" i="12"/>
  <c r="T214" i="12"/>
  <c r="T215" i="12"/>
  <c r="T216" i="12"/>
  <c r="T217" i="12"/>
  <c r="T218" i="12"/>
  <c r="T219" i="12"/>
  <c r="T220" i="12"/>
  <c r="T221" i="12"/>
  <c r="T222" i="12"/>
  <c r="T223" i="12"/>
  <c r="T224" i="12"/>
  <c r="T225" i="12"/>
  <c r="T226" i="12"/>
  <c r="T227" i="12"/>
  <c r="T228" i="12"/>
  <c r="T229" i="12"/>
  <c r="T230" i="12"/>
  <c r="T231" i="12"/>
  <c r="T232" i="12"/>
  <c r="T233" i="12"/>
  <c r="T234" i="12"/>
  <c r="T235" i="12"/>
  <c r="T236" i="12"/>
  <c r="T237" i="12"/>
  <c r="T238" i="12"/>
  <c r="T239" i="12"/>
  <c r="T240" i="12"/>
  <c r="T241" i="12"/>
  <c r="T242" i="12"/>
  <c r="T243" i="12"/>
  <c r="T244" i="12"/>
  <c r="T245" i="12"/>
  <c r="T246" i="12"/>
  <c r="T247" i="12"/>
  <c r="T248" i="12"/>
  <c r="T249" i="12"/>
  <c r="T250" i="12"/>
  <c r="T251" i="12"/>
  <c r="T252" i="12"/>
  <c r="T253" i="12"/>
  <c r="T254" i="12"/>
  <c r="T255" i="12"/>
  <c r="T256" i="12"/>
  <c r="T257" i="12"/>
  <c r="T258" i="12"/>
  <c r="T259" i="12"/>
  <c r="T260" i="12"/>
  <c r="T261" i="12"/>
  <c r="T262" i="12"/>
  <c r="T263" i="12"/>
  <c r="T264" i="12"/>
  <c r="T265" i="12"/>
  <c r="T266" i="12"/>
  <c r="T267" i="12"/>
  <c r="T268" i="12"/>
  <c r="T269" i="12"/>
  <c r="T270" i="12"/>
  <c r="T271" i="12"/>
  <c r="T272" i="12"/>
  <c r="T273" i="12"/>
  <c r="T274" i="12"/>
  <c r="T275" i="12"/>
  <c r="T276" i="12"/>
  <c r="T277" i="12"/>
  <c r="T278" i="12"/>
  <c r="T279" i="12"/>
  <c r="T280" i="12"/>
  <c r="T281" i="12"/>
  <c r="T282" i="12"/>
  <c r="T283" i="12"/>
  <c r="T284" i="12"/>
  <c r="T285" i="12"/>
  <c r="T286" i="12"/>
  <c r="T287" i="12"/>
  <c r="T288" i="12"/>
  <c r="T289" i="12"/>
  <c r="T290" i="12"/>
  <c r="T291" i="12"/>
  <c r="T292" i="12"/>
  <c r="T293" i="12"/>
  <c r="T294" i="12"/>
  <c r="T295" i="12"/>
  <c r="T296" i="12"/>
  <c r="T297" i="12"/>
  <c r="T298" i="12"/>
  <c r="T299" i="12"/>
  <c r="T300" i="12"/>
  <c r="T301" i="12"/>
  <c r="T302" i="12"/>
  <c r="T303" i="12"/>
  <c r="T304" i="12"/>
  <c r="T305" i="12"/>
  <c r="T306" i="12"/>
  <c r="T307" i="12"/>
  <c r="T308" i="12"/>
  <c r="T309" i="12"/>
  <c r="T310" i="12"/>
  <c r="T311" i="12"/>
  <c r="T312" i="12"/>
  <c r="T313" i="12"/>
  <c r="T314" i="12"/>
  <c r="T315" i="12"/>
  <c r="T316" i="12"/>
  <c r="T317" i="12"/>
  <c r="T318" i="12"/>
  <c r="T319" i="12"/>
  <c r="T320" i="12"/>
  <c r="T321" i="12"/>
  <c r="T322" i="12"/>
  <c r="T323" i="12"/>
  <c r="T324" i="12"/>
  <c r="T325" i="12"/>
  <c r="T326" i="12"/>
  <c r="T327" i="12"/>
  <c r="T328" i="12"/>
  <c r="T329" i="12"/>
  <c r="T330" i="12"/>
  <c r="T331" i="12"/>
  <c r="T332" i="12"/>
  <c r="T333" i="12"/>
  <c r="T334" i="12"/>
  <c r="T335" i="12"/>
  <c r="T336" i="12"/>
  <c r="T337" i="12"/>
  <c r="T338" i="12"/>
  <c r="T339" i="12"/>
  <c r="T340" i="12"/>
  <c r="T341" i="12"/>
  <c r="T342" i="12"/>
  <c r="T343" i="12"/>
  <c r="T344" i="12"/>
  <c r="T345" i="12"/>
  <c r="T346" i="12"/>
  <c r="T347" i="12"/>
  <c r="T348" i="12"/>
  <c r="T349" i="12"/>
  <c r="T350" i="12"/>
  <c r="T351" i="12"/>
  <c r="T352" i="12"/>
  <c r="T353" i="12"/>
  <c r="T354" i="12"/>
  <c r="T355" i="12"/>
  <c r="T356" i="12"/>
  <c r="T357" i="12"/>
  <c r="T358" i="12"/>
  <c r="T359" i="12"/>
  <c r="T360" i="12"/>
  <c r="T361" i="12"/>
  <c r="T362" i="12"/>
  <c r="T363" i="12"/>
  <c r="T364" i="12"/>
  <c r="T365" i="12"/>
  <c r="T366" i="12"/>
  <c r="T367" i="12"/>
  <c r="T368" i="12"/>
  <c r="T369" i="12"/>
  <c r="T370" i="12"/>
  <c r="T371" i="12"/>
  <c r="T372" i="12"/>
  <c r="T373" i="12"/>
  <c r="T374" i="12"/>
  <c r="T375" i="12"/>
  <c r="T376" i="12"/>
  <c r="T377" i="12"/>
  <c r="T378" i="12"/>
  <c r="T379" i="12"/>
  <c r="T380" i="12"/>
  <c r="T381" i="12"/>
  <c r="T382" i="12"/>
  <c r="T383" i="12"/>
  <c r="T384" i="12"/>
  <c r="T385" i="12"/>
  <c r="T386" i="12"/>
  <c r="T387" i="12"/>
  <c r="T388" i="12"/>
  <c r="T389" i="12"/>
  <c r="T390" i="12"/>
  <c r="T391" i="12"/>
  <c r="T392" i="12"/>
  <c r="T393" i="12"/>
  <c r="T394" i="12"/>
  <c r="T395" i="12"/>
  <c r="T396" i="12"/>
  <c r="T397" i="12"/>
  <c r="T398" i="12"/>
  <c r="T399" i="12"/>
  <c r="T400" i="12"/>
  <c r="T401" i="12"/>
  <c r="T402" i="12"/>
  <c r="T403" i="12"/>
  <c r="T404" i="12"/>
  <c r="S192" i="12"/>
  <c r="S193" i="12"/>
  <c r="S194" i="12"/>
  <c r="S195" i="12"/>
  <c r="S196" i="12"/>
  <c r="S197" i="12"/>
  <c r="S198" i="12"/>
  <c r="S199" i="12"/>
  <c r="S200" i="12"/>
  <c r="S201" i="12"/>
  <c r="S202" i="12"/>
  <c r="S203" i="12"/>
  <c r="S204" i="12"/>
  <c r="S205" i="12"/>
  <c r="S206" i="12"/>
  <c r="S207" i="12"/>
  <c r="S208" i="12"/>
  <c r="S209" i="12"/>
  <c r="S210" i="12"/>
  <c r="S211" i="12"/>
  <c r="S212" i="12"/>
  <c r="S213" i="12"/>
  <c r="S214" i="12"/>
  <c r="S215" i="12"/>
  <c r="S216" i="12"/>
  <c r="S217" i="12"/>
  <c r="S218" i="12"/>
  <c r="S219" i="12"/>
  <c r="S220" i="12"/>
  <c r="S221" i="12"/>
  <c r="S222" i="12"/>
  <c r="S223" i="12"/>
  <c r="S224" i="12"/>
  <c r="S225" i="12"/>
  <c r="S226" i="12"/>
  <c r="S227" i="12"/>
  <c r="S228" i="12"/>
  <c r="S229" i="12"/>
  <c r="S230" i="12"/>
  <c r="S231" i="12"/>
  <c r="S232" i="12"/>
  <c r="S233" i="12"/>
  <c r="S234" i="12"/>
  <c r="S235" i="12"/>
  <c r="S236" i="12"/>
  <c r="S237" i="12"/>
  <c r="S238" i="12"/>
  <c r="S239" i="12"/>
  <c r="S240" i="12"/>
  <c r="S241" i="12"/>
  <c r="S242" i="12"/>
  <c r="S243" i="12"/>
  <c r="S244" i="12"/>
  <c r="S245" i="12"/>
  <c r="S246" i="12"/>
  <c r="S247" i="12"/>
  <c r="S248" i="12"/>
  <c r="S249" i="12"/>
  <c r="S250" i="12"/>
  <c r="S251" i="12"/>
  <c r="S252" i="12"/>
  <c r="S253" i="12"/>
  <c r="S254" i="12"/>
  <c r="S255" i="12"/>
  <c r="S256" i="12"/>
  <c r="S257" i="12"/>
  <c r="S258" i="12"/>
  <c r="S259" i="12"/>
  <c r="S260" i="12"/>
  <c r="S261" i="12"/>
  <c r="S262" i="12"/>
  <c r="S263" i="12"/>
  <c r="S264" i="12"/>
  <c r="S265" i="12"/>
  <c r="S266" i="12"/>
  <c r="S267" i="12"/>
  <c r="S268" i="12"/>
  <c r="S269" i="12"/>
  <c r="S270" i="12"/>
  <c r="S271" i="12"/>
  <c r="S272" i="12"/>
  <c r="S273" i="12"/>
  <c r="S274" i="12"/>
  <c r="S275" i="12"/>
  <c r="S276" i="12"/>
  <c r="S277" i="12"/>
  <c r="S278" i="12"/>
  <c r="S279" i="12"/>
  <c r="S280" i="12"/>
  <c r="S281" i="12"/>
  <c r="S282" i="12"/>
  <c r="S283" i="12"/>
  <c r="S284" i="12"/>
  <c r="S285" i="12"/>
  <c r="S286" i="12"/>
  <c r="S287" i="12"/>
  <c r="S288" i="12"/>
  <c r="S289" i="12"/>
  <c r="S290" i="12"/>
  <c r="S291" i="12"/>
  <c r="S292" i="12"/>
  <c r="S293" i="12"/>
  <c r="S294" i="12"/>
  <c r="S295" i="12"/>
  <c r="S296" i="12"/>
  <c r="S297" i="12"/>
  <c r="S298" i="12"/>
  <c r="S299" i="12"/>
  <c r="S300" i="12"/>
  <c r="S301" i="12"/>
  <c r="S302" i="12"/>
  <c r="S303" i="12"/>
  <c r="S304" i="12"/>
  <c r="S305" i="12"/>
  <c r="S306" i="12"/>
  <c r="S307" i="12"/>
  <c r="S308" i="12"/>
  <c r="S309" i="12"/>
  <c r="S310" i="12"/>
  <c r="S311" i="12"/>
  <c r="S312" i="12"/>
  <c r="S313" i="12"/>
  <c r="S314" i="12"/>
  <c r="S315" i="12"/>
  <c r="S316" i="12"/>
  <c r="S317" i="12"/>
  <c r="S318" i="12"/>
  <c r="S319" i="12"/>
  <c r="S320" i="12"/>
  <c r="S321" i="12"/>
  <c r="S322" i="12"/>
  <c r="S323" i="12"/>
  <c r="S324" i="12"/>
  <c r="S325" i="12"/>
  <c r="S326" i="12"/>
  <c r="S327" i="12"/>
  <c r="S328" i="12"/>
  <c r="S329" i="12"/>
  <c r="S330" i="12"/>
  <c r="S331" i="12"/>
  <c r="S332" i="12"/>
  <c r="S333" i="12"/>
  <c r="S334" i="12"/>
  <c r="S335" i="12"/>
  <c r="S336" i="12"/>
  <c r="S337" i="12"/>
  <c r="S338" i="12"/>
  <c r="S339" i="12"/>
  <c r="S340" i="12"/>
  <c r="S341" i="12"/>
  <c r="S342" i="12"/>
  <c r="S343" i="12"/>
  <c r="S344" i="12"/>
  <c r="S345" i="12"/>
  <c r="S346" i="12"/>
  <c r="S347" i="12"/>
  <c r="S348" i="12"/>
  <c r="S349" i="12"/>
  <c r="S350" i="12"/>
  <c r="S351" i="12"/>
  <c r="S352" i="12"/>
  <c r="S353" i="12"/>
  <c r="S354" i="12"/>
  <c r="S355" i="12"/>
  <c r="S356" i="12"/>
  <c r="S357" i="12"/>
  <c r="S358" i="12"/>
  <c r="S359" i="12"/>
  <c r="S360" i="12"/>
  <c r="S361" i="12"/>
  <c r="S362" i="12"/>
  <c r="S363" i="12"/>
  <c r="S364" i="12"/>
  <c r="S365" i="12"/>
  <c r="S366" i="12"/>
  <c r="S367" i="12"/>
  <c r="S368" i="12"/>
  <c r="S369" i="12"/>
  <c r="S370" i="12"/>
  <c r="S371" i="12"/>
  <c r="S372" i="12"/>
  <c r="S373" i="12"/>
  <c r="S374" i="12"/>
  <c r="S375" i="12"/>
  <c r="S376" i="12"/>
  <c r="S377" i="12"/>
  <c r="S378" i="12"/>
  <c r="S379" i="12"/>
  <c r="S380" i="12"/>
  <c r="S381" i="12"/>
  <c r="S382" i="12"/>
  <c r="S383" i="12"/>
  <c r="S384" i="12"/>
  <c r="S385" i="12"/>
  <c r="S386" i="12"/>
  <c r="S387" i="12"/>
  <c r="S388" i="12"/>
  <c r="S389" i="12"/>
  <c r="S390" i="12"/>
  <c r="S391" i="12"/>
  <c r="S392" i="12"/>
  <c r="S393" i="12"/>
  <c r="S394" i="12"/>
  <c r="S395" i="12"/>
  <c r="S396" i="12"/>
  <c r="S397" i="12"/>
  <c r="S398" i="12"/>
  <c r="S399" i="12"/>
  <c r="S400" i="12"/>
  <c r="S401" i="12"/>
  <c r="S402" i="12"/>
  <c r="S403" i="12"/>
  <c r="S404" i="12"/>
  <c r="S3" i="12"/>
  <c r="S4" i="12"/>
  <c r="S5" i="12"/>
  <c r="S6" i="12"/>
  <c r="S7" i="12"/>
  <c r="S8" i="12"/>
  <c r="S9" i="12"/>
  <c r="S10" i="12"/>
  <c r="S11" i="12"/>
  <c r="S12" i="12"/>
  <c r="S13" i="12"/>
  <c r="S14" i="12"/>
  <c r="S15" i="12"/>
  <c r="S16" i="12"/>
  <c r="S17" i="12"/>
  <c r="S18" i="12"/>
  <c r="S19" i="12"/>
  <c r="S20" i="12"/>
  <c r="S21" i="12"/>
  <c r="S22" i="12"/>
  <c r="S23" i="12"/>
  <c r="S24" i="12"/>
  <c r="S25" i="12"/>
  <c r="S26" i="12"/>
  <c r="S27" i="12"/>
  <c r="S28" i="12"/>
  <c r="S29" i="12"/>
  <c r="S30" i="12"/>
  <c r="S31" i="12"/>
  <c r="S32" i="12"/>
  <c r="S33" i="12"/>
  <c r="S34" i="12"/>
  <c r="S35" i="12"/>
  <c r="S36" i="12"/>
  <c r="S37" i="12"/>
  <c r="S38" i="12"/>
  <c r="S39" i="12"/>
  <c r="S40" i="12"/>
  <c r="S41" i="12"/>
  <c r="S42" i="12"/>
  <c r="S43" i="12"/>
  <c r="S44" i="12"/>
  <c r="S45" i="12"/>
  <c r="S46" i="12"/>
  <c r="S47" i="12"/>
  <c r="S48" i="12"/>
  <c r="S49" i="12"/>
  <c r="S50" i="12"/>
  <c r="S51" i="12"/>
  <c r="S52" i="12"/>
  <c r="S53" i="12"/>
  <c r="S54" i="12"/>
  <c r="S55" i="12"/>
  <c r="S56" i="12"/>
  <c r="S57" i="12"/>
  <c r="S58" i="12"/>
  <c r="S59" i="12"/>
  <c r="S60" i="12"/>
  <c r="S61" i="12"/>
  <c r="S62" i="12"/>
  <c r="S63" i="12"/>
  <c r="S64" i="12"/>
  <c r="S65" i="12"/>
  <c r="S66" i="12"/>
  <c r="S67" i="12"/>
  <c r="S68" i="12"/>
  <c r="S69" i="12"/>
  <c r="S70" i="12"/>
  <c r="S71" i="12"/>
  <c r="S72" i="12"/>
  <c r="S73" i="12"/>
  <c r="S74" i="12"/>
  <c r="S75" i="12"/>
  <c r="S76" i="12"/>
  <c r="S77" i="12"/>
  <c r="S78" i="12"/>
  <c r="S79" i="12"/>
  <c r="S80" i="12"/>
  <c r="S81" i="12"/>
  <c r="S82" i="12"/>
  <c r="S83" i="12"/>
  <c r="S84" i="12"/>
  <c r="S85" i="12"/>
  <c r="S86" i="12"/>
  <c r="S87" i="12"/>
  <c r="S88" i="12"/>
  <c r="S89" i="12"/>
  <c r="S90" i="12"/>
  <c r="S91" i="12"/>
  <c r="S92" i="12"/>
  <c r="S93" i="12"/>
  <c r="S94" i="12"/>
  <c r="S95" i="12"/>
  <c r="S96" i="12"/>
  <c r="S97" i="12"/>
  <c r="S98" i="12"/>
  <c r="S99" i="12"/>
  <c r="S100" i="12"/>
  <c r="S101" i="12"/>
  <c r="S102" i="12"/>
  <c r="S103" i="12"/>
  <c r="S104" i="12"/>
  <c r="S105" i="12"/>
  <c r="S106" i="12"/>
  <c r="S107" i="12"/>
  <c r="S108" i="12"/>
  <c r="S109" i="12"/>
  <c r="S110" i="12"/>
  <c r="S111" i="12"/>
  <c r="S112" i="12"/>
  <c r="S113" i="12"/>
  <c r="S114" i="12"/>
  <c r="S115" i="12"/>
  <c r="S116" i="12"/>
  <c r="S117" i="12"/>
  <c r="S118" i="12"/>
  <c r="S119" i="12"/>
  <c r="S120" i="12"/>
  <c r="S121" i="12"/>
  <c r="S122" i="12"/>
  <c r="S123" i="12"/>
  <c r="S124" i="12"/>
  <c r="S125" i="12"/>
  <c r="S126" i="12"/>
  <c r="S127" i="12"/>
  <c r="S128" i="12"/>
  <c r="S129" i="12"/>
  <c r="S130" i="12"/>
  <c r="S131" i="12"/>
  <c r="S132" i="12"/>
  <c r="S133" i="12"/>
  <c r="S134" i="12"/>
  <c r="S135" i="12"/>
  <c r="S136" i="12"/>
  <c r="S137" i="12"/>
  <c r="S138" i="12"/>
  <c r="S139" i="12"/>
  <c r="S140" i="12"/>
  <c r="S141" i="12"/>
  <c r="S142" i="12"/>
  <c r="S143" i="12"/>
  <c r="S144" i="12"/>
  <c r="S145" i="12"/>
  <c r="S146" i="12"/>
  <c r="S147" i="12"/>
  <c r="S148" i="12"/>
  <c r="S149" i="12"/>
  <c r="S150" i="12"/>
  <c r="S151" i="12"/>
  <c r="S152" i="12"/>
  <c r="S153" i="12"/>
  <c r="S154" i="12"/>
  <c r="S155" i="12"/>
  <c r="S156" i="12"/>
  <c r="S157" i="12"/>
  <c r="S158" i="12"/>
  <c r="S159" i="12"/>
  <c r="S160" i="12"/>
  <c r="S161" i="12"/>
  <c r="S162" i="12"/>
  <c r="S163" i="12"/>
  <c r="S164" i="12"/>
  <c r="S165" i="12"/>
  <c r="S166" i="12"/>
  <c r="S167" i="12"/>
  <c r="S168" i="12"/>
  <c r="S169" i="12"/>
  <c r="S170" i="12"/>
  <c r="S171" i="12"/>
  <c r="S172" i="12"/>
  <c r="S173" i="12"/>
  <c r="S174" i="12"/>
  <c r="S175" i="12"/>
  <c r="S176" i="12"/>
  <c r="S177" i="12"/>
  <c r="S178" i="12"/>
  <c r="S179" i="12"/>
  <c r="S180" i="12"/>
  <c r="S181" i="12"/>
  <c r="S182" i="12"/>
  <c r="S183" i="12"/>
  <c r="S184" i="12"/>
  <c r="S185" i="12"/>
  <c r="S186" i="12"/>
  <c r="S187" i="12"/>
  <c r="S188" i="12"/>
  <c r="S189" i="12"/>
  <c r="S190" i="12"/>
  <c r="S191" i="12"/>
  <c r="R361" i="12"/>
  <c r="Q192" i="12"/>
  <c r="U192" i="12" s="1"/>
  <c r="Q193" i="12"/>
  <c r="U193" i="12" s="1"/>
  <c r="Q194" i="12"/>
  <c r="U194" i="12" s="1"/>
  <c r="Q195" i="12"/>
  <c r="U195" i="12" s="1"/>
  <c r="Q196" i="12"/>
  <c r="R196" i="12" s="1"/>
  <c r="Q197" i="12"/>
  <c r="R197" i="12" s="1"/>
  <c r="Q198" i="12"/>
  <c r="R198" i="12" s="1"/>
  <c r="Q199" i="12"/>
  <c r="U199" i="12" s="1"/>
  <c r="Q200" i="12"/>
  <c r="U200" i="12" s="1"/>
  <c r="Q201" i="12"/>
  <c r="U201" i="12" s="1"/>
  <c r="Q202" i="12"/>
  <c r="U202" i="12" s="1"/>
  <c r="Q203" i="12"/>
  <c r="U203" i="12" s="1"/>
  <c r="Q204" i="12"/>
  <c r="U204" i="12" s="1"/>
  <c r="Q205" i="12"/>
  <c r="U205" i="12" s="1"/>
  <c r="Q206" i="12"/>
  <c r="U206" i="12" s="1"/>
  <c r="Q207" i="12"/>
  <c r="U207" i="12" s="1"/>
  <c r="Q208" i="12"/>
  <c r="U208" i="12" s="1"/>
  <c r="Q209" i="12"/>
  <c r="U209" i="12" s="1"/>
  <c r="Q210" i="12"/>
  <c r="U210" i="12" s="1"/>
  <c r="Q211" i="12"/>
  <c r="U211" i="12" s="1"/>
  <c r="Q212" i="12"/>
  <c r="R212" i="12" s="1"/>
  <c r="Q213" i="12"/>
  <c r="R213" i="12" s="1"/>
  <c r="Q214" i="12"/>
  <c r="U214" i="12" s="1"/>
  <c r="Q215" i="12"/>
  <c r="U215" i="12" s="1"/>
  <c r="Q216" i="12"/>
  <c r="U216" i="12" s="1"/>
  <c r="Q217" i="12"/>
  <c r="R217" i="12" s="1"/>
  <c r="Q218" i="12"/>
  <c r="U218" i="12" s="1"/>
  <c r="Q219" i="12"/>
  <c r="R219" i="12" s="1"/>
  <c r="Q220" i="12"/>
  <c r="R220" i="12" s="1"/>
  <c r="Q221" i="12"/>
  <c r="R221" i="12" s="1"/>
  <c r="Q222" i="12"/>
  <c r="R222" i="12" s="1"/>
  <c r="Q223" i="12"/>
  <c r="U223" i="12" s="1"/>
  <c r="Q224" i="12"/>
  <c r="U224" i="12" s="1"/>
  <c r="Q225" i="12"/>
  <c r="U225" i="12" s="1"/>
  <c r="Q226" i="12"/>
  <c r="U226" i="12" s="1"/>
  <c r="Q227" i="12"/>
  <c r="U227" i="12" s="1"/>
  <c r="Q228" i="12"/>
  <c r="U228" i="12" s="1"/>
  <c r="Q229" i="12"/>
  <c r="U229" i="12" s="1"/>
  <c r="Q230" i="12"/>
  <c r="U230" i="12" s="1"/>
  <c r="Q231" i="12"/>
  <c r="U231" i="12" s="1"/>
  <c r="Q232" i="12"/>
  <c r="U232" i="12" s="1"/>
  <c r="Q233" i="12"/>
  <c r="U233" i="12" s="1"/>
  <c r="Q234" i="12"/>
  <c r="U234" i="12" s="1"/>
  <c r="Q235" i="12"/>
  <c r="R235" i="12" s="1"/>
  <c r="Q236" i="12"/>
  <c r="R236" i="12" s="1"/>
  <c r="Q237" i="12"/>
  <c r="R237" i="12" s="1"/>
  <c r="Q238" i="12"/>
  <c r="U238" i="12" s="1"/>
  <c r="Q239" i="12"/>
  <c r="U239" i="12" s="1"/>
  <c r="Q240" i="12"/>
  <c r="U240" i="12" s="1"/>
  <c r="Q241" i="12"/>
  <c r="U241" i="12" s="1"/>
  <c r="Q242" i="12"/>
  <c r="U242" i="12" s="1"/>
  <c r="Q243" i="12"/>
  <c r="U243" i="12" s="1"/>
  <c r="Q244" i="12"/>
  <c r="U244" i="12" s="1"/>
  <c r="Q245" i="12"/>
  <c r="U245" i="12" s="1"/>
  <c r="Q246" i="12"/>
  <c r="U246" i="12" s="1"/>
  <c r="Q247" i="12"/>
  <c r="U247" i="12" s="1"/>
  <c r="Q248" i="12"/>
  <c r="U248" i="12" s="1"/>
  <c r="Q249" i="12"/>
  <c r="U249" i="12" s="1"/>
  <c r="Q250" i="12"/>
  <c r="U250" i="12" s="1"/>
  <c r="Q251" i="12"/>
  <c r="U251" i="12" s="1"/>
  <c r="Q252" i="12"/>
  <c r="U252" i="12" s="1"/>
  <c r="Q253" i="12"/>
  <c r="U253" i="12" s="1"/>
  <c r="Q254" i="12"/>
  <c r="U254" i="12" s="1"/>
  <c r="Q255" i="12"/>
  <c r="U255" i="12" s="1"/>
  <c r="Q256" i="12"/>
  <c r="U256" i="12" s="1"/>
  <c r="Q257" i="12"/>
  <c r="U257" i="12" s="1"/>
  <c r="Q258" i="12"/>
  <c r="U258" i="12" s="1"/>
  <c r="Q259" i="12"/>
  <c r="U259" i="12" s="1"/>
  <c r="Q260" i="12"/>
  <c r="R260" i="12" s="1"/>
  <c r="Q261" i="12"/>
  <c r="R261" i="12" s="1"/>
  <c r="Q262" i="12"/>
  <c r="R262" i="12" s="1"/>
  <c r="Q263" i="12"/>
  <c r="U263" i="12" s="1"/>
  <c r="Q264" i="12"/>
  <c r="U264" i="12" s="1"/>
  <c r="Q265" i="12"/>
  <c r="R265" i="12" s="1"/>
  <c r="Q266" i="12"/>
  <c r="U266" i="12" s="1"/>
  <c r="Q267" i="12"/>
  <c r="R267" i="12" s="1"/>
  <c r="Q268" i="12"/>
  <c r="U268" i="12" s="1"/>
  <c r="Q269" i="12"/>
  <c r="U269" i="12" s="1"/>
  <c r="Q270" i="12"/>
  <c r="U270" i="12" s="1"/>
  <c r="Q271" i="12"/>
  <c r="U271" i="12" s="1"/>
  <c r="Q272" i="12"/>
  <c r="U272" i="12" s="1"/>
  <c r="Q273" i="12"/>
  <c r="U273" i="12" s="1"/>
  <c r="Q274" i="12"/>
  <c r="U274" i="12" s="1"/>
  <c r="Q275" i="12"/>
  <c r="U275" i="12" s="1"/>
  <c r="Q276" i="12"/>
  <c r="R276" i="12" s="1"/>
  <c r="Q277" i="12"/>
  <c r="R277" i="12" s="1"/>
  <c r="Q278" i="12"/>
  <c r="U278" i="12" s="1"/>
  <c r="Q279" i="12"/>
  <c r="U279" i="12" s="1"/>
  <c r="Q280" i="12"/>
  <c r="R280" i="12" s="1"/>
  <c r="Q281" i="12"/>
  <c r="U281" i="12" s="1"/>
  <c r="Q282" i="12"/>
  <c r="U282" i="12" s="1"/>
  <c r="Q283" i="12"/>
  <c r="U283" i="12" s="1"/>
  <c r="Q284" i="12"/>
  <c r="R284" i="12" s="1"/>
  <c r="Q285" i="12"/>
  <c r="R285" i="12" s="1"/>
  <c r="Q286" i="12"/>
  <c r="R286" i="12" s="1"/>
  <c r="Q287" i="12"/>
  <c r="U287" i="12" s="1"/>
  <c r="Q288" i="12"/>
  <c r="R288" i="12" s="1"/>
  <c r="Q289" i="12"/>
  <c r="U289" i="12" s="1"/>
  <c r="Q290" i="12"/>
  <c r="U290" i="12" s="1"/>
  <c r="Q291" i="12"/>
  <c r="U291" i="12" s="1"/>
  <c r="Q292" i="12"/>
  <c r="U292" i="12" s="1"/>
  <c r="Q293" i="12"/>
  <c r="U293" i="12" s="1"/>
  <c r="Q294" i="12"/>
  <c r="U294" i="12" s="1"/>
  <c r="Q295" i="12"/>
  <c r="U295" i="12" s="1"/>
  <c r="Q296" i="12"/>
  <c r="R296" i="12" s="1"/>
  <c r="Q297" i="12"/>
  <c r="U297" i="12" s="1"/>
  <c r="Q298" i="12"/>
  <c r="U298" i="12" s="1"/>
  <c r="Q299" i="12"/>
  <c r="R299" i="12" s="1"/>
  <c r="Q300" i="12"/>
  <c r="U300" i="12" s="1"/>
  <c r="Q301" i="12"/>
  <c r="U301" i="12" s="1"/>
  <c r="Q302" i="12"/>
  <c r="U302" i="12" s="1"/>
  <c r="Q303" i="12"/>
  <c r="U303" i="12" s="1"/>
  <c r="Q304" i="12"/>
  <c r="U304" i="12" s="1"/>
  <c r="Q305" i="12"/>
  <c r="U305" i="12" s="1"/>
  <c r="Q306" i="12"/>
  <c r="U306" i="12" s="1"/>
  <c r="Q307" i="12"/>
  <c r="U307" i="12" s="1"/>
  <c r="Q308" i="12"/>
  <c r="R308" i="12" s="1"/>
  <c r="Q309" i="12"/>
  <c r="R309" i="12" s="1"/>
  <c r="Q310" i="12"/>
  <c r="U310" i="12" s="1"/>
  <c r="Q311" i="12"/>
  <c r="U311" i="12" s="1"/>
  <c r="Q312" i="12"/>
  <c r="R312" i="12" s="1"/>
  <c r="Q313" i="12"/>
  <c r="U313" i="12" s="1"/>
  <c r="Q314" i="12"/>
  <c r="U314" i="12" s="1"/>
  <c r="Q315" i="12"/>
  <c r="U315" i="12" s="1"/>
  <c r="Q316" i="12"/>
  <c r="R316" i="12" s="1"/>
  <c r="Q317" i="12"/>
  <c r="R317" i="12" s="1"/>
  <c r="Q318" i="12"/>
  <c r="R318" i="12" s="1"/>
  <c r="Q319" i="12"/>
  <c r="U319" i="12" s="1"/>
  <c r="Q320" i="12"/>
  <c r="R320" i="12" s="1"/>
  <c r="Q321" i="12"/>
  <c r="U321" i="12" s="1"/>
  <c r="Q322" i="12"/>
  <c r="U322" i="12" s="1"/>
  <c r="Q323" i="12"/>
  <c r="R323" i="12" s="1"/>
  <c r="Q324" i="12"/>
  <c r="U324" i="12" s="1"/>
  <c r="Q325" i="12"/>
  <c r="U325" i="12" s="1"/>
  <c r="Q326" i="12"/>
  <c r="U326" i="12" s="1"/>
  <c r="Q327" i="12"/>
  <c r="U327" i="12" s="1"/>
  <c r="Q328" i="12"/>
  <c r="R328" i="12" s="1"/>
  <c r="Q329" i="12"/>
  <c r="U329" i="12" s="1"/>
  <c r="Q330" i="12"/>
  <c r="U330" i="12" s="1"/>
  <c r="Q331" i="12"/>
  <c r="R331" i="12" s="1"/>
  <c r="Q332" i="12"/>
  <c r="U332" i="12" s="1"/>
  <c r="Q333" i="12"/>
  <c r="U333" i="12" s="1"/>
  <c r="Q334" i="12"/>
  <c r="U334" i="12" s="1"/>
  <c r="Q335" i="12"/>
  <c r="U335" i="12" s="1"/>
  <c r="Q336" i="12"/>
  <c r="U336" i="12" s="1"/>
  <c r="Q337" i="12"/>
  <c r="U337" i="12" s="1"/>
  <c r="Q338" i="12"/>
  <c r="U338" i="12" s="1"/>
  <c r="Q339" i="12"/>
  <c r="U339" i="12" s="1"/>
  <c r="Q340" i="12"/>
  <c r="R340" i="12" s="1"/>
  <c r="Q341" i="12"/>
  <c r="R341" i="12" s="1"/>
  <c r="Q342" i="12"/>
  <c r="U342" i="12" s="1"/>
  <c r="Q343" i="12"/>
  <c r="U343" i="12" s="1"/>
  <c r="Q344" i="12"/>
  <c r="R344" i="12" s="1"/>
  <c r="Q345" i="12"/>
  <c r="U345" i="12" s="1"/>
  <c r="Q346" i="12"/>
  <c r="U346" i="12" s="1"/>
  <c r="Q347" i="12"/>
  <c r="U347" i="12" s="1"/>
  <c r="Q348" i="12"/>
  <c r="R348" i="12" s="1"/>
  <c r="Q349" i="12"/>
  <c r="R349" i="12" s="1"/>
  <c r="Q350" i="12"/>
  <c r="R350" i="12" s="1"/>
  <c r="Q351" i="12"/>
  <c r="U351" i="12" s="1"/>
  <c r="Q352" i="12"/>
  <c r="R352" i="12" s="1"/>
  <c r="Q353" i="12"/>
  <c r="U353" i="12" s="1"/>
  <c r="Q354" i="12"/>
  <c r="U354" i="12" s="1"/>
  <c r="Q355" i="12"/>
  <c r="U355" i="12" s="1"/>
  <c r="Q356" i="12"/>
  <c r="U356" i="12" s="1"/>
  <c r="Q357" i="12"/>
  <c r="U357" i="12" s="1"/>
  <c r="Q358" i="12"/>
  <c r="U358" i="12" s="1"/>
  <c r="Q359" i="12"/>
  <c r="U359" i="12" s="1"/>
  <c r="Q360" i="12"/>
  <c r="R360" i="12" s="1"/>
  <c r="Q361" i="12"/>
  <c r="U361" i="12" s="1"/>
  <c r="Q362" i="12"/>
  <c r="U362" i="12" s="1"/>
  <c r="Q363" i="12"/>
  <c r="R363" i="12" s="1"/>
  <c r="Q364" i="12"/>
  <c r="U364" i="12" s="1"/>
  <c r="Q365" i="12"/>
  <c r="U365" i="12" s="1"/>
  <c r="Q366" i="12"/>
  <c r="U366" i="12" s="1"/>
  <c r="Q367" i="12"/>
  <c r="U367" i="12" s="1"/>
  <c r="Q368" i="12"/>
  <c r="U368" i="12" s="1"/>
  <c r="Q369" i="12"/>
  <c r="U369" i="12" s="1"/>
  <c r="Q370" i="12"/>
  <c r="U370" i="12" s="1"/>
  <c r="Q371" i="12"/>
  <c r="U371" i="12" s="1"/>
  <c r="Q372" i="12"/>
  <c r="R372" i="12" s="1"/>
  <c r="Q373" i="12"/>
  <c r="R373" i="12" s="1"/>
  <c r="Q374" i="12"/>
  <c r="U374" i="12" s="1"/>
  <c r="Q375" i="12"/>
  <c r="U375" i="12" s="1"/>
  <c r="Q376" i="12"/>
  <c r="R376" i="12" s="1"/>
  <c r="Q377" i="12"/>
  <c r="U377" i="12" s="1"/>
  <c r="Q378" i="12"/>
  <c r="U378" i="12" s="1"/>
  <c r="Q379" i="12"/>
  <c r="U379" i="12" s="1"/>
  <c r="Q380" i="12"/>
  <c r="R380" i="12" s="1"/>
  <c r="Q381" i="12"/>
  <c r="R381" i="12" s="1"/>
  <c r="Q382" i="12"/>
  <c r="R382" i="12" s="1"/>
  <c r="Q383" i="12"/>
  <c r="U383" i="12" s="1"/>
  <c r="Q384" i="12"/>
  <c r="R384" i="12" s="1"/>
  <c r="Q385" i="12"/>
  <c r="U385" i="12" s="1"/>
  <c r="Q386" i="12"/>
  <c r="U386" i="12" s="1"/>
  <c r="Q387" i="12"/>
  <c r="R387" i="12" s="1"/>
  <c r="Q388" i="12"/>
  <c r="U388" i="12" s="1"/>
  <c r="Q389" i="12"/>
  <c r="U389" i="12" s="1"/>
  <c r="Q390" i="12"/>
  <c r="U390" i="12" s="1"/>
  <c r="Q391" i="12"/>
  <c r="U391" i="12" s="1"/>
  <c r="Q392" i="12"/>
  <c r="R392" i="12" s="1"/>
  <c r="Q393" i="12"/>
  <c r="U393" i="12" s="1"/>
  <c r="Q394" i="12"/>
  <c r="U394" i="12" s="1"/>
  <c r="Q395" i="12"/>
  <c r="R395" i="12" s="1"/>
  <c r="Q396" i="12"/>
  <c r="U396" i="12" s="1"/>
  <c r="Q397" i="12"/>
  <c r="U397" i="12" s="1"/>
  <c r="Q398" i="12"/>
  <c r="U398" i="12" s="1"/>
  <c r="Q399" i="12"/>
  <c r="U399" i="12" s="1"/>
  <c r="Q400" i="12"/>
  <c r="U400" i="12" s="1"/>
  <c r="Q401" i="12"/>
  <c r="U401" i="12" s="1"/>
  <c r="Q402" i="12"/>
  <c r="U402" i="12" s="1"/>
  <c r="Q403" i="12"/>
  <c r="U403" i="12" s="1"/>
  <c r="Q404" i="12"/>
  <c r="R404" i="12" s="1"/>
  <c r="Q3" i="12"/>
  <c r="Q4" i="12"/>
  <c r="Q5" i="12"/>
  <c r="Q6" i="12"/>
  <c r="Q7" i="12"/>
  <c r="Q8" i="12"/>
  <c r="Q9" i="12"/>
  <c r="Q10" i="12"/>
  <c r="Q11" i="12"/>
  <c r="Q12" i="12"/>
  <c r="Q13" i="12"/>
  <c r="Q14" i="12"/>
  <c r="Q15" i="12"/>
  <c r="Q16" i="12"/>
  <c r="Q17" i="12"/>
  <c r="Q18" i="12"/>
  <c r="Q19" i="12"/>
  <c r="Q20" i="12"/>
  <c r="Q21" i="12"/>
  <c r="Q22" i="12"/>
  <c r="Q23" i="12"/>
  <c r="Q24" i="12"/>
  <c r="Q25" i="12"/>
  <c r="Q26" i="12"/>
  <c r="Q27" i="12"/>
  <c r="Q28" i="12"/>
  <c r="Q29" i="12"/>
  <c r="Q30" i="12"/>
  <c r="Q31" i="12"/>
  <c r="Q32" i="12"/>
  <c r="Q33" i="12"/>
  <c r="Q34" i="12"/>
  <c r="Q35" i="12"/>
  <c r="Q36" i="12"/>
  <c r="Q37" i="12"/>
  <c r="Q38" i="12"/>
  <c r="Q39" i="12"/>
  <c r="Q40" i="12"/>
  <c r="Q41" i="12"/>
  <c r="Q42" i="12"/>
  <c r="Q43" i="12"/>
  <c r="Q44" i="12"/>
  <c r="Q45" i="12"/>
  <c r="Q46" i="12"/>
  <c r="Q47" i="12"/>
  <c r="Q48" i="12"/>
  <c r="Q49" i="12"/>
  <c r="Q50" i="12"/>
  <c r="Q51" i="12"/>
  <c r="Q52" i="12"/>
  <c r="Q53" i="12"/>
  <c r="Q54" i="12"/>
  <c r="Q55" i="12"/>
  <c r="Q56" i="12"/>
  <c r="Q57" i="12"/>
  <c r="Q58" i="12"/>
  <c r="Q59" i="12"/>
  <c r="Q60" i="12"/>
  <c r="Q61" i="12"/>
  <c r="Q62" i="12"/>
  <c r="Q63" i="12"/>
  <c r="Q64" i="12"/>
  <c r="Q65" i="12"/>
  <c r="Q66" i="12"/>
  <c r="Q67" i="12"/>
  <c r="Q68" i="12"/>
  <c r="Q69" i="12"/>
  <c r="Q70" i="12"/>
  <c r="Q71" i="12"/>
  <c r="Q72" i="12"/>
  <c r="Q73" i="12"/>
  <c r="Q74" i="12"/>
  <c r="Q75" i="12"/>
  <c r="Q76" i="12"/>
  <c r="Q77" i="12"/>
  <c r="Q78" i="12"/>
  <c r="Q79" i="12"/>
  <c r="Q80" i="12"/>
  <c r="Q81" i="12"/>
  <c r="Q82" i="12"/>
  <c r="Q83" i="12"/>
  <c r="Q84" i="12"/>
  <c r="Q85" i="12"/>
  <c r="Q86" i="12"/>
  <c r="Q87" i="12"/>
  <c r="Q88" i="12"/>
  <c r="Q89" i="12"/>
  <c r="Q90" i="12"/>
  <c r="Q91" i="12"/>
  <c r="Q92" i="12"/>
  <c r="Q93" i="12"/>
  <c r="Q94" i="12"/>
  <c r="Q95" i="12"/>
  <c r="Q96" i="12"/>
  <c r="Q97" i="12"/>
  <c r="Q98" i="12"/>
  <c r="Q99" i="12"/>
  <c r="Q100" i="12"/>
  <c r="Q101" i="12"/>
  <c r="Q102" i="12"/>
  <c r="Q103" i="12"/>
  <c r="Q104" i="12"/>
  <c r="Q105" i="12"/>
  <c r="Q106" i="12"/>
  <c r="Q107" i="12"/>
  <c r="Q108" i="12"/>
  <c r="Q109" i="12"/>
  <c r="Q110" i="12"/>
  <c r="Q111" i="12"/>
  <c r="Q112" i="12"/>
  <c r="Q113" i="12"/>
  <c r="Q114" i="12"/>
  <c r="Q115" i="12"/>
  <c r="Q116" i="12"/>
  <c r="Q117" i="12"/>
  <c r="Q118" i="12"/>
  <c r="Q119" i="12"/>
  <c r="Q120" i="12"/>
  <c r="Q121" i="12"/>
  <c r="Q122" i="12"/>
  <c r="Q123" i="12"/>
  <c r="Q124" i="12"/>
  <c r="Q125" i="12"/>
  <c r="Q126" i="12"/>
  <c r="Q127" i="12"/>
  <c r="Q128" i="12"/>
  <c r="Q129" i="12"/>
  <c r="Q130" i="12"/>
  <c r="Q131" i="12"/>
  <c r="Q132" i="12"/>
  <c r="Q133" i="12"/>
  <c r="Q134" i="12"/>
  <c r="Q135" i="12"/>
  <c r="Q136" i="12"/>
  <c r="Q137" i="12"/>
  <c r="Q138" i="12"/>
  <c r="Q139" i="12"/>
  <c r="Q140" i="12"/>
  <c r="Q141" i="12"/>
  <c r="Q142" i="12"/>
  <c r="Q143" i="12"/>
  <c r="Q144" i="12"/>
  <c r="Q145" i="12"/>
  <c r="Q146" i="12"/>
  <c r="Q147" i="12"/>
  <c r="Q148" i="12"/>
  <c r="Q149" i="12"/>
  <c r="Q150" i="12"/>
  <c r="Q151" i="12"/>
  <c r="Q152" i="12"/>
  <c r="Q153" i="12"/>
  <c r="Q154" i="12"/>
  <c r="Q155" i="12"/>
  <c r="Q156" i="12"/>
  <c r="Q157" i="12"/>
  <c r="Q158" i="12"/>
  <c r="Q159" i="12"/>
  <c r="Q160" i="12"/>
  <c r="Q161" i="12"/>
  <c r="Q162" i="12"/>
  <c r="Q163" i="12"/>
  <c r="Q164" i="12"/>
  <c r="Q165" i="12"/>
  <c r="Q166" i="12"/>
  <c r="Q167" i="12"/>
  <c r="Q168" i="12"/>
  <c r="Q169" i="12"/>
  <c r="Q170" i="12"/>
  <c r="Q171" i="12"/>
  <c r="Q172" i="12"/>
  <c r="Q173" i="12"/>
  <c r="Q174" i="12"/>
  <c r="Q175" i="12"/>
  <c r="Q176" i="12"/>
  <c r="Q177" i="12"/>
  <c r="Q178" i="12"/>
  <c r="Q179" i="12"/>
  <c r="Q180" i="12"/>
  <c r="Q181" i="12"/>
  <c r="Q182" i="12"/>
  <c r="Q183" i="12"/>
  <c r="Q184" i="12"/>
  <c r="Q185" i="12"/>
  <c r="Q186" i="12"/>
  <c r="Q187" i="12"/>
  <c r="Q188" i="12"/>
  <c r="Q189" i="12"/>
  <c r="Q190" i="12"/>
  <c r="Q191" i="12"/>
  <c r="Q2" i="12"/>
  <c r="P192" i="12"/>
  <c r="P193" i="12"/>
  <c r="P194" i="12"/>
  <c r="P195" i="12"/>
  <c r="P196" i="12"/>
  <c r="P197" i="12"/>
  <c r="P198" i="12"/>
  <c r="P199" i="12"/>
  <c r="P200" i="12"/>
  <c r="P201" i="12"/>
  <c r="P202" i="12"/>
  <c r="P203" i="12"/>
  <c r="P204" i="12"/>
  <c r="P205" i="12"/>
  <c r="P206" i="12"/>
  <c r="P207" i="12"/>
  <c r="P208" i="12"/>
  <c r="P209" i="12"/>
  <c r="P210" i="12"/>
  <c r="P211" i="12"/>
  <c r="P212" i="12"/>
  <c r="P213" i="12"/>
  <c r="P214" i="12"/>
  <c r="P215" i="12"/>
  <c r="P216" i="12"/>
  <c r="P217" i="12"/>
  <c r="P218" i="12"/>
  <c r="P219" i="12"/>
  <c r="P220" i="12"/>
  <c r="P221" i="12"/>
  <c r="P222" i="12"/>
  <c r="P223" i="12"/>
  <c r="P224" i="12"/>
  <c r="P225" i="12"/>
  <c r="P226" i="12"/>
  <c r="P227" i="12"/>
  <c r="P228" i="12"/>
  <c r="P229" i="12"/>
  <c r="P230" i="12"/>
  <c r="P231" i="12"/>
  <c r="P232" i="12"/>
  <c r="P233" i="12"/>
  <c r="P234" i="12"/>
  <c r="P235" i="12"/>
  <c r="P236" i="12"/>
  <c r="P237" i="12"/>
  <c r="P238" i="12"/>
  <c r="P239" i="12"/>
  <c r="P240" i="12"/>
  <c r="P241" i="12"/>
  <c r="P242" i="12"/>
  <c r="P243" i="12"/>
  <c r="P244" i="12"/>
  <c r="P245" i="12"/>
  <c r="P246" i="12"/>
  <c r="P247" i="12"/>
  <c r="P248" i="12"/>
  <c r="P249" i="12"/>
  <c r="P250" i="12"/>
  <c r="P251" i="12"/>
  <c r="P252" i="12"/>
  <c r="P253" i="12"/>
  <c r="P254" i="12"/>
  <c r="P255" i="12"/>
  <c r="P256" i="12"/>
  <c r="P257" i="12"/>
  <c r="P258" i="12"/>
  <c r="P259" i="12"/>
  <c r="P260" i="12"/>
  <c r="P261" i="12"/>
  <c r="P262" i="12"/>
  <c r="P263" i="12"/>
  <c r="P264" i="12"/>
  <c r="P265" i="12"/>
  <c r="P266" i="12"/>
  <c r="P267" i="12"/>
  <c r="P268" i="12"/>
  <c r="P269" i="12"/>
  <c r="P270" i="12"/>
  <c r="P271" i="12"/>
  <c r="P272" i="12"/>
  <c r="P273" i="12"/>
  <c r="P274" i="12"/>
  <c r="P275" i="12"/>
  <c r="P276" i="12"/>
  <c r="P277" i="12"/>
  <c r="P278" i="12"/>
  <c r="P279" i="12"/>
  <c r="P280" i="12"/>
  <c r="P281" i="12"/>
  <c r="P282" i="12"/>
  <c r="P283" i="12"/>
  <c r="P284" i="12"/>
  <c r="P285" i="12"/>
  <c r="P286" i="12"/>
  <c r="P287" i="12"/>
  <c r="P288" i="12"/>
  <c r="P289" i="12"/>
  <c r="P290" i="12"/>
  <c r="P291" i="12"/>
  <c r="P292" i="12"/>
  <c r="P293" i="12"/>
  <c r="P294" i="12"/>
  <c r="P295" i="12"/>
  <c r="P296" i="12"/>
  <c r="P297" i="12"/>
  <c r="P298" i="12"/>
  <c r="P299" i="12"/>
  <c r="P300" i="12"/>
  <c r="P301" i="12"/>
  <c r="P302" i="12"/>
  <c r="P303" i="12"/>
  <c r="P304" i="12"/>
  <c r="P305" i="12"/>
  <c r="P306" i="12"/>
  <c r="P307" i="12"/>
  <c r="P308" i="12"/>
  <c r="P309" i="12"/>
  <c r="P310" i="12"/>
  <c r="P311" i="12"/>
  <c r="P312" i="12"/>
  <c r="P313" i="12"/>
  <c r="P314" i="12"/>
  <c r="P315" i="12"/>
  <c r="P316" i="12"/>
  <c r="P317" i="12"/>
  <c r="P318" i="12"/>
  <c r="P319" i="12"/>
  <c r="P320" i="12"/>
  <c r="P321" i="12"/>
  <c r="P322" i="12"/>
  <c r="P323" i="12"/>
  <c r="P324" i="12"/>
  <c r="P325" i="12"/>
  <c r="P326" i="12"/>
  <c r="P327" i="12"/>
  <c r="P328" i="12"/>
  <c r="P329" i="12"/>
  <c r="P330" i="12"/>
  <c r="P331" i="12"/>
  <c r="P332" i="12"/>
  <c r="P333" i="12"/>
  <c r="P334" i="12"/>
  <c r="P335" i="12"/>
  <c r="P336" i="12"/>
  <c r="P337" i="12"/>
  <c r="P338" i="12"/>
  <c r="P339" i="12"/>
  <c r="P340" i="12"/>
  <c r="P341" i="12"/>
  <c r="P342" i="12"/>
  <c r="P343" i="12"/>
  <c r="P344" i="12"/>
  <c r="P345" i="12"/>
  <c r="P346" i="12"/>
  <c r="P347" i="12"/>
  <c r="P348" i="12"/>
  <c r="P349" i="12"/>
  <c r="P350" i="12"/>
  <c r="P351" i="12"/>
  <c r="P352" i="12"/>
  <c r="P353" i="12"/>
  <c r="P354" i="12"/>
  <c r="P355" i="12"/>
  <c r="P356" i="12"/>
  <c r="P357" i="12"/>
  <c r="P358" i="12"/>
  <c r="P359" i="12"/>
  <c r="P360" i="12"/>
  <c r="P361" i="12"/>
  <c r="P362" i="12"/>
  <c r="P363" i="12"/>
  <c r="P364" i="12"/>
  <c r="P365" i="12"/>
  <c r="P366" i="12"/>
  <c r="P367" i="12"/>
  <c r="P368" i="12"/>
  <c r="P369" i="12"/>
  <c r="P370" i="12"/>
  <c r="P371" i="12"/>
  <c r="P372" i="12"/>
  <c r="P373" i="12"/>
  <c r="P374" i="12"/>
  <c r="P375" i="12"/>
  <c r="P376" i="12"/>
  <c r="P377" i="12"/>
  <c r="P378" i="12"/>
  <c r="P379" i="12"/>
  <c r="P380" i="12"/>
  <c r="P381" i="12"/>
  <c r="P382" i="12"/>
  <c r="P383" i="12"/>
  <c r="P384" i="12"/>
  <c r="P385" i="12"/>
  <c r="P386" i="12"/>
  <c r="P387" i="12"/>
  <c r="P388" i="12"/>
  <c r="P389" i="12"/>
  <c r="P390" i="12"/>
  <c r="P391" i="12"/>
  <c r="P392" i="12"/>
  <c r="P393" i="12"/>
  <c r="P394" i="12"/>
  <c r="P395" i="12"/>
  <c r="P396" i="12"/>
  <c r="P397" i="12"/>
  <c r="P398" i="12"/>
  <c r="P399" i="12"/>
  <c r="P400" i="12"/>
  <c r="P401" i="12"/>
  <c r="P402" i="12"/>
  <c r="P403" i="12"/>
  <c r="P404" i="12"/>
  <c r="P3" i="12"/>
  <c r="P4" i="12"/>
  <c r="P5" i="12"/>
  <c r="P6" i="12"/>
  <c r="P7" i="12"/>
  <c r="P8" i="12"/>
  <c r="P9" i="12"/>
  <c r="P10" i="12"/>
  <c r="P11" i="12"/>
  <c r="P12" i="12"/>
  <c r="P13" i="12"/>
  <c r="P14" i="12"/>
  <c r="P15" i="12"/>
  <c r="P16" i="12"/>
  <c r="P17" i="12"/>
  <c r="P18" i="12"/>
  <c r="P19" i="12"/>
  <c r="P20" i="12"/>
  <c r="P21" i="12"/>
  <c r="P22" i="12"/>
  <c r="P23" i="12"/>
  <c r="P24" i="12"/>
  <c r="P25" i="12"/>
  <c r="P26" i="12"/>
  <c r="P27" i="12"/>
  <c r="P28" i="12"/>
  <c r="P29" i="12"/>
  <c r="P30" i="12"/>
  <c r="P31" i="12"/>
  <c r="P32" i="12"/>
  <c r="P33" i="12"/>
  <c r="P34" i="12"/>
  <c r="P35" i="12"/>
  <c r="P36" i="12"/>
  <c r="P37" i="12"/>
  <c r="P38" i="12"/>
  <c r="P39" i="12"/>
  <c r="P40" i="12"/>
  <c r="P41" i="12"/>
  <c r="P42" i="12"/>
  <c r="P43" i="12"/>
  <c r="P44" i="12"/>
  <c r="P45" i="12"/>
  <c r="P46" i="12"/>
  <c r="P47" i="12"/>
  <c r="P48" i="12"/>
  <c r="P49" i="12"/>
  <c r="P50" i="12"/>
  <c r="P51" i="12"/>
  <c r="P52" i="12"/>
  <c r="P53" i="12"/>
  <c r="P54" i="12"/>
  <c r="P55" i="12"/>
  <c r="P56" i="12"/>
  <c r="P57" i="12"/>
  <c r="P58" i="12"/>
  <c r="P59" i="12"/>
  <c r="P60" i="12"/>
  <c r="P61" i="12"/>
  <c r="P62" i="12"/>
  <c r="P63" i="12"/>
  <c r="P64" i="12"/>
  <c r="P65" i="12"/>
  <c r="P66" i="12"/>
  <c r="P67" i="12"/>
  <c r="P68" i="12"/>
  <c r="P69" i="12"/>
  <c r="P70" i="12"/>
  <c r="P71" i="12"/>
  <c r="P72" i="12"/>
  <c r="P73" i="12"/>
  <c r="P74" i="12"/>
  <c r="P75" i="12"/>
  <c r="P76" i="12"/>
  <c r="P77" i="12"/>
  <c r="P78" i="12"/>
  <c r="P79" i="12"/>
  <c r="P80" i="12"/>
  <c r="P81" i="12"/>
  <c r="P82" i="12"/>
  <c r="P83" i="12"/>
  <c r="P84" i="12"/>
  <c r="P85" i="12"/>
  <c r="P86" i="12"/>
  <c r="P87" i="12"/>
  <c r="P88" i="12"/>
  <c r="P89" i="12"/>
  <c r="P90" i="12"/>
  <c r="P91" i="12"/>
  <c r="P92" i="12"/>
  <c r="P93" i="12"/>
  <c r="P94" i="12"/>
  <c r="P95" i="12"/>
  <c r="P96" i="12"/>
  <c r="P97" i="12"/>
  <c r="P98" i="12"/>
  <c r="P99" i="12"/>
  <c r="P100" i="12"/>
  <c r="P101" i="12"/>
  <c r="P102" i="12"/>
  <c r="P103" i="12"/>
  <c r="P104" i="12"/>
  <c r="P105" i="12"/>
  <c r="P106" i="12"/>
  <c r="P107" i="12"/>
  <c r="P108" i="12"/>
  <c r="P109" i="12"/>
  <c r="P110" i="12"/>
  <c r="P111" i="12"/>
  <c r="P112" i="12"/>
  <c r="P113" i="12"/>
  <c r="P114" i="12"/>
  <c r="P115" i="12"/>
  <c r="P116" i="12"/>
  <c r="P117" i="12"/>
  <c r="P118" i="12"/>
  <c r="P119" i="12"/>
  <c r="P120" i="12"/>
  <c r="P121" i="12"/>
  <c r="P122" i="12"/>
  <c r="P123" i="12"/>
  <c r="P124" i="12"/>
  <c r="P125" i="12"/>
  <c r="P126" i="12"/>
  <c r="P127" i="12"/>
  <c r="P128" i="12"/>
  <c r="P129" i="12"/>
  <c r="P130" i="12"/>
  <c r="P131" i="12"/>
  <c r="P132" i="12"/>
  <c r="P133" i="12"/>
  <c r="P134" i="12"/>
  <c r="P135" i="12"/>
  <c r="P136" i="12"/>
  <c r="P137" i="12"/>
  <c r="P138" i="12"/>
  <c r="P139" i="12"/>
  <c r="P140" i="12"/>
  <c r="P141" i="12"/>
  <c r="P142" i="12"/>
  <c r="P143" i="12"/>
  <c r="P144" i="12"/>
  <c r="P145" i="12"/>
  <c r="P146" i="12"/>
  <c r="P147" i="12"/>
  <c r="P148" i="12"/>
  <c r="P149" i="12"/>
  <c r="P150" i="12"/>
  <c r="P151" i="12"/>
  <c r="P152" i="12"/>
  <c r="P153" i="12"/>
  <c r="P154" i="12"/>
  <c r="P155" i="12"/>
  <c r="P156" i="12"/>
  <c r="P157" i="12"/>
  <c r="P158" i="12"/>
  <c r="P159" i="12"/>
  <c r="P160" i="12"/>
  <c r="P161" i="12"/>
  <c r="P162" i="12"/>
  <c r="P163" i="12"/>
  <c r="P164" i="12"/>
  <c r="P165" i="12"/>
  <c r="P166" i="12"/>
  <c r="P167" i="12"/>
  <c r="P168" i="12"/>
  <c r="P169" i="12"/>
  <c r="P170" i="12"/>
  <c r="P171" i="12"/>
  <c r="P172" i="12"/>
  <c r="P173" i="12"/>
  <c r="P174" i="12"/>
  <c r="P175" i="12"/>
  <c r="P176" i="12"/>
  <c r="P177" i="12"/>
  <c r="P178" i="12"/>
  <c r="P179" i="12"/>
  <c r="P180" i="12"/>
  <c r="P181" i="12"/>
  <c r="P182" i="12"/>
  <c r="P183" i="12"/>
  <c r="P184" i="12"/>
  <c r="P185" i="12"/>
  <c r="P186" i="12"/>
  <c r="P187" i="12"/>
  <c r="P188" i="12"/>
  <c r="P189" i="12"/>
  <c r="P190" i="12"/>
  <c r="P191" i="12"/>
  <c r="O192" i="12"/>
  <c r="O193" i="12"/>
  <c r="O194" i="12"/>
  <c r="O195" i="12"/>
  <c r="O196" i="12"/>
  <c r="O197" i="12"/>
  <c r="O198" i="12"/>
  <c r="O199" i="12"/>
  <c r="O200" i="12"/>
  <c r="O201" i="12"/>
  <c r="O202" i="12"/>
  <c r="O203" i="12"/>
  <c r="O204" i="12"/>
  <c r="O205" i="12"/>
  <c r="O206" i="12"/>
  <c r="O207" i="12"/>
  <c r="O208" i="12"/>
  <c r="O209" i="12"/>
  <c r="O210" i="12"/>
  <c r="O211" i="12"/>
  <c r="O212" i="12"/>
  <c r="O213" i="12"/>
  <c r="O214" i="12"/>
  <c r="O215" i="12"/>
  <c r="O216" i="12"/>
  <c r="O217" i="12"/>
  <c r="O218" i="12"/>
  <c r="O219" i="12"/>
  <c r="O220" i="12"/>
  <c r="O221" i="12"/>
  <c r="O222" i="12"/>
  <c r="O223" i="12"/>
  <c r="O224" i="12"/>
  <c r="O225" i="12"/>
  <c r="O226" i="12"/>
  <c r="O227" i="12"/>
  <c r="O228" i="12"/>
  <c r="O229" i="12"/>
  <c r="O230" i="12"/>
  <c r="O231" i="12"/>
  <c r="O232" i="12"/>
  <c r="O233" i="12"/>
  <c r="O234" i="12"/>
  <c r="O235" i="12"/>
  <c r="O236" i="12"/>
  <c r="O237" i="12"/>
  <c r="O238" i="12"/>
  <c r="O239" i="12"/>
  <c r="O240" i="12"/>
  <c r="O241" i="12"/>
  <c r="O242" i="12"/>
  <c r="O243" i="12"/>
  <c r="O244" i="12"/>
  <c r="O245" i="12"/>
  <c r="O246" i="12"/>
  <c r="O247" i="12"/>
  <c r="O248" i="12"/>
  <c r="O249" i="12"/>
  <c r="O250" i="12"/>
  <c r="O251" i="12"/>
  <c r="O252" i="12"/>
  <c r="O253" i="12"/>
  <c r="O254" i="12"/>
  <c r="O255" i="12"/>
  <c r="O256" i="12"/>
  <c r="O257" i="12"/>
  <c r="O258" i="12"/>
  <c r="O259" i="12"/>
  <c r="O260" i="12"/>
  <c r="O261" i="12"/>
  <c r="O262" i="12"/>
  <c r="O263" i="12"/>
  <c r="O264" i="12"/>
  <c r="O265" i="12"/>
  <c r="O266" i="12"/>
  <c r="O267" i="12"/>
  <c r="O268" i="12"/>
  <c r="O269" i="12"/>
  <c r="O270" i="12"/>
  <c r="O271" i="12"/>
  <c r="O272" i="12"/>
  <c r="O273" i="12"/>
  <c r="O274" i="12"/>
  <c r="O275" i="12"/>
  <c r="O276" i="12"/>
  <c r="O277" i="12"/>
  <c r="O278" i="12"/>
  <c r="O279" i="12"/>
  <c r="O280" i="12"/>
  <c r="O281" i="12"/>
  <c r="O282" i="12"/>
  <c r="O283" i="12"/>
  <c r="O284" i="12"/>
  <c r="O285" i="12"/>
  <c r="O286" i="12"/>
  <c r="O287" i="12"/>
  <c r="O288" i="12"/>
  <c r="O289" i="12"/>
  <c r="O290" i="12"/>
  <c r="O291" i="12"/>
  <c r="O292" i="12"/>
  <c r="O293" i="12"/>
  <c r="O294" i="12"/>
  <c r="O295" i="12"/>
  <c r="O296" i="12"/>
  <c r="O297" i="12"/>
  <c r="O298" i="12"/>
  <c r="O299" i="12"/>
  <c r="O300" i="12"/>
  <c r="O301" i="12"/>
  <c r="O302" i="12"/>
  <c r="O303" i="12"/>
  <c r="O304" i="12"/>
  <c r="O305" i="12"/>
  <c r="O306" i="12"/>
  <c r="O307" i="12"/>
  <c r="O308" i="12"/>
  <c r="O309" i="12"/>
  <c r="O310" i="12"/>
  <c r="O311" i="12"/>
  <c r="O312" i="12"/>
  <c r="O313" i="12"/>
  <c r="O314" i="12"/>
  <c r="O315" i="12"/>
  <c r="O316" i="12"/>
  <c r="O317" i="12"/>
  <c r="O318" i="12"/>
  <c r="O319" i="12"/>
  <c r="O320" i="12"/>
  <c r="O321" i="12"/>
  <c r="O322" i="12"/>
  <c r="O323" i="12"/>
  <c r="O324" i="12"/>
  <c r="O325" i="12"/>
  <c r="O326" i="12"/>
  <c r="O327" i="12"/>
  <c r="O328" i="12"/>
  <c r="O329" i="12"/>
  <c r="O330" i="12"/>
  <c r="O331" i="12"/>
  <c r="O332" i="12"/>
  <c r="O333" i="12"/>
  <c r="O334" i="12"/>
  <c r="O335" i="12"/>
  <c r="O336" i="12"/>
  <c r="O337" i="12"/>
  <c r="O338" i="12"/>
  <c r="O339" i="12"/>
  <c r="O340" i="12"/>
  <c r="O341" i="12"/>
  <c r="O342" i="12"/>
  <c r="O343" i="12"/>
  <c r="O344" i="12"/>
  <c r="O345" i="12"/>
  <c r="O346" i="12"/>
  <c r="O347" i="12"/>
  <c r="O348" i="12"/>
  <c r="O349" i="12"/>
  <c r="O350" i="12"/>
  <c r="O351" i="12"/>
  <c r="O352" i="12"/>
  <c r="O353" i="12"/>
  <c r="O354" i="12"/>
  <c r="O355" i="12"/>
  <c r="O356" i="12"/>
  <c r="O357" i="12"/>
  <c r="O358" i="12"/>
  <c r="O359" i="12"/>
  <c r="O360" i="12"/>
  <c r="O361" i="12"/>
  <c r="O362" i="12"/>
  <c r="O363" i="12"/>
  <c r="O364" i="12"/>
  <c r="O365" i="12"/>
  <c r="O366" i="12"/>
  <c r="O367" i="12"/>
  <c r="O368" i="12"/>
  <c r="O369" i="12"/>
  <c r="O370" i="12"/>
  <c r="O371" i="12"/>
  <c r="O372" i="12"/>
  <c r="O373" i="12"/>
  <c r="O374" i="12"/>
  <c r="O375" i="12"/>
  <c r="O376" i="12"/>
  <c r="O377" i="12"/>
  <c r="O378" i="12"/>
  <c r="O379" i="12"/>
  <c r="O380" i="12"/>
  <c r="O381" i="12"/>
  <c r="O382" i="12"/>
  <c r="O383" i="12"/>
  <c r="O384" i="12"/>
  <c r="O385" i="12"/>
  <c r="O386" i="12"/>
  <c r="O387" i="12"/>
  <c r="O388" i="12"/>
  <c r="O389" i="12"/>
  <c r="O390" i="12"/>
  <c r="O391" i="12"/>
  <c r="O392" i="12"/>
  <c r="O393" i="12"/>
  <c r="O394" i="12"/>
  <c r="O395" i="12"/>
  <c r="O396" i="12"/>
  <c r="O397" i="12"/>
  <c r="O398" i="12"/>
  <c r="O399" i="12"/>
  <c r="O400" i="12"/>
  <c r="O401" i="12"/>
  <c r="O402" i="12"/>
  <c r="O403" i="12"/>
  <c r="O404" i="12"/>
  <c r="O3" i="12"/>
  <c r="O4" i="12"/>
  <c r="O5" i="12"/>
  <c r="O6" i="12"/>
  <c r="O7" i="12"/>
  <c r="O8" i="12"/>
  <c r="O9" i="12"/>
  <c r="O10" i="12"/>
  <c r="O11" i="12"/>
  <c r="O12" i="12"/>
  <c r="O13" i="12"/>
  <c r="O14" i="12"/>
  <c r="O15" i="12"/>
  <c r="O16" i="12"/>
  <c r="O17" i="12"/>
  <c r="O18" i="12"/>
  <c r="O19" i="12"/>
  <c r="O20" i="12"/>
  <c r="O21" i="12"/>
  <c r="O22" i="12"/>
  <c r="O23" i="12"/>
  <c r="O24" i="12"/>
  <c r="O25" i="12"/>
  <c r="O26" i="12"/>
  <c r="O27" i="12"/>
  <c r="O28" i="12"/>
  <c r="O29" i="12"/>
  <c r="O30" i="12"/>
  <c r="O31" i="12"/>
  <c r="O32" i="12"/>
  <c r="O33" i="12"/>
  <c r="O34" i="12"/>
  <c r="O35" i="12"/>
  <c r="O36" i="12"/>
  <c r="O37" i="12"/>
  <c r="O38" i="12"/>
  <c r="O39" i="12"/>
  <c r="O40" i="12"/>
  <c r="O41" i="12"/>
  <c r="O42" i="12"/>
  <c r="O43" i="12"/>
  <c r="O44" i="12"/>
  <c r="O45" i="12"/>
  <c r="O46" i="12"/>
  <c r="O47" i="12"/>
  <c r="O48" i="12"/>
  <c r="O49" i="12"/>
  <c r="O50" i="12"/>
  <c r="O51" i="12"/>
  <c r="O52" i="12"/>
  <c r="O53" i="12"/>
  <c r="O54" i="12"/>
  <c r="O55" i="12"/>
  <c r="O56" i="12"/>
  <c r="O57" i="12"/>
  <c r="O58" i="12"/>
  <c r="O59" i="12"/>
  <c r="O60" i="12"/>
  <c r="O61" i="12"/>
  <c r="O62" i="12"/>
  <c r="O63" i="12"/>
  <c r="O64" i="12"/>
  <c r="O65" i="12"/>
  <c r="O66" i="12"/>
  <c r="O67" i="12"/>
  <c r="O68" i="12"/>
  <c r="O69" i="12"/>
  <c r="O70" i="12"/>
  <c r="O71" i="12"/>
  <c r="O72" i="12"/>
  <c r="O73" i="12"/>
  <c r="O74" i="12"/>
  <c r="O75" i="12"/>
  <c r="O76" i="12"/>
  <c r="O77" i="12"/>
  <c r="O78" i="12"/>
  <c r="O79" i="12"/>
  <c r="O80" i="12"/>
  <c r="O81" i="12"/>
  <c r="O82" i="12"/>
  <c r="O83" i="12"/>
  <c r="O84" i="12"/>
  <c r="O85" i="12"/>
  <c r="O86" i="12"/>
  <c r="O87" i="12"/>
  <c r="O88" i="12"/>
  <c r="O89" i="12"/>
  <c r="O90" i="12"/>
  <c r="O91" i="12"/>
  <c r="O92" i="12"/>
  <c r="O93" i="12"/>
  <c r="O94" i="12"/>
  <c r="O95" i="12"/>
  <c r="O96" i="12"/>
  <c r="O97" i="12"/>
  <c r="O98" i="12"/>
  <c r="O99" i="12"/>
  <c r="O100" i="12"/>
  <c r="O101" i="12"/>
  <c r="O102" i="12"/>
  <c r="O103" i="12"/>
  <c r="O104" i="12"/>
  <c r="O105" i="12"/>
  <c r="O106" i="12"/>
  <c r="O107" i="12"/>
  <c r="O108" i="12"/>
  <c r="O109" i="12"/>
  <c r="O110" i="12"/>
  <c r="O111" i="12"/>
  <c r="O112" i="12"/>
  <c r="O113" i="12"/>
  <c r="O114" i="12"/>
  <c r="O115" i="12"/>
  <c r="O116" i="12"/>
  <c r="O117" i="12"/>
  <c r="O118" i="12"/>
  <c r="O119" i="12"/>
  <c r="O120" i="12"/>
  <c r="O121" i="12"/>
  <c r="O122" i="12"/>
  <c r="O123" i="12"/>
  <c r="O124" i="12"/>
  <c r="O125" i="12"/>
  <c r="O126" i="12"/>
  <c r="O127" i="12"/>
  <c r="O128" i="12"/>
  <c r="O129" i="12"/>
  <c r="O130" i="12"/>
  <c r="O131" i="12"/>
  <c r="O132" i="12"/>
  <c r="O133" i="12"/>
  <c r="O134" i="12"/>
  <c r="O135" i="12"/>
  <c r="O136" i="12"/>
  <c r="O137" i="12"/>
  <c r="O138" i="12"/>
  <c r="O139" i="12"/>
  <c r="O140" i="12"/>
  <c r="O141" i="12"/>
  <c r="O142" i="12"/>
  <c r="O143" i="12"/>
  <c r="O144" i="12"/>
  <c r="O145" i="12"/>
  <c r="O146" i="12"/>
  <c r="O147" i="12"/>
  <c r="O148" i="12"/>
  <c r="O149" i="12"/>
  <c r="O150" i="12"/>
  <c r="O151" i="12"/>
  <c r="O152" i="12"/>
  <c r="O153" i="12"/>
  <c r="O154" i="12"/>
  <c r="O155" i="12"/>
  <c r="O156" i="12"/>
  <c r="O157" i="12"/>
  <c r="O158" i="12"/>
  <c r="O159" i="12"/>
  <c r="O160" i="12"/>
  <c r="O161" i="12"/>
  <c r="O162" i="12"/>
  <c r="O163" i="12"/>
  <c r="O164" i="12"/>
  <c r="O165" i="12"/>
  <c r="O166" i="12"/>
  <c r="O167" i="12"/>
  <c r="O168" i="12"/>
  <c r="O169" i="12"/>
  <c r="O170" i="12"/>
  <c r="O171" i="12"/>
  <c r="O172" i="12"/>
  <c r="O173" i="12"/>
  <c r="O174" i="12"/>
  <c r="O175" i="12"/>
  <c r="O176" i="12"/>
  <c r="O177" i="12"/>
  <c r="O178" i="12"/>
  <c r="O179" i="12"/>
  <c r="O180" i="12"/>
  <c r="O181" i="12"/>
  <c r="O182" i="12"/>
  <c r="O183" i="12"/>
  <c r="O184" i="12"/>
  <c r="O185" i="12"/>
  <c r="O186" i="12"/>
  <c r="O187" i="12"/>
  <c r="O188" i="12"/>
  <c r="O189" i="12"/>
  <c r="O190" i="12"/>
  <c r="O191" i="12"/>
  <c r="O2" i="12"/>
  <c r="N192" i="12"/>
  <c r="N193" i="12"/>
  <c r="N194" i="12"/>
  <c r="N195" i="12"/>
  <c r="N196" i="12"/>
  <c r="N197" i="12"/>
  <c r="N198" i="12"/>
  <c r="N199" i="12"/>
  <c r="N200" i="12"/>
  <c r="N201" i="12"/>
  <c r="N202" i="12"/>
  <c r="N203" i="12"/>
  <c r="N204" i="12"/>
  <c r="N205" i="12"/>
  <c r="N206" i="12"/>
  <c r="N207" i="12"/>
  <c r="N208" i="12"/>
  <c r="N209" i="12"/>
  <c r="N210" i="12"/>
  <c r="N211" i="12"/>
  <c r="N212" i="12"/>
  <c r="N213" i="12"/>
  <c r="N214" i="12"/>
  <c r="N215" i="12"/>
  <c r="N216" i="12"/>
  <c r="N217" i="12"/>
  <c r="N218" i="12"/>
  <c r="N219" i="12"/>
  <c r="N220" i="12"/>
  <c r="N221" i="12"/>
  <c r="N222" i="12"/>
  <c r="N223" i="12"/>
  <c r="N224" i="12"/>
  <c r="N225" i="12"/>
  <c r="N226" i="12"/>
  <c r="N227" i="12"/>
  <c r="N228" i="12"/>
  <c r="N229" i="12"/>
  <c r="N230" i="12"/>
  <c r="N231" i="12"/>
  <c r="N232" i="12"/>
  <c r="N233" i="12"/>
  <c r="N234" i="12"/>
  <c r="N235" i="12"/>
  <c r="N236" i="12"/>
  <c r="N237" i="12"/>
  <c r="N238" i="12"/>
  <c r="N239" i="12"/>
  <c r="N240" i="12"/>
  <c r="N241" i="12"/>
  <c r="N242" i="12"/>
  <c r="N243" i="12"/>
  <c r="N244" i="12"/>
  <c r="N245" i="12"/>
  <c r="N246" i="12"/>
  <c r="N247" i="12"/>
  <c r="N248" i="12"/>
  <c r="N249" i="12"/>
  <c r="N250" i="12"/>
  <c r="N251" i="12"/>
  <c r="N252" i="12"/>
  <c r="N253" i="12"/>
  <c r="N254" i="12"/>
  <c r="N255" i="12"/>
  <c r="N256" i="12"/>
  <c r="N257" i="12"/>
  <c r="N258" i="12"/>
  <c r="N259" i="12"/>
  <c r="N260" i="12"/>
  <c r="N261" i="12"/>
  <c r="N262" i="12"/>
  <c r="N263" i="12"/>
  <c r="N264" i="12"/>
  <c r="N265" i="12"/>
  <c r="N266" i="12"/>
  <c r="N267" i="12"/>
  <c r="N268" i="12"/>
  <c r="N269" i="12"/>
  <c r="N270" i="12"/>
  <c r="N271" i="12"/>
  <c r="N272" i="12"/>
  <c r="N273" i="12"/>
  <c r="N274" i="12"/>
  <c r="N275" i="12"/>
  <c r="N276" i="12"/>
  <c r="N277" i="12"/>
  <c r="N278" i="12"/>
  <c r="N279" i="12"/>
  <c r="N280" i="12"/>
  <c r="N281" i="12"/>
  <c r="N282" i="12"/>
  <c r="N283" i="12"/>
  <c r="N284" i="12"/>
  <c r="N285" i="12"/>
  <c r="N286" i="12"/>
  <c r="N287" i="12"/>
  <c r="N288" i="12"/>
  <c r="N289" i="12"/>
  <c r="N290" i="12"/>
  <c r="N291" i="12"/>
  <c r="N292" i="12"/>
  <c r="N293" i="12"/>
  <c r="N294" i="12"/>
  <c r="N295" i="12"/>
  <c r="N296" i="12"/>
  <c r="N297" i="12"/>
  <c r="N298" i="12"/>
  <c r="N299" i="12"/>
  <c r="N300" i="12"/>
  <c r="N301" i="12"/>
  <c r="N302" i="12"/>
  <c r="N303" i="12"/>
  <c r="N304" i="12"/>
  <c r="N305" i="12"/>
  <c r="N306" i="12"/>
  <c r="N307" i="12"/>
  <c r="N308" i="12"/>
  <c r="N309" i="12"/>
  <c r="N310" i="12"/>
  <c r="N311" i="12"/>
  <c r="N312" i="12"/>
  <c r="N313" i="12"/>
  <c r="N314" i="12"/>
  <c r="N315" i="12"/>
  <c r="N316" i="12"/>
  <c r="N317" i="12"/>
  <c r="N318" i="12"/>
  <c r="N319" i="12"/>
  <c r="N320" i="12"/>
  <c r="N321" i="12"/>
  <c r="N322" i="12"/>
  <c r="N323" i="12"/>
  <c r="N324" i="12"/>
  <c r="N325" i="12"/>
  <c r="N326" i="12"/>
  <c r="N327" i="12"/>
  <c r="N328" i="12"/>
  <c r="N329" i="12"/>
  <c r="N330" i="12"/>
  <c r="N331" i="12"/>
  <c r="N332" i="12"/>
  <c r="N333" i="12"/>
  <c r="N334" i="12"/>
  <c r="N335" i="12"/>
  <c r="N336" i="12"/>
  <c r="N337" i="12"/>
  <c r="N338" i="12"/>
  <c r="N339" i="12"/>
  <c r="N340" i="12"/>
  <c r="N341" i="12"/>
  <c r="N342" i="12"/>
  <c r="N343" i="12"/>
  <c r="N344" i="12"/>
  <c r="N345" i="12"/>
  <c r="N346" i="12"/>
  <c r="N347" i="12"/>
  <c r="N348" i="12"/>
  <c r="N349" i="12"/>
  <c r="N350" i="12"/>
  <c r="N351" i="12"/>
  <c r="N352" i="12"/>
  <c r="N353" i="12"/>
  <c r="N354" i="12"/>
  <c r="N355" i="12"/>
  <c r="N356" i="12"/>
  <c r="N357" i="12"/>
  <c r="N358" i="12"/>
  <c r="N359" i="12"/>
  <c r="N360" i="12"/>
  <c r="N361" i="12"/>
  <c r="N362" i="12"/>
  <c r="N363" i="12"/>
  <c r="N364" i="12"/>
  <c r="N365" i="12"/>
  <c r="N366" i="12"/>
  <c r="N367" i="12"/>
  <c r="N368" i="12"/>
  <c r="N369" i="12"/>
  <c r="N370" i="12"/>
  <c r="N371" i="12"/>
  <c r="N372" i="12"/>
  <c r="N373" i="12"/>
  <c r="N374" i="12"/>
  <c r="N375" i="12"/>
  <c r="N376" i="12"/>
  <c r="N377" i="12"/>
  <c r="N378" i="12"/>
  <c r="N379" i="12"/>
  <c r="N380" i="12"/>
  <c r="N381" i="12"/>
  <c r="N382" i="12"/>
  <c r="N383" i="12"/>
  <c r="N384" i="12"/>
  <c r="N385" i="12"/>
  <c r="N386" i="12"/>
  <c r="N387" i="12"/>
  <c r="N388" i="12"/>
  <c r="N389" i="12"/>
  <c r="N390" i="12"/>
  <c r="N391" i="12"/>
  <c r="N392" i="12"/>
  <c r="N393" i="12"/>
  <c r="N394" i="12"/>
  <c r="N395" i="12"/>
  <c r="N396" i="12"/>
  <c r="N397" i="12"/>
  <c r="N398" i="12"/>
  <c r="N399" i="12"/>
  <c r="N400" i="12"/>
  <c r="N401" i="12"/>
  <c r="N402" i="12"/>
  <c r="N403" i="12"/>
  <c r="N404" i="12"/>
  <c r="N3" i="12"/>
  <c r="N4" i="12"/>
  <c r="N5" i="12"/>
  <c r="N6" i="12"/>
  <c r="N7" i="12"/>
  <c r="N8" i="12"/>
  <c r="N9" i="12"/>
  <c r="N10" i="12"/>
  <c r="N11" i="12"/>
  <c r="N12" i="12"/>
  <c r="N13" i="12"/>
  <c r="N14" i="12"/>
  <c r="N15" i="12"/>
  <c r="N16" i="12"/>
  <c r="N17" i="12"/>
  <c r="N18" i="12"/>
  <c r="N19" i="12"/>
  <c r="N20" i="12"/>
  <c r="N21" i="12"/>
  <c r="N22" i="12"/>
  <c r="N23" i="12"/>
  <c r="N24" i="12"/>
  <c r="N25" i="12"/>
  <c r="N26" i="12"/>
  <c r="N27" i="12"/>
  <c r="N28" i="12"/>
  <c r="N29" i="12"/>
  <c r="N30" i="12"/>
  <c r="N31" i="12"/>
  <c r="N32" i="12"/>
  <c r="N33" i="12"/>
  <c r="N34" i="12"/>
  <c r="N35" i="12"/>
  <c r="N36" i="12"/>
  <c r="N37" i="12"/>
  <c r="N38" i="12"/>
  <c r="N39" i="12"/>
  <c r="N40" i="12"/>
  <c r="N41" i="12"/>
  <c r="N42" i="12"/>
  <c r="N43" i="12"/>
  <c r="N44" i="12"/>
  <c r="N45" i="12"/>
  <c r="N46" i="12"/>
  <c r="N47" i="12"/>
  <c r="N48" i="12"/>
  <c r="N49" i="12"/>
  <c r="N50" i="12"/>
  <c r="N51" i="12"/>
  <c r="N52" i="12"/>
  <c r="N53" i="12"/>
  <c r="N54" i="12"/>
  <c r="N55" i="12"/>
  <c r="N56" i="12"/>
  <c r="N57" i="12"/>
  <c r="N58" i="12"/>
  <c r="N59" i="12"/>
  <c r="N60" i="12"/>
  <c r="N61" i="12"/>
  <c r="N62" i="12"/>
  <c r="N63" i="12"/>
  <c r="N64" i="12"/>
  <c r="N65" i="12"/>
  <c r="N66" i="12"/>
  <c r="N67" i="12"/>
  <c r="N68" i="12"/>
  <c r="N69" i="12"/>
  <c r="N70" i="12"/>
  <c r="N71" i="12"/>
  <c r="N72" i="12"/>
  <c r="N73" i="12"/>
  <c r="N74" i="12"/>
  <c r="N75" i="12"/>
  <c r="N76" i="12"/>
  <c r="N77" i="12"/>
  <c r="N78" i="12"/>
  <c r="N79" i="12"/>
  <c r="N80" i="12"/>
  <c r="N81" i="12"/>
  <c r="N82" i="12"/>
  <c r="N83" i="12"/>
  <c r="N84" i="12"/>
  <c r="N85" i="12"/>
  <c r="N86" i="12"/>
  <c r="N87" i="12"/>
  <c r="N88" i="12"/>
  <c r="N89" i="12"/>
  <c r="N90" i="12"/>
  <c r="N91" i="12"/>
  <c r="N92" i="12"/>
  <c r="N93" i="12"/>
  <c r="N94" i="12"/>
  <c r="N95" i="12"/>
  <c r="N96" i="12"/>
  <c r="N97" i="12"/>
  <c r="N98" i="12"/>
  <c r="N99" i="12"/>
  <c r="N100" i="12"/>
  <c r="N101" i="12"/>
  <c r="N102" i="12"/>
  <c r="N103" i="12"/>
  <c r="N104" i="12"/>
  <c r="N105" i="12"/>
  <c r="N106" i="12"/>
  <c r="N107" i="12"/>
  <c r="N108" i="12"/>
  <c r="N109" i="12"/>
  <c r="N110" i="12"/>
  <c r="N111" i="12"/>
  <c r="N112" i="12"/>
  <c r="N113" i="12"/>
  <c r="N114" i="12"/>
  <c r="N115" i="12"/>
  <c r="N116" i="12"/>
  <c r="N117" i="12"/>
  <c r="N118" i="12"/>
  <c r="N119" i="12"/>
  <c r="N120" i="12"/>
  <c r="N121" i="12"/>
  <c r="N122" i="12"/>
  <c r="N123" i="12"/>
  <c r="N124" i="12"/>
  <c r="N125" i="12"/>
  <c r="N126" i="12"/>
  <c r="N127" i="12"/>
  <c r="N128" i="12"/>
  <c r="N129" i="12"/>
  <c r="N130" i="12"/>
  <c r="N131" i="12"/>
  <c r="N132" i="12"/>
  <c r="N133" i="12"/>
  <c r="N134" i="12"/>
  <c r="N135" i="12"/>
  <c r="N136" i="12"/>
  <c r="N137" i="12"/>
  <c r="N138" i="12"/>
  <c r="N139" i="12"/>
  <c r="N140" i="12"/>
  <c r="N141" i="12"/>
  <c r="N142" i="12"/>
  <c r="N143" i="12"/>
  <c r="N144" i="12"/>
  <c r="N145" i="12"/>
  <c r="N146" i="12"/>
  <c r="N147" i="12"/>
  <c r="N148" i="12"/>
  <c r="N149" i="12"/>
  <c r="N150" i="12"/>
  <c r="N151" i="12"/>
  <c r="N152" i="12"/>
  <c r="N153" i="12"/>
  <c r="N154" i="12"/>
  <c r="N155" i="12"/>
  <c r="N156" i="12"/>
  <c r="N157" i="12"/>
  <c r="N158" i="12"/>
  <c r="N159" i="12"/>
  <c r="N160" i="12"/>
  <c r="N161" i="12"/>
  <c r="N162" i="12"/>
  <c r="N163" i="12"/>
  <c r="N164" i="12"/>
  <c r="N165" i="12"/>
  <c r="N166" i="12"/>
  <c r="N167" i="12"/>
  <c r="N168" i="12"/>
  <c r="N169" i="12"/>
  <c r="N170" i="12"/>
  <c r="N171" i="12"/>
  <c r="N172" i="12"/>
  <c r="N173" i="12"/>
  <c r="N174" i="12"/>
  <c r="N175" i="12"/>
  <c r="N176" i="12"/>
  <c r="N177" i="12"/>
  <c r="N178" i="12"/>
  <c r="N179" i="12"/>
  <c r="N180" i="12"/>
  <c r="N181" i="12"/>
  <c r="N182" i="12"/>
  <c r="N183" i="12"/>
  <c r="N184" i="12"/>
  <c r="N185" i="12"/>
  <c r="N186" i="12"/>
  <c r="N187" i="12"/>
  <c r="N188" i="12"/>
  <c r="N189" i="12"/>
  <c r="N190" i="12"/>
  <c r="N191" i="12"/>
  <c r="M192" i="12"/>
  <c r="M193" i="12"/>
  <c r="M194" i="12"/>
  <c r="M195" i="12"/>
  <c r="M196" i="12"/>
  <c r="M197" i="12"/>
  <c r="M198" i="12"/>
  <c r="M199" i="12"/>
  <c r="M200" i="12"/>
  <c r="M201" i="12"/>
  <c r="M202" i="12"/>
  <c r="M203" i="12"/>
  <c r="M204" i="12"/>
  <c r="M205" i="12"/>
  <c r="M206" i="12"/>
  <c r="M207" i="12"/>
  <c r="M208" i="12"/>
  <c r="M209" i="12"/>
  <c r="M210" i="12"/>
  <c r="M211" i="12"/>
  <c r="M212" i="12"/>
  <c r="M213" i="12"/>
  <c r="M214" i="12"/>
  <c r="M215" i="12"/>
  <c r="M216" i="12"/>
  <c r="M217" i="12"/>
  <c r="M218" i="12"/>
  <c r="M219" i="12"/>
  <c r="M220" i="12"/>
  <c r="M221" i="12"/>
  <c r="M222" i="12"/>
  <c r="M223" i="12"/>
  <c r="M224" i="12"/>
  <c r="M225" i="12"/>
  <c r="M226" i="12"/>
  <c r="M227" i="12"/>
  <c r="M228" i="12"/>
  <c r="M229" i="12"/>
  <c r="M230" i="12"/>
  <c r="M231" i="12"/>
  <c r="M232" i="12"/>
  <c r="M233" i="12"/>
  <c r="M234" i="12"/>
  <c r="M235" i="12"/>
  <c r="M236" i="12"/>
  <c r="M237" i="12"/>
  <c r="M238" i="12"/>
  <c r="M239" i="12"/>
  <c r="M240" i="12"/>
  <c r="M241" i="12"/>
  <c r="M242" i="12"/>
  <c r="M243" i="12"/>
  <c r="M244" i="12"/>
  <c r="M245" i="12"/>
  <c r="M246" i="12"/>
  <c r="M247" i="12"/>
  <c r="M248" i="12"/>
  <c r="M249" i="12"/>
  <c r="M250" i="12"/>
  <c r="M251" i="12"/>
  <c r="M252" i="12"/>
  <c r="M253" i="12"/>
  <c r="M254" i="12"/>
  <c r="M255" i="12"/>
  <c r="M256" i="12"/>
  <c r="M257" i="12"/>
  <c r="M258" i="12"/>
  <c r="M259" i="12"/>
  <c r="M260" i="12"/>
  <c r="M261" i="12"/>
  <c r="M262" i="12"/>
  <c r="M263" i="12"/>
  <c r="M264" i="12"/>
  <c r="M265" i="12"/>
  <c r="M266" i="12"/>
  <c r="M267" i="12"/>
  <c r="M268" i="12"/>
  <c r="M269" i="12"/>
  <c r="M270" i="12"/>
  <c r="M271" i="12"/>
  <c r="M272" i="12"/>
  <c r="M273" i="12"/>
  <c r="M274" i="12"/>
  <c r="M275" i="12"/>
  <c r="M276" i="12"/>
  <c r="M277" i="12"/>
  <c r="M278" i="12"/>
  <c r="M279" i="12"/>
  <c r="M280" i="12"/>
  <c r="M281" i="12"/>
  <c r="M282" i="12"/>
  <c r="M283" i="12"/>
  <c r="M284" i="12"/>
  <c r="M285" i="12"/>
  <c r="M286" i="12"/>
  <c r="M287" i="12"/>
  <c r="M288" i="12"/>
  <c r="M289" i="12"/>
  <c r="M290" i="12"/>
  <c r="M291" i="12"/>
  <c r="M292" i="12"/>
  <c r="M293" i="12"/>
  <c r="M294" i="12"/>
  <c r="M295" i="12"/>
  <c r="M296" i="12"/>
  <c r="M297" i="12"/>
  <c r="M298" i="12"/>
  <c r="M299" i="12"/>
  <c r="M300" i="12"/>
  <c r="M301" i="12"/>
  <c r="M302" i="12"/>
  <c r="M303" i="12"/>
  <c r="M304" i="12"/>
  <c r="M305" i="12"/>
  <c r="M306" i="12"/>
  <c r="M307" i="12"/>
  <c r="M308" i="12"/>
  <c r="M309" i="12"/>
  <c r="M310" i="12"/>
  <c r="M311" i="12"/>
  <c r="M312" i="12"/>
  <c r="M313" i="12"/>
  <c r="M314" i="12"/>
  <c r="M315" i="12"/>
  <c r="M316" i="12"/>
  <c r="M317" i="12"/>
  <c r="M318" i="12"/>
  <c r="M319" i="12"/>
  <c r="M320" i="12"/>
  <c r="M321" i="12"/>
  <c r="M322" i="12"/>
  <c r="M323" i="12"/>
  <c r="M324" i="12"/>
  <c r="M325" i="12"/>
  <c r="M326" i="12"/>
  <c r="M327" i="12"/>
  <c r="M328" i="12"/>
  <c r="M329" i="12"/>
  <c r="M330" i="12"/>
  <c r="M331" i="12"/>
  <c r="M332" i="12"/>
  <c r="M333" i="12"/>
  <c r="M334" i="12"/>
  <c r="M335" i="12"/>
  <c r="M336" i="12"/>
  <c r="M337" i="12"/>
  <c r="M338" i="12"/>
  <c r="M339" i="12"/>
  <c r="M340" i="12"/>
  <c r="M341" i="12"/>
  <c r="M342" i="12"/>
  <c r="M343" i="12"/>
  <c r="M344" i="12"/>
  <c r="M345" i="12"/>
  <c r="M346" i="12"/>
  <c r="M347" i="12"/>
  <c r="M348" i="12"/>
  <c r="M349" i="12"/>
  <c r="M350" i="12"/>
  <c r="M351" i="12"/>
  <c r="M352" i="12"/>
  <c r="M353" i="12"/>
  <c r="M354" i="12"/>
  <c r="M355" i="12"/>
  <c r="M356" i="12"/>
  <c r="M357" i="12"/>
  <c r="M358" i="12"/>
  <c r="M359" i="12"/>
  <c r="M360" i="12"/>
  <c r="M361" i="12"/>
  <c r="M362" i="12"/>
  <c r="M363" i="12"/>
  <c r="M364" i="12"/>
  <c r="M365" i="12"/>
  <c r="M366" i="12"/>
  <c r="M367" i="12"/>
  <c r="M368" i="12"/>
  <c r="M369" i="12"/>
  <c r="M370" i="12"/>
  <c r="M371" i="12"/>
  <c r="M372" i="12"/>
  <c r="M373" i="12"/>
  <c r="M374" i="12"/>
  <c r="M375" i="12"/>
  <c r="M376" i="12"/>
  <c r="M377" i="12"/>
  <c r="M378" i="12"/>
  <c r="M379" i="12"/>
  <c r="M380" i="12"/>
  <c r="M381" i="12"/>
  <c r="M382" i="12"/>
  <c r="M383" i="12"/>
  <c r="M384" i="12"/>
  <c r="M385" i="12"/>
  <c r="M386" i="12"/>
  <c r="M387" i="12"/>
  <c r="M388" i="12"/>
  <c r="M389" i="12"/>
  <c r="M390" i="12"/>
  <c r="M391" i="12"/>
  <c r="M392" i="12"/>
  <c r="M393" i="12"/>
  <c r="M394" i="12"/>
  <c r="M395" i="12"/>
  <c r="M396" i="12"/>
  <c r="M397" i="12"/>
  <c r="M398" i="12"/>
  <c r="M399" i="12"/>
  <c r="M400" i="12"/>
  <c r="M401" i="12"/>
  <c r="M402" i="12"/>
  <c r="M403" i="12"/>
  <c r="M404" i="12"/>
  <c r="M3" i="12"/>
  <c r="M4" i="12"/>
  <c r="M5" i="12"/>
  <c r="M6" i="12"/>
  <c r="M7" i="12"/>
  <c r="M8" i="12"/>
  <c r="M9" i="12"/>
  <c r="M10" i="12"/>
  <c r="M11" i="12"/>
  <c r="M12" i="12"/>
  <c r="M13" i="12"/>
  <c r="M14" i="12"/>
  <c r="M15" i="12"/>
  <c r="M16" i="12"/>
  <c r="M17" i="12"/>
  <c r="M18" i="12"/>
  <c r="M19" i="12"/>
  <c r="M20" i="12"/>
  <c r="M21" i="12"/>
  <c r="M22" i="12"/>
  <c r="M23" i="12"/>
  <c r="M24" i="12"/>
  <c r="M25" i="12"/>
  <c r="M26" i="12"/>
  <c r="M27" i="12"/>
  <c r="M28" i="12"/>
  <c r="M29" i="12"/>
  <c r="M30" i="12"/>
  <c r="M31" i="12"/>
  <c r="M32" i="12"/>
  <c r="M33" i="12"/>
  <c r="M34" i="12"/>
  <c r="M35" i="12"/>
  <c r="M36" i="12"/>
  <c r="M37" i="12"/>
  <c r="M38" i="12"/>
  <c r="M39" i="12"/>
  <c r="M40" i="12"/>
  <c r="M41" i="12"/>
  <c r="M42" i="12"/>
  <c r="M43" i="12"/>
  <c r="M44" i="12"/>
  <c r="M45" i="12"/>
  <c r="M46" i="12"/>
  <c r="M47" i="12"/>
  <c r="M48" i="12"/>
  <c r="M49" i="12"/>
  <c r="M50" i="12"/>
  <c r="M51" i="12"/>
  <c r="M52" i="12"/>
  <c r="M53" i="12"/>
  <c r="M54" i="12"/>
  <c r="M55" i="12"/>
  <c r="M56" i="12"/>
  <c r="M57" i="12"/>
  <c r="M58" i="12"/>
  <c r="M59" i="12"/>
  <c r="M60" i="12"/>
  <c r="M61" i="12"/>
  <c r="M62" i="12"/>
  <c r="M63" i="12"/>
  <c r="M64" i="12"/>
  <c r="M65" i="12"/>
  <c r="M66" i="12"/>
  <c r="M67" i="12"/>
  <c r="M68" i="12"/>
  <c r="M69" i="12"/>
  <c r="M70" i="12"/>
  <c r="M71" i="12"/>
  <c r="M72" i="12"/>
  <c r="M73" i="12"/>
  <c r="M74" i="12"/>
  <c r="M75" i="12"/>
  <c r="M76" i="12"/>
  <c r="M77" i="12"/>
  <c r="M78" i="12"/>
  <c r="M79" i="12"/>
  <c r="M80" i="12"/>
  <c r="M81" i="12"/>
  <c r="M82" i="12"/>
  <c r="M83" i="12"/>
  <c r="M84" i="12"/>
  <c r="M85" i="12"/>
  <c r="M86" i="12"/>
  <c r="M87" i="12"/>
  <c r="M88" i="12"/>
  <c r="M89" i="12"/>
  <c r="M90" i="12"/>
  <c r="M91" i="12"/>
  <c r="M92" i="12"/>
  <c r="M93" i="12"/>
  <c r="M94" i="12"/>
  <c r="M95" i="12"/>
  <c r="M96" i="12"/>
  <c r="M97" i="12"/>
  <c r="M98" i="12"/>
  <c r="M99" i="12"/>
  <c r="M100" i="12"/>
  <c r="M101" i="12"/>
  <c r="M102" i="12"/>
  <c r="M103" i="12"/>
  <c r="M104" i="12"/>
  <c r="M105" i="12"/>
  <c r="M106" i="12"/>
  <c r="M107" i="12"/>
  <c r="M108" i="12"/>
  <c r="M109" i="12"/>
  <c r="M110" i="12"/>
  <c r="M111" i="12"/>
  <c r="M112" i="12"/>
  <c r="M113" i="12"/>
  <c r="M114" i="12"/>
  <c r="M115" i="12"/>
  <c r="M116" i="12"/>
  <c r="M117" i="12"/>
  <c r="M118" i="12"/>
  <c r="M119" i="12"/>
  <c r="M120" i="12"/>
  <c r="M121" i="12"/>
  <c r="M122" i="12"/>
  <c r="M123" i="12"/>
  <c r="M124" i="12"/>
  <c r="M125" i="12"/>
  <c r="M126" i="12"/>
  <c r="M127" i="12"/>
  <c r="M128" i="12"/>
  <c r="M129" i="12"/>
  <c r="M130" i="12"/>
  <c r="M131" i="12"/>
  <c r="M132" i="12"/>
  <c r="M133" i="12"/>
  <c r="M134" i="12"/>
  <c r="M135" i="12"/>
  <c r="M136" i="12"/>
  <c r="M137" i="12"/>
  <c r="M138" i="12"/>
  <c r="M139" i="12"/>
  <c r="M140" i="12"/>
  <c r="M141" i="12"/>
  <c r="M142" i="12"/>
  <c r="M143" i="12"/>
  <c r="M144" i="12"/>
  <c r="M145" i="12"/>
  <c r="M146" i="12"/>
  <c r="M147" i="12"/>
  <c r="M148" i="12"/>
  <c r="M149" i="12"/>
  <c r="M150" i="12"/>
  <c r="M151" i="12"/>
  <c r="M152" i="12"/>
  <c r="M153" i="12"/>
  <c r="M154" i="12"/>
  <c r="M155" i="12"/>
  <c r="M156" i="12"/>
  <c r="M157" i="12"/>
  <c r="M158" i="12"/>
  <c r="M159" i="12"/>
  <c r="M160" i="12"/>
  <c r="M161" i="12"/>
  <c r="M162" i="12"/>
  <c r="M163" i="12"/>
  <c r="M164" i="12"/>
  <c r="M165" i="12"/>
  <c r="M166" i="12"/>
  <c r="M167" i="12"/>
  <c r="M168" i="12"/>
  <c r="M169" i="12"/>
  <c r="M170" i="12"/>
  <c r="M171" i="12"/>
  <c r="M172" i="12"/>
  <c r="M173" i="12"/>
  <c r="M174" i="12"/>
  <c r="M175" i="12"/>
  <c r="M176" i="12"/>
  <c r="M177" i="12"/>
  <c r="M178" i="12"/>
  <c r="M179" i="12"/>
  <c r="M180" i="12"/>
  <c r="M181" i="12"/>
  <c r="M182" i="12"/>
  <c r="M183" i="12"/>
  <c r="M184" i="12"/>
  <c r="M185" i="12"/>
  <c r="M186" i="12"/>
  <c r="M187" i="12"/>
  <c r="M188" i="12"/>
  <c r="M189" i="12"/>
  <c r="M190" i="12"/>
  <c r="M191" i="12"/>
  <c r="M2" i="12"/>
  <c r="L192" i="12"/>
  <c r="L193" i="12"/>
  <c r="L194" i="12"/>
  <c r="L195" i="12"/>
  <c r="L196" i="12"/>
  <c r="L197" i="12"/>
  <c r="L198" i="12"/>
  <c r="L199" i="12"/>
  <c r="L200" i="12"/>
  <c r="L201" i="12"/>
  <c r="L202" i="12"/>
  <c r="L203" i="12"/>
  <c r="L204" i="12"/>
  <c r="L205" i="12"/>
  <c r="L206" i="12"/>
  <c r="L207" i="12"/>
  <c r="L208" i="12"/>
  <c r="L209" i="12"/>
  <c r="L210" i="12"/>
  <c r="L211" i="12"/>
  <c r="L212" i="12"/>
  <c r="L213" i="12"/>
  <c r="L214" i="12"/>
  <c r="L215" i="12"/>
  <c r="L216" i="12"/>
  <c r="L217" i="12"/>
  <c r="L218" i="12"/>
  <c r="L219" i="12"/>
  <c r="L220" i="12"/>
  <c r="L221" i="12"/>
  <c r="L222" i="12"/>
  <c r="L223" i="12"/>
  <c r="L224" i="12"/>
  <c r="L225" i="12"/>
  <c r="L226" i="12"/>
  <c r="L227" i="12"/>
  <c r="L228" i="12"/>
  <c r="L229" i="12"/>
  <c r="L230" i="12"/>
  <c r="L231" i="12"/>
  <c r="L232" i="12"/>
  <c r="L233" i="12"/>
  <c r="L234" i="12"/>
  <c r="L235" i="12"/>
  <c r="L236" i="12"/>
  <c r="L237" i="12"/>
  <c r="L238" i="12"/>
  <c r="L239" i="12"/>
  <c r="L240" i="12"/>
  <c r="L241" i="12"/>
  <c r="L242" i="12"/>
  <c r="L243" i="12"/>
  <c r="L244" i="12"/>
  <c r="L245" i="12"/>
  <c r="L246" i="12"/>
  <c r="L247" i="12"/>
  <c r="L248" i="12"/>
  <c r="L249" i="12"/>
  <c r="L250" i="12"/>
  <c r="L251" i="12"/>
  <c r="L252" i="12"/>
  <c r="L253" i="12"/>
  <c r="L254" i="12"/>
  <c r="L255" i="12"/>
  <c r="L256" i="12"/>
  <c r="L257" i="12"/>
  <c r="L258" i="12"/>
  <c r="L259" i="12"/>
  <c r="L260" i="12"/>
  <c r="L261" i="12"/>
  <c r="L262" i="12"/>
  <c r="L263" i="12"/>
  <c r="L264" i="12"/>
  <c r="L265" i="12"/>
  <c r="L266" i="12"/>
  <c r="L267" i="12"/>
  <c r="L268" i="12"/>
  <c r="L269" i="12"/>
  <c r="L270" i="12"/>
  <c r="L271" i="12"/>
  <c r="L272" i="12"/>
  <c r="L273" i="12"/>
  <c r="L274" i="12"/>
  <c r="L275" i="12"/>
  <c r="L276" i="12"/>
  <c r="L277" i="12"/>
  <c r="L278" i="12"/>
  <c r="L279" i="12"/>
  <c r="L280" i="12"/>
  <c r="L281" i="12"/>
  <c r="L282" i="12"/>
  <c r="L283" i="12"/>
  <c r="L284" i="12"/>
  <c r="L285" i="12"/>
  <c r="L286" i="12"/>
  <c r="L287" i="12"/>
  <c r="L288" i="12"/>
  <c r="L289" i="12"/>
  <c r="L290" i="12"/>
  <c r="L291" i="12"/>
  <c r="L292" i="12"/>
  <c r="L293" i="12"/>
  <c r="L294" i="12"/>
  <c r="L295" i="12"/>
  <c r="L296" i="12"/>
  <c r="L297" i="12"/>
  <c r="L298" i="12"/>
  <c r="L299" i="12"/>
  <c r="L300" i="12"/>
  <c r="L301" i="12"/>
  <c r="L302" i="12"/>
  <c r="L303" i="12"/>
  <c r="L304" i="12"/>
  <c r="L305" i="12"/>
  <c r="L306" i="12"/>
  <c r="L307" i="12"/>
  <c r="L308" i="12"/>
  <c r="L309" i="12"/>
  <c r="L310" i="12"/>
  <c r="L311" i="12"/>
  <c r="L312" i="12"/>
  <c r="L313" i="12"/>
  <c r="L314" i="12"/>
  <c r="L315" i="12"/>
  <c r="L316" i="12"/>
  <c r="L317" i="12"/>
  <c r="L318" i="12"/>
  <c r="L319" i="12"/>
  <c r="L320" i="12"/>
  <c r="L321" i="12"/>
  <c r="L322" i="12"/>
  <c r="L323" i="12"/>
  <c r="L324" i="12"/>
  <c r="L325" i="12"/>
  <c r="L326" i="12"/>
  <c r="L327" i="12"/>
  <c r="L328" i="12"/>
  <c r="L329" i="12"/>
  <c r="L330" i="12"/>
  <c r="L331" i="12"/>
  <c r="L332" i="12"/>
  <c r="L333" i="12"/>
  <c r="L334" i="12"/>
  <c r="L335" i="12"/>
  <c r="L336" i="12"/>
  <c r="L337" i="12"/>
  <c r="L338" i="12"/>
  <c r="L339" i="12"/>
  <c r="L340" i="12"/>
  <c r="L341" i="12"/>
  <c r="L342" i="12"/>
  <c r="L343" i="12"/>
  <c r="L344" i="12"/>
  <c r="L345" i="12"/>
  <c r="L346" i="12"/>
  <c r="L347" i="12"/>
  <c r="L348" i="12"/>
  <c r="L349" i="12"/>
  <c r="L350" i="12"/>
  <c r="L351" i="12"/>
  <c r="L352" i="12"/>
  <c r="L353" i="12"/>
  <c r="L354" i="12"/>
  <c r="L355" i="12"/>
  <c r="L356" i="12"/>
  <c r="L357" i="12"/>
  <c r="L358" i="12"/>
  <c r="L359" i="12"/>
  <c r="L360" i="12"/>
  <c r="L361" i="12"/>
  <c r="L362" i="12"/>
  <c r="L363" i="12"/>
  <c r="L364" i="12"/>
  <c r="L365" i="12"/>
  <c r="L366" i="12"/>
  <c r="L367" i="12"/>
  <c r="L368" i="12"/>
  <c r="L369" i="12"/>
  <c r="L370" i="12"/>
  <c r="L371" i="12"/>
  <c r="L372" i="12"/>
  <c r="L373" i="12"/>
  <c r="L374" i="12"/>
  <c r="L375" i="12"/>
  <c r="L376" i="12"/>
  <c r="L377" i="12"/>
  <c r="L378" i="12"/>
  <c r="L379" i="12"/>
  <c r="L380" i="12"/>
  <c r="L381" i="12"/>
  <c r="L382" i="12"/>
  <c r="L383" i="12"/>
  <c r="L384" i="12"/>
  <c r="L385" i="12"/>
  <c r="L386" i="12"/>
  <c r="L387" i="12"/>
  <c r="L388" i="12"/>
  <c r="L389" i="12"/>
  <c r="L390" i="12"/>
  <c r="L391" i="12"/>
  <c r="L392" i="12"/>
  <c r="L393" i="12"/>
  <c r="L394" i="12"/>
  <c r="L395" i="12"/>
  <c r="L396" i="12"/>
  <c r="L397" i="12"/>
  <c r="L398" i="12"/>
  <c r="L399" i="12"/>
  <c r="L400" i="12"/>
  <c r="L401" i="12"/>
  <c r="L402" i="12"/>
  <c r="L403" i="12"/>
  <c r="L404" i="12"/>
  <c r="L3" i="12"/>
  <c r="L4" i="12"/>
  <c r="L5" i="12"/>
  <c r="L6" i="12"/>
  <c r="L7" i="12"/>
  <c r="L8" i="12"/>
  <c r="L9" i="12"/>
  <c r="L10" i="12"/>
  <c r="L11" i="12"/>
  <c r="L12" i="12"/>
  <c r="L13" i="12"/>
  <c r="L14" i="12"/>
  <c r="L15" i="12"/>
  <c r="L16" i="12"/>
  <c r="L17" i="12"/>
  <c r="L18" i="12"/>
  <c r="L19" i="12"/>
  <c r="L20" i="12"/>
  <c r="L21" i="12"/>
  <c r="L22" i="12"/>
  <c r="L23" i="12"/>
  <c r="L24" i="12"/>
  <c r="L25" i="12"/>
  <c r="L26" i="12"/>
  <c r="L27" i="12"/>
  <c r="L28" i="12"/>
  <c r="L29" i="12"/>
  <c r="L30" i="12"/>
  <c r="L31" i="12"/>
  <c r="L32" i="12"/>
  <c r="L33" i="12"/>
  <c r="L34" i="12"/>
  <c r="L35" i="12"/>
  <c r="L36" i="12"/>
  <c r="L37" i="12"/>
  <c r="L38" i="12"/>
  <c r="L39" i="12"/>
  <c r="L40" i="12"/>
  <c r="L41" i="12"/>
  <c r="L42" i="12"/>
  <c r="L43" i="12"/>
  <c r="L44" i="12"/>
  <c r="L45" i="12"/>
  <c r="L46" i="12"/>
  <c r="L47" i="12"/>
  <c r="L48" i="12"/>
  <c r="L49" i="12"/>
  <c r="L50" i="12"/>
  <c r="L51" i="12"/>
  <c r="L52" i="12"/>
  <c r="L53" i="12"/>
  <c r="L54" i="12"/>
  <c r="L55" i="12"/>
  <c r="L56" i="12"/>
  <c r="L57" i="12"/>
  <c r="L58" i="12"/>
  <c r="L59" i="12"/>
  <c r="L60" i="12"/>
  <c r="L61" i="12"/>
  <c r="L62" i="12"/>
  <c r="L63" i="12"/>
  <c r="L64" i="12"/>
  <c r="L65" i="12"/>
  <c r="L66" i="12"/>
  <c r="L67" i="12"/>
  <c r="L68" i="12"/>
  <c r="L69" i="12"/>
  <c r="L70" i="12"/>
  <c r="L71" i="12"/>
  <c r="L72" i="12"/>
  <c r="L73" i="12"/>
  <c r="L74" i="12"/>
  <c r="L75" i="12"/>
  <c r="L76" i="12"/>
  <c r="L77" i="12"/>
  <c r="L78" i="12"/>
  <c r="L79" i="12"/>
  <c r="L80" i="12"/>
  <c r="L81" i="12"/>
  <c r="L82" i="12"/>
  <c r="L83" i="12"/>
  <c r="L84" i="12"/>
  <c r="L85" i="12"/>
  <c r="L86" i="12"/>
  <c r="L87" i="12"/>
  <c r="L88" i="12"/>
  <c r="L89" i="12"/>
  <c r="L90" i="12"/>
  <c r="L91" i="12"/>
  <c r="L92" i="12"/>
  <c r="L93" i="12"/>
  <c r="L94" i="12"/>
  <c r="L95" i="12"/>
  <c r="L96" i="12"/>
  <c r="L97" i="12"/>
  <c r="L98" i="12"/>
  <c r="L99" i="12"/>
  <c r="L100" i="12"/>
  <c r="L101" i="12"/>
  <c r="L102" i="12"/>
  <c r="L103" i="12"/>
  <c r="L104" i="12"/>
  <c r="L105" i="12"/>
  <c r="L106" i="12"/>
  <c r="L107" i="12"/>
  <c r="L108" i="12"/>
  <c r="L109" i="12"/>
  <c r="L110" i="12"/>
  <c r="L111" i="12"/>
  <c r="L112" i="12"/>
  <c r="L113" i="12"/>
  <c r="L114" i="12"/>
  <c r="L115" i="12"/>
  <c r="L116" i="12"/>
  <c r="L117" i="12"/>
  <c r="L118" i="12"/>
  <c r="L119" i="12"/>
  <c r="L120" i="12"/>
  <c r="L121" i="12"/>
  <c r="L122" i="12"/>
  <c r="L123" i="12"/>
  <c r="L124" i="12"/>
  <c r="L125" i="12"/>
  <c r="L126" i="12"/>
  <c r="L127" i="12"/>
  <c r="L128" i="12"/>
  <c r="L129" i="12"/>
  <c r="L130" i="12"/>
  <c r="L131" i="12"/>
  <c r="L132" i="12"/>
  <c r="L133" i="12"/>
  <c r="L134" i="12"/>
  <c r="L135" i="12"/>
  <c r="L136" i="12"/>
  <c r="L137" i="12"/>
  <c r="L138" i="12"/>
  <c r="L139" i="12"/>
  <c r="L140" i="12"/>
  <c r="L141" i="12"/>
  <c r="L142" i="12"/>
  <c r="L143" i="12"/>
  <c r="L144" i="12"/>
  <c r="L145" i="12"/>
  <c r="L146" i="12"/>
  <c r="L147" i="12"/>
  <c r="L148" i="12"/>
  <c r="L149" i="12"/>
  <c r="L150" i="12"/>
  <c r="L151" i="12"/>
  <c r="L152" i="12"/>
  <c r="L153" i="12"/>
  <c r="L154" i="12"/>
  <c r="L155" i="12"/>
  <c r="L156" i="12"/>
  <c r="L157" i="12"/>
  <c r="L158" i="12"/>
  <c r="L159" i="12"/>
  <c r="L160" i="12"/>
  <c r="L161" i="12"/>
  <c r="L162" i="12"/>
  <c r="L163" i="12"/>
  <c r="L164" i="12"/>
  <c r="L165" i="12"/>
  <c r="L166" i="12"/>
  <c r="L167" i="12"/>
  <c r="L168" i="12"/>
  <c r="L169" i="12"/>
  <c r="L170" i="12"/>
  <c r="L171" i="12"/>
  <c r="L172" i="12"/>
  <c r="L173" i="12"/>
  <c r="L174" i="12"/>
  <c r="L175" i="12"/>
  <c r="L176" i="12"/>
  <c r="L177" i="12"/>
  <c r="L178" i="12"/>
  <c r="L179" i="12"/>
  <c r="L180" i="12"/>
  <c r="L181" i="12"/>
  <c r="L182" i="12"/>
  <c r="L183" i="12"/>
  <c r="L184" i="12"/>
  <c r="L185" i="12"/>
  <c r="L186" i="12"/>
  <c r="L187" i="12"/>
  <c r="L188" i="12"/>
  <c r="L189" i="12"/>
  <c r="L190" i="12"/>
  <c r="L191" i="12"/>
  <c r="K192" i="12"/>
  <c r="K193" i="12"/>
  <c r="K194" i="12"/>
  <c r="K195" i="12"/>
  <c r="K196" i="12"/>
  <c r="K197" i="12"/>
  <c r="K198" i="12"/>
  <c r="K199" i="12"/>
  <c r="K200" i="12"/>
  <c r="K201" i="12"/>
  <c r="K202" i="12"/>
  <c r="K203" i="12"/>
  <c r="K204" i="12"/>
  <c r="K205" i="12"/>
  <c r="K206" i="12"/>
  <c r="K207" i="12"/>
  <c r="K208" i="12"/>
  <c r="K209" i="12"/>
  <c r="K210" i="12"/>
  <c r="K211" i="12"/>
  <c r="K212" i="12"/>
  <c r="K213" i="12"/>
  <c r="K214" i="12"/>
  <c r="K215" i="12"/>
  <c r="K216" i="12"/>
  <c r="K217" i="12"/>
  <c r="K218" i="12"/>
  <c r="K219" i="12"/>
  <c r="K220" i="12"/>
  <c r="K221" i="12"/>
  <c r="K222" i="12"/>
  <c r="K223" i="12"/>
  <c r="K224" i="12"/>
  <c r="K225" i="12"/>
  <c r="K226" i="12"/>
  <c r="K227" i="12"/>
  <c r="K228" i="12"/>
  <c r="K229" i="12"/>
  <c r="K230" i="12"/>
  <c r="K231" i="12"/>
  <c r="K232" i="12"/>
  <c r="K233" i="12"/>
  <c r="K234" i="12"/>
  <c r="K235" i="12"/>
  <c r="K236" i="12"/>
  <c r="K237" i="12"/>
  <c r="K238" i="12"/>
  <c r="K239" i="12"/>
  <c r="K240" i="12"/>
  <c r="K241" i="12"/>
  <c r="K242" i="12"/>
  <c r="K243" i="12"/>
  <c r="K244" i="12"/>
  <c r="K245" i="12"/>
  <c r="K246" i="12"/>
  <c r="K247" i="12"/>
  <c r="K248" i="12"/>
  <c r="K249" i="12"/>
  <c r="K250" i="12"/>
  <c r="K251" i="12"/>
  <c r="K252" i="12"/>
  <c r="K253" i="12"/>
  <c r="K254" i="12"/>
  <c r="K255" i="12"/>
  <c r="K256" i="12"/>
  <c r="K257" i="12"/>
  <c r="K258" i="12"/>
  <c r="K259" i="12"/>
  <c r="K260" i="12"/>
  <c r="K261" i="12"/>
  <c r="K262" i="12"/>
  <c r="K263" i="12"/>
  <c r="K264" i="12"/>
  <c r="K265" i="12"/>
  <c r="K266" i="12"/>
  <c r="K267" i="12"/>
  <c r="K268" i="12"/>
  <c r="K269" i="12"/>
  <c r="K270" i="12"/>
  <c r="K271" i="12"/>
  <c r="K272" i="12"/>
  <c r="K273" i="12"/>
  <c r="K274" i="12"/>
  <c r="K275" i="12"/>
  <c r="K276" i="12"/>
  <c r="K277" i="12"/>
  <c r="K278" i="12"/>
  <c r="K279" i="12"/>
  <c r="K280" i="12"/>
  <c r="K281" i="12"/>
  <c r="K282" i="12"/>
  <c r="K283" i="12"/>
  <c r="K284" i="12"/>
  <c r="K285" i="12"/>
  <c r="K286" i="12"/>
  <c r="K287" i="12"/>
  <c r="K288" i="12"/>
  <c r="K289" i="12"/>
  <c r="K290" i="12"/>
  <c r="K291" i="12"/>
  <c r="K292" i="12"/>
  <c r="K293" i="12"/>
  <c r="K294" i="12"/>
  <c r="K295" i="12"/>
  <c r="K296" i="12"/>
  <c r="K297" i="12"/>
  <c r="K298" i="12"/>
  <c r="K299" i="12"/>
  <c r="K300" i="12"/>
  <c r="K301" i="12"/>
  <c r="K302" i="12"/>
  <c r="K303" i="12"/>
  <c r="K304" i="12"/>
  <c r="K305" i="12"/>
  <c r="K306" i="12"/>
  <c r="K307" i="12"/>
  <c r="K308" i="12"/>
  <c r="K309" i="12"/>
  <c r="K310" i="12"/>
  <c r="K311" i="12"/>
  <c r="K312" i="12"/>
  <c r="K313" i="12"/>
  <c r="K314" i="12"/>
  <c r="K315" i="12"/>
  <c r="K316" i="12"/>
  <c r="K317" i="12"/>
  <c r="K318" i="12"/>
  <c r="K319" i="12"/>
  <c r="K320" i="12"/>
  <c r="K321" i="12"/>
  <c r="K322" i="12"/>
  <c r="K323" i="12"/>
  <c r="K324" i="12"/>
  <c r="K325" i="12"/>
  <c r="K326" i="12"/>
  <c r="K327" i="12"/>
  <c r="K328" i="12"/>
  <c r="K329" i="12"/>
  <c r="K330" i="12"/>
  <c r="K331" i="12"/>
  <c r="K332" i="12"/>
  <c r="K333" i="12"/>
  <c r="K334" i="12"/>
  <c r="K335" i="12"/>
  <c r="K336" i="12"/>
  <c r="K337" i="12"/>
  <c r="K338" i="12"/>
  <c r="K339" i="12"/>
  <c r="K340" i="12"/>
  <c r="K341" i="12"/>
  <c r="K342" i="12"/>
  <c r="K343" i="12"/>
  <c r="K344" i="12"/>
  <c r="K345" i="12"/>
  <c r="K346" i="12"/>
  <c r="K347" i="12"/>
  <c r="K348" i="12"/>
  <c r="K349" i="12"/>
  <c r="K350" i="12"/>
  <c r="K351" i="12"/>
  <c r="K352" i="12"/>
  <c r="K353" i="12"/>
  <c r="K354" i="12"/>
  <c r="K355" i="12"/>
  <c r="K356" i="12"/>
  <c r="K357" i="12"/>
  <c r="K358" i="12"/>
  <c r="K359" i="12"/>
  <c r="K360" i="12"/>
  <c r="K361" i="12"/>
  <c r="K362" i="12"/>
  <c r="K363" i="12"/>
  <c r="K364" i="12"/>
  <c r="K365" i="12"/>
  <c r="K366" i="12"/>
  <c r="K367" i="12"/>
  <c r="K368" i="12"/>
  <c r="K369" i="12"/>
  <c r="K370" i="12"/>
  <c r="K371" i="12"/>
  <c r="K372" i="12"/>
  <c r="K373" i="12"/>
  <c r="K374" i="12"/>
  <c r="K375" i="12"/>
  <c r="K376" i="12"/>
  <c r="K377" i="12"/>
  <c r="K378" i="12"/>
  <c r="K379" i="12"/>
  <c r="K380" i="12"/>
  <c r="K381" i="12"/>
  <c r="K382" i="12"/>
  <c r="K383" i="12"/>
  <c r="K384" i="12"/>
  <c r="K385" i="12"/>
  <c r="K386" i="12"/>
  <c r="K387" i="12"/>
  <c r="K388" i="12"/>
  <c r="K389" i="12"/>
  <c r="K390" i="12"/>
  <c r="K391" i="12"/>
  <c r="K392" i="12"/>
  <c r="K393" i="12"/>
  <c r="K394" i="12"/>
  <c r="K395" i="12"/>
  <c r="K396" i="12"/>
  <c r="K397" i="12"/>
  <c r="K398" i="12"/>
  <c r="K399" i="12"/>
  <c r="K400" i="12"/>
  <c r="K401" i="12"/>
  <c r="K402" i="12"/>
  <c r="K403" i="12"/>
  <c r="K404" i="12"/>
  <c r="K3" i="12"/>
  <c r="K4" i="12"/>
  <c r="K5" i="12"/>
  <c r="K6" i="12"/>
  <c r="K7" i="12"/>
  <c r="K8" i="12"/>
  <c r="K9" i="12"/>
  <c r="K10" i="12"/>
  <c r="K11" i="12"/>
  <c r="K12" i="12"/>
  <c r="K13" i="12"/>
  <c r="K14" i="12"/>
  <c r="K15" i="12"/>
  <c r="K16" i="12"/>
  <c r="K17" i="12"/>
  <c r="K18" i="12"/>
  <c r="K19" i="12"/>
  <c r="K20" i="12"/>
  <c r="K21" i="12"/>
  <c r="K22" i="12"/>
  <c r="K23" i="12"/>
  <c r="K24" i="12"/>
  <c r="K25" i="12"/>
  <c r="K26" i="12"/>
  <c r="K27" i="12"/>
  <c r="K28" i="12"/>
  <c r="K29" i="12"/>
  <c r="K30" i="12"/>
  <c r="K31" i="12"/>
  <c r="K32" i="12"/>
  <c r="K33" i="12"/>
  <c r="K34" i="12"/>
  <c r="K35" i="12"/>
  <c r="K36" i="12"/>
  <c r="K37" i="12"/>
  <c r="K38" i="12"/>
  <c r="K39" i="12"/>
  <c r="K40" i="12"/>
  <c r="K41" i="12"/>
  <c r="K42" i="12"/>
  <c r="K43" i="12"/>
  <c r="K44" i="12"/>
  <c r="K45" i="12"/>
  <c r="K46" i="12"/>
  <c r="K47" i="12"/>
  <c r="K48" i="12"/>
  <c r="K49" i="12"/>
  <c r="K50" i="12"/>
  <c r="K51" i="12"/>
  <c r="K52" i="12"/>
  <c r="K53" i="12"/>
  <c r="K54" i="12"/>
  <c r="K55" i="12"/>
  <c r="K56" i="12"/>
  <c r="K57" i="12"/>
  <c r="K58" i="12"/>
  <c r="K59" i="12"/>
  <c r="K60" i="12"/>
  <c r="K61" i="12"/>
  <c r="K62" i="12"/>
  <c r="K63" i="12"/>
  <c r="K64" i="12"/>
  <c r="K65" i="12"/>
  <c r="K66" i="12"/>
  <c r="K67" i="12"/>
  <c r="K68" i="12"/>
  <c r="K69" i="12"/>
  <c r="K70" i="12"/>
  <c r="K71" i="12"/>
  <c r="K72" i="12"/>
  <c r="K73" i="12"/>
  <c r="K74" i="12"/>
  <c r="K75" i="12"/>
  <c r="K76" i="12"/>
  <c r="K77" i="12"/>
  <c r="K78" i="12"/>
  <c r="K79" i="12"/>
  <c r="K80" i="12"/>
  <c r="K81" i="12"/>
  <c r="K82" i="12"/>
  <c r="K83" i="12"/>
  <c r="K84" i="12"/>
  <c r="K85" i="12"/>
  <c r="K86" i="12"/>
  <c r="K87" i="12"/>
  <c r="K88" i="12"/>
  <c r="K89" i="12"/>
  <c r="K90" i="12"/>
  <c r="K91" i="12"/>
  <c r="K92" i="12"/>
  <c r="K93" i="12"/>
  <c r="K94" i="12"/>
  <c r="K95" i="12"/>
  <c r="K96" i="12"/>
  <c r="K97" i="12"/>
  <c r="K98" i="12"/>
  <c r="K99" i="12"/>
  <c r="K100" i="12"/>
  <c r="K101" i="12"/>
  <c r="K102" i="12"/>
  <c r="K103" i="12"/>
  <c r="K104" i="12"/>
  <c r="K105" i="12"/>
  <c r="K106" i="12"/>
  <c r="K107" i="12"/>
  <c r="K108" i="12"/>
  <c r="K109" i="12"/>
  <c r="K110" i="12"/>
  <c r="K111" i="12"/>
  <c r="K112" i="12"/>
  <c r="K113" i="12"/>
  <c r="K114" i="12"/>
  <c r="K115" i="12"/>
  <c r="K116" i="12"/>
  <c r="K117" i="12"/>
  <c r="K118" i="12"/>
  <c r="K119" i="12"/>
  <c r="K120" i="12"/>
  <c r="K121" i="12"/>
  <c r="K122" i="12"/>
  <c r="K123" i="12"/>
  <c r="K124" i="12"/>
  <c r="K125" i="12"/>
  <c r="K126" i="12"/>
  <c r="K127" i="12"/>
  <c r="K128" i="12"/>
  <c r="K129" i="12"/>
  <c r="K130" i="12"/>
  <c r="K131" i="12"/>
  <c r="K132" i="12"/>
  <c r="K133" i="12"/>
  <c r="K134" i="12"/>
  <c r="K135" i="12"/>
  <c r="K136" i="12"/>
  <c r="K137" i="12"/>
  <c r="K138" i="12"/>
  <c r="K139" i="12"/>
  <c r="K140" i="12"/>
  <c r="K141" i="12"/>
  <c r="K142" i="12"/>
  <c r="K143" i="12"/>
  <c r="K144" i="12"/>
  <c r="K145" i="12"/>
  <c r="K146" i="12"/>
  <c r="K147" i="12"/>
  <c r="K148" i="12"/>
  <c r="K149" i="12"/>
  <c r="K150" i="12"/>
  <c r="K151" i="12"/>
  <c r="K152" i="12"/>
  <c r="K153" i="12"/>
  <c r="K154" i="12"/>
  <c r="K155" i="12"/>
  <c r="K156" i="12"/>
  <c r="K157" i="12"/>
  <c r="K158" i="12"/>
  <c r="K159" i="12"/>
  <c r="K160" i="12"/>
  <c r="K161" i="12"/>
  <c r="K162" i="12"/>
  <c r="K163" i="12"/>
  <c r="K164" i="12"/>
  <c r="K165" i="12"/>
  <c r="K166" i="12"/>
  <c r="K167" i="12"/>
  <c r="K168" i="12"/>
  <c r="K169" i="12"/>
  <c r="K170" i="12"/>
  <c r="K171" i="12"/>
  <c r="K172" i="12"/>
  <c r="K173" i="12"/>
  <c r="K174" i="12"/>
  <c r="K175" i="12"/>
  <c r="K176" i="12"/>
  <c r="K177" i="12"/>
  <c r="K178" i="12"/>
  <c r="K179" i="12"/>
  <c r="K180" i="12"/>
  <c r="K181" i="12"/>
  <c r="K182" i="12"/>
  <c r="K183" i="12"/>
  <c r="K184" i="12"/>
  <c r="K185" i="12"/>
  <c r="K186" i="12"/>
  <c r="K187" i="12"/>
  <c r="K188" i="12"/>
  <c r="K189" i="12"/>
  <c r="K190" i="12"/>
  <c r="K191" i="12"/>
  <c r="K2" i="12"/>
  <c r="J192" i="12"/>
  <c r="J193" i="12"/>
  <c r="J194" i="12"/>
  <c r="J195" i="12"/>
  <c r="J196" i="12"/>
  <c r="J197" i="12"/>
  <c r="J198" i="12"/>
  <c r="J199" i="12"/>
  <c r="J200" i="12"/>
  <c r="J201" i="12"/>
  <c r="J202" i="12"/>
  <c r="J203" i="12"/>
  <c r="J204" i="12"/>
  <c r="J205" i="12"/>
  <c r="J206" i="12"/>
  <c r="J207" i="12"/>
  <c r="J208" i="12"/>
  <c r="J209" i="12"/>
  <c r="J210" i="12"/>
  <c r="J211" i="12"/>
  <c r="J212" i="12"/>
  <c r="J213" i="12"/>
  <c r="J214" i="12"/>
  <c r="J215" i="12"/>
  <c r="J216" i="12"/>
  <c r="J217" i="12"/>
  <c r="J218" i="12"/>
  <c r="J219" i="12"/>
  <c r="J220" i="12"/>
  <c r="J221" i="12"/>
  <c r="J222" i="12"/>
  <c r="J223" i="12"/>
  <c r="J224" i="12"/>
  <c r="J225" i="12"/>
  <c r="J226" i="12"/>
  <c r="J227" i="12"/>
  <c r="J228" i="12"/>
  <c r="J229" i="12"/>
  <c r="J230" i="12"/>
  <c r="J231" i="12"/>
  <c r="J232" i="12"/>
  <c r="J233" i="12"/>
  <c r="J234" i="12"/>
  <c r="J235" i="12"/>
  <c r="J236" i="12"/>
  <c r="J237" i="12"/>
  <c r="J238" i="12"/>
  <c r="J239" i="12"/>
  <c r="J240" i="12"/>
  <c r="J241" i="12"/>
  <c r="J242" i="12"/>
  <c r="J243" i="12"/>
  <c r="J244" i="12"/>
  <c r="J245" i="12"/>
  <c r="J246" i="12"/>
  <c r="J247" i="12"/>
  <c r="J248" i="12"/>
  <c r="J249" i="12"/>
  <c r="J250" i="12"/>
  <c r="J251" i="12"/>
  <c r="J252" i="12"/>
  <c r="J253" i="12"/>
  <c r="J254" i="12"/>
  <c r="J255" i="12"/>
  <c r="J256" i="12"/>
  <c r="J257" i="12"/>
  <c r="J258" i="12"/>
  <c r="J259" i="12"/>
  <c r="J260" i="12"/>
  <c r="J261" i="12"/>
  <c r="J262" i="12"/>
  <c r="J263" i="12"/>
  <c r="J264" i="12"/>
  <c r="J265" i="12"/>
  <c r="J266" i="12"/>
  <c r="J267" i="12"/>
  <c r="J268" i="12"/>
  <c r="J269" i="12"/>
  <c r="J270" i="12"/>
  <c r="J271" i="12"/>
  <c r="J272" i="12"/>
  <c r="J273" i="12"/>
  <c r="J274" i="12"/>
  <c r="J275" i="12"/>
  <c r="J276" i="12"/>
  <c r="J277" i="12"/>
  <c r="J278" i="12"/>
  <c r="J279" i="12"/>
  <c r="J280" i="12"/>
  <c r="J281" i="12"/>
  <c r="J282" i="12"/>
  <c r="J283" i="12"/>
  <c r="J284" i="12"/>
  <c r="J285" i="12"/>
  <c r="J286" i="12"/>
  <c r="J287" i="12"/>
  <c r="J288" i="12"/>
  <c r="J289" i="12"/>
  <c r="J290" i="12"/>
  <c r="J291" i="12"/>
  <c r="J292" i="12"/>
  <c r="J293" i="12"/>
  <c r="J294" i="12"/>
  <c r="J295" i="12"/>
  <c r="J296" i="12"/>
  <c r="J297" i="12"/>
  <c r="J298" i="12"/>
  <c r="J299" i="12"/>
  <c r="J300" i="12"/>
  <c r="J301" i="12"/>
  <c r="J302" i="12"/>
  <c r="J303" i="12"/>
  <c r="J304" i="12"/>
  <c r="J305" i="12"/>
  <c r="J306" i="12"/>
  <c r="J307" i="12"/>
  <c r="J308" i="12"/>
  <c r="J309" i="12"/>
  <c r="J310" i="12"/>
  <c r="J311" i="12"/>
  <c r="J312" i="12"/>
  <c r="J313" i="12"/>
  <c r="J314" i="12"/>
  <c r="J315" i="12"/>
  <c r="J316" i="12"/>
  <c r="J317" i="12"/>
  <c r="J318" i="12"/>
  <c r="J319" i="12"/>
  <c r="J320" i="12"/>
  <c r="J321" i="12"/>
  <c r="J322" i="12"/>
  <c r="J323" i="12"/>
  <c r="J324" i="12"/>
  <c r="J325" i="12"/>
  <c r="J326" i="12"/>
  <c r="J327" i="12"/>
  <c r="J328" i="12"/>
  <c r="J329" i="12"/>
  <c r="J330" i="12"/>
  <c r="J331" i="12"/>
  <c r="J332" i="12"/>
  <c r="J333" i="12"/>
  <c r="J334" i="12"/>
  <c r="J335" i="12"/>
  <c r="J336" i="12"/>
  <c r="J337" i="12"/>
  <c r="J338" i="12"/>
  <c r="J339" i="12"/>
  <c r="J340" i="12"/>
  <c r="J341" i="12"/>
  <c r="J342" i="12"/>
  <c r="J343" i="12"/>
  <c r="J344" i="12"/>
  <c r="J345" i="12"/>
  <c r="J346" i="12"/>
  <c r="J347" i="12"/>
  <c r="J348" i="12"/>
  <c r="J349" i="12"/>
  <c r="J350" i="12"/>
  <c r="J351" i="12"/>
  <c r="J352" i="12"/>
  <c r="J353" i="12"/>
  <c r="J354" i="12"/>
  <c r="J355" i="12"/>
  <c r="J356" i="12"/>
  <c r="J357" i="12"/>
  <c r="J358" i="12"/>
  <c r="J359" i="12"/>
  <c r="J360" i="12"/>
  <c r="J361" i="12"/>
  <c r="J362" i="12"/>
  <c r="J363" i="12"/>
  <c r="J364" i="12"/>
  <c r="J365" i="12"/>
  <c r="J366" i="12"/>
  <c r="J367" i="12"/>
  <c r="J368" i="12"/>
  <c r="J369" i="12"/>
  <c r="J370" i="12"/>
  <c r="J371" i="12"/>
  <c r="J372" i="12"/>
  <c r="J373" i="12"/>
  <c r="J374" i="12"/>
  <c r="J375" i="12"/>
  <c r="J376" i="12"/>
  <c r="J377" i="12"/>
  <c r="J378" i="12"/>
  <c r="J379" i="12"/>
  <c r="J380" i="12"/>
  <c r="J381" i="12"/>
  <c r="J382" i="12"/>
  <c r="J383" i="12"/>
  <c r="J384" i="12"/>
  <c r="J385" i="12"/>
  <c r="J386" i="12"/>
  <c r="J387" i="12"/>
  <c r="J388" i="12"/>
  <c r="J389" i="12"/>
  <c r="J390" i="12"/>
  <c r="J391" i="12"/>
  <c r="J392" i="12"/>
  <c r="J393" i="12"/>
  <c r="J394" i="12"/>
  <c r="J395" i="12"/>
  <c r="J396" i="12"/>
  <c r="J397" i="12"/>
  <c r="J398" i="12"/>
  <c r="J399" i="12"/>
  <c r="J400" i="12"/>
  <c r="J401" i="12"/>
  <c r="J402" i="12"/>
  <c r="J403" i="12"/>
  <c r="J404" i="12"/>
  <c r="J3" i="12"/>
  <c r="J4" i="12"/>
  <c r="J5" i="12"/>
  <c r="J6" i="12"/>
  <c r="J7" i="12"/>
  <c r="J8" i="12"/>
  <c r="J9" i="12"/>
  <c r="J10" i="12"/>
  <c r="J11" i="12"/>
  <c r="J12" i="12"/>
  <c r="J13" i="12"/>
  <c r="J14" i="12"/>
  <c r="J15" i="12"/>
  <c r="J16" i="12"/>
  <c r="J17" i="12"/>
  <c r="J18" i="12"/>
  <c r="J19" i="12"/>
  <c r="J20" i="12"/>
  <c r="J21" i="12"/>
  <c r="J22" i="12"/>
  <c r="J23" i="12"/>
  <c r="J24" i="12"/>
  <c r="J25" i="12"/>
  <c r="J26" i="12"/>
  <c r="J27" i="12"/>
  <c r="J28"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J59" i="12"/>
  <c r="J60" i="12"/>
  <c r="J61" i="12"/>
  <c r="J62" i="12"/>
  <c r="J63" i="12"/>
  <c r="J64" i="12"/>
  <c r="J65" i="12"/>
  <c r="J66" i="12"/>
  <c r="J67" i="12"/>
  <c r="J68" i="12"/>
  <c r="J69" i="12"/>
  <c r="J70" i="12"/>
  <c r="J71" i="12"/>
  <c r="J72" i="12"/>
  <c r="J73" i="12"/>
  <c r="J74" i="12"/>
  <c r="J75" i="12"/>
  <c r="J76" i="12"/>
  <c r="J77" i="12"/>
  <c r="J78" i="12"/>
  <c r="J79" i="12"/>
  <c r="J80" i="12"/>
  <c r="J81" i="12"/>
  <c r="J82" i="12"/>
  <c r="J83" i="12"/>
  <c r="J84" i="12"/>
  <c r="J85" i="12"/>
  <c r="J86" i="12"/>
  <c r="J87" i="12"/>
  <c r="J88" i="12"/>
  <c r="J89" i="12"/>
  <c r="J90" i="12"/>
  <c r="J91" i="12"/>
  <c r="J92" i="12"/>
  <c r="J93" i="12"/>
  <c r="J94" i="12"/>
  <c r="J95" i="12"/>
  <c r="J96" i="12"/>
  <c r="J97" i="12"/>
  <c r="J98" i="12"/>
  <c r="J99" i="12"/>
  <c r="J100" i="12"/>
  <c r="J101" i="12"/>
  <c r="J102" i="12"/>
  <c r="J103" i="12"/>
  <c r="J104" i="12"/>
  <c r="J105" i="12"/>
  <c r="J106" i="12"/>
  <c r="J107" i="12"/>
  <c r="J108" i="12"/>
  <c r="J109" i="12"/>
  <c r="J110" i="12"/>
  <c r="J111" i="12"/>
  <c r="J112" i="12"/>
  <c r="J113" i="12"/>
  <c r="J114" i="12"/>
  <c r="J115" i="12"/>
  <c r="J116" i="12"/>
  <c r="J117" i="12"/>
  <c r="J118" i="12"/>
  <c r="J119" i="12"/>
  <c r="J120" i="12"/>
  <c r="J121" i="12"/>
  <c r="J122" i="12"/>
  <c r="J123" i="12"/>
  <c r="J124" i="12"/>
  <c r="J125" i="12"/>
  <c r="J126" i="12"/>
  <c r="J127" i="12"/>
  <c r="J128" i="12"/>
  <c r="J129" i="12"/>
  <c r="J130" i="12"/>
  <c r="J131" i="12"/>
  <c r="J132" i="12"/>
  <c r="J133" i="12"/>
  <c r="J134" i="12"/>
  <c r="J135" i="12"/>
  <c r="J136" i="12"/>
  <c r="J137" i="12"/>
  <c r="J138" i="12"/>
  <c r="J139" i="12"/>
  <c r="J140" i="12"/>
  <c r="J141" i="12"/>
  <c r="J142" i="12"/>
  <c r="J143" i="12"/>
  <c r="J144" i="12"/>
  <c r="J145" i="12"/>
  <c r="J146" i="12"/>
  <c r="J147" i="12"/>
  <c r="J148" i="12"/>
  <c r="J149" i="12"/>
  <c r="J150" i="12"/>
  <c r="J151" i="12"/>
  <c r="J152" i="12"/>
  <c r="J153" i="12"/>
  <c r="J154" i="12"/>
  <c r="J155" i="12"/>
  <c r="J156" i="12"/>
  <c r="J157" i="12"/>
  <c r="J158" i="12"/>
  <c r="J159" i="12"/>
  <c r="J160" i="12"/>
  <c r="J161" i="12"/>
  <c r="J162" i="12"/>
  <c r="J163" i="12"/>
  <c r="J164" i="12"/>
  <c r="J165" i="12"/>
  <c r="J166" i="12"/>
  <c r="J167" i="12"/>
  <c r="J168" i="12"/>
  <c r="J169" i="12"/>
  <c r="J170" i="12"/>
  <c r="J171" i="12"/>
  <c r="J172" i="12"/>
  <c r="J173" i="12"/>
  <c r="J174" i="12"/>
  <c r="J175" i="12"/>
  <c r="J176" i="12"/>
  <c r="J177" i="12"/>
  <c r="J178" i="12"/>
  <c r="J179" i="12"/>
  <c r="J180" i="12"/>
  <c r="J181" i="12"/>
  <c r="J182" i="12"/>
  <c r="J183" i="12"/>
  <c r="J184" i="12"/>
  <c r="J185" i="12"/>
  <c r="J186" i="12"/>
  <c r="J187" i="12"/>
  <c r="J188" i="12"/>
  <c r="J189" i="12"/>
  <c r="J190" i="12"/>
  <c r="J191" i="12"/>
  <c r="I192" i="12"/>
  <c r="I193" i="12"/>
  <c r="I194" i="12"/>
  <c r="I195" i="12"/>
  <c r="I196" i="12"/>
  <c r="I197" i="12"/>
  <c r="I198" i="12"/>
  <c r="I199" i="12"/>
  <c r="I200" i="12"/>
  <c r="I201" i="12"/>
  <c r="I202" i="12"/>
  <c r="I203" i="12"/>
  <c r="I204" i="12"/>
  <c r="I205" i="12"/>
  <c r="I206" i="12"/>
  <c r="I207" i="12"/>
  <c r="I208" i="12"/>
  <c r="I209" i="12"/>
  <c r="I210" i="12"/>
  <c r="I211" i="12"/>
  <c r="I212" i="12"/>
  <c r="I213" i="12"/>
  <c r="I214" i="12"/>
  <c r="I215" i="12"/>
  <c r="I216" i="12"/>
  <c r="I217" i="12"/>
  <c r="I218" i="12"/>
  <c r="I219" i="12"/>
  <c r="I220" i="12"/>
  <c r="I221" i="12"/>
  <c r="I222" i="12"/>
  <c r="I223" i="12"/>
  <c r="I224" i="12"/>
  <c r="I225" i="12"/>
  <c r="I226" i="12"/>
  <c r="I227" i="12"/>
  <c r="I228" i="12"/>
  <c r="I229" i="12"/>
  <c r="I230" i="12"/>
  <c r="I231" i="12"/>
  <c r="I232" i="12"/>
  <c r="I233" i="12"/>
  <c r="I234" i="12"/>
  <c r="I235" i="12"/>
  <c r="I236" i="12"/>
  <c r="I237" i="12"/>
  <c r="I238" i="12"/>
  <c r="I239" i="12"/>
  <c r="I240" i="12"/>
  <c r="I241" i="12"/>
  <c r="I242" i="12"/>
  <c r="I243" i="12"/>
  <c r="I244" i="12"/>
  <c r="I245" i="12"/>
  <c r="I246" i="12"/>
  <c r="I247" i="12"/>
  <c r="I248" i="12"/>
  <c r="I249" i="12"/>
  <c r="I250" i="12"/>
  <c r="I251" i="12"/>
  <c r="I252" i="12"/>
  <c r="I253" i="12"/>
  <c r="I254" i="12"/>
  <c r="I255" i="12"/>
  <c r="I256" i="12"/>
  <c r="I257" i="12"/>
  <c r="I258" i="12"/>
  <c r="I259" i="12"/>
  <c r="I260" i="12"/>
  <c r="I261" i="12"/>
  <c r="I262" i="12"/>
  <c r="I263" i="12"/>
  <c r="I264" i="12"/>
  <c r="I265" i="12"/>
  <c r="I266" i="12"/>
  <c r="I267" i="12"/>
  <c r="I268" i="12"/>
  <c r="I269" i="12"/>
  <c r="I270" i="12"/>
  <c r="I271" i="12"/>
  <c r="I272" i="12"/>
  <c r="I273" i="12"/>
  <c r="I274" i="12"/>
  <c r="I275" i="12"/>
  <c r="I276" i="12"/>
  <c r="I277" i="12"/>
  <c r="I278" i="12"/>
  <c r="I279" i="12"/>
  <c r="I280" i="12"/>
  <c r="I281" i="12"/>
  <c r="I282" i="12"/>
  <c r="I283" i="12"/>
  <c r="I284" i="12"/>
  <c r="I285" i="12"/>
  <c r="I286" i="12"/>
  <c r="I287" i="12"/>
  <c r="I288" i="12"/>
  <c r="I289" i="12"/>
  <c r="I290" i="12"/>
  <c r="I291" i="12"/>
  <c r="I292" i="12"/>
  <c r="I293" i="12"/>
  <c r="I294" i="12"/>
  <c r="I295" i="12"/>
  <c r="I296" i="12"/>
  <c r="I297" i="12"/>
  <c r="I298" i="12"/>
  <c r="I299" i="12"/>
  <c r="I300" i="12"/>
  <c r="I301" i="12"/>
  <c r="I302" i="12"/>
  <c r="I303" i="12"/>
  <c r="I304" i="12"/>
  <c r="I305" i="12"/>
  <c r="I306" i="12"/>
  <c r="I307" i="12"/>
  <c r="I308" i="12"/>
  <c r="I309" i="12"/>
  <c r="I310" i="12"/>
  <c r="I311" i="12"/>
  <c r="I312" i="12"/>
  <c r="I313" i="12"/>
  <c r="I314" i="12"/>
  <c r="I315" i="12"/>
  <c r="I316" i="12"/>
  <c r="I317" i="12"/>
  <c r="I318" i="12"/>
  <c r="I319" i="12"/>
  <c r="I320" i="12"/>
  <c r="I321" i="12"/>
  <c r="I322" i="12"/>
  <c r="I323" i="12"/>
  <c r="I324" i="12"/>
  <c r="I325" i="12"/>
  <c r="I326" i="12"/>
  <c r="I327" i="12"/>
  <c r="I328" i="12"/>
  <c r="I329" i="12"/>
  <c r="I330" i="12"/>
  <c r="I331" i="12"/>
  <c r="I332" i="12"/>
  <c r="I333" i="12"/>
  <c r="I334" i="12"/>
  <c r="I335" i="12"/>
  <c r="I336" i="12"/>
  <c r="I337" i="12"/>
  <c r="I338" i="12"/>
  <c r="I339" i="12"/>
  <c r="I340" i="12"/>
  <c r="I341" i="12"/>
  <c r="I342" i="12"/>
  <c r="I343" i="12"/>
  <c r="I344" i="12"/>
  <c r="I345" i="12"/>
  <c r="I346" i="12"/>
  <c r="I347" i="12"/>
  <c r="I348" i="12"/>
  <c r="I349" i="12"/>
  <c r="I350" i="12"/>
  <c r="I351" i="12"/>
  <c r="I352" i="12"/>
  <c r="I353" i="12"/>
  <c r="I354" i="12"/>
  <c r="I355" i="12"/>
  <c r="I356" i="12"/>
  <c r="I357" i="12"/>
  <c r="I358" i="12"/>
  <c r="I359" i="12"/>
  <c r="I360" i="12"/>
  <c r="I361" i="12"/>
  <c r="I362" i="12"/>
  <c r="I363" i="12"/>
  <c r="I364" i="12"/>
  <c r="I365" i="12"/>
  <c r="I366" i="12"/>
  <c r="I367" i="12"/>
  <c r="I368" i="12"/>
  <c r="I369" i="12"/>
  <c r="I370" i="12"/>
  <c r="I371" i="12"/>
  <c r="I372" i="12"/>
  <c r="I373" i="12"/>
  <c r="I374" i="12"/>
  <c r="I375" i="12"/>
  <c r="I376" i="12"/>
  <c r="I377" i="12"/>
  <c r="I378" i="12"/>
  <c r="I379" i="12"/>
  <c r="I380" i="12"/>
  <c r="I381" i="12"/>
  <c r="I382" i="12"/>
  <c r="I383" i="12"/>
  <c r="I384" i="12"/>
  <c r="I385" i="12"/>
  <c r="I386" i="12"/>
  <c r="I387" i="12"/>
  <c r="I388" i="12"/>
  <c r="I389" i="12"/>
  <c r="I390" i="12"/>
  <c r="I391" i="12"/>
  <c r="I392" i="12"/>
  <c r="I393" i="12"/>
  <c r="I394" i="12"/>
  <c r="I395" i="12"/>
  <c r="I396" i="12"/>
  <c r="I397" i="12"/>
  <c r="I398" i="12"/>
  <c r="I399" i="12"/>
  <c r="I400" i="12"/>
  <c r="I401" i="12"/>
  <c r="I402" i="12"/>
  <c r="I403" i="12"/>
  <c r="I404" i="12"/>
  <c r="I3" i="12"/>
  <c r="I4" i="12"/>
  <c r="I5" i="12"/>
  <c r="I6" i="12"/>
  <c r="I7" i="12"/>
  <c r="I8" i="12"/>
  <c r="I9" i="12"/>
  <c r="I10" i="12"/>
  <c r="I11" i="12"/>
  <c r="I12" i="12"/>
  <c r="I13" i="12"/>
  <c r="I14" i="12"/>
  <c r="I15" i="12"/>
  <c r="I16" i="12"/>
  <c r="I17" i="12"/>
  <c r="I18" i="12"/>
  <c r="I19" i="12"/>
  <c r="I20" i="12"/>
  <c r="I21" i="12"/>
  <c r="I22" i="12"/>
  <c r="I23" i="12"/>
  <c r="I24" i="12"/>
  <c r="I25" i="12"/>
  <c r="I26" i="12"/>
  <c r="I27" i="12"/>
  <c r="I28" i="12"/>
  <c r="I29" i="12"/>
  <c r="I30" i="12"/>
  <c r="I31" i="12"/>
  <c r="I32" i="12"/>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I129" i="12"/>
  <c r="I130" i="12"/>
  <c r="I131" i="12"/>
  <c r="I132" i="12"/>
  <c r="I133" i="12"/>
  <c r="I134" i="12"/>
  <c r="I135" i="12"/>
  <c r="I136" i="12"/>
  <c r="I137" i="12"/>
  <c r="I138" i="12"/>
  <c r="I139" i="12"/>
  <c r="I140" i="12"/>
  <c r="I141" i="12"/>
  <c r="I142" i="12"/>
  <c r="I143" i="12"/>
  <c r="I144" i="12"/>
  <c r="I145" i="12"/>
  <c r="I146" i="12"/>
  <c r="I147" i="12"/>
  <c r="I148" i="12"/>
  <c r="I149" i="12"/>
  <c r="I150" i="12"/>
  <c r="I151" i="12"/>
  <c r="I152" i="12"/>
  <c r="I153" i="12"/>
  <c r="I154" i="12"/>
  <c r="I155" i="12"/>
  <c r="I156" i="12"/>
  <c r="I157" i="12"/>
  <c r="I158" i="12"/>
  <c r="I159" i="12"/>
  <c r="I160" i="12"/>
  <c r="I161" i="12"/>
  <c r="I162" i="12"/>
  <c r="I163" i="12"/>
  <c r="I164" i="12"/>
  <c r="I165" i="12"/>
  <c r="I166" i="12"/>
  <c r="I167" i="12"/>
  <c r="I168" i="12"/>
  <c r="I169" i="12"/>
  <c r="I170" i="12"/>
  <c r="I171" i="12"/>
  <c r="I172" i="12"/>
  <c r="I173" i="12"/>
  <c r="I174" i="12"/>
  <c r="I175" i="12"/>
  <c r="I176" i="12"/>
  <c r="I177" i="12"/>
  <c r="I178" i="12"/>
  <c r="I179" i="12"/>
  <c r="I180" i="12"/>
  <c r="I181" i="12"/>
  <c r="I182" i="12"/>
  <c r="I183" i="12"/>
  <c r="I184" i="12"/>
  <c r="I185" i="12"/>
  <c r="I186" i="12"/>
  <c r="I187" i="12"/>
  <c r="I188" i="12"/>
  <c r="I189" i="12"/>
  <c r="I190" i="12"/>
  <c r="I191" i="12"/>
  <c r="I2" i="12"/>
  <c r="H192" i="12"/>
  <c r="H193" i="12"/>
  <c r="H194" i="12"/>
  <c r="H195" i="12"/>
  <c r="H196" i="12"/>
  <c r="H197" i="12"/>
  <c r="H198" i="12"/>
  <c r="H199" i="12"/>
  <c r="H200" i="12"/>
  <c r="H201" i="12"/>
  <c r="H202" i="12"/>
  <c r="H203" i="12"/>
  <c r="H204" i="12"/>
  <c r="H205" i="12"/>
  <c r="H206" i="12"/>
  <c r="H207" i="12"/>
  <c r="H208" i="12"/>
  <c r="H209" i="12"/>
  <c r="H210" i="12"/>
  <c r="H211" i="12"/>
  <c r="H212" i="12"/>
  <c r="H213" i="12"/>
  <c r="H214" i="12"/>
  <c r="H215" i="12"/>
  <c r="H216" i="12"/>
  <c r="H217" i="12"/>
  <c r="H218" i="12"/>
  <c r="H219" i="12"/>
  <c r="H220" i="12"/>
  <c r="H221" i="12"/>
  <c r="H222" i="12"/>
  <c r="H223" i="12"/>
  <c r="H224" i="12"/>
  <c r="H225" i="12"/>
  <c r="H226" i="12"/>
  <c r="H227" i="12"/>
  <c r="H228" i="12"/>
  <c r="H229" i="12"/>
  <c r="H230" i="12"/>
  <c r="H231" i="12"/>
  <c r="H232" i="12"/>
  <c r="H233" i="12"/>
  <c r="H234" i="12"/>
  <c r="H235" i="12"/>
  <c r="H236" i="12"/>
  <c r="H237" i="12"/>
  <c r="H238" i="12"/>
  <c r="H239" i="12"/>
  <c r="H240" i="12"/>
  <c r="H241" i="12"/>
  <c r="H242" i="12"/>
  <c r="H243" i="12"/>
  <c r="H244" i="12"/>
  <c r="H245" i="12"/>
  <c r="H246" i="12"/>
  <c r="H247" i="12"/>
  <c r="H248" i="12"/>
  <c r="H249" i="12"/>
  <c r="H250" i="12"/>
  <c r="H251" i="12"/>
  <c r="H252" i="12"/>
  <c r="H253" i="12"/>
  <c r="H254" i="12"/>
  <c r="H255" i="12"/>
  <c r="H256" i="12"/>
  <c r="H257" i="12"/>
  <c r="H258" i="12"/>
  <c r="H259" i="12"/>
  <c r="H260" i="12"/>
  <c r="H261" i="12"/>
  <c r="H262" i="12"/>
  <c r="H263" i="12"/>
  <c r="H264" i="12"/>
  <c r="H265" i="12"/>
  <c r="H266" i="12"/>
  <c r="H267" i="12"/>
  <c r="H268" i="12"/>
  <c r="H269" i="12"/>
  <c r="H270" i="12"/>
  <c r="H271" i="12"/>
  <c r="H272" i="12"/>
  <c r="H273" i="12"/>
  <c r="H274" i="12"/>
  <c r="H275" i="12"/>
  <c r="H276" i="12"/>
  <c r="H277" i="12"/>
  <c r="H278" i="12"/>
  <c r="H279" i="12"/>
  <c r="H280" i="12"/>
  <c r="H281" i="12"/>
  <c r="H282" i="12"/>
  <c r="H283" i="12"/>
  <c r="H284" i="12"/>
  <c r="H285" i="12"/>
  <c r="H286" i="12"/>
  <c r="H287" i="12"/>
  <c r="H288" i="12"/>
  <c r="H289" i="12"/>
  <c r="H290" i="12"/>
  <c r="H291" i="12"/>
  <c r="H292" i="12"/>
  <c r="H293" i="12"/>
  <c r="H294" i="12"/>
  <c r="H295" i="12"/>
  <c r="H296" i="12"/>
  <c r="H297" i="12"/>
  <c r="H298" i="12"/>
  <c r="H299" i="12"/>
  <c r="H300" i="12"/>
  <c r="H301" i="12"/>
  <c r="H302" i="12"/>
  <c r="H303" i="12"/>
  <c r="H304" i="12"/>
  <c r="H305" i="12"/>
  <c r="H306" i="12"/>
  <c r="H307" i="12"/>
  <c r="H308" i="12"/>
  <c r="H309" i="12"/>
  <c r="H310" i="12"/>
  <c r="H311" i="12"/>
  <c r="H312" i="12"/>
  <c r="H313" i="12"/>
  <c r="H314" i="12"/>
  <c r="H315" i="12"/>
  <c r="H316" i="12"/>
  <c r="H317" i="12"/>
  <c r="H318" i="12"/>
  <c r="H319" i="12"/>
  <c r="H320" i="12"/>
  <c r="H321" i="12"/>
  <c r="H322" i="12"/>
  <c r="H323" i="12"/>
  <c r="H324" i="12"/>
  <c r="H325" i="12"/>
  <c r="H326" i="12"/>
  <c r="H327" i="12"/>
  <c r="H328" i="12"/>
  <c r="H329" i="12"/>
  <c r="H330" i="12"/>
  <c r="H331" i="12"/>
  <c r="H332" i="12"/>
  <c r="H333" i="12"/>
  <c r="H334" i="12"/>
  <c r="H335" i="12"/>
  <c r="H336" i="12"/>
  <c r="H337" i="12"/>
  <c r="H338" i="12"/>
  <c r="H339" i="12"/>
  <c r="H340" i="12"/>
  <c r="H341" i="12"/>
  <c r="H342" i="12"/>
  <c r="H343" i="12"/>
  <c r="H344" i="12"/>
  <c r="H345" i="12"/>
  <c r="H346" i="12"/>
  <c r="H347" i="12"/>
  <c r="H348" i="12"/>
  <c r="H349" i="12"/>
  <c r="H350" i="12"/>
  <c r="H351" i="12"/>
  <c r="H352" i="12"/>
  <c r="H353" i="12"/>
  <c r="H354" i="12"/>
  <c r="H355" i="12"/>
  <c r="H356" i="12"/>
  <c r="H357" i="12"/>
  <c r="H358" i="12"/>
  <c r="H359" i="12"/>
  <c r="H360" i="12"/>
  <c r="H361" i="12"/>
  <c r="H362" i="12"/>
  <c r="H363" i="12"/>
  <c r="H364" i="12"/>
  <c r="H365" i="12"/>
  <c r="H366" i="12"/>
  <c r="H367" i="12"/>
  <c r="H368" i="12"/>
  <c r="H369" i="12"/>
  <c r="H370" i="12"/>
  <c r="H371" i="12"/>
  <c r="H372" i="12"/>
  <c r="H373" i="12"/>
  <c r="H374" i="12"/>
  <c r="H375" i="12"/>
  <c r="H376" i="12"/>
  <c r="H377" i="12"/>
  <c r="H378" i="12"/>
  <c r="H379" i="12"/>
  <c r="H380" i="12"/>
  <c r="H381" i="12"/>
  <c r="H382" i="12"/>
  <c r="H383" i="12"/>
  <c r="H384" i="12"/>
  <c r="H385" i="12"/>
  <c r="H386" i="12"/>
  <c r="H387" i="12"/>
  <c r="H388" i="12"/>
  <c r="H389" i="12"/>
  <c r="H390" i="12"/>
  <c r="H391" i="12"/>
  <c r="H392" i="12"/>
  <c r="H393" i="12"/>
  <c r="H394" i="12"/>
  <c r="H395" i="12"/>
  <c r="H396" i="12"/>
  <c r="H397" i="12"/>
  <c r="H398" i="12"/>
  <c r="H399" i="12"/>
  <c r="H400" i="12"/>
  <c r="H401" i="12"/>
  <c r="H402" i="12"/>
  <c r="H403" i="12"/>
  <c r="H404" i="12"/>
  <c r="H3" i="12"/>
  <c r="H4" i="12"/>
  <c r="H5" i="12"/>
  <c r="H6" i="12"/>
  <c r="H7" i="12"/>
  <c r="H8" i="12"/>
  <c r="H9" i="12"/>
  <c r="H10" i="12"/>
  <c r="H11" i="12"/>
  <c r="H12" i="12"/>
  <c r="H13" i="12"/>
  <c r="H14" i="12"/>
  <c r="H15" i="12"/>
  <c r="H16" i="12"/>
  <c r="H17" i="12"/>
  <c r="H18" i="12"/>
  <c r="H19" i="12"/>
  <c r="H20" i="12"/>
  <c r="H21" i="12"/>
  <c r="H22" i="12"/>
  <c r="H23" i="12"/>
  <c r="H24"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59" i="12"/>
  <c r="H60" i="12"/>
  <c r="H61" i="12"/>
  <c r="H62" i="12"/>
  <c r="H63" i="12"/>
  <c r="H64" i="12"/>
  <c r="H65" i="12"/>
  <c r="H66" i="12"/>
  <c r="H67" i="12"/>
  <c r="H68" i="12"/>
  <c r="H69" i="12"/>
  <c r="H70" i="12"/>
  <c r="H71" i="12"/>
  <c r="H72" i="12"/>
  <c r="H73" i="12"/>
  <c r="H74" i="12"/>
  <c r="H75" i="12"/>
  <c r="H76" i="12"/>
  <c r="H77" i="12"/>
  <c r="H78" i="12"/>
  <c r="H79" i="12"/>
  <c r="H80" i="12"/>
  <c r="H81" i="12"/>
  <c r="H82" i="12"/>
  <c r="H83" i="12"/>
  <c r="H84" i="12"/>
  <c r="H85" i="12"/>
  <c r="H86" i="12"/>
  <c r="H87" i="12"/>
  <c r="H88" i="12"/>
  <c r="H89" i="12"/>
  <c r="H90" i="12"/>
  <c r="H91" i="12"/>
  <c r="H92" i="12"/>
  <c r="H93" i="12"/>
  <c r="H94" i="12"/>
  <c r="H95" i="12"/>
  <c r="H96" i="12"/>
  <c r="H97" i="12"/>
  <c r="H98" i="12"/>
  <c r="H99" i="12"/>
  <c r="H100" i="12"/>
  <c r="H101" i="12"/>
  <c r="H102" i="12"/>
  <c r="H103" i="12"/>
  <c r="H104" i="12"/>
  <c r="H105" i="12"/>
  <c r="H106" i="12"/>
  <c r="H107" i="12"/>
  <c r="H108" i="12"/>
  <c r="H109" i="12"/>
  <c r="H110" i="12"/>
  <c r="H111" i="12"/>
  <c r="H112" i="12"/>
  <c r="H113" i="12"/>
  <c r="H114" i="12"/>
  <c r="H115" i="12"/>
  <c r="H116" i="12"/>
  <c r="H117" i="12"/>
  <c r="H118" i="12"/>
  <c r="H119" i="12"/>
  <c r="H120" i="12"/>
  <c r="H121" i="12"/>
  <c r="H122" i="12"/>
  <c r="H123" i="12"/>
  <c r="H124" i="12"/>
  <c r="H125" i="12"/>
  <c r="H126" i="12"/>
  <c r="H127" i="12"/>
  <c r="H128" i="12"/>
  <c r="H129" i="12"/>
  <c r="H130" i="12"/>
  <c r="H131" i="12"/>
  <c r="H132" i="12"/>
  <c r="H133" i="12"/>
  <c r="H134" i="12"/>
  <c r="H135" i="12"/>
  <c r="H136" i="12"/>
  <c r="H137" i="12"/>
  <c r="H138" i="12"/>
  <c r="H139" i="12"/>
  <c r="H140" i="12"/>
  <c r="H141" i="12"/>
  <c r="H142" i="12"/>
  <c r="H143" i="12"/>
  <c r="H144" i="12"/>
  <c r="H145" i="12"/>
  <c r="H146" i="12"/>
  <c r="H147" i="12"/>
  <c r="H148" i="12"/>
  <c r="H149" i="12"/>
  <c r="H150" i="12"/>
  <c r="H151" i="12"/>
  <c r="H152" i="12"/>
  <c r="H153" i="12"/>
  <c r="H154" i="12"/>
  <c r="H155" i="12"/>
  <c r="H156" i="12"/>
  <c r="H157" i="12"/>
  <c r="H158" i="12"/>
  <c r="H159" i="12"/>
  <c r="H160" i="12"/>
  <c r="H161" i="12"/>
  <c r="H162" i="12"/>
  <c r="H163" i="12"/>
  <c r="H164" i="12"/>
  <c r="H165" i="12"/>
  <c r="H166" i="12"/>
  <c r="H167" i="12"/>
  <c r="H168" i="12"/>
  <c r="H169" i="12"/>
  <c r="H170" i="12"/>
  <c r="H171" i="12"/>
  <c r="H172" i="12"/>
  <c r="H173" i="12"/>
  <c r="H174" i="12"/>
  <c r="H175" i="12"/>
  <c r="H176" i="12"/>
  <c r="H177" i="12"/>
  <c r="H178" i="12"/>
  <c r="H179" i="12"/>
  <c r="H180" i="12"/>
  <c r="H181" i="12"/>
  <c r="H182" i="12"/>
  <c r="H183" i="12"/>
  <c r="H184" i="12"/>
  <c r="H185" i="12"/>
  <c r="H186" i="12"/>
  <c r="H187" i="12"/>
  <c r="H188" i="12"/>
  <c r="H189" i="12"/>
  <c r="H190" i="12"/>
  <c r="H191" i="12"/>
  <c r="G192" i="12"/>
  <c r="G193" i="12"/>
  <c r="G194" i="12"/>
  <c r="G195" i="12"/>
  <c r="G196" i="12"/>
  <c r="G197" i="12"/>
  <c r="G198" i="12"/>
  <c r="G199" i="12"/>
  <c r="G200" i="12"/>
  <c r="G201" i="12"/>
  <c r="G202" i="12"/>
  <c r="G203" i="12"/>
  <c r="G204" i="12"/>
  <c r="G205" i="12"/>
  <c r="G206" i="12"/>
  <c r="G207" i="12"/>
  <c r="G208" i="12"/>
  <c r="G209" i="12"/>
  <c r="G210" i="12"/>
  <c r="G211" i="12"/>
  <c r="G212" i="12"/>
  <c r="G213" i="12"/>
  <c r="G214" i="12"/>
  <c r="G215" i="12"/>
  <c r="G216" i="12"/>
  <c r="G217" i="12"/>
  <c r="G218" i="12"/>
  <c r="G219" i="12"/>
  <c r="G220" i="12"/>
  <c r="G221" i="12"/>
  <c r="G222" i="12"/>
  <c r="G223" i="12"/>
  <c r="G224" i="12"/>
  <c r="G225" i="12"/>
  <c r="G226" i="12"/>
  <c r="G227" i="12"/>
  <c r="G228" i="12"/>
  <c r="G229" i="12"/>
  <c r="G230" i="12"/>
  <c r="G231" i="12"/>
  <c r="G232" i="12"/>
  <c r="G233" i="12"/>
  <c r="G234" i="12"/>
  <c r="G235" i="12"/>
  <c r="G236" i="12"/>
  <c r="G237" i="12"/>
  <c r="G238" i="12"/>
  <c r="G239" i="12"/>
  <c r="G240" i="12"/>
  <c r="G241" i="12"/>
  <c r="G242" i="12"/>
  <c r="G243" i="12"/>
  <c r="G244" i="12"/>
  <c r="G245" i="12"/>
  <c r="G246" i="12"/>
  <c r="G247" i="12"/>
  <c r="G248" i="12"/>
  <c r="G249" i="12"/>
  <c r="G250" i="12"/>
  <c r="G251" i="12"/>
  <c r="G252" i="12"/>
  <c r="G253" i="12"/>
  <c r="G254" i="12"/>
  <c r="G255" i="12"/>
  <c r="G256" i="12"/>
  <c r="G257" i="12"/>
  <c r="G258" i="12"/>
  <c r="G259" i="12"/>
  <c r="G260" i="12"/>
  <c r="G261" i="12"/>
  <c r="G262" i="12"/>
  <c r="G263" i="12"/>
  <c r="G264" i="12"/>
  <c r="G265" i="12"/>
  <c r="G266" i="12"/>
  <c r="G267" i="12"/>
  <c r="G268" i="12"/>
  <c r="G269" i="12"/>
  <c r="G270" i="12"/>
  <c r="G271" i="12"/>
  <c r="G272" i="12"/>
  <c r="G273" i="12"/>
  <c r="G274" i="12"/>
  <c r="G275" i="12"/>
  <c r="G276" i="12"/>
  <c r="G277" i="12"/>
  <c r="G278" i="12"/>
  <c r="G279" i="12"/>
  <c r="G280" i="12"/>
  <c r="G281" i="12"/>
  <c r="G282" i="12"/>
  <c r="G283" i="12"/>
  <c r="G284" i="12"/>
  <c r="G285" i="12"/>
  <c r="G286" i="12"/>
  <c r="G287" i="12"/>
  <c r="G288" i="12"/>
  <c r="G289" i="12"/>
  <c r="G290" i="12"/>
  <c r="G291" i="12"/>
  <c r="G292" i="12"/>
  <c r="G293" i="12"/>
  <c r="G294" i="12"/>
  <c r="G295" i="12"/>
  <c r="G296" i="12"/>
  <c r="G297" i="12"/>
  <c r="G298" i="12"/>
  <c r="G299" i="12"/>
  <c r="G300" i="12"/>
  <c r="G301" i="12"/>
  <c r="G302" i="12"/>
  <c r="G303" i="12"/>
  <c r="G304" i="12"/>
  <c r="G305" i="12"/>
  <c r="G306" i="12"/>
  <c r="G307" i="12"/>
  <c r="G308" i="12"/>
  <c r="G309" i="12"/>
  <c r="G310" i="12"/>
  <c r="G311" i="12"/>
  <c r="G312" i="12"/>
  <c r="G313" i="12"/>
  <c r="G314" i="12"/>
  <c r="G315" i="12"/>
  <c r="G316" i="12"/>
  <c r="G317" i="12"/>
  <c r="G318" i="12"/>
  <c r="G319" i="12"/>
  <c r="G320" i="12"/>
  <c r="G321" i="12"/>
  <c r="G322" i="12"/>
  <c r="G323" i="12"/>
  <c r="G324" i="12"/>
  <c r="G325" i="12"/>
  <c r="G326" i="12"/>
  <c r="G327" i="12"/>
  <c r="G328" i="12"/>
  <c r="G329" i="12"/>
  <c r="G330" i="12"/>
  <c r="G331" i="12"/>
  <c r="G332" i="12"/>
  <c r="G333" i="12"/>
  <c r="G334" i="12"/>
  <c r="G335" i="12"/>
  <c r="G336" i="12"/>
  <c r="G337" i="12"/>
  <c r="G338" i="12"/>
  <c r="G339" i="12"/>
  <c r="G340" i="12"/>
  <c r="G341" i="12"/>
  <c r="G342" i="12"/>
  <c r="G343" i="12"/>
  <c r="G344" i="12"/>
  <c r="G345" i="12"/>
  <c r="G346" i="12"/>
  <c r="G347" i="12"/>
  <c r="G348" i="12"/>
  <c r="G349" i="12"/>
  <c r="G350" i="12"/>
  <c r="G351" i="12"/>
  <c r="G352" i="12"/>
  <c r="G353" i="12"/>
  <c r="G354" i="12"/>
  <c r="G355" i="12"/>
  <c r="G356" i="12"/>
  <c r="G357" i="12"/>
  <c r="G358" i="12"/>
  <c r="G359" i="12"/>
  <c r="G360" i="12"/>
  <c r="G361" i="12"/>
  <c r="G362" i="12"/>
  <c r="G363" i="12"/>
  <c r="G364" i="12"/>
  <c r="G365" i="12"/>
  <c r="G366" i="12"/>
  <c r="G367" i="12"/>
  <c r="G368" i="12"/>
  <c r="G369" i="12"/>
  <c r="G370" i="12"/>
  <c r="G371" i="12"/>
  <c r="G372" i="12"/>
  <c r="G373" i="12"/>
  <c r="G374" i="12"/>
  <c r="G375" i="12"/>
  <c r="G376" i="12"/>
  <c r="G377" i="12"/>
  <c r="G378" i="12"/>
  <c r="G379" i="12"/>
  <c r="G380" i="12"/>
  <c r="G381" i="12"/>
  <c r="G382" i="12"/>
  <c r="G383" i="12"/>
  <c r="G384" i="12"/>
  <c r="G385" i="12"/>
  <c r="G386" i="12"/>
  <c r="G387" i="12"/>
  <c r="G388" i="12"/>
  <c r="G389" i="12"/>
  <c r="G390" i="12"/>
  <c r="G391" i="12"/>
  <c r="G392" i="12"/>
  <c r="G393" i="12"/>
  <c r="G394" i="12"/>
  <c r="G395" i="12"/>
  <c r="G396" i="12"/>
  <c r="G397" i="12"/>
  <c r="G398" i="12"/>
  <c r="G399" i="12"/>
  <c r="G400" i="12"/>
  <c r="G401" i="12"/>
  <c r="G402" i="12"/>
  <c r="G403" i="12"/>
  <c r="G404" i="12"/>
  <c r="G3" i="12"/>
  <c r="G4" i="12"/>
  <c r="G5" i="12"/>
  <c r="G6" i="12"/>
  <c r="G7" i="12"/>
  <c r="G8" i="12"/>
  <c r="G9" i="12"/>
  <c r="G10" i="12"/>
  <c r="G11" i="12"/>
  <c r="G12" i="12"/>
  <c r="G13" i="12"/>
  <c r="G14" i="12"/>
  <c r="G15" i="12"/>
  <c r="G16" i="12"/>
  <c r="G17" i="12"/>
  <c r="G18" i="12"/>
  <c r="G19" i="12"/>
  <c r="G20" i="12"/>
  <c r="G21" i="12"/>
  <c r="G22" i="12"/>
  <c r="G23" i="12"/>
  <c r="G24" i="12"/>
  <c r="G25" i="12"/>
  <c r="G26" i="12"/>
  <c r="G27" i="12"/>
  <c r="G28" i="12"/>
  <c r="G29" i="12"/>
  <c r="G30" i="12"/>
  <c r="G31" i="12"/>
  <c r="G32" i="12"/>
  <c r="G33" i="12"/>
  <c r="G34" i="12"/>
  <c r="G35" i="12"/>
  <c r="G36" i="12"/>
  <c r="G37" i="12"/>
  <c r="G38" i="12"/>
  <c r="G39" i="12"/>
  <c r="G40" i="12"/>
  <c r="G41" i="12"/>
  <c r="G42" i="12"/>
  <c r="G43" i="12"/>
  <c r="G44" i="12"/>
  <c r="G45" i="12"/>
  <c r="G46" i="12"/>
  <c r="G47" i="12"/>
  <c r="G48" i="12"/>
  <c r="G49" i="12"/>
  <c r="G50" i="12"/>
  <c r="G51" i="12"/>
  <c r="G52" i="12"/>
  <c r="G53" i="12"/>
  <c r="G54" i="12"/>
  <c r="G55" i="12"/>
  <c r="G56" i="12"/>
  <c r="G57" i="12"/>
  <c r="G58" i="12"/>
  <c r="G59" i="12"/>
  <c r="G60" i="12"/>
  <c r="G61" i="12"/>
  <c r="G62" i="12"/>
  <c r="G63" i="12"/>
  <c r="G64" i="12"/>
  <c r="G65" i="12"/>
  <c r="G66" i="12"/>
  <c r="G67" i="12"/>
  <c r="G68" i="12"/>
  <c r="G69" i="12"/>
  <c r="G70" i="12"/>
  <c r="G71" i="12"/>
  <c r="G72" i="12"/>
  <c r="G73" i="12"/>
  <c r="G74" i="12"/>
  <c r="G75" i="12"/>
  <c r="G76" i="12"/>
  <c r="G77" i="12"/>
  <c r="G78" i="12"/>
  <c r="G79" i="12"/>
  <c r="G80" i="12"/>
  <c r="G81" i="12"/>
  <c r="G82" i="12"/>
  <c r="G83" i="12"/>
  <c r="G84" i="12"/>
  <c r="G85" i="12"/>
  <c r="G86" i="12"/>
  <c r="G87" i="12"/>
  <c r="G88" i="12"/>
  <c r="G89" i="12"/>
  <c r="G90" i="12"/>
  <c r="G91" i="12"/>
  <c r="G92" i="12"/>
  <c r="G93" i="12"/>
  <c r="G94" i="12"/>
  <c r="G95" i="12"/>
  <c r="G96" i="12"/>
  <c r="G97" i="12"/>
  <c r="G98" i="12"/>
  <c r="G99" i="12"/>
  <c r="G100" i="12"/>
  <c r="G101" i="12"/>
  <c r="G102" i="12"/>
  <c r="G103" i="12"/>
  <c r="G104" i="12"/>
  <c r="G105" i="12"/>
  <c r="G106" i="12"/>
  <c r="G107" i="12"/>
  <c r="G108" i="12"/>
  <c r="G109" i="12"/>
  <c r="G110" i="12"/>
  <c r="G111" i="12"/>
  <c r="G112" i="12"/>
  <c r="G113" i="12"/>
  <c r="G114" i="12"/>
  <c r="G115" i="12"/>
  <c r="G116" i="12"/>
  <c r="G117" i="12"/>
  <c r="G118" i="12"/>
  <c r="G119" i="12"/>
  <c r="G120" i="12"/>
  <c r="G121" i="12"/>
  <c r="G122" i="12"/>
  <c r="G123" i="12"/>
  <c r="G124" i="12"/>
  <c r="G125" i="12"/>
  <c r="G126" i="12"/>
  <c r="G127" i="12"/>
  <c r="G128" i="12"/>
  <c r="G129" i="12"/>
  <c r="G130" i="12"/>
  <c r="G131" i="12"/>
  <c r="G132" i="12"/>
  <c r="G133" i="12"/>
  <c r="G134" i="12"/>
  <c r="G135" i="12"/>
  <c r="G136" i="12"/>
  <c r="G137" i="12"/>
  <c r="G138" i="12"/>
  <c r="G139" i="12"/>
  <c r="G140" i="12"/>
  <c r="G141" i="12"/>
  <c r="G142" i="12"/>
  <c r="G143" i="12"/>
  <c r="G144" i="12"/>
  <c r="G145" i="12"/>
  <c r="G146" i="12"/>
  <c r="G147" i="12"/>
  <c r="G148" i="12"/>
  <c r="G149" i="12"/>
  <c r="G150" i="12"/>
  <c r="G151" i="12"/>
  <c r="G152" i="12"/>
  <c r="G153" i="12"/>
  <c r="G154" i="12"/>
  <c r="G155" i="12"/>
  <c r="G156" i="12"/>
  <c r="G157" i="12"/>
  <c r="G158" i="12"/>
  <c r="G159" i="12"/>
  <c r="G160" i="12"/>
  <c r="G161" i="12"/>
  <c r="G162" i="12"/>
  <c r="G163" i="12"/>
  <c r="G164" i="12"/>
  <c r="G165" i="12"/>
  <c r="G166" i="12"/>
  <c r="G167" i="12"/>
  <c r="G168" i="12"/>
  <c r="G169" i="12"/>
  <c r="G170" i="12"/>
  <c r="G171" i="12"/>
  <c r="G172" i="12"/>
  <c r="G173" i="12"/>
  <c r="G174" i="12"/>
  <c r="G175" i="12"/>
  <c r="G176" i="12"/>
  <c r="G177" i="12"/>
  <c r="G178" i="12"/>
  <c r="G179" i="12"/>
  <c r="G180" i="12"/>
  <c r="G181" i="12"/>
  <c r="G182" i="12"/>
  <c r="G183" i="12"/>
  <c r="G184" i="12"/>
  <c r="G185" i="12"/>
  <c r="G186" i="12"/>
  <c r="G187" i="12"/>
  <c r="G188" i="12"/>
  <c r="G189" i="12"/>
  <c r="G190" i="12"/>
  <c r="G191" i="12"/>
  <c r="G2" i="12"/>
  <c r="F192" i="12"/>
  <c r="F193" i="12"/>
  <c r="F194" i="12"/>
  <c r="F195" i="12"/>
  <c r="F196" i="12"/>
  <c r="F197" i="12"/>
  <c r="F198" i="12"/>
  <c r="F199" i="12"/>
  <c r="F200" i="12"/>
  <c r="F201" i="12"/>
  <c r="F202" i="12"/>
  <c r="F203" i="12"/>
  <c r="F204" i="12"/>
  <c r="F205" i="12"/>
  <c r="F206" i="12"/>
  <c r="F207" i="12"/>
  <c r="F208" i="12"/>
  <c r="F209" i="12"/>
  <c r="F210" i="12"/>
  <c r="F211" i="12"/>
  <c r="F212" i="12"/>
  <c r="F213" i="12"/>
  <c r="F214" i="12"/>
  <c r="F215" i="12"/>
  <c r="F216" i="12"/>
  <c r="F217" i="12"/>
  <c r="F218" i="12"/>
  <c r="F219" i="12"/>
  <c r="F220" i="12"/>
  <c r="F221" i="12"/>
  <c r="F222" i="12"/>
  <c r="F223" i="12"/>
  <c r="F224" i="12"/>
  <c r="F225" i="12"/>
  <c r="F226" i="12"/>
  <c r="F227" i="12"/>
  <c r="F228" i="12"/>
  <c r="F229" i="12"/>
  <c r="F230" i="12"/>
  <c r="F231" i="12"/>
  <c r="F232" i="12"/>
  <c r="F233" i="12"/>
  <c r="F234" i="12"/>
  <c r="F235" i="12"/>
  <c r="F236" i="12"/>
  <c r="F237" i="12"/>
  <c r="F238" i="12"/>
  <c r="F239" i="12"/>
  <c r="F240" i="12"/>
  <c r="F241" i="12"/>
  <c r="F242" i="12"/>
  <c r="F243" i="12"/>
  <c r="F244" i="12"/>
  <c r="F245" i="12"/>
  <c r="F246" i="12"/>
  <c r="F247" i="12"/>
  <c r="F248" i="12"/>
  <c r="F249" i="12"/>
  <c r="F250" i="12"/>
  <c r="F251" i="12"/>
  <c r="F252" i="12"/>
  <c r="F253" i="12"/>
  <c r="F254" i="12"/>
  <c r="F255" i="12"/>
  <c r="F256" i="12"/>
  <c r="F257" i="12"/>
  <c r="F258" i="12"/>
  <c r="F259" i="12"/>
  <c r="F260" i="12"/>
  <c r="F261" i="12"/>
  <c r="F262" i="12"/>
  <c r="F263" i="12"/>
  <c r="F264" i="12"/>
  <c r="F265" i="12"/>
  <c r="F266" i="12"/>
  <c r="F267" i="12"/>
  <c r="F268" i="12"/>
  <c r="F269" i="12"/>
  <c r="F270" i="12"/>
  <c r="F271" i="12"/>
  <c r="F272" i="12"/>
  <c r="F273" i="12"/>
  <c r="F274" i="12"/>
  <c r="F275" i="12"/>
  <c r="F276" i="12"/>
  <c r="F277" i="12"/>
  <c r="F278" i="12"/>
  <c r="F279" i="12"/>
  <c r="F280" i="12"/>
  <c r="F281" i="12"/>
  <c r="F282" i="12"/>
  <c r="F283" i="12"/>
  <c r="F284" i="12"/>
  <c r="F285" i="12"/>
  <c r="F286" i="12"/>
  <c r="F287" i="12"/>
  <c r="F288" i="12"/>
  <c r="F289" i="12"/>
  <c r="F290" i="12"/>
  <c r="F291" i="12"/>
  <c r="F292" i="12"/>
  <c r="F293" i="12"/>
  <c r="F294" i="12"/>
  <c r="F295" i="12"/>
  <c r="F296" i="12"/>
  <c r="F297" i="12"/>
  <c r="F298" i="12"/>
  <c r="F299" i="12"/>
  <c r="F300" i="12"/>
  <c r="F301" i="12"/>
  <c r="F302" i="12"/>
  <c r="F303" i="12"/>
  <c r="F304" i="12"/>
  <c r="F305" i="12"/>
  <c r="F306" i="12"/>
  <c r="F307" i="12"/>
  <c r="F308" i="12"/>
  <c r="F309" i="12"/>
  <c r="F310" i="12"/>
  <c r="F311" i="12"/>
  <c r="F312" i="12"/>
  <c r="F313" i="12"/>
  <c r="F314" i="12"/>
  <c r="F315" i="12"/>
  <c r="F316" i="12"/>
  <c r="F317" i="12"/>
  <c r="F318" i="12"/>
  <c r="F319" i="12"/>
  <c r="F320" i="12"/>
  <c r="F321" i="12"/>
  <c r="F322" i="12"/>
  <c r="F323" i="12"/>
  <c r="F324" i="12"/>
  <c r="F325" i="12"/>
  <c r="F326" i="12"/>
  <c r="F327" i="12"/>
  <c r="F328" i="12"/>
  <c r="F329" i="12"/>
  <c r="F330" i="12"/>
  <c r="F331" i="12"/>
  <c r="F332" i="12"/>
  <c r="F333" i="12"/>
  <c r="F334" i="12"/>
  <c r="F335" i="12"/>
  <c r="F336" i="12"/>
  <c r="F337" i="12"/>
  <c r="F338" i="12"/>
  <c r="F339" i="12"/>
  <c r="F340" i="12"/>
  <c r="F341" i="12"/>
  <c r="F342" i="12"/>
  <c r="F343" i="12"/>
  <c r="F344" i="12"/>
  <c r="F345" i="12"/>
  <c r="F346" i="12"/>
  <c r="F347" i="12"/>
  <c r="F348" i="12"/>
  <c r="F349" i="12"/>
  <c r="F350" i="12"/>
  <c r="F351" i="12"/>
  <c r="F352" i="12"/>
  <c r="F353" i="12"/>
  <c r="F354" i="12"/>
  <c r="F355" i="12"/>
  <c r="F356" i="12"/>
  <c r="F357" i="12"/>
  <c r="F358" i="12"/>
  <c r="F359" i="12"/>
  <c r="F360" i="12"/>
  <c r="F361" i="12"/>
  <c r="F362" i="12"/>
  <c r="F363" i="12"/>
  <c r="F364" i="12"/>
  <c r="F365" i="12"/>
  <c r="F366" i="12"/>
  <c r="F367" i="12"/>
  <c r="F368" i="12"/>
  <c r="F369" i="12"/>
  <c r="F370" i="12"/>
  <c r="F371" i="12"/>
  <c r="F372" i="12"/>
  <c r="F373" i="12"/>
  <c r="F374" i="12"/>
  <c r="F375" i="12"/>
  <c r="F376" i="12"/>
  <c r="F377" i="12"/>
  <c r="F378" i="12"/>
  <c r="F379" i="12"/>
  <c r="F380" i="12"/>
  <c r="F381" i="12"/>
  <c r="F382" i="12"/>
  <c r="F383" i="12"/>
  <c r="F384" i="12"/>
  <c r="F385" i="12"/>
  <c r="F386" i="12"/>
  <c r="F387" i="12"/>
  <c r="F388" i="12"/>
  <c r="F389" i="12"/>
  <c r="F390" i="12"/>
  <c r="F391" i="12"/>
  <c r="F392" i="12"/>
  <c r="F393" i="12"/>
  <c r="F394" i="12"/>
  <c r="F395" i="12"/>
  <c r="F396" i="12"/>
  <c r="F397" i="12"/>
  <c r="F398" i="12"/>
  <c r="F399" i="12"/>
  <c r="F400" i="12"/>
  <c r="F401" i="12"/>
  <c r="F402" i="12"/>
  <c r="F403" i="12"/>
  <c r="F404" i="12"/>
  <c r="F3" i="12"/>
  <c r="F4" i="12"/>
  <c r="F5" i="12"/>
  <c r="F6" i="12"/>
  <c r="F7" i="12"/>
  <c r="F8" i="12"/>
  <c r="F9" i="12"/>
  <c r="F10" i="12"/>
  <c r="F11" i="12"/>
  <c r="F12" i="12"/>
  <c r="F13" i="12"/>
  <c r="F14" i="12"/>
  <c r="F15" i="12"/>
  <c r="F16" i="12"/>
  <c r="F17" i="12"/>
  <c r="F18" i="12"/>
  <c r="F19" i="12"/>
  <c r="F20" i="12"/>
  <c r="F21" i="12"/>
  <c r="F22" i="12"/>
  <c r="F23" i="12"/>
  <c r="F24" i="12"/>
  <c r="F25" i="12"/>
  <c r="F26" i="12"/>
  <c r="F27" i="12"/>
  <c r="F28" i="12"/>
  <c r="F29" i="12"/>
  <c r="F30" i="12"/>
  <c r="F31" i="12"/>
  <c r="F32" i="12"/>
  <c r="F33" i="12"/>
  <c r="F34" i="12"/>
  <c r="F35" i="12"/>
  <c r="F36" i="12"/>
  <c r="F37" i="12"/>
  <c r="F38" i="12"/>
  <c r="F39" i="12"/>
  <c r="F40" i="12"/>
  <c r="F41" i="12"/>
  <c r="F42" i="12"/>
  <c r="F43" i="12"/>
  <c r="F44" i="12"/>
  <c r="F45" i="12"/>
  <c r="F46" i="12"/>
  <c r="F47" i="12"/>
  <c r="F48" i="12"/>
  <c r="F49" i="12"/>
  <c r="F50" i="12"/>
  <c r="F51" i="12"/>
  <c r="F52" i="12"/>
  <c r="F53" i="12"/>
  <c r="F54" i="12"/>
  <c r="F55" i="12"/>
  <c r="F56" i="12"/>
  <c r="F57" i="12"/>
  <c r="F58" i="12"/>
  <c r="F59" i="12"/>
  <c r="F60" i="12"/>
  <c r="F61" i="12"/>
  <c r="F62" i="12"/>
  <c r="F63" i="12"/>
  <c r="F64" i="12"/>
  <c r="F65" i="12"/>
  <c r="F66" i="12"/>
  <c r="F67" i="12"/>
  <c r="F68" i="12"/>
  <c r="F69" i="12"/>
  <c r="F70" i="12"/>
  <c r="F71" i="12"/>
  <c r="F72" i="12"/>
  <c r="F73" i="12"/>
  <c r="F74" i="12"/>
  <c r="F75" i="12"/>
  <c r="F76" i="12"/>
  <c r="F77" i="12"/>
  <c r="F78" i="12"/>
  <c r="F79" i="12"/>
  <c r="F80" i="12"/>
  <c r="F81" i="12"/>
  <c r="F82" i="12"/>
  <c r="F83" i="12"/>
  <c r="F84" i="12"/>
  <c r="F85" i="12"/>
  <c r="F86" i="12"/>
  <c r="F87" i="12"/>
  <c r="F88" i="12"/>
  <c r="F89" i="12"/>
  <c r="F90" i="12"/>
  <c r="F91" i="12"/>
  <c r="F92" i="12"/>
  <c r="F93" i="12"/>
  <c r="F94" i="12"/>
  <c r="F95" i="12"/>
  <c r="F96" i="12"/>
  <c r="F97" i="12"/>
  <c r="F98" i="12"/>
  <c r="F99" i="12"/>
  <c r="F100" i="12"/>
  <c r="F101" i="12"/>
  <c r="F102" i="12"/>
  <c r="F103" i="12"/>
  <c r="F104" i="12"/>
  <c r="F105" i="12"/>
  <c r="F106" i="12"/>
  <c r="F107" i="12"/>
  <c r="F108" i="12"/>
  <c r="F109" i="12"/>
  <c r="F110" i="12"/>
  <c r="F111" i="12"/>
  <c r="F112" i="12"/>
  <c r="F113" i="12"/>
  <c r="F114" i="12"/>
  <c r="F115" i="12"/>
  <c r="F116" i="12"/>
  <c r="F117" i="12"/>
  <c r="F118" i="12"/>
  <c r="F119" i="12"/>
  <c r="F120" i="12"/>
  <c r="F121" i="12"/>
  <c r="F122" i="12"/>
  <c r="F123" i="12"/>
  <c r="F124" i="12"/>
  <c r="F125" i="12"/>
  <c r="F126" i="12"/>
  <c r="F127" i="12"/>
  <c r="F128" i="12"/>
  <c r="F129" i="12"/>
  <c r="F130" i="12"/>
  <c r="F131" i="12"/>
  <c r="F132" i="12"/>
  <c r="F133" i="12"/>
  <c r="F134" i="12"/>
  <c r="F135" i="12"/>
  <c r="F136" i="12"/>
  <c r="F137" i="12"/>
  <c r="F138" i="12"/>
  <c r="F139" i="12"/>
  <c r="F140" i="12"/>
  <c r="F141" i="12"/>
  <c r="F142" i="12"/>
  <c r="F143" i="12"/>
  <c r="F144" i="12"/>
  <c r="F145" i="12"/>
  <c r="F146" i="12"/>
  <c r="F147" i="12"/>
  <c r="F148" i="12"/>
  <c r="F149" i="12"/>
  <c r="F150" i="12"/>
  <c r="F151" i="12"/>
  <c r="F152" i="12"/>
  <c r="F153" i="12"/>
  <c r="F154" i="12"/>
  <c r="F155" i="12"/>
  <c r="F156" i="12"/>
  <c r="F157" i="12"/>
  <c r="F158" i="12"/>
  <c r="F159" i="12"/>
  <c r="F160" i="12"/>
  <c r="F161" i="12"/>
  <c r="F162" i="12"/>
  <c r="F163" i="12"/>
  <c r="F164" i="12"/>
  <c r="F165" i="12"/>
  <c r="F166" i="12"/>
  <c r="F167" i="12"/>
  <c r="F168" i="12"/>
  <c r="F169" i="12"/>
  <c r="F170" i="12"/>
  <c r="F171" i="12"/>
  <c r="F172" i="12"/>
  <c r="F173" i="12"/>
  <c r="F174" i="12"/>
  <c r="F175" i="12"/>
  <c r="F176" i="12"/>
  <c r="F177" i="12"/>
  <c r="F178" i="12"/>
  <c r="F179" i="12"/>
  <c r="F180" i="12"/>
  <c r="F181" i="12"/>
  <c r="F182" i="12"/>
  <c r="F183" i="12"/>
  <c r="F184" i="12"/>
  <c r="F185" i="12"/>
  <c r="F186" i="12"/>
  <c r="F187" i="12"/>
  <c r="F188" i="12"/>
  <c r="F189" i="12"/>
  <c r="F190" i="12"/>
  <c r="F191" i="12"/>
  <c r="E192" i="12"/>
  <c r="E193" i="12"/>
  <c r="E194" i="12"/>
  <c r="E195" i="12"/>
  <c r="E196" i="12"/>
  <c r="E197" i="12"/>
  <c r="E198" i="12"/>
  <c r="E199" i="12"/>
  <c r="E200" i="12"/>
  <c r="E201" i="12"/>
  <c r="E202" i="12"/>
  <c r="E203" i="12"/>
  <c r="E204" i="12"/>
  <c r="E205" i="12"/>
  <c r="E206" i="12"/>
  <c r="E207" i="12"/>
  <c r="E208" i="12"/>
  <c r="E209" i="12"/>
  <c r="E210" i="12"/>
  <c r="E211" i="12"/>
  <c r="E212" i="12"/>
  <c r="E213" i="12"/>
  <c r="E214" i="12"/>
  <c r="E215" i="12"/>
  <c r="E216" i="12"/>
  <c r="E217" i="12"/>
  <c r="E218" i="12"/>
  <c r="E219" i="12"/>
  <c r="E220" i="12"/>
  <c r="E221" i="12"/>
  <c r="E222" i="12"/>
  <c r="E223" i="12"/>
  <c r="E224" i="12"/>
  <c r="E225" i="12"/>
  <c r="E226" i="12"/>
  <c r="E227" i="12"/>
  <c r="E228" i="12"/>
  <c r="E229" i="12"/>
  <c r="E230" i="12"/>
  <c r="E231" i="12"/>
  <c r="E232" i="12"/>
  <c r="E233" i="12"/>
  <c r="E234" i="12"/>
  <c r="E235" i="12"/>
  <c r="E236" i="12"/>
  <c r="E237" i="12"/>
  <c r="E238" i="12"/>
  <c r="E239" i="12"/>
  <c r="E240" i="12"/>
  <c r="E241" i="12"/>
  <c r="E242" i="12"/>
  <c r="E243" i="12"/>
  <c r="E244" i="12"/>
  <c r="E245" i="12"/>
  <c r="E246" i="12"/>
  <c r="E247" i="12"/>
  <c r="E248" i="12"/>
  <c r="E249" i="12"/>
  <c r="E250" i="12"/>
  <c r="E251" i="12"/>
  <c r="E252" i="12"/>
  <c r="E253" i="12"/>
  <c r="E254" i="12"/>
  <c r="E255" i="12"/>
  <c r="E256" i="12"/>
  <c r="E257" i="12"/>
  <c r="E258" i="12"/>
  <c r="E259" i="12"/>
  <c r="E260" i="12"/>
  <c r="E261" i="12"/>
  <c r="E262" i="12"/>
  <c r="E263" i="12"/>
  <c r="E264" i="12"/>
  <c r="E265" i="12"/>
  <c r="E266" i="12"/>
  <c r="E267" i="12"/>
  <c r="E268" i="12"/>
  <c r="E269" i="12"/>
  <c r="E270" i="12"/>
  <c r="E271" i="12"/>
  <c r="E272" i="12"/>
  <c r="E273" i="12"/>
  <c r="E274" i="12"/>
  <c r="E275" i="12"/>
  <c r="E276" i="12"/>
  <c r="E277" i="12"/>
  <c r="E278" i="12"/>
  <c r="E279" i="12"/>
  <c r="E280" i="12"/>
  <c r="E281" i="12"/>
  <c r="E282" i="12"/>
  <c r="E283" i="12"/>
  <c r="E284" i="12"/>
  <c r="E285" i="12"/>
  <c r="E286" i="12"/>
  <c r="E287" i="12"/>
  <c r="E288" i="12"/>
  <c r="E289" i="12"/>
  <c r="E290" i="12"/>
  <c r="E291" i="12"/>
  <c r="E292" i="12"/>
  <c r="E293" i="12"/>
  <c r="E294" i="12"/>
  <c r="E295" i="12"/>
  <c r="E296" i="12"/>
  <c r="E297" i="12"/>
  <c r="E298" i="12"/>
  <c r="E299" i="12"/>
  <c r="E300" i="12"/>
  <c r="E301" i="12"/>
  <c r="E302" i="12"/>
  <c r="E303" i="12"/>
  <c r="E304" i="12"/>
  <c r="E305" i="12"/>
  <c r="E306" i="12"/>
  <c r="E307" i="12"/>
  <c r="E308" i="12"/>
  <c r="E309" i="12"/>
  <c r="E310" i="12"/>
  <c r="E311" i="12"/>
  <c r="E312" i="12"/>
  <c r="E313" i="12"/>
  <c r="E314" i="12"/>
  <c r="E315" i="12"/>
  <c r="E316" i="12"/>
  <c r="E317" i="12"/>
  <c r="E318" i="12"/>
  <c r="E319" i="12"/>
  <c r="E320" i="12"/>
  <c r="E321" i="12"/>
  <c r="E322" i="12"/>
  <c r="E323" i="12"/>
  <c r="E324" i="12"/>
  <c r="E325" i="12"/>
  <c r="E326" i="12"/>
  <c r="E327" i="12"/>
  <c r="E328" i="12"/>
  <c r="E329" i="12"/>
  <c r="E330" i="12"/>
  <c r="E331" i="12"/>
  <c r="E332" i="12"/>
  <c r="E333" i="12"/>
  <c r="E334" i="12"/>
  <c r="E335" i="12"/>
  <c r="E336" i="12"/>
  <c r="E337" i="12"/>
  <c r="E338" i="12"/>
  <c r="E339" i="12"/>
  <c r="E340" i="12"/>
  <c r="E341" i="12"/>
  <c r="E342" i="12"/>
  <c r="E343" i="12"/>
  <c r="E344" i="12"/>
  <c r="E345" i="12"/>
  <c r="E346" i="12"/>
  <c r="E347" i="12"/>
  <c r="E348" i="12"/>
  <c r="E349" i="12"/>
  <c r="E350" i="12"/>
  <c r="E351" i="12"/>
  <c r="E352" i="12"/>
  <c r="E353" i="12"/>
  <c r="E354" i="12"/>
  <c r="E355" i="12"/>
  <c r="E356" i="12"/>
  <c r="E357" i="12"/>
  <c r="E358" i="12"/>
  <c r="E359" i="12"/>
  <c r="E360" i="12"/>
  <c r="E361" i="12"/>
  <c r="E362" i="12"/>
  <c r="E363" i="12"/>
  <c r="E364" i="12"/>
  <c r="E365" i="12"/>
  <c r="E366" i="12"/>
  <c r="E367" i="12"/>
  <c r="E368" i="12"/>
  <c r="E369" i="12"/>
  <c r="E370" i="12"/>
  <c r="E371" i="12"/>
  <c r="E372" i="12"/>
  <c r="E373" i="12"/>
  <c r="E374" i="12"/>
  <c r="E375" i="12"/>
  <c r="E376" i="12"/>
  <c r="E377" i="12"/>
  <c r="E378" i="12"/>
  <c r="E379" i="12"/>
  <c r="E380" i="12"/>
  <c r="E381" i="12"/>
  <c r="E382" i="12"/>
  <c r="E383" i="12"/>
  <c r="E384" i="12"/>
  <c r="E385" i="12"/>
  <c r="E386" i="12"/>
  <c r="E387" i="12"/>
  <c r="E388" i="12"/>
  <c r="E389" i="12"/>
  <c r="E390" i="12"/>
  <c r="E391" i="12"/>
  <c r="E392" i="12"/>
  <c r="E393" i="12"/>
  <c r="E394" i="12"/>
  <c r="E395" i="12"/>
  <c r="E396" i="12"/>
  <c r="E397" i="12"/>
  <c r="E398" i="12"/>
  <c r="E399" i="12"/>
  <c r="E400" i="12"/>
  <c r="E401" i="12"/>
  <c r="E402" i="12"/>
  <c r="E403" i="12"/>
  <c r="E404" i="12"/>
  <c r="E3" i="12"/>
  <c r="E4" i="12"/>
  <c r="E5" i="12"/>
  <c r="E6" i="12"/>
  <c r="E7" i="12"/>
  <c r="E8" i="12"/>
  <c r="E9" i="12"/>
  <c r="E10" i="12"/>
  <c r="E11" i="12"/>
  <c r="E12" i="12"/>
  <c r="E13" i="12"/>
  <c r="E14" i="12"/>
  <c r="E15" i="12"/>
  <c r="E16" i="12"/>
  <c r="E17" i="12"/>
  <c r="E18" i="12"/>
  <c r="E19" i="12"/>
  <c r="E20" i="12"/>
  <c r="E21" i="12"/>
  <c r="E22" i="12"/>
  <c r="E23" i="12"/>
  <c r="E24" i="12"/>
  <c r="E25" i="12"/>
  <c r="E26" i="12"/>
  <c r="E27" i="12"/>
  <c r="E28" i="12"/>
  <c r="E29" i="12"/>
  <c r="E30" i="12"/>
  <c r="E31" i="12"/>
  <c r="E32" i="12"/>
  <c r="E33" i="12"/>
  <c r="E34" i="12"/>
  <c r="E35" i="12"/>
  <c r="E36" i="12"/>
  <c r="E37" i="12"/>
  <c r="E38" i="12"/>
  <c r="E39" i="12"/>
  <c r="E40" i="12"/>
  <c r="E41" i="12"/>
  <c r="E42" i="12"/>
  <c r="E43" i="12"/>
  <c r="E44" i="12"/>
  <c r="E45" i="12"/>
  <c r="E46" i="12"/>
  <c r="E47" i="12"/>
  <c r="E48" i="12"/>
  <c r="E49" i="12"/>
  <c r="E50" i="12"/>
  <c r="E51" i="12"/>
  <c r="E52" i="12"/>
  <c r="E53" i="12"/>
  <c r="E54" i="12"/>
  <c r="E55" i="12"/>
  <c r="E56" i="12"/>
  <c r="E57" i="12"/>
  <c r="E58" i="12"/>
  <c r="E59" i="12"/>
  <c r="E60" i="12"/>
  <c r="E61" i="12"/>
  <c r="E62" i="12"/>
  <c r="E63" i="12"/>
  <c r="E64" i="12"/>
  <c r="E65" i="12"/>
  <c r="E66" i="12"/>
  <c r="E67" i="12"/>
  <c r="E68" i="12"/>
  <c r="E69" i="12"/>
  <c r="E70" i="12"/>
  <c r="E71" i="12"/>
  <c r="E72" i="12"/>
  <c r="E73" i="12"/>
  <c r="E74" i="12"/>
  <c r="E75" i="12"/>
  <c r="E76" i="12"/>
  <c r="E77" i="12"/>
  <c r="E78" i="12"/>
  <c r="E79" i="12"/>
  <c r="E80" i="12"/>
  <c r="E81" i="12"/>
  <c r="E82" i="12"/>
  <c r="E83" i="12"/>
  <c r="E84" i="12"/>
  <c r="E85" i="12"/>
  <c r="E86" i="12"/>
  <c r="E87" i="12"/>
  <c r="E88" i="12"/>
  <c r="E89" i="12"/>
  <c r="E90" i="12"/>
  <c r="E91" i="12"/>
  <c r="E92" i="12"/>
  <c r="E93" i="12"/>
  <c r="E94" i="12"/>
  <c r="E95" i="12"/>
  <c r="E96" i="12"/>
  <c r="E97" i="12"/>
  <c r="E98" i="12"/>
  <c r="E99" i="12"/>
  <c r="E100" i="12"/>
  <c r="E101" i="12"/>
  <c r="E102" i="12"/>
  <c r="E103" i="12"/>
  <c r="E104" i="12"/>
  <c r="E105" i="12"/>
  <c r="E106" i="12"/>
  <c r="E107" i="12"/>
  <c r="E108" i="12"/>
  <c r="E109" i="12"/>
  <c r="E110" i="12"/>
  <c r="E111" i="12"/>
  <c r="E112" i="12"/>
  <c r="E113" i="12"/>
  <c r="E114" i="12"/>
  <c r="E115" i="12"/>
  <c r="E116" i="12"/>
  <c r="E117" i="12"/>
  <c r="E118" i="12"/>
  <c r="E119" i="12"/>
  <c r="E120" i="12"/>
  <c r="E121" i="12"/>
  <c r="E122" i="12"/>
  <c r="E123" i="12"/>
  <c r="E124" i="12"/>
  <c r="E125" i="12"/>
  <c r="E126" i="12"/>
  <c r="E127" i="12"/>
  <c r="E128" i="12"/>
  <c r="E129" i="12"/>
  <c r="E130" i="12"/>
  <c r="E131" i="12"/>
  <c r="E132" i="12"/>
  <c r="E133" i="12"/>
  <c r="E134" i="12"/>
  <c r="E135" i="12"/>
  <c r="E136" i="12"/>
  <c r="E137" i="12"/>
  <c r="E138" i="12"/>
  <c r="E139" i="12"/>
  <c r="E140" i="12"/>
  <c r="E141" i="12"/>
  <c r="E142" i="12"/>
  <c r="E143" i="12"/>
  <c r="E144" i="12"/>
  <c r="E145" i="12"/>
  <c r="E146" i="12"/>
  <c r="E147" i="12"/>
  <c r="E148" i="12"/>
  <c r="E149" i="12"/>
  <c r="E150" i="12"/>
  <c r="E151" i="12"/>
  <c r="E152" i="12"/>
  <c r="E153" i="12"/>
  <c r="E154" i="12"/>
  <c r="E155" i="12"/>
  <c r="E156" i="12"/>
  <c r="E157" i="12"/>
  <c r="E158" i="12"/>
  <c r="E159" i="12"/>
  <c r="E160" i="12"/>
  <c r="E161" i="12"/>
  <c r="E162" i="12"/>
  <c r="E163" i="12"/>
  <c r="E164" i="12"/>
  <c r="E165" i="12"/>
  <c r="E166" i="12"/>
  <c r="E167" i="12"/>
  <c r="E168" i="12"/>
  <c r="E169" i="12"/>
  <c r="E170" i="12"/>
  <c r="E171" i="12"/>
  <c r="E172" i="12"/>
  <c r="E173" i="12"/>
  <c r="E174" i="12"/>
  <c r="E175" i="12"/>
  <c r="E176" i="12"/>
  <c r="E177" i="12"/>
  <c r="E178" i="12"/>
  <c r="E179" i="12"/>
  <c r="E180" i="12"/>
  <c r="E181" i="12"/>
  <c r="E182" i="12"/>
  <c r="E183" i="12"/>
  <c r="E184" i="12"/>
  <c r="E185" i="12"/>
  <c r="E186" i="12"/>
  <c r="E187" i="12"/>
  <c r="E188" i="12"/>
  <c r="E189" i="12"/>
  <c r="E190" i="12"/>
  <c r="E191" i="12"/>
  <c r="E2" i="12"/>
  <c r="D192" i="12"/>
  <c r="D193" i="12"/>
  <c r="D194" i="12"/>
  <c r="D195" i="12"/>
  <c r="D196" i="12"/>
  <c r="D197" i="12"/>
  <c r="D198" i="12"/>
  <c r="D199" i="12"/>
  <c r="D200" i="12"/>
  <c r="D201" i="12"/>
  <c r="D202" i="12"/>
  <c r="D203" i="12"/>
  <c r="D204" i="12"/>
  <c r="D205" i="12"/>
  <c r="D206" i="12"/>
  <c r="D207" i="12"/>
  <c r="D208" i="12"/>
  <c r="D209" i="12"/>
  <c r="D210" i="12"/>
  <c r="D211" i="12"/>
  <c r="D212" i="12"/>
  <c r="D213" i="12"/>
  <c r="D214" i="12"/>
  <c r="D215" i="12"/>
  <c r="D216" i="12"/>
  <c r="D217" i="12"/>
  <c r="D218" i="12"/>
  <c r="D219" i="12"/>
  <c r="D220" i="12"/>
  <c r="D221" i="12"/>
  <c r="D222" i="12"/>
  <c r="D223" i="12"/>
  <c r="D224" i="12"/>
  <c r="D225" i="12"/>
  <c r="D226" i="12"/>
  <c r="D227" i="12"/>
  <c r="D228" i="12"/>
  <c r="D229" i="12"/>
  <c r="D230" i="12"/>
  <c r="D231" i="12"/>
  <c r="D232" i="12"/>
  <c r="D233" i="12"/>
  <c r="D234" i="12"/>
  <c r="D235" i="12"/>
  <c r="D236" i="12"/>
  <c r="D237" i="12"/>
  <c r="D238" i="12"/>
  <c r="D239" i="12"/>
  <c r="D240" i="12"/>
  <c r="D241" i="12"/>
  <c r="D242" i="12"/>
  <c r="D243" i="12"/>
  <c r="D244" i="12"/>
  <c r="D245" i="12"/>
  <c r="D246" i="12"/>
  <c r="D247" i="12"/>
  <c r="D248" i="12"/>
  <c r="D249" i="12"/>
  <c r="D250" i="12"/>
  <c r="D251" i="12"/>
  <c r="D252" i="12"/>
  <c r="D253" i="12"/>
  <c r="D254" i="12"/>
  <c r="D255" i="12"/>
  <c r="D256" i="12"/>
  <c r="D257" i="12"/>
  <c r="D258" i="12"/>
  <c r="D259" i="12"/>
  <c r="D260" i="12"/>
  <c r="D261" i="12"/>
  <c r="D262" i="12"/>
  <c r="D263" i="12"/>
  <c r="D264" i="12"/>
  <c r="D265" i="12"/>
  <c r="D266" i="12"/>
  <c r="D267" i="12"/>
  <c r="D268" i="12"/>
  <c r="D269" i="12"/>
  <c r="D270" i="12"/>
  <c r="D271" i="12"/>
  <c r="D272" i="12"/>
  <c r="D273" i="12"/>
  <c r="D274" i="12"/>
  <c r="D275" i="12"/>
  <c r="D276" i="12"/>
  <c r="D277" i="12"/>
  <c r="D278" i="12"/>
  <c r="D279" i="12"/>
  <c r="D280" i="12"/>
  <c r="D281" i="12"/>
  <c r="D282" i="12"/>
  <c r="D283" i="12"/>
  <c r="D284" i="12"/>
  <c r="D285" i="12"/>
  <c r="D286" i="12"/>
  <c r="D287" i="12"/>
  <c r="D288" i="12"/>
  <c r="D289" i="12"/>
  <c r="D290" i="12"/>
  <c r="D291" i="12"/>
  <c r="D292" i="12"/>
  <c r="D293" i="12"/>
  <c r="D294" i="12"/>
  <c r="D295" i="12"/>
  <c r="D296" i="12"/>
  <c r="D297" i="12"/>
  <c r="D298" i="12"/>
  <c r="D299" i="12"/>
  <c r="D300" i="12"/>
  <c r="D301" i="12"/>
  <c r="D302" i="12"/>
  <c r="D303" i="12"/>
  <c r="D304" i="12"/>
  <c r="D305" i="12"/>
  <c r="D306" i="12"/>
  <c r="D307" i="12"/>
  <c r="D308" i="12"/>
  <c r="D309" i="12"/>
  <c r="D310" i="12"/>
  <c r="D311" i="12"/>
  <c r="D312" i="12"/>
  <c r="D313" i="12"/>
  <c r="D314" i="12"/>
  <c r="D315" i="12"/>
  <c r="D316" i="12"/>
  <c r="D317" i="12"/>
  <c r="D318" i="12"/>
  <c r="D319" i="12"/>
  <c r="D320" i="12"/>
  <c r="D321" i="12"/>
  <c r="D322" i="12"/>
  <c r="D323" i="12"/>
  <c r="D324" i="12"/>
  <c r="D325" i="12"/>
  <c r="D326" i="12"/>
  <c r="D327" i="12"/>
  <c r="D328" i="12"/>
  <c r="D329" i="12"/>
  <c r="D330" i="12"/>
  <c r="D331" i="12"/>
  <c r="D332" i="12"/>
  <c r="D333" i="12"/>
  <c r="D334" i="12"/>
  <c r="D335" i="12"/>
  <c r="D336" i="12"/>
  <c r="D337" i="12"/>
  <c r="D338" i="12"/>
  <c r="D339" i="12"/>
  <c r="D340" i="12"/>
  <c r="D341" i="12"/>
  <c r="D342" i="12"/>
  <c r="D343" i="12"/>
  <c r="D344" i="12"/>
  <c r="D345" i="12"/>
  <c r="D346" i="12"/>
  <c r="D347" i="12"/>
  <c r="D348" i="12"/>
  <c r="D349" i="12"/>
  <c r="D350" i="12"/>
  <c r="D351" i="12"/>
  <c r="D352" i="12"/>
  <c r="D353" i="12"/>
  <c r="D354" i="12"/>
  <c r="D355" i="12"/>
  <c r="D356" i="12"/>
  <c r="D357" i="12"/>
  <c r="D358" i="12"/>
  <c r="D359" i="12"/>
  <c r="D360" i="12"/>
  <c r="D361" i="12"/>
  <c r="D362" i="12"/>
  <c r="D363" i="12"/>
  <c r="D364" i="12"/>
  <c r="D365" i="12"/>
  <c r="D366" i="12"/>
  <c r="D367" i="12"/>
  <c r="D368" i="12"/>
  <c r="D369" i="12"/>
  <c r="D370" i="12"/>
  <c r="D371" i="12"/>
  <c r="D372" i="12"/>
  <c r="D373" i="12"/>
  <c r="D374" i="12"/>
  <c r="D375" i="12"/>
  <c r="D376" i="12"/>
  <c r="D377" i="12"/>
  <c r="D378" i="12"/>
  <c r="D379" i="12"/>
  <c r="D380" i="12"/>
  <c r="D381" i="12"/>
  <c r="D382" i="12"/>
  <c r="D383" i="12"/>
  <c r="D384" i="12"/>
  <c r="D385" i="12"/>
  <c r="D386" i="12"/>
  <c r="D387" i="12"/>
  <c r="D388" i="12"/>
  <c r="D389" i="12"/>
  <c r="D390" i="12"/>
  <c r="D391" i="12"/>
  <c r="D392" i="12"/>
  <c r="D393" i="12"/>
  <c r="D394" i="12"/>
  <c r="D395" i="12"/>
  <c r="D396" i="12"/>
  <c r="D397" i="12"/>
  <c r="D398" i="12"/>
  <c r="D399" i="12"/>
  <c r="D400" i="12"/>
  <c r="D401" i="12"/>
  <c r="D402" i="12"/>
  <c r="D403" i="12"/>
  <c r="D404" i="12"/>
  <c r="D3" i="12"/>
  <c r="D4" i="12"/>
  <c r="D5" i="12"/>
  <c r="D6" i="12"/>
  <c r="D7" i="12"/>
  <c r="D8" i="12"/>
  <c r="D9" i="12"/>
  <c r="D10" i="12"/>
  <c r="D11" i="12"/>
  <c r="D12" i="12"/>
  <c r="D13" i="12"/>
  <c r="D14" i="12"/>
  <c r="D15" i="12"/>
  <c r="D16" i="12"/>
  <c r="D17" i="12"/>
  <c r="D18" i="12"/>
  <c r="D19" i="12"/>
  <c r="D20" i="12"/>
  <c r="D21" i="12"/>
  <c r="D22" i="12"/>
  <c r="D23" i="12"/>
  <c r="D24" i="12"/>
  <c r="D25" i="12"/>
  <c r="D26" i="12"/>
  <c r="D27" i="12"/>
  <c r="D28" i="12"/>
  <c r="D29" i="12"/>
  <c r="D30" i="12"/>
  <c r="D31" i="12"/>
  <c r="D32" i="12"/>
  <c r="D33" i="12"/>
  <c r="D34" i="12"/>
  <c r="D35" i="12"/>
  <c r="D36" i="12"/>
  <c r="D37" i="12"/>
  <c r="D38" i="12"/>
  <c r="D39" i="12"/>
  <c r="D40" i="12"/>
  <c r="D41" i="12"/>
  <c r="D42" i="12"/>
  <c r="D43" i="12"/>
  <c r="D44" i="12"/>
  <c r="D45" i="12"/>
  <c r="D46" i="12"/>
  <c r="D47" i="12"/>
  <c r="D48" i="12"/>
  <c r="D49" i="12"/>
  <c r="D50" i="12"/>
  <c r="D51" i="12"/>
  <c r="D52" i="12"/>
  <c r="D53" i="12"/>
  <c r="D54" i="12"/>
  <c r="D55" i="12"/>
  <c r="D56" i="12"/>
  <c r="D57" i="12"/>
  <c r="D58" i="12"/>
  <c r="D59" i="12"/>
  <c r="D60" i="12"/>
  <c r="D61" i="12"/>
  <c r="D62" i="12"/>
  <c r="D63" i="12"/>
  <c r="D64" i="12"/>
  <c r="D65" i="12"/>
  <c r="D66" i="12"/>
  <c r="D67" i="12"/>
  <c r="D68" i="12"/>
  <c r="D69" i="12"/>
  <c r="D70" i="12"/>
  <c r="D71" i="12"/>
  <c r="D72" i="12"/>
  <c r="D73" i="12"/>
  <c r="D74" i="12"/>
  <c r="D75" i="12"/>
  <c r="D76" i="12"/>
  <c r="D77" i="12"/>
  <c r="D78" i="12"/>
  <c r="D79" i="12"/>
  <c r="D80" i="12"/>
  <c r="D81" i="12"/>
  <c r="D82" i="12"/>
  <c r="D83" i="12"/>
  <c r="D84" i="12"/>
  <c r="D85" i="12"/>
  <c r="D86" i="12"/>
  <c r="D87" i="12"/>
  <c r="D88" i="12"/>
  <c r="D89" i="12"/>
  <c r="D90" i="12"/>
  <c r="D91" i="12"/>
  <c r="D92" i="12"/>
  <c r="D93" i="12"/>
  <c r="D94" i="12"/>
  <c r="D95" i="12"/>
  <c r="D96" i="12"/>
  <c r="D97" i="12"/>
  <c r="D98" i="12"/>
  <c r="D99" i="12"/>
  <c r="D100" i="12"/>
  <c r="D101" i="12"/>
  <c r="D102" i="12"/>
  <c r="D103" i="12"/>
  <c r="D104" i="12"/>
  <c r="D105" i="12"/>
  <c r="D106" i="12"/>
  <c r="D107" i="12"/>
  <c r="D108" i="12"/>
  <c r="D109" i="12"/>
  <c r="D110" i="12"/>
  <c r="D111" i="12"/>
  <c r="D112" i="12"/>
  <c r="D113" i="12"/>
  <c r="D114" i="12"/>
  <c r="D115" i="12"/>
  <c r="D116" i="12"/>
  <c r="D117" i="12"/>
  <c r="D118" i="12"/>
  <c r="D119" i="12"/>
  <c r="D120" i="12"/>
  <c r="D121" i="12"/>
  <c r="D122" i="12"/>
  <c r="D123" i="12"/>
  <c r="D124" i="12"/>
  <c r="D125" i="12"/>
  <c r="D126" i="12"/>
  <c r="D127" i="12"/>
  <c r="D128" i="12"/>
  <c r="D129" i="12"/>
  <c r="D130" i="12"/>
  <c r="D131" i="12"/>
  <c r="D132" i="12"/>
  <c r="D133" i="12"/>
  <c r="D134" i="12"/>
  <c r="D135" i="12"/>
  <c r="D136" i="12"/>
  <c r="D137" i="12"/>
  <c r="D138" i="12"/>
  <c r="D139" i="12"/>
  <c r="D140" i="12"/>
  <c r="D141" i="12"/>
  <c r="D142" i="12"/>
  <c r="D143" i="12"/>
  <c r="D144" i="12"/>
  <c r="D145" i="12"/>
  <c r="D146" i="12"/>
  <c r="D147" i="12"/>
  <c r="D148" i="12"/>
  <c r="D149" i="12"/>
  <c r="D150" i="12"/>
  <c r="D151" i="12"/>
  <c r="D152" i="12"/>
  <c r="D153" i="12"/>
  <c r="D154" i="12"/>
  <c r="D155" i="12"/>
  <c r="D156" i="12"/>
  <c r="D157" i="12"/>
  <c r="D158" i="12"/>
  <c r="D159" i="12"/>
  <c r="D160" i="12"/>
  <c r="D161" i="12"/>
  <c r="D162" i="12"/>
  <c r="D163" i="12"/>
  <c r="D164" i="12"/>
  <c r="D165" i="12"/>
  <c r="D166" i="12"/>
  <c r="D167" i="12"/>
  <c r="D168" i="12"/>
  <c r="D169" i="12"/>
  <c r="D170" i="12"/>
  <c r="D171" i="12"/>
  <c r="D172" i="12"/>
  <c r="D173" i="12"/>
  <c r="D174" i="12"/>
  <c r="D175" i="12"/>
  <c r="D176" i="12"/>
  <c r="D177" i="12"/>
  <c r="D178" i="12"/>
  <c r="D179" i="12"/>
  <c r="D180" i="12"/>
  <c r="D181" i="12"/>
  <c r="D182" i="12"/>
  <c r="D183" i="12"/>
  <c r="D184" i="12"/>
  <c r="D185" i="12"/>
  <c r="D186" i="12"/>
  <c r="D187" i="12"/>
  <c r="D188" i="12"/>
  <c r="D189" i="12"/>
  <c r="D190" i="12"/>
  <c r="D191" i="12"/>
  <c r="D2" i="12"/>
  <c r="B3" i="12"/>
  <c r="B4" i="12"/>
  <c r="B5" i="12"/>
  <c r="B6" i="12"/>
  <c r="B7" i="12"/>
  <c r="B8" i="12"/>
  <c r="B9" i="12"/>
  <c r="B10" i="12"/>
  <c r="B11" i="12"/>
  <c r="B12" i="12"/>
  <c r="B13" i="12"/>
  <c r="B14" i="12"/>
  <c r="B15" i="12"/>
  <c r="B16" i="12"/>
  <c r="B17" i="12"/>
  <c r="B18" i="12"/>
  <c r="B19" i="12"/>
  <c r="B20" i="12"/>
  <c r="B21" i="12"/>
  <c r="B22" i="12"/>
  <c r="B23" i="12"/>
  <c r="B24" i="12"/>
  <c r="B25" i="12"/>
  <c r="B26" i="12"/>
  <c r="B27" i="12"/>
  <c r="B28" i="12"/>
  <c r="B29" i="12"/>
  <c r="B30" i="12"/>
  <c r="B31" i="12"/>
  <c r="B32" i="12"/>
  <c r="B33" i="12"/>
  <c r="B34" i="12"/>
  <c r="B35" i="12"/>
  <c r="B36" i="12"/>
  <c r="B37" i="12"/>
  <c r="B38" i="12"/>
  <c r="B39" i="12"/>
  <c r="B40" i="12"/>
  <c r="B41" i="12"/>
  <c r="B42" i="12"/>
  <c r="B43" i="12"/>
  <c r="B44" i="12"/>
  <c r="B45" i="12"/>
  <c r="B46" i="12"/>
  <c r="B47" i="12"/>
  <c r="B48" i="12"/>
  <c r="B49" i="12"/>
  <c r="B50" i="12"/>
  <c r="B51" i="12"/>
  <c r="B52" i="12"/>
  <c r="B53" i="12"/>
  <c r="B54" i="12"/>
  <c r="B55" i="12"/>
  <c r="B56" i="12"/>
  <c r="B57" i="12"/>
  <c r="B58" i="12"/>
  <c r="B59" i="12"/>
  <c r="B60" i="12"/>
  <c r="B61" i="12"/>
  <c r="B62" i="12"/>
  <c r="B63" i="12"/>
  <c r="B64" i="12"/>
  <c r="B65" i="12"/>
  <c r="B66" i="12"/>
  <c r="B67" i="12"/>
  <c r="B68" i="12"/>
  <c r="B69" i="12"/>
  <c r="B70" i="12"/>
  <c r="B71" i="12"/>
  <c r="B72" i="12"/>
  <c r="B73" i="12"/>
  <c r="B74" i="12"/>
  <c r="B75" i="12"/>
  <c r="B76" i="12"/>
  <c r="B77" i="12"/>
  <c r="B78" i="12"/>
  <c r="B79" i="12"/>
  <c r="B80" i="12"/>
  <c r="B81" i="12"/>
  <c r="B82" i="12"/>
  <c r="B83" i="12"/>
  <c r="B84" i="12"/>
  <c r="B85" i="12"/>
  <c r="B86" i="12"/>
  <c r="B87" i="12"/>
  <c r="B88" i="12"/>
  <c r="B89" i="12"/>
  <c r="B90" i="12"/>
  <c r="B91" i="12"/>
  <c r="B92" i="12"/>
  <c r="B93" i="12"/>
  <c r="B94" i="12"/>
  <c r="B95" i="12"/>
  <c r="B96" i="12"/>
  <c r="B97" i="12"/>
  <c r="B98" i="12"/>
  <c r="B99" i="12"/>
  <c r="B100" i="12"/>
  <c r="B101" i="12"/>
  <c r="B102" i="12"/>
  <c r="B103" i="12"/>
  <c r="B104" i="12"/>
  <c r="B105" i="12"/>
  <c r="B106" i="12"/>
  <c r="B107" i="12"/>
  <c r="B108" i="12"/>
  <c r="B109" i="12"/>
  <c r="B110" i="12"/>
  <c r="B111" i="12"/>
  <c r="B112" i="12"/>
  <c r="B113" i="12"/>
  <c r="B114" i="12"/>
  <c r="B115" i="12"/>
  <c r="B116" i="12"/>
  <c r="B117" i="12"/>
  <c r="B118" i="12"/>
  <c r="B119" i="12"/>
  <c r="B120" i="12"/>
  <c r="B121" i="12"/>
  <c r="B122" i="12"/>
  <c r="B123" i="12"/>
  <c r="B124" i="12"/>
  <c r="B125" i="12"/>
  <c r="B126" i="12"/>
  <c r="B127" i="12"/>
  <c r="B128" i="12"/>
  <c r="B129" i="12"/>
  <c r="B130" i="12"/>
  <c r="B131" i="12"/>
  <c r="B132" i="12"/>
  <c r="B133" i="12"/>
  <c r="B134" i="12"/>
  <c r="B135" i="12"/>
  <c r="B136" i="12"/>
  <c r="B137" i="12"/>
  <c r="B138" i="12"/>
  <c r="B139" i="12"/>
  <c r="B140" i="12"/>
  <c r="B141" i="12"/>
  <c r="B142" i="12"/>
  <c r="B143" i="12"/>
  <c r="B144" i="12"/>
  <c r="B145" i="12"/>
  <c r="B146" i="12"/>
  <c r="B147" i="12"/>
  <c r="B148" i="12"/>
  <c r="B149" i="12"/>
  <c r="B150" i="12"/>
  <c r="B151" i="12"/>
  <c r="B152" i="12"/>
  <c r="B153" i="12"/>
  <c r="B154" i="12"/>
  <c r="B155" i="12"/>
  <c r="B156" i="12"/>
  <c r="B157" i="12"/>
  <c r="B158" i="12"/>
  <c r="B159" i="12"/>
  <c r="B160" i="12"/>
  <c r="B161" i="12"/>
  <c r="B162" i="12"/>
  <c r="B163" i="12"/>
  <c r="B164" i="12"/>
  <c r="B165" i="12"/>
  <c r="B166" i="12"/>
  <c r="B167" i="12"/>
  <c r="B168" i="12"/>
  <c r="B169" i="12"/>
  <c r="B170" i="12"/>
  <c r="B171" i="12"/>
  <c r="B172" i="12"/>
  <c r="B173" i="12"/>
  <c r="B174" i="12"/>
  <c r="B175" i="12"/>
  <c r="B176" i="12"/>
  <c r="B177" i="12"/>
  <c r="B178" i="12"/>
  <c r="B179" i="12"/>
  <c r="B180" i="12"/>
  <c r="B181" i="12"/>
  <c r="B182" i="12"/>
  <c r="B183" i="12"/>
  <c r="B184" i="12"/>
  <c r="B185" i="12"/>
  <c r="B186" i="12"/>
  <c r="B187" i="12"/>
  <c r="B188" i="12"/>
  <c r="B189" i="12"/>
  <c r="B190" i="12"/>
  <c r="B191" i="12"/>
  <c r="B192" i="12"/>
  <c r="B193" i="12"/>
  <c r="B194" i="12"/>
  <c r="B195" i="12"/>
  <c r="B196" i="12"/>
  <c r="B197" i="12"/>
  <c r="B198" i="12"/>
  <c r="B199" i="12"/>
  <c r="B200" i="12"/>
  <c r="B201" i="12"/>
  <c r="B202" i="12"/>
  <c r="B203" i="12"/>
  <c r="B204" i="12"/>
  <c r="B205" i="12"/>
  <c r="B206" i="12"/>
  <c r="B207" i="12"/>
  <c r="B208" i="12"/>
  <c r="B209" i="12"/>
  <c r="B210" i="12"/>
  <c r="B211" i="12"/>
  <c r="B212" i="12"/>
  <c r="B213" i="12"/>
  <c r="B214" i="12"/>
  <c r="B215" i="12"/>
  <c r="B216" i="12"/>
  <c r="B217" i="12"/>
  <c r="B218" i="12"/>
  <c r="B219" i="12"/>
  <c r="B220" i="12"/>
  <c r="B221" i="12"/>
  <c r="B222" i="12"/>
  <c r="B223" i="12"/>
  <c r="B224" i="12"/>
  <c r="B225" i="12"/>
  <c r="B226" i="12"/>
  <c r="B227" i="12"/>
  <c r="B228" i="12"/>
  <c r="B229" i="12"/>
  <c r="B230" i="12"/>
  <c r="B231" i="12"/>
  <c r="B232" i="12"/>
  <c r="B233" i="12"/>
  <c r="B234" i="12"/>
  <c r="B235" i="12"/>
  <c r="B236" i="12"/>
  <c r="B237" i="12"/>
  <c r="B238" i="12"/>
  <c r="B239" i="12"/>
  <c r="B240" i="12"/>
  <c r="B241" i="12"/>
  <c r="B242" i="12"/>
  <c r="B243" i="12"/>
  <c r="B244" i="12"/>
  <c r="B245" i="12"/>
  <c r="B246" i="12"/>
  <c r="B247" i="12"/>
  <c r="B248" i="12"/>
  <c r="B249" i="12"/>
  <c r="B250" i="12"/>
  <c r="B251" i="12"/>
  <c r="B252" i="12"/>
  <c r="B253" i="12"/>
  <c r="B254" i="12"/>
  <c r="B255" i="12"/>
  <c r="B256" i="12"/>
  <c r="B257" i="12"/>
  <c r="B258" i="12"/>
  <c r="B259" i="12"/>
  <c r="B260" i="12"/>
  <c r="B261" i="12"/>
  <c r="B262" i="12"/>
  <c r="B263" i="12"/>
  <c r="B264" i="12"/>
  <c r="B265" i="12"/>
  <c r="B266" i="12"/>
  <c r="B267" i="12"/>
  <c r="B268" i="12"/>
  <c r="B269" i="12"/>
  <c r="B270" i="12"/>
  <c r="B271" i="12"/>
  <c r="B272" i="12"/>
  <c r="B273" i="12"/>
  <c r="B274" i="12"/>
  <c r="B275" i="12"/>
  <c r="B276" i="12"/>
  <c r="B277" i="12"/>
  <c r="B278" i="12"/>
  <c r="B279" i="12"/>
  <c r="B280" i="12"/>
  <c r="B281" i="12"/>
  <c r="B282" i="12"/>
  <c r="B283" i="12"/>
  <c r="B284" i="12"/>
  <c r="B285" i="12"/>
  <c r="B286" i="12"/>
  <c r="B287" i="12"/>
  <c r="B288" i="12"/>
  <c r="B289" i="12"/>
  <c r="B290" i="12"/>
  <c r="B291" i="12"/>
  <c r="B292" i="12"/>
  <c r="B293" i="12"/>
  <c r="B294" i="12"/>
  <c r="B295" i="12"/>
  <c r="B296" i="12"/>
  <c r="B297" i="12"/>
  <c r="B298" i="12"/>
  <c r="B299" i="12"/>
  <c r="B300" i="12"/>
  <c r="B301" i="12"/>
  <c r="B302" i="12"/>
  <c r="B303" i="12"/>
  <c r="B304" i="12"/>
  <c r="B305" i="12"/>
  <c r="B306" i="12"/>
  <c r="B307" i="12"/>
  <c r="B308" i="12"/>
  <c r="B309" i="12"/>
  <c r="B310" i="12"/>
  <c r="B311" i="12"/>
  <c r="B312" i="12"/>
  <c r="B313" i="12"/>
  <c r="B314" i="12"/>
  <c r="B315" i="12"/>
  <c r="B316" i="12"/>
  <c r="B317" i="12"/>
  <c r="B318" i="12"/>
  <c r="B319" i="12"/>
  <c r="B320" i="12"/>
  <c r="B321" i="12"/>
  <c r="B322" i="12"/>
  <c r="B323" i="12"/>
  <c r="B324" i="12"/>
  <c r="B325" i="12"/>
  <c r="B326" i="12"/>
  <c r="B327" i="12"/>
  <c r="B328" i="12"/>
  <c r="B329" i="12"/>
  <c r="B330" i="12"/>
  <c r="B331" i="12"/>
  <c r="B332" i="12"/>
  <c r="B333" i="12"/>
  <c r="B334" i="12"/>
  <c r="B335" i="12"/>
  <c r="B336" i="12"/>
  <c r="B337" i="12"/>
  <c r="B338" i="12"/>
  <c r="B339" i="12"/>
  <c r="B340" i="12"/>
  <c r="B341" i="12"/>
  <c r="B342" i="12"/>
  <c r="B343" i="12"/>
  <c r="B344" i="12"/>
  <c r="B345" i="12"/>
  <c r="B346" i="12"/>
  <c r="B347" i="12"/>
  <c r="B348" i="12"/>
  <c r="B349" i="12"/>
  <c r="B350" i="12"/>
  <c r="B351" i="12"/>
  <c r="B352" i="12"/>
  <c r="B353" i="12"/>
  <c r="B354" i="12"/>
  <c r="B355" i="12"/>
  <c r="B356" i="12"/>
  <c r="B357" i="12"/>
  <c r="B358" i="12"/>
  <c r="B359" i="12"/>
  <c r="B360" i="12"/>
  <c r="B361" i="12"/>
  <c r="B362" i="12"/>
  <c r="B363" i="12"/>
  <c r="B364" i="12"/>
  <c r="B365" i="12"/>
  <c r="B366" i="12"/>
  <c r="B367" i="12"/>
  <c r="B368" i="12"/>
  <c r="B369" i="12"/>
  <c r="B370" i="12"/>
  <c r="B371" i="12"/>
  <c r="B372" i="12"/>
  <c r="B373" i="12"/>
  <c r="B374" i="12"/>
  <c r="B375" i="12"/>
  <c r="B376" i="12"/>
  <c r="B377" i="12"/>
  <c r="B378" i="12"/>
  <c r="B379" i="12"/>
  <c r="B380" i="12"/>
  <c r="B381" i="12"/>
  <c r="B382" i="12"/>
  <c r="B383" i="12"/>
  <c r="B384" i="12"/>
  <c r="B385" i="12"/>
  <c r="B386" i="12"/>
  <c r="B387" i="12"/>
  <c r="B388" i="12"/>
  <c r="B389" i="12"/>
  <c r="B390" i="12"/>
  <c r="B391" i="12"/>
  <c r="B392" i="12"/>
  <c r="B393" i="12"/>
  <c r="B394" i="12"/>
  <c r="B395" i="12"/>
  <c r="B396" i="12"/>
  <c r="B397" i="12"/>
  <c r="B398" i="12"/>
  <c r="B399" i="12"/>
  <c r="B400" i="12"/>
  <c r="B401" i="12"/>
  <c r="B402" i="12"/>
  <c r="B403" i="12"/>
  <c r="B404" i="12"/>
  <c r="B2" i="12"/>
  <c r="C192" i="12"/>
  <c r="C193" i="12"/>
  <c r="C194" i="12"/>
  <c r="C195" i="12"/>
  <c r="C196" i="12"/>
  <c r="C197" i="12"/>
  <c r="C198" i="12"/>
  <c r="C199" i="12"/>
  <c r="C200" i="12"/>
  <c r="C201" i="12"/>
  <c r="C202" i="12"/>
  <c r="C203" i="12"/>
  <c r="C204" i="12"/>
  <c r="C205" i="12"/>
  <c r="C206" i="12"/>
  <c r="C207" i="12"/>
  <c r="C208" i="12"/>
  <c r="C209" i="12"/>
  <c r="C210" i="12"/>
  <c r="C211" i="12"/>
  <c r="C212" i="12"/>
  <c r="C213" i="12"/>
  <c r="C214" i="12"/>
  <c r="C215" i="12"/>
  <c r="C216" i="12"/>
  <c r="C217" i="12"/>
  <c r="C218" i="12"/>
  <c r="C219" i="12"/>
  <c r="C220" i="12"/>
  <c r="C221" i="12"/>
  <c r="C222" i="12"/>
  <c r="C223" i="12"/>
  <c r="C224" i="12"/>
  <c r="C225" i="12"/>
  <c r="C226" i="12"/>
  <c r="C227" i="12"/>
  <c r="C228" i="12"/>
  <c r="C229" i="12"/>
  <c r="C230" i="12"/>
  <c r="C231" i="12"/>
  <c r="C232" i="12"/>
  <c r="C233" i="12"/>
  <c r="C234" i="12"/>
  <c r="C235" i="12"/>
  <c r="C236" i="12"/>
  <c r="C237" i="12"/>
  <c r="C238" i="12"/>
  <c r="C239" i="12"/>
  <c r="C240" i="12"/>
  <c r="C241" i="12"/>
  <c r="C242" i="12"/>
  <c r="C243" i="12"/>
  <c r="C244" i="12"/>
  <c r="C245" i="12"/>
  <c r="C246" i="12"/>
  <c r="C247" i="12"/>
  <c r="C248" i="12"/>
  <c r="C249" i="12"/>
  <c r="C250" i="12"/>
  <c r="C251" i="12"/>
  <c r="C252" i="12"/>
  <c r="C253" i="12"/>
  <c r="C254" i="12"/>
  <c r="C255" i="12"/>
  <c r="C256" i="12"/>
  <c r="C257" i="12"/>
  <c r="C258" i="12"/>
  <c r="C259" i="12"/>
  <c r="C260" i="12"/>
  <c r="C261" i="12"/>
  <c r="C262" i="12"/>
  <c r="C263" i="12"/>
  <c r="C264" i="12"/>
  <c r="C265" i="12"/>
  <c r="C266" i="12"/>
  <c r="C267" i="12"/>
  <c r="C268" i="12"/>
  <c r="C269" i="12"/>
  <c r="C270" i="12"/>
  <c r="C271" i="12"/>
  <c r="C272" i="12"/>
  <c r="C273" i="12"/>
  <c r="C274" i="12"/>
  <c r="C275" i="12"/>
  <c r="C276" i="12"/>
  <c r="C277" i="12"/>
  <c r="C278" i="12"/>
  <c r="C279" i="12"/>
  <c r="C280" i="12"/>
  <c r="C281" i="12"/>
  <c r="C282" i="12"/>
  <c r="C283" i="12"/>
  <c r="C284" i="12"/>
  <c r="C285" i="12"/>
  <c r="C286" i="12"/>
  <c r="C287" i="12"/>
  <c r="C288" i="12"/>
  <c r="C289" i="12"/>
  <c r="C290" i="12"/>
  <c r="C291" i="12"/>
  <c r="C292" i="12"/>
  <c r="C293" i="12"/>
  <c r="C294" i="12"/>
  <c r="C295" i="12"/>
  <c r="C296" i="12"/>
  <c r="C297" i="12"/>
  <c r="C298" i="12"/>
  <c r="C299" i="12"/>
  <c r="C300" i="12"/>
  <c r="C301" i="12"/>
  <c r="C302" i="12"/>
  <c r="C303" i="12"/>
  <c r="C304" i="12"/>
  <c r="C305" i="12"/>
  <c r="C306" i="12"/>
  <c r="C307" i="12"/>
  <c r="C308" i="12"/>
  <c r="C309" i="12"/>
  <c r="C310" i="12"/>
  <c r="C311" i="12"/>
  <c r="C312" i="12"/>
  <c r="C313" i="12"/>
  <c r="C314" i="12"/>
  <c r="C315" i="12"/>
  <c r="C316" i="12"/>
  <c r="C317" i="12"/>
  <c r="C318" i="12"/>
  <c r="C319" i="12"/>
  <c r="C320" i="12"/>
  <c r="C321" i="12"/>
  <c r="C322" i="12"/>
  <c r="C323" i="12"/>
  <c r="C324" i="12"/>
  <c r="C325" i="12"/>
  <c r="C326" i="12"/>
  <c r="C327" i="12"/>
  <c r="C328" i="12"/>
  <c r="C329" i="12"/>
  <c r="C330" i="12"/>
  <c r="C331" i="12"/>
  <c r="C332" i="12"/>
  <c r="C333" i="12"/>
  <c r="C334" i="12"/>
  <c r="C335" i="12"/>
  <c r="C336" i="12"/>
  <c r="C337" i="12"/>
  <c r="C338" i="12"/>
  <c r="C339" i="12"/>
  <c r="C340" i="12"/>
  <c r="C341" i="12"/>
  <c r="C342" i="12"/>
  <c r="C343" i="12"/>
  <c r="C344" i="12"/>
  <c r="C345" i="12"/>
  <c r="C346" i="12"/>
  <c r="C347" i="12"/>
  <c r="C348" i="12"/>
  <c r="C349" i="12"/>
  <c r="C350" i="12"/>
  <c r="C351" i="12"/>
  <c r="C352" i="12"/>
  <c r="C353" i="12"/>
  <c r="C354" i="12"/>
  <c r="C355" i="12"/>
  <c r="C356" i="12"/>
  <c r="C357" i="12"/>
  <c r="C358" i="12"/>
  <c r="C359" i="12"/>
  <c r="C360" i="12"/>
  <c r="C361" i="12"/>
  <c r="C362" i="12"/>
  <c r="C363" i="12"/>
  <c r="C364" i="12"/>
  <c r="C365" i="12"/>
  <c r="C366" i="12"/>
  <c r="C367" i="12"/>
  <c r="C368" i="12"/>
  <c r="C369" i="12"/>
  <c r="C370" i="12"/>
  <c r="C371" i="12"/>
  <c r="C372" i="12"/>
  <c r="C373" i="12"/>
  <c r="C374" i="12"/>
  <c r="C375" i="12"/>
  <c r="C376" i="12"/>
  <c r="C377" i="12"/>
  <c r="C378" i="12"/>
  <c r="C379" i="12"/>
  <c r="C380" i="12"/>
  <c r="C381" i="12"/>
  <c r="C382" i="12"/>
  <c r="C383" i="12"/>
  <c r="C384" i="12"/>
  <c r="C385" i="12"/>
  <c r="C386" i="12"/>
  <c r="C387" i="12"/>
  <c r="C388" i="12"/>
  <c r="C389" i="12"/>
  <c r="C390" i="12"/>
  <c r="C391" i="12"/>
  <c r="C392" i="12"/>
  <c r="C393" i="12"/>
  <c r="C394" i="12"/>
  <c r="C395" i="12"/>
  <c r="C396" i="12"/>
  <c r="C397" i="12"/>
  <c r="C398" i="12"/>
  <c r="C399" i="12"/>
  <c r="C400" i="12"/>
  <c r="C401" i="12"/>
  <c r="C402" i="12"/>
  <c r="C403" i="12"/>
  <c r="C404" i="12"/>
  <c r="C3" i="12"/>
  <c r="C4" i="12"/>
  <c r="C5" i="12"/>
  <c r="C6" i="12"/>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C41" i="12"/>
  <c r="C42" i="12"/>
  <c r="C43" i="12"/>
  <c r="C44" i="12"/>
  <c r="C45" i="12"/>
  <c r="C46" i="12"/>
  <c r="C47" i="12"/>
  <c r="C48" i="12"/>
  <c r="C49" i="12"/>
  <c r="C50" i="12"/>
  <c r="C51" i="12"/>
  <c r="C52" i="12"/>
  <c r="C53" i="12"/>
  <c r="C54" i="12"/>
  <c r="C55" i="12"/>
  <c r="C56" i="12"/>
  <c r="C57" i="12"/>
  <c r="C58" i="12"/>
  <c r="C59" i="12"/>
  <c r="C60" i="12"/>
  <c r="C61" i="12"/>
  <c r="C62" i="12"/>
  <c r="C63" i="12"/>
  <c r="C64" i="12"/>
  <c r="C65" i="12"/>
  <c r="C66" i="12"/>
  <c r="C67" i="12"/>
  <c r="C68" i="12"/>
  <c r="C69" i="12"/>
  <c r="C70" i="12"/>
  <c r="C71" i="12"/>
  <c r="C72" i="12"/>
  <c r="C73" i="12"/>
  <c r="C74" i="12"/>
  <c r="C75" i="12"/>
  <c r="C76" i="12"/>
  <c r="C77" i="12"/>
  <c r="C78" i="12"/>
  <c r="C79" i="12"/>
  <c r="C80" i="12"/>
  <c r="C81" i="12"/>
  <c r="C82" i="12"/>
  <c r="C83" i="12"/>
  <c r="C84" i="12"/>
  <c r="C85" i="12"/>
  <c r="C86" i="12"/>
  <c r="C87" i="12"/>
  <c r="C88" i="12"/>
  <c r="C89" i="12"/>
  <c r="C90" i="12"/>
  <c r="C91" i="12"/>
  <c r="C92" i="12"/>
  <c r="C93" i="12"/>
  <c r="C94" i="12"/>
  <c r="C95" i="12"/>
  <c r="C96" i="12"/>
  <c r="C97" i="12"/>
  <c r="C98" i="12"/>
  <c r="C99" i="12"/>
  <c r="C100" i="12"/>
  <c r="C101" i="12"/>
  <c r="C102" i="12"/>
  <c r="C103" i="12"/>
  <c r="C104" i="12"/>
  <c r="C105" i="12"/>
  <c r="C106" i="12"/>
  <c r="C107" i="12"/>
  <c r="C108" i="12"/>
  <c r="C109" i="12"/>
  <c r="C110" i="12"/>
  <c r="C111" i="12"/>
  <c r="C112" i="12"/>
  <c r="C113" i="12"/>
  <c r="C114" i="12"/>
  <c r="C115" i="12"/>
  <c r="C116" i="12"/>
  <c r="C117" i="12"/>
  <c r="C118" i="12"/>
  <c r="C119" i="12"/>
  <c r="C120" i="12"/>
  <c r="C121" i="12"/>
  <c r="C122" i="12"/>
  <c r="C123" i="12"/>
  <c r="C124" i="12"/>
  <c r="C125" i="12"/>
  <c r="C126" i="12"/>
  <c r="C127" i="12"/>
  <c r="C128" i="12"/>
  <c r="C129" i="12"/>
  <c r="C130" i="12"/>
  <c r="C131" i="12"/>
  <c r="C132" i="12"/>
  <c r="C133" i="12"/>
  <c r="C134" i="12"/>
  <c r="C135" i="12"/>
  <c r="C136" i="12"/>
  <c r="C137" i="12"/>
  <c r="C138" i="12"/>
  <c r="C139" i="12"/>
  <c r="C140" i="12"/>
  <c r="C141" i="12"/>
  <c r="C142" i="12"/>
  <c r="C143" i="12"/>
  <c r="C144" i="12"/>
  <c r="C145" i="12"/>
  <c r="C146" i="12"/>
  <c r="C147" i="12"/>
  <c r="C148" i="12"/>
  <c r="C149" i="12"/>
  <c r="C150" i="12"/>
  <c r="C151" i="12"/>
  <c r="C152" i="12"/>
  <c r="C153" i="12"/>
  <c r="C154" i="12"/>
  <c r="C155" i="12"/>
  <c r="C156" i="12"/>
  <c r="C157" i="12"/>
  <c r="C158" i="12"/>
  <c r="C159" i="12"/>
  <c r="C160" i="12"/>
  <c r="C161" i="12"/>
  <c r="C162" i="12"/>
  <c r="C163" i="12"/>
  <c r="C164" i="12"/>
  <c r="C165" i="12"/>
  <c r="C166" i="12"/>
  <c r="C167" i="12"/>
  <c r="C168" i="12"/>
  <c r="C169" i="12"/>
  <c r="C170" i="12"/>
  <c r="C171" i="12"/>
  <c r="C172" i="12"/>
  <c r="C173" i="12"/>
  <c r="C174" i="12"/>
  <c r="C175" i="12"/>
  <c r="C176" i="12"/>
  <c r="C177" i="12"/>
  <c r="C178" i="12"/>
  <c r="C179" i="12"/>
  <c r="C180" i="12"/>
  <c r="C181" i="12"/>
  <c r="C182" i="12"/>
  <c r="C183" i="12"/>
  <c r="C184" i="12"/>
  <c r="C185" i="12"/>
  <c r="C186" i="12"/>
  <c r="C187" i="12"/>
  <c r="C188" i="12"/>
  <c r="C189" i="12"/>
  <c r="C190" i="12"/>
  <c r="C191" i="12"/>
  <c r="C2" i="12"/>
  <c r="A192" i="12"/>
  <c r="A193" i="12"/>
  <c r="A194" i="12"/>
  <c r="A195" i="12"/>
  <c r="A196" i="12"/>
  <c r="A197" i="12"/>
  <c r="A198" i="12"/>
  <c r="A199" i="12"/>
  <c r="A200" i="12"/>
  <c r="A201" i="12"/>
  <c r="A202" i="12"/>
  <c r="A203" i="12"/>
  <c r="A204" i="12"/>
  <c r="A205" i="12"/>
  <c r="A206" i="12"/>
  <c r="A207" i="12"/>
  <c r="A208" i="12"/>
  <c r="A209" i="12"/>
  <c r="A210" i="12"/>
  <c r="A211" i="12"/>
  <c r="A212" i="12"/>
  <c r="A213" i="12"/>
  <c r="A214" i="12"/>
  <c r="A215" i="12"/>
  <c r="A216" i="12"/>
  <c r="A217" i="12"/>
  <c r="A218" i="12"/>
  <c r="A219" i="12"/>
  <c r="A220" i="12"/>
  <c r="A221" i="12"/>
  <c r="A222" i="12"/>
  <c r="A223" i="12"/>
  <c r="A224" i="12"/>
  <c r="A225" i="12"/>
  <c r="A226" i="12"/>
  <c r="A227" i="12"/>
  <c r="A228" i="12"/>
  <c r="A229" i="12"/>
  <c r="A230" i="12"/>
  <c r="A231" i="12"/>
  <c r="A232" i="12"/>
  <c r="A233" i="12"/>
  <c r="A234" i="12"/>
  <c r="A235" i="12"/>
  <c r="A236" i="12"/>
  <c r="A237" i="12"/>
  <c r="A238" i="12"/>
  <c r="A239" i="12"/>
  <c r="A240" i="12"/>
  <c r="A241" i="12"/>
  <c r="A242" i="12"/>
  <c r="A243" i="12"/>
  <c r="A244" i="12"/>
  <c r="A245" i="12"/>
  <c r="A246" i="12"/>
  <c r="A247" i="12"/>
  <c r="A248" i="12"/>
  <c r="A249" i="12"/>
  <c r="A250" i="12"/>
  <c r="A251" i="12"/>
  <c r="A252" i="12"/>
  <c r="A253" i="12"/>
  <c r="A254" i="12"/>
  <c r="A255" i="12"/>
  <c r="A256" i="12"/>
  <c r="A257" i="12"/>
  <c r="A258" i="12"/>
  <c r="A259" i="12"/>
  <c r="A260" i="12"/>
  <c r="A261" i="12"/>
  <c r="A262" i="12"/>
  <c r="A263" i="12"/>
  <c r="A264" i="12"/>
  <c r="A265" i="12"/>
  <c r="A266" i="12"/>
  <c r="A267" i="12"/>
  <c r="A268" i="12"/>
  <c r="A269" i="12"/>
  <c r="A270" i="12"/>
  <c r="A271" i="12"/>
  <c r="A272" i="12"/>
  <c r="A273" i="12"/>
  <c r="A274" i="12"/>
  <c r="A275" i="12"/>
  <c r="A276" i="12"/>
  <c r="A277" i="12"/>
  <c r="A278" i="12"/>
  <c r="A279" i="12"/>
  <c r="A280" i="12"/>
  <c r="A281" i="12"/>
  <c r="A282" i="12"/>
  <c r="A283" i="12"/>
  <c r="A284" i="12"/>
  <c r="A285" i="12"/>
  <c r="A286" i="12"/>
  <c r="A287" i="12"/>
  <c r="A288" i="12"/>
  <c r="A289" i="12"/>
  <c r="A290" i="12"/>
  <c r="A291" i="12"/>
  <c r="A292" i="12"/>
  <c r="A293" i="12"/>
  <c r="A294" i="12"/>
  <c r="A295" i="12"/>
  <c r="A296" i="12"/>
  <c r="A297" i="12"/>
  <c r="A298" i="12"/>
  <c r="A299" i="12"/>
  <c r="A300" i="12"/>
  <c r="A301" i="12"/>
  <c r="A302" i="12"/>
  <c r="A303" i="12"/>
  <c r="A304" i="12"/>
  <c r="A305" i="12"/>
  <c r="A306" i="12"/>
  <c r="A307" i="12"/>
  <c r="A308" i="12"/>
  <c r="A309" i="12"/>
  <c r="A310" i="12"/>
  <c r="A311" i="12"/>
  <c r="A312" i="12"/>
  <c r="A313" i="12"/>
  <c r="A314" i="12"/>
  <c r="A315" i="12"/>
  <c r="A316" i="12"/>
  <c r="A317" i="12"/>
  <c r="A318" i="12"/>
  <c r="A319" i="12"/>
  <c r="A320" i="12"/>
  <c r="A321" i="12"/>
  <c r="A322" i="12"/>
  <c r="A323" i="12"/>
  <c r="A324" i="12"/>
  <c r="A325" i="12"/>
  <c r="A326" i="12"/>
  <c r="A327" i="12"/>
  <c r="A328" i="12"/>
  <c r="A329" i="12"/>
  <c r="A330" i="12"/>
  <c r="A331" i="12"/>
  <c r="A332" i="12"/>
  <c r="A333" i="12"/>
  <c r="A334" i="12"/>
  <c r="A335" i="12"/>
  <c r="A336" i="12"/>
  <c r="A337" i="12"/>
  <c r="A338" i="12"/>
  <c r="A339" i="12"/>
  <c r="A340" i="12"/>
  <c r="A341" i="12"/>
  <c r="A342" i="12"/>
  <c r="A343" i="12"/>
  <c r="A344" i="12"/>
  <c r="A345" i="12"/>
  <c r="A346" i="12"/>
  <c r="A347" i="12"/>
  <c r="A348" i="12"/>
  <c r="A349" i="12"/>
  <c r="A350" i="12"/>
  <c r="A351" i="12"/>
  <c r="A352" i="12"/>
  <c r="A353" i="12"/>
  <c r="A354" i="12"/>
  <c r="A355" i="12"/>
  <c r="A356" i="12"/>
  <c r="A357" i="12"/>
  <c r="A358" i="12"/>
  <c r="A359" i="12"/>
  <c r="A360" i="12"/>
  <c r="A361" i="12"/>
  <c r="A362" i="12"/>
  <c r="A363" i="12"/>
  <c r="A364" i="12"/>
  <c r="A365" i="12"/>
  <c r="A366" i="12"/>
  <c r="A367" i="12"/>
  <c r="A368" i="12"/>
  <c r="A369" i="12"/>
  <c r="A370" i="12"/>
  <c r="A371" i="12"/>
  <c r="A372" i="12"/>
  <c r="A373" i="12"/>
  <c r="A374" i="12"/>
  <c r="A375" i="12"/>
  <c r="A376" i="12"/>
  <c r="A377" i="12"/>
  <c r="A378" i="12"/>
  <c r="A379" i="12"/>
  <c r="A380" i="12"/>
  <c r="A381" i="12"/>
  <c r="A382" i="12"/>
  <c r="A383" i="12"/>
  <c r="A384" i="12"/>
  <c r="A385" i="12"/>
  <c r="A386" i="12"/>
  <c r="A387" i="12"/>
  <c r="A388" i="12"/>
  <c r="A389" i="12"/>
  <c r="A390" i="12"/>
  <c r="A391" i="12"/>
  <c r="A392" i="12"/>
  <c r="A393" i="12"/>
  <c r="A394" i="12"/>
  <c r="A395" i="12"/>
  <c r="A396" i="12"/>
  <c r="A397" i="12"/>
  <c r="A398" i="12"/>
  <c r="A399" i="12"/>
  <c r="A400" i="12"/>
  <c r="A401" i="12"/>
  <c r="A402" i="12"/>
  <c r="A403" i="12"/>
  <c r="A404" i="12"/>
  <c r="A3" i="12"/>
  <c r="A4" i="12"/>
  <c r="A5" i="12"/>
  <c r="A6" i="12"/>
  <c r="A7" i="12"/>
  <c r="A8" i="12"/>
  <c r="A9" i="12"/>
  <c r="A10" i="12"/>
  <c r="A11" i="12"/>
  <c r="A12" i="12"/>
  <c r="A13" i="12"/>
  <c r="A14" i="12"/>
  <c r="A15" i="12"/>
  <c r="A16" i="12"/>
  <c r="A17" i="12"/>
  <c r="A18" i="12"/>
  <c r="A19" i="12"/>
  <c r="A20" i="12"/>
  <c r="A21" i="12"/>
  <c r="A22" i="12"/>
  <c r="A23" i="12"/>
  <c r="A24" i="12"/>
  <c r="A25" i="12"/>
  <c r="A26" i="12"/>
  <c r="A27" i="12"/>
  <c r="A28" i="12"/>
  <c r="A29" i="12"/>
  <c r="A30" i="12"/>
  <c r="A31" i="12"/>
  <c r="A32" i="12"/>
  <c r="A33" i="12"/>
  <c r="A34" i="12"/>
  <c r="A35" i="12"/>
  <c r="A36" i="12"/>
  <c r="A37" i="12"/>
  <c r="A38" i="12"/>
  <c r="A39" i="12"/>
  <c r="A40" i="12"/>
  <c r="A41" i="12"/>
  <c r="A42" i="12"/>
  <c r="A43" i="12"/>
  <c r="A44" i="12"/>
  <c r="A45" i="12"/>
  <c r="A46" i="12"/>
  <c r="A47" i="12"/>
  <c r="A48" i="12"/>
  <c r="A49" i="12"/>
  <c r="A50" i="12"/>
  <c r="A51" i="12"/>
  <c r="A52" i="12"/>
  <c r="A53" i="12"/>
  <c r="A54" i="12"/>
  <c r="A55" i="12"/>
  <c r="A56" i="12"/>
  <c r="A57" i="12"/>
  <c r="A58" i="12"/>
  <c r="A59" i="12"/>
  <c r="A60" i="12"/>
  <c r="A61" i="12"/>
  <c r="A62" i="12"/>
  <c r="A63" i="12"/>
  <c r="A64" i="12"/>
  <c r="A65" i="12"/>
  <c r="A66" i="12"/>
  <c r="A67" i="12"/>
  <c r="A68" i="12"/>
  <c r="A69" i="12"/>
  <c r="A70" i="12"/>
  <c r="A71" i="12"/>
  <c r="A72" i="12"/>
  <c r="A73" i="12"/>
  <c r="A74" i="12"/>
  <c r="A75" i="12"/>
  <c r="A76" i="12"/>
  <c r="A77" i="12"/>
  <c r="A78" i="12"/>
  <c r="A79" i="12"/>
  <c r="A80" i="12"/>
  <c r="A81" i="12"/>
  <c r="A82" i="12"/>
  <c r="A83" i="12"/>
  <c r="A84" i="12"/>
  <c r="A85" i="12"/>
  <c r="A86" i="12"/>
  <c r="A87" i="12"/>
  <c r="A88" i="12"/>
  <c r="A89" i="12"/>
  <c r="A90" i="12"/>
  <c r="A91" i="12"/>
  <c r="A92" i="12"/>
  <c r="A93" i="12"/>
  <c r="A94" i="12"/>
  <c r="A95" i="12"/>
  <c r="A96" i="12"/>
  <c r="A97" i="12"/>
  <c r="A98" i="12"/>
  <c r="A99" i="12"/>
  <c r="A100" i="12"/>
  <c r="A101" i="12"/>
  <c r="A102" i="12"/>
  <c r="A103" i="12"/>
  <c r="A104" i="12"/>
  <c r="A105" i="12"/>
  <c r="A106" i="12"/>
  <c r="A107" i="12"/>
  <c r="A108" i="12"/>
  <c r="A109" i="12"/>
  <c r="A110" i="12"/>
  <c r="A111" i="12"/>
  <c r="A112" i="12"/>
  <c r="A113" i="12"/>
  <c r="A114" i="12"/>
  <c r="A115" i="12"/>
  <c r="A116" i="12"/>
  <c r="A117" i="12"/>
  <c r="A118" i="12"/>
  <c r="A119" i="12"/>
  <c r="A120" i="12"/>
  <c r="A121" i="12"/>
  <c r="A122" i="12"/>
  <c r="A123" i="12"/>
  <c r="A124" i="12"/>
  <c r="A125" i="12"/>
  <c r="A126" i="12"/>
  <c r="A127" i="12"/>
  <c r="A128" i="12"/>
  <c r="A129" i="12"/>
  <c r="A130" i="12"/>
  <c r="A131" i="12"/>
  <c r="A132" i="12"/>
  <c r="A133" i="12"/>
  <c r="A134" i="12"/>
  <c r="A135" i="12"/>
  <c r="A136" i="12"/>
  <c r="A137" i="12"/>
  <c r="A138" i="12"/>
  <c r="A139" i="12"/>
  <c r="A140" i="12"/>
  <c r="A141" i="12"/>
  <c r="A142" i="12"/>
  <c r="A143" i="12"/>
  <c r="A144" i="12"/>
  <c r="A145" i="12"/>
  <c r="A146" i="12"/>
  <c r="A147" i="12"/>
  <c r="A148" i="12"/>
  <c r="A149" i="12"/>
  <c r="A150" i="12"/>
  <c r="A151" i="12"/>
  <c r="A152" i="12"/>
  <c r="A153" i="12"/>
  <c r="A154" i="12"/>
  <c r="A155" i="12"/>
  <c r="A156" i="12"/>
  <c r="A157" i="12"/>
  <c r="A158" i="12"/>
  <c r="A159" i="12"/>
  <c r="A160" i="12"/>
  <c r="A161" i="12"/>
  <c r="A162" i="12"/>
  <c r="A163" i="12"/>
  <c r="A164" i="12"/>
  <c r="A165" i="12"/>
  <c r="A166" i="12"/>
  <c r="A167" i="12"/>
  <c r="A168" i="12"/>
  <c r="A169" i="12"/>
  <c r="A170" i="12"/>
  <c r="A171" i="12"/>
  <c r="A172" i="12"/>
  <c r="A173" i="12"/>
  <c r="A174" i="12"/>
  <c r="A175" i="12"/>
  <c r="A176" i="12"/>
  <c r="A177" i="12"/>
  <c r="A178" i="12"/>
  <c r="A179" i="12"/>
  <c r="A180" i="12"/>
  <c r="A181" i="12"/>
  <c r="A182" i="12"/>
  <c r="A183" i="12"/>
  <c r="A184" i="12"/>
  <c r="A185" i="12"/>
  <c r="A186" i="12"/>
  <c r="A187" i="12"/>
  <c r="A188" i="12"/>
  <c r="A189" i="12"/>
  <c r="A190" i="12"/>
  <c r="A191" i="12"/>
  <c r="A2" i="12"/>
  <c r="G73" i="10"/>
  <c r="G64" i="10"/>
  <c r="G54" i="10"/>
  <c r="G65" i="10"/>
  <c r="G55" i="10"/>
  <c r="G52" i="10"/>
  <c r="G53" i="10"/>
  <c r="G23" i="10"/>
  <c r="G57" i="10"/>
  <c r="G37" i="10"/>
  <c r="G63" i="10"/>
  <c r="G14" i="10"/>
  <c r="G44" i="10"/>
  <c r="G38" i="10"/>
  <c r="G25" i="10"/>
  <c r="G36" i="10"/>
  <c r="G58" i="10"/>
  <c r="G24" i="10"/>
  <c r="G22" i="10"/>
  <c r="G46" i="10"/>
  <c r="G45" i="10"/>
  <c r="G56" i="10"/>
  <c r="G51" i="10"/>
  <c r="G20" i="10"/>
  <c r="G66" i="10"/>
  <c r="G74" i="10"/>
  <c r="G67" i="10"/>
  <c r="G15" i="10"/>
  <c r="G39" i="10"/>
  <c r="G21" i="10"/>
  <c r="K87" i="22" l="1"/>
  <c r="K86" i="22"/>
  <c r="K85" i="22"/>
  <c r="K89" i="22"/>
  <c r="K19" i="22"/>
  <c r="K17" i="22"/>
  <c r="K16" i="22"/>
  <c r="I3" i="22"/>
  <c r="H3" i="22"/>
  <c r="J4" i="22"/>
  <c r="H4" i="22"/>
  <c r="I8" i="22"/>
  <c r="J7" i="22"/>
  <c r="I7" i="22"/>
  <c r="H8" i="22"/>
  <c r="H76" i="22"/>
  <c r="J75" i="22"/>
  <c r="H79" i="22"/>
  <c r="H77" i="22"/>
  <c r="I76" i="22"/>
  <c r="I75" i="22"/>
  <c r="I74" i="22"/>
  <c r="I73" i="22"/>
  <c r="J72" i="22"/>
  <c r="J79" i="22"/>
  <c r="I78" i="22"/>
  <c r="H78" i="22"/>
  <c r="I72" i="22"/>
  <c r="J77" i="22"/>
  <c r="H74" i="22"/>
  <c r="J73" i="22"/>
  <c r="AG310" i="12"/>
  <c r="AO250" i="12"/>
  <c r="AV322" i="12"/>
  <c r="BA347" i="12"/>
  <c r="BD358" i="12"/>
  <c r="AG231" i="12"/>
  <c r="AL371" i="12"/>
  <c r="AV236" i="12"/>
  <c r="BA339" i="12"/>
  <c r="W369" i="12"/>
  <c r="AE350" i="12"/>
  <c r="AL283" i="12"/>
  <c r="AJ286" i="12"/>
  <c r="AL202" i="12"/>
  <c r="AQ391" i="12"/>
  <c r="BA203" i="12"/>
  <c r="R339" i="12"/>
  <c r="U299" i="12"/>
  <c r="AQ263" i="12"/>
  <c r="AV386" i="12"/>
  <c r="BI264" i="12"/>
  <c r="U267" i="12"/>
  <c r="AG319" i="12"/>
  <c r="AO274" i="12"/>
  <c r="AQ199" i="12"/>
  <c r="AV332" i="12"/>
  <c r="BI200" i="12"/>
  <c r="AG391" i="12"/>
  <c r="AQ253" i="12"/>
  <c r="R297" i="12"/>
  <c r="U222" i="12"/>
  <c r="W349" i="12"/>
  <c r="W261" i="12"/>
  <c r="AE262" i="12"/>
  <c r="AG383" i="12"/>
  <c r="AG295" i="12"/>
  <c r="AG214" i="12"/>
  <c r="AL347" i="12"/>
  <c r="AL266" i="12"/>
  <c r="AO226" i="12"/>
  <c r="AQ375" i="12"/>
  <c r="AQ311" i="12"/>
  <c r="AQ247" i="12"/>
  <c r="AV380" i="12"/>
  <c r="AV316" i="12"/>
  <c r="AV194" i="12"/>
  <c r="BA403" i="12"/>
  <c r="BA331" i="12"/>
  <c r="BA263" i="12"/>
  <c r="BD334" i="12"/>
  <c r="W365" i="12"/>
  <c r="AL275" i="12"/>
  <c r="R275" i="12"/>
  <c r="W347" i="12"/>
  <c r="W197" i="12"/>
  <c r="AB400" i="12"/>
  <c r="AE222" i="12"/>
  <c r="AG374" i="12"/>
  <c r="AG287" i="12"/>
  <c r="AG199" i="12"/>
  <c r="AL339" i="12"/>
  <c r="AL251" i="12"/>
  <c r="AO402" i="12"/>
  <c r="AO210" i="12"/>
  <c r="AQ365" i="12"/>
  <c r="AQ301" i="12"/>
  <c r="AQ237" i="12"/>
  <c r="AT228" i="12"/>
  <c r="AV370" i="12"/>
  <c r="AV306" i="12"/>
  <c r="BA395" i="12"/>
  <c r="BA327" i="12"/>
  <c r="BA241" i="12"/>
  <c r="BD326" i="12"/>
  <c r="R233" i="12"/>
  <c r="W341" i="12"/>
  <c r="AB320" i="12"/>
  <c r="AE206" i="12"/>
  <c r="AG359" i="12"/>
  <c r="AG278" i="12"/>
  <c r="AL330" i="12"/>
  <c r="AL243" i="12"/>
  <c r="AO378" i="12"/>
  <c r="AQ359" i="12"/>
  <c r="AQ295" i="12"/>
  <c r="AQ231" i="12"/>
  <c r="AV364" i="12"/>
  <c r="AV300" i="12"/>
  <c r="BA391" i="12"/>
  <c r="BA305" i="12"/>
  <c r="BA233" i="12"/>
  <c r="BD398" i="12"/>
  <c r="BD312" i="12"/>
  <c r="W293" i="12"/>
  <c r="AG223" i="12"/>
  <c r="AQ381" i="12"/>
  <c r="R211" i="12"/>
  <c r="U395" i="12"/>
  <c r="W329" i="12"/>
  <c r="AB232" i="12"/>
  <c r="AE198" i="12"/>
  <c r="AG351" i="12"/>
  <c r="AG263" i="12"/>
  <c r="AL403" i="12"/>
  <c r="AL315" i="12"/>
  <c r="AL234" i="12"/>
  <c r="AO338" i="12"/>
  <c r="AQ349" i="12"/>
  <c r="AQ285" i="12"/>
  <c r="AQ221" i="12"/>
  <c r="AV354" i="12"/>
  <c r="AV290" i="12"/>
  <c r="AY399" i="12"/>
  <c r="BA369" i="12"/>
  <c r="BA297" i="12"/>
  <c r="BA225" i="12"/>
  <c r="BD390" i="12"/>
  <c r="BD302" i="12"/>
  <c r="BD344" i="12"/>
  <c r="U363" i="12"/>
  <c r="W393" i="12"/>
  <c r="W325" i="12"/>
  <c r="Z267" i="12"/>
  <c r="AB200" i="12"/>
  <c r="AG342" i="12"/>
  <c r="AG255" i="12"/>
  <c r="AJ376" i="12"/>
  <c r="AL394" i="12"/>
  <c r="AL307" i="12"/>
  <c r="AL219" i="12"/>
  <c r="AO314" i="12"/>
  <c r="AQ343" i="12"/>
  <c r="AQ279" i="12"/>
  <c r="AQ215" i="12"/>
  <c r="AV348" i="12"/>
  <c r="AV268" i="12"/>
  <c r="AY239" i="12"/>
  <c r="BA361" i="12"/>
  <c r="BA289" i="12"/>
  <c r="BA219" i="12"/>
  <c r="BD376" i="12"/>
  <c r="BD294" i="12"/>
  <c r="BI392" i="12"/>
  <c r="W301" i="12"/>
  <c r="AQ317" i="12"/>
  <c r="R403" i="12"/>
  <c r="U331" i="12"/>
  <c r="W389" i="12"/>
  <c r="W305" i="12"/>
  <c r="Z245" i="12"/>
  <c r="AG327" i="12"/>
  <c r="AG246" i="12"/>
  <c r="AJ330" i="12"/>
  <c r="AL379" i="12"/>
  <c r="AL298" i="12"/>
  <c r="AL211" i="12"/>
  <c r="AO290" i="12"/>
  <c r="AQ397" i="12"/>
  <c r="AQ333" i="12"/>
  <c r="AQ269" i="12"/>
  <c r="AQ205" i="12"/>
  <c r="AV402" i="12"/>
  <c r="AV338" i="12"/>
  <c r="AV260" i="12"/>
  <c r="BA353" i="12"/>
  <c r="BA283" i="12"/>
  <c r="BA211" i="12"/>
  <c r="BD366" i="12"/>
  <c r="BD280" i="12"/>
  <c r="BI328" i="12"/>
  <c r="R401" i="12"/>
  <c r="R379" i="12"/>
  <c r="R359" i="12"/>
  <c r="R337" i="12"/>
  <c r="R315" i="12"/>
  <c r="R295" i="12"/>
  <c r="R273" i="12"/>
  <c r="R251" i="12"/>
  <c r="R231" i="12"/>
  <c r="R209" i="12"/>
  <c r="U392" i="12"/>
  <c r="U360" i="12"/>
  <c r="U328" i="12"/>
  <c r="U296" i="12"/>
  <c r="U265" i="12"/>
  <c r="U219" i="12"/>
  <c r="Z297" i="12"/>
  <c r="W297" i="12"/>
  <c r="Z289" i="12"/>
  <c r="W289" i="12"/>
  <c r="Z281" i="12"/>
  <c r="W281" i="12"/>
  <c r="Z273" i="12"/>
  <c r="W273" i="12"/>
  <c r="Z265" i="12"/>
  <c r="W265" i="12"/>
  <c r="Z257" i="12"/>
  <c r="W257" i="12"/>
  <c r="Z249" i="12"/>
  <c r="W249" i="12"/>
  <c r="Z233" i="12"/>
  <c r="W233" i="12"/>
  <c r="Z225" i="12"/>
  <c r="W225" i="12"/>
  <c r="Z217" i="12"/>
  <c r="W217" i="12"/>
  <c r="Z209" i="12"/>
  <c r="W209" i="12"/>
  <c r="Z201" i="12"/>
  <c r="W201" i="12"/>
  <c r="Z193" i="12"/>
  <c r="W193" i="12"/>
  <c r="W387" i="12"/>
  <c r="W345" i="12"/>
  <c r="W323" i="12"/>
  <c r="W299" i="12"/>
  <c r="AG347" i="12"/>
  <c r="AJ347" i="12"/>
  <c r="AG315" i="12"/>
  <c r="AJ315" i="12"/>
  <c r="AG307" i="12"/>
  <c r="AJ307" i="12"/>
  <c r="AG283" i="12"/>
  <c r="AJ283" i="12"/>
  <c r="AG251" i="12"/>
  <c r="AJ251" i="12"/>
  <c r="AG219" i="12"/>
  <c r="AJ219" i="12"/>
  <c r="BF353" i="12"/>
  <c r="W402" i="12"/>
  <c r="Z402" i="12"/>
  <c r="W386" i="12"/>
  <c r="Z386" i="12"/>
  <c r="W362" i="12"/>
  <c r="Z362" i="12"/>
  <c r="W346" i="12"/>
  <c r="Z346" i="12"/>
  <c r="W330" i="12"/>
  <c r="Z330" i="12"/>
  <c r="W274" i="12"/>
  <c r="Z274" i="12"/>
  <c r="W258" i="12"/>
  <c r="Z258" i="12"/>
  <c r="W210" i="12"/>
  <c r="Z210" i="12"/>
  <c r="W202" i="12"/>
  <c r="Z202" i="12"/>
  <c r="W194" i="12"/>
  <c r="Z194" i="12"/>
  <c r="R399" i="12"/>
  <c r="R377" i="12"/>
  <c r="R355" i="12"/>
  <c r="R335" i="12"/>
  <c r="R313" i="12"/>
  <c r="R291" i="12"/>
  <c r="R271" i="12"/>
  <c r="R249" i="12"/>
  <c r="R227" i="12"/>
  <c r="R207" i="12"/>
  <c r="U387" i="12"/>
  <c r="U323" i="12"/>
  <c r="U261" i="12"/>
  <c r="U217" i="12"/>
  <c r="W385" i="12"/>
  <c r="W363" i="12"/>
  <c r="W321" i="12"/>
  <c r="Z395" i="12"/>
  <c r="Z226" i="12"/>
  <c r="BF289" i="12"/>
  <c r="R375" i="12"/>
  <c r="R353" i="12"/>
  <c r="R311" i="12"/>
  <c r="R289" i="12"/>
  <c r="R247" i="12"/>
  <c r="R225" i="12"/>
  <c r="R203" i="12"/>
  <c r="U384" i="12"/>
  <c r="U352" i="12"/>
  <c r="U320" i="12"/>
  <c r="U288" i="12"/>
  <c r="U213" i="12"/>
  <c r="W403" i="12"/>
  <c r="W381" i="12"/>
  <c r="W361" i="12"/>
  <c r="W339" i="12"/>
  <c r="W317" i="12"/>
  <c r="W283" i="12"/>
  <c r="Z373" i="12"/>
  <c r="Z203" i="12"/>
  <c r="BF225" i="12"/>
  <c r="R255" i="12"/>
  <c r="W378" i="12"/>
  <c r="Z378" i="12"/>
  <c r="R393" i="12"/>
  <c r="R371" i="12"/>
  <c r="R351" i="12"/>
  <c r="R329" i="12"/>
  <c r="R307" i="12"/>
  <c r="R287" i="12"/>
  <c r="R243" i="12"/>
  <c r="R223" i="12"/>
  <c r="R201" i="12"/>
  <c r="U381" i="12"/>
  <c r="U349" i="12"/>
  <c r="U317" i="12"/>
  <c r="U285" i="12"/>
  <c r="W401" i="12"/>
  <c r="W379" i="12"/>
  <c r="W357" i="12"/>
  <c r="W337" i="12"/>
  <c r="W315" i="12"/>
  <c r="Z354" i="12"/>
  <c r="R391" i="12"/>
  <c r="R369" i="12"/>
  <c r="R347" i="12"/>
  <c r="R327" i="12"/>
  <c r="R305" i="12"/>
  <c r="R283" i="12"/>
  <c r="R263" i="12"/>
  <c r="R241" i="12"/>
  <c r="R199" i="12"/>
  <c r="U376" i="12"/>
  <c r="U344" i="12"/>
  <c r="U312" i="12"/>
  <c r="U280" i="12"/>
  <c r="U236" i="12"/>
  <c r="W285" i="12"/>
  <c r="Z285" i="12"/>
  <c r="Z277" i="12"/>
  <c r="W277" i="12"/>
  <c r="Z269" i="12"/>
  <c r="W269" i="12"/>
  <c r="Z253" i="12"/>
  <c r="W253" i="12"/>
  <c r="Z237" i="12"/>
  <c r="W237" i="12"/>
  <c r="Z229" i="12"/>
  <c r="W229" i="12"/>
  <c r="W221" i="12"/>
  <c r="Z221" i="12"/>
  <c r="Z213" i="12"/>
  <c r="W213" i="12"/>
  <c r="Z205" i="12"/>
  <c r="W205" i="12"/>
  <c r="W397" i="12"/>
  <c r="W377" i="12"/>
  <c r="W355" i="12"/>
  <c r="W333" i="12"/>
  <c r="W313" i="12"/>
  <c r="W241" i="12"/>
  <c r="Z331" i="12"/>
  <c r="AY398" i="12"/>
  <c r="AV398" i="12"/>
  <c r="AY390" i="12"/>
  <c r="AV390" i="12"/>
  <c r="AY382" i="12"/>
  <c r="AV382" i="12"/>
  <c r="AY374" i="12"/>
  <c r="AV374" i="12"/>
  <c r="AY366" i="12"/>
  <c r="AV366" i="12"/>
  <c r="AY358" i="12"/>
  <c r="AV358" i="12"/>
  <c r="AY350" i="12"/>
  <c r="AV350" i="12"/>
  <c r="AY342" i="12"/>
  <c r="AV342" i="12"/>
  <c r="AY334" i="12"/>
  <c r="AV334" i="12"/>
  <c r="AY326" i="12"/>
  <c r="AV326" i="12"/>
  <c r="AY318" i="12"/>
  <c r="AV318" i="12"/>
  <c r="AY310" i="12"/>
  <c r="AV310" i="12"/>
  <c r="AY302" i="12"/>
  <c r="AV302" i="12"/>
  <c r="AY294" i="12"/>
  <c r="AV294" i="12"/>
  <c r="AY286" i="12"/>
  <c r="AV286" i="12"/>
  <c r="R319" i="12"/>
  <c r="W394" i="12"/>
  <c r="Z394" i="12"/>
  <c r="W370" i="12"/>
  <c r="Z370" i="12"/>
  <c r="W338" i="12"/>
  <c r="Z338" i="12"/>
  <c r="W322" i="12"/>
  <c r="Z322" i="12"/>
  <c r="W314" i="12"/>
  <c r="Z314" i="12"/>
  <c r="W306" i="12"/>
  <c r="Z306" i="12"/>
  <c r="W298" i="12"/>
  <c r="Z298" i="12"/>
  <c r="W282" i="12"/>
  <c r="Z282" i="12"/>
  <c r="W266" i="12"/>
  <c r="Z266" i="12"/>
  <c r="W250" i="12"/>
  <c r="Z250" i="12"/>
  <c r="W242" i="12"/>
  <c r="Z242" i="12"/>
  <c r="W234" i="12"/>
  <c r="Z234" i="12"/>
  <c r="W218" i="12"/>
  <c r="Z218" i="12"/>
  <c r="R367" i="12"/>
  <c r="R345" i="12"/>
  <c r="R303" i="12"/>
  <c r="R281" i="12"/>
  <c r="R259" i="12"/>
  <c r="R239" i="12"/>
  <c r="R195" i="12"/>
  <c r="U373" i="12"/>
  <c r="U341" i="12"/>
  <c r="U309" i="12"/>
  <c r="U277" i="12"/>
  <c r="U235" i="12"/>
  <c r="W353" i="12"/>
  <c r="W309" i="12"/>
  <c r="W219" i="12"/>
  <c r="AJ243" i="12"/>
  <c r="R383" i="12"/>
  <c r="R385" i="12"/>
  <c r="R343" i="12"/>
  <c r="R321" i="12"/>
  <c r="R279" i="12"/>
  <c r="R257" i="12"/>
  <c r="R215" i="12"/>
  <c r="R193" i="12"/>
  <c r="U197" i="12"/>
  <c r="W307" i="12"/>
  <c r="Z307" i="12"/>
  <c r="Z291" i="12"/>
  <c r="W291" i="12"/>
  <c r="Z275" i="12"/>
  <c r="W275" i="12"/>
  <c r="Z259" i="12"/>
  <c r="W259" i="12"/>
  <c r="Z251" i="12"/>
  <c r="W251" i="12"/>
  <c r="W243" i="12"/>
  <c r="Z243" i="12"/>
  <c r="Z235" i="12"/>
  <c r="W235" i="12"/>
  <c r="Z227" i="12"/>
  <c r="W227" i="12"/>
  <c r="Z211" i="12"/>
  <c r="W211" i="12"/>
  <c r="Z195" i="12"/>
  <c r="W195" i="12"/>
  <c r="W371" i="12"/>
  <c r="Z290" i="12"/>
  <c r="AQ388" i="12"/>
  <c r="AT388" i="12"/>
  <c r="AQ324" i="12"/>
  <c r="AT324" i="12"/>
  <c r="AQ316" i="12"/>
  <c r="AT316" i="12"/>
  <c r="AQ276" i="12"/>
  <c r="AT276" i="12"/>
  <c r="AQ260" i="12"/>
  <c r="AT260" i="12"/>
  <c r="AQ252" i="12"/>
  <c r="AT252" i="12"/>
  <c r="AQ236" i="12"/>
  <c r="AT236" i="12"/>
  <c r="AQ212" i="12"/>
  <c r="AT212" i="12"/>
  <c r="AQ204" i="12"/>
  <c r="AT204" i="12"/>
  <c r="AQ196" i="12"/>
  <c r="AT196" i="12"/>
  <c r="BI401" i="12"/>
  <c r="BF401" i="12"/>
  <c r="BI393" i="12"/>
  <c r="BF393" i="12"/>
  <c r="BI385" i="12"/>
  <c r="BF385" i="12"/>
  <c r="BI377" i="12"/>
  <c r="BF377" i="12"/>
  <c r="BI369" i="12"/>
  <c r="BF369" i="12"/>
  <c r="BI361" i="12"/>
  <c r="BF361" i="12"/>
  <c r="BI345" i="12"/>
  <c r="BF345" i="12"/>
  <c r="BI337" i="12"/>
  <c r="BF337" i="12"/>
  <c r="BI329" i="12"/>
  <c r="BF329" i="12"/>
  <c r="BI321" i="12"/>
  <c r="BF321" i="12"/>
  <c r="BI313" i="12"/>
  <c r="BF313" i="12"/>
  <c r="BI305" i="12"/>
  <c r="BF305" i="12"/>
  <c r="BI297" i="12"/>
  <c r="BF297" i="12"/>
  <c r="BI281" i="12"/>
  <c r="BF281" i="12"/>
  <c r="BI273" i="12"/>
  <c r="BF273" i="12"/>
  <c r="BI265" i="12"/>
  <c r="BF265" i="12"/>
  <c r="BI257" i="12"/>
  <c r="BF257" i="12"/>
  <c r="BI249" i="12"/>
  <c r="BF249" i="12"/>
  <c r="BI241" i="12"/>
  <c r="BF241" i="12"/>
  <c r="BI233" i="12"/>
  <c r="BF233" i="12"/>
  <c r="BI217" i="12"/>
  <c r="BF217" i="12"/>
  <c r="BI209" i="12"/>
  <c r="BF209" i="12"/>
  <c r="BI201" i="12"/>
  <c r="BF201" i="12"/>
  <c r="BI193" i="12"/>
  <c r="BF193" i="12"/>
  <c r="AB392" i="12"/>
  <c r="AB304" i="12"/>
  <c r="AB224" i="12"/>
  <c r="AE318" i="12"/>
  <c r="AG382" i="12"/>
  <c r="AG350" i="12"/>
  <c r="AG318" i="12"/>
  <c r="AG254" i="12"/>
  <c r="AG222" i="12"/>
  <c r="AJ373" i="12"/>
  <c r="AJ230" i="12"/>
  <c r="AL370" i="12"/>
  <c r="AL306" i="12"/>
  <c r="AL242" i="12"/>
  <c r="AO200" i="12"/>
  <c r="AQ395" i="12"/>
  <c r="AQ379" i="12"/>
  <c r="AQ363" i="12"/>
  <c r="AQ347" i="12"/>
  <c r="AQ331" i="12"/>
  <c r="AQ315" i="12"/>
  <c r="AQ299" i="12"/>
  <c r="AQ283" i="12"/>
  <c r="AQ267" i="12"/>
  <c r="AQ251" i="12"/>
  <c r="AQ235" i="12"/>
  <c r="AQ219" i="12"/>
  <c r="AQ203" i="12"/>
  <c r="AV400" i="12"/>
  <c r="AV384" i="12"/>
  <c r="AV368" i="12"/>
  <c r="AV352" i="12"/>
  <c r="AV336" i="12"/>
  <c r="AV320" i="12"/>
  <c r="AV304" i="12"/>
  <c r="AV288" i="12"/>
  <c r="AV258" i="12"/>
  <c r="AV226" i="12"/>
  <c r="BA387" i="12"/>
  <c r="BA367" i="12"/>
  <c r="BA345" i="12"/>
  <c r="BA323" i="12"/>
  <c r="BA303" i="12"/>
  <c r="BA281" i="12"/>
  <c r="BA259" i="12"/>
  <c r="BA239" i="12"/>
  <c r="BA217" i="12"/>
  <c r="BA195" i="12"/>
  <c r="BD384" i="12"/>
  <c r="BD352" i="12"/>
  <c r="BD320" i="12"/>
  <c r="BD288" i="12"/>
  <c r="BI384" i="12"/>
  <c r="BI320" i="12"/>
  <c r="BI256" i="12"/>
  <c r="BI192" i="12"/>
  <c r="AB384" i="12"/>
  <c r="AB296" i="12"/>
  <c r="AB208" i="12"/>
  <c r="AE286" i="12"/>
  <c r="AG375" i="12"/>
  <c r="AG343" i="12"/>
  <c r="AG311" i="12"/>
  <c r="AG279" i="12"/>
  <c r="AG247" i="12"/>
  <c r="AG215" i="12"/>
  <c r="AJ400" i="12"/>
  <c r="AJ368" i="12"/>
  <c r="AL395" i="12"/>
  <c r="AL363" i="12"/>
  <c r="AL331" i="12"/>
  <c r="AL299" i="12"/>
  <c r="AL267" i="12"/>
  <c r="AL235" i="12"/>
  <c r="AL203" i="12"/>
  <c r="AO386" i="12"/>
  <c r="AO322" i="12"/>
  <c r="AO258" i="12"/>
  <c r="AQ393" i="12"/>
  <c r="AQ377" i="12"/>
  <c r="AQ361" i="12"/>
  <c r="AQ345" i="12"/>
  <c r="AQ329" i="12"/>
  <c r="AQ313" i="12"/>
  <c r="AQ297" i="12"/>
  <c r="AQ281" i="12"/>
  <c r="AQ265" i="12"/>
  <c r="AQ249" i="12"/>
  <c r="AQ233" i="12"/>
  <c r="AQ217" i="12"/>
  <c r="AQ201" i="12"/>
  <c r="AV252" i="12"/>
  <c r="AV220" i="12"/>
  <c r="BA385" i="12"/>
  <c r="BA363" i="12"/>
  <c r="BA343" i="12"/>
  <c r="BA321" i="12"/>
  <c r="BA299" i="12"/>
  <c r="BA279" i="12"/>
  <c r="BA257" i="12"/>
  <c r="BA235" i="12"/>
  <c r="BA215" i="12"/>
  <c r="BA193" i="12"/>
  <c r="BD382" i="12"/>
  <c r="BD350" i="12"/>
  <c r="BD318" i="12"/>
  <c r="BD286" i="12"/>
  <c r="BI376" i="12"/>
  <c r="BI312" i="12"/>
  <c r="BI248" i="12"/>
  <c r="AB368" i="12"/>
  <c r="AB288" i="12"/>
  <c r="AJ397" i="12"/>
  <c r="AJ365" i="12"/>
  <c r="AV283" i="12"/>
  <c r="AV248" i="12"/>
  <c r="AV216" i="12"/>
  <c r="BA383" i="12"/>
  <c r="BA319" i="12"/>
  <c r="BA255" i="12"/>
  <c r="BI368" i="12"/>
  <c r="BI304" i="12"/>
  <c r="BI240" i="12"/>
  <c r="AB360" i="12"/>
  <c r="AB272" i="12"/>
  <c r="AB192" i="12"/>
  <c r="AE254" i="12"/>
  <c r="AG399" i="12"/>
  <c r="AG367" i="12"/>
  <c r="AG335" i="12"/>
  <c r="AG303" i="12"/>
  <c r="AG271" i="12"/>
  <c r="AG239" i="12"/>
  <c r="AG207" i="12"/>
  <c r="AJ392" i="12"/>
  <c r="AJ360" i="12"/>
  <c r="AJ198" i="12"/>
  <c r="AL387" i="12"/>
  <c r="AL355" i="12"/>
  <c r="AL323" i="12"/>
  <c r="AL291" i="12"/>
  <c r="AL259" i="12"/>
  <c r="AL227" i="12"/>
  <c r="AL195" i="12"/>
  <c r="AQ389" i="12"/>
  <c r="AQ373" i="12"/>
  <c r="AQ357" i="12"/>
  <c r="AQ341" i="12"/>
  <c r="AQ325" i="12"/>
  <c r="AQ309" i="12"/>
  <c r="AQ293" i="12"/>
  <c r="AQ277" i="12"/>
  <c r="AQ261" i="12"/>
  <c r="AQ245" i="12"/>
  <c r="AQ229" i="12"/>
  <c r="AQ213" i="12"/>
  <c r="AQ197" i="12"/>
  <c r="AV394" i="12"/>
  <c r="AV378" i="12"/>
  <c r="AV362" i="12"/>
  <c r="AV346" i="12"/>
  <c r="AV330" i="12"/>
  <c r="AV314" i="12"/>
  <c r="AV298" i="12"/>
  <c r="AV280" i="12"/>
  <c r="AV242" i="12"/>
  <c r="AV208" i="12"/>
  <c r="AY377" i="12"/>
  <c r="BA401" i="12"/>
  <c r="BA379" i="12"/>
  <c r="BA359" i="12"/>
  <c r="BA337" i="12"/>
  <c r="BA315" i="12"/>
  <c r="BA295" i="12"/>
  <c r="BA273" i="12"/>
  <c r="BA251" i="12"/>
  <c r="BA231" i="12"/>
  <c r="BA209" i="12"/>
  <c r="BD374" i="12"/>
  <c r="BD342" i="12"/>
  <c r="BD310" i="12"/>
  <c r="BD278" i="12"/>
  <c r="BI360" i="12"/>
  <c r="BI296" i="12"/>
  <c r="BI232" i="12"/>
  <c r="AB352" i="12"/>
  <c r="AB264" i="12"/>
  <c r="AE230" i="12"/>
  <c r="AG398" i="12"/>
  <c r="AG366" i="12"/>
  <c r="AG334" i="12"/>
  <c r="AG302" i="12"/>
  <c r="AG270" i="12"/>
  <c r="AG238" i="12"/>
  <c r="AG206" i="12"/>
  <c r="AJ389" i="12"/>
  <c r="AJ357" i="12"/>
  <c r="AJ266" i="12"/>
  <c r="AL354" i="12"/>
  <c r="AL194" i="12"/>
  <c r="AQ403" i="12"/>
  <c r="AQ387" i="12"/>
  <c r="AQ371" i="12"/>
  <c r="AQ355" i="12"/>
  <c r="AQ339" i="12"/>
  <c r="AQ323" i="12"/>
  <c r="AQ307" i="12"/>
  <c r="AQ291" i="12"/>
  <c r="AQ275" i="12"/>
  <c r="AQ259" i="12"/>
  <c r="AQ243" i="12"/>
  <c r="AQ227" i="12"/>
  <c r="AQ211" i="12"/>
  <c r="AQ195" i="12"/>
  <c r="AV392" i="12"/>
  <c r="AV376" i="12"/>
  <c r="AV360" i="12"/>
  <c r="AV344" i="12"/>
  <c r="AV328" i="12"/>
  <c r="AV312" i="12"/>
  <c r="AV296" i="12"/>
  <c r="AV272" i="12"/>
  <c r="AV240" i="12"/>
  <c r="AV204" i="12"/>
  <c r="AY355" i="12"/>
  <c r="BA399" i="12"/>
  <c r="BA377" i="12"/>
  <c r="BA355" i="12"/>
  <c r="BA335" i="12"/>
  <c r="BA313" i="12"/>
  <c r="BA291" i="12"/>
  <c r="BA271" i="12"/>
  <c r="BA249" i="12"/>
  <c r="BA227" i="12"/>
  <c r="BA207" i="12"/>
  <c r="BD400" i="12"/>
  <c r="BD368" i="12"/>
  <c r="BD336" i="12"/>
  <c r="BD304" i="12"/>
  <c r="BI352" i="12"/>
  <c r="BI288" i="12"/>
  <c r="BI224" i="12"/>
  <c r="AB336" i="12"/>
  <c r="AB256" i="12"/>
  <c r="AJ384" i="12"/>
  <c r="AJ352" i="12"/>
  <c r="AQ401" i="12"/>
  <c r="AQ385" i="12"/>
  <c r="AQ369" i="12"/>
  <c r="AQ353" i="12"/>
  <c r="AQ337" i="12"/>
  <c r="AQ321" i="12"/>
  <c r="AQ305" i="12"/>
  <c r="AQ289" i="12"/>
  <c r="AQ273" i="12"/>
  <c r="AQ257" i="12"/>
  <c r="AQ241" i="12"/>
  <c r="AQ225" i="12"/>
  <c r="AQ209" i="12"/>
  <c r="AQ193" i="12"/>
  <c r="AV200" i="12"/>
  <c r="BA375" i="12"/>
  <c r="BA311" i="12"/>
  <c r="BA247" i="12"/>
  <c r="BI344" i="12"/>
  <c r="BI280" i="12"/>
  <c r="BI216" i="12"/>
  <c r="AB328" i="12"/>
  <c r="AB240" i="12"/>
  <c r="AE382" i="12"/>
  <c r="AG390" i="12"/>
  <c r="AG358" i="12"/>
  <c r="AG326" i="12"/>
  <c r="AG294" i="12"/>
  <c r="AJ381" i="12"/>
  <c r="AL346" i="12"/>
  <c r="AL282" i="12"/>
  <c r="AL218" i="12"/>
  <c r="AQ399" i="12"/>
  <c r="AQ383" i="12"/>
  <c r="AQ367" i="12"/>
  <c r="AQ351" i="12"/>
  <c r="AQ335" i="12"/>
  <c r="AQ319" i="12"/>
  <c r="AQ303" i="12"/>
  <c r="AQ287" i="12"/>
  <c r="AQ271" i="12"/>
  <c r="AQ255" i="12"/>
  <c r="AQ239" i="12"/>
  <c r="AQ223" i="12"/>
  <c r="AQ207" i="12"/>
  <c r="AV404" i="12"/>
  <c r="AV388" i="12"/>
  <c r="AV372" i="12"/>
  <c r="AV356" i="12"/>
  <c r="AV340" i="12"/>
  <c r="AV324" i="12"/>
  <c r="AV308" i="12"/>
  <c r="AV292" i="12"/>
  <c r="AV264" i="12"/>
  <c r="AV232" i="12"/>
  <c r="AV196" i="12"/>
  <c r="AY207" i="12"/>
  <c r="BA393" i="12"/>
  <c r="BA371" i="12"/>
  <c r="BA351" i="12"/>
  <c r="BA329" i="12"/>
  <c r="BA307" i="12"/>
  <c r="BA287" i="12"/>
  <c r="BA265" i="12"/>
  <c r="BA243" i="12"/>
  <c r="BA223" i="12"/>
  <c r="BA201" i="12"/>
  <c r="BD392" i="12"/>
  <c r="BD360" i="12"/>
  <c r="BD328" i="12"/>
  <c r="BD296" i="12"/>
  <c r="BI400" i="12"/>
  <c r="BI336" i="12"/>
  <c r="BI272" i="12"/>
  <c r="BI208" i="12"/>
  <c r="R400" i="12"/>
  <c r="R368" i="12"/>
  <c r="R336" i="12"/>
  <c r="R304" i="12"/>
  <c r="R272" i="12"/>
  <c r="R264" i="12"/>
  <c r="R256" i="12"/>
  <c r="R248" i="12"/>
  <c r="R240" i="12"/>
  <c r="R232" i="12"/>
  <c r="R224" i="12"/>
  <c r="R216" i="12"/>
  <c r="R208" i="12"/>
  <c r="R200" i="12"/>
  <c r="R192" i="12"/>
  <c r="U404" i="12"/>
  <c r="U382" i="12"/>
  <c r="U372" i="12"/>
  <c r="U350" i="12"/>
  <c r="U340" i="12"/>
  <c r="U318" i="12"/>
  <c r="U308" i="12"/>
  <c r="U286" i="12"/>
  <c r="U276" i="12"/>
  <c r="U262" i="12"/>
  <c r="U237" i="12"/>
  <c r="U212" i="12"/>
  <c r="U198" i="12"/>
  <c r="W399" i="12"/>
  <c r="Z399" i="12"/>
  <c r="W391" i="12"/>
  <c r="Z391" i="12"/>
  <c r="W383" i="12"/>
  <c r="Z383" i="12"/>
  <c r="W375" i="12"/>
  <c r="Z375" i="12"/>
  <c r="W367" i="12"/>
  <c r="Z367" i="12"/>
  <c r="W359" i="12"/>
  <c r="Z359" i="12"/>
  <c r="W351" i="12"/>
  <c r="Z351" i="12"/>
  <c r="W343" i="12"/>
  <c r="Z343" i="12"/>
  <c r="W335" i="12"/>
  <c r="Z335" i="12"/>
  <c r="W327" i="12"/>
  <c r="Z327" i="12"/>
  <c r="W319" i="12"/>
  <c r="Z319" i="12"/>
  <c r="W311" i="12"/>
  <c r="Z311" i="12"/>
  <c r="W303" i="12"/>
  <c r="Z303" i="12"/>
  <c r="W295" i="12"/>
  <c r="Z295" i="12"/>
  <c r="W287" i="12"/>
  <c r="Z287" i="12"/>
  <c r="W279" i="12"/>
  <c r="Z279" i="12"/>
  <c r="W271" i="12"/>
  <c r="Z271" i="12"/>
  <c r="W263" i="12"/>
  <c r="Z263" i="12"/>
  <c r="W255" i="12"/>
  <c r="Z255" i="12"/>
  <c r="W247" i="12"/>
  <c r="Z247" i="12"/>
  <c r="W239" i="12"/>
  <c r="Z239" i="12"/>
  <c r="Z392" i="12"/>
  <c r="Z376" i="12"/>
  <c r="Z360" i="12"/>
  <c r="Z344" i="12"/>
  <c r="Z328" i="12"/>
  <c r="Z312" i="12"/>
  <c r="Z296" i="12"/>
  <c r="Z280" i="12"/>
  <c r="Z264" i="12"/>
  <c r="Z248" i="12"/>
  <c r="Z232" i="12"/>
  <c r="Z216" i="12"/>
  <c r="Z200" i="12"/>
  <c r="R398" i="12"/>
  <c r="R390" i="12"/>
  <c r="R374" i="12"/>
  <c r="R366" i="12"/>
  <c r="R358" i="12"/>
  <c r="R342" i="12"/>
  <c r="R334" i="12"/>
  <c r="R326" i="12"/>
  <c r="R310" i="12"/>
  <c r="R302" i="12"/>
  <c r="R294" i="12"/>
  <c r="R278" i="12"/>
  <c r="R270" i="12"/>
  <c r="R254" i="12"/>
  <c r="R246" i="12"/>
  <c r="R238" i="12"/>
  <c r="R230" i="12"/>
  <c r="R214" i="12"/>
  <c r="R206" i="12"/>
  <c r="U380" i="12"/>
  <c r="U348" i="12"/>
  <c r="U316" i="12"/>
  <c r="U284" i="12"/>
  <c r="U260" i="12"/>
  <c r="U221" i="12"/>
  <c r="U196" i="12"/>
  <c r="AG401" i="12"/>
  <c r="AJ401" i="12"/>
  <c r="AG393" i="12"/>
  <c r="AJ393" i="12"/>
  <c r="AG385" i="12"/>
  <c r="AJ385" i="12"/>
  <c r="AG377" i="12"/>
  <c r="AJ377" i="12"/>
  <c r="W198" i="12"/>
  <c r="Z198" i="12"/>
  <c r="R397" i="12"/>
  <c r="R389" i="12"/>
  <c r="R365" i="12"/>
  <c r="R357" i="12"/>
  <c r="R333" i="12"/>
  <c r="R325" i="12"/>
  <c r="R301" i="12"/>
  <c r="R293" i="12"/>
  <c r="R269" i="12"/>
  <c r="R253" i="12"/>
  <c r="R245" i="12"/>
  <c r="R229" i="12"/>
  <c r="R205" i="12"/>
  <c r="U220" i="12"/>
  <c r="W404" i="12"/>
  <c r="Z404" i="12"/>
  <c r="W396" i="12"/>
  <c r="Z396" i="12"/>
  <c r="W388" i="12"/>
  <c r="Z388" i="12"/>
  <c r="W380" i="12"/>
  <c r="Z380" i="12"/>
  <c r="W372" i="12"/>
  <c r="Z372" i="12"/>
  <c r="W364" i="12"/>
  <c r="Z364" i="12"/>
  <c r="W356" i="12"/>
  <c r="Z356" i="12"/>
  <c r="W348" i="12"/>
  <c r="Z348" i="12"/>
  <c r="W340" i="12"/>
  <c r="Z340" i="12"/>
  <c r="W332" i="12"/>
  <c r="Z332" i="12"/>
  <c r="W324" i="12"/>
  <c r="Z324" i="12"/>
  <c r="W316" i="12"/>
  <c r="Z316" i="12"/>
  <c r="W308" i="12"/>
  <c r="Z308" i="12"/>
  <c r="W300" i="12"/>
  <c r="Z300" i="12"/>
  <c r="W292" i="12"/>
  <c r="Z292" i="12"/>
  <c r="W284" i="12"/>
  <c r="Z284" i="12"/>
  <c r="W276" i="12"/>
  <c r="Z276" i="12"/>
  <c r="W268" i="12"/>
  <c r="Z268" i="12"/>
  <c r="W260" i="12"/>
  <c r="Z260" i="12"/>
  <c r="W252" i="12"/>
  <c r="Z252" i="12"/>
  <c r="W244" i="12"/>
  <c r="Z244" i="12"/>
  <c r="W236" i="12"/>
  <c r="Z236" i="12"/>
  <c r="W228" i="12"/>
  <c r="Z228" i="12"/>
  <c r="W220" i="12"/>
  <c r="Z220" i="12"/>
  <c r="W212" i="12"/>
  <c r="Z212" i="12"/>
  <c r="W204" i="12"/>
  <c r="Z204" i="12"/>
  <c r="W196" i="12"/>
  <c r="Z196" i="12"/>
  <c r="R396" i="12"/>
  <c r="R388" i="12"/>
  <c r="R364" i="12"/>
  <c r="R356" i="12"/>
  <c r="R332" i="12"/>
  <c r="R324" i="12"/>
  <c r="R300" i="12"/>
  <c r="R292" i="12"/>
  <c r="R268" i="12"/>
  <c r="R252" i="12"/>
  <c r="R244" i="12"/>
  <c r="R228" i="12"/>
  <c r="R204" i="12"/>
  <c r="Z400" i="12"/>
  <c r="Z384" i="12"/>
  <c r="Z368" i="12"/>
  <c r="Z352" i="12"/>
  <c r="Z336" i="12"/>
  <c r="Z320" i="12"/>
  <c r="Z304" i="12"/>
  <c r="Z288" i="12"/>
  <c r="Z272" i="12"/>
  <c r="Z256" i="12"/>
  <c r="Z240" i="12"/>
  <c r="Z224" i="12"/>
  <c r="Z208" i="12"/>
  <c r="Z192" i="12"/>
  <c r="AB403" i="12"/>
  <c r="AE403" i="12"/>
  <c r="AB395" i="12"/>
  <c r="AE395" i="12"/>
  <c r="AB387" i="12"/>
  <c r="AE387" i="12"/>
  <c r="AB379" i="12"/>
  <c r="AE379" i="12"/>
  <c r="AB371" i="12"/>
  <c r="AE371" i="12"/>
  <c r="AB363" i="12"/>
  <c r="AE363" i="12"/>
  <c r="AB355" i="12"/>
  <c r="AE355" i="12"/>
  <c r="AB347" i="12"/>
  <c r="AE347" i="12"/>
  <c r="AB339" i="12"/>
  <c r="AE339" i="12"/>
  <c r="AB331" i="12"/>
  <c r="AE331" i="12"/>
  <c r="AB323" i="12"/>
  <c r="AE323" i="12"/>
  <c r="AB315" i="12"/>
  <c r="AE315" i="12"/>
  <c r="AB307" i="12"/>
  <c r="AE307" i="12"/>
  <c r="AB299" i="12"/>
  <c r="AE299" i="12"/>
  <c r="AB291" i="12"/>
  <c r="AE291" i="12"/>
  <c r="AB283" i="12"/>
  <c r="AE283" i="12"/>
  <c r="AB275" i="12"/>
  <c r="AE275" i="12"/>
  <c r="AB267" i="12"/>
  <c r="AE267" i="12"/>
  <c r="AB259" i="12"/>
  <c r="AE259" i="12"/>
  <c r="AB251" i="12"/>
  <c r="AE251" i="12"/>
  <c r="AB243" i="12"/>
  <c r="AE243" i="12"/>
  <c r="AB235" i="12"/>
  <c r="AE235" i="12"/>
  <c r="AB227" i="12"/>
  <c r="AE227" i="12"/>
  <c r="AB219" i="12"/>
  <c r="AE219" i="12"/>
  <c r="AB211" i="12"/>
  <c r="AE211" i="12"/>
  <c r="AB203" i="12"/>
  <c r="AE203" i="12"/>
  <c r="AB195" i="12"/>
  <c r="AE195" i="12"/>
  <c r="W398" i="12"/>
  <c r="Z398" i="12"/>
  <c r="W382" i="12"/>
  <c r="Z382" i="12"/>
  <c r="W366" i="12"/>
  <c r="Z366" i="12"/>
  <c r="W350" i="12"/>
  <c r="Z350" i="12"/>
  <c r="W334" i="12"/>
  <c r="Z334" i="12"/>
  <c r="W318" i="12"/>
  <c r="Z318" i="12"/>
  <c r="W302" i="12"/>
  <c r="Z302" i="12"/>
  <c r="W286" i="12"/>
  <c r="Z286" i="12"/>
  <c r="W270" i="12"/>
  <c r="Z270" i="12"/>
  <c r="W254" i="12"/>
  <c r="Z254" i="12"/>
  <c r="W238" i="12"/>
  <c r="Z238" i="12"/>
  <c r="W222" i="12"/>
  <c r="Z222" i="12"/>
  <c r="W206" i="12"/>
  <c r="Z206" i="12"/>
  <c r="AL390" i="12"/>
  <c r="AO390" i="12"/>
  <c r="AL374" i="12"/>
  <c r="AO374" i="12"/>
  <c r="AL358" i="12"/>
  <c r="AO358" i="12"/>
  <c r="AL342" i="12"/>
  <c r="AO342" i="12"/>
  <c r="AL326" i="12"/>
  <c r="AO326" i="12"/>
  <c r="AL310" i="12"/>
  <c r="AO310" i="12"/>
  <c r="AL294" i="12"/>
  <c r="AO294" i="12"/>
  <c r="AL278" i="12"/>
  <c r="AO278" i="12"/>
  <c r="AL262" i="12"/>
  <c r="AO262" i="12"/>
  <c r="AL246" i="12"/>
  <c r="AO246" i="12"/>
  <c r="AL230" i="12"/>
  <c r="AO230" i="12"/>
  <c r="AL222" i="12"/>
  <c r="AO222" i="12"/>
  <c r="AO198" i="12"/>
  <c r="AL198" i="12"/>
  <c r="R402" i="12"/>
  <c r="R394" i="12"/>
  <c r="R386" i="12"/>
  <c r="R378" i="12"/>
  <c r="R370" i="12"/>
  <c r="R362" i="12"/>
  <c r="R354" i="12"/>
  <c r="R346" i="12"/>
  <c r="R338" i="12"/>
  <c r="R330" i="12"/>
  <c r="R322" i="12"/>
  <c r="R314" i="12"/>
  <c r="R306" i="12"/>
  <c r="R298" i="12"/>
  <c r="R290" i="12"/>
  <c r="R282" i="12"/>
  <c r="R274" i="12"/>
  <c r="R266" i="12"/>
  <c r="R258" i="12"/>
  <c r="R250" i="12"/>
  <c r="R242" i="12"/>
  <c r="R234" i="12"/>
  <c r="R226" i="12"/>
  <c r="R218" i="12"/>
  <c r="R210" i="12"/>
  <c r="R202" i="12"/>
  <c r="R194" i="12"/>
  <c r="W390" i="12"/>
  <c r="Z390" i="12"/>
  <c r="W374" i="12"/>
  <c r="Z374" i="12"/>
  <c r="W358" i="12"/>
  <c r="Z358" i="12"/>
  <c r="W342" i="12"/>
  <c r="Z342" i="12"/>
  <c r="W326" i="12"/>
  <c r="Z326" i="12"/>
  <c r="W310" i="12"/>
  <c r="Z310" i="12"/>
  <c r="W294" i="12"/>
  <c r="Z294" i="12"/>
  <c r="W278" i="12"/>
  <c r="Z278" i="12"/>
  <c r="W262" i="12"/>
  <c r="Z262" i="12"/>
  <c r="W246" i="12"/>
  <c r="Z246" i="12"/>
  <c r="W230" i="12"/>
  <c r="Z230" i="12"/>
  <c r="W214" i="12"/>
  <c r="Z214" i="12"/>
  <c r="AL398" i="12"/>
  <c r="AO398" i="12"/>
  <c r="AL382" i="12"/>
  <c r="AO382" i="12"/>
  <c r="AL366" i="12"/>
  <c r="AO366" i="12"/>
  <c r="AL350" i="12"/>
  <c r="AO350" i="12"/>
  <c r="AL334" i="12"/>
  <c r="AO334" i="12"/>
  <c r="AL318" i="12"/>
  <c r="AO318" i="12"/>
  <c r="AL302" i="12"/>
  <c r="AO302" i="12"/>
  <c r="AL286" i="12"/>
  <c r="AO286" i="12"/>
  <c r="AL270" i="12"/>
  <c r="AO270" i="12"/>
  <c r="AL254" i="12"/>
  <c r="AO254" i="12"/>
  <c r="AL238" i="12"/>
  <c r="AO238" i="12"/>
  <c r="AL214" i="12"/>
  <c r="AO214" i="12"/>
  <c r="AO206" i="12"/>
  <c r="AL206" i="12"/>
  <c r="AB404" i="12"/>
  <c r="AE404" i="12"/>
  <c r="AB396" i="12"/>
  <c r="AE396" i="12"/>
  <c r="AB388" i="12"/>
  <c r="AE388" i="12"/>
  <c r="AB380" i="12"/>
  <c r="AE380" i="12"/>
  <c r="AB372" i="12"/>
  <c r="AE372" i="12"/>
  <c r="AB364" i="12"/>
  <c r="AE364" i="12"/>
  <c r="AB356" i="12"/>
  <c r="AE356" i="12"/>
  <c r="AB348" i="12"/>
  <c r="AE348" i="12"/>
  <c r="AB340" i="12"/>
  <c r="AE340" i="12"/>
  <c r="AB332" i="12"/>
  <c r="AE332" i="12"/>
  <c r="AB324" i="12"/>
  <c r="AE324" i="12"/>
  <c r="AB316" i="12"/>
  <c r="AE316" i="12"/>
  <c r="AB308" i="12"/>
  <c r="AE308" i="12"/>
  <c r="AB300" i="12"/>
  <c r="AE300" i="12"/>
  <c r="AB292" i="12"/>
  <c r="AE292" i="12"/>
  <c r="AB284" i="12"/>
  <c r="AE284" i="12"/>
  <c r="AB276" i="12"/>
  <c r="AE276" i="12"/>
  <c r="AB268" i="12"/>
  <c r="AE268" i="12"/>
  <c r="AB260" i="12"/>
  <c r="AE260" i="12"/>
  <c r="AB252" i="12"/>
  <c r="AE252" i="12"/>
  <c r="AB244" i="12"/>
  <c r="AE244" i="12"/>
  <c r="AB236" i="12"/>
  <c r="AE236" i="12"/>
  <c r="AB228" i="12"/>
  <c r="AE228" i="12"/>
  <c r="AB220" i="12"/>
  <c r="AE220" i="12"/>
  <c r="AB212" i="12"/>
  <c r="AE212" i="12"/>
  <c r="AB204" i="12"/>
  <c r="AE204" i="12"/>
  <c r="AB196" i="12"/>
  <c r="AE196" i="12"/>
  <c r="AB391" i="12"/>
  <c r="AB359" i="12"/>
  <c r="AB327" i="12"/>
  <c r="AB295" i="12"/>
  <c r="AB263" i="12"/>
  <c r="AB231" i="12"/>
  <c r="AB199" i="12"/>
  <c r="AE383" i="12"/>
  <c r="AE351" i="12"/>
  <c r="AE319" i="12"/>
  <c r="AE287" i="12"/>
  <c r="AE255" i="12"/>
  <c r="AE223" i="12"/>
  <c r="AG402" i="12"/>
  <c r="AJ402" i="12"/>
  <c r="AG394" i="12"/>
  <c r="AJ394" i="12"/>
  <c r="AG386" i="12"/>
  <c r="AJ386" i="12"/>
  <c r="AG378" i="12"/>
  <c r="AJ378" i="12"/>
  <c r="AG370" i="12"/>
  <c r="AJ370" i="12"/>
  <c r="AG362" i="12"/>
  <c r="AJ362" i="12"/>
  <c r="AG354" i="12"/>
  <c r="AJ354" i="12"/>
  <c r="AG346" i="12"/>
  <c r="AJ346" i="12"/>
  <c r="AJ338" i="12"/>
  <c r="AG338" i="12"/>
  <c r="AG322" i="12"/>
  <c r="AJ322" i="12"/>
  <c r="AJ314" i="12"/>
  <c r="AG314" i="12"/>
  <c r="AG306" i="12"/>
  <c r="AJ306" i="12"/>
  <c r="AG298" i="12"/>
  <c r="AJ298" i="12"/>
  <c r="AG290" i="12"/>
  <c r="AJ290" i="12"/>
  <c r="AG282" i="12"/>
  <c r="AJ282" i="12"/>
  <c r="AJ274" i="12"/>
  <c r="AG274" i="12"/>
  <c r="AG258" i="12"/>
  <c r="AJ258" i="12"/>
  <c r="AJ250" i="12"/>
  <c r="AG250" i="12"/>
  <c r="AG242" i="12"/>
  <c r="AJ242" i="12"/>
  <c r="AG234" i="12"/>
  <c r="AJ234" i="12"/>
  <c r="AG226" i="12"/>
  <c r="AJ226" i="12"/>
  <c r="AG218" i="12"/>
  <c r="AJ218" i="12"/>
  <c r="AJ210" i="12"/>
  <c r="AG210" i="12"/>
  <c r="AG194" i="12"/>
  <c r="AJ194" i="12"/>
  <c r="Z231" i="12"/>
  <c r="Z223" i="12"/>
  <c r="Z215" i="12"/>
  <c r="Z207" i="12"/>
  <c r="Z199" i="12"/>
  <c r="AB402" i="12"/>
  <c r="AE402" i="12"/>
  <c r="AB394" i="12"/>
  <c r="AE394" i="12"/>
  <c r="AB386" i="12"/>
  <c r="AE386" i="12"/>
  <c r="AB378" i="12"/>
  <c r="AE378" i="12"/>
  <c r="AB370" i="12"/>
  <c r="AE370" i="12"/>
  <c r="AB362" i="12"/>
  <c r="AE362" i="12"/>
  <c r="AB354" i="12"/>
  <c r="AE354" i="12"/>
  <c r="AB346" i="12"/>
  <c r="AE346" i="12"/>
  <c r="AB338" i="12"/>
  <c r="AE338" i="12"/>
  <c r="AB330" i="12"/>
  <c r="AE330" i="12"/>
  <c r="AB322" i="12"/>
  <c r="AE322" i="12"/>
  <c r="AB314" i="12"/>
  <c r="AE314" i="12"/>
  <c r="AB306" i="12"/>
  <c r="AE306" i="12"/>
  <c r="AB298" i="12"/>
  <c r="AE298" i="12"/>
  <c r="AB290" i="12"/>
  <c r="AE290" i="12"/>
  <c r="AB282" i="12"/>
  <c r="AE282" i="12"/>
  <c r="AB274" i="12"/>
  <c r="AE274" i="12"/>
  <c r="AB266" i="12"/>
  <c r="AE266" i="12"/>
  <c r="AB258" i="12"/>
  <c r="AE258" i="12"/>
  <c r="AB250" i="12"/>
  <c r="AE250" i="12"/>
  <c r="AB242" i="12"/>
  <c r="AE242" i="12"/>
  <c r="AB234" i="12"/>
  <c r="AE234" i="12"/>
  <c r="AB226" i="12"/>
  <c r="AE226" i="12"/>
  <c r="AB218" i="12"/>
  <c r="AE218" i="12"/>
  <c r="AB210" i="12"/>
  <c r="AE210" i="12"/>
  <c r="AB202" i="12"/>
  <c r="AE202" i="12"/>
  <c r="AB194" i="12"/>
  <c r="AE194" i="12"/>
  <c r="AE375" i="12"/>
  <c r="AE343" i="12"/>
  <c r="AE311" i="12"/>
  <c r="AE279" i="12"/>
  <c r="AE247" i="12"/>
  <c r="AE215" i="12"/>
  <c r="AE401" i="12"/>
  <c r="AB401" i="12"/>
  <c r="AE393" i="12"/>
  <c r="AB393" i="12"/>
  <c r="AE385" i="12"/>
  <c r="AB385" i="12"/>
  <c r="AE377" i="12"/>
  <c r="AB377" i="12"/>
  <c r="AE369" i="12"/>
  <c r="AB369" i="12"/>
  <c r="AE361" i="12"/>
  <c r="AB361" i="12"/>
  <c r="AE353" i="12"/>
  <c r="AB353" i="12"/>
  <c r="AE345" i="12"/>
  <c r="AB345" i="12"/>
  <c r="AE337" i="12"/>
  <c r="AB337" i="12"/>
  <c r="AE329" i="12"/>
  <c r="AB329" i="12"/>
  <c r="AE321" i="12"/>
  <c r="AB321" i="12"/>
  <c r="AE313" i="12"/>
  <c r="AB313" i="12"/>
  <c r="AE305" i="12"/>
  <c r="AB305" i="12"/>
  <c r="AE297" i="12"/>
  <c r="AB297" i="12"/>
  <c r="AE289" i="12"/>
  <c r="AB289" i="12"/>
  <c r="AE281" i="12"/>
  <c r="AB281" i="12"/>
  <c r="AE273" i="12"/>
  <c r="AB273" i="12"/>
  <c r="AE265" i="12"/>
  <c r="AB265" i="12"/>
  <c r="AE257" i="12"/>
  <c r="AB257" i="12"/>
  <c r="AE249" i="12"/>
  <c r="AB249" i="12"/>
  <c r="AE241" i="12"/>
  <c r="AB241" i="12"/>
  <c r="AE233" i="12"/>
  <c r="AB233" i="12"/>
  <c r="AE225" i="12"/>
  <c r="AB225" i="12"/>
  <c r="AE217" i="12"/>
  <c r="AB217" i="12"/>
  <c r="AE209" i="12"/>
  <c r="AB209" i="12"/>
  <c r="AE201" i="12"/>
  <c r="AB201" i="12"/>
  <c r="AB376" i="12"/>
  <c r="AB344" i="12"/>
  <c r="AB312" i="12"/>
  <c r="AB280" i="12"/>
  <c r="AB248" i="12"/>
  <c r="AB216" i="12"/>
  <c r="AE374" i="12"/>
  <c r="AE342" i="12"/>
  <c r="AE310" i="12"/>
  <c r="AE278" i="12"/>
  <c r="AE246" i="12"/>
  <c r="AE214" i="12"/>
  <c r="AJ202" i="12"/>
  <c r="AE399" i="12"/>
  <c r="AE367" i="12"/>
  <c r="AE335" i="12"/>
  <c r="AE303" i="12"/>
  <c r="AE271" i="12"/>
  <c r="AE239" i="12"/>
  <c r="AE207" i="12"/>
  <c r="AE398" i="12"/>
  <c r="AE366" i="12"/>
  <c r="AE334" i="12"/>
  <c r="AE302" i="12"/>
  <c r="AE270" i="12"/>
  <c r="AE238" i="12"/>
  <c r="AB397" i="12"/>
  <c r="AE397" i="12"/>
  <c r="AB389" i="12"/>
  <c r="AE389" i="12"/>
  <c r="AB381" i="12"/>
  <c r="AE381" i="12"/>
  <c r="AB373" i="12"/>
  <c r="AE373" i="12"/>
  <c r="AB365" i="12"/>
  <c r="AE365" i="12"/>
  <c r="AB357" i="12"/>
  <c r="AE357" i="12"/>
  <c r="AB349" i="12"/>
  <c r="AE349" i="12"/>
  <c r="AB341" i="12"/>
  <c r="AE341" i="12"/>
  <c r="AB333" i="12"/>
  <c r="AE333" i="12"/>
  <c r="AB325" i="12"/>
  <c r="AE325" i="12"/>
  <c r="AB317" i="12"/>
  <c r="AE317" i="12"/>
  <c r="AB309" i="12"/>
  <c r="AE309" i="12"/>
  <c r="AB301" i="12"/>
  <c r="AE301" i="12"/>
  <c r="AB293" i="12"/>
  <c r="AE293" i="12"/>
  <c r="AB285" i="12"/>
  <c r="AE285" i="12"/>
  <c r="AB277" i="12"/>
  <c r="AE277" i="12"/>
  <c r="AB269" i="12"/>
  <c r="AE269" i="12"/>
  <c r="AB261" i="12"/>
  <c r="AE261" i="12"/>
  <c r="AB253" i="12"/>
  <c r="AE253" i="12"/>
  <c r="AB245" i="12"/>
  <c r="AE245" i="12"/>
  <c r="AB237" i="12"/>
  <c r="AE237" i="12"/>
  <c r="AB229" i="12"/>
  <c r="AE229" i="12"/>
  <c r="AB221" i="12"/>
  <c r="AE221" i="12"/>
  <c r="AB213" i="12"/>
  <c r="AE213" i="12"/>
  <c r="AB205" i="12"/>
  <c r="AE205" i="12"/>
  <c r="AE390" i="12"/>
  <c r="AE358" i="12"/>
  <c r="AE326" i="12"/>
  <c r="AE294" i="12"/>
  <c r="AB193" i="12"/>
  <c r="AG344" i="12"/>
  <c r="AG336" i="12"/>
  <c r="AG328" i="12"/>
  <c r="AG320" i="12"/>
  <c r="AG312" i="12"/>
  <c r="AG304" i="12"/>
  <c r="AG296" i="12"/>
  <c r="AG288" i="12"/>
  <c r="AG280" i="12"/>
  <c r="AG272" i="12"/>
  <c r="AG264" i="12"/>
  <c r="AG256" i="12"/>
  <c r="AG248" i="12"/>
  <c r="AG240" i="12"/>
  <c r="AG232" i="12"/>
  <c r="AG224" i="12"/>
  <c r="AG216" i="12"/>
  <c r="AG208" i="12"/>
  <c r="AG200" i="12"/>
  <c r="AG192" i="12"/>
  <c r="AJ349" i="12"/>
  <c r="AJ331" i="12"/>
  <c r="AJ267" i="12"/>
  <c r="AJ203" i="12"/>
  <c r="AJ396" i="12"/>
  <c r="AJ388" i="12"/>
  <c r="AJ380" i="12"/>
  <c r="AJ372" i="12"/>
  <c r="AJ364" i="12"/>
  <c r="AJ356" i="12"/>
  <c r="AE197" i="12"/>
  <c r="AG341" i="12"/>
  <c r="AG333" i="12"/>
  <c r="AG325" i="12"/>
  <c r="AG317" i="12"/>
  <c r="AG309" i="12"/>
  <c r="AG301" i="12"/>
  <c r="AG293" i="12"/>
  <c r="AG285" i="12"/>
  <c r="AG277" i="12"/>
  <c r="AG269" i="12"/>
  <c r="AG261" i="12"/>
  <c r="AG253" i="12"/>
  <c r="AG245" i="12"/>
  <c r="AG237" i="12"/>
  <c r="AG229" i="12"/>
  <c r="AG221" i="12"/>
  <c r="AG213" i="12"/>
  <c r="AG205" i="12"/>
  <c r="AG197" i="12"/>
  <c r="AJ403" i="12"/>
  <c r="AJ395" i="12"/>
  <c r="AJ387" i="12"/>
  <c r="AJ379" i="12"/>
  <c r="AJ371" i="12"/>
  <c r="AJ363" i="12"/>
  <c r="AJ355" i="12"/>
  <c r="AJ323" i="12"/>
  <c r="AJ259" i="12"/>
  <c r="AJ195" i="12"/>
  <c r="AG404" i="12"/>
  <c r="AG348" i="12"/>
  <c r="AG340" i="12"/>
  <c r="AG332" i="12"/>
  <c r="AG324" i="12"/>
  <c r="AG316" i="12"/>
  <c r="AG308" i="12"/>
  <c r="AG300" i="12"/>
  <c r="AG292" i="12"/>
  <c r="AG284" i="12"/>
  <c r="AG276" i="12"/>
  <c r="AG268" i="12"/>
  <c r="AG260" i="12"/>
  <c r="AG252" i="12"/>
  <c r="AG244" i="12"/>
  <c r="AG236" i="12"/>
  <c r="AG228" i="12"/>
  <c r="AG220" i="12"/>
  <c r="AG212" i="12"/>
  <c r="AG204" i="12"/>
  <c r="AG196" i="12"/>
  <c r="AJ299" i="12"/>
  <c r="AJ235" i="12"/>
  <c r="AG339" i="12"/>
  <c r="AG291" i="12"/>
  <c r="AG275" i="12"/>
  <c r="AG227" i="12"/>
  <c r="AG211" i="12"/>
  <c r="AJ369" i="12"/>
  <c r="AJ361" i="12"/>
  <c r="AJ353" i="12"/>
  <c r="AG345" i="12"/>
  <c r="AG337" i="12"/>
  <c r="AG329" i="12"/>
  <c r="AG321" i="12"/>
  <c r="AG313" i="12"/>
  <c r="AG305" i="12"/>
  <c r="AG297" i="12"/>
  <c r="AG289" i="12"/>
  <c r="AG281" i="12"/>
  <c r="AG273" i="12"/>
  <c r="AG265" i="12"/>
  <c r="AG257" i="12"/>
  <c r="AG249" i="12"/>
  <c r="AG241" i="12"/>
  <c r="AG233" i="12"/>
  <c r="AG225" i="12"/>
  <c r="AG217" i="12"/>
  <c r="AG209" i="12"/>
  <c r="AG201" i="12"/>
  <c r="AG193" i="12"/>
  <c r="AO401" i="12"/>
  <c r="AO393" i="12"/>
  <c r="AO385" i="12"/>
  <c r="AO377" i="12"/>
  <c r="AO369" i="12"/>
  <c r="AO361" i="12"/>
  <c r="AO353" i="12"/>
  <c r="AO345" i="12"/>
  <c r="AO337" i="12"/>
  <c r="AO329" i="12"/>
  <c r="AO321" i="12"/>
  <c r="AO313" i="12"/>
  <c r="AO305" i="12"/>
  <c r="AO297" i="12"/>
  <c r="AO289" i="12"/>
  <c r="AO281" i="12"/>
  <c r="AO273" i="12"/>
  <c r="AO265" i="12"/>
  <c r="AO257" i="12"/>
  <c r="AO249" i="12"/>
  <c r="AO241" i="12"/>
  <c r="AO233" i="12"/>
  <c r="AO225" i="12"/>
  <c r="AO217" i="12"/>
  <c r="AO209" i="12"/>
  <c r="AO199" i="12"/>
  <c r="AQ400" i="12"/>
  <c r="AT400" i="12"/>
  <c r="AQ392" i="12"/>
  <c r="AT392" i="12"/>
  <c r="AQ384" i="12"/>
  <c r="AT384" i="12"/>
  <c r="AQ376" i="12"/>
  <c r="AT376" i="12"/>
  <c r="AQ368" i="12"/>
  <c r="AT368" i="12"/>
  <c r="AQ360" i="12"/>
  <c r="AT360" i="12"/>
  <c r="AQ352" i="12"/>
  <c r="AT352" i="12"/>
  <c r="AQ344" i="12"/>
  <c r="AT344" i="12"/>
  <c r="AQ336" i="12"/>
  <c r="AT336" i="12"/>
  <c r="AQ328" i="12"/>
  <c r="AT328" i="12"/>
  <c r="AQ320" i="12"/>
  <c r="AT320" i="12"/>
  <c r="AQ312" i="12"/>
  <c r="AT312" i="12"/>
  <c r="AQ304" i="12"/>
  <c r="AT304" i="12"/>
  <c r="AQ296" i="12"/>
  <c r="AT296" i="12"/>
  <c r="AQ288" i="12"/>
  <c r="AT288" i="12"/>
  <c r="AQ280" i="12"/>
  <c r="AT280" i="12"/>
  <c r="AQ272" i="12"/>
  <c r="AT272" i="12"/>
  <c r="AQ264" i="12"/>
  <c r="AT264" i="12"/>
  <c r="AQ256" i="12"/>
  <c r="AT256" i="12"/>
  <c r="AQ248" i="12"/>
  <c r="AT248" i="12"/>
  <c r="AQ240" i="12"/>
  <c r="AT240" i="12"/>
  <c r="AQ232" i="12"/>
  <c r="AT232" i="12"/>
  <c r="AQ224" i="12"/>
  <c r="AT224" i="12"/>
  <c r="AQ216" i="12"/>
  <c r="AT216" i="12"/>
  <c r="AQ208" i="12"/>
  <c r="AT208" i="12"/>
  <c r="AQ200" i="12"/>
  <c r="AT200" i="12"/>
  <c r="AQ192" i="12"/>
  <c r="AT192" i="12"/>
  <c r="AT380" i="12"/>
  <c r="AL201" i="12"/>
  <c r="AL193" i="12"/>
  <c r="AO400" i="12"/>
  <c r="AO392" i="12"/>
  <c r="AO384" i="12"/>
  <c r="AO376" i="12"/>
  <c r="AO368" i="12"/>
  <c r="AO360" i="12"/>
  <c r="AO352" i="12"/>
  <c r="AO344" i="12"/>
  <c r="AO336" i="12"/>
  <c r="AO328" i="12"/>
  <c r="AO320" i="12"/>
  <c r="AO312" i="12"/>
  <c r="AO304" i="12"/>
  <c r="AO296" i="12"/>
  <c r="AO288" i="12"/>
  <c r="AO280" i="12"/>
  <c r="AO272" i="12"/>
  <c r="AO264" i="12"/>
  <c r="AO256" i="12"/>
  <c r="AO248" i="12"/>
  <c r="AO240" i="12"/>
  <c r="AO232" i="12"/>
  <c r="AO224" i="12"/>
  <c r="AO216" i="12"/>
  <c r="AO208" i="12"/>
  <c r="AO197" i="12"/>
  <c r="AT372" i="12"/>
  <c r="AT308" i="12"/>
  <c r="AT244" i="12"/>
  <c r="AL192" i="12"/>
  <c r="AO399" i="12"/>
  <c r="AO391" i="12"/>
  <c r="AO383" i="12"/>
  <c r="AO375" i="12"/>
  <c r="AO367" i="12"/>
  <c r="AO359" i="12"/>
  <c r="AO351" i="12"/>
  <c r="AO343" i="12"/>
  <c r="AO335" i="12"/>
  <c r="AO327" i="12"/>
  <c r="AO319" i="12"/>
  <c r="AO311" i="12"/>
  <c r="AO303" i="12"/>
  <c r="AO295" i="12"/>
  <c r="AO287" i="12"/>
  <c r="AO279" i="12"/>
  <c r="AO271" i="12"/>
  <c r="AO263" i="12"/>
  <c r="AO255" i="12"/>
  <c r="AO247" i="12"/>
  <c r="AO239" i="12"/>
  <c r="AO231" i="12"/>
  <c r="AO223" i="12"/>
  <c r="AO215" i="12"/>
  <c r="AO207" i="12"/>
  <c r="AO196" i="12"/>
  <c r="AT398" i="12"/>
  <c r="AQ398" i="12"/>
  <c r="AT390" i="12"/>
  <c r="AQ390" i="12"/>
  <c r="AT382" i="12"/>
  <c r="AQ382" i="12"/>
  <c r="AT374" i="12"/>
  <c r="AQ374" i="12"/>
  <c r="AT366" i="12"/>
  <c r="AQ366" i="12"/>
  <c r="AT358" i="12"/>
  <c r="AQ358" i="12"/>
  <c r="AT350" i="12"/>
  <c r="AQ350" i="12"/>
  <c r="AT342" i="12"/>
  <c r="AQ342" i="12"/>
  <c r="AT334" i="12"/>
  <c r="AQ334" i="12"/>
  <c r="AT326" i="12"/>
  <c r="AQ326" i="12"/>
  <c r="AT318" i="12"/>
  <c r="AQ318" i="12"/>
  <c r="AT310" i="12"/>
  <c r="AQ310" i="12"/>
  <c r="AT302" i="12"/>
  <c r="AQ302" i="12"/>
  <c r="AT294" i="12"/>
  <c r="AQ294" i="12"/>
  <c r="AT286" i="12"/>
  <c r="AQ286" i="12"/>
  <c r="AT278" i="12"/>
  <c r="AQ278" i="12"/>
  <c r="AT270" i="12"/>
  <c r="AQ270" i="12"/>
  <c r="AT262" i="12"/>
  <c r="AQ262" i="12"/>
  <c r="AT254" i="12"/>
  <c r="AQ254" i="12"/>
  <c r="AT246" i="12"/>
  <c r="AQ246" i="12"/>
  <c r="AT238" i="12"/>
  <c r="AQ238" i="12"/>
  <c r="AT230" i="12"/>
  <c r="AQ230" i="12"/>
  <c r="AT222" i="12"/>
  <c r="AQ222" i="12"/>
  <c r="AT214" i="12"/>
  <c r="AQ214" i="12"/>
  <c r="AT206" i="12"/>
  <c r="AQ206" i="12"/>
  <c r="AT198" i="12"/>
  <c r="AQ198" i="12"/>
  <c r="AT364" i="12"/>
  <c r="AT300" i="12"/>
  <c r="AY335" i="12"/>
  <c r="AO205" i="12"/>
  <c r="AT356" i="12"/>
  <c r="AT292" i="12"/>
  <c r="AV391" i="12"/>
  <c r="AY391" i="12"/>
  <c r="AY383" i="12"/>
  <c r="AV383" i="12"/>
  <c r="AV375" i="12"/>
  <c r="AY375" i="12"/>
  <c r="AV367" i="12"/>
  <c r="AY367" i="12"/>
  <c r="AV359" i="12"/>
  <c r="AY359" i="12"/>
  <c r="AV351" i="12"/>
  <c r="AY351" i="12"/>
  <c r="AY343" i="12"/>
  <c r="AV343" i="12"/>
  <c r="AV327" i="12"/>
  <c r="AY327" i="12"/>
  <c r="AV319" i="12"/>
  <c r="AY319" i="12"/>
  <c r="AY311" i="12"/>
  <c r="AV311" i="12"/>
  <c r="AV295" i="12"/>
  <c r="AY295" i="12"/>
  <c r="AV287" i="12"/>
  <c r="AY287" i="12"/>
  <c r="AV279" i="12"/>
  <c r="AY279" i="12"/>
  <c r="AV263" i="12"/>
  <c r="AY263" i="12"/>
  <c r="AV255" i="12"/>
  <c r="AY255" i="12"/>
  <c r="AV247" i="12"/>
  <c r="AY247" i="12"/>
  <c r="AV231" i="12"/>
  <c r="AY231" i="12"/>
  <c r="AV223" i="12"/>
  <c r="AY223" i="12"/>
  <c r="AV215" i="12"/>
  <c r="AY215" i="12"/>
  <c r="AV199" i="12"/>
  <c r="AY199" i="12"/>
  <c r="AY303" i="12"/>
  <c r="AO397" i="12"/>
  <c r="AO389" i="12"/>
  <c r="AO381" i="12"/>
  <c r="AO373" i="12"/>
  <c r="AO365" i="12"/>
  <c r="AO357" i="12"/>
  <c r="AO349" i="12"/>
  <c r="AO341" i="12"/>
  <c r="AO333" i="12"/>
  <c r="AO325" i="12"/>
  <c r="AO317" i="12"/>
  <c r="AO309" i="12"/>
  <c r="AO301" i="12"/>
  <c r="AO293" i="12"/>
  <c r="AO285" i="12"/>
  <c r="AO277" i="12"/>
  <c r="AO269" i="12"/>
  <c r="AO261" i="12"/>
  <c r="AO253" i="12"/>
  <c r="AO245" i="12"/>
  <c r="AO237" i="12"/>
  <c r="AO229" i="12"/>
  <c r="AO221" i="12"/>
  <c r="AO213" i="12"/>
  <c r="AO204" i="12"/>
  <c r="AT348" i="12"/>
  <c r="AT284" i="12"/>
  <c r="AT220" i="12"/>
  <c r="AY271" i="12"/>
  <c r="AO404" i="12"/>
  <c r="AO396" i="12"/>
  <c r="AO388" i="12"/>
  <c r="AO380" i="12"/>
  <c r="AO372" i="12"/>
  <c r="AO364" i="12"/>
  <c r="AO356" i="12"/>
  <c r="AO348" i="12"/>
  <c r="AO340" i="12"/>
  <c r="AO332" i="12"/>
  <c r="AO324" i="12"/>
  <c r="AO316" i="12"/>
  <c r="AO308" i="12"/>
  <c r="AO300" i="12"/>
  <c r="AO292" i="12"/>
  <c r="AO284" i="12"/>
  <c r="AO276" i="12"/>
  <c r="AO268" i="12"/>
  <c r="AO260" i="12"/>
  <c r="AO252" i="12"/>
  <c r="AO244" i="12"/>
  <c r="AO236" i="12"/>
  <c r="AO228" i="12"/>
  <c r="AO220" i="12"/>
  <c r="AO212" i="12"/>
  <c r="AT404" i="12"/>
  <c r="AT340" i="12"/>
  <c r="AQ402" i="12"/>
  <c r="AT402" i="12"/>
  <c r="AQ394" i="12"/>
  <c r="AT394" i="12"/>
  <c r="AQ386" i="12"/>
  <c r="AT386" i="12"/>
  <c r="AQ378" i="12"/>
  <c r="AT378" i="12"/>
  <c r="AQ370" i="12"/>
  <c r="AT370" i="12"/>
  <c r="AQ362" i="12"/>
  <c r="AT362" i="12"/>
  <c r="AQ354" i="12"/>
  <c r="AT354" i="12"/>
  <c r="AQ346" i="12"/>
  <c r="AT346" i="12"/>
  <c r="AQ338" i="12"/>
  <c r="AT338" i="12"/>
  <c r="AQ330" i="12"/>
  <c r="AT330" i="12"/>
  <c r="AQ322" i="12"/>
  <c r="AT322" i="12"/>
  <c r="AQ314" i="12"/>
  <c r="AT314" i="12"/>
  <c r="AQ306" i="12"/>
  <c r="AT306" i="12"/>
  <c r="AQ298" i="12"/>
  <c r="AT298" i="12"/>
  <c r="AQ290" i="12"/>
  <c r="AT290" i="12"/>
  <c r="AQ282" i="12"/>
  <c r="AT282" i="12"/>
  <c r="AQ274" i="12"/>
  <c r="AT274" i="12"/>
  <c r="AQ266" i="12"/>
  <c r="AT266" i="12"/>
  <c r="AQ258" i="12"/>
  <c r="AT258" i="12"/>
  <c r="AQ250" i="12"/>
  <c r="AT250" i="12"/>
  <c r="AQ242" i="12"/>
  <c r="AT242" i="12"/>
  <c r="AQ234" i="12"/>
  <c r="AT234" i="12"/>
  <c r="AQ226" i="12"/>
  <c r="AT226" i="12"/>
  <c r="AQ218" i="12"/>
  <c r="AT218" i="12"/>
  <c r="AQ210" i="12"/>
  <c r="AT210" i="12"/>
  <c r="AQ202" i="12"/>
  <c r="AT202" i="12"/>
  <c r="AQ194" i="12"/>
  <c r="AT194" i="12"/>
  <c r="AT396" i="12"/>
  <c r="AT332" i="12"/>
  <c r="AT268" i="12"/>
  <c r="AV397" i="12"/>
  <c r="AV389" i="12"/>
  <c r="AV381" i="12"/>
  <c r="AV373" i="12"/>
  <c r="AV365" i="12"/>
  <c r="AV357" i="12"/>
  <c r="AV349" i="12"/>
  <c r="AV341" i="12"/>
  <c r="AV333" i="12"/>
  <c r="AV325" i="12"/>
  <c r="AV317" i="12"/>
  <c r="AV309" i="12"/>
  <c r="AV301" i="12"/>
  <c r="AV293" i="12"/>
  <c r="AV284" i="12"/>
  <c r="AV266" i="12"/>
  <c r="AV244" i="12"/>
  <c r="AV224" i="12"/>
  <c r="AV202" i="12"/>
  <c r="AY401" i="12"/>
  <c r="AY379" i="12"/>
  <c r="AY337" i="12"/>
  <c r="AY305" i="12"/>
  <c r="AY273" i="12"/>
  <c r="AY241" i="12"/>
  <c r="AY209" i="12"/>
  <c r="AV278" i="12"/>
  <c r="AY278" i="12"/>
  <c r="AV270" i="12"/>
  <c r="AY270" i="12"/>
  <c r="AV262" i="12"/>
  <c r="AY262" i="12"/>
  <c r="AV254" i="12"/>
  <c r="AY254" i="12"/>
  <c r="AV246" i="12"/>
  <c r="AY246" i="12"/>
  <c r="AV238" i="12"/>
  <c r="AY238" i="12"/>
  <c r="AV230" i="12"/>
  <c r="AY230" i="12"/>
  <c r="AV222" i="12"/>
  <c r="AY222" i="12"/>
  <c r="AV214" i="12"/>
  <c r="AY214" i="12"/>
  <c r="AV206" i="12"/>
  <c r="AY206" i="12"/>
  <c r="AV198" i="12"/>
  <c r="AY198" i="12"/>
  <c r="AV403" i="12"/>
  <c r="AV395" i="12"/>
  <c r="AV387" i="12"/>
  <c r="AV371" i="12"/>
  <c r="AV363" i="12"/>
  <c r="AV347" i="12"/>
  <c r="AV339" i="12"/>
  <c r="AV331" i="12"/>
  <c r="AV323" i="12"/>
  <c r="AV315" i="12"/>
  <c r="AV307" i="12"/>
  <c r="AV299" i="12"/>
  <c r="AV291" i="12"/>
  <c r="AV282" i="12"/>
  <c r="AV218" i="12"/>
  <c r="AY353" i="12"/>
  <c r="AY329" i="12"/>
  <c r="AY297" i="12"/>
  <c r="AY265" i="12"/>
  <c r="AY233" i="12"/>
  <c r="AY201" i="12"/>
  <c r="AV285" i="12"/>
  <c r="AY285" i="12"/>
  <c r="AV277" i="12"/>
  <c r="AY277" i="12"/>
  <c r="AV269" i="12"/>
  <c r="AY269" i="12"/>
  <c r="AV261" i="12"/>
  <c r="AY261" i="12"/>
  <c r="AV253" i="12"/>
  <c r="AY253" i="12"/>
  <c r="AV245" i="12"/>
  <c r="AY245" i="12"/>
  <c r="AV237" i="12"/>
  <c r="AY237" i="12"/>
  <c r="AV229" i="12"/>
  <c r="AY229" i="12"/>
  <c r="AV221" i="12"/>
  <c r="AY221" i="12"/>
  <c r="AV213" i="12"/>
  <c r="AY213" i="12"/>
  <c r="AV205" i="12"/>
  <c r="AY205" i="12"/>
  <c r="AV197" i="12"/>
  <c r="AY197" i="12"/>
  <c r="AY393" i="12"/>
  <c r="AV385" i="12"/>
  <c r="AV369" i="12"/>
  <c r="AV361" i="12"/>
  <c r="AV345" i="12"/>
  <c r="AV321" i="12"/>
  <c r="AV313" i="12"/>
  <c r="AV289" i="12"/>
  <c r="AV276" i="12"/>
  <c r="AV256" i="12"/>
  <c r="AV234" i="12"/>
  <c r="AV212" i="12"/>
  <c r="AV192" i="12"/>
  <c r="AY257" i="12"/>
  <c r="AY225" i="12"/>
  <c r="AY193" i="12"/>
  <c r="AV275" i="12"/>
  <c r="AY275" i="12"/>
  <c r="AV267" i="12"/>
  <c r="AY267" i="12"/>
  <c r="AV259" i="12"/>
  <c r="AY259" i="12"/>
  <c r="AV251" i="12"/>
  <c r="AY251" i="12"/>
  <c r="AV243" i="12"/>
  <c r="AY243" i="12"/>
  <c r="AV235" i="12"/>
  <c r="AY235" i="12"/>
  <c r="AV227" i="12"/>
  <c r="AY227" i="12"/>
  <c r="AV219" i="12"/>
  <c r="AY219" i="12"/>
  <c r="AV211" i="12"/>
  <c r="AY211" i="12"/>
  <c r="AV203" i="12"/>
  <c r="AY203" i="12"/>
  <c r="AV195" i="12"/>
  <c r="AY195" i="12"/>
  <c r="AV274" i="12"/>
  <c r="AV210" i="12"/>
  <c r="BA402" i="12"/>
  <c r="BD402" i="12"/>
  <c r="BA394" i="12"/>
  <c r="BD394" i="12"/>
  <c r="BA386" i="12"/>
  <c r="BD386" i="12"/>
  <c r="BA378" i="12"/>
  <c r="BD378" i="12"/>
  <c r="BA370" i="12"/>
  <c r="BD370" i="12"/>
  <c r="BA362" i="12"/>
  <c r="BD362" i="12"/>
  <c r="BA354" i="12"/>
  <c r="BD354" i="12"/>
  <c r="BA346" i="12"/>
  <c r="BD346" i="12"/>
  <c r="BA338" i="12"/>
  <c r="BD338" i="12"/>
  <c r="BA330" i="12"/>
  <c r="BD330" i="12"/>
  <c r="BA322" i="12"/>
  <c r="BD322" i="12"/>
  <c r="BA314" i="12"/>
  <c r="BD314" i="12"/>
  <c r="BA306" i="12"/>
  <c r="BD306" i="12"/>
  <c r="BA298" i="12"/>
  <c r="BD298" i="12"/>
  <c r="BA290" i="12"/>
  <c r="BD290" i="12"/>
  <c r="BA282" i="12"/>
  <c r="BD282" i="12"/>
  <c r="BD274" i="12"/>
  <c r="BA274" i="12"/>
  <c r="BD266" i="12"/>
  <c r="BA266" i="12"/>
  <c r="BD258" i="12"/>
  <c r="BA258" i="12"/>
  <c r="BD250" i="12"/>
  <c r="BA250" i="12"/>
  <c r="BD242" i="12"/>
  <c r="BA242" i="12"/>
  <c r="BD234" i="12"/>
  <c r="BA234" i="12"/>
  <c r="BD226" i="12"/>
  <c r="BA226" i="12"/>
  <c r="BD218" i="12"/>
  <c r="BA218" i="12"/>
  <c r="BD210" i="12"/>
  <c r="BA210" i="12"/>
  <c r="BD202" i="12"/>
  <c r="BA202" i="12"/>
  <c r="BD194" i="12"/>
  <c r="BA194" i="12"/>
  <c r="AV250" i="12"/>
  <c r="AY281" i="12"/>
  <c r="AY249" i="12"/>
  <c r="AY217" i="12"/>
  <c r="BA270" i="12"/>
  <c r="BA262" i="12"/>
  <c r="BA254" i="12"/>
  <c r="BA246" i="12"/>
  <c r="BA238" i="12"/>
  <c r="BA230" i="12"/>
  <c r="BA222" i="12"/>
  <c r="BA214" i="12"/>
  <c r="BA206" i="12"/>
  <c r="BA198" i="12"/>
  <c r="BD397" i="12"/>
  <c r="BD389" i="12"/>
  <c r="BD381" i="12"/>
  <c r="BD373" i="12"/>
  <c r="BD365" i="12"/>
  <c r="BD357" i="12"/>
  <c r="BD349" i="12"/>
  <c r="BD341" i="12"/>
  <c r="BD333" i="12"/>
  <c r="BD325" i="12"/>
  <c r="BD317" i="12"/>
  <c r="BD309" i="12"/>
  <c r="BD301" i="12"/>
  <c r="BD293" i="12"/>
  <c r="BD285" i="12"/>
  <c r="BD277" i="12"/>
  <c r="BA269" i="12"/>
  <c r="BA261" i="12"/>
  <c r="BA253" i="12"/>
  <c r="BA245" i="12"/>
  <c r="BA237" i="12"/>
  <c r="BA229" i="12"/>
  <c r="BA221" i="12"/>
  <c r="BA213" i="12"/>
  <c r="BA205" i="12"/>
  <c r="BA197" i="12"/>
  <c r="BD404" i="12"/>
  <c r="BD396" i="12"/>
  <c r="BD388" i="12"/>
  <c r="BD380" i="12"/>
  <c r="BD372" i="12"/>
  <c r="BD364" i="12"/>
  <c r="BD356" i="12"/>
  <c r="BD348" i="12"/>
  <c r="BD340" i="12"/>
  <c r="BD332" i="12"/>
  <c r="BD324" i="12"/>
  <c r="BD316" i="12"/>
  <c r="BD308" i="12"/>
  <c r="BD300" i="12"/>
  <c r="BD292" i="12"/>
  <c r="BD284" i="12"/>
  <c r="BD276" i="12"/>
  <c r="BA268" i="12"/>
  <c r="BA260" i="12"/>
  <c r="BA252" i="12"/>
  <c r="BA244" i="12"/>
  <c r="BA236" i="12"/>
  <c r="BA228" i="12"/>
  <c r="BA220" i="12"/>
  <c r="BA212" i="12"/>
  <c r="BA204" i="12"/>
  <c r="BA196" i="12"/>
  <c r="BI404" i="12"/>
  <c r="BF404" i="12"/>
  <c r="BI396" i="12"/>
  <c r="BF396" i="12"/>
  <c r="BI388" i="12"/>
  <c r="BF388" i="12"/>
  <c r="BI380" i="12"/>
  <c r="BF380" i="12"/>
  <c r="BI372" i="12"/>
  <c r="BF372" i="12"/>
  <c r="BI364" i="12"/>
  <c r="BF364" i="12"/>
  <c r="BI356" i="12"/>
  <c r="BF356" i="12"/>
  <c r="BI348" i="12"/>
  <c r="BF348" i="12"/>
  <c r="BI340" i="12"/>
  <c r="BF340" i="12"/>
  <c r="BI332" i="12"/>
  <c r="BF332" i="12"/>
  <c r="BI324" i="12"/>
  <c r="BF324" i="12"/>
  <c r="BI316" i="12"/>
  <c r="BF316" i="12"/>
  <c r="BI308" i="12"/>
  <c r="BF308" i="12"/>
  <c r="BI300" i="12"/>
  <c r="BF300" i="12"/>
  <c r="BI292" i="12"/>
  <c r="BF292" i="12"/>
  <c r="BI284" i="12"/>
  <c r="BF284" i="12"/>
  <c r="BI276" i="12"/>
  <c r="BF276" i="12"/>
  <c r="BI268" i="12"/>
  <c r="BF268" i="12"/>
  <c r="BI260" i="12"/>
  <c r="BF260" i="12"/>
  <c r="BI252" i="12"/>
  <c r="BF252" i="12"/>
  <c r="BI244" i="12"/>
  <c r="BF244" i="12"/>
  <c r="BI236" i="12"/>
  <c r="BF236" i="12"/>
  <c r="BI228" i="12"/>
  <c r="BF228" i="12"/>
  <c r="BI220" i="12"/>
  <c r="BF220" i="12"/>
  <c r="BI212" i="12"/>
  <c r="BF212" i="12"/>
  <c r="BI204" i="12"/>
  <c r="BF204" i="12"/>
  <c r="BI196" i="12"/>
  <c r="BF196" i="12"/>
  <c r="BA272" i="12"/>
  <c r="BA264" i="12"/>
  <c r="BA256" i="12"/>
  <c r="BA248" i="12"/>
  <c r="BA240" i="12"/>
  <c r="BA232" i="12"/>
  <c r="BA224" i="12"/>
  <c r="BA216" i="12"/>
  <c r="BA208" i="12"/>
  <c r="BA200" i="12"/>
  <c r="BA192" i="12"/>
  <c r="BI403" i="12"/>
  <c r="BI395" i="12"/>
  <c r="BI387" i="12"/>
  <c r="BI379" i="12"/>
  <c r="BI371" i="12"/>
  <c r="BI363" i="12"/>
  <c r="BI355" i="12"/>
  <c r="BI347" i="12"/>
  <c r="BI339" i="12"/>
  <c r="BI331" i="12"/>
  <c r="BI323" i="12"/>
  <c r="BI315" i="12"/>
  <c r="BI307" i="12"/>
  <c r="BI299" i="12"/>
  <c r="BI291" i="12"/>
  <c r="BI283" i="12"/>
  <c r="BI275" i="12"/>
  <c r="BI267" i="12"/>
  <c r="BI259" i="12"/>
  <c r="BI251" i="12"/>
  <c r="BI243" i="12"/>
  <c r="BI235" i="12"/>
  <c r="BI227" i="12"/>
  <c r="BI219" i="12"/>
  <c r="BI211" i="12"/>
  <c r="BI203" i="12"/>
  <c r="BI195" i="12"/>
  <c r="BI402" i="12"/>
  <c r="BI394" i="12"/>
  <c r="BI386" i="12"/>
  <c r="BI378" i="12"/>
  <c r="BI370" i="12"/>
  <c r="BI362" i="12"/>
  <c r="BI354" i="12"/>
  <c r="BI346" i="12"/>
  <c r="BI338" i="12"/>
  <c r="BI330" i="12"/>
  <c r="BI322" i="12"/>
  <c r="BI314" i="12"/>
  <c r="BI306" i="12"/>
  <c r="BI298" i="12"/>
  <c r="BI290" i="12"/>
  <c r="BI282" i="12"/>
  <c r="BI274" i="12"/>
  <c r="BI266" i="12"/>
  <c r="BI258" i="12"/>
  <c r="BI250" i="12"/>
  <c r="BI242" i="12"/>
  <c r="BI234" i="12"/>
  <c r="BI226" i="12"/>
  <c r="BI218" i="12"/>
  <c r="BI210" i="12"/>
  <c r="BI202" i="12"/>
  <c r="BI194" i="12"/>
  <c r="BI399" i="12"/>
  <c r="BI391" i="12"/>
  <c r="BI383" i="12"/>
  <c r="BI375" i="12"/>
  <c r="BI367" i="12"/>
  <c r="BI359" i="12"/>
  <c r="BI351" i="12"/>
  <c r="BI343" i="12"/>
  <c r="BI335" i="12"/>
  <c r="BI327" i="12"/>
  <c r="BI319" i="12"/>
  <c r="BI311" i="12"/>
  <c r="BI303" i="12"/>
  <c r="BI295" i="12"/>
  <c r="BI287" i="12"/>
  <c r="BI279" i="12"/>
  <c r="BI271" i="12"/>
  <c r="BI263" i="12"/>
  <c r="BI255" i="12"/>
  <c r="BI247" i="12"/>
  <c r="BI239" i="12"/>
  <c r="BI231" i="12"/>
  <c r="BI223" i="12"/>
  <c r="BI215" i="12"/>
  <c r="BI207" i="12"/>
  <c r="BI199" i="12"/>
  <c r="BI398" i="12"/>
  <c r="BI390" i="12"/>
  <c r="BI382" i="12"/>
  <c r="BI374" i="12"/>
  <c r="BI366" i="12"/>
  <c r="BI358" i="12"/>
  <c r="BI350" i="12"/>
  <c r="BI342" i="12"/>
  <c r="BI334" i="12"/>
  <c r="BI326" i="12"/>
  <c r="BI318" i="12"/>
  <c r="BI310" i="12"/>
  <c r="BI302" i="12"/>
  <c r="BI294" i="12"/>
  <c r="BI286" i="12"/>
  <c r="BI278" i="12"/>
  <c r="BI270" i="12"/>
  <c r="BI262" i="12"/>
  <c r="BI254" i="12"/>
  <c r="BI246" i="12"/>
  <c r="BI238" i="12"/>
  <c r="BI230" i="12"/>
  <c r="BI222" i="12"/>
  <c r="BI214" i="12"/>
  <c r="BI206" i="12"/>
  <c r="BI198" i="12"/>
  <c r="BI397" i="12"/>
  <c r="BI389" i="12"/>
  <c r="BI381" i="12"/>
  <c r="BI373" i="12"/>
  <c r="BI365" i="12"/>
  <c r="BI357" i="12"/>
  <c r="BI349" i="12"/>
  <c r="BI341" i="12"/>
  <c r="BI333" i="12"/>
  <c r="BI325" i="12"/>
  <c r="BI317" i="12"/>
  <c r="BI309" i="12"/>
  <c r="BI301" i="12"/>
  <c r="BI293" i="12"/>
  <c r="BI285" i="12"/>
  <c r="BI277" i="12"/>
  <c r="BI269" i="12"/>
  <c r="BI261" i="12"/>
  <c r="BI253" i="12"/>
  <c r="BI245" i="12"/>
  <c r="BI237" i="12"/>
  <c r="BI229" i="12"/>
  <c r="BI221" i="12"/>
  <c r="BI213" i="12"/>
  <c r="BI205" i="12"/>
  <c r="BI197" i="12"/>
  <c r="G68" i="10"/>
  <c r="G59" i="10"/>
  <c r="G47" i="10"/>
  <c r="G40" i="10"/>
  <c r="G26" i="10"/>
  <c r="G75" i="10"/>
  <c r="BH160" i="12"/>
  <c r="BG27" i="12"/>
  <c r="BG28" i="12"/>
  <c r="BG29" i="12"/>
  <c r="BG30" i="12"/>
  <c r="BG31" i="12"/>
  <c r="BG32" i="12"/>
  <c r="BH32" i="12" s="1"/>
  <c r="BG33" i="12"/>
  <c r="BH33" i="12" s="1"/>
  <c r="BG34" i="12"/>
  <c r="BH34" i="12" s="1"/>
  <c r="BG35" i="12"/>
  <c r="BG36" i="12"/>
  <c r="BG37" i="12"/>
  <c r="BG38" i="12"/>
  <c r="BG39" i="12"/>
  <c r="BG40" i="12"/>
  <c r="BH40" i="12" s="1"/>
  <c r="BG41" i="12"/>
  <c r="BH41" i="12" s="1"/>
  <c r="BG42" i="12"/>
  <c r="BH42" i="12" s="1"/>
  <c r="BG43" i="12"/>
  <c r="BG44" i="12"/>
  <c r="BG45" i="12"/>
  <c r="BG46" i="12"/>
  <c r="BG47" i="12"/>
  <c r="BG48" i="12"/>
  <c r="BH48" i="12" s="1"/>
  <c r="BG49" i="12"/>
  <c r="BH49" i="12" s="1"/>
  <c r="BG50" i="12"/>
  <c r="BH50" i="12" s="1"/>
  <c r="BG51" i="12"/>
  <c r="BG52" i="12"/>
  <c r="BG53" i="12"/>
  <c r="BG54" i="12"/>
  <c r="BG55" i="12"/>
  <c r="BG56" i="12"/>
  <c r="BH56" i="12" s="1"/>
  <c r="BG57" i="12"/>
  <c r="BH57" i="12" s="1"/>
  <c r="BG58" i="12"/>
  <c r="BH58" i="12" s="1"/>
  <c r="BG59" i="12"/>
  <c r="BG60" i="12"/>
  <c r="BG61" i="12"/>
  <c r="BG62" i="12"/>
  <c r="BG63" i="12"/>
  <c r="BG64" i="12"/>
  <c r="BH64" i="12" s="1"/>
  <c r="BG65" i="12"/>
  <c r="BH65" i="12" s="1"/>
  <c r="BG66" i="12"/>
  <c r="BH66" i="12" s="1"/>
  <c r="BG67" i="12"/>
  <c r="BG68" i="12"/>
  <c r="BG69" i="12"/>
  <c r="BG70" i="12"/>
  <c r="BG71" i="12"/>
  <c r="BG72" i="12"/>
  <c r="BH72" i="12" s="1"/>
  <c r="BG73" i="12"/>
  <c r="BH73" i="12" s="1"/>
  <c r="BG74" i="12"/>
  <c r="BH74" i="12" s="1"/>
  <c r="BG75" i="12"/>
  <c r="BG76" i="12"/>
  <c r="BG77" i="12"/>
  <c r="BG78" i="12"/>
  <c r="BG79" i="12"/>
  <c r="BG80" i="12"/>
  <c r="BH80" i="12" s="1"/>
  <c r="BG81" i="12"/>
  <c r="BH81" i="12" s="1"/>
  <c r="BG82" i="12"/>
  <c r="BH82" i="12" s="1"/>
  <c r="BG83" i="12"/>
  <c r="BG84" i="12"/>
  <c r="BG85" i="12"/>
  <c r="BG86" i="12"/>
  <c r="BG87" i="12"/>
  <c r="BG88" i="12"/>
  <c r="BH88" i="12" s="1"/>
  <c r="BG89" i="12"/>
  <c r="BH89" i="12" s="1"/>
  <c r="BG90" i="12"/>
  <c r="BH90" i="12" s="1"/>
  <c r="BG91" i="12"/>
  <c r="BG92" i="12"/>
  <c r="BG93" i="12"/>
  <c r="BG94" i="12"/>
  <c r="BG95" i="12"/>
  <c r="BG96" i="12"/>
  <c r="BH96" i="12" s="1"/>
  <c r="BG97" i="12"/>
  <c r="BH97" i="12" s="1"/>
  <c r="BG98" i="12"/>
  <c r="BH98" i="12" s="1"/>
  <c r="BG99" i="12"/>
  <c r="BG100" i="12"/>
  <c r="BG101" i="12"/>
  <c r="BG102" i="12"/>
  <c r="BG103" i="12"/>
  <c r="BG104" i="12"/>
  <c r="BH104" i="12" s="1"/>
  <c r="BG105" i="12"/>
  <c r="BH105" i="12" s="1"/>
  <c r="BG106" i="12"/>
  <c r="BH106" i="12" s="1"/>
  <c r="BG107" i="12"/>
  <c r="BG108" i="12"/>
  <c r="BG109" i="12"/>
  <c r="BG110" i="12"/>
  <c r="BG111" i="12"/>
  <c r="BG112" i="12"/>
  <c r="BH112" i="12" s="1"/>
  <c r="BG113" i="12"/>
  <c r="BH113" i="12" s="1"/>
  <c r="BG114" i="12"/>
  <c r="BH114" i="12" s="1"/>
  <c r="BG115" i="12"/>
  <c r="BG116" i="12"/>
  <c r="BG117" i="12"/>
  <c r="BG118" i="12"/>
  <c r="BG119" i="12"/>
  <c r="BG120" i="12"/>
  <c r="BH120" i="12" s="1"/>
  <c r="BG121" i="12"/>
  <c r="BH121" i="12" s="1"/>
  <c r="BG122" i="12"/>
  <c r="BH122" i="12" s="1"/>
  <c r="BG123" i="12"/>
  <c r="BG124" i="12"/>
  <c r="BG125" i="12"/>
  <c r="BG126" i="12"/>
  <c r="BG127" i="12"/>
  <c r="BG128" i="12"/>
  <c r="BH128" i="12" s="1"/>
  <c r="BG129" i="12"/>
  <c r="BH129" i="12" s="1"/>
  <c r="BG130" i="12"/>
  <c r="BH130" i="12" s="1"/>
  <c r="BG131" i="12"/>
  <c r="BG132" i="12"/>
  <c r="BG133" i="12"/>
  <c r="BG134" i="12"/>
  <c r="BG135" i="12"/>
  <c r="BG136" i="12"/>
  <c r="BH136" i="12" s="1"/>
  <c r="BG137" i="12"/>
  <c r="BH137" i="12" s="1"/>
  <c r="BG138" i="12"/>
  <c r="BH138" i="12" s="1"/>
  <c r="BG139" i="12"/>
  <c r="BG140" i="12"/>
  <c r="BG141" i="12"/>
  <c r="BG142" i="12"/>
  <c r="BG143" i="12"/>
  <c r="BG144" i="12"/>
  <c r="BH144" i="12" s="1"/>
  <c r="BG145" i="12"/>
  <c r="BH145" i="12" s="1"/>
  <c r="BG146" i="12"/>
  <c r="BH146" i="12" s="1"/>
  <c r="BG147" i="12"/>
  <c r="BG148" i="12"/>
  <c r="BG149" i="12"/>
  <c r="BG150" i="12"/>
  <c r="BG151" i="12"/>
  <c r="BG152" i="12"/>
  <c r="BH152" i="12" s="1"/>
  <c r="BG153" i="12"/>
  <c r="BH153" i="12" s="1"/>
  <c r="BG154" i="12"/>
  <c r="BH154" i="12" s="1"/>
  <c r="BG155" i="12"/>
  <c r="BG156" i="12"/>
  <c r="BG157" i="12"/>
  <c r="BG158" i="12"/>
  <c r="BG159" i="12"/>
  <c r="BG160" i="12"/>
  <c r="BG161" i="12"/>
  <c r="BH161" i="12" s="1"/>
  <c r="BG162" i="12"/>
  <c r="BH162" i="12" s="1"/>
  <c r="BG163" i="12"/>
  <c r="BG164" i="12"/>
  <c r="BG165" i="12"/>
  <c r="BG166" i="12"/>
  <c r="BG167" i="12"/>
  <c r="BG168" i="12"/>
  <c r="BH168" i="12" s="1"/>
  <c r="BG169" i="12"/>
  <c r="BH169" i="12" s="1"/>
  <c r="BG170" i="12"/>
  <c r="BH170" i="12" s="1"/>
  <c r="BG171" i="12"/>
  <c r="BG172" i="12"/>
  <c r="BG173" i="12"/>
  <c r="BG174" i="12"/>
  <c r="BG175" i="12"/>
  <c r="BG176" i="12"/>
  <c r="BH176" i="12" s="1"/>
  <c r="BG177" i="12"/>
  <c r="BH177" i="12" s="1"/>
  <c r="BG178" i="12"/>
  <c r="BH178" i="12" s="1"/>
  <c r="BG179" i="12"/>
  <c r="BG180" i="12"/>
  <c r="BG181" i="12"/>
  <c r="BG182" i="12"/>
  <c r="BG183" i="12"/>
  <c r="BG184" i="12"/>
  <c r="BH184" i="12" s="1"/>
  <c r="BG185" i="12"/>
  <c r="BH185" i="12" s="1"/>
  <c r="BG186" i="12"/>
  <c r="BH186" i="12" s="1"/>
  <c r="BG187" i="12"/>
  <c r="BG188" i="12"/>
  <c r="BG189" i="12"/>
  <c r="BG190" i="12"/>
  <c r="BG191" i="12"/>
  <c r="BG3" i="12"/>
  <c r="BH3" i="12" s="1"/>
  <c r="BG4" i="12"/>
  <c r="BG5" i="12"/>
  <c r="BG6" i="12"/>
  <c r="BH6" i="12" s="1"/>
  <c r="BG7" i="12"/>
  <c r="BG8" i="12"/>
  <c r="BG9" i="12"/>
  <c r="BG10" i="12"/>
  <c r="BH10" i="12" s="1"/>
  <c r="BG11" i="12"/>
  <c r="BH11" i="12" s="1"/>
  <c r="BG12" i="12"/>
  <c r="BG13" i="12"/>
  <c r="BH13" i="12" s="1"/>
  <c r="BG14" i="12"/>
  <c r="BH14" i="12" s="1"/>
  <c r="BG15" i="12"/>
  <c r="BG16" i="12"/>
  <c r="BG17" i="12"/>
  <c r="BG18" i="12"/>
  <c r="BG19" i="12"/>
  <c r="BH19" i="12" s="1"/>
  <c r="BG20" i="12"/>
  <c r="BG21" i="12"/>
  <c r="BH21" i="12" s="1"/>
  <c r="BG22" i="12"/>
  <c r="BH22" i="12" s="1"/>
  <c r="BG23" i="12"/>
  <c r="BG24" i="12"/>
  <c r="BG25" i="12"/>
  <c r="BG26" i="12"/>
  <c r="BH26" i="12" s="1"/>
  <c r="BG2" i="12"/>
  <c r="BH2" i="12" s="1"/>
  <c r="BF41" i="12"/>
  <c r="BF80" i="12"/>
  <c r="BF81" i="12"/>
  <c r="BF137" i="12"/>
  <c r="BF144" i="12"/>
  <c r="BF27" i="12"/>
  <c r="BF28" i="12"/>
  <c r="BF29" i="12"/>
  <c r="BF30" i="12"/>
  <c r="BF31" i="12"/>
  <c r="BF32" i="12"/>
  <c r="BF33" i="12"/>
  <c r="BF34" i="12"/>
  <c r="BF35" i="12"/>
  <c r="BF36" i="12"/>
  <c r="BF37" i="12"/>
  <c r="BF38" i="12"/>
  <c r="BF39" i="12"/>
  <c r="BF40" i="12"/>
  <c r="BF42" i="12"/>
  <c r="BF43" i="12"/>
  <c r="BF44" i="12"/>
  <c r="BF45" i="12"/>
  <c r="BF46" i="12"/>
  <c r="BF47" i="12"/>
  <c r="BF48" i="12"/>
  <c r="BF49" i="12"/>
  <c r="BF50" i="12"/>
  <c r="BF51" i="12"/>
  <c r="BF52" i="12"/>
  <c r="BF53" i="12"/>
  <c r="BF54" i="12"/>
  <c r="BF55" i="12"/>
  <c r="BF56" i="12"/>
  <c r="BF57" i="12"/>
  <c r="BF58" i="12"/>
  <c r="BF59" i="12"/>
  <c r="BF60" i="12"/>
  <c r="BF61" i="12"/>
  <c r="BF62" i="12"/>
  <c r="BF63" i="12"/>
  <c r="BF64" i="12"/>
  <c r="BF65" i="12"/>
  <c r="BF66" i="12"/>
  <c r="BF67" i="12"/>
  <c r="BF68" i="12"/>
  <c r="BF69" i="12"/>
  <c r="BF70" i="12"/>
  <c r="BF71" i="12"/>
  <c r="BF72" i="12"/>
  <c r="BF73" i="12"/>
  <c r="BF74" i="12"/>
  <c r="BF75" i="12"/>
  <c r="BF76" i="12"/>
  <c r="BF77" i="12"/>
  <c r="BF78" i="12"/>
  <c r="BF79" i="12"/>
  <c r="BF82" i="12"/>
  <c r="BF83" i="12"/>
  <c r="BF84" i="12"/>
  <c r="BF85" i="12"/>
  <c r="BF86" i="12"/>
  <c r="BF87" i="12"/>
  <c r="BF88" i="12"/>
  <c r="BF89" i="12"/>
  <c r="BF90" i="12"/>
  <c r="BF91" i="12"/>
  <c r="BF92" i="12"/>
  <c r="BF93" i="12"/>
  <c r="BF94" i="12"/>
  <c r="BF95" i="12"/>
  <c r="BF96" i="12"/>
  <c r="BF97" i="12"/>
  <c r="BF98" i="12"/>
  <c r="BF99" i="12"/>
  <c r="BF100" i="12"/>
  <c r="BF101" i="12"/>
  <c r="BF102" i="12"/>
  <c r="BF103" i="12"/>
  <c r="BF104" i="12"/>
  <c r="BF105" i="12"/>
  <c r="BF106" i="12"/>
  <c r="BF107" i="12"/>
  <c r="BF108" i="12"/>
  <c r="BF109" i="12"/>
  <c r="BF110" i="12"/>
  <c r="BF111" i="12"/>
  <c r="BF112" i="12"/>
  <c r="BF113" i="12"/>
  <c r="BF114" i="12"/>
  <c r="BF115" i="12"/>
  <c r="BF116" i="12"/>
  <c r="BF117" i="12"/>
  <c r="BF118" i="12"/>
  <c r="BF119" i="12"/>
  <c r="BF120" i="12"/>
  <c r="BF121" i="12"/>
  <c r="BF122" i="12"/>
  <c r="BF123" i="12"/>
  <c r="BF124" i="12"/>
  <c r="BF125" i="12"/>
  <c r="BF126" i="12"/>
  <c r="BF127" i="12"/>
  <c r="BF128" i="12"/>
  <c r="BF129" i="12"/>
  <c r="BF130" i="12"/>
  <c r="BF131" i="12"/>
  <c r="BF132" i="12"/>
  <c r="BF133" i="12"/>
  <c r="BF134" i="12"/>
  <c r="BF135" i="12"/>
  <c r="BF136" i="12"/>
  <c r="BF138" i="12"/>
  <c r="BF139" i="12"/>
  <c r="BF140" i="12"/>
  <c r="BF141" i="12"/>
  <c r="BF142" i="12"/>
  <c r="BF143" i="12"/>
  <c r="BF145" i="12"/>
  <c r="BF146" i="12"/>
  <c r="BF147" i="12"/>
  <c r="BF148" i="12"/>
  <c r="BF149" i="12"/>
  <c r="BF150" i="12"/>
  <c r="BF151" i="12"/>
  <c r="BF152" i="12"/>
  <c r="BF153" i="12"/>
  <c r="BF154" i="12"/>
  <c r="BF155" i="12"/>
  <c r="BF156" i="12"/>
  <c r="BF157" i="12"/>
  <c r="BF158" i="12"/>
  <c r="BF159" i="12"/>
  <c r="BF160" i="12"/>
  <c r="BF161" i="12"/>
  <c r="BF162" i="12"/>
  <c r="BF163" i="12"/>
  <c r="BF164" i="12"/>
  <c r="BF165" i="12"/>
  <c r="BF166" i="12"/>
  <c r="BF167" i="12"/>
  <c r="BF168" i="12"/>
  <c r="BF169" i="12"/>
  <c r="BF170" i="12"/>
  <c r="BF171" i="12"/>
  <c r="BF172" i="12"/>
  <c r="BF173" i="12"/>
  <c r="BF174" i="12"/>
  <c r="BF175" i="12"/>
  <c r="BF176" i="12"/>
  <c r="BF177" i="12"/>
  <c r="BF178" i="12"/>
  <c r="BF179" i="12"/>
  <c r="BF180" i="12"/>
  <c r="BF181" i="12"/>
  <c r="BF182" i="12"/>
  <c r="BF183" i="12"/>
  <c r="BF184" i="12"/>
  <c r="BF185" i="12"/>
  <c r="BF186" i="12"/>
  <c r="BF187" i="12"/>
  <c r="BF188" i="12"/>
  <c r="BF189" i="12"/>
  <c r="BF190" i="12"/>
  <c r="BF191" i="12"/>
  <c r="BF15" i="12"/>
  <c r="BC84" i="12"/>
  <c r="BC165" i="12"/>
  <c r="BB27" i="12"/>
  <c r="BB28" i="12"/>
  <c r="BC28" i="12" s="1"/>
  <c r="BB29" i="12"/>
  <c r="BC29" i="12" s="1"/>
  <c r="BB30" i="12"/>
  <c r="BC30" i="12" s="1"/>
  <c r="BB31" i="12"/>
  <c r="BB32" i="12"/>
  <c r="BB33" i="12"/>
  <c r="BC33" i="12" s="1"/>
  <c r="BB34" i="12"/>
  <c r="BC34" i="12" s="1"/>
  <c r="BB35" i="12"/>
  <c r="BC35" i="12" s="1"/>
  <c r="BB36" i="12"/>
  <c r="BC36" i="12" s="1"/>
  <c r="BB37" i="12"/>
  <c r="BC37" i="12" s="1"/>
  <c r="BB38" i="12"/>
  <c r="BC38" i="12" s="1"/>
  <c r="BB39" i="12"/>
  <c r="BB40" i="12"/>
  <c r="BB41" i="12"/>
  <c r="BC41" i="12" s="1"/>
  <c r="BB42" i="12"/>
  <c r="BC42" i="12" s="1"/>
  <c r="BB43" i="12"/>
  <c r="BC43" i="12" s="1"/>
  <c r="BB44" i="12"/>
  <c r="BC44" i="12" s="1"/>
  <c r="BB45" i="12"/>
  <c r="BC45" i="12" s="1"/>
  <c r="BB46" i="12"/>
  <c r="BC46" i="12" s="1"/>
  <c r="BB47" i="12"/>
  <c r="BB48" i="12"/>
  <c r="BB49" i="12"/>
  <c r="BC49" i="12" s="1"/>
  <c r="BB50" i="12"/>
  <c r="BC50" i="12" s="1"/>
  <c r="BB51" i="12"/>
  <c r="BC51" i="12" s="1"/>
  <c r="BB52" i="12"/>
  <c r="BC52" i="12" s="1"/>
  <c r="BB53" i="12"/>
  <c r="BC53" i="12" s="1"/>
  <c r="BB54" i="12"/>
  <c r="BC54" i="12" s="1"/>
  <c r="BB55" i="12"/>
  <c r="BB56" i="12"/>
  <c r="BB57" i="12"/>
  <c r="BC57" i="12" s="1"/>
  <c r="BB58" i="12"/>
  <c r="BC58" i="12" s="1"/>
  <c r="BB59" i="12"/>
  <c r="BC59" i="12" s="1"/>
  <c r="BB60" i="12"/>
  <c r="BC60" i="12" s="1"/>
  <c r="BB61" i="12"/>
  <c r="BC61" i="12" s="1"/>
  <c r="BB62" i="12"/>
  <c r="BC62" i="12" s="1"/>
  <c r="BB63" i="12"/>
  <c r="BB64" i="12"/>
  <c r="BB65" i="12"/>
  <c r="BC65" i="12" s="1"/>
  <c r="BB66" i="12"/>
  <c r="BC66" i="12" s="1"/>
  <c r="BB67" i="12"/>
  <c r="BC67" i="12" s="1"/>
  <c r="BB68" i="12"/>
  <c r="BC68" i="12" s="1"/>
  <c r="BB69" i="12"/>
  <c r="BC69" i="12" s="1"/>
  <c r="BB70" i="12"/>
  <c r="BC70" i="12" s="1"/>
  <c r="BB71" i="12"/>
  <c r="BB72" i="12"/>
  <c r="BB73" i="12"/>
  <c r="BC73" i="12" s="1"/>
  <c r="BB74" i="12"/>
  <c r="BC74" i="12" s="1"/>
  <c r="BB75" i="12"/>
  <c r="BC75" i="12" s="1"/>
  <c r="BB76" i="12"/>
  <c r="BC76" i="12" s="1"/>
  <c r="BB77" i="12"/>
  <c r="BC77" i="12" s="1"/>
  <c r="BB78" i="12"/>
  <c r="BC78" i="12" s="1"/>
  <c r="BB79" i="12"/>
  <c r="BB80" i="12"/>
  <c r="BB81" i="12"/>
  <c r="BC81" i="12" s="1"/>
  <c r="BB82" i="12"/>
  <c r="BC82" i="12" s="1"/>
  <c r="BB83" i="12"/>
  <c r="BC83" i="12" s="1"/>
  <c r="BB84" i="12"/>
  <c r="BB85" i="12"/>
  <c r="BC85" i="12" s="1"/>
  <c r="BB86" i="12"/>
  <c r="BC86" i="12" s="1"/>
  <c r="BB87" i="12"/>
  <c r="BB88" i="12"/>
  <c r="BB89" i="12"/>
  <c r="BC89" i="12" s="1"/>
  <c r="BB90" i="12"/>
  <c r="BC90" i="12" s="1"/>
  <c r="BB91" i="12"/>
  <c r="BC91" i="12" s="1"/>
  <c r="BB92" i="12"/>
  <c r="BC92" i="12" s="1"/>
  <c r="BB93" i="12"/>
  <c r="BC93" i="12" s="1"/>
  <c r="BB94" i="12"/>
  <c r="BC94" i="12" s="1"/>
  <c r="BB95" i="12"/>
  <c r="BB96" i="12"/>
  <c r="BB97" i="12"/>
  <c r="BC97" i="12" s="1"/>
  <c r="BB98" i="12"/>
  <c r="BC98" i="12" s="1"/>
  <c r="BB99" i="12"/>
  <c r="BC99" i="12" s="1"/>
  <c r="BB100" i="12"/>
  <c r="BC100" i="12" s="1"/>
  <c r="BB101" i="12"/>
  <c r="BC101" i="12" s="1"/>
  <c r="BB102" i="12"/>
  <c r="BC102" i="12" s="1"/>
  <c r="BB103" i="12"/>
  <c r="BB104" i="12"/>
  <c r="BB105" i="12"/>
  <c r="BC105" i="12" s="1"/>
  <c r="BB106" i="12"/>
  <c r="BC106" i="12" s="1"/>
  <c r="BB107" i="12"/>
  <c r="BC107" i="12" s="1"/>
  <c r="BB108" i="12"/>
  <c r="BC108" i="12" s="1"/>
  <c r="BB109" i="12"/>
  <c r="BC109" i="12" s="1"/>
  <c r="BB110" i="12"/>
  <c r="BC110" i="12" s="1"/>
  <c r="BB111" i="12"/>
  <c r="BB112" i="12"/>
  <c r="BB113" i="12"/>
  <c r="BC113" i="12" s="1"/>
  <c r="BB114" i="12"/>
  <c r="BC114" i="12" s="1"/>
  <c r="BB115" i="12"/>
  <c r="BC115" i="12" s="1"/>
  <c r="BB116" i="12"/>
  <c r="BC116" i="12" s="1"/>
  <c r="BB117" i="12"/>
  <c r="BC117" i="12" s="1"/>
  <c r="BB118" i="12"/>
  <c r="BC118" i="12" s="1"/>
  <c r="BB119" i="12"/>
  <c r="BB120" i="12"/>
  <c r="BB121" i="12"/>
  <c r="BC121" i="12" s="1"/>
  <c r="BB122" i="12"/>
  <c r="BC122" i="12" s="1"/>
  <c r="BB123" i="12"/>
  <c r="BC123" i="12" s="1"/>
  <c r="BB124" i="12"/>
  <c r="BC124" i="12" s="1"/>
  <c r="BB125" i="12"/>
  <c r="BC125" i="12" s="1"/>
  <c r="BB126" i="12"/>
  <c r="BC126" i="12" s="1"/>
  <c r="BB127" i="12"/>
  <c r="BB128" i="12"/>
  <c r="BB129" i="12"/>
  <c r="BC129" i="12" s="1"/>
  <c r="BB130" i="12"/>
  <c r="BC130" i="12" s="1"/>
  <c r="BB131" i="12"/>
  <c r="BC131" i="12" s="1"/>
  <c r="BB132" i="12"/>
  <c r="BC132" i="12" s="1"/>
  <c r="BB133" i="12"/>
  <c r="BC133" i="12" s="1"/>
  <c r="BB134" i="12"/>
  <c r="BC134" i="12" s="1"/>
  <c r="BB135" i="12"/>
  <c r="BB136" i="12"/>
  <c r="BB137" i="12"/>
  <c r="BC137" i="12" s="1"/>
  <c r="BB138" i="12"/>
  <c r="BC138" i="12" s="1"/>
  <c r="BB139" i="12"/>
  <c r="BC139" i="12" s="1"/>
  <c r="BB140" i="12"/>
  <c r="BC140" i="12" s="1"/>
  <c r="BB141" i="12"/>
  <c r="BC141" i="12" s="1"/>
  <c r="BB142" i="12"/>
  <c r="BC142" i="12" s="1"/>
  <c r="BB143" i="12"/>
  <c r="BB144" i="12"/>
  <c r="BB145" i="12"/>
  <c r="BC145" i="12" s="1"/>
  <c r="BB146" i="12"/>
  <c r="BC146" i="12" s="1"/>
  <c r="BB147" i="12"/>
  <c r="BC147" i="12" s="1"/>
  <c r="BB148" i="12"/>
  <c r="BC148" i="12" s="1"/>
  <c r="BB149" i="12"/>
  <c r="BC149" i="12" s="1"/>
  <c r="BB150" i="12"/>
  <c r="BC150" i="12" s="1"/>
  <c r="BB151" i="12"/>
  <c r="BB152" i="12"/>
  <c r="BB153" i="12"/>
  <c r="BC153" i="12" s="1"/>
  <c r="BB154" i="12"/>
  <c r="BC154" i="12" s="1"/>
  <c r="BB155" i="12"/>
  <c r="BC155" i="12" s="1"/>
  <c r="BB156" i="12"/>
  <c r="BC156" i="12" s="1"/>
  <c r="BB157" i="12"/>
  <c r="BC157" i="12" s="1"/>
  <c r="BB158" i="12"/>
  <c r="BC158" i="12" s="1"/>
  <c r="BB159" i="12"/>
  <c r="BB160" i="12"/>
  <c r="BB161" i="12"/>
  <c r="BC161" i="12" s="1"/>
  <c r="BB162" i="12"/>
  <c r="BC162" i="12" s="1"/>
  <c r="BB163" i="12"/>
  <c r="BC163" i="12" s="1"/>
  <c r="BB164" i="12"/>
  <c r="BC164" i="12" s="1"/>
  <c r="BB165" i="12"/>
  <c r="BB166" i="12"/>
  <c r="BC166" i="12" s="1"/>
  <c r="BB167" i="12"/>
  <c r="BB168" i="12"/>
  <c r="BB169" i="12"/>
  <c r="BC169" i="12" s="1"/>
  <c r="BB170" i="12"/>
  <c r="BC170" i="12" s="1"/>
  <c r="BB171" i="12"/>
  <c r="BC171" i="12" s="1"/>
  <c r="BB172" i="12"/>
  <c r="BC172" i="12" s="1"/>
  <c r="BB173" i="12"/>
  <c r="BC173" i="12" s="1"/>
  <c r="BB174" i="12"/>
  <c r="BC174" i="12" s="1"/>
  <c r="BB175" i="12"/>
  <c r="BB176" i="12"/>
  <c r="BB177" i="12"/>
  <c r="BC177" i="12" s="1"/>
  <c r="BB178" i="12"/>
  <c r="BC178" i="12" s="1"/>
  <c r="BB179" i="12"/>
  <c r="BC179" i="12" s="1"/>
  <c r="BB180" i="12"/>
  <c r="BC180" i="12" s="1"/>
  <c r="BB181" i="12"/>
  <c r="BC181" i="12" s="1"/>
  <c r="BB182" i="12"/>
  <c r="BC182" i="12" s="1"/>
  <c r="BB183" i="12"/>
  <c r="BB184" i="12"/>
  <c r="BB185" i="12"/>
  <c r="BC185" i="12" s="1"/>
  <c r="BB186" i="12"/>
  <c r="BC186" i="12" s="1"/>
  <c r="BB187" i="12"/>
  <c r="BC187" i="12" s="1"/>
  <c r="BB188" i="12"/>
  <c r="BC188" i="12" s="1"/>
  <c r="BB189" i="12"/>
  <c r="BC189" i="12" s="1"/>
  <c r="BB190" i="12"/>
  <c r="BC190" i="12" s="1"/>
  <c r="BB191" i="12"/>
  <c r="BB3" i="12"/>
  <c r="BB4" i="12"/>
  <c r="BC4" i="12" s="1"/>
  <c r="BB5" i="12"/>
  <c r="BB6" i="12"/>
  <c r="BB7" i="12"/>
  <c r="BB8" i="12"/>
  <c r="BC8" i="12" s="1"/>
  <c r="BB9" i="12"/>
  <c r="BC9" i="12" s="1"/>
  <c r="BB10" i="12"/>
  <c r="BB11" i="12"/>
  <c r="BB12" i="12"/>
  <c r="BB13" i="12"/>
  <c r="BB14" i="12"/>
  <c r="BB15" i="12"/>
  <c r="BB16" i="12"/>
  <c r="BC16" i="12" s="1"/>
  <c r="BB17" i="12"/>
  <c r="BB18" i="12"/>
  <c r="BB19" i="12"/>
  <c r="BB20" i="12"/>
  <c r="BC20" i="12" s="1"/>
  <c r="BB21" i="12"/>
  <c r="BB22" i="12"/>
  <c r="BB23" i="12"/>
  <c r="BB24" i="12"/>
  <c r="BC24" i="12" s="1"/>
  <c r="BB25" i="12"/>
  <c r="BC25" i="12" s="1"/>
  <c r="BB26" i="12"/>
  <c r="BB2" i="12"/>
  <c r="BA66" i="12"/>
  <c r="BA27" i="12"/>
  <c r="BA28" i="12"/>
  <c r="BA29" i="12"/>
  <c r="BA30" i="12"/>
  <c r="BA31" i="12"/>
  <c r="BA32" i="12"/>
  <c r="BA33" i="12"/>
  <c r="BA34" i="12"/>
  <c r="BA35" i="12"/>
  <c r="BA36" i="12"/>
  <c r="BA37" i="12"/>
  <c r="BA38" i="12"/>
  <c r="BA39" i="12"/>
  <c r="BA40" i="12"/>
  <c r="BA41" i="12"/>
  <c r="BA42" i="12"/>
  <c r="BA43" i="12"/>
  <c r="BA44" i="12"/>
  <c r="BA45" i="12"/>
  <c r="BA46" i="12"/>
  <c r="BA47" i="12"/>
  <c r="BA48" i="12"/>
  <c r="BA49" i="12"/>
  <c r="BA50" i="12"/>
  <c r="BA51" i="12"/>
  <c r="BA52" i="12"/>
  <c r="BA53" i="12"/>
  <c r="BA54" i="12"/>
  <c r="BA55" i="12"/>
  <c r="BA56" i="12"/>
  <c r="BA57" i="12"/>
  <c r="BD58" i="12"/>
  <c r="BA59" i="12"/>
  <c r="BA60" i="12"/>
  <c r="BA61" i="12"/>
  <c r="BA62" i="12"/>
  <c r="BA63" i="12"/>
  <c r="BA64" i="12"/>
  <c r="BA65" i="12"/>
  <c r="BA67" i="12"/>
  <c r="BA68" i="12"/>
  <c r="BA69" i="12"/>
  <c r="BA70" i="12"/>
  <c r="BA71" i="12"/>
  <c r="BA72" i="12"/>
  <c r="BA73" i="12"/>
  <c r="BA74" i="12"/>
  <c r="BA75" i="12"/>
  <c r="BA76" i="12"/>
  <c r="BA77" i="12"/>
  <c r="BA78" i="12"/>
  <c r="BA79" i="12"/>
  <c r="BA80" i="12"/>
  <c r="BA81" i="12"/>
  <c r="BA82" i="12"/>
  <c r="BA83" i="12"/>
  <c r="BA84" i="12"/>
  <c r="BA85" i="12"/>
  <c r="BA86" i="12"/>
  <c r="BA87" i="12"/>
  <c r="BA88" i="12"/>
  <c r="BA89" i="12"/>
  <c r="BA90" i="12"/>
  <c r="BA91" i="12"/>
  <c r="BA92" i="12"/>
  <c r="BA93" i="12"/>
  <c r="BA94" i="12"/>
  <c r="BA95" i="12"/>
  <c r="BA96" i="12"/>
  <c r="BA97" i="12"/>
  <c r="BA98" i="12"/>
  <c r="BA99" i="12"/>
  <c r="BA100" i="12"/>
  <c r="BA101" i="12"/>
  <c r="BA102" i="12"/>
  <c r="BA103" i="12"/>
  <c r="BA104" i="12"/>
  <c r="BA105" i="12"/>
  <c r="BA106" i="12"/>
  <c r="BA107" i="12"/>
  <c r="BA108" i="12"/>
  <c r="BA109" i="12"/>
  <c r="BA110" i="12"/>
  <c r="BA111" i="12"/>
  <c r="BA112" i="12"/>
  <c r="BA113" i="12"/>
  <c r="BA114" i="12"/>
  <c r="BA115" i="12"/>
  <c r="BA116" i="12"/>
  <c r="BA117" i="12"/>
  <c r="BA118" i="12"/>
  <c r="BA119" i="12"/>
  <c r="BA120" i="12"/>
  <c r="BA121" i="12"/>
  <c r="BA122" i="12"/>
  <c r="BA123" i="12"/>
  <c r="BA124" i="12"/>
  <c r="BA125" i="12"/>
  <c r="BA126" i="12"/>
  <c r="BA127" i="12"/>
  <c r="BA128" i="12"/>
  <c r="BA129" i="12"/>
  <c r="BA130" i="12"/>
  <c r="BA131" i="12"/>
  <c r="BA132" i="12"/>
  <c r="BA133" i="12"/>
  <c r="BA134" i="12"/>
  <c r="BA135" i="12"/>
  <c r="BA136" i="12"/>
  <c r="BA137" i="12"/>
  <c r="BA138" i="12"/>
  <c r="BA139" i="12"/>
  <c r="BA140" i="12"/>
  <c r="BA141" i="12"/>
  <c r="BA142" i="12"/>
  <c r="BA143" i="12"/>
  <c r="BA144" i="12"/>
  <c r="BA145" i="12"/>
  <c r="BA146" i="12"/>
  <c r="BA147" i="12"/>
  <c r="BA148" i="12"/>
  <c r="BA149" i="12"/>
  <c r="BA150" i="12"/>
  <c r="BA151" i="12"/>
  <c r="BA152" i="12"/>
  <c r="BA153" i="12"/>
  <c r="BA154" i="12"/>
  <c r="BA155" i="12"/>
  <c r="BA156" i="12"/>
  <c r="BA157" i="12"/>
  <c r="BA158" i="12"/>
  <c r="BA159" i="12"/>
  <c r="BA160" i="12"/>
  <c r="BA161" i="12"/>
  <c r="BA162" i="12"/>
  <c r="BA163" i="12"/>
  <c r="BA164" i="12"/>
  <c r="BA165" i="12"/>
  <c r="BA166" i="12"/>
  <c r="BA167" i="12"/>
  <c r="BA168" i="12"/>
  <c r="BA169" i="12"/>
  <c r="BA170" i="12"/>
  <c r="BA171" i="12"/>
  <c r="BA172" i="12"/>
  <c r="BA173" i="12"/>
  <c r="BA174" i="12"/>
  <c r="BA175" i="12"/>
  <c r="BA176" i="12"/>
  <c r="BA177" i="12"/>
  <c r="BA178" i="12"/>
  <c r="BA179" i="12"/>
  <c r="BA180" i="12"/>
  <c r="BA181" i="12"/>
  <c r="BA182" i="12"/>
  <c r="BA183" i="12"/>
  <c r="BA184" i="12"/>
  <c r="BA185" i="12"/>
  <c r="BA186" i="12"/>
  <c r="BA187" i="12"/>
  <c r="BA188" i="12"/>
  <c r="BA189" i="12"/>
  <c r="BA190" i="12"/>
  <c r="BA191" i="12"/>
  <c r="BA3" i="12"/>
  <c r="BD6" i="12"/>
  <c r="BA9" i="12"/>
  <c r="BA10" i="12"/>
  <c r="BA11" i="12"/>
  <c r="BD13" i="12"/>
  <c r="BD14" i="12"/>
  <c r="BA17" i="12"/>
  <c r="BA18" i="12"/>
  <c r="BA19" i="12"/>
  <c r="BD21" i="12"/>
  <c r="BD22" i="12"/>
  <c r="BA25" i="12"/>
  <c r="BA26" i="12"/>
  <c r="BA2" i="12"/>
  <c r="AW27" i="12"/>
  <c r="AX27" i="12" s="1"/>
  <c r="AW28" i="12"/>
  <c r="AX28" i="12" s="1"/>
  <c r="AW29" i="12"/>
  <c r="AW30" i="12"/>
  <c r="AX30" i="12" s="1"/>
  <c r="AW31" i="12"/>
  <c r="AW32" i="12"/>
  <c r="AX32" i="12" s="1"/>
  <c r="AW33" i="12"/>
  <c r="AX33" i="12" s="1"/>
  <c r="AW34" i="12"/>
  <c r="AX34" i="12" s="1"/>
  <c r="AW35" i="12"/>
  <c r="AX35" i="12" s="1"/>
  <c r="AW36" i="12"/>
  <c r="AX36" i="12" s="1"/>
  <c r="AW37" i="12"/>
  <c r="AW38" i="12"/>
  <c r="AX38" i="12" s="1"/>
  <c r="AW39" i="12"/>
  <c r="AW40" i="12"/>
  <c r="AX40" i="12" s="1"/>
  <c r="AW41" i="12"/>
  <c r="AX41" i="12" s="1"/>
  <c r="AW42" i="12"/>
  <c r="AX42" i="12" s="1"/>
  <c r="AW43" i="12"/>
  <c r="AX43" i="12" s="1"/>
  <c r="AW44" i="12"/>
  <c r="AX44" i="12" s="1"/>
  <c r="AW45" i="12"/>
  <c r="AW46" i="12"/>
  <c r="AX46" i="12" s="1"/>
  <c r="AW47" i="12"/>
  <c r="AW48" i="12"/>
  <c r="AX48" i="12" s="1"/>
  <c r="AW49" i="12"/>
  <c r="AX49" i="12" s="1"/>
  <c r="AW50" i="12"/>
  <c r="AX50" i="12" s="1"/>
  <c r="AW51" i="12"/>
  <c r="AX51" i="12" s="1"/>
  <c r="AW52" i="12"/>
  <c r="AX52" i="12" s="1"/>
  <c r="AW53" i="12"/>
  <c r="AW54" i="12"/>
  <c r="AX54" i="12" s="1"/>
  <c r="AW55" i="12"/>
  <c r="AW56" i="12"/>
  <c r="AX56" i="12" s="1"/>
  <c r="AW57" i="12"/>
  <c r="AX57" i="12" s="1"/>
  <c r="AW58" i="12"/>
  <c r="AX58" i="12" s="1"/>
  <c r="AW59" i="12"/>
  <c r="AX59" i="12" s="1"/>
  <c r="AW60" i="12"/>
  <c r="AX60" i="12" s="1"/>
  <c r="AW61" i="12"/>
  <c r="AW62" i="12"/>
  <c r="AX62" i="12" s="1"/>
  <c r="AW63" i="12"/>
  <c r="AW64" i="12"/>
  <c r="AX64" i="12" s="1"/>
  <c r="AW65" i="12"/>
  <c r="AX65" i="12" s="1"/>
  <c r="AW66" i="12"/>
  <c r="AX66" i="12" s="1"/>
  <c r="AW67" i="12"/>
  <c r="AX67" i="12" s="1"/>
  <c r="AW68" i="12"/>
  <c r="AX68" i="12" s="1"/>
  <c r="AW69" i="12"/>
  <c r="AW70" i="12"/>
  <c r="AX70" i="12" s="1"/>
  <c r="AW71" i="12"/>
  <c r="AW72" i="12"/>
  <c r="AX72" i="12" s="1"/>
  <c r="AW73" i="12"/>
  <c r="AX73" i="12" s="1"/>
  <c r="AW74" i="12"/>
  <c r="AX74" i="12" s="1"/>
  <c r="AW75" i="12"/>
  <c r="AW76" i="12"/>
  <c r="AX76" i="12" s="1"/>
  <c r="AW77" i="12"/>
  <c r="AW78" i="12"/>
  <c r="AX78" i="12" s="1"/>
  <c r="AW79" i="12"/>
  <c r="AW80" i="12"/>
  <c r="AW81" i="12"/>
  <c r="AX81" i="12" s="1"/>
  <c r="AW82" i="12"/>
  <c r="AX82" i="12" s="1"/>
  <c r="AW83" i="12"/>
  <c r="AW84" i="12"/>
  <c r="AX84" i="12" s="1"/>
  <c r="AW85" i="12"/>
  <c r="AW86" i="12"/>
  <c r="AX86" i="12" s="1"/>
  <c r="AW87" i="12"/>
  <c r="AW88" i="12"/>
  <c r="AX88" i="12" s="1"/>
  <c r="AW89" i="12"/>
  <c r="AX89" i="12" s="1"/>
  <c r="AW90" i="12"/>
  <c r="AX90" i="12" s="1"/>
  <c r="AW91" i="12"/>
  <c r="AW92" i="12"/>
  <c r="AX92" i="12" s="1"/>
  <c r="AW93" i="12"/>
  <c r="AW94" i="12"/>
  <c r="AX94" i="12" s="1"/>
  <c r="AW95" i="12"/>
  <c r="AW96" i="12"/>
  <c r="AX96" i="12" s="1"/>
  <c r="AW97" i="12"/>
  <c r="AX97" i="12" s="1"/>
  <c r="AW98" i="12"/>
  <c r="AX98" i="12" s="1"/>
  <c r="AW99" i="12"/>
  <c r="AX99" i="12" s="1"/>
  <c r="AW100" i="12"/>
  <c r="AX100" i="12" s="1"/>
  <c r="AW101" i="12"/>
  <c r="AW102" i="12"/>
  <c r="AX102" i="12" s="1"/>
  <c r="AW103" i="12"/>
  <c r="AW104" i="12"/>
  <c r="AX104" i="12" s="1"/>
  <c r="AW105" i="12"/>
  <c r="AX105" i="12" s="1"/>
  <c r="AW106" i="12"/>
  <c r="AX106" i="12" s="1"/>
  <c r="AW107" i="12"/>
  <c r="AX107" i="12" s="1"/>
  <c r="AW108" i="12"/>
  <c r="AX108" i="12" s="1"/>
  <c r="AW109" i="12"/>
  <c r="AW110" i="12"/>
  <c r="AX110" i="12" s="1"/>
  <c r="AW111" i="12"/>
  <c r="AW112" i="12"/>
  <c r="AX112" i="12" s="1"/>
  <c r="AW113" i="12"/>
  <c r="AX113" i="12" s="1"/>
  <c r="AW114" i="12"/>
  <c r="AX114" i="12" s="1"/>
  <c r="AW115" i="12"/>
  <c r="AX115" i="12" s="1"/>
  <c r="AW116" i="12"/>
  <c r="AX116" i="12" s="1"/>
  <c r="AW117" i="12"/>
  <c r="AW118" i="12"/>
  <c r="AX118" i="12" s="1"/>
  <c r="AW119" i="12"/>
  <c r="AW120" i="12"/>
  <c r="AX120" i="12" s="1"/>
  <c r="AW121" i="12"/>
  <c r="AX121" i="12" s="1"/>
  <c r="AW122" i="12"/>
  <c r="AX122" i="12" s="1"/>
  <c r="AW123" i="12"/>
  <c r="AW124" i="12"/>
  <c r="AX124" i="12" s="1"/>
  <c r="AW125" i="12"/>
  <c r="AW126" i="12"/>
  <c r="AX126" i="12" s="1"/>
  <c r="AW127" i="12"/>
  <c r="AW128" i="12"/>
  <c r="AX128" i="12" s="1"/>
  <c r="AW129" i="12"/>
  <c r="AX129" i="12" s="1"/>
  <c r="AW130" i="12"/>
  <c r="AX130" i="12" s="1"/>
  <c r="AW131" i="12"/>
  <c r="AW132" i="12"/>
  <c r="AX132" i="12" s="1"/>
  <c r="AW133" i="12"/>
  <c r="AW134" i="12"/>
  <c r="AX134" i="12" s="1"/>
  <c r="AW135" i="12"/>
  <c r="AW136" i="12"/>
  <c r="AX136" i="12" s="1"/>
  <c r="AW137" i="12"/>
  <c r="AX137" i="12" s="1"/>
  <c r="AW138" i="12"/>
  <c r="AX138" i="12" s="1"/>
  <c r="AW139" i="12"/>
  <c r="AW140" i="12"/>
  <c r="AX140" i="12" s="1"/>
  <c r="AW141" i="12"/>
  <c r="AW142" i="12"/>
  <c r="AX142" i="12" s="1"/>
  <c r="AW143" i="12"/>
  <c r="AW144" i="12"/>
  <c r="AW145" i="12"/>
  <c r="AX145" i="12" s="1"/>
  <c r="AW146" i="12"/>
  <c r="AX146" i="12" s="1"/>
  <c r="AW147" i="12"/>
  <c r="AX147" i="12" s="1"/>
  <c r="AW148" i="12"/>
  <c r="AX148" i="12" s="1"/>
  <c r="AW149" i="12"/>
  <c r="AW150" i="12"/>
  <c r="AX150" i="12" s="1"/>
  <c r="AW151" i="12"/>
  <c r="AW152" i="12"/>
  <c r="AX152" i="12" s="1"/>
  <c r="AW153" i="12"/>
  <c r="AX153" i="12" s="1"/>
  <c r="AW154" i="12"/>
  <c r="AX154" i="12" s="1"/>
  <c r="AW155" i="12"/>
  <c r="AX155" i="12" s="1"/>
  <c r="AW156" i="12"/>
  <c r="AX156" i="12" s="1"/>
  <c r="AW157" i="12"/>
  <c r="AW158" i="12"/>
  <c r="AX158" i="12" s="1"/>
  <c r="AW159" i="12"/>
  <c r="AW160" i="12"/>
  <c r="AX160" i="12" s="1"/>
  <c r="AW161" i="12"/>
  <c r="AX161" i="12" s="1"/>
  <c r="AW162" i="12"/>
  <c r="AX162" i="12" s="1"/>
  <c r="AW163" i="12"/>
  <c r="AX163" i="12" s="1"/>
  <c r="AW164" i="12"/>
  <c r="AX164" i="12" s="1"/>
  <c r="AW165" i="12"/>
  <c r="AW166" i="12"/>
  <c r="AX166" i="12" s="1"/>
  <c r="AW167" i="12"/>
  <c r="AW168" i="12"/>
  <c r="AX168" i="12" s="1"/>
  <c r="AW169" i="12"/>
  <c r="AX169" i="12" s="1"/>
  <c r="AW170" i="12"/>
  <c r="AX170" i="12" s="1"/>
  <c r="AW171" i="12"/>
  <c r="AX171" i="12" s="1"/>
  <c r="AW172" i="12"/>
  <c r="AX172" i="12" s="1"/>
  <c r="AW173" i="12"/>
  <c r="AW174" i="12"/>
  <c r="AX174" i="12" s="1"/>
  <c r="AW175" i="12"/>
  <c r="AW176" i="12"/>
  <c r="AW177" i="12"/>
  <c r="AX177" i="12" s="1"/>
  <c r="AW178" i="12"/>
  <c r="AX178" i="12" s="1"/>
  <c r="AW179" i="12"/>
  <c r="AW180" i="12"/>
  <c r="AX180" i="12" s="1"/>
  <c r="AW181" i="12"/>
  <c r="AW182" i="12"/>
  <c r="AX182" i="12" s="1"/>
  <c r="AW183" i="12"/>
  <c r="AW184" i="12"/>
  <c r="AX184" i="12" s="1"/>
  <c r="AW185" i="12"/>
  <c r="AX185" i="12" s="1"/>
  <c r="AW186" i="12"/>
  <c r="AX186" i="12" s="1"/>
  <c r="AW187" i="12"/>
  <c r="AW188" i="12"/>
  <c r="AX188" i="12" s="1"/>
  <c r="AW189" i="12"/>
  <c r="AW190" i="12"/>
  <c r="AX190" i="12" s="1"/>
  <c r="AW191" i="12"/>
  <c r="AW3" i="12"/>
  <c r="AX3" i="12" s="1"/>
  <c r="AW4" i="12"/>
  <c r="AW5" i="12"/>
  <c r="AW6" i="12"/>
  <c r="AW7" i="12"/>
  <c r="AW8" i="12"/>
  <c r="AW9" i="12"/>
  <c r="AW10" i="12"/>
  <c r="AW11" i="12"/>
  <c r="AW12" i="12"/>
  <c r="AW13" i="12"/>
  <c r="AX13" i="12" s="1"/>
  <c r="AW14" i="12"/>
  <c r="AW15" i="12"/>
  <c r="AW16" i="12"/>
  <c r="AW17" i="12"/>
  <c r="AW18" i="12"/>
  <c r="AW19" i="12"/>
  <c r="AW20" i="12"/>
  <c r="AX20" i="12" s="1"/>
  <c r="AW21" i="12"/>
  <c r="AX21" i="12" s="1"/>
  <c r="AW22" i="12"/>
  <c r="AW23" i="12"/>
  <c r="AW24" i="12"/>
  <c r="AW25" i="12"/>
  <c r="AW26" i="12"/>
  <c r="AW2" i="12"/>
  <c r="AV27" i="12"/>
  <c r="AV28" i="12"/>
  <c r="AV29" i="12"/>
  <c r="AV30" i="12"/>
  <c r="AV31" i="12"/>
  <c r="AV32" i="12"/>
  <c r="AV33" i="12"/>
  <c r="AV35" i="12"/>
  <c r="AV36" i="12"/>
  <c r="AV37" i="12"/>
  <c r="AV38" i="12"/>
  <c r="AV39" i="12"/>
  <c r="AV40" i="12"/>
  <c r="AV41" i="12"/>
  <c r="AV43" i="12"/>
  <c r="AV44" i="12"/>
  <c r="AV45" i="12"/>
  <c r="AV46" i="12"/>
  <c r="AV47" i="12"/>
  <c r="AV48" i="12"/>
  <c r="AV49" i="12"/>
  <c r="AV51" i="12"/>
  <c r="AV52" i="12"/>
  <c r="AV53" i="12"/>
  <c r="AV54" i="12"/>
  <c r="AV55" i="12"/>
  <c r="AV56" i="12"/>
  <c r="AV57" i="12"/>
  <c r="AV59" i="12"/>
  <c r="AV60" i="12"/>
  <c r="AV61" i="12"/>
  <c r="AV62" i="12"/>
  <c r="AV63" i="12"/>
  <c r="AV64" i="12"/>
  <c r="AV65" i="12"/>
  <c r="AV67" i="12"/>
  <c r="AV68" i="12"/>
  <c r="AV69" i="12"/>
  <c r="AV70" i="12"/>
  <c r="AV71" i="12"/>
  <c r="AV72" i="12"/>
  <c r="AV73" i="12"/>
  <c r="AV75" i="12"/>
  <c r="AV76" i="12"/>
  <c r="AV77" i="12"/>
  <c r="AV78" i="12"/>
  <c r="AV79" i="12"/>
  <c r="AV80" i="12"/>
  <c r="AV81" i="12"/>
  <c r="AV83" i="12"/>
  <c r="AV84" i="12"/>
  <c r="AV85" i="12"/>
  <c r="AV86" i="12"/>
  <c r="AV87" i="12"/>
  <c r="AV88" i="12"/>
  <c r="AV89" i="12"/>
  <c r="AV91" i="12"/>
  <c r="AV92" i="12"/>
  <c r="AV93" i="12"/>
  <c r="AV94" i="12"/>
  <c r="AV95" i="12"/>
  <c r="AV96" i="12"/>
  <c r="AV97" i="12"/>
  <c r="AV99" i="12"/>
  <c r="AV100" i="12"/>
  <c r="AV101" i="12"/>
  <c r="AV102" i="12"/>
  <c r="AV103" i="12"/>
  <c r="AV104" i="12"/>
  <c r="AV105" i="12"/>
  <c r="AV107" i="12"/>
  <c r="AV108" i="12"/>
  <c r="AV109" i="12"/>
  <c r="AV110" i="12"/>
  <c r="AV111" i="12"/>
  <c r="AV112" i="12"/>
  <c r="AV113" i="12"/>
  <c r="AV115" i="12"/>
  <c r="AV116" i="12"/>
  <c r="AV117" i="12"/>
  <c r="AV118" i="12"/>
  <c r="AV119" i="12"/>
  <c r="AV120" i="12"/>
  <c r="AV121" i="12"/>
  <c r="AV123" i="12"/>
  <c r="AV124" i="12"/>
  <c r="AV125" i="12"/>
  <c r="AV126" i="12"/>
  <c r="AV127" i="12"/>
  <c r="AV128" i="12"/>
  <c r="AV129" i="12"/>
  <c r="AV131" i="12"/>
  <c r="AV132" i="12"/>
  <c r="AV133" i="12"/>
  <c r="AV134" i="12"/>
  <c r="AV135" i="12"/>
  <c r="AV136" i="12"/>
  <c r="AV137" i="12"/>
  <c r="AV139" i="12"/>
  <c r="AV140" i="12"/>
  <c r="AV141" i="12"/>
  <c r="AV142" i="12"/>
  <c r="AV143" i="12"/>
  <c r="AV144" i="12"/>
  <c r="AV145" i="12"/>
  <c r="AV147" i="12"/>
  <c r="AV148" i="12"/>
  <c r="AV149" i="12"/>
  <c r="AV150" i="12"/>
  <c r="AV151" i="12"/>
  <c r="AV152" i="12"/>
  <c r="AV153" i="12"/>
  <c r="AV155" i="12"/>
  <c r="AV156" i="12"/>
  <c r="AV157" i="12"/>
  <c r="AV158" i="12"/>
  <c r="AV159" i="12"/>
  <c r="AV160" i="12"/>
  <c r="AV161" i="12"/>
  <c r="AV163" i="12"/>
  <c r="AV164" i="12"/>
  <c r="AV165" i="12"/>
  <c r="AV166" i="12"/>
  <c r="AV167" i="12"/>
  <c r="AV168" i="12"/>
  <c r="AV169" i="12"/>
  <c r="AV171" i="12"/>
  <c r="AV172" i="12"/>
  <c r="AV173" i="12"/>
  <c r="AV174" i="12"/>
  <c r="AV175" i="12"/>
  <c r="AV176" i="12"/>
  <c r="AV177" i="12"/>
  <c r="AV179" i="12"/>
  <c r="AV180" i="12"/>
  <c r="AV181" i="12"/>
  <c r="AV182" i="12"/>
  <c r="AV183" i="12"/>
  <c r="AV184" i="12"/>
  <c r="AV185" i="12"/>
  <c r="AV187" i="12"/>
  <c r="AV188" i="12"/>
  <c r="AV189" i="12"/>
  <c r="AV190" i="12"/>
  <c r="AV191" i="12"/>
  <c r="AV8" i="12"/>
  <c r="AV9" i="12"/>
  <c r="AV10" i="12"/>
  <c r="AV16" i="12"/>
  <c r="AV17" i="12"/>
  <c r="AV18" i="12"/>
  <c r="AV24" i="12"/>
  <c r="AV25" i="12"/>
  <c r="AV26" i="12"/>
  <c r="AR27" i="12"/>
  <c r="AS27" i="12" s="1"/>
  <c r="AR28" i="12"/>
  <c r="AS28" i="12" s="1"/>
  <c r="AR29" i="12"/>
  <c r="AS29" i="12" s="1"/>
  <c r="AR30" i="12"/>
  <c r="AR31" i="12"/>
  <c r="AR32" i="12"/>
  <c r="AR33" i="12"/>
  <c r="AS33" i="12" s="1"/>
  <c r="AR34" i="12"/>
  <c r="AS34" i="12" s="1"/>
  <c r="AR35" i="12"/>
  <c r="AS35" i="12" s="1"/>
  <c r="AR36" i="12"/>
  <c r="AS36" i="12" s="1"/>
  <c r="AR37" i="12"/>
  <c r="AS37" i="12" s="1"/>
  <c r="AR38" i="12"/>
  <c r="AR39" i="12"/>
  <c r="AR40" i="12"/>
  <c r="AR41" i="12"/>
  <c r="AS41" i="12" s="1"/>
  <c r="AR42" i="12"/>
  <c r="AS42" i="12" s="1"/>
  <c r="AR43" i="12"/>
  <c r="AS43" i="12" s="1"/>
  <c r="AR44" i="12"/>
  <c r="AS44" i="12" s="1"/>
  <c r="AR45" i="12"/>
  <c r="AS45" i="12" s="1"/>
  <c r="AR46" i="12"/>
  <c r="AR47" i="12"/>
  <c r="AR48" i="12"/>
  <c r="AR49" i="12"/>
  <c r="AS49" i="12" s="1"/>
  <c r="AR50" i="12"/>
  <c r="AS50" i="12" s="1"/>
  <c r="AR51" i="12"/>
  <c r="AS51" i="12" s="1"/>
  <c r="AR52" i="12"/>
  <c r="AS52" i="12" s="1"/>
  <c r="AR53" i="12"/>
  <c r="AS53" i="12" s="1"/>
  <c r="AR54" i="12"/>
  <c r="AR55" i="12"/>
  <c r="AR56" i="12"/>
  <c r="AR57" i="12"/>
  <c r="AS57" i="12" s="1"/>
  <c r="AR58" i="12"/>
  <c r="AS58" i="12" s="1"/>
  <c r="AR59" i="12"/>
  <c r="AS59" i="12" s="1"/>
  <c r="AR60" i="12"/>
  <c r="AS60" i="12" s="1"/>
  <c r="AR61" i="12"/>
  <c r="AS61" i="12" s="1"/>
  <c r="AR62" i="12"/>
  <c r="AR63" i="12"/>
  <c r="AR64" i="12"/>
  <c r="AR65" i="12"/>
  <c r="AS65" i="12" s="1"/>
  <c r="AR66" i="12"/>
  <c r="AS66" i="12" s="1"/>
  <c r="AR67" i="12"/>
  <c r="AS67" i="12" s="1"/>
  <c r="AR68" i="12"/>
  <c r="AS68" i="12" s="1"/>
  <c r="AR69" i="12"/>
  <c r="AS69" i="12" s="1"/>
  <c r="AR70" i="12"/>
  <c r="AR71" i="12"/>
  <c r="AR72" i="12"/>
  <c r="AR73" i="12"/>
  <c r="AS73" i="12" s="1"/>
  <c r="AR74" i="12"/>
  <c r="AS74" i="12" s="1"/>
  <c r="AR75" i="12"/>
  <c r="AS75" i="12" s="1"/>
  <c r="AR76" i="12"/>
  <c r="AS76" i="12" s="1"/>
  <c r="AR77" i="12"/>
  <c r="AS77" i="12" s="1"/>
  <c r="AR78" i="12"/>
  <c r="AR79" i="12"/>
  <c r="AR80" i="12"/>
  <c r="AR81" i="12"/>
  <c r="AS81" i="12" s="1"/>
  <c r="AR82" i="12"/>
  <c r="AS82" i="12" s="1"/>
  <c r="AR83" i="12"/>
  <c r="AS83" i="12" s="1"/>
  <c r="AR84" i="12"/>
  <c r="AS84" i="12" s="1"/>
  <c r="AR85" i="12"/>
  <c r="AS85" i="12" s="1"/>
  <c r="AR86" i="12"/>
  <c r="AR87" i="12"/>
  <c r="AR88" i="12"/>
  <c r="AR89" i="12"/>
  <c r="AS89" i="12" s="1"/>
  <c r="AR90" i="12"/>
  <c r="AS90" i="12" s="1"/>
  <c r="AR91" i="12"/>
  <c r="AS91" i="12" s="1"/>
  <c r="AR92" i="12"/>
  <c r="AS92" i="12" s="1"/>
  <c r="AR93" i="12"/>
  <c r="AS93" i="12" s="1"/>
  <c r="AR94" i="12"/>
  <c r="AR95" i="12"/>
  <c r="AR96" i="12"/>
  <c r="AR97" i="12"/>
  <c r="AS97" i="12" s="1"/>
  <c r="AR98" i="12"/>
  <c r="AS98" i="12" s="1"/>
  <c r="AR99" i="12"/>
  <c r="AS99" i="12" s="1"/>
  <c r="AR100" i="12"/>
  <c r="AS100" i="12" s="1"/>
  <c r="AR101" i="12"/>
  <c r="AS101" i="12" s="1"/>
  <c r="AR102" i="12"/>
  <c r="AR103" i="12"/>
  <c r="AR104" i="12"/>
  <c r="AR105" i="12"/>
  <c r="AS105" i="12" s="1"/>
  <c r="AR106" i="12"/>
  <c r="AS106" i="12" s="1"/>
  <c r="AR107" i="12"/>
  <c r="AS107" i="12" s="1"/>
  <c r="AR108" i="12"/>
  <c r="AS108" i="12" s="1"/>
  <c r="AR109" i="12"/>
  <c r="AS109" i="12" s="1"/>
  <c r="AR110" i="12"/>
  <c r="AR111" i="12"/>
  <c r="AR112" i="12"/>
  <c r="AR113" i="12"/>
  <c r="AS113" i="12" s="1"/>
  <c r="AR114" i="12"/>
  <c r="AS114" i="12" s="1"/>
  <c r="AR115" i="12"/>
  <c r="AS115" i="12" s="1"/>
  <c r="AR116" i="12"/>
  <c r="AS116" i="12" s="1"/>
  <c r="AR117" i="12"/>
  <c r="AS117" i="12" s="1"/>
  <c r="AR118" i="12"/>
  <c r="AR119" i="12"/>
  <c r="AR120" i="12"/>
  <c r="AR121" i="12"/>
  <c r="AS121" i="12" s="1"/>
  <c r="AR122" i="12"/>
  <c r="AS122" i="12" s="1"/>
  <c r="AR123" i="12"/>
  <c r="AS123" i="12" s="1"/>
  <c r="AR124" i="12"/>
  <c r="AS124" i="12" s="1"/>
  <c r="AR125" i="12"/>
  <c r="AS125" i="12" s="1"/>
  <c r="AR126" i="12"/>
  <c r="AR127" i="12"/>
  <c r="AR128" i="12"/>
  <c r="AR129" i="12"/>
  <c r="AS129" i="12" s="1"/>
  <c r="AR130" i="12"/>
  <c r="AS130" i="12" s="1"/>
  <c r="AR131" i="12"/>
  <c r="AS131" i="12" s="1"/>
  <c r="AR132" i="12"/>
  <c r="AS132" i="12" s="1"/>
  <c r="AR133" i="12"/>
  <c r="AS133" i="12" s="1"/>
  <c r="AR134" i="12"/>
  <c r="AR135" i="12"/>
  <c r="AR136" i="12"/>
  <c r="AR137" i="12"/>
  <c r="AS137" i="12" s="1"/>
  <c r="AR138" i="12"/>
  <c r="AS138" i="12" s="1"/>
  <c r="AR139" i="12"/>
  <c r="AS139" i="12" s="1"/>
  <c r="AR140" i="12"/>
  <c r="AS140" i="12" s="1"/>
  <c r="AR141" i="12"/>
  <c r="AS141" i="12" s="1"/>
  <c r="AR142" i="12"/>
  <c r="AR143" i="12"/>
  <c r="AR144" i="12"/>
  <c r="AR145" i="12"/>
  <c r="AS145" i="12" s="1"/>
  <c r="AR146" i="12"/>
  <c r="AR147" i="12"/>
  <c r="AS147" i="12" s="1"/>
  <c r="AR148" i="12"/>
  <c r="AS148" i="12" s="1"/>
  <c r="AR149" i="12"/>
  <c r="AS149" i="12" s="1"/>
  <c r="AR150" i="12"/>
  <c r="AR151" i="12"/>
  <c r="AR152" i="12"/>
  <c r="AR153" i="12"/>
  <c r="AS153" i="12" s="1"/>
  <c r="AR154" i="12"/>
  <c r="AS154" i="12" s="1"/>
  <c r="AR155" i="12"/>
  <c r="AS155" i="12" s="1"/>
  <c r="AR156" i="12"/>
  <c r="AS156" i="12" s="1"/>
  <c r="AR157" i="12"/>
  <c r="AS157" i="12" s="1"/>
  <c r="AR158" i="12"/>
  <c r="AR159" i="12"/>
  <c r="AR160" i="12"/>
  <c r="AR161" i="12"/>
  <c r="AS161" i="12" s="1"/>
  <c r="AR162" i="12"/>
  <c r="AS162" i="12" s="1"/>
  <c r="AR163" i="12"/>
  <c r="AS163" i="12" s="1"/>
  <c r="AR164" i="12"/>
  <c r="AS164" i="12" s="1"/>
  <c r="AR165" i="12"/>
  <c r="AS165" i="12" s="1"/>
  <c r="AR166" i="12"/>
  <c r="AR167" i="12"/>
  <c r="AR168" i="12"/>
  <c r="AR169" i="12"/>
  <c r="AS169" i="12" s="1"/>
  <c r="AR170" i="12"/>
  <c r="AS170" i="12" s="1"/>
  <c r="AR171" i="12"/>
  <c r="AS171" i="12" s="1"/>
  <c r="AR172" i="12"/>
  <c r="AS172" i="12" s="1"/>
  <c r="AR173" i="12"/>
  <c r="AS173" i="12" s="1"/>
  <c r="AR174" i="12"/>
  <c r="AR175" i="12"/>
  <c r="AR176" i="12"/>
  <c r="AR177" i="12"/>
  <c r="AS177" i="12" s="1"/>
  <c r="AR178" i="12"/>
  <c r="AS178" i="12" s="1"/>
  <c r="AR179" i="12"/>
  <c r="AS179" i="12" s="1"/>
  <c r="AR180" i="12"/>
  <c r="AS180" i="12" s="1"/>
  <c r="AR181" i="12"/>
  <c r="AS181" i="12" s="1"/>
  <c r="AR182" i="12"/>
  <c r="AR183" i="12"/>
  <c r="AR184" i="12"/>
  <c r="AR185" i="12"/>
  <c r="AS185" i="12" s="1"/>
  <c r="AR186" i="12"/>
  <c r="AS186" i="12" s="1"/>
  <c r="AR187" i="12"/>
  <c r="AS187" i="12" s="1"/>
  <c r="AR188" i="12"/>
  <c r="AS188" i="12" s="1"/>
  <c r="AR189" i="12"/>
  <c r="AS189" i="12" s="1"/>
  <c r="AR190" i="12"/>
  <c r="AR191" i="12"/>
  <c r="AR3" i="12"/>
  <c r="AR4" i="12"/>
  <c r="AR5" i="12"/>
  <c r="AR6" i="12"/>
  <c r="AR7" i="12"/>
  <c r="AR8" i="12"/>
  <c r="AS8" i="12" s="1"/>
  <c r="AR9" i="12"/>
  <c r="AR10" i="12"/>
  <c r="AR11" i="12"/>
  <c r="AR12" i="12"/>
  <c r="AS12" i="12" s="1"/>
  <c r="AR13" i="12"/>
  <c r="AR14" i="12"/>
  <c r="AR15" i="12"/>
  <c r="AR16" i="12"/>
  <c r="AS16" i="12" s="1"/>
  <c r="AR17" i="12"/>
  <c r="AR18" i="12"/>
  <c r="AR19" i="12"/>
  <c r="AR20" i="12"/>
  <c r="AR21" i="12"/>
  <c r="AR22" i="12"/>
  <c r="AR23" i="12"/>
  <c r="AR24" i="12"/>
  <c r="AS24" i="12" s="1"/>
  <c r="AR25" i="12"/>
  <c r="AR26" i="12"/>
  <c r="AR2" i="12"/>
  <c r="AS2" i="12" s="1"/>
  <c r="AQ28" i="12"/>
  <c r="AQ29" i="12"/>
  <c r="AQ30" i="12"/>
  <c r="AQ31" i="12"/>
  <c r="AQ32" i="12"/>
  <c r="AT34" i="12"/>
  <c r="AQ35" i="12"/>
  <c r="AQ36" i="12"/>
  <c r="AQ37" i="12"/>
  <c r="AQ38" i="12"/>
  <c r="AQ39" i="12"/>
  <c r="AQ40" i="12"/>
  <c r="AQ41" i="12"/>
  <c r="AT42" i="12"/>
  <c r="AQ43" i="12"/>
  <c r="AQ44" i="12"/>
  <c r="AQ45" i="12"/>
  <c r="AQ46" i="12"/>
  <c r="AQ47" i="12"/>
  <c r="AQ48" i="12"/>
  <c r="AQ49" i="12"/>
  <c r="AQ50" i="12"/>
  <c r="AQ51" i="12"/>
  <c r="AQ52" i="12"/>
  <c r="AQ53" i="12"/>
  <c r="AQ54" i="12"/>
  <c r="AQ55" i="12"/>
  <c r="AQ56" i="12"/>
  <c r="AT58" i="12"/>
  <c r="AQ59" i="12"/>
  <c r="AQ60" i="12"/>
  <c r="AQ61" i="12"/>
  <c r="AQ62" i="12"/>
  <c r="AQ63" i="12"/>
  <c r="AQ64" i="12"/>
  <c r="AT66" i="12"/>
  <c r="AQ67" i="12"/>
  <c r="AQ68" i="12"/>
  <c r="AQ69" i="12"/>
  <c r="AQ70" i="12"/>
  <c r="AQ71" i="12"/>
  <c r="AQ72" i="12"/>
  <c r="AT74" i="12"/>
  <c r="AQ75" i="12"/>
  <c r="AQ76" i="12"/>
  <c r="AQ77" i="12"/>
  <c r="AQ78" i="12"/>
  <c r="AQ79" i="12"/>
  <c r="AQ80" i="12"/>
  <c r="AQ82" i="12"/>
  <c r="AQ83" i="12"/>
  <c r="AQ84" i="12"/>
  <c r="AQ85" i="12"/>
  <c r="AQ86" i="12"/>
  <c r="AQ87" i="12"/>
  <c r="AQ88" i="12"/>
  <c r="AQ89" i="12"/>
  <c r="AT90" i="12"/>
  <c r="AQ91" i="12"/>
  <c r="AQ92" i="12"/>
  <c r="AQ93" i="12"/>
  <c r="AQ94" i="12"/>
  <c r="AQ95" i="12"/>
  <c r="AQ96" i="12"/>
  <c r="AT98" i="12"/>
  <c r="AQ99" i="12"/>
  <c r="AQ100" i="12"/>
  <c r="AQ101" i="12"/>
  <c r="AQ102" i="12"/>
  <c r="AQ103" i="12"/>
  <c r="AQ104" i="12"/>
  <c r="AQ105" i="12"/>
  <c r="AT106" i="12"/>
  <c r="AQ107" i="12"/>
  <c r="AQ108" i="12"/>
  <c r="AQ109" i="12"/>
  <c r="AQ110" i="12"/>
  <c r="AQ111" i="12"/>
  <c r="AQ112" i="12"/>
  <c r="AQ113" i="12"/>
  <c r="AQ114" i="12"/>
  <c r="AQ115" i="12"/>
  <c r="AQ116" i="12"/>
  <c r="AQ117" i="12"/>
  <c r="AQ118" i="12"/>
  <c r="AQ119" i="12"/>
  <c r="AQ120" i="12"/>
  <c r="AT122" i="12"/>
  <c r="AQ123" i="12"/>
  <c r="AQ124" i="12"/>
  <c r="AQ125" i="12"/>
  <c r="AQ126" i="12"/>
  <c r="AQ127" i="12"/>
  <c r="AQ128" i="12"/>
  <c r="AT130" i="12"/>
  <c r="AQ131" i="12"/>
  <c r="AQ132" i="12"/>
  <c r="AQ133" i="12"/>
  <c r="AQ134" i="12"/>
  <c r="AQ135" i="12"/>
  <c r="AQ136" i="12"/>
  <c r="AT138" i="12"/>
  <c r="AQ139" i="12"/>
  <c r="AQ140" i="12"/>
  <c r="AQ141" i="12"/>
  <c r="AQ142" i="12"/>
  <c r="AQ143" i="12"/>
  <c r="AQ144" i="12"/>
  <c r="AQ146" i="12"/>
  <c r="AQ147" i="12"/>
  <c r="AQ148" i="12"/>
  <c r="AQ149" i="12"/>
  <c r="AQ150" i="12"/>
  <c r="AQ151" i="12"/>
  <c r="AQ152" i="12"/>
  <c r="AQ153" i="12"/>
  <c r="AT154" i="12"/>
  <c r="AQ155" i="12"/>
  <c r="AQ156" i="12"/>
  <c r="AQ157" i="12"/>
  <c r="AQ158" i="12"/>
  <c r="AQ159" i="12"/>
  <c r="AQ160" i="12"/>
  <c r="AT162" i="12"/>
  <c r="AQ163" i="12"/>
  <c r="AQ164" i="12"/>
  <c r="AQ165" i="12"/>
  <c r="AQ166" i="12"/>
  <c r="AQ167" i="12"/>
  <c r="AQ168" i="12"/>
  <c r="AQ169" i="12"/>
  <c r="AT170" i="12"/>
  <c r="AQ171" i="12"/>
  <c r="AQ172" i="12"/>
  <c r="AQ173" i="12"/>
  <c r="AQ174" i="12"/>
  <c r="AQ175" i="12"/>
  <c r="AQ176" i="12"/>
  <c r="AQ178" i="12"/>
  <c r="AQ179" i="12"/>
  <c r="AQ180" i="12"/>
  <c r="AQ181" i="12"/>
  <c r="AQ182" i="12"/>
  <c r="AQ183" i="12"/>
  <c r="AQ184" i="12"/>
  <c r="AT186" i="12"/>
  <c r="AQ187" i="12"/>
  <c r="AQ188" i="12"/>
  <c r="AQ189" i="12"/>
  <c r="AQ190" i="12"/>
  <c r="AQ191" i="12"/>
  <c r="AQ3" i="12"/>
  <c r="AT5" i="12"/>
  <c r="AT6" i="12"/>
  <c r="AQ7" i="12"/>
  <c r="AQ9" i="12"/>
  <c r="AQ10" i="12"/>
  <c r="AQ11" i="12"/>
  <c r="AT13" i="12"/>
  <c r="AT14" i="12"/>
  <c r="AQ15" i="12"/>
  <c r="AQ17" i="12"/>
  <c r="AQ18" i="12"/>
  <c r="AQ19" i="12"/>
  <c r="AT22" i="12"/>
  <c r="AQ23" i="12"/>
  <c r="AQ25" i="12"/>
  <c r="AQ26" i="12"/>
  <c r="AQ2" i="12"/>
  <c r="AM27" i="12"/>
  <c r="AM28" i="12"/>
  <c r="AN28" i="12" s="1"/>
  <c r="AM29" i="12"/>
  <c r="AM30" i="12"/>
  <c r="AN30" i="12" s="1"/>
  <c r="AM31" i="12"/>
  <c r="AM32" i="12"/>
  <c r="AN32" i="12" s="1"/>
  <c r="AM33" i="12"/>
  <c r="AN33" i="12" s="1"/>
  <c r="AM34" i="12"/>
  <c r="AN34" i="12" s="1"/>
  <c r="AM35" i="12"/>
  <c r="AN35" i="12" s="1"/>
  <c r="AM36" i="12"/>
  <c r="AN36" i="12" s="1"/>
  <c r="AM37" i="12"/>
  <c r="AM38" i="12"/>
  <c r="AN38" i="12" s="1"/>
  <c r="AM39" i="12"/>
  <c r="AM40" i="12"/>
  <c r="AN40" i="12" s="1"/>
  <c r="AM41" i="12"/>
  <c r="AN41" i="12" s="1"/>
  <c r="AM42" i="12"/>
  <c r="AN42" i="12" s="1"/>
  <c r="AM43" i="12"/>
  <c r="AN43" i="12" s="1"/>
  <c r="AM44" i="12"/>
  <c r="AN44" i="12" s="1"/>
  <c r="AM45" i="12"/>
  <c r="AM46" i="12"/>
  <c r="AN46" i="12" s="1"/>
  <c r="AM47" i="12"/>
  <c r="AM48" i="12"/>
  <c r="AN48" i="12" s="1"/>
  <c r="AM49" i="12"/>
  <c r="AN49" i="12" s="1"/>
  <c r="AM50" i="12"/>
  <c r="AN50" i="12" s="1"/>
  <c r="AM51" i="12"/>
  <c r="AN51" i="12" s="1"/>
  <c r="AM52" i="12"/>
  <c r="AN52" i="12" s="1"/>
  <c r="AM53" i="12"/>
  <c r="AM54" i="12"/>
  <c r="AN54" i="12" s="1"/>
  <c r="AM55" i="12"/>
  <c r="AM56" i="12"/>
  <c r="AN56" i="12" s="1"/>
  <c r="AM57" i="12"/>
  <c r="AN57" i="12" s="1"/>
  <c r="AM58" i="12"/>
  <c r="AN58" i="12" s="1"/>
  <c r="AM59" i="12"/>
  <c r="AN59" i="12" s="1"/>
  <c r="AM60" i="12"/>
  <c r="AN60" i="12" s="1"/>
  <c r="AM61" i="12"/>
  <c r="AM62" i="12"/>
  <c r="AN62" i="12" s="1"/>
  <c r="AM63" i="12"/>
  <c r="AM64" i="12"/>
  <c r="AN64" i="12" s="1"/>
  <c r="AM65" i="12"/>
  <c r="AN65" i="12" s="1"/>
  <c r="AM66" i="12"/>
  <c r="AN66" i="12" s="1"/>
  <c r="AM67" i="12"/>
  <c r="AN67" i="12" s="1"/>
  <c r="AM68" i="12"/>
  <c r="AN68" i="12" s="1"/>
  <c r="AM69" i="12"/>
  <c r="AN69" i="12" s="1"/>
  <c r="AM70" i="12"/>
  <c r="AN70" i="12" s="1"/>
  <c r="AM71" i="12"/>
  <c r="AM72" i="12"/>
  <c r="AN72" i="12" s="1"/>
  <c r="AM73" i="12"/>
  <c r="AN73" i="12" s="1"/>
  <c r="AM74" i="12"/>
  <c r="AN74" i="12" s="1"/>
  <c r="AM75" i="12"/>
  <c r="AN75" i="12" s="1"/>
  <c r="AM76" i="12"/>
  <c r="AN76" i="12" s="1"/>
  <c r="AM77" i="12"/>
  <c r="AM78" i="12"/>
  <c r="AN78" i="12" s="1"/>
  <c r="AM79" i="12"/>
  <c r="AM80" i="12"/>
  <c r="AN80" i="12" s="1"/>
  <c r="AM81" i="12"/>
  <c r="AN81" i="12" s="1"/>
  <c r="AM82" i="12"/>
  <c r="AN82" i="12" s="1"/>
  <c r="AM83" i="12"/>
  <c r="AN83" i="12" s="1"/>
  <c r="AM84" i="12"/>
  <c r="AN84" i="12" s="1"/>
  <c r="AM85" i="12"/>
  <c r="AN85" i="12" s="1"/>
  <c r="AM86" i="12"/>
  <c r="AN86" i="12" s="1"/>
  <c r="AM87" i="12"/>
  <c r="AM88" i="12"/>
  <c r="AN88" i="12" s="1"/>
  <c r="AM89" i="12"/>
  <c r="AN89" i="12" s="1"/>
  <c r="AM90" i="12"/>
  <c r="AN90" i="12" s="1"/>
  <c r="AM91" i="12"/>
  <c r="AN91" i="12" s="1"/>
  <c r="AM92" i="12"/>
  <c r="AN92" i="12" s="1"/>
  <c r="AM93" i="12"/>
  <c r="AM94" i="12"/>
  <c r="AN94" i="12" s="1"/>
  <c r="AM95" i="12"/>
  <c r="AM96" i="12"/>
  <c r="AN96" i="12" s="1"/>
  <c r="AM97" i="12"/>
  <c r="AN97" i="12" s="1"/>
  <c r="AM98" i="12"/>
  <c r="AN98" i="12" s="1"/>
  <c r="AM99" i="12"/>
  <c r="AN99" i="12" s="1"/>
  <c r="AM100" i="12"/>
  <c r="AN100" i="12" s="1"/>
  <c r="AM101" i="12"/>
  <c r="AN101" i="12" s="1"/>
  <c r="AM102" i="12"/>
  <c r="AN102" i="12" s="1"/>
  <c r="AM103" i="12"/>
  <c r="AM104" i="12"/>
  <c r="AN104" i="12" s="1"/>
  <c r="AM105" i="12"/>
  <c r="AN105" i="12" s="1"/>
  <c r="AM106" i="12"/>
  <c r="AN106" i="12" s="1"/>
  <c r="AM107" i="12"/>
  <c r="AN107" i="12" s="1"/>
  <c r="AM108" i="12"/>
  <c r="AN108" i="12" s="1"/>
  <c r="AM109" i="12"/>
  <c r="AM110" i="12"/>
  <c r="AN110" i="12" s="1"/>
  <c r="AM111" i="12"/>
  <c r="AM112" i="12"/>
  <c r="AN112" i="12" s="1"/>
  <c r="AM113" i="12"/>
  <c r="AN113" i="12" s="1"/>
  <c r="AM114" i="12"/>
  <c r="AN114" i="12" s="1"/>
  <c r="AM115" i="12"/>
  <c r="AN115" i="12" s="1"/>
  <c r="AM116" i="12"/>
  <c r="AN116" i="12" s="1"/>
  <c r="AM117" i="12"/>
  <c r="AN117" i="12" s="1"/>
  <c r="AM118" i="12"/>
  <c r="AN118" i="12" s="1"/>
  <c r="AM119" i="12"/>
  <c r="AM120" i="12"/>
  <c r="AN120" i="12" s="1"/>
  <c r="AM121" i="12"/>
  <c r="AN121" i="12" s="1"/>
  <c r="AM122" i="12"/>
  <c r="AN122" i="12" s="1"/>
  <c r="AM123" i="12"/>
  <c r="AN123" i="12" s="1"/>
  <c r="AM124" i="12"/>
  <c r="AN124" i="12" s="1"/>
  <c r="AM125" i="12"/>
  <c r="AM126" i="12"/>
  <c r="AN126" i="12" s="1"/>
  <c r="AM127" i="12"/>
  <c r="AM128" i="12"/>
  <c r="AN128" i="12" s="1"/>
  <c r="AM129" i="12"/>
  <c r="AN129" i="12" s="1"/>
  <c r="AM130" i="12"/>
  <c r="AN130" i="12" s="1"/>
  <c r="AM131" i="12"/>
  <c r="AN131" i="12" s="1"/>
  <c r="AM132" i="12"/>
  <c r="AN132" i="12" s="1"/>
  <c r="AM133" i="12"/>
  <c r="AN133" i="12" s="1"/>
  <c r="AM134" i="12"/>
  <c r="AN134" i="12" s="1"/>
  <c r="AM135" i="12"/>
  <c r="AM136" i="12"/>
  <c r="AN136" i="12" s="1"/>
  <c r="AM137" i="12"/>
  <c r="AN137" i="12" s="1"/>
  <c r="AM138" i="12"/>
  <c r="AN138" i="12" s="1"/>
  <c r="AM139" i="12"/>
  <c r="AN139" i="12" s="1"/>
  <c r="AM140" i="12"/>
  <c r="AN140" i="12" s="1"/>
  <c r="AM141" i="12"/>
  <c r="AM142" i="12"/>
  <c r="AN142" i="12" s="1"/>
  <c r="AM143" i="12"/>
  <c r="AM144" i="12"/>
  <c r="AN144" i="12" s="1"/>
  <c r="AM145" i="12"/>
  <c r="AN145" i="12" s="1"/>
  <c r="AM146" i="12"/>
  <c r="AN146" i="12" s="1"/>
  <c r="AM147" i="12"/>
  <c r="AN147" i="12" s="1"/>
  <c r="AM148" i="12"/>
  <c r="AN148" i="12" s="1"/>
  <c r="AM149" i="12"/>
  <c r="AN149" i="12" s="1"/>
  <c r="AM150" i="12"/>
  <c r="AN150" i="12" s="1"/>
  <c r="AM151" i="12"/>
  <c r="AM152" i="12"/>
  <c r="AN152" i="12" s="1"/>
  <c r="AM153" i="12"/>
  <c r="AN153" i="12" s="1"/>
  <c r="AM154" i="12"/>
  <c r="AN154" i="12" s="1"/>
  <c r="AM155" i="12"/>
  <c r="AM156" i="12"/>
  <c r="AN156" i="12" s="1"/>
  <c r="AM157" i="12"/>
  <c r="AM158" i="12"/>
  <c r="AN158" i="12" s="1"/>
  <c r="AM159" i="12"/>
  <c r="AM160" i="12"/>
  <c r="AN160" i="12" s="1"/>
  <c r="AM161" i="12"/>
  <c r="AN161" i="12" s="1"/>
  <c r="AM162" i="12"/>
  <c r="AN162" i="12" s="1"/>
  <c r="AM163" i="12"/>
  <c r="AN163" i="12" s="1"/>
  <c r="AM164" i="12"/>
  <c r="AN164" i="12" s="1"/>
  <c r="AM165" i="12"/>
  <c r="AN165" i="12" s="1"/>
  <c r="AM166" i="12"/>
  <c r="AN166" i="12" s="1"/>
  <c r="AM167" i="12"/>
  <c r="AM168" i="12"/>
  <c r="AN168" i="12" s="1"/>
  <c r="AM169" i="12"/>
  <c r="AN169" i="12" s="1"/>
  <c r="AM170" i="12"/>
  <c r="AN170" i="12" s="1"/>
  <c r="AM171" i="12"/>
  <c r="AN171" i="12" s="1"/>
  <c r="AM172" i="12"/>
  <c r="AN172" i="12" s="1"/>
  <c r="AM173" i="12"/>
  <c r="AM174" i="12"/>
  <c r="AN174" i="12" s="1"/>
  <c r="AM175" i="12"/>
  <c r="AM176" i="12"/>
  <c r="AN176" i="12" s="1"/>
  <c r="AM177" i="12"/>
  <c r="AN177" i="12" s="1"/>
  <c r="AM178" i="12"/>
  <c r="AN178" i="12" s="1"/>
  <c r="AM179" i="12"/>
  <c r="AN179" i="12" s="1"/>
  <c r="AM180" i="12"/>
  <c r="AN180" i="12" s="1"/>
  <c r="AM181" i="12"/>
  <c r="AN181" i="12" s="1"/>
  <c r="AM182" i="12"/>
  <c r="AN182" i="12" s="1"/>
  <c r="AM183" i="12"/>
  <c r="AM184" i="12"/>
  <c r="AN184" i="12" s="1"/>
  <c r="AM185" i="12"/>
  <c r="AN185" i="12" s="1"/>
  <c r="AM186" i="12"/>
  <c r="AN186" i="12" s="1"/>
  <c r="AM187" i="12"/>
  <c r="AN187" i="12" s="1"/>
  <c r="AM188" i="12"/>
  <c r="AN188" i="12" s="1"/>
  <c r="AM189" i="12"/>
  <c r="AM190" i="12"/>
  <c r="AN190" i="12" s="1"/>
  <c r="AM191" i="12"/>
  <c r="AM3" i="12"/>
  <c r="AM4" i="12"/>
  <c r="AM5" i="12"/>
  <c r="AM6" i="12"/>
  <c r="AM7" i="12"/>
  <c r="AN7" i="12" s="1"/>
  <c r="AM8" i="12"/>
  <c r="AN8" i="12" s="1"/>
  <c r="AM9" i="12"/>
  <c r="AN9" i="12" s="1"/>
  <c r="AM10" i="12"/>
  <c r="AM11" i="12"/>
  <c r="AM12" i="12"/>
  <c r="AN12" i="12" s="1"/>
  <c r="AM13" i="12"/>
  <c r="AM14" i="12"/>
  <c r="AM15" i="12"/>
  <c r="AM16" i="12"/>
  <c r="AM17" i="12"/>
  <c r="AM18" i="12"/>
  <c r="AM19" i="12"/>
  <c r="AM20" i="12"/>
  <c r="AN20" i="12" s="1"/>
  <c r="AM21" i="12"/>
  <c r="AM22" i="12"/>
  <c r="AM23" i="12"/>
  <c r="AM24" i="12"/>
  <c r="AM25" i="12"/>
  <c r="AM26" i="12"/>
  <c r="AM2" i="12"/>
  <c r="AL27" i="12"/>
  <c r="AL28" i="12"/>
  <c r="AL29" i="12"/>
  <c r="AL30" i="12"/>
  <c r="AL31" i="12"/>
  <c r="AL32" i="12"/>
  <c r="AL33" i="12"/>
  <c r="AL35" i="12"/>
  <c r="AL36" i="12"/>
  <c r="AL37" i="12"/>
  <c r="AL38" i="12"/>
  <c r="AL39" i="12"/>
  <c r="AL40" i="12"/>
  <c r="AL41" i="12"/>
  <c r="AL43" i="12"/>
  <c r="AL44" i="12"/>
  <c r="AL45" i="12"/>
  <c r="AL46" i="12"/>
  <c r="AL47" i="12"/>
  <c r="AL48" i="12"/>
  <c r="AL49" i="12"/>
  <c r="AL50" i="12"/>
  <c r="AL51" i="12"/>
  <c r="AL52" i="12"/>
  <c r="AL53" i="12"/>
  <c r="AL54" i="12"/>
  <c r="AL55" i="12"/>
  <c r="AL56" i="12"/>
  <c r="AL57" i="12"/>
  <c r="AL59" i="12"/>
  <c r="AL60" i="12"/>
  <c r="AL61" i="12"/>
  <c r="AL62" i="12"/>
  <c r="AL63" i="12"/>
  <c r="AL64" i="12"/>
  <c r="AL65" i="12"/>
  <c r="AL66" i="12"/>
  <c r="AL67" i="12"/>
  <c r="AL68" i="12"/>
  <c r="AL69" i="12"/>
  <c r="AL70" i="12"/>
  <c r="AL71" i="12"/>
  <c r="AL72" i="12"/>
  <c r="AL73" i="12"/>
  <c r="AL75" i="12"/>
  <c r="AL76" i="12"/>
  <c r="AL77" i="12"/>
  <c r="AL78" i="12"/>
  <c r="AL79" i="12"/>
  <c r="AL80" i="12"/>
  <c r="AL81" i="12"/>
  <c r="AL82" i="12"/>
  <c r="AL83" i="12"/>
  <c r="AL84" i="12"/>
  <c r="AL85" i="12"/>
  <c r="AL86" i="12"/>
  <c r="AL87" i="12"/>
  <c r="AL88" i="12"/>
  <c r="AL89" i="12"/>
  <c r="AL91" i="12"/>
  <c r="AL92" i="12"/>
  <c r="AL93" i="12"/>
  <c r="AL94" i="12"/>
  <c r="AL95" i="12"/>
  <c r="AL96" i="12"/>
  <c r="AL97" i="12"/>
  <c r="AL99" i="12"/>
  <c r="AL100" i="12"/>
  <c r="AL101" i="12"/>
  <c r="AL102" i="12"/>
  <c r="AL103" i="12"/>
  <c r="AL104" i="12"/>
  <c r="AL105" i="12"/>
  <c r="AL107" i="12"/>
  <c r="AL108" i="12"/>
  <c r="AL109" i="12"/>
  <c r="AL110" i="12"/>
  <c r="AL111" i="12"/>
  <c r="AL112" i="12"/>
  <c r="AL113" i="12"/>
  <c r="AL114" i="12"/>
  <c r="AL115" i="12"/>
  <c r="AL116" i="12"/>
  <c r="AL117" i="12"/>
  <c r="AL118" i="12"/>
  <c r="AL119" i="12"/>
  <c r="AL120" i="12"/>
  <c r="AL121" i="12"/>
  <c r="AL123" i="12"/>
  <c r="AL124" i="12"/>
  <c r="AL125" i="12"/>
  <c r="AL126" i="12"/>
  <c r="AL127" i="12"/>
  <c r="AL128" i="12"/>
  <c r="AL129" i="12"/>
  <c r="AL130" i="12"/>
  <c r="AL131" i="12"/>
  <c r="AL132" i="12"/>
  <c r="AL133" i="12"/>
  <c r="AL134" i="12"/>
  <c r="AL135" i="12"/>
  <c r="AL136" i="12"/>
  <c r="AL137" i="12"/>
  <c r="AL139" i="12"/>
  <c r="AL140" i="12"/>
  <c r="AL141" i="12"/>
  <c r="AL142" i="12"/>
  <c r="AL143" i="12"/>
  <c r="AL144" i="12"/>
  <c r="AL145" i="12"/>
  <c r="AL146" i="12"/>
  <c r="AL147" i="12"/>
  <c r="AL148" i="12"/>
  <c r="AL149" i="12"/>
  <c r="AL150" i="12"/>
  <c r="AL151" i="12"/>
  <c r="AL152" i="12"/>
  <c r="AL153" i="12"/>
  <c r="AL155" i="12"/>
  <c r="AL156" i="12"/>
  <c r="AL157" i="12"/>
  <c r="AL158" i="12"/>
  <c r="AL159" i="12"/>
  <c r="AL160" i="12"/>
  <c r="AL161" i="12"/>
  <c r="AL163" i="12"/>
  <c r="AL164" i="12"/>
  <c r="AL165" i="12"/>
  <c r="AL166" i="12"/>
  <c r="AL167" i="12"/>
  <c r="AL168" i="12"/>
  <c r="AL169" i="12"/>
  <c r="AL171" i="12"/>
  <c r="AL172" i="12"/>
  <c r="AL173" i="12"/>
  <c r="AL174" i="12"/>
  <c r="AL175" i="12"/>
  <c r="AL176" i="12"/>
  <c r="AL177" i="12"/>
  <c r="AL178" i="12"/>
  <c r="AL179" i="12"/>
  <c r="AL180" i="12"/>
  <c r="AL181" i="12"/>
  <c r="AL182" i="12"/>
  <c r="AL183" i="12"/>
  <c r="AL184" i="12"/>
  <c r="AL185" i="12"/>
  <c r="AL187" i="12"/>
  <c r="AL188" i="12"/>
  <c r="AL189" i="12"/>
  <c r="AL190" i="12"/>
  <c r="AL191" i="12"/>
  <c r="AL3" i="12"/>
  <c r="AL4" i="12"/>
  <c r="AL6" i="12"/>
  <c r="AL7" i="12"/>
  <c r="AL8" i="12"/>
  <c r="AL9" i="12"/>
  <c r="AL10" i="12"/>
  <c r="AL11" i="12"/>
  <c r="AL12" i="12"/>
  <c r="AL14" i="12"/>
  <c r="AL15" i="12"/>
  <c r="AL16" i="12"/>
  <c r="AL17" i="12"/>
  <c r="AL18" i="12"/>
  <c r="AL19" i="12"/>
  <c r="AL22" i="12"/>
  <c r="AL23" i="12"/>
  <c r="AL24" i="12"/>
  <c r="AL25" i="12"/>
  <c r="AL26" i="12"/>
  <c r="AL2" i="12"/>
  <c r="AH27" i="12"/>
  <c r="AI27" i="12" s="1"/>
  <c r="AH28" i="12"/>
  <c r="AI28" i="12" s="1"/>
  <c r="AH29" i="12"/>
  <c r="AI29" i="12" s="1"/>
  <c r="AH30" i="12"/>
  <c r="AI30" i="12" s="1"/>
  <c r="AH31" i="12"/>
  <c r="AH32" i="12"/>
  <c r="AH33" i="12"/>
  <c r="AI33" i="12" s="1"/>
  <c r="AH34" i="12"/>
  <c r="AI34" i="12" s="1"/>
  <c r="AH35" i="12"/>
  <c r="AI35" i="12" s="1"/>
  <c r="AH36" i="12"/>
  <c r="AI36" i="12" s="1"/>
  <c r="AH37" i="12"/>
  <c r="AI37" i="12" s="1"/>
  <c r="AH38" i="12"/>
  <c r="AI38" i="12" s="1"/>
  <c r="AH39" i="12"/>
  <c r="AI39" i="12" s="1"/>
  <c r="AH40" i="12"/>
  <c r="AI40" i="12" s="1"/>
  <c r="AH41" i="12"/>
  <c r="AI41" i="12" s="1"/>
  <c r="AH42" i="12"/>
  <c r="AI42" i="12" s="1"/>
  <c r="AH43" i="12"/>
  <c r="AI43" i="12" s="1"/>
  <c r="AH44" i="12"/>
  <c r="AI44" i="12" s="1"/>
  <c r="AH45" i="12"/>
  <c r="AI45" i="12" s="1"/>
  <c r="AH46" i="12"/>
  <c r="AI46" i="12" s="1"/>
  <c r="AH47" i="12"/>
  <c r="AH48" i="12"/>
  <c r="AI48" i="12" s="1"/>
  <c r="AH49" i="12"/>
  <c r="AI49" i="12" s="1"/>
  <c r="AH50" i="12"/>
  <c r="AI50" i="12" s="1"/>
  <c r="AH51" i="12"/>
  <c r="AI51" i="12" s="1"/>
  <c r="AH52" i="12"/>
  <c r="AH53" i="12"/>
  <c r="AH54" i="12"/>
  <c r="AI54" i="12" s="1"/>
  <c r="AH55" i="12"/>
  <c r="AI55" i="12" s="1"/>
  <c r="AH56" i="12"/>
  <c r="AI56" i="12" s="1"/>
  <c r="AH57" i="12"/>
  <c r="AI57" i="12" s="1"/>
  <c r="AH58" i="12"/>
  <c r="AI58" i="12" s="1"/>
  <c r="AH59" i="12"/>
  <c r="AI59" i="12" s="1"/>
  <c r="AH60" i="12"/>
  <c r="AI60" i="12" s="1"/>
  <c r="AH61" i="12"/>
  <c r="AI61" i="12" s="1"/>
  <c r="AH62" i="12"/>
  <c r="AI62" i="12" s="1"/>
  <c r="AH63" i="12"/>
  <c r="AH64" i="12"/>
  <c r="AI64" i="12" s="1"/>
  <c r="AH65" i="12"/>
  <c r="AI65" i="12" s="1"/>
  <c r="AH66" i="12"/>
  <c r="AI66" i="12" s="1"/>
  <c r="AH67" i="12"/>
  <c r="AI67" i="12" s="1"/>
  <c r="AH68" i="12"/>
  <c r="AI68" i="12" s="1"/>
  <c r="AH69" i="12"/>
  <c r="AI69" i="12" s="1"/>
  <c r="AH70" i="12"/>
  <c r="AI70" i="12" s="1"/>
  <c r="AH71" i="12"/>
  <c r="AI71" i="12" s="1"/>
  <c r="AH72" i="12"/>
  <c r="AI72" i="12" s="1"/>
  <c r="AH73" i="12"/>
  <c r="AI73" i="12" s="1"/>
  <c r="AH74" i="12"/>
  <c r="AI74" i="12" s="1"/>
  <c r="AH75" i="12"/>
  <c r="AI75" i="12" s="1"/>
  <c r="AH76" i="12"/>
  <c r="AI76" i="12" s="1"/>
  <c r="AH77" i="12"/>
  <c r="AH78" i="12"/>
  <c r="AI78" i="12" s="1"/>
  <c r="AH79" i="12"/>
  <c r="AH80" i="12"/>
  <c r="AI80" i="12" s="1"/>
  <c r="AH81" i="12"/>
  <c r="AI81" i="12" s="1"/>
  <c r="AH82" i="12"/>
  <c r="AI82" i="12" s="1"/>
  <c r="AH83" i="12"/>
  <c r="AI83" i="12" s="1"/>
  <c r="AH84" i="12"/>
  <c r="AI84" i="12" s="1"/>
  <c r="AH85" i="12"/>
  <c r="AI85" i="12" s="1"/>
  <c r="AH86" i="12"/>
  <c r="AH87" i="12"/>
  <c r="AI87" i="12" s="1"/>
  <c r="AH88" i="12"/>
  <c r="AI88" i="12" s="1"/>
  <c r="AH89" i="12"/>
  <c r="AI89" i="12" s="1"/>
  <c r="AH90" i="12"/>
  <c r="AI90" i="12" s="1"/>
  <c r="AH91" i="12"/>
  <c r="AI91" i="12" s="1"/>
  <c r="AH92" i="12"/>
  <c r="AI92" i="12" s="1"/>
  <c r="AH93" i="12"/>
  <c r="AI93" i="12" s="1"/>
  <c r="AH94" i="12"/>
  <c r="AH95" i="12"/>
  <c r="AH96" i="12"/>
  <c r="AI96" i="12" s="1"/>
  <c r="AH97" i="12"/>
  <c r="AI97" i="12" s="1"/>
  <c r="AH98" i="12"/>
  <c r="AI98" i="12" s="1"/>
  <c r="AH99" i="12"/>
  <c r="AI99" i="12" s="1"/>
  <c r="AH100" i="12"/>
  <c r="AI100" i="12" s="1"/>
  <c r="AH101" i="12"/>
  <c r="AI101" i="12" s="1"/>
  <c r="AH102" i="12"/>
  <c r="AH103" i="12"/>
  <c r="AI103" i="12" s="1"/>
  <c r="AH104" i="12"/>
  <c r="AI104" i="12" s="1"/>
  <c r="AH105" i="12"/>
  <c r="AI105" i="12" s="1"/>
  <c r="AH106" i="12"/>
  <c r="AI106" i="12" s="1"/>
  <c r="AH107" i="12"/>
  <c r="AI107" i="12" s="1"/>
  <c r="AH108" i="12"/>
  <c r="AI108" i="12" s="1"/>
  <c r="AH109" i="12"/>
  <c r="AI109" i="12" s="1"/>
  <c r="AH110" i="12"/>
  <c r="AH111" i="12"/>
  <c r="AH112" i="12"/>
  <c r="AI112" i="12" s="1"/>
  <c r="AH113" i="12"/>
  <c r="AI113" i="12" s="1"/>
  <c r="AH114" i="12"/>
  <c r="AI114" i="12" s="1"/>
  <c r="AH115" i="12"/>
  <c r="AI115" i="12" s="1"/>
  <c r="AH116" i="12"/>
  <c r="AH117" i="12"/>
  <c r="AH118" i="12"/>
  <c r="AH119" i="12"/>
  <c r="AI119" i="12" s="1"/>
  <c r="AH120" i="12"/>
  <c r="AI120" i="12" s="1"/>
  <c r="AH121" i="12"/>
  <c r="AI121" i="12" s="1"/>
  <c r="AH122" i="12"/>
  <c r="AI122" i="12" s="1"/>
  <c r="AH123" i="12"/>
  <c r="AI123" i="12" s="1"/>
  <c r="AH124" i="12"/>
  <c r="AI124" i="12" s="1"/>
  <c r="AH125" i="12"/>
  <c r="AI125" i="12" s="1"/>
  <c r="AH126" i="12"/>
  <c r="AH127" i="12"/>
  <c r="AI127" i="12" s="1"/>
  <c r="AH128" i="12"/>
  <c r="AI128" i="12" s="1"/>
  <c r="AH129" i="12"/>
  <c r="AI129" i="12" s="1"/>
  <c r="AH130" i="12"/>
  <c r="AI130" i="12" s="1"/>
  <c r="AH131" i="12"/>
  <c r="AI131" i="12" s="1"/>
  <c r="AH132" i="12"/>
  <c r="AI132" i="12" s="1"/>
  <c r="AH133" i="12"/>
  <c r="AI133" i="12" s="1"/>
  <c r="AH134" i="12"/>
  <c r="AH135" i="12"/>
  <c r="AI135" i="12" s="1"/>
  <c r="AH136" i="12"/>
  <c r="AI136" i="12" s="1"/>
  <c r="AH137" i="12"/>
  <c r="AI137" i="12" s="1"/>
  <c r="AH138" i="12"/>
  <c r="AI138" i="12" s="1"/>
  <c r="AH139" i="12"/>
  <c r="AI139" i="12" s="1"/>
  <c r="AH140" i="12"/>
  <c r="AI140" i="12" s="1"/>
  <c r="AH141" i="12"/>
  <c r="AH142" i="12"/>
  <c r="AH143" i="12"/>
  <c r="AI143" i="12" s="1"/>
  <c r="AH144" i="12"/>
  <c r="AI144" i="12" s="1"/>
  <c r="AH145" i="12"/>
  <c r="AI145" i="12" s="1"/>
  <c r="AH146" i="12"/>
  <c r="AI146" i="12" s="1"/>
  <c r="AH147" i="12"/>
  <c r="AI147" i="12" s="1"/>
  <c r="AH148" i="12"/>
  <c r="AI148" i="12" s="1"/>
  <c r="AH149" i="12"/>
  <c r="AI149" i="12" s="1"/>
  <c r="AH150" i="12"/>
  <c r="AH151" i="12"/>
  <c r="AI151" i="12" s="1"/>
  <c r="AH152" i="12"/>
  <c r="AI152" i="12" s="1"/>
  <c r="AH153" i="12"/>
  <c r="AI153" i="12" s="1"/>
  <c r="AH154" i="12"/>
  <c r="AI154" i="12" s="1"/>
  <c r="AH155" i="12"/>
  <c r="AI155" i="12" s="1"/>
  <c r="AH156" i="12"/>
  <c r="AI156" i="12" s="1"/>
  <c r="AH157" i="12"/>
  <c r="AI157" i="12" s="1"/>
  <c r="AH158" i="12"/>
  <c r="AH159" i="12"/>
  <c r="AI159" i="12" s="1"/>
  <c r="AH160" i="12"/>
  <c r="AI160" i="12" s="1"/>
  <c r="AH161" i="12"/>
  <c r="AI161" i="12" s="1"/>
  <c r="AH162" i="12"/>
  <c r="AI162" i="12" s="1"/>
  <c r="AH163" i="12"/>
  <c r="AI163" i="12" s="1"/>
  <c r="AH164" i="12"/>
  <c r="AI164" i="12" s="1"/>
  <c r="AH165" i="12"/>
  <c r="AI165" i="12" s="1"/>
  <c r="AH166" i="12"/>
  <c r="AH167" i="12"/>
  <c r="AI167" i="12" s="1"/>
  <c r="AH168" i="12"/>
  <c r="AI168" i="12" s="1"/>
  <c r="AH169" i="12"/>
  <c r="AI169" i="12" s="1"/>
  <c r="AH170" i="12"/>
  <c r="AI170" i="12" s="1"/>
  <c r="AH171" i="12"/>
  <c r="AI171" i="12" s="1"/>
  <c r="AH172" i="12"/>
  <c r="AI172" i="12" s="1"/>
  <c r="AH173" i="12"/>
  <c r="AI173" i="12" s="1"/>
  <c r="AH174" i="12"/>
  <c r="AH175" i="12"/>
  <c r="AI175" i="12" s="1"/>
  <c r="AH176" i="12"/>
  <c r="AI176" i="12" s="1"/>
  <c r="AH177" i="12"/>
  <c r="AI177" i="12" s="1"/>
  <c r="AH178" i="12"/>
  <c r="AI178" i="12" s="1"/>
  <c r="AH179" i="12"/>
  <c r="AI179" i="12" s="1"/>
  <c r="AH180" i="12"/>
  <c r="AH181" i="12"/>
  <c r="AH182" i="12"/>
  <c r="AH183" i="12"/>
  <c r="AI183" i="12" s="1"/>
  <c r="AH184" i="12"/>
  <c r="AI184" i="12" s="1"/>
  <c r="AH185" i="12"/>
  <c r="AI185" i="12" s="1"/>
  <c r="AH186" i="12"/>
  <c r="AI186" i="12" s="1"/>
  <c r="AH187" i="12"/>
  <c r="AI187" i="12" s="1"/>
  <c r="AH188" i="12"/>
  <c r="AI188" i="12" s="1"/>
  <c r="AH189" i="12"/>
  <c r="AI189" i="12" s="1"/>
  <c r="AH190" i="12"/>
  <c r="AH191" i="12"/>
  <c r="AH3" i="12"/>
  <c r="AH4" i="12"/>
  <c r="AH5" i="12"/>
  <c r="AI5" i="12" s="1"/>
  <c r="AH6" i="12"/>
  <c r="AH7" i="12"/>
  <c r="AH8" i="12"/>
  <c r="AI8" i="12" s="1"/>
  <c r="AH9" i="12"/>
  <c r="AH10" i="12"/>
  <c r="AH11" i="12"/>
  <c r="AH12" i="12"/>
  <c r="AH13" i="12"/>
  <c r="AH14" i="12"/>
  <c r="AH15" i="12"/>
  <c r="AI15" i="12" s="1"/>
  <c r="AH16" i="12"/>
  <c r="AI16" i="12" s="1"/>
  <c r="AH17" i="12"/>
  <c r="AH18" i="12"/>
  <c r="AH19" i="12"/>
  <c r="AH20" i="12"/>
  <c r="AH21" i="12"/>
  <c r="AH22" i="12"/>
  <c r="AH23" i="12"/>
  <c r="AH24" i="12"/>
  <c r="AI24" i="12" s="1"/>
  <c r="AH25" i="12"/>
  <c r="AH26" i="12"/>
  <c r="AH2" i="12"/>
  <c r="AG27" i="12"/>
  <c r="AG28" i="12"/>
  <c r="AG29" i="12"/>
  <c r="AG30" i="12"/>
  <c r="AG31" i="12"/>
  <c r="AG32" i="12"/>
  <c r="AG35" i="12"/>
  <c r="AG36" i="12"/>
  <c r="AG37" i="12"/>
  <c r="AG38" i="12"/>
  <c r="AG39" i="12"/>
  <c r="AG40" i="12"/>
  <c r="AG43" i="12"/>
  <c r="AG44" i="12"/>
  <c r="AG45" i="12"/>
  <c r="AG46" i="12"/>
  <c r="AG47" i="12"/>
  <c r="AG48" i="12"/>
  <c r="AG51" i="12"/>
  <c r="AG52" i="12"/>
  <c r="AG53" i="12"/>
  <c r="AG54" i="12"/>
  <c r="AG55" i="12"/>
  <c r="AG56" i="12"/>
  <c r="AG58" i="12"/>
  <c r="AG59" i="12"/>
  <c r="AG60" i="12"/>
  <c r="AG61" i="12"/>
  <c r="AG62" i="12"/>
  <c r="AG63" i="12"/>
  <c r="AG64" i="12"/>
  <c r="AG67" i="12"/>
  <c r="AG68" i="12"/>
  <c r="AG69" i="12"/>
  <c r="AG70" i="12"/>
  <c r="AG71" i="12"/>
  <c r="AG72" i="12"/>
  <c r="AG74" i="12"/>
  <c r="AG75" i="12"/>
  <c r="AG76" i="12"/>
  <c r="AG77" i="12"/>
  <c r="AG78" i="12"/>
  <c r="AG79" i="12"/>
  <c r="AG80" i="12"/>
  <c r="AG81" i="12"/>
  <c r="AG82" i="12"/>
  <c r="AG83" i="12"/>
  <c r="AG84" i="12"/>
  <c r="AG85" i="12"/>
  <c r="AG86" i="12"/>
  <c r="AG87" i="12"/>
  <c r="AG88" i="12"/>
  <c r="AG89" i="12"/>
  <c r="AG91" i="12"/>
  <c r="AG92" i="12"/>
  <c r="AG93" i="12"/>
  <c r="AG94" i="12"/>
  <c r="AG95" i="12"/>
  <c r="AG96" i="12"/>
  <c r="AG99" i="12"/>
  <c r="AG100" i="12"/>
  <c r="AG101" i="12"/>
  <c r="AG102" i="12"/>
  <c r="AG103" i="12"/>
  <c r="AG104" i="12"/>
  <c r="AG107" i="12"/>
  <c r="AG108" i="12"/>
  <c r="AG109" i="12"/>
  <c r="AG110" i="12"/>
  <c r="AG111" i="12"/>
  <c r="AG112" i="12"/>
  <c r="AG115" i="12"/>
  <c r="AG116" i="12"/>
  <c r="AG117" i="12"/>
  <c r="AG118" i="12"/>
  <c r="AG119" i="12"/>
  <c r="AG120" i="12"/>
  <c r="AG122" i="12"/>
  <c r="AG123" i="12"/>
  <c r="AG124" i="12"/>
  <c r="AG125" i="12"/>
  <c r="AG126" i="12"/>
  <c r="AG127" i="12"/>
  <c r="AG128" i="12"/>
  <c r="AG131" i="12"/>
  <c r="AG132" i="12"/>
  <c r="AG133" i="12"/>
  <c r="AG134" i="12"/>
  <c r="AG135" i="12"/>
  <c r="AG136" i="12"/>
  <c r="AG138" i="12"/>
  <c r="AG139" i="12"/>
  <c r="AG140" i="12"/>
  <c r="AG141" i="12"/>
  <c r="AG142" i="12"/>
  <c r="AG143" i="12"/>
  <c r="AG144" i="12"/>
  <c r="AG145" i="12"/>
  <c r="AG146" i="12"/>
  <c r="AG147" i="12"/>
  <c r="AG148" i="12"/>
  <c r="AG149" i="12"/>
  <c r="AG150" i="12"/>
  <c r="AG151" i="12"/>
  <c r="AG152" i="12"/>
  <c r="AG153" i="12"/>
  <c r="AG155" i="12"/>
  <c r="AG156" i="12"/>
  <c r="AG157" i="12"/>
  <c r="AG158" i="12"/>
  <c r="AG159" i="12"/>
  <c r="AG160" i="12"/>
  <c r="AG163" i="12"/>
  <c r="AG164" i="12"/>
  <c r="AG165" i="12"/>
  <c r="AG166" i="12"/>
  <c r="AG167" i="12"/>
  <c r="AG168" i="12"/>
  <c r="AG171" i="12"/>
  <c r="AG172" i="12"/>
  <c r="AG173" i="12"/>
  <c r="AG174" i="12"/>
  <c r="AG175" i="12"/>
  <c r="AG176" i="12"/>
  <c r="AG179" i="12"/>
  <c r="AG180" i="12"/>
  <c r="AG181" i="12"/>
  <c r="AG182" i="12"/>
  <c r="AG183" i="12"/>
  <c r="AG184" i="12"/>
  <c r="AG186" i="12"/>
  <c r="AG187" i="12"/>
  <c r="AG188" i="12"/>
  <c r="AG189" i="12"/>
  <c r="AG190" i="12"/>
  <c r="AG191" i="12"/>
  <c r="AG3" i="12"/>
  <c r="AG4" i="12"/>
  <c r="AG6" i="12"/>
  <c r="AG9" i="12"/>
  <c r="AG10" i="12"/>
  <c r="AG11" i="12"/>
  <c r="AG12" i="12"/>
  <c r="AG14" i="12"/>
  <c r="AG17" i="12"/>
  <c r="AG18" i="12"/>
  <c r="AG19" i="12"/>
  <c r="AG20" i="12"/>
  <c r="AG22" i="12"/>
  <c r="AG23" i="12"/>
  <c r="AG25" i="12"/>
  <c r="AG26" i="12"/>
  <c r="AG2" i="12"/>
  <c r="AC27" i="12"/>
  <c r="AC28" i="12"/>
  <c r="AD28" i="12" s="1"/>
  <c r="AC29" i="12"/>
  <c r="AD29" i="12" s="1"/>
  <c r="AC30" i="12"/>
  <c r="AD30" i="12" s="1"/>
  <c r="AC31" i="12"/>
  <c r="AC32" i="12"/>
  <c r="AC33" i="12"/>
  <c r="AD33" i="12" s="1"/>
  <c r="AC34" i="12"/>
  <c r="AD34" i="12" s="1"/>
  <c r="AC35" i="12"/>
  <c r="AD35" i="12" s="1"/>
  <c r="AC36" i="12"/>
  <c r="AD36" i="12" s="1"/>
  <c r="AC37" i="12"/>
  <c r="AD37" i="12" s="1"/>
  <c r="AC38" i="12"/>
  <c r="AD38" i="12" s="1"/>
  <c r="AC39" i="12"/>
  <c r="AC40" i="12"/>
  <c r="AC41" i="12"/>
  <c r="AD41" i="12" s="1"/>
  <c r="AC42" i="12"/>
  <c r="AD42" i="12" s="1"/>
  <c r="AC43" i="12"/>
  <c r="AD43" i="12" s="1"/>
  <c r="AC44" i="12"/>
  <c r="AD44" i="12" s="1"/>
  <c r="AC45" i="12"/>
  <c r="AD45" i="12" s="1"/>
  <c r="AC46" i="12"/>
  <c r="AD46" i="12" s="1"/>
  <c r="AC47" i="12"/>
  <c r="AC48" i="12"/>
  <c r="AC49" i="12"/>
  <c r="AD49" i="12" s="1"/>
  <c r="AC50" i="12"/>
  <c r="AD50" i="12" s="1"/>
  <c r="AC51" i="12"/>
  <c r="AD51" i="12" s="1"/>
  <c r="AC52" i="12"/>
  <c r="AD52" i="12" s="1"/>
  <c r="AC53" i="12"/>
  <c r="AD53" i="12" s="1"/>
  <c r="AC54" i="12"/>
  <c r="AD54" i="12" s="1"/>
  <c r="AC55" i="12"/>
  <c r="AC56" i="12"/>
  <c r="AC57" i="12"/>
  <c r="AD57" i="12" s="1"/>
  <c r="AC58" i="12"/>
  <c r="AD58" i="12" s="1"/>
  <c r="AC59" i="12"/>
  <c r="AD59" i="12" s="1"/>
  <c r="AC60" i="12"/>
  <c r="AD60" i="12" s="1"/>
  <c r="AC61" i="12"/>
  <c r="AD61" i="12" s="1"/>
  <c r="AC62" i="12"/>
  <c r="AD62" i="12" s="1"/>
  <c r="AC63" i="12"/>
  <c r="AC64" i="12"/>
  <c r="AC65" i="12"/>
  <c r="AD65" i="12" s="1"/>
  <c r="AC66" i="12"/>
  <c r="AC67" i="12"/>
  <c r="AD67" i="12" s="1"/>
  <c r="AC68" i="12"/>
  <c r="AC69" i="12"/>
  <c r="AD69" i="12" s="1"/>
  <c r="AC70" i="12"/>
  <c r="AD70" i="12" s="1"/>
  <c r="AC71" i="12"/>
  <c r="AC72" i="12"/>
  <c r="AC73" i="12"/>
  <c r="AD73" i="12" s="1"/>
  <c r="AC74" i="12"/>
  <c r="AC75" i="12"/>
  <c r="AD75" i="12" s="1"/>
  <c r="AC76" i="12"/>
  <c r="AD76" i="12" s="1"/>
  <c r="AC77" i="12"/>
  <c r="AD77" i="12" s="1"/>
  <c r="AC78" i="12"/>
  <c r="AD78" i="12" s="1"/>
  <c r="AC79" i="12"/>
  <c r="AC80" i="12"/>
  <c r="AC81" i="12"/>
  <c r="AD81" i="12" s="1"/>
  <c r="AC82" i="12"/>
  <c r="AC83" i="12"/>
  <c r="AD83" i="12" s="1"/>
  <c r="AC84" i="12"/>
  <c r="AD84" i="12" s="1"/>
  <c r="AC85" i="12"/>
  <c r="AD85" i="12" s="1"/>
  <c r="AC86" i="12"/>
  <c r="AD86" i="12" s="1"/>
  <c r="AC87" i="12"/>
  <c r="AC88" i="12"/>
  <c r="AC89" i="12"/>
  <c r="AD89" i="12" s="1"/>
  <c r="AC90" i="12"/>
  <c r="AD90" i="12" s="1"/>
  <c r="AC91" i="12"/>
  <c r="AD91" i="12" s="1"/>
  <c r="AC92" i="12"/>
  <c r="AD92" i="12" s="1"/>
  <c r="AC93" i="12"/>
  <c r="AD93" i="12" s="1"/>
  <c r="AC94" i="12"/>
  <c r="AD94" i="12" s="1"/>
  <c r="AC95" i="12"/>
  <c r="AC96" i="12"/>
  <c r="AC97" i="12"/>
  <c r="AD97" i="12" s="1"/>
  <c r="AC98" i="12"/>
  <c r="AD98" i="12" s="1"/>
  <c r="AC99" i="12"/>
  <c r="AD99" i="12" s="1"/>
  <c r="AC100" i="12"/>
  <c r="AD100" i="12" s="1"/>
  <c r="AC101" i="12"/>
  <c r="AD101" i="12" s="1"/>
  <c r="AC102" i="12"/>
  <c r="AD102" i="12" s="1"/>
  <c r="AC103" i="12"/>
  <c r="AC104" i="12"/>
  <c r="AC105" i="12"/>
  <c r="AD105" i="12" s="1"/>
  <c r="AC106" i="12"/>
  <c r="AD106" i="12" s="1"/>
  <c r="AC107" i="12"/>
  <c r="AD107" i="12" s="1"/>
  <c r="AC108" i="12"/>
  <c r="AD108" i="12" s="1"/>
  <c r="AC109" i="12"/>
  <c r="AD109" i="12" s="1"/>
  <c r="AC110" i="12"/>
  <c r="AD110" i="12" s="1"/>
  <c r="AC111" i="12"/>
  <c r="AC112" i="12"/>
  <c r="AC113" i="12"/>
  <c r="AD113" i="12" s="1"/>
  <c r="AC114" i="12"/>
  <c r="AD114" i="12" s="1"/>
  <c r="AC115" i="12"/>
  <c r="AC116" i="12"/>
  <c r="AC117" i="12"/>
  <c r="AD117" i="12" s="1"/>
  <c r="AC118" i="12"/>
  <c r="AD118" i="12" s="1"/>
  <c r="AC119" i="12"/>
  <c r="AC120" i="12"/>
  <c r="AC121" i="12"/>
  <c r="AD121" i="12" s="1"/>
  <c r="AC122" i="12"/>
  <c r="AC123" i="12"/>
  <c r="AD123" i="12" s="1"/>
  <c r="AC124" i="12"/>
  <c r="AD124" i="12" s="1"/>
  <c r="AC125" i="12"/>
  <c r="AD125" i="12" s="1"/>
  <c r="AC126" i="12"/>
  <c r="AD126" i="12" s="1"/>
  <c r="AC127" i="12"/>
  <c r="AC128" i="12"/>
  <c r="AC129" i="12"/>
  <c r="AD129" i="12" s="1"/>
  <c r="AC130" i="12"/>
  <c r="AC131" i="12"/>
  <c r="AD131" i="12" s="1"/>
  <c r="AC132" i="12"/>
  <c r="AC133" i="12"/>
  <c r="AD133" i="12" s="1"/>
  <c r="AC134" i="12"/>
  <c r="AD134" i="12" s="1"/>
  <c r="AC135" i="12"/>
  <c r="AC136" i="12"/>
  <c r="AC137" i="12"/>
  <c r="AD137" i="12" s="1"/>
  <c r="AC138" i="12"/>
  <c r="AD138" i="12" s="1"/>
  <c r="AC139" i="12"/>
  <c r="AD139" i="12" s="1"/>
  <c r="AC140" i="12"/>
  <c r="AD140" i="12" s="1"/>
  <c r="AC141" i="12"/>
  <c r="AD141" i="12" s="1"/>
  <c r="AC142" i="12"/>
  <c r="AD142" i="12" s="1"/>
  <c r="AC143" i="12"/>
  <c r="AC144" i="12"/>
  <c r="AC145" i="12"/>
  <c r="AD145" i="12" s="1"/>
  <c r="AC146" i="12"/>
  <c r="AD146" i="12" s="1"/>
  <c r="AC147" i="12"/>
  <c r="AD147" i="12" s="1"/>
  <c r="AC148" i="12"/>
  <c r="AC149" i="12"/>
  <c r="AD149" i="12" s="1"/>
  <c r="AC150" i="12"/>
  <c r="AD150" i="12" s="1"/>
  <c r="AC151" i="12"/>
  <c r="AC152" i="12"/>
  <c r="AC153" i="12"/>
  <c r="AD153" i="12" s="1"/>
  <c r="AC154" i="12"/>
  <c r="AD154" i="12" s="1"/>
  <c r="AC155" i="12"/>
  <c r="AD155" i="12" s="1"/>
  <c r="AC156" i="12"/>
  <c r="AC157" i="12"/>
  <c r="AD157" i="12" s="1"/>
  <c r="AC158" i="12"/>
  <c r="AD158" i="12" s="1"/>
  <c r="AC159" i="12"/>
  <c r="AC160" i="12"/>
  <c r="AC161" i="12"/>
  <c r="AD161" i="12" s="1"/>
  <c r="AC162" i="12"/>
  <c r="AD162" i="12" s="1"/>
  <c r="AC163" i="12"/>
  <c r="AD163" i="12" s="1"/>
  <c r="AC164" i="12"/>
  <c r="AD164" i="12" s="1"/>
  <c r="AC165" i="12"/>
  <c r="AD165" i="12" s="1"/>
  <c r="AC166" i="12"/>
  <c r="AD166" i="12" s="1"/>
  <c r="AC167" i="12"/>
  <c r="AC168" i="12"/>
  <c r="AC169" i="12"/>
  <c r="AD169" i="12" s="1"/>
  <c r="AC170" i="12"/>
  <c r="AC171" i="12"/>
  <c r="AD171" i="12" s="1"/>
  <c r="AC172" i="12"/>
  <c r="AC173" i="12"/>
  <c r="AD173" i="12" s="1"/>
  <c r="AC174" i="12"/>
  <c r="AD174" i="12" s="1"/>
  <c r="AC175" i="12"/>
  <c r="AC176" i="12"/>
  <c r="AC177" i="12"/>
  <c r="AD177" i="12" s="1"/>
  <c r="AC178" i="12"/>
  <c r="AC179" i="12"/>
  <c r="AC180" i="12"/>
  <c r="AC181" i="12"/>
  <c r="AD181" i="12" s="1"/>
  <c r="AC182" i="12"/>
  <c r="AD182" i="12" s="1"/>
  <c r="AC183" i="12"/>
  <c r="AC184" i="12"/>
  <c r="AC185" i="12"/>
  <c r="AD185" i="12" s="1"/>
  <c r="AC186" i="12"/>
  <c r="AD186" i="12" s="1"/>
  <c r="AC187" i="12"/>
  <c r="AD187" i="12" s="1"/>
  <c r="AC188" i="12"/>
  <c r="AC189" i="12"/>
  <c r="AD189" i="12" s="1"/>
  <c r="AC190" i="12"/>
  <c r="AD190" i="12" s="1"/>
  <c r="AC191" i="12"/>
  <c r="AC3" i="12"/>
  <c r="AC4" i="12"/>
  <c r="AD4" i="12" s="1"/>
  <c r="AC5" i="12"/>
  <c r="AD5" i="12" s="1"/>
  <c r="AC6" i="12"/>
  <c r="AD6" i="12" s="1"/>
  <c r="AC7" i="12"/>
  <c r="AC8" i="12"/>
  <c r="AC9" i="12"/>
  <c r="AC10" i="12"/>
  <c r="AC11" i="12"/>
  <c r="AC12" i="12"/>
  <c r="AD12" i="12" s="1"/>
  <c r="AC13" i="12"/>
  <c r="AC14" i="12"/>
  <c r="AD14" i="12" s="1"/>
  <c r="AC15" i="12"/>
  <c r="AD15" i="12" s="1"/>
  <c r="AC16" i="12"/>
  <c r="AC17" i="12"/>
  <c r="AC18" i="12"/>
  <c r="AC19" i="12"/>
  <c r="AD19" i="12" s="1"/>
  <c r="AC20" i="12"/>
  <c r="AC21" i="12"/>
  <c r="AC22" i="12"/>
  <c r="AD22" i="12" s="1"/>
  <c r="AC23" i="12"/>
  <c r="AD23" i="12" s="1"/>
  <c r="AC24" i="12"/>
  <c r="AD24" i="12" s="1"/>
  <c r="AC25" i="12"/>
  <c r="AC26" i="12"/>
  <c r="AC2" i="12"/>
  <c r="AB27" i="12"/>
  <c r="AB28" i="12"/>
  <c r="AB29" i="12"/>
  <c r="AB30" i="12"/>
  <c r="AB31" i="12"/>
  <c r="AB32" i="12"/>
  <c r="AB34" i="12"/>
  <c r="AB35" i="12"/>
  <c r="AB36" i="12"/>
  <c r="AB37" i="12"/>
  <c r="AB38" i="12"/>
  <c r="AB39" i="12"/>
  <c r="AB40" i="12"/>
  <c r="AB41" i="12"/>
  <c r="AB42" i="12"/>
  <c r="AB43" i="12"/>
  <c r="AB44" i="12"/>
  <c r="AB45" i="12"/>
  <c r="AB46" i="12"/>
  <c r="AB47" i="12"/>
  <c r="AB48" i="12"/>
  <c r="AB50" i="12"/>
  <c r="AB51" i="12"/>
  <c r="AB52" i="12"/>
  <c r="AB53" i="12"/>
  <c r="AB54" i="12"/>
  <c r="AB55" i="12"/>
  <c r="AB56" i="12"/>
  <c r="AB58" i="12"/>
  <c r="AB59" i="12"/>
  <c r="AB60" i="12"/>
  <c r="AB61" i="12"/>
  <c r="AB62" i="12"/>
  <c r="AB63" i="12"/>
  <c r="AB64" i="12"/>
  <c r="AB66" i="12"/>
  <c r="AB67" i="12"/>
  <c r="AB68" i="12"/>
  <c r="AB69" i="12"/>
  <c r="AB70" i="12"/>
  <c r="AB71" i="12"/>
  <c r="AB72" i="12"/>
  <c r="AB74" i="12"/>
  <c r="AB75" i="12"/>
  <c r="AB76" i="12"/>
  <c r="AB77" i="12"/>
  <c r="AB78" i="12"/>
  <c r="AB79" i="12"/>
  <c r="AB80" i="12"/>
  <c r="AB82" i="12"/>
  <c r="AB83" i="12"/>
  <c r="AB84" i="12"/>
  <c r="AB85" i="12"/>
  <c r="AB86" i="12"/>
  <c r="AB87" i="12"/>
  <c r="AB88" i="12"/>
  <c r="AB90" i="12"/>
  <c r="AB91" i="12"/>
  <c r="AB92" i="12"/>
  <c r="AB93" i="12"/>
  <c r="AB94" i="12"/>
  <c r="AB95" i="12"/>
  <c r="AB96" i="12"/>
  <c r="AB98" i="12"/>
  <c r="AB99" i="12"/>
  <c r="AB100" i="12"/>
  <c r="AB101" i="12"/>
  <c r="AB102" i="12"/>
  <c r="AB103" i="12"/>
  <c r="AB104" i="12"/>
  <c r="AB106" i="12"/>
  <c r="AB107" i="12"/>
  <c r="AB108" i="12"/>
  <c r="AB109" i="12"/>
  <c r="AB110" i="12"/>
  <c r="AB111" i="12"/>
  <c r="AB112" i="12"/>
  <c r="AB114" i="12"/>
  <c r="AB115" i="12"/>
  <c r="AB116" i="12"/>
  <c r="AB117" i="12"/>
  <c r="AB118" i="12"/>
  <c r="AB119" i="12"/>
  <c r="AB120" i="12"/>
  <c r="AB122" i="12"/>
  <c r="AB123" i="12"/>
  <c r="AB124" i="12"/>
  <c r="AB125" i="12"/>
  <c r="AB126" i="12"/>
  <c r="AB127" i="12"/>
  <c r="AB128" i="12"/>
  <c r="AB130" i="12"/>
  <c r="AB131" i="12"/>
  <c r="AB132" i="12"/>
  <c r="AB133" i="12"/>
  <c r="AB134" i="12"/>
  <c r="AB135" i="12"/>
  <c r="AB136" i="12"/>
  <c r="AB138" i="12"/>
  <c r="AB139" i="12"/>
  <c r="AB140" i="12"/>
  <c r="AB141" i="12"/>
  <c r="AB142" i="12"/>
  <c r="AB143" i="12"/>
  <c r="AB144" i="12"/>
  <c r="AB146" i="12"/>
  <c r="AB147" i="12"/>
  <c r="AB148" i="12"/>
  <c r="AB149" i="12"/>
  <c r="AB150" i="12"/>
  <c r="AB151" i="12"/>
  <c r="AB152" i="12"/>
  <c r="AB154" i="12"/>
  <c r="AB155" i="12"/>
  <c r="AB156" i="12"/>
  <c r="AB157" i="12"/>
  <c r="AB158" i="12"/>
  <c r="AB159" i="12"/>
  <c r="AB160" i="12"/>
  <c r="AB162" i="12"/>
  <c r="AB163" i="12"/>
  <c r="AB164" i="12"/>
  <c r="AB165" i="12"/>
  <c r="AB166" i="12"/>
  <c r="AB167" i="12"/>
  <c r="AB168" i="12"/>
  <c r="AB170" i="12"/>
  <c r="AB171" i="12"/>
  <c r="AB172" i="12"/>
  <c r="AB173" i="12"/>
  <c r="AB174" i="12"/>
  <c r="AB175" i="12"/>
  <c r="AB176" i="12"/>
  <c r="AB178" i="12"/>
  <c r="AB179" i="12"/>
  <c r="AB180" i="12"/>
  <c r="AB181" i="12"/>
  <c r="AB182" i="12"/>
  <c r="AB183" i="12"/>
  <c r="AB184" i="12"/>
  <c r="AB186" i="12"/>
  <c r="AB187" i="12"/>
  <c r="AB188" i="12"/>
  <c r="AB189" i="12"/>
  <c r="AB190" i="12"/>
  <c r="AB191" i="12"/>
  <c r="AB3" i="12"/>
  <c r="AB5" i="12"/>
  <c r="AB7" i="12"/>
  <c r="AB9" i="12"/>
  <c r="AB10" i="12"/>
  <c r="AB11" i="12"/>
  <c r="AB13" i="12"/>
  <c r="AB17" i="12"/>
  <c r="AB19" i="12"/>
  <c r="AB21" i="12"/>
  <c r="AB22" i="12"/>
  <c r="AB23" i="12"/>
  <c r="AB24" i="12"/>
  <c r="AB25" i="12"/>
  <c r="AB2" i="12"/>
  <c r="X27" i="12"/>
  <c r="X28" i="12"/>
  <c r="Y28" i="12" s="1"/>
  <c r="X29" i="12"/>
  <c r="Y29" i="12" s="1"/>
  <c r="X30" i="12"/>
  <c r="X31" i="12"/>
  <c r="X32" i="12"/>
  <c r="Y32" i="12" s="1"/>
  <c r="X33" i="12"/>
  <c r="Y33" i="12" s="1"/>
  <c r="X34" i="12"/>
  <c r="Y34" i="12" s="1"/>
  <c r="X35" i="12"/>
  <c r="X36" i="12"/>
  <c r="Y36" i="12" s="1"/>
  <c r="X37" i="12"/>
  <c r="Y37" i="12" s="1"/>
  <c r="X38" i="12"/>
  <c r="X39" i="12"/>
  <c r="X40" i="12"/>
  <c r="X41" i="12"/>
  <c r="Y41" i="12" s="1"/>
  <c r="X42" i="12"/>
  <c r="Y42" i="12" s="1"/>
  <c r="X43" i="12"/>
  <c r="Y43" i="12" s="1"/>
  <c r="X44" i="12"/>
  <c r="Y44" i="12" s="1"/>
  <c r="X45" i="12"/>
  <c r="X46" i="12"/>
  <c r="X47" i="12"/>
  <c r="X48" i="12"/>
  <c r="Y48" i="12" s="1"/>
  <c r="X49" i="12"/>
  <c r="Y49" i="12" s="1"/>
  <c r="X50" i="12"/>
  <c r="Y50" i="12" s="1"/>
  <c r="X51" i="12"/>
  <c r="Y51" i="12" s="1"/>
  <c r="X52" i="12"/>
  <c r="Y52" i="12" s="1"/>
  <c r="X53" i="12"/>
  <c r="Y53" i="12" s="1"/>
  <c r="X54" i="12"/>
  <c r="Y54" i="12" s="1"/>
  <c r="X55" i="12"/>
  <c r="X56" i="12"/>
  <c r="X57" i="12"/>
  <c r="Y57" i="12" s="1"/>
  <c r="X58" i="12"/>
  <c r="Y58" i="12" s="1"/>
  <c r="X59" i="12"/>
  <c r="Y59" i="12" s="1"/>
  <c r="X60" i="12"/>
  <c r="Y60" i="12" s="1"/>
  <c r="X61" i="12"/>
  <c r="X62" i="12"/>
  <c r="X63" i="12"/>
  <c r="X64" i="12"/>
  <c r="X65" i="12"/>
  <c r="Y65" i="12" s="1"/>
  <c r="X66" i="12"/>
  <c r="X67" i="12"/>
  <c r="Y67" i="12" s="1"/>
  <c r="X68" i="12"/>
  <c r="Y68" i="12" s="1"/>
  <c r="X69" i="12"/>
  <c r="X70" i="12"/>
  <c r="X71" i="12"/>
  <c r="X72" i="12"/>
  <c r="Y72" i="12" s="1"/>
  <c r="X73" i="12"/>
  <c r="Y73" i="12" s="1"/>
  <c r="X74" i="12"/>
  <c r="Y74" i="12" s="1"/>
  <c r="X75" i="12"/>
  <c r="Y75" i="12" s="1"/>
  <c r="X76" i="12"/>
  <c r="Y76" i="12" s="1"/>
  <c r="X77" i="12"/>
  <c r="Y77" i="12" s="1"/>
  <c r="X78" i="12"/>
  <c r="X79" i="12"/>
  <c r="X80" i="12"/>
  <c r="Y80" i="12" s="1"/>
  <c r="X81" i="12"/>
  <c r="Y81" i="12" s="1"/>
  <c r="X82" i="12"/>
  <c r="Y82" i="12" s="1"/>
  <c r="X83" i="12"/>
  <c r="Y83" i="12" s="1"/>
  <c r="X84" i="12"/>
  <c r="Y84" i="12" s="1"/>
  <c r="X85" i="12"/>
  <c r="X86" i="12"/>
  <c r="X87" i="12"/>
  <c r="X88" i="12"/>
  <c r="Y88" i="12" s="1"/>
  <c r="X89" i="12"/>
  <c r="Y89" i="12" s="1"/>
  <c r="X90" i="12"/>
  <c r="X91" i="12"/>
  <c r="Y91" i="12" s="1"/>
  <c r="X92" i="12"/>
  <c r="Y92" i="12" s="1"/>
  <c r="X93" i="12"/>
  <c r="Y93" i="12" s="1"/>
  <c r="X94" i="12"/>
  <c r="X95" i="12"/>
  <c r="X96" i="12"/>
  <c r="Y96" i="12" s="1"/>
  <c r="X97" i="12"/>
  <c r="Y97" i="12" s="1"/>
  <c r="X98" i="12"/>
  <c r="Y98" i="12" s="1"/>
  <c r="X99" i="12"/>
  <c r="X100" i="12"/>
  <c r="Y100" i="12" s="1"/>
  <c r="X101" i="12"/>
  <c r="Y101" i="12" s="1"/>
  <c r="X102" i="12"/>
  <c r="X103" i="12"/>
  <c r="X104" i="12"/>
  <c r="X105" i="12"/>
  <c r="Y105" i="12" s="1"/>
  <c r="X106" i="12"/>
  <c r="X107" i="12"/>
  <c r="X108" i="12"/>
  <c r="Y108" i="12" s="1"/>
  <c r="X109" i="12"/>
  <c r="X110" i="12"/>
  <c r="X111" i="12"/>
  <c r="X112" i="12"/>
  <c r="Y112" i="12" s="1"/>
  <c r="X113" i="12"/>
  <c r="Y113" i="12" s="1"/>
  <c r="X114" i="12"/>
  <c r="Y114" i="12" s="1"/>
  <c r="X115" i="12"/>
  <c r="Y115" i="12" s="1"/>
  <c r="X116" i="12"/>
  <c r="Y116" i="12" s="1"/>
  <c r="X117" i="12"/>
  <c r="X118" i="12"/>
  <c r="X119" i="12"/>
  <c r="X120" i="12"/>
  <c r="X121" i="12"/>
  <c r="Y121" i="12" s="1"/>
  <c r="X122" i="12"/>
  <c r="Y122" i="12" s="1"/>
  <c r="X123" i="12"/>
  <c r="Y123" i="12" s="1"/>
  <c r="X124" i="12"/>
  <c r="Y124" i="12" s="1"/>
  <c r="X125" i="12"/>
  <c r="Y125" i="12" s="1"/>
  <c r="X126" i="12"/>
  <c r="X127" i="12"/>
  <c r="X128" i="12"/>
  <c r="X129" i="12"/>
  <c r="Y129" i="12" s="1"/>
  <c r="X130" i="12"/>
  <c r="Y130" i="12" s="1"/>
  <c r="X131" i="12"/>
  <c r="X132" i="12"/>
  <c r="Y132" i="12" s="1"/>
  <c r="X133" i="12"/>
  <c r="X134" i="12"/>
  <c r="X135" i="12"/>
  <c r="X136" i="12"/>
  <c r="Y136" i="12" s="1"/>
  <c r="X137" i="12"/>
  <c r="Y137" i="12" s="1"/>
  <c r="X138" i="12"/>
  <c r="Y138" i="12" s="1"/>
  <c r="X139" i="12"/>
  <c r="Y139" i="12" s="1"/>
  <c r="X140" i="12"/>
  <c r="Y140" i="12" s="1"/>
  <c r="X141" i="12"/>
  <c r="Y141" i="12" s="1"/>
  <c r="X142" i="12"/>
  <c r="X143" i="12"/>
  <c r="X144" i="12"/>
  <c r="Y144" i="12" s="1"/>
  <c r="X145" i="12"/>
  <c r="Y145" i="12" s="1"/>
  <c r="X146" i="12"/>
  <c r="Y146" i="12" s="1"/>
  <c r="X147" i="12"/>
  <c r="Y147" i="12" s="1"/>
  <c r="X148" i="12"/>
  <c r="Y148" i="12" s="1"/>
  <c r="X149" i="12"/>
  <c r="X150" i="12"/>
  <c r="X151" i="12"/>
  <c r="X152" i="12"/>
  <c r="X153" i="12"/>
  <c r="X154" i="12"/>
  <c r="Y154" i="12" s="1"/>
  <c r="X155" i="12"/>
  <c r="Y155" i="12" s="1"/>
  <c r="X156" i="12"/>
  <c r="Y156" i="12" s="1"/>
  <c r="X157" i="12"/>
  <c r="Y157" i="12" s="1"/>
  <c r="X158" i="12"/>
  <c r="X159" i="12"/>
  <c r="X160" i="12"/>
  <c r="Y160" i="12" s="1"/>
  <c r="X161" i="12"/>
  <c r="X162" i="12"/>
  <c r="Y162" i="12" s="1"/>
  <c r="X163" i="12"/>
  <c r="X164" i="12"/>
  <c r="Y164" i="12" s="1"/>
  <c r="X165" i="12"/>
  <c r="X166" i="12"/>
  <c r="X167" i="12"/>
  <c r="X168" i="12"/>
  <c r="Y168" i="12" s="1"/>
  <c r="X169" i="12"/>
  <c r="Y169" i="12" s="1"/>
  <c r="X170" i="12"/>
  <c r="Y170" i="12" s="1"/>
  <c r="X171" i="12"/>
  <c r="Y171" i="12" s="1"/>
  <c r="X172" i="12"/>
  <c r="Y172" i="12" s="1"/>
  <c r="X173" i="12"/>
  <c r="Y173" i="12" s="1"/>
  <c r="X174" i="12"/>
  <c r="X175" i="12"/>
  <c r="X176" i="12"/>
  <c r="Y176" i="12" s="1"/>
  <c r="X177" i="12"/>
  <c r="Y177" i="12" s="1"/>
  <c r="X178" i="12"/>
  <c r="Y178" i="12" s="1"/>
  <c r="X179" i="12"/>
  <c r="X180" i="12"/>
  <c r="Y180" i="12" s="1"/>
  <c r="X181" i="12"/>
  <c r="X182" i="12"/>
  <c r="X183" i="12"/>
  <c r="X184" i="12"/>
  <c r="X185" i="12"/>
  <c r="X186" i="12"/>
  <c r="Y186" i="12" s="1"/>
  <c r="X187" i="12"/>
  <c r="Y187" i="12" s="1"/>
  <c r="X188" i="12"/>
  <c r="Y188" i="12" s="1"/>
  <c r="X189" i="12"/>
  <c r="Y189" i="12" s="1"/>
  <c r="X190" i="12"/>
  <c r="X191" i="12"/>
  <c r="X3" i="12"/>
  <c r="X4" i="12"/>
  <c r="X5" i="12"/>
  <c r="X6" i="12"/>
  <c r="X7" i="12"/>
  <c r="Y7" i="12" s="1"/>
  <c r="X8" i="12"/>
  <c r="X9" i="12"/>
  <c r="X10" i="12"/>
  <c r="X11" i="12"/>
  <c r="X12" i="12"/>
  <c r="Y12" i="12" s="1"/>
  <c r="X13" i="12"/>
  <c r="Y13" i="12" s="1"/>
  <c r="X14" i="12"/>
  <c r="X15" i="12"/>
  <c r="X16" i="12"/>
  <c r="X17" i="12"/>
  <c r="X18" i="12"/>
  <c r="X19" i="12"/>
  <c r="Y19" i="12" s="1"/>
  <c r="X20" i="12"/>
  <c r="Y20" i="12" s="1"/>
  <c r="X21" i="12"/>
  <c r="X22" i="12"/>
  <c r="X23" i="12"/>
  <c r="X24" i="12"/>
  <c r="X25" i="12"/>
  <c r="X26" i="12"/>
  <c r="X2" i="12"/>
  <c r="W27" i="12"/>
  <c r="W28" i="12"/>
  <c r="W29" i="12"/>
  <c r="W30" i="12"/>
  <c r="W31" i="12"/>
  <c r="W32" i="12"/>
  <c r="W33" i="12"/>
  <c r="W35" i="12"/>
  <c r="W36" i="12"/>
  <c r="W37" i="12"/>
  <c r="W38" i="12"/>
  <c r="W39" i="12"/>
  <c r="W40" i="12"/>
  <c r="W41" i="12"/>
  <c r="W42" i="12"/>
  <c r="W43" i="12"/>
  <c r="W44" i="12"/>
  <c r="W45" i="12"/>
  <c r="W46" i="12"/>
  <c r="W47" i="12"/>
  <c r="W48" i="12"/>
  <c r="W49" i="12"/>
  <c r="W50" i="12"/>
  <c r="W51" i="12"/>
  <c r="W52" i="12"/>
  <c r="W53" i="12"/>
  <c r="W54" i="12"/>
  <c r="W55" i="12"/>
  <c r="W56" i="12"/>
  <c r="W57" i="12"/>
  <c r="W58" i="12"/>
  <c r="W59" i="12"/>
  <c r="W60" i="12"/>
  <c r="W61" i="12"/>
  <c r="W62" i="12"/>
  <c r="W63" i="12"/>
  <c r="W64" i="12"/>
  <c r="W65" i="12"/>
  <c r="W66" i="12"/>
  <c r="W67" i="12"/>
  <c r="W68" i="12"/>
  <c r="W69" i="12"/>
  <c r="W70" i="12"/>
  <c r="W71" i="12"/>
  <c r="W72" i="12"/>
  <c r="W73" i="12"/>
  <c r="W75" i="12"/>
  <c r="W76" i="12"/>
  <c r="W77" i="12"/>
  <c r="W78" i="12"/>
  <c r="W79" i="12"/>
  <c r="W80" i="12"/>
  <c r="W81" i="12"/>
  <c r="W82" i="12"/>
  <c r="W83" i="12"/>
  <c r="W84" i="12"/>
  <c r="W85" i="12"/>
  <c r="W86" i="12"/>
  <c r="W87" i="12"/>
  <c r="W88" i="12"/>
  <c r="W89" i="12"/>
  <c r="W90" i="12"/>
  <c r="W91" i="12"/>
  <c r="W92" i="12"/>
  <c r="W93" i="12"/>
  <c r="W94" i="12"/>
  <c r="W95" i="12"/>
  <c r="W96" i="12"/>
  <c r="W97" i="12"/>
  <c r="W98" i="12"/>
  <c r="W99" i="12"/>
  <c r="W100" i="12"/>
  <c r="W101" i="12"/>
  <c r="W102" i="12"/>
  <c r="W103" i="12"/>
  <c r="W104" i="12"/>
  <c r="W105" i="12"/>
  <c r="W106" i="12"/>
  <c r="W107" i="12"/>
  <c r="W108" i="12"/>
  <c r="W109" i="12"/>
  <c r="W110" i="12"/>
  <c r="W111" i="12"/>
  <c r="W112" i="12"/>
  <c r="W113" i="12"/>
  <c r="W114" i="12"/>
  <c r="W115" i="12"/>
  <c r="W116" i="12"/>
  <c r="W117" i="12"/>
  <c r="W118" i="12"/>
  <c r="W119" i="12"/>
  <c r="W120" i="12"/>
  <c r="W121" i="12"/>
  <c r="W122" i="12"/>
  <c r="W123" i="12"/>
  <c r="W124" i="12"/>
  <c r="W125" i="12"/>
  <c r="W126" i="12"/>
  <c r="W127" i="12"/>
  <c r="W128" i="12"/>
  <c r="W129" i="12"/>
  <c r="W130" i="12"/>
  <c r="W131" i="12"/>
  <c r="W132" i="12"/>
  <c r="W133" i="12"/>
  <c r="W134" i="12"/>
  <c r="W135" i="12"/>
  <c r="W136" i="12"/>
  <c r="W137" i="12"/>
  <c r="W139" i="12"/>
  <c r="W140" i="12"/>
  <c r="W141" i="12"/>
  <c r="W142" i="12"/>
  <c r="W143" i="12"/>
  <c r="W144" i="12"/>
  <c r="W145" i="12"/>
  <c r="W146" i="12"/>
  <c r="W147" i="12"/>
  <c r="W148" i="12"/>
  <c r="W149" i="12"/>
  <c r="W150" i="12"/>
  <c r="W151" i="12"/>
  <c r="W152" i="12"/>
  <c r="W153" i="12"/>
  <c r="W154" i="12"/>
  <c r="W155" i="12"/>
  <c r="W156" i="12"/>
  <c r="W157" i="12"/>
  <c r="W158" i="12"/>
  <c r="W159" i="12"/>
  <c r="W160" i="12"/>
  <c r="W161" i="12"/>
  <c r="W162" i="12"/>
  <c r="W163" i="12"/>
  <c r="W164" i="12"/>
  <c r="W165" i="12"/>
  <c r="W166" i="12"/>
  <c r="W167" i="12"/>
  <c r="W168" i="12"/>
  <c r="W169" i="12"/>
  <c r="W170" i="12"/>
  <c r="W171" i="12"/>
  <c r="W172" i="12"/>
  <c r="W173" i="12"/>
  <c r="W174" i="12"/>
  <c r="W175" i="12"/>
  <c r="W176" i="12"/>
  <c r="W177" i="12"/>
  <c r="W178" i="12"/>
  <c r="W179" i="12"/>
  <c r="W180" i="12"/>
  <c r="W181" i="12"/>
  <c r="W182" i="12"/>
  <c r="W183" i="12"/>
  <c r="W184" i="12"/>
  <c r="W185" i="12"/>
  <c r="W186" i="12"/>
  <c r="W187" i="12"/>
  <c r="W188" i="12"/>
  <c r="W189" i="12"/>
  <c r="W190" i="12"/>
  <c r="W191" i="12"/>
  <c r="W4" i="12"/>
  <c r="W5" i="12"/>
  <c r="W6" i="12"/>
  <c r="W7" i="12"/>
  <c r="W8" i="12"/>
  <c r="W9" i="12"/>
  <c r="W10" i="12"/>
  <c r="W12" i="12"/>
  <c r="W15" i="12"/>
  <c r="W16" i="12"/>
  <c r="W17" i="12"/>
  <c r="W18" i="12"/>
  <c r="W20" i="12"/>
  <c r="W22" i="12"/>
  <c r="W23" i="12"/>
  <c r="W24" i="12"/>
  <c r="W25" i="12"/>
  <c r="W26" i="12"/>
  <c r="T28" i="12"/>
  <c r="T30" i="12"/>
  <c r="T31" i="12"/>
  <c r="T32" i="12"/>
  <c r="T34" i="12"/>
  <c r="T35" i="12"/>
  <c r="T36" i="12"/>
  <c r="T37" i="12"/>
  <c r="T38" i="12"/>
  <c r="T39" i="12"/>
  <c r="T40" i="12"/>
  <c r="T41" i="12"/>
  <c r="T42" i="12"/>
  <c r="T44" i="12"/>
  <c r="T46" i="12"/>
  <c r="T47" i="12"/>
  <c r="T48" i="12"/>
  <c r="T49" i="12"/>
  <c r="T50" i="12"/>
  <c r="T54" i="12"/>
  <c r="T55" i="12"/>
  <c r="T56" i="12"/>
  <c r="T57" i="12"/>
  <c r="T58" i="12"/>
  <c r="T59" i="12"/>
  <c r="T61" i="12"/>
  <c r="T62" i="12"/>
  <c r="T63" i="12"/>
  <c r="T64" i="12"/>
  <c r="T65" i="12"/>
  <c r="T69" i="12"/>
  <c r="T70" i="12"/>
  <c r="T71" i="12"/>
  <c r="T72" i="12"/>
  <c r="T73" i="12"/>
  <c r="T77" i="12"/>
  <c r="T78" i="12"/>
  <c r="T79" i="12"/>
  <c r="T80" i="12"/>
  <c r="T81" i="12"/>
  <c r="T82" i="12"/>
  <c r="T86" i="12"/>
  <c r="T87" i="12"/>
  <c r="T88" i="12"/>
  <c r="T90" i="12"/>
  <c r="T93" i="12"/>
  <c r="T94" i="12"/>
  <c r="T95" i="12"/>
  <c r="T96" i="12"/>
  <c r="T98" i="12"/>
  <c r="T101" i="12"/>
  <c r="T102" i="12"/>
  <c r="T103" i="12"/>
  <c r="T104" i="12"/>
  <c r="T105" i="12"/>
  <c r="T106" i="12"/>
  <c r="T110" i="12"/>
  <c r="T111" i="12"/>
  <c r="T112" i="12"/>
  <c r="T113" i="12"/>
  <c r="T114" i="12"/>
  <c r="T115" i="12"/>
  <c r="T118" i="12"/>
  <c r="T119" i="12"/>
  <c r="T120" i="12"/>
  <c r="T121" i="12"/>
  <c r="T122" i="12"/>
  <c r="T125" i="12"/>
  <c r="T126" i="12"/>
  <c r="T127" i="12"/>
  <c r="T128" i="12"/>
  <c r="T129" i="12"/>
  <c r="T131" i="12"/>
  <c r="T133" i="12"/>
  <c r="T134" i="12"/>
  <c r="T135" i="12"/>
  <c r="T136" i="12"/>
  <c r="T137" i="12"/>
  <c r="T141" i="12"/>
  <c r="T142" i="12"/>
  <c r="T143" i="12"/>
  <c r="T144" i="12"/>
  <c r="T145" i="12"/>
  <c r="T146" i="12"/>
  <c r="T149" i="12"/>
  <c r="T150" i="12"/>
  <c r="T151" i="12"/>
  <c r="T152" i="12"/>
  <c r="T154" i="12"/>
  <c r="T157" i="12"/>
  <c r="T158" i="12"/>
  <c r="T159" i="12"/>
  <c r="T160" i="12"/>
  <c r="T162" i="12"/>
  <c r="T165" i="12"/>
  <c r="T166" i="12"/>
  <c r="T167" i="12"/>
  <c r="T168" i="12"/>
  <c r="T169" i="12"/>
  <c r="T170" i="12"/>
  <c r="T171" i="12"/>
  <c r="T174" i="12"/>
  <c r="T175" i="12"/>
  <c r="T176" i="12"/>
  <c r="T177" i="12"/>
  <c r="T178" i="12"/>
  <c r="T182" i="12"/>
  <c r="T183" i="12"/>
  <c r="T184" i="12"/>
  <c r="T185" i="12"/>
  <c r="T186" i="12"/>
  <c r="T187" i="12"/>
  <c r="T189" i="12"/>
  <c r="T190" i="12"/>
  <c r="T191" i="12"/>
  <c r="T8" i="12"/>
  <c r="T9" i="12"/>
  <c r="T10" i="12"/>
  <c r="T16" i="12"/>
  <c r="T18" i="12"/>
  <c r="T22" i="12"/>
  <c r="T24" i="12"/>
  <c r="T25" i="12"/>
  <c r="T26" i="12"/>
  <c r="S2" i="12"/>
  <c r="R27" i="12"/>
  <c r="R28" i="12"/>
  <c r="R29" i="12"/>
  <c r="R30" i="12"/>
  <c r="R31" i="12"/>
  <c r="R32" i="12"/>
  <c r="R33" i="12"/>
  <c r="R34" i="12"/>
  <c r="R35" i="12"/>
  <c r="R36" i="12"/>
  <c r="R37" i="12"/>
  <c r="R38" i="12"/>
  <c r="R39" i="12"/>
  <c r="R40" i="12"/>
  <c r="R43" i="12"/>
  <c r="R44" i="12"/>
  <c r="R45" i="12"/>
  <c r="R46" i="12"/>
  <c r="R47" i="12"/>
  <c r="R48" i="12"/>
  <c r="R49" i="12"/>
  <c r="R50" i="12"/>
  <c r="R51" i="12"/>
  <c r="R52" i="12"/>
  <c r="R53" i="12"/>
  <c r="R54" i="12"/>
  <c r="R55" i="12"/>
  <c r="R56" i="12"/>
  <c r="R57" i="12"/>
  <c r="R58" i="12"/>
  <c r="R59" i="12"/>
  <c r="R60" i="12"/>
  <c r="R61" i="12"/>
  <c r="R62" i="12"/>
  <c r="R63" i="12"/>
  <c r="R64" i="12"/>
  <c r="R65" i="12"/>
  <c r="R66" i="12"/>
  <c r="R67" i="12"/>
  <c r="R68" i="12"/>
  <c r="R69" i="12"/>
  <c r="R70" i="12"/>
  <c r="R71" i="12"/>
  <c r="R72" i="12"/>
  <c r="R74" i="12"/>
  <c r="R75" i="12"/>
  <c r="R76" i="12"/>
  <c r="R77" i="12"/>
  <c r="R78" i="12"/>
  <c r="R79" i="12"/>
  <c r="R80" i="12"/>
  <c r="R81" i="12"/>
  <c r="R82" i="12"/>
  <c r="R83" i="12"/>
  <c r="R84" i="12"/>
  <c r="R85" i="12"/>
  <c r="R86" i="12"/>
  <c r="R87" i="12"/>
  <c r="R88" i="12"/>
  <c r="R89" i="12"/>
  <c r="R90" i="12"/>
  <c r="R91" i="12"/>
  <c r="R92" i="12"/>
  <c r="R93" i="12"/>
  <c r="R94" i="12"/>
  <c r="R95" i="12"/>
  <c r="R96" i="12"/>
  <c r="R97" i="12"/>
  <c r="R98" i="12"/>
  <c r="R99" i="12"/>
  <c r="R100" i="12"/>
  <c r="R101" i="12"/>
  <c r="R102" i="12"/>
  <c r="R103" i="12"/>
  <c r="R104" i="12"/>
  <c r="R105" i="12"/>
  <c r="R106" i="12"/>
  <c r="R107" i="12"/>
  <c r="R108" i="12"/>
  <c r="R109" i="12"/>
  <c r="R110" i="12"/>
  <c r="R111" i="12"/>
  <c r="R112" i="12"/>
  <c r="R113" i="12"/>
  <c r="R114" i="12"/>
  <c r="R115" i="12"/>
  <c r="R116" i="12"/>
  <c r="R117" i="12"/>
  <c r="R118" i="12"/>
  <c r="R119" i="12"/>
  <c r="R120" i="12"/>
  <c r="R121" i="12"/>
  <c r="R122" i="12"/>
  <c r="R123" i="12"/>
  <c r="R124" i="12"/>
  <c r="R125" i="12"/>
  <c r="R126" i="12"/>
  <c r="R127" i="12"/>
  <c r="R128" i="12"/>
  <c r="R130" i="12"/>
  <c r="R131" i="12"/>
  <c r="R132" i="12"/>
  <c r="R133" i="12"/>
  <c r="R134" i="12"/>
  <c r="R135" i="12"/>
  <c r="R136" i="12"/>
  <c r="R137" i="12"/>
  <c r="R138" i="12"/>
  <c r="R139" i="12"/>
  <c r="R140" i="12"/>
  <c r="R141" i="12"/>
  <c r="R142" i="12"/>
  <c r="R143" i="12"/>
  <c r="R144" i="12"/>
  <c r="R145" i="12"/>
  <c r="R146" i="12"/>
  <c r="R147" i="12"/>
  <c r="R148" i="12"/>
  <c r="R149" i="12"/>
  <c r="R150" i="12"/>
  <c r="R151" i="12"/>
  <c r="R152" i="12"/>
  <c r="R153" i="12"/>
  <c r="R154" i="12"/>
  <c r="R155" i="12"/>
  <c r="R156" i="12"/>
  <c r="R157" i="12"/>
  <c r="R158" i="12"/>
  <c r="R159" i="12"/>
  <c r="R160" i="12"/>
  <c r="R161" i="12"/>
  <c r="R163" i="12"/>
  <c r="R164" i="12"/>
  <c r="R165" i="12"/>
  <c r="R166" i="12"/>
  <c r="R167" i="12"/>
  <c r="R168" i="12"/>
  <c r="R169" i="12"/>
  <c r="R170" i="12"/>
  <c r="R171" i="12"/>
  <c r="R172" i="12"/>
  <c r="R173" i="12"/>
  <c r="R174" i="12"/>
  <c r="R175" i="12"/>
  <c r="R176" i="12"/>
  <c r="R177" i="12"/>
  <c r="R178" i="12"/>
  <c r="R179" i="12"/>
  <c r="R180" i="12"/>
  <c r="R181" i="12"/>
  <c r="R182" i="12"/>
  <c r="R183" i="12"/>
  <c r="R184" i="12"/>
  <c r="R187" i="12"/>
  <c r="R188" i="12"/>
  <c r="R189" i="12"/>
  <c r="R190" i="12"/>
  <c r="R191" i="12"/>
  <c r="R3" i="12"/>
  <c r="R4" i="12"/>
  <c r="R5" i="12"/>
  <c r="R6" i="12"/>
  <c r="R7" i="12"/>
  <c r="R9" i="12"/>
  <c r="R10" i="12"/>
  <c r="R11" i="12"/>
  <c r="R12" i="12"/>
  <c r="R13" i="12"/>
  <c r="R14" i="12"/>
  <c r="R15" i="12"/>
  <c r="R17" i="12"/>
  <c r="R18" i="12"/>
  <c r="R19" i="12"/>
  <c r="R20" i="12"/>
  <c r="R21" i="12"/>
  <c r="R22" i="12"/>
  <c r="R23" i="12"/>
  <c r="R24" i="12"/>
  <c r="R25" i="12"/>
  <c r="R26" i="12"/>
  <c r="R2" i="12"/>
  <c r="P2" i="12"/>
  <c r="N2" i="12"/>
  <c r="L2" i="12"/>
  <c r="J2" i="12"/>
  <c r="H2" i="12"/>
  <c r="F2" i="12"/>
  <c r="BH4" i="12"/>
  <c r="BH5" i="12"/>
  <c r="BH7" i="12"/>
  <c r="BH8" i="12"/>
  <c r="BH9" i="12"/>
  <c r="BH12" i="12"/>
  <c r="BH15" i="12"/>
  <c r="BH16" i="12"/>
  <c r="BH17" i="12"/>
  <c r="BH18" i="12"/>
  <c r="BH20" i="12"/>
  <c r="BH23" i="12"/>
  <c r="BH24" i="12"/>
  <c r="BH25" i="12"/>
  <c r="BF4" i="12"/>
  <c r="BF12" i="12"/>
  <c r="BF13" i="12"/>
  <c r="BF20" i="12"/>
  <c r="BC7" i="12"/>
  <c r="BC15" i="12"/>
  <c r="BC23" i="12"/>
  <c r="BA4" i="12"/>
  <c r="BA5" i="12"/>
  <c r="BA6" i="12"/>
  <c r="BA7" i="12"/>
  <c r="BA8" i="12"/>
  <c r="BA12" i="12"/>
  <c r="BA13" i="12"/>
  <c r="BA14" i="12"/>
  <c r="BA15" i="12"/>
  <c r="BA16" i="12"/>
  <c r="BA20" i="12"/>
  <c r="BA21" i="12"/>
  <c r="BA22" i="12"/>
  <c r="BA23" i="12"/>
  <c r="BA24" i="12"/>
  <c r="AX4" i="12"/>
  <c r="AX5" i="12"/>
  <c r="AX19" i="12"/>
  <c r="AX2" i="12"/>
  <c r="AV3" i="12"/>
  <c r="AV4" i="12"/>
  <c r="AV6" i="12"/>
  <c r="AV7" i="12"/>
  <c r="AV11" i="12"/>
  <c r="AV12" i="12"/>
  <c r="AV14" i="12"/>
  <c r="AV15" i="12"/>
  <c r="AV19" i="12"/>
  <c r="AV20" i="12"/>
  <c r="AV22" i="12"/>
  <c r="AV23" i="12"/>
  <c r="AV2" i="12"/>
  <c r="AQ4" i="12"/>
  <c r="AQ5" i="12"/>
  <c r="AQ8" i="12"/>
  <c r="AQ12" i="12"/>
  <c r="AQ16" i="12"/>
  <c r="AQ20" i="12"/>
  <c r="AQ21" i="12"/>
  <c r="AQ24" i="12"/>
  <c r="AN13" i="12"/>
  <c r="AN15" i="12"/>
  <c r="AN16" i="12"/>
  <c r="AN23" i="12"/>
  <c r="AI6" i="12"/>
  <c r="AI13" i="12"/>
  <c r="AI14" i="12"/>
  <c r="AI21" i="12"/>
  <c r="AI22" i="12"/>
  <c r="AI23" i="12"/>
  <c r="AG7" i="12"/>
  <c r="AG15" i="12"/>
  <c r="AD7" i="12"/>
  <c r="AD8" i="12"/>
  <c r="AD2" i="12"/>
  <c r="AB4" i="12"/>
  <c r="AB8" i="12"/>
  <c r="AB15" i="12"/>
  <c r="AB16" i="12"/>
  <c r="AB18" i="12"/>
  <c r="AB20" i="12"/>
  <c r="AB26" i="12"/>
  <c r="Y6" i="12"/>
  <c r="Y22" i="12"/>
  <c r="W3" i="12"/>
  <c r="W11" i="12"/>
  <c r="W14" i="12"/>
  <c r="W19" i="12"/>
  <c r="W21" i="12"/>
  <c r="W2" i="12"/>
  <c r="T21" i="12"/>
  <c r="K73" i="22" l="1"/>
  <c r="K75" i="22"/>
  <c r="K77" i="22"/>
  <c r="K79" i="22"/>
  <c r="K76" i="22"/>
  <c r="K72" i="22"/>
  <c r="K78" i="22"/>
  <c r="K74" i="22"/>
  <c r="BI189" i="12"/>
  <c r="BI181" i="12"/>
  <c r="BI173" i="12"/>
  <c r="BI165" i="12"/>
  <c r="BI157" i="12"/>
  <c r="BI149" i="12"/>
  <c r="BI141" i="12"/>
  <c r="BI133" i="12"/>
  <c r="BI125" i="12"/>
  <c r="BI117" i="12"/>
  <c r="BI109" i="12"/>
  <c r="BI101" i="12"/>
  <c r="BI93" i="12"/>
  <c r="BI85" i="12"/>
  <c r="BI77" i="12"/>
  <c r="BI69" i="12"/>
  <c r="BI61" i="12"/>
  <c r="BI53" i="12"/>
  <c r="BI45" i="12"/>
  <c r="BI37" i="12"/>
  <c r="BI29" i="12"/>
  <c r="BD155" i="12"/>
  <c r="BI34" i="12"/>
  <c r="BD19" i="12"/>
  <c r="BD11" i="12"/>
  <c r="BD3" i="12"/>
  <c r="AY9" i="12"/>
  <c r="BD26" i="12"/>
  <c r="BD18" i="12"/>
  <c r="BD10" i="12"/>
  <c r="BI188" i="12"/>
  <c r="BI180" i="12"/>
  <c r="BI172" i="12"/>
  <c r="BI164" i="12"/>
  <c r="BI156" i="12"/>
  <c r="BI148" i="12"/>
  <c r="BI140" i="12"/>
  <c r="BI132" i="12"/>
  <c r="BI124" i="12"/>
  <c r="BI116" i="12"/>
  <c r="BI108" i="12"/>
  <c r="BI100" i="12"/>
  <c r="BI92" i="12"/>
  <c r="BI84" i="12"/>
  <c r="BI76" i="12"/>
  <c r="BI68" i="12"/>
  <c r="BI60" i="12"/>
  <c r="BI52" i="12"/>
  <c r="BI44" i="12"/>
  <c r="BI36" i="12"/>
  <c r="BI28" i="12"/>
  <c r="AY22" i="12"/>
  <c r="AY14" i="12"/>
  <c r="BD82" i="12"/>
  <c r="BI187" i="12"/>
  <c r="BI179" i="12"/>
  <c r="BI171" i="12"/>
  <c r="BI163" i="12"/>
  <c r="BI155" i="12"/>
  <c r="BI147" i="12"/>
  <c r="BI139" i="12"/>
  <c r="BI131" i="12"/>
  <c r="BI123" i="12"/>
  <c r="BI115" i="12"/>
  <c r="BI107" i="12"/>
  <c r="BI99" i="12"/>
  <c r="BI91" i="12"/>
  <c r="BI83" i="12"/>
  <c r="BI75" i="12"/>
  <c r="BI67" i="12"/>
  <c r="BI59" i="12"/>
  <c r="BI51" i="12"/>
  <c r="BI43" i="12"/>
  <c r="BI35" i="12"/>
  <c r="BI27" i="12"/>
  <c r="BD50" i="12"/>
  <c r="BH116" i="12"/>
  <c r="BH84" i="12"/>
  <c r="BI186" i="12"/>
  <c r="BI154" i="12"/>
  <c r="BI122" i="12"/>
  <c r="BI90" i="12"/>
  <c r="BI58" i="12"/>
  <c r="BD154" i="12"/>
  <c r="BH172" i="12"/>
  <c r="BH140" i="12"/>
  <c r="BH52" i="12"/>
  <c r="BI185" i="12"/>
  <c r="BI153" i="12"/>
  <c r="BI121" i="12"/>
  <c r="BI89" i="12"/>
  <c r="BI57" i="12"/>
  <c r="BD130" i="12"/>
  <c r="BH108" i="12"/>
  <c r="BH76" i="12"/>
  <c r="BI178" i="12"/>
  <c r="BI146" i="12"/>
  <c r="BI114" i="12"/>
  <c r="BI82" i="12"/>
  <c r="BI50" i="12"/>
  <c r="BD98" i="12"/>
  <c r="BH164" i="12"/>
  <c r="BH132" i="12"/>
  <c r="BH44" i="12"/>
  <c r="BI177" i="12"/>
  <c r="BI145" i="12"/>
  <c r="BI113" i="12"/>
  <c r="BI81" i="12"/>
  <c r="BI49" i="12"/>
  <c r="BH131" i="12"/>
  <c r="BH100" i="12"/>
  <c r="BH68" i="12"/>
  <c r="BI170" i="12"/>
  <c r="BI138" i="12"/>
  <c r="BI106" i="12"/>
  <c r="BI74" i="12"/>
  <c r="BI42" i="12"/>
  <c r="BH188" i="12"/>
  <c r="BH156" i="12"/>
  <c r="BH67" i="12"/>
  <c r="BH36" i="12"/>
  <c r="BI169" i="12"/>
  <c r="BI137" i="12"/>
  <c r="BI105" i="12"/>
  <c r="BI73" i="12"/>
  <c r="BI41" i="12"/>
  <c r="AY21" i="12"/>
  <c r="AY13" i="12"/>
  <c r="AY5" i="12"/>
  <c r="AY186" i="12"/>
  <c r="AY178" i="12"/>
  <c r="AY170" i="12"/>
  <c r="AY162" i="12"/>
  <c r="AY154" i="12"/>
  <c r="AY146" i="12"/>
  <c r="AY138" i="12"/>
  <c r="AY130" i="12"/>
  <c r="AY122" i="12"/>
  <c r="AY114" i="12"/>
  <c r="AY106" i="12"/>
  <c r="AY98" i="12"/>
  <c r="AY90" i="12"/>
  <c r="AY82" i="12"/>
  <c r="AY74" i="12"/>
  <c r="AY27" i="12"/>
  <c r="BH124" i="12"/>
  <c r="BH92" i="12"/>
  <c r="BI162" i="12"/>
  <c r="BI130" i="12"/>
  <c r="BI98" i="12"/>
  <c r="BI66" i="12"/>
  <c r="BD186" i="12"/>
  <c r="BH180" i="12"/>
  <c r="BH148" i="12"/>
  <c r="BH60" i="12"/>
  <c r="BH28" i="12"/>
  <c r="BI161" i="12"/>
  <c r="BI129" i="12"/>
  <c r="BI97" i="12"/>
  <c r="BI65" i="12"/>
  <c r="BI33" i="12"/>
  <c r="AE6" i="12"/>
  <c r="BH147" i="12"/>
  <c r="BH83" i="12"/>
  <c r="AE14" i="12"/>
  <c r="BH171" i="12"/>
  <c r="BH107" i="12"/>
  <c r="BH43" i="12"/>
  <c r="BH187" i="12"/>
  <c r="BH123" i="12"/>
  <c r="BH59" i="12"/>
  <c r="BA58" i="12"/>
  <c r="BD106" i="12"/>
  <c r="BI184" i="12"/>
  <c r="BI176" i="12"/>
  <c r="BI168" i="12"/>
  <c r="BI160" i="12"/>
  <c r="BI152" i="12"/>
  <c r="BI144" i="12"/>
  <c r="BI136" i="12"/>
  <c r="BI128" i="12"/>
  <c r="BI120" i="12"/>
  <c r="BI112" i="12"/>
  <c r="BI104" i="12"/>
  <c r="BI96" i="12"/>
  <c r="BI88" i="12"/>
  <c r="BI80" i="12"/>
  <c r="BI72" i="12"/>
  <c r="BI64" i="12"/>
  <c r="BI56" i="12"/>
  <c r="BI48" i="12"/>
  <c r="BI40" i="12"/>
  <c r="BI32" i="12"/>
  <c r="BH163" i="12"/>
  <c r="BH99" i="12"/>
  <c r="BH35" i="12"/>
  <c r="BH191" i="12"/>
  <c r="BI191" i="12"/>
  <c r="BH183" i="12"/>
  <c r="BI183" i="12"/>
  <c r="BH175" i="12"/>
  <c r="BI175" i="12"/>
  <c r="BH167" i="12"/>
  <c r="BI167" i="12"/>
  <c r="BH159" i="12"/>
  <c r="BI159" i="12"/>
  <c r="BH151" i="12"/>
  <c r="BI151" i="12"/>
  <c r="BH143" i="12"/>
  <c r="BI143" i="12"/>
  <c r="BH135" i="12"/>
  <c r="BI135" i="12"/>
  <c r="BH127" i="12"/>
  <c r="BI127" i="12"/>
  <c r="BH119" i="12"/>
  <c r="BI119" i="12"/>
  <c r="BH111" i="12"/>
  <c r="BI111" i="12"/>
  <c r="BH103" i="12"/>
  <c r="BI103" i="12"/>
  <c r="BH95" i="12"/>
  <c r="BI95" i="12"/>
  <c r="BH87" i="12"/>
  <c r="BI87" i="12"/>
  <c r="BH79" i="12"/>
  <c r="BI79" i="12"/>
  <c r="BH71" i="12"/>
  <c r="BI71" i="12"/>
  <c r="BH63" i="12"/>
  <c r="BI63" i="12"/>
  <c r="BH55" i="12"/>
  <c r="BI55" i="12"/>
  <c r="BH47" i="12"/>
  <c r="BI47" i="12"/>
  <c r="BH39" i="12"/>
  <c r="BI39" i="12"/>
  <c r="BH31" i="12"/>
  <c r="BI31" i="12"/>
  <c r="BH139" i="12"/>
  <c r="BH75" i="12"/>
  <c r="AY25" i="12"/>
  <c r="BH190" i="12"/>
  <c r="BI190" i="12"/>
  <c r="BH182" i="12"/>
  <c r="BI182" i="12"/>
  <c r="BH174" i="12"/>
  <c r="BI174" i="12"/>
  <c r="BH166" i="12"/>
  <c r="BI166" i="12"/>
  <c r="BH158" i="12"/>
  <c r="BI158" i="12"/>
  <c r="BH150" i="12"/>
  <c r="BI150" i="12"/>
  <c r="BH142" i="12"/>
  <c r="BI142" i="12"/>
  <c r="BH134" i="12"/>
  <c r="BI134" i="12"/>
  <c r="BH126" i="12"/>
  <c r="BI126" i="12"/>
  <c r="BH118" i="12"/>
  <c r="BI118" i="12"/>
  <c r="BH110" i="12"/>
  <c r="BI110" i="12"/>
  <c r="BH102" i="12"/>
  <c r="BI102" i="12"/>
  <c r="BH94" i="12"/>
  <c r="BI94" i="12"/>
  <c r="BH86" i="12"/>
  <c r="BI86" i="12"/>
  <c r="BH78" i="12"/>
  <c r="BI78" i="12"/>
  <c r="BH70" i="12"/>
  <c r="BI70" i="12"/>
  <c r="BH62" i="12"/>
  <c r="BI62" i="12"/>
  <c r="BH54" i="12"/>
  <c r="BI54" i="12"/>
  <c r="BH46" i="12"/>
  <c r="BI46" i="12"/>
  <c r="BH38" i="12"/>
  <c r="BI38" i="12"/>
  <c r="BH30" i="12"/>
  <c r="BI30" i="12"/>
  <c r="BH179" i="12"/>
  <c r="BH115" i="12"/>
  <c r="BH51" i="12"/>
  <c r="AY17" i="12"/>
  <c r="BD5" i="12"/>
  <c r="BH155" i="12"/>
  <c r="BH91" i="12"/>
  <c r="BH27" i="12"/>
  <c r="AY66" i="12"/>
  <c r="AY58" i="12"/>
  <c r="AY50" i="12"/>
  <c r="AY42" i="12"/>
  <c r="AY34" i="12"/>
  <c r="BD20" i="12"/>
  <c r="BD12" i="12"/>
  <c r="BD4" i="12"/>
  <c r="BD162" i="12"/>
  <c r="BD114" i="12"/>
  <c r="BD59" i="12"/>
  <c r="BH189" i="12"/>
  <c r="BH181" i="12"/>
  <c r="BH173" i="12"/>
  <c r="BH165" i="12"/>
  <c r="BH157" i="12"/>
  <c r="BH149" i="12"/>
  <c r="BH141" i="12"/>
  <c r="BH133" i="12"/>
  <c r="BH125" i="12"/>
  <c r="BH117" i="12"/>
  <c r="BH109" i="12"/>
  <c r="BH101" i="12"/>
  <c r="BH93" i="12"/>
  <c r="BH85" i="12"/>
  <c r="BH77" i="12"/>
  <c r="BH69" i="12"/>
  <c r="BH61" i="12"/>
  <c r="BH53" i="12"/>
  <c r="BH45" i="12"/>
  <c r="BH37" i="12"/>
  <c r="BH29" i="12"/>
  <c r="AY19" i="12"/>
  <c r="AY11" i="12"/>
  <c r="BD146" i="12"/>
  <c r="BD91" i="12"/>
  <c r="BD42" i="12"/>
  <c r="BD187" i="12"/>
  <c r="BD138" i="12"/>
  <c r="BD90" i="12"/>
  <c r="BD34" i="12"/>
  <c r="AY115" i="12"/>
  <c r="BD178" i="12"/>
  <c r="BD123" i="12"/>
  <c r="BD74" i="12"/>
  <c r="BD170" i="12"/>
  <c r="BD122" i="12"/>
  <c r="BD66" i="12"/>
  <c r="AT19" i="12"/>
  <c r="AT11" i="12"/>
  <c r="AT3" i="12"/>
  <c r="AY24" i="12"/>
  <c r="AY16" i="12"/>
  <c r="AY8" i="12"/>
  <c r="AY189" i="12"/>
  <c r="AY181" i="12"/>
  <c r="AY173" i="12"/>
  <c r="AY165" i="12"/>
  <c r="AY157" i="12"/>
  <c r="AY149" i="12"/>
  <c r="AY141" i="12"/>
  <c r="AY133" i="12"/>
  <c r="AY125" i="12"/>
  <c r="AY117" i="12"/>
  <c r="AY112" i="12"/>
  <c r="AY107" i="12"/>
  <c r="BC184" i="12"/>
  <c r="BD184" i="12"/>
  <c r="BC176" i="12"/>
  <c r="BD176" i="12"/>
  <c r="BC168" i="12"/>
  <c r="BD168" i="12"/>
  <c r="BC160" i="12"/>
  <c r="BD160" i="12"/>
  <c r="BC152" i="12"/>
  <c r="BD152" i="12"/>
  <c r="BC144" i="12"/>
  <c r="BD144" i="12"/>
  <c r="BC136" i="12"/>
  <c r="BD136" i="12"/>
  <c r="BC128" i="12"/>
  <c r="BD128" i="12"/>
  <c r="BC120" i="12"/>
  <c r="BD120" i="12"/>
  <c r="BC112" i="12"/>
  <c r="BD112" i="12"/>
  <c r="BC104" i="12"/>
  <c r="BD104" i="12"/>
  <c r="BC96" i="12"/>
  <c r="BD96" i="12"/>
  <c r="BC88" i="12"/>
  <c r="BD88" i="12"/>
  <c r="BC80" i="12"/>
  <c r="BD80" i="12"/>
  <c r="BC72" i="12"/>
  <c r="BD72" i="12"/>
  <c r="BC64" i="12"/>
  <c r="BD64" i="12"/>
  <c r="BC56" i="12"/>
  <c r="BD56" i="12"/>
  <c r="BC48" i="12"/>
  <c r="BD48" i="12"/>
  <c r="BC40" i="12"/>
  <c r="BD40" i="12"/>
  <c r="BC32" i="12"/>
  <c r="BD32" i="12"/>
  <c r="BD179" i="12"/>
  <c r="BD147" i="12"/>
  <c r="BD115" i="12"/>
  <c r="BD83" i="12"/>
  <c r="BD51" i="12"/>
  <c r="AY6" i="12"/>
  <c r="AX187" i="12"/>
  <c r="AY187" i="12"/>
  <c r="AX179" i="12"/>
  <c r="AY179" i="12"/>
  <c r="AX139" i="12"/>
  <c r="AY139" i="12"/>
  <c r="AX131" i="12"/>
  <c r="AY131" i="12"/>
  <c r="AX123" i="12"/>
  <c r="AY123" i="12"/>
  <c r="AX91" i="12"/>
  <c r="AY91" i="12"/>
  <c r="AX83" i="12"/>
  <c r="AY83" i="12"/>
  <c r="AX75" i="12"/>
  <c r="AY75" i="12"/>
  <c r="AY99" i="12"/>
  <c r="BC191" i="12"/>
  <c r="BD191" i="12"/>
  <c r="BC183" i="12"/>
  <c r="BD183" i="12"/>
  <c r="BC175" i="12"/>
  <c r="BD175" i="12"/>
  <c r="BC167" i="12"/>
  <c r="BD167" i="12"/>
  <c r="BC159" i="12"/>
  <c r="BD159" i="12"/>
  <c r="BC151" i="12"/>
  <c r="BD151" i="12"/>
  <c r="BC143" i="12"/>
  <c r="BD143" i="12"/>
  <c r="BC135" i="12"/>
  <c r="BD135" i="12"/>
  <c r="BC127" i="12"/>
  <c r="BD127" i="12"/>
  <c r="BC119" i="12"/>
  <c r="BD119" i="12"/>
  <c r="BC111" i="12"/>
  <c r="BD111" i="12"/>
  <c r="BC103" i="12"/>
  <c r="BD103" i="12"/>
  <c r="BC95" i="12"/>
  <c r="BD95" i="12"/>
  <c r="BC87" i="12"/>
  <c r="BD87" i="12"/>
  <c r="BC79" i="12"/>
  <c r="BD79" i="12"/>
  <c r="BC71" i="12"/>
  <c r="BD71" i="12"/>
  <c r="BC63" i="12"/>
  <c r="BD63" i="12"/>
  <c r="BC55" i="12"/>
  <c r="BD55" i="12"/>
  <c r="BC47" i="12"/>
  <c r="BD47" i="12"/>
  <c r="BC39" i="12"/>
  <c r="BD39" i="12"/>
  <c r="BC31" i="12"/>
  <c r="BD31" i="12"/>
  <c r="U185" i="12"/>
  <c r="AY171" i="12"/>
  <c r="AY67" i="12"/>
  <c r="BD17" i="12"/>
  <c r="BD171" i="12"/>
  <c r="BD139" i="12"/>
  <c r="BD107" i="12"/>
  <c r="BD75" i="12"/>
  <c r="BD43" i="12"/>
  <c r="AE97" i="12"/>
  <c r="AE89" i="12"/>
  <c r="AE81" i="12"/>
  <c r="AE73" i="12"/>
  <c r="AE65" i="12"/>
  <c r="AE57" i="12"/>
  <c r="AE49" i="12"/>
  <c r="AE41" i="12"/>
  <c r="AE33" i="12"/>
  <c r="AY20" i="12"/>
  <c r="AY12" i="12"/>
  <c r="AY4" i="12"/>
  <c r="AY163" i="12"/>
  <c r="AY59" i="12"/>
  <c r="BD16" i="12"/>
  <c r="BD189" i="12"/>
  <c r="BD181" i="12"/>
  <c r="BD173" i="12"/>
  <c r="BD165" i="12"/>
  <c r="BD157" i="12"/>
  <c r="BD149" i="12"/>
  <c r="BD141" i="12"/>
  <c r="BD133" i="12"/>
  <c r="BD125" i="12"/>
  <c r="BD117" i="12"/>
  <c r="BD109" i="12"/>
  <c r="BD101" i="12"/>
  <c r="BD93" i="12"/>
  <c r="BD85" i="12"/>
  <c r="BD77" i="12"/>
  <c r="BD69" i="12"/>
  <c r="BD61" i="12"/>
  <c r="BD53" i="12"/>
  <c r="BD45" i="12"/>
  <c r="BD37" i="12"/>
  <c r="BD29" i="12"/>
  <c r="AT21" i="12"/>
  <c r="AT146" i="12"/>
  <c r="AT114" i="12"/>
  <c r="AX176" i="12"/>
  <c r="AY176" i="12"/>
  <c r="AX144" i="12"/>
  <c r="AY144" i="12"/>
  <c r="AX80" i="12"/>
  <c r="AY80" i="12"/>
  <c r="AY155" i="12"/>
  <c r="AY51" i="12"/>
  <c r="BD23" i="12"/>
  <c r="BD15" i="12"/>
  <c r="BD7" i="12"/>
  <c r="BD188" i="12"/>
  <c r="BD180" i="12"/>
  <c r="BD172" i="12"/>
  <c r="BD164" i="12"/>
  <c r="BD156" i="12"/>
  <c r="BD148" i="12"/>
  <c r="BD140" i="12"/>
  <c r="BD132" i="12"/>
  <c r="BD124" i="12"/>
  <c r="BD116" i="12"/>
  <c r="BD108" i="12"/>
  <c r="BD100" i="12"/>
  <c r="BD92" i="12"/>
  <c r="BD84" i="12"/>
  <c r="BD76" i="12"/>
  <c r="BD68" i="12"/>
  <c r="BD60" i="12"/>
  <c r="BD52" i="12"/>
  <c r="BD44" i="12"/>
  <c r="BD36" i="12"/>
  <c r="BD28" i="12"/>
  <c r="BD163" i="12"/>
  <c r="BD131" i="12"/>
  <c r="BD99" i="12"/>
  <c r="BD67" i="12"/>
  <c r="BD35" i="12"/>
  <c r="AY26" i="12"/>
  <c r="AY10" i="12"/>
  <c r="AY147" i="12"/>
  <c r="AY48" i="12"/>
  <c r="BD27" i="12"/>
  <c r="BC27" i="12"/>
  <c r="BD185" i="12"/>
  <c r="BD177" i="12"/>
  <c r="BD169" i="12"/>
  <c r="BD161" i="12"/>
  <c r="BD153" i="12"/>
  <c r="BD145" i="12"/>
  <c r="BD137" i="12"/>
  <c r="BD129" i="12"/>
  <c r="BD121" i="12"/>
  <c r="BD113" i="12"/>
  <c r="BD105" i="12"/>
  <c r="BD97" i="12"/>
  <c r="BD89" i="12"/>
  <c r="BD81" i="12"/>
  <c r="BD73" i="12"/>
  <c r="BD65" i="12"/>
  <c r="BD57" i="12"/>
  <c r="BD49" i="12"/>
  <c r="BD41" i="12"/>
  <c r="BD33" i="12"/>
  <c r="AY109" i="12"/>
  <c r="AY101" i="12"/>
  <c r="AY93" i="12"/>
  <c r="AY85" i="12"/>
  <c r="AY77" i="12"/>
  <c r="AY69" i="12"/>
  <c r="AY61" i="12"/>
  <c r="AY53" i="12"/>
  <c r="AY45" i="12"/>
  <c r="AY37" i="12"/>
  <c r="AY29" i="12"/>
  <c r="AY43" i="12"/>
  <c r="AY35" i="12"/>
  <c r="BD25" i="12"/>
  <c r="BD9" i="12"/>
  <c r="BD190" i="12"/>
  <c r="BD182" i="12"/>
  <c r="BD174" i="12"/>
  <c r="BD166" i="12"/>
  <c r="BD158" i="12"/>
  <c r="BD150" i="12"/>
  <c r="BD142" i="12"/>
  <c r="BD134" i="12"/>
  <c r="BD126" i="12"/>
  <c r="BD118" i="12"/>
  <c r="BD110" i="12"/>
  <c r="BD102" i="12"/>
  <c r="BD94" i="12"/>
  <c r="BD86" i="12"/>
  <c r="BD78" i="12"/>
  <c r="BD70" i="12"/>
  <c r="BD62" i="12"/>
  <c r="BD54" i="12"/>
  <c r="BD46" i="12"/>
  <c r="BD38" i="12"/>
  <c r="BD30" i="12"/>
  <c r="BD24" i="12"/>
  <c r="BD8" i="12"/>
  <c r="AV146" i="12"/>
  <c r="AV82" i="12"/>
  <c r="AX133" i="12"/>
  <c r="AQ22" i="12"/>
  <c r="AJ178" i="12"/>
  <c r="AJ170" i="12"/>
  <c r="AJ162" i="12"/>
  <c r="AJ154" i="12"/>
  <c r="AJ130" i="12"/>
  <c r="AJ114" i="12"/>
  <c r="AJ106" i="12"/>
  <c r="AJ98" i="12"/>
  <c r="AJ90" i="12"/>
  <c r="AJ66" i="12"/>
  <c r="AJ42" i="12"/>
  <c r="AJ34" i="12"/>
  <c r="AO22" i="12"/>
  <c r="AO18" i="12"/>
  <c r="AT59" i="12"/>
  <c r="AV186" i="12"/>
  <c r="AV122" i="12"/>
  <c r="AV58" i="12"/>
  <c r="AY23" i="12"/>
  <c r="AY15" i="12"/>
  <c r="AY7" i="12"/>
  <c r="AY188" i="12"/>
  <c r="AY180" i="12"/>
  <c r="AY172" i="12"/>
  <c r="AY164" i="12"/>
  <c r="AY156" i="12"/>
  <c r="AY148" i="12"/>
  <c r="AY140" i="12"/>
  <c r="AY132" i="12"/>
  <c r="AY124" i="12"/>
  <c r="AY116" i="12"/>
  <c r="AY108" i="12"/>
  <c r="AY100" i="12"/>
  <c r="AY92" i="12"/>
  <c r="AY84" i="12"/>
  <c r="AY76" i="12"/>
  <c r="AY68" i="12"/>
  <c r="AY60" i="12"/>
  <c r="AY52" i="12"/>
  <c r="AY44" i="12"/>
  <c r="AY36" i="12"/>
  <c r="AY28" i="12"/>
  <c r="AX173" i="12"/>
  <c r="AX109" i="12"/>
  <c r="AX45" i="12"/>
  <c r="AY184" i="12"/>
  <c r="AY152" i="12"/>
  <c r="AY120" i="12"/>
  <c r="AY88" i="12"/>
  <c r="AY56" i="12"/>
  <c r="AT91" i="12"/>
  <c r="AX69" i="12"/>
  <c r="AE20" i="12"/>
  <c r="AE12" i="12"/>
  <c r="AE4" i="12"/>
  <c r="AE185" i="12"/>
  <c r="AE177" i="12"/>
  <c r="AE169" i="12"/>
  <c r="AE161" i="12"/>
  <c r="AE153" i="12"/>
  <c r="AE145" i="12"/>
  <c r="AE137" i="12"/>
  <c r="AE129" i="12"/>
  <c r="AE121" i="12"/>
  <c r="AE113" i="12"/>
  <c r="AE105" i="12"/>
  <c r="AO21" i="12"/>
  <c r="AO13" i="12"/>
  <c r="AO5" i="12"/>
  <c r="AO186" i="12"/>
  <c r="AO170" i="12"/>
  <c r="AO162" i="12"/>
  <c r="AO154" i="12"/>
  <c r="AO138" i="12"/>
  <c r="AO122" i="12"/>
  <c r="AO106" i="12"/>
  <c r="AO98" i="12"/>
  <c r="AO90" i="12"/>
  <c r="AO74" i="12"/>
  <c r="AO58" i="12"/>
  <c r="AO42" i="12"/>
  <c r="AO34" i="12"/>
  <c r="AT20" i="12"/>
  <c r="AT12" i="12"/>
  <c r="AT4" i="12"/>
  <c r="AT185" i="12"/>
  <c r="AQ185" i="12"/>
  <c r="AT177" i="12"/>
  <c r="AT169" i="12"/>
  <c r="AT161" i="12"/>
  <c r="AQ161" i="12"/>
  <c r="AT153" i="12"/>
  <c r="AT145" i="12"/>
  <c r="AQ145" i="12"/>
  <c r="AT137" i="12"/>
  <c r="AQ137" i="12"/>
  <c r="AT129" i="12"/>
  <c r="AQ129" i="12"/>
  <c r="AT121" i="12"/>
  <c r="AQ121" i="12"/>
  <c r="AT113" i="12"/>
  <c r="AT105" i="12"/>
  <c r="AT97" i="12"/>
  <c r="AQ97" i="12"/>
  <c r="AT89" i="12"/>
  <c r="AT81" i="12"/>
  <c r="AQ81" i="12"/>
  <c r="AT73" i="12"/>
  <c r="AQ73" i="12"/>
  <c r="AT65" i="12"/>
  <c r="AQ65" i="12"/>
  <c r="AT57" i="12"/>
  <c r="AQ57" i="12"/>
  <c r="AT49" i="12"/>
  <c r="AT41" i="12"/>
  <c r="AT33" i="12"/>
  <c r="AQ33" i="12"/>
  <c r="AQ177" i="12"/>
  <c r="AT25" i="12"/>
  <c r="AT17" i="12"/>
  <c r="AT9" i="12"/>
  <c r="AV162" i="12"/>
  <c r="AV98" i="12"/>
  <c r="AV34" i="12"/>
  <c r="AX149" i="12"/>
  <c r="AX85" i="12"/>
  <c r="AV74" i="12"/>
  <c r="AX189" i="12"/>
  <c r="AX61" i="12"/>
  <c r="AV178" i="12"/>
  <c r="AV114" i="12"/>
  <c r="AV50" i="12"/>
  <c r="AX165" i="12"/>
  <c r="AX101" i="12"/>
  <c r="AX37" i="12"/>
  <c r="AX125" i="12"/>
  <c r="AV21" i="12"/>
  <c r="AT155" i="12"/>
  <c r="AT123" i="12"/>
  <c r="AV154" i="12"/>
  <c r="AV90" i="12"/>
  <c r="AX141" i="12"/>
  <c r="AX77" i="12"/>
  <c r="AY168" i="12"/>
  <c r="AY136" i="12"/>
  <c r="AY104" i="12"/>
  <c r="AY72" i="12"/>
  <c r="AY40" i="12"/>
  <c r="AV138" i="12"/>
  <c r="AQ6" i="12"/>
  <c r="AS11" i="12"/>
  <c r="AV13" i="12"/>
  <c r="AV5" i="12"/>
  <c r="AT187" i="12"/>
  <c r="AV130" i="12"/>
  <c r="AV66" i="12"/>
  <c r="AX18" i="12"/>
  <c r="AY18" i="12"/>
  <c r="AX191" i="12"/>
  <c r="AY191" i="12"/>
  <c r="AX183" i="12"/>
  <c r="AY183" i="12"/>
  <c r="AX175" i="12"/>
  <c r="AY175" i="12"/>
  <c r="AX167" i="12"/>
  <c r="AY167" i="12"/>
  <c r="AX159" i="12"/>
  <c r="AY159" i="12"/>
  <c r="AX151" i="12"/>
  <c r="AY151" i="12"/>
  <c r="AX143" i="12"/>
  <c r="AY143" i="12"/>
  <c r="AX135" i="12"/>
  <c r="AY135" i="12"/>
  <c r="AX127" i="12"/>
  <c r="AY127" i="12"/>
  <c r="AX119" i="12"/>
  <c r="AY119" i="12"/>
  <c r="AX111" i="12"/>
  <c r="AY111" i="12"/>
  <c r="AX103" i="12"/>
  <c r="AY103" i="12"/>
  <c r="AX95" i="12"/>
  <c r="AY95" i="12"/>
  <c r="AX87" i="12"/>
  <c r="AY87" i="12"/>
  <c r="AX79" i="12"/>
  <c r="AY79" i="12"/>
  <c r="AX71" i="12"/>
  <c r="AY71" i="12"/>
  <c r="AX63" i="12"/>
  <c r="AY63" i="12"/>
  <c r="AX55" i="12"/>
  <c r="AY55" i="12"/>
  <c r="AX47" i="12"/>
  <c r="AY47" i="12"/>
  <c r="AX39" i="12"/>
  <c r="AY39" i="12"/>
  <c r="AX31" i="12"/>
  <c r="AY31" i="12"/>
  <c r="AX181" i="12"/>
  <c r="AX117" i="12"/>
  <c r="AX53" i="12"/>
  <c r="AQ14" i="12"/>
  <c r="AO20" i="12"/>
  <c r="AO12" i="12"/>
  <c r="AO4" i="12"/>
  <c r="AV170" i="12"/>
  <c r="AV106" i="12"/>
  <c r="AV42" i="12"/>
  <c r="AX157" i="12"/>
  <c r="AX93" i="12"/>
  <c r="AX29" i="12"/>
  <c r="AY3" i="12"/>
  <c r="AY160" i="12"/>
  <c r="AY128" i="12"/>
  <c r="AY96" i="12"/>
  <c r="AY64" i="12"/>
  <c r="AY32" i="12"/>
  <c r="AT26" i="12"/>
  <c r="AT10" i="12"/>
  <c r="AT82" i="12"/>
  <c r="AY185" i="12"/>
  <c r="AY177" i="12"/>
  <c r="AY169" i="12"/>
  <c r="AY161" i="12"/>
  <c r="AY153" i="12"/>
  <c r="AY145" i="12"/>
  <c r="AY137" i="12"/>
  <c r="AY129" i="12"/>
  <c r="AY121" i="12"/>
  <c r="AY113" i="12"/>
  <c r="AY105" i="12"/>
  <c r="AY97" i="12"/>
  <c r="AY89" i="12"/>
  <c r="AY81" i="12"/>
  <c r="AY73" i="12"/>
  <c r="AY65" i="12"/>
  <c r="AY57" i="12"/>
  <c r="AY49" i="12"/>
  <c r="AY41" i="12"/>
  <c r="AY33" i="12"/>
  <c r="AT178" i="12"/>
  <c r="AT50" i="12"/>
  <c r="AY190" i="12"/>
  <c r="AY182" i="12"/>
  <c r="AY174" i="12"/>
  <c r="AY166" i="12"/>
  <c r="AY158" i="12"/>
  <c r="AY150" i="12"/>
  <c r="AY142" i="12"/>
  <c r="AY134" i="12"/>
  <c r="AY126" i="12"/>
  <c r="AY118" i="12"/>
  <c r="AY110" i="12"/>
  <c r="AY102" i="12"/>
  <c r="AY94" i="12"/>
  <c r="AY86" i="12"/>
  <c r="AY78" i="12"/>
  <c r="AY70" i="12"/>
  <c r="AY62" i="12"/>
  <c r="AY54" i="12"/>
  <c r="AY46" i="12"/>
  <c r="AY38" i="12"/>
  <c r="AY30" i="12"/>
  <c r="AS146" i="12"/>
  <c r="AO25" i="12"/>
  <c r="AO17" i="12"/>
  <c r="AO43" i="12"/>
  <c r="AQ186" i="12"/>
  <c r="AQ170" i="12"/>
  <c r="AQ154" i="12"/>
  <c r="AQ138" i="12"/>
  <c r="AQ122" i="12"/>
  <c r="AQ106" i="12"/>
  <c r="AQ90" i="12"/>
  <c r="AQ74" i="12"/>
  <c r="AQ58" i="12"/>
  <c r="AQ42" i="12"/>
  <c r="AS184" i="12"/>
  <c r="AT184" i="12"/>
  <c r="AS176" i="12"/>
  <c r="AT176" i="12"/>
  <c r="AS168" i="12"/>
  <c r="AT168" i="12"/>
  <c r="AS160" i="12"/>
  <c r="AT160" i="12"/>
  <c r="AS152" i="12"/>
  <c r="AT152" i="12"/>
  <c r="AS144" i="12"/>
  <c r="AT144" i="12"/>
  <c r="AS136" i="12"/>
  <c r="AT136" i="12"/>
  <c r="AS128" i="12"/>
  <c r="AT128" i="12"/>
  <c r="AS120" i="12"/>
  <c r="AT120" i="12"/>
  <c r="AS112" i="12"/>
  <c r="AT112" i="12"/>
  <c r="AS104" i="12"/>
  <c r="AT104" i="12"/>
  <c r="AS96" i="12"/>
  <c r="AT96" i="12"/>
  <c r="AS88" i="12"/>
  <c r="AT88" i="12"/>
  <c r="AS80" i="12"/>
  <c r="AT80" i="12"/>
  <c r="AS72" i="12"/>
  <c r="AT72" i="12"/>
  <c r="AS64" i="12"/>
  <c r="AT64" i="12"/>
  <c r="AS56" i="12"/>
  <c r="AT56" i="12"/>
  <c r="AS48" i="12"/>
  <c r="AT48" i="12"/>
  <c r="AS40" i="12"/>
  <c r="AT40" i="12"/>
  <c r="AS32" i="12"/>
  <c r="AT32" i="12"/>
  <c r="AO72" i="12"/>
  <c r="AQ13" i="12"/>
  <c r="AS18" i="12"/>
  <c r="AT18" i="12"/>
  <c r="AS191" i="12"/>
  <c r="AT191" i="12"/>
  <c r="AS183" i="12"/>
  <c r="AT183" i="12"/>
  <c r="AS175" i="12"/>
  <c r="AT175" i="12"/>
  <c r="AS167" i="12"/>
  <c r="AT167" i="12"/>
  <c r="AS159" i="12"/>
  <c r="AT159" i="12"/>
  <c r="AS151" i="12"/>
  <c r="AT151" i="12"/>
  <c r="AS143" i="12"/>
  <c r="AT143" i="12"/>
  <c r="AS135" i="12"/>
  <c r="AT135" i="12"/>
  <c r="AS127" i="12"/>
  <c r="AT127" i="12"/>
  <c r="AS119" i="12"/>
  <c r="AT119" i="12"/>
  <c r="AS111" i="12"/>
  <c r="AT111" i="12"/>
  <c r="AS103" i="12"/>
  <c r="AT103" i="12"/>
  <c r="AS95" i="12"/>
  <c r="AT95" i="12"/>
  <c r="AS87" i="12"/>
  <c r="AT87" i="12"/>
  <c r="AS79" i="12"/>
  <c r="AT79" i="12"/>
  <c r="AS71" i="12"/>
  <c r="AT71" i="12"/>
  <c r="AS63" i="12"/>
  <c r="AT63" i="12"/>
  <c r="AS55" i="12"/>
  <c r="AT55" i="12"/>
  <c r="AS47" i="12"/>
  <c r="AT47" i="12"/>
  <c r="AS39" i="12"/>
  <c r="AT39" i="12"/>
  <c r="AS31" i="12"/>
  <c r="AT31" i="12"/>
  <c r="AT179" i="12"/>
  <c r="AT147" i="12"/>
  <c r="AT115" i="12"/>
  <c r="AT83" i="12"/>
  <c r="AT51" i="12"/>
  <c r="AS190" i="12"/>
  <c r="AT190" i="12"/>
  <c r="AS174" i="12"/>
  <c r="AT174" i="12"/>
  <c r="AS158" i="12"/>
  <c r="AT158" i="12"/>
  <c r="AS102" i="12"/>
  <c r="AT102" i="12"/>
  <c r="AO155" i="12"/>
  <c r="AN155" i="12"/>
  <c r="AO35" i="12"/>
  <c r="AO27" i="12"/>
  <c r="AN27" i="12"/>
  <c r="AT24" i="12"/>
  <c r="AT16" i="12"/>
  <c r="AT8" i="12"/>
  <c r="AT189" i="12"/>
  <c r="AT181" i="12"/>
  <c r="AT173" i="12"/>
  <c r="AT165" i="12"/>
  <c r="AT157" i="12"/>
  <c r="AT149" i="12"/>
  <c r="AT141" i="12"/>
  <c r="AT133" i="12"/>
  <c r="AT125" i="12"/>
  <c r="AT117" i="12"/>
  <c r="AT109" i="12"/>
  <c r="AT101" i="12"/>
  <c r="AT93" i="12"/>
  <c r="AT85" i="12"/>
  <c r="AT77" i="12"/>
  <c r="AT69" i="12"/>
  <c r="AT61" i="12"/>
  <c r="AT53" i="12"/>
  <c r="AT45" i="12"/>
  <c r="AT37" i="12"/>
  <c r="AT29" i="12"/>
  <c r="AT171" i="12"/>
  <c r="AT139" i="12"/>
  <c r="AT107" i="12"/>
  <c r="AT75" i="12"/>
  <c r="AT43" i="12"/>
  <c r="AS182" i="12"/>
  <c r="AT182" i="12"/>
  <c r="AS166" i="12"/>
  <c r="AT166" i="12"/>
  <c r="AS150" i="12"/>
  <c r="AT150" i="12"/>
  <c r="AS142" i="12"/>
  <c r="AT142" i="12"/>
  <c r="AS134" i="12"/>
  <c r="AT134" i="12"/>
  <c r="AS126" i="12"/>
  <c r="AT126" i="12"/>
  <c r="AS118" i="12"/>
  <c r="AT118" i="12"/>
  <c r="AS110" i="12"/>
  <c r="AT110" i="12"/>
  <c r="AS94" i="12"/>
  <c r="AT94" i="12"/>
  <c r="AS86" i="12"/>
  <c r="AT86" i="12"/>
  <c r="AS78" i="12"/>
  <c r="AT78" i="12"/>
  <c r="AS70" i="12"/>
  <c r="AT70" i="12"/>
  <c r="AS62" i="12"/>
  <c r="AT62" i="12"/>
  <c r="AS54" i="12"/>
  <c r="AT54" i="12"/>
  <c r="AS46" i="12"/>
  <c r="AT46" i="12"/>
  <c r="AS38" i="12"/>
  <c r="AT38" i="12"/>
  <c r="AS30" i="12"/>
  <c r="AT30" i="12"/>
  <c r="AS17" i="12"/>
  <c r="AI47" i="12"/>
  <c r="AJ47" i="12"/>
  <c r="AQ162" i="12"/>
  <c r="AQ130" i="12"/>
  <c r="AQ98" i="12"/>
  <c r="AQ66" i="12"/>
  <c r="AQ34" i="12"/>
  <c r="AT23" i="12"/>
  <c r="AT15" i="12"/>
  <c r="AT7" i="12"/>
  <c r="AT188" i="12"/>
  <c r="AT180" i="12"/>
  <c r="AT172" i="12"/>
  <c r="AT164" i="12"/>
  <c r="AT156" i="12"/>
  <c r="AT148" i="12"/>
  <c r="AT140" i="12"/>
  <c r="AT132" i="12"/>
  <c r="AT124" i="12"/>
  <c r="AT116" i="12"/>
  <c r="AT108" i="12"/>
  <c r="AT100" i="12"/>
  <c r="AT92" i="12"/>
  <c r="AT84" i="12"/>
  <c r="AT76" i="12"/>
  <c r="AT68" i="12"/>
  <c r="AT60" i="12"/>
  <c r="AT52" i="12"/>
  <c r="AT44" i="12"/>
  <c r="AT36" i="12"/>
  <c r="AT28" i="12"/>
  <c r="U186" i="12"/>
  <c r="U162" i="12"/>
  <c r="Z5" i="12"/>
  <c r="Z90" i="12"/>
  <c r="Z66" i="12"/>
  <c r="AO136" i="12"/>
  <c r="AT163" i="12"/>
  <c r="AT131" i="12"/>
  <c r="AT99" i="12"/>
  <c r="AT67" i="12"/>
  <c r="AT35" i="12"/>
  <c r="Z145" i="12"/>
  <c r="AB105" i="12"/>
  <c r="AJ185" i="12"/>
  <c r="AJ177" i="12"/>
  <c r="AJ169" i="12"/>
  <c r="AJ161" i="12"/>
  <c r="AJ153" i="12"/>
  <c r="AJ145" i="12"/>
  <c r="AJ137" i="12"/>
  <c r="AJ129" i="12"/>
  <c r="AJ121" i="12"/>
  <c r="AJ113" i="12"/>
  <c r="AJ105" i="12"/>
  <c r="AJ97" i="12"/>
  <c r="AJ89" i="12"/>
  <c r="AJ81" i="12"/>
  <c r="AJ73" i="12"/>
  <c r="AJ65" i="12"/>
  <c r="AJ57" i="12"/>
  <c r="AJ49" i="12"/>
  <c r="AJ41" i="12"/>
  <c r="AJ33" i="12"/>
  <c r="AO19" i="12"/>
  <c r="AO11" i="12"/>
  <c r="AO3" i="12"/>
  <c r="AO91" i="12"/>
  <c r="AQ27" i="12"/>
  <c r="AT27" i="12"/>
  <c r="AO53" i="12"/>
  <c r="AO45" i="12"/>
  <c r="AO37" i="12"/>
  <c r="AO29" i="12"/>
  <c r="AO178" i="12"/>
  <c r="AO50" i="12"/>
  <c r="Y5" i="12"/>
  <c r="AL5" i="12"/>
  <c r="Z20" i="12"/>
  <c r="Z12" i="12"/>
  <c r="Z4" i="12"/>
  <c r="Z81" i="12"/>
  <c r="AB169" i="12"/>
  <c r="AB33" i="12"/>
  <c r="AJ50" i="12"/>
  <c r="AG50" i="12"/>
  <c r="AI191" i="12"/>
  <c r="AJ191" i="12"/>
  <c r="AI111" i="12"/>
  <c r="AJ111" i="12"/>
  <c r="AI95" i="12"/>
  <c r="AJ95" i="12"/>
  <c r="AI79" i="12"/>
  <c r="AJ79" i="12"/>
  <c r="AI63" i="12"/>
  <c r="AJ63" i="12"/>
  <c r="AJ40" i="12"/>
  <c r="AL186" i="12"/>
  <c r="AL170" i="12"/>
  <c r="AL154" i="12"/>
  <c r="AL138" i="12"/>
  <c r="AL122" i="12"/>
  <c r="AL106" i="12"/>
  <c r="AL90" i="12"/>
  <c r="AL74" i="12"/>
  <c r="AL58" i="12"/>
  <c r="AL42" i="12"/>
  <c r="AO6" i="12"/>
  <c r="AO176" i="12"/>
  <c r="AO131" i="12"/>
  <c r="AO112" i="12"/>
  <c r="AO67" i="12"/>
  <c r="AO48" i="12"/>
  <c r="AE13" i="12"/>
  <c r="AO114" i="12"/>
  <c r="Z11" i="12"/>
  <c r="Z3" i="12"/>
  <c r="Z128" i="12"/>
  <c r="Z120" i="12"/>
  <c r="Z40" i="12"/>
  <c r="AB97" i="12"/>
  <c r="AE154" i="12"/>
  <c r="AG170" i="12"/>
  <c r="AG65" i="12"/>
  <c r="AJ175" i="12"/>
  <c r="AN26" i="12"/>
  <c r="AO26" i="12"/>
  <c r="AN10" i="12"/>
  <c r="AO10" i="12"/>
  <c r="AN191" i="12"/>
  <c r="AO191" i="12"/>
  <c r="AN183" i="12"/>
  <c r="AO183" i="12"/>
  <c r="AN175" i="12"/>
  <c r="AO175" i="12"/>
  <c r="AN167" i="12"/>
  <c r="AO167" i="12"/>
  <c r="AN159" i="12"/>
  <c r="AO159" i="12"/>
  <c r="AN151" i="12"/>
  <c r="AO151" i="12"/>
  <c r="AN143" i="12"/>
  <c r="AO143" i="12"/>
  <c r="AN135" i="12"/>
  <c r="AO135" i="12"/>
  <c r="AN127" i="12"/>
  <c r="AO127" i="12"/>
  <c r="AN119" i="12"/>
  <c r="AO119" i="12"/>
  <c r="AN111" i="12"/>
  <c r="AO111" i="12"/>
  <c r="AN103" i="12"/>
  <c r="AO103" i="12"/>
  <c r="AN95" i="12"/>
  <c r="AO95" i="12"/>
  <c r="AN87" i="12"/>
  <c r="AO87" i="12"/>
  <c r="AN79" i="12"/>
  <c r="AO79" i="12"/>
  <c r="AN71" i="12"/>
  <c r="AO71" i="12"/>
  <c r="AN63" i="12"/>
  <c r="AO63" i="12"/>
  <c r="AN55" i="12"/>
  <c r="AO55" i="12"/>
  <c r="AN47" i="12"/>
  <c r="AO47" i="12"/>
  <c r="AN39" i="12"/>
  <c r="AO39" i="12"/>
  <c r="AN31" i="12"/>
  <c r="AO31" i="12"/>
  <c r="AO171" i="12"/>
  <c r="AO152" i="12"/>
  <c r="AO130" i="12"/>
  <c r="AO107" i="12"/>
  <c r="AO88" i="12"/>
  <c r="AO66" i="12"/>
  <c r="AB161" i="12"/>
  <c r="AG106" i="12"/>
  <c r="AG42" i="12"/>
  <c r="AJ159" i="12"/>
  <c r="AN53" i="12"/>
  <c r="AN37" i="12"/>
  <c r="AO147" i="12"/>
  <c r="AO128" i="12"/>
  <c r="AO83" i="12"/>
  <c r="AO64" i="12"/>
  <c r="AL21" i="12"/>
  <c r="AJ143" i="12"/>
  <c r="AO24" i="12"/>
  <c r="AO16" i="12"/>
  <c r="AO8" i="12"/>
  <c r="AO189" i="12"/>
  <c r="AO181" i="12"/>
  <c r="AO173" i="12"/>
  <c r="AO165" i="12"/>
  <c r="AO157" i="12"/>
  <c r="AO149" i="12"/>
  <c r="AO141" i="12"/>
  <c r="AO133" i="12"/>
  <c r="AO125" i="12"/>
  <c r="AO117" i="12"/>
  <c r="AO109" i="12"/>
  <c r="AO101" i="12"/>
  <c r="AO93" i="12"/>
  <c r="AO85" i="12"/>
  <c r="AO77" i="12"/>
  <c r="AO69" i="12"/>
  <c r="AO61" i="12"/>
  <c r="AO187" i="12"/>
  <c r="AO168" i="12"/>
  <c r="AO146" i="12"/>
  <c r="AO123" i="12"/>
  <c r="AO104" i="12"/>
  <c r="AO82" i="12"/>
  <c r="AO59" i="12"/>
  <c r="AO40" i="12"/>
  <c r="AJ127" i="12"/>
  <c r="AL162" i="12"/>
  <c r="AL98" i="12"/>
  <c r="AL34" i="12"/>
  <c r="AO23" i="12"/>
  <c r="AO15" i="12"/>
  <c r="AO7" i="12"/>
  <c r="AO188" i="12"/>
  <c r="AO180" i="12"/>
  <c r="AO172" i="12"/>
  <c r="AO164" i="12"/>
  <c r="AO156" i="12"/>
  <c r="AO148" i="12"/>
  <c r="AO140" i="12"/>
  <c r="AO132" i="12"/>
  <c r="AO124" i="12"/>
  <c r="AO116" i="12"/>
  <c r="AO108" i="12"/>
  <c r="AO100" i="12"/>
  <c r="AO92" i="12"/>
  <c r="AO84" i="12"/>
  <c r="AO76" i="12"/>
  <c r="AO68" i="12"/>
  <c r="AO60" i="12"/>
  <c r="AO52" i="12"/>
  <c r="AO44" i="12"/>
  <c r="AO36" i="12"/>
  <c r="AO28" i="12"/>
  <c r="AO163" i="12"/>
  <c r="AO144" i="12"/>
  <c r="AO99" i="12"/>
  <c r="AO80" i="12"/>
  <c r="AI32" i="12"/>
  <c r="AJ32" i="12"/>
  <c r="AL13" i="12"/>
  <c r="AG178" i="12"/>
  <c r="AJ56" i="12"/>
  <c r="AO14" i="12"/>
  <c r="AO184" i="12"/>
  <c r="AO139" i="12"/>
  <c r="AO120" i="12"/>
  <c r="AO75" i="12"/>
  <c r="AO56" i="12"/>
  <c r="AE21" i="12"/>
  <c r="AE22" i="12"/>
  <c r="AG114" i="12"/>
  <c r="AJ48" i="12"/>
  <c r="AN189" i="12"/>
  <c r="AN173" i="12"/>
  <c r="AN157" i="12"/>
  <c r="AN141" i="12"/>
  <c r="AN125" i="12"/>
  <c r="AN109" i="12"/>
  <c r="AN93" i="12"/>
  <c r="AN77" i="12"/>
  <c r="AN61" i="12"/>
  <c r="AN45" i="12"/>
  <c r="AN29" i="12"/>
  <c r="AO179" i="12"/>
  <c r="AO160" i="12"/>
  <c r="AO115" i="12"/>
  <c r="AO96" i="12"/>
  <c r="AO51" i="12"/>
  <c r="AO32" i="12"/>
  <c r="AO185" i="12"/>
  <c r="AO177" i="12"/>
  <c r="AO169" i="12"/>
  <c r="AO161" i="12"/>
  <c r="AO153" i="12"/>
  <c r="AO145" i="12"/>
  <c r="AO137" i="12"/>
  <c r="AO129" i="12"/>
  <c r="AO121" i="12"/>
  <c r="AO113" i="12"/>
  <c r="AO105" i="12"/>
  <c r="AO97" i="12"/>
  <c r="AO89" i="12"/>
  <c r="AO81" i="12"/>
  <c r="AO73" i="12"/>
  <c r="AO65" i="12"/>
  <c r="AO57" i="12"/>
  <c r="AO49" i="12"/>
  <c r="AO41" i="12"/>
  <c r="AO33" i="12"/>
  <c r="AO9" i="12"/>
  <c r="AO190" i="12"/>
  <c r="AO182" i="12"/>
  <c r="AO174" i="12"/>
  <c r="AO166" i="12"/>
  <c r="AO158" i="12"/>
  <c r="AO150" i="12"/>
  <c r="AO142" i="12"/>
  <c r="AO134" i="12"/>
  <c r="AO126" i="12"/>
  <c r="AO118" i="12"/>
  <c r="AO110" i="12"/>
  <c r="AO102" i="12"/>
  <c r="AO94" i="12"/>
  <c r="AO86" i="12"/>
  <c r="AO78" i="12"/>
  <c r="AO70" i="12"/>
  <c r="AO62" i="12"/>
  <c r="AO54" i="12"/>
  <c r="AO46" i="12"/>
  <c r="AO38" i="12"/>
  <c r="AO30" i="12"/>
  <c r="AE83" i="12"/>
  <c r="AB14" i="12"/>
  <c r="AD13" i="12"/>
  <c r="Z49" i="12"/>
  <c r="AB145" i="12"/>
  <c r="AB81" i="12"/>
  <c r="AE15" i="12"/>
  <c r="AE7" i="12"/>
  <c r="AE188" i="12"/>
  <c r="AE180" i="12"/>
  <c r="AD180" i="12"/>
  <c r="AE172" i="12"/>
  <c r="AE164" i="12"/>
  <c r="AE156" i="12"/>
  <c r="AD156" i="12"/>
  <c r="AE148" i="12"/>
  <c r="AE140" i="12"/>
  <c r="AE132" i="12"/>
  <c r="AD132" i="12"/>
  <c r="AE124" i="12"/>
  <c r="AE116" i="12"/>
  <c r="AD116" i="12"/>
  <c r="AE147" i="12"/>
  <c r="AE58" i="12"/>
  <c r="AG169" i="12"/>
  <c r="AG130" i="12"/>
  <c r="AG105" i="12"/>
  <c r="AG66" i="12"/>
  <c r="AG41" i="12"/>
  <c r="AJ187" i="12"/>
  <c r="AJ171" i="12"/>
  <c r="AJ155" i="12"/>
  <c r="AJ139" i="12"/>
  <c r="AJ123" i="12"/>
  <c r="AJ107" i="12"/>
  <c r="AJ91" i="12"/>
  <c r="AJ75" i="12"/>
  <c r="AJ59" i="12"/>
  <c r="AJ43" i="12"/>
  <c r="Z41" i="12"/>
  <c r="AB185" i="12"/>
  <c r="AB121" i="12"/>
  <c r="AB57" i="12"/>
  <c r="AD179" i="12"/>
  <c r="AE179" i="12"/>
  <c r="AE115" i="12"/>
  <c r="AD115" i="12"/>
  <c r="AE27" i="12"/>
  <c r="AD27" i="12"/>
  <c r="AE146" i="12"/>
  <c r="AE51" i="12"/>
  <c r="AG154" i="12"/>
  <c r="AG129" i="12"/>
  <c r="AG90" i="12"/>
  <c r="AJ186" i="12"/>
  <c r="AJ138" i="12"/>
  <c r="AJ122" i="12"/>
  <c r="AJ74" i="12"/>
  <c r="AJ58" i="12"/>
  <c r="AI31" i="12"/>
  <c r="AJ31" i="12"/>
  <c r="AJ184" i="12"/>
  <c r="AJ168" i="12"/>
  <c r="AJ152" i="12"/>
  <c r="AJ136" i="12"/>
  <c r="AJ120" i="12"/>
  <c r="AJ104" i="12"/>
  <c r="AJ88" i="12"/>
  <c r="AJ72" i="12"/>
  <c r="AD170" i="12"/>
  <c r="AE170" i="12"/>
  <c r="AD122" i="12"/>
  <c r="AE122" i="12"/>
  <c r="AD66" i="12"/>
  <c r="AE66" i="12"/>
  <c r="AE138" i="12"/>
  <c r="Z13" i="12"/>
  <c r="Z138" i="12"/>
  <c r="Z74" i="12"/>
  <c r="Z137" i="12"/>
  <c r="AB137" i="12"/>
  <c r="AB73" i="12"/>
  <c r="AD188" i="12"/>
  <c r="AE114" i="12"/>
  <c r="AE42" i="12"/>
  <c r="AG177" i="12"/>
  <c r="AG113" i="12"/>
  <c r="AG49" i="12"/>
  <c r="AI190" i="12"/>
  <c r="AJ190" i="12"/>
  <c r="AI182" i="12"/>
  <c r="AJ182" i="12"/>
  <c r="AI174" i="12"/>
  <c r="AJ174" i="12"/>
  <c r="AI166" i="12"/>
  <c r="AJ166" i="12"/>
  <c r="AI158" i="12"/>
  <c r="AJ158" i="12"/>
  <c r="AI150" i="12"/>
  <c r="AJ150" i="12"/>
  <c r="AI142" i="12"/>
  <c r="AJ142" i="12"/>
  <c r="AI134" i="12"/>
  <c r="AJ134" i="12"/>
  <c r="AI126" i="12"/>
  <c r="AJ126" i="12"/>
  <c r="AI118" i="12"/>
  <c r="AJ118" i="12"/>
  <c r="AI110" i="12"/>
  <c r="AJ110" i="12"/>
  <c r="AI102" i="12"/>
  <c r="AJ102" i="12"/>
  <c r="AI94" i="12"/>
  <c r="AJ94" i="12"/>
  <c r="AI86" i="12"/>
  <c r="AJ86" i="12"/>
  <c r="AJ183" i="12"/>
  <c r="AJ167" i="12"/>
  <c r="AJ151" i="12"/>
  <c r="AJ135" i="12"/>
  <c r="AJ119" i="12"/>
  <c r="AJ103" i="12"/>
  <c r="AJ87" i="12"/>
  <c r="AJ71" i="12"/>
  <c r="AJ55" i="12"/>
  <c r="AJ39" i="12"/>
  <c r="AD21" i="12"/>
  <c r="Z115" i="12"/>
  <c r="AB177" i="12"/>
  <c r="AB113" i="12"/>
  <c r="AB49" i="12"/>
  <c r="AE19" i="12"/>
  <c r="AE11" i="12"/>
  <c r="AE3" i="12"/>
  <c r="AD148" i="12"/>
  <c r="AE5" i="12"/>
  <c r="AE106" i="12"/>
  <c r="AE34" i="12"/>
  <c r="AG162" i="12"/>
  <c r="AG137" i="12"/>
  <c r="AG98" i="12"/>
  <c r="AG73" i="12"/>
  <c r="AG34" i="12"/>
  <c r="AJ189" i="12"/>
  <c r="AJ181" i="12"/>
  <c r="AJ173" i="12"/>
  <c r="AJ165" i="12"/>
  <c r="AJ157" i="12"/>
  <c r="AJ149" i="12"/>
  <c r="AJ141" i="12"/>
  <c r="AJ133" i="12"/>
  <c r="AJ125" i="12"/>
  <c r="AJ117" i="12"/>
  <c r="AJ109" i="12"/>
  <c r="AJ101" i="12"/>
  <c r="AJ93" i="12"/>
  <c r="AJ85" i="12"/>
  <c r="AJ77" i="12"/>
  <c r="AJ69" i="12"/>
  <c r="AJ61" i="12"/>
  <c r="AJ53" i="12"/>
  <c r="AJ45" i="12"/>
  <c r="AJ37" i="12"/>
  <c r="AJ29" i="12"/>
  <c r="AI181" i="12"/>
  <c r="AI117" i="12"/>
  <c r="AI53" i="12"/>
  <c r="AJ179" i="12"/>
  <c r="AJ163" i="12"/>
  <c r="AJ147" i="12"/>
  <c r="AJ131" i="12"/>
  <c r="AJ115" i="12"/>
  <c r="AJ99" i="12"/>
  <c r="AJ83" i="12"/>
  <c r="AJ67" i="12"/>
  <c r="AJ51" i="12"/>
  <c r="AJ35" i="12"/>
  <c r="AD178" i="12"/>
  <c r="AE178" i="12"/>
  <c r="AD130" i="12"/>
  <c r="AE130" i="12"/>
  <c r="AD82" i="12"/>
  <c r="AE82" i="12"/>
  <c r="AE50" i="12"/>
  <c r="Z113" i="12"/>
  <c r="AB153" i="12"/>
  <c r="AB89" i="12"/>
  <c r="AE186" i="12"/>
  <c r="AE98" i="12"/>
  <c r="AG161" i="12"/>
  <c r="AG97" i="12"/>
  <c r="AG33" i="12"/>
  <c r="AJ188" i="12"/>
  <c r="AJ180" i="12"/>
  <c r="AJ172" i="12"/>
  <c r="AJ164" i="12"/>
  <c r="AJ156" i="12"/>
  <c r="AJ148" i="12"/>
  <c r="AJ140" i="12"/>
  <c r="AJ132" i="12"/>
  <c r="AJ124" i="12"/>
  <c r="AJ116" i="12"/>
  <c r="AJ108" i="12"/>
  <c r="AJ100" i="12"/>
  <c r="AJ92" i="12"/>
  <c r="AJ84" i="12"/>
  <c r="AJ76" i="12"/>
  <c r="AJ68" i="12"/>
  <c r="AJ60" i="12"/>
  <c r="AJ52" i="12"/>
  <c r="AJ44" i="12"/>
  <c r="AJ36" i="12"/>
  <c r="AJ28" i="12"/>
  <c r="AI180" i="12"/>
  <c r="AI141" i="12"/>
  <c r="AI116" i="12"/>
  <c r="AI77" i="12"/>
  <c r="AI52" i="12"/>
  <c r="AJ146" i="12"/>
  <c r="AJ82" i="12"/>
  <c r="AD74" i="12"/>
  <c r="AE74" i="12"/>
  <c r="AB6" i="12"/>
  <c r="Y66" i="12"/>
  <c r="Z105" i="12"/>
  <c r="AB129" i="12"/>
  <c r="AB65" i="12"/>
  <c r="AE25" i="12"/>
  <c r="AE17" i="12"/>
  <c r="AE9" i="12"/>
  <c r="AD172" i="12"/>
  <c r="AE162" i="12"/>
  <c r="AE90" i="12"/>
  <c r="AG185" i="12"/>
  <c r="AG121" i="12"/>
  <c r="AG57" i="12"/>
  <c r="AJ27" i="12"/>
  <c r="AJ176" i="12"/>
  <c r="AJ160" i="12"/>
  <c r="AJ144" i="12"/>
  <c r="AJ128" i="12"/>
  <c r="AJ112" i="12"/>
  <c r="AJ96" i="12"/>
  <c r="AJ80" i="12"/>
  <c r="AJ64" i="12"/>
  <c r="AJ78" i="12"/>
  <c r="AJ70" i="12"/>
  <c r="AJ62" i="12"/>
  <c r="AJ54" i="12"/>
  <c r="AJ46" i="12"/>
  <c r="AJ38" i="12"/>
  <c r="AJ30" i="12"/>
  <c r="AE108" i="12"/>
  <c r="AE100" i="12"/>
  <c r="AE92" i="12"/>
  <c r="AE84" i="12"/>
  <c r="AE76" i="12"/>
  <c r="AE68" i="12"/>
  <c r="AE60" i="12"/>
  <c r="AE52" i="12"/>
  <c r="AE44" i="12"/>
  <c r="AE36" i="12"/>
  <c r="AE28" i="12"/>
  <c r="AD68" i="12"/>
  <c r="Y104" i="12"/>
  <c r="Z104" i="12"/>
  <c r="Y185" i="12"/>
  <c r="Z185" i="12"/>
  <c r="Y161" i="12"/>
  <c r="Z161" i="12"/>
  <c r="Y153" i="12"/>
  <c r="Z153" i="12"/>
  <c r="Y40" i="12"/>
  <c r="Z144" i="12"/>
  <c r="Z51" i="12"/>
  <c r="AE16" i="12"/>
  <c r="AE8" i="12"/>
  <c r="AE189" i="12"/>
  <c r="AE181" i="12"/>
  <c r="AE173" i="12"/>
  <c r="AE165" i="12"/>
  <c r="AE157" i="12"/>
  <c r="AE149" i="12"/>
  <c r="AE141" i="12"/>
  <c r="AE133" i="12"/>
  <c r="AE125" i="12"/>
  <c r="AE117" i="12"/>
  <c r="AE109" i="12"/>
  <c r="AE101" i="12"/>
  <c r="AE93" i="12"/>
  <c r="AE85" i="12"/>
  <c r="AE77" i="12"/>
  <c r="AE69" i="12"/>
  <c r="AE61" i="12"/>
  <c r="AE53" i="12"/>
  <c r="AE45" i="12"/>
  <c r="AE37" i="12"/>
  <c r="AE29" i="12"/>
  <c r="AE187" i="12"/>
  <c r="AE155" i="12"/>
  <c r="AE123" i="12"/>
  <c r="AE91" i="12"/>
  <c r="AE59" i="12"/>
  <c r="Y11" i="12"/>
  <c r="Z25" i="12"/>
  <c r="Z17" i="12"/>
  <c r="Z9" i="12"/>
  <c r="Y182" i="12"/>
  <c r="Z182" i="12"/>
  <c r="Y118" i="12"/>
  <c r="Z118" i="12"/>
  <c r="Z177" i="12"/>
  <c r="AE171" i="12"/>
  <c r="AE139" i="12"/>
  <c r="AE107" i="12"/>
  <c r="AE75" i="12"/>
  <c r="AE43" i="12"/>
  <c r="U15" i="12"/>
  <c r="U84" i="12"/>
  <c r="Z34" i="12"/>
  <c r="W34" i="12"/>
  <c r="Y128" i="12"/>
  <c r="Z169" i="12"/>
  <c r="Z88" i="12"/>
  <c r="AD184" i="12"/>
  <c r="AE184" i="12"/>
  <c r="AD176" i="12"/>
  <c r="AE176" i="12"/>
  <c r="AD168" i="12"/>
  <c r="AE168" i="12"/>
  <c r="AD160" i="12"/>
  <c r="AE160" i="12"/>
  <c r="AD152" i="12"/>
  <c r="AE152" i="12"/>
  <c r="AD144" i="12"/>
  <c r="AE144" i="12"/>
  <c r="AD136" i="12"/>
  <c r="AE136" i="12"/>
  <c r="AD128" i="12"/>
  <c r="AE128" i="12"/>
  <c r="AD120" i="12"/>
  <c r="AE120" i="12"/>
  <c r="AD112" i="12"/>
  <c r="AE112" i="12"/>
  <c r="AD104" i="12"/>
  <c r="AE104" i="12"/>
  <c r="AD96" i="12"/>
  <c r="AE96" i="12"/>
  <c r="AD88" i="12"/>
  <c r="AE88" i="12"/>
  <c r="AD80" i="12"/>
  <c r="AE80" i="12"/>
  <c r="AD72" i="12"/>
  <c r="AE72" i="12"/>
  <c r="AD64" i="12"/>
  <c r="AE64" i="12"/>
  <c r="AD56" i="12"/>
  <c r="AE56" i="12"/>
  <c r="AD48" i="12"/>
  <c r="AE48" i="12"/>
  <c r="AD40" i="12"/>
  <c r="AE40" i="12"/>
  <c r="AD32" i="12"/>
  <c r="AE32" i="12"/>
  <c r="Z184" i="12"/>
  <c r="Y184" i="12"/>
  <c r="Z64" i="12"/>
  <c r="Y64" i="12"/>
  <c r="Y3" i="12"/>
  <c r="U22" i="12"/>
  <c r="U14" i="12"/>
  <c r="U171" i="12"/>
  <c r="U115" i="12"/>
  <c r="T75" i="12"/>
  <c r="U75" i="12"/>
  <c r="U59" i="12"/>
  <c r="U51" i="12"/>
  <c r="U43" i="12"/>
  <c r="U131" i="12"/>
  <c r="Z22" i="12"/>
  <c r="Z14" i="12"/>
  <c r="Z6" i="12"/>
  <c r="Y179" i="12"/>
  <c r="Z179" i="12"/>
  <c r="Z171" i="12"/>
  <c r="Z163" i="12"/>
  <c r="Z168" i="12"/>
  <c r="AD26" i="12"/>
  <c r="AE26" i="12"/>
  <c r="AD18" i="12"/>
  <c r="AE18" i="12"/>
  <c r="AD10" i="12"/>
  <c r="AE10" i="12"/>
  <c r="AD191" i="12"/>
  <c r="AE191" i="12"/>
  <c r="AD183" i="12"/>
  <c r="AE183" i="12"/>
  <c r="AD175" i="12"/>
  <c r="AE175" i="12"/>
  <c r="AD167" i="12"/>
  <c r="AE167" i="12"/>
  <c r="AD159" i="12"/>
  <c r="AE159" i="12"/>
  <c r="AD151" i="12"/>
  <c r="AE151" i="12"/>
  <c r="AD143" i="12"/>
  <c r="AE143" i="12"/>
  <c r="AD135" i="12"/>
  <c r="AE135" i="12"/>
  <c r="AD127" i="12"/>
  <c r="AE127" i="12"/>
  <c r="AD119" i="12"/>
  <c r="AE119" i="12"/>
  <c r="AD111" i="12"/>
  <c r="AE111" i="12"/>
  <c r="AD103" i="12"/>
  <c r="AE103" i="12"/>
  <c r="AD95" i="12"/>
  <c r="AE95" i="12"/>
  <c r="AD87" i="12"/>
  <c r="AE87" i="12"/>
  <c r="AD79" i="12"/>
  <c r="AE79" i="12"/>
  <c r="AD71" i="12"/>
  <c r="AE71" i="12"/>
  <c r="AD63" i="12"/>
  <c r="AE63" i="12"/>
  <c r="AD55" i="12"/>
  <c r="AE55" i="12"/>
  <c r="AD47" i="12"/>
  <c r="AE47" i="12"/>
  <c r="AD39" i="12"/>
  <c r="AE39" i="12"/>
  <c r="AD31" i="12"/>
  <c r="AE31" i="12"/>
  <c r="AE163" i="12"/>
  <c r="AE131" i="12"/>
  <c r="AE99" i="12"/>
  <c r="AE67" i="12"/>
  <c r="AE35" i="12"/>
  <c r="Y152" i="12"/>
  <c r="Z152" i="12"/>
  <c r="Z56" i="12"/>
  <c r="Y56" i="12"/>
  <c r="Z19" i="12"/>
  <c r="Z21" i="12"/>
  <c r="Z154" i="12"/>
  <c r="Y120" i="12"/>
  <c r="Z80" i="12"/>
  <c r="Y90" i="12"/>
  <c r="Z130" i="12"/>
  <c r="Z73" i="12"/>
  <c r="Z155" i="12"/>
  <c r="Z129" i="12"/>
  <c r="Z97" i="12"/>
  <c r="Z33" i="12"/>
  <c r="Z131" i="12"/>
  <c r="Z107" i="12"/>
  <c r="Z99" i="12"/>
  <c r="Z67" i="12"/>
  <c r="Z43" i="12"/>
  <c r="Z35" i="12"/>
  <c r="Z27" i="12"/>
  <c r="Y107" i="12"/>
  <c r="Z91" i="12"/>
  <c r="Z65" i="12"/>
  <c r="AE190" i="12"/>
  <c r="AE182" i="12"/>
  <c r="AE174" i="12"/>
  <c r="AE166" i="12"/>
  <c r="AE158" i="12"/>
  <c r="AE150" i="12"/>
  <c r="AE142" i="12"/>
  <c r="AE134" i="12"/>
  <c r="AE126" i="12"/>
  <c r="AE118" i="12"/>
  <c r="AE110" i="12"/>
  <c r="AE102" i="12"/>
  <c r="AE94" i="12"/>
  <c r="AE86" i="12"/>
  <c r="AE78" i="12"/>
  <c r="AE70" i="12"/>
  <c r="AE62" i="12"/>
  <c r="AE54" i="12"/>
  <c r="AE46" i="12"/>
  <c r="AE38" i="12"/>
  <c r="AE30" i="12"/>
  <c r="Z170" i="12"/>
  <c r="Z146" i="12"/>
  <c r="Z106" i="12"/>
  <c r="Z82" i="12"/>
  <c r="Z42" i="12"/>
  <c r="Y131" i="12"/>
  <c r="Y106" i="12"/>
  <c r="Z121" i="12"/>
  <c r="AE24" i="12"/>
  <c r="Z89" i="12"/>
  <c r="Z57" i="12"/>
  <c r="AE23" i="12"/>
  <c r="R186" i="12"/>
  <c r="U105" i="12"/>
  <c r="Z54" i="12"/>
  <c r="R162" i="12"/>
  <c r="U49" i="12"/>
  <c r="R42" i="12"/>
  <c r="U42" i="12"/>
  <c r="R41" i="12"/>
  <c r="U41" i="12"/>
  <c r="U188" i="12"/>
  <c r="T188" i="12"/>
  <c r="U156" i="12"/>
  <c r="T156" i="12"/>
  <c r="U124" i="12"/>
  <c r="T124" i="12"/>
  <c r="U92" i="12"/>
  <c r="T92" i="12"/>
  <c r="Y174" i="12"/>
  <c r="Z174" i="12"/>
  <c r="U172" i="12"/>
  <c r="T172" i="12"/>
  <c r="U140" i="12"/>
  <c r="T140" i="12"/>
  <c r="U100" i="12"/>
  <c r="T100" i="12"/>
  <c r="Y158" i="12"/>
  <c r="Z158" i="12"/>
  <c r="T163" i="12"/>
  <c r="U163" i="12"/>
  <c r="T155" i="12"/>
  <c r="U155" i="12"/>
  <c r="T147" i="12"/>
  <c r="U147" i="12"/>
  <c r="T123" i="12"/>
  <c r="U123" i="12"/>
  <c r="U107" i="12"/>
  <c r="T107" i="12"/>
  <c r="T99" i="12"/>
  <c r="U99" i="12"/>
  <c r="T91" i="12"/>
  <c r="U91" i="12"/>
  <c r="U83" i="12"/>
  <c r="T83" i="12"/>
  <c r="T67" i="12"/>
  <c r="U67" i="12"/>
  <c r="U129" i="12"/>
  <c r="R129" i="12"/>
  <c r="R73" i="12"/>
  <c r="U73" i="12"/>
  <c r="R185" i="12"/>
  <c r="U7" i="12"/>
  <c r="T7" i="12"/>
  <c r="U164" i="12"/>
  <c r="T164" i="12"/>
  <c r="U132" i="12"/>
  <c r="T132" i="12"/>
  <c r="U108" i="12"/>
  <c r="T108" i="12"/>
  <c r="U60" i="12"/>
  <c r="T60" i="12"/>
  <c r="Y190" i="12"/>
  <c r="Z190" i="12"/>
  <c r="Y102" i="12"/>
  <c r="Z102" i="12"/>
  <c r="Y86" i="12"/>
  <c r="Z86" i="12"/>
  <c r="Y78" i="12"/>
  <c r="Z78" i="12"/>
  <c r="Y70" i="12"/>
  <c r="Z70" i="12"/>
  <c r="Y62" i="12"/>
  <c r="Z62" i="12"/>
  <c r="Y38" i="12"/>
  <c r="Z38" i="12"/>
  <c r="U6" i="12"/>
  <c r="T6" i="12"/>
  <c r="U179" i="12"/>
  <c r="T179" i="12"/>
  <c r="T139" i="12"/>
  <c r="U139" i="12"/>
  <c r="U21" i="12"/>
  <c r="U187" i="12"/>
  <c r="U23" i="12"/>
  <c r="T23" i="12"/>
  <c r="U180" i="12"/>
  <c r="T180" i="12"/>
  <c r="U148" i="12"/>
  <c r="T148" i="12"/>
  <c r="U116" i="12"/>
  <c r="T116" i="12"/>
  <c r="U76" i="12"/>
  <c r="T76" i="12"/>
  <c r="U68" i="12"/>
  <c r="T68" i="12"/>
  <c r="U52" i="12"/>
  <c r="T52" i="12"/>
  <c r="Y166" i="12"/>
  <c r="Z166" i="12"/>
  <c r="Y150" i="12"/>
  <c r="Z150" i="12"/>
  <c r="Y142" i="12"/>
  <c r="Z142" i="12"/>
  <c r="Y134" i="12"/>
  <c r="Z134" i="12"/>
  <c r="Y126" i="12"/>
  <c r="Z126" i="12"/>
  <c r="Y110" i="12"/>
  <c r="Z110" i="12"/>
  <c r="Y94" i="12"/>
  <c r="Z94" i="12"/>
  <c r="Y46" i="12"/>
  <c r="Z46" i="12"/>
  <c r="Y30" i="12"/>
  <c r="Z30" i="12"/>
  <c r="U20" i="12"/>
  <c r="U12" i="12"/>
  <c r="U4" i="12"/>
  <c r="T84" i="12"/>
  <c r="Z16" i="12"/>
  <c r="Z109" i="12"/>
  <c r="U13" i="12"/>
  <c r="U5" i="12"/>
  <c r="T138" i="12"/>
  <c r="U138" i="12"/>
  <c r="T130" i="12"/>
  <c r="U130" i="12"/>
  <c r="T74" i="12"/>
  <c r="U74" i="12"/>
  <c r="T66" i="12"/>
  <c r="U66" i="12"/>
  <c r="T51" i="12"/>
  <c r="U154" i="12"/>
  <c r="U98" i="12"/>
  <c r="W138" i="12"/>
  <c r="W74" i="12"/>
  <c r="Z23" i="12"/>
  <c r="Z15" i="12"/>
  <c r="Z7" i="12"/>
  <c r="Z188" i="12"/>
  <c r="Z180" i="12"/>
  <c r="Z172" i="12"/>
  <c r="Z164" i="12"/>
  <c r="Z156" i="12"/>
  <c r="Z148" i="12"/>
  <c r="Z140" i="12"/>
  <c r="Z132" i="12"/>
  <c r="Z124" i="12"/>
  <c r="Z116" i="12"/>
  <c r="Z108" i="12"/>
  <c r="Z100" i="12"/>
  <c r="Z92" i="12"/>
  <c r="Z84" i="12"/>
  <c r="Z76" i="12"/>
  <c r="Z68" i="12"/>
  <c r="Z60" i="12"/>
  <c r="Z52" i="12"/>
  <c r="Z44" i="12"/>
  <c r="Z36" i="12"/>
  <c r="Z28" i="12"/>
  <c r="Y27" i="12"/>
  <c r="Z178" i="12"/>
  <c r="Z139" i="12"/>
  <c r="Z114" i="12"/>
  <c r="Z75" i="12"/>
  <c r="Z50" i="12"/>
  <c r="U27" i="12"/>
  <c r="T27" i="12"/>
  <c r="Z8" i="12"/>
  <c r="Z165" i="12"/>
  <c r="Z133" i="12"/>
  <c r="Z93" i="12"/>
  <c r="Z61" i="12"/>
  <c r="Z29" i="12"/>
  <c r="T161" i="12"/>
  <c r="U161" i="12"/>
  <c r="U35" i="12"/>
  <c r="Y165" i="12"/>
  <c r="U19" i="12"/>
  <c r="U11" i="12"/>
  <c r="U3" i="12"/>
  <c r="T43" i="12"/>
  <c r="U177" i="12"/>
  <c r="U146" i="12"/>
  <c r="U121" i="12"/>
  <c r="U90" i="12"/>
  <c r="U34" i="12"/>
  <c r="Y61" i="12"/>
  <c r="Z187" i="12"/>
  <c r="Z176" i="12"/>
  <c r="Z162" i="12"/>
  <c r="Z123" i="12"/>
  <c r="Z112" i="12"/>
  <c r="Z98" i="12"/>
  <c r="Z59" i="12"/>
  <c r="Z48" i="12"/>
  <c r="Z181" i="12"/>
  <c r="Z149" i="12"/>
  <c r="Z117" i="12"/>
  <c r="Z85" i="12"/>
  <c r="Z53" i="12"/>
  <c r="Y117" i="12"/>
  <c r="T89" i="12"/>
  <c r="U89" i="12"/>
  <c r="T33" i="12"/>
  <c r="U33" i="12"/>
  <c r="U178" i="12"/>
  <c r="U65" i="12"/>
  <c r="U170" i="12"/>
  <c r="U145" i="12"/>
  <c r="U114" i="12"/>
  <c r="U58" i="12"/>
  <c r="Y163" i="12"/>
  <c r="Y149" i="12"/>
  <c r="Y99" i="12"/>
  <c r="Y85" i="12"/>
  <c r="Y35" i="12"/>
  <c r="Z186" i="12"/>
  <c r="Z147" i="12"/>
  <c r="Z136" i="12"/>
  <c r="Z122" i="12"/>
  <c r="Z83" i="12"/>
  <c r="Z72" i="12"/>
  <c r="Z58" i="12"/>
  <c r="Z189" i="12"/>
  <c r="Z157" i="12"/>
  <c r="Z125" i="12"/>
  <c r="Z77" i="12"/>
  <c r="Z45" i="12"/>
  <c r="Y181" i="12"/>
  <c r="T153" i="12"/>
  <c r="U153" i="12"/>
  <c r="T5" i="12"/>
  <c r="U17" i="12"/>
  <c r="U169" i="12"/>
  <c r="U113" i="12"/>
  <c r="U82" i="12"/>
  <c r="U57" i="12"/>
  <c r="Y109" i="12"/>
  <c r="Y45" i="12"/>
  <c r="Z160" i="12"/>
  <c r="Z96" i="12"/>
  <c r="Z32" i="12"/>
  <c r="Z24" i="12"/>
  <c r="Z173" i="12"/>
  <c r="Z141" i="12"/>
  <c r="Z101" i="12"/>
  <c r="Z69" i="12"/>
  <c r="Z37" i="12"/>
  <c r="T97" i="12"/>
  <c r="U97" i="12"/>
  <c r="U122" i="12"/>
  <c r="BI24" i="12"/>
  <c r="BI16" i="12"/>
  <c r="U24" i="12"/>
  <c r="U16" i="12"/>
  <c r="U8" i="12"/>
  <c r="U189" i="12"/>
  <c r="U181" i="12"/>
  <c r="T181" i="12"/>
  <c r="U173" i="12"/>
  <c r="T173" i="12"/>
  <c r="U165" i="12"/>
  <c r="U157" i="12"/>
  <c r="U149" i="12"/>
  <c r="U141" i="12"/>
  <c r="U133" i="12"/>
  <c r="U125" i="12"/>
  <c r="U117" i="12"/>
  <c r="T117" i="12"/>
  <c r="U109" i="12"/>
  <c r="T109" i="12"/>
  <c r="U101" i="12"/>
  <c r="U93" i="12"/>
  <c r="U85" i="12"/>
  <c r="U77" i="12"/>
  <c r="U69" i="12"/>
  <c r="U61" i="12"/>
  <c r="U53" i="12"/>
  <c r="T53" i="12"/>
  <c r="U45" i="12"/>
  <c r="T45" i="12"/>
  <c r="U37" i="12"/>
  <c r="U29" i="12"/>
  <c r="T85" i="12"/>
  <c r="T29" i="12"/>
  <c r="U137" i="12"/>
  <c r="U106" i="12"/>
  <c r="U81" i="12"/>
  <c r="U50" i="12"/>
  <c r="Z26" i="12"/>
  <c r="Z18" i="12"/>
  <c r="Z10" i="12"/>
  <c r="Y191" i="12"/>
  <c r="Z191" i="12"/>
  <c r="Y183" i="12"/>
  <c r="Z183" i="12"/>
  <c r="Y175" i="12"/>
  <c r="Z175" i="12"/>
  <c r="Y167" i="12"/>
  <c r="Z167" i="12"/>
  <c r="Y159" i="12"/>
  <c r="Z159" i="12"/>
  <c r="Y151" i="12"/>
  <c r="Z151" i="12"/>
  <c r="Y143" i="12"/>
  <c r="Z143" i="12"/>
  <c r="Y135" i="12"/>
  <c r="Z135" i="12"/>
  <c r="Y127" i="12"/>
  <c r="Z127" i="12"/>
  <c r="Y119" i="12"/>
  <c r="Z119" i="12"/>
  <c r="Y111" i="12"/>
  <c r="Z111" i="12"/>
  <c r="Y103" i="12"/>
  <c r="Z103" i="12"/>
  <c r="Y95" i="12"/>
  <c r="Z95" i="12"/>
  <c r="Y87" i="12"/>
  <c r="Z87" i="12"/>
  <c r="Y79" i="12"/>
  <c r="Z79" i="12"/>
  <c r="Y71" i="12"/>
  <c r="Z71" i="12"/>
  <c r="Y63" i="12"/>
  <c r="Z63" i="12"/>
  <c r="Y55" i="12"/>
  <c r="Z55" i="12"/>
  <c r="Y47" i="12"/>
  <c r="Z47" i="12"/>
  <c r="Y39" i="12"/>
  <c r="Z39" i="12"/>
  <c r="Y31" i="12"/>
  <c r="Z31" i="12"/>
  <c r="Y133" i="12"/>
  <c r="Y69" i="12"/>
  <c r="U44" i="12"/>
  <c r="U36" i="12"/>
  <c r="U28" i="12"/>
  <c r="T17" i="12"/>
  <c r="U184" i="12"/>
  <c r="U176" i="12"/>
  <c r="U168" i="12"/>
  <c r="U160" i="12"/>
  <c r="U152" i="12"/>
  <c r="U144" i="12"/>
  <c r="U136" i="12"/>
  <c r="U128" i="12"/>
  <c r="U120" i="12"/>
  <c r="U112" i="12"/>
  <c r="U104" i="12"/>
  <c r="U96" i="12"/>
  <c r="U88" i="12"/>
  <c r="U80" i="12"/>
  <c r="U72" i="12"/>
  <c r="U64" i="12"/>
  <c r="U56" i="12"/>
  <c r="U48" i="12"/>
  <c r="U40" i="12"/>
  <c r="U32" i="12"/>
  <c r="U26" i="12"/>
  <c r="U18" i="12"/>
  <c r="U10" i="12"/>
  <c r="U191" i="12"/>
  <c r="U183" i="12"/>
  <c r="U175" i="12"/>
  <c r="U167" i="12"/>
  <c r="U159" i="12"/>
  <c r="U151" i="12"/>
  <c r="U143" i="12"/>
  <c r="U135" i="12"/>
  <c r="U127" i="12"/>
  <c r="U119" i="12"/>
  <c r="U111" i="12"/>
  <c r="U103" i="12"/>
  <c r="U95" i="12"/>
  <c r="U87" i="12"/>
  <c r="U79" i="12"/>
  <c r="U71" i="12"/>
  <c r="U63" i="12"/>
  <c r="U55" i="12"/>
  <c r="U47" i="12"/>
  <c r="U39" i="12"/>
  <c r="U31" i="12"/>
  <c r="U25" i="12"/>
  <c r="U9" i="12"/>
  <c r="U190" i="12"/>
  <c r="U182" i="12"/>
  <c r="U174" i="12"/>
  <c r="U166" i="12"/>
  <c r="U158" i="12"/>
  <c r="U150" i="12"/>
  <c r="U142" i="12"/>
  <c r="U134" i="12"/>
  <c r="U126" i="12"/>
  <c r="U118" i="12"/>
  <c r="U110" i="12"/>
  <c r="U102" i="12"/>
  <c r="U94" i="12"/>
  <c r="U86" i="12"/>
  <c r="U78" i="12"/>
  <c r="U70" i="12"/>
  <c r="U62" i="12"/>
  <c r="U54" i="12"/>
  <c r="U46" i="12"/>
  <c r="U38" i="12"/>
  <c r="U30" i="12"/>
  <c r="BI2" i="12"/>
  <c r="BI19" i="12"/>
  <c r="BI11" i="12"/>
  <c r="BI3" i="12"/>
  <c r="BI26" i="12"/>
  <c r="BI18" i="12"/>
  <c r="BI10" i="12"/>
  <c r="BI25" i="12"/>
  <c r="BI17" i="12"/>
  <c r="BI9" i="12"/>
  <c r="BI8" i="12"/>
  <c r="BI23" i="12"/>
  <c r="BI7" i="12"/>
  <c r="AJ24" i="12"/>
  <c r="AJ16" i="12"/>
  <c r="AJ8" i="12"/>
  <c r="BI22" i="12"/>
  <c r="BI14" i="12"/>
  <c r="BI6" i="12"/>
  <c r="BI21" i="12"/>
  <c r="BI5" i="12"/>
  <c r="G16" i="10"/>
  <c r="BF11" i="12"/>
  <c r="BF19" i="12"/>
  <c r="BI13" i="12"/>
  <c r="BF2" i="12"/>
  <c r="BI15" i="12"/>
  <c r="BF3" i="12"/>
  <c r="BF21" i="12"/>
  <c r="BF23" i="12"/>
  <c r="BF5" i="12"/>
  <c r="BF7" i="12"/>
  <c r="BF6" i="12"/>
  <c r="BF14" i="12"/>
  <c r="BF22" i="12"/>
  <c r="BI4" i="12"/>
  <c r="BI12" i="12"/>
  <c r="BI20" i="12"/>
  <c r="BF8" i="12"/>
  <c r="BF16" i="12"/>
  <c r="BF24" i="12"/>
  <c r="BF9" i="12"/>
  <c r="BF17" i="12"/>
  <c r="BF25" i="12"/>
  <c r="BF10" i="12"/>
  <c r="BF18" i="12"/>
  <c r="BF26" i="12"/>
  <c r="BC13" i="12"/>
  <c r="BC5" i="12"/>
  <c r="BC21" i="12"/>
  <c r="BD2" i="12"/>
  <c r="BC12" i="12"/>
  <c r="BC17" i="12"/>
  <c r="BC2" i="12"/>
  <c r="BC10" i="12"/>
  <c r="BC18" i="12"/>
  <c r="BC26" i="12"/>
  <c r="BC3" i="12"/>
  <c r="BC11" i="12"/>
  <c r="BC19" i="12"/>
  <c r="AX12" i="12"/>
  <c r="BC6" i="12"/>
  <c r="BC14" i="12"/>
  <c r="BC22" i="12"/>
  <c r="AX26" i="12"/>
  <c r="AX10" i="12"/>
  <c r="AX11" i="12"/>
  <c r="AY2" i="12"/>
  <c r="AS19" i="12"/>
  <c r="AS21" i="12"/>
  <c r="AX6" i="12"/>
  <c r="AX14" i="12"/>
  <c r="AX22" i="12"/>
  <c r="AX7" i="12"/>
  <c r="AX15" i="12"/>
  <c r="AX23" i="12"/>
  <c r="AX8" i="12"/>
  <c r="AX16" i="12"/>
  <c r="AX24" i="12"/>
  <c r="AX9" i="12"/>
  <c r="AX17" i="12"/>
  <c r="AX25" i="12"/>
  <c r="AS5" i="12"/>
  <c r="AS3" i="12"/>
  <c r="AS4" i="12"/>
  <c r="AS20" i="12"/>
  <c r="AT2" i="12"/>
  <c r="AS9" i="12"/>
  <c r="AS25" i="12"/>
  <c r="AS13" i="12"/>
  <c r="AS10" i="12"/>
  <c r="AS26" i="12"/>
  <c r="AS6" i="12"/>
  <c r="AS14" i="12"/>
  <c r="AS22" i="12"/>
  <c r="AL20" i="12"/>
  <c r="AS7" i="12"/>
  <c r="AS15" i="12"/>
  <c r="AS23" i="12"/>
  <c r="AN4" i="12"/>
  <c r="AJ21" i="12"/>
  <c r="AJ13" i="12"/>
  <c r="AJ5" i="12"/>
  <c r="AN21" i="12"/>
  <c r="AN17" i="12"/>
  <c r="AN24" i="12"/>
  <c r="AN5" i="12"/>
  <c r="AN25" i="12"/>
  <c r="AJ15" i="12"/>
  <c r="AO2" i="12"/>
  <c r="AJ12" i="12"/>
  <c r="AN2" i="12"/>
  <c r="AN18" i="12"/>
  <c r="AJ14" i="12"/>
  <c r="AN3" i="12"/>
  <c r="AN11" i="12"/>
  <c r="AN19" i="12"/>
  <c r="AJ4" i="12"/>
  <c r="AG16" i="12"/>
  <c r="AJ23" i="12"/>
  <c r="AN6" i="12"/>
  <c r="AN14" i="12"/>
  <c r="AN22" i="12"/>
  <c r="AJ20" i="12"/>
  <c r="AJ22" i="12"/>
  <c r="AJ7" i="12"/>
  <c r="AI12" i="12"/>
  <c r="AJ2" i="12"/>
  <c r="AJ19" i="12"/>
  <c r="AJ3" i="12"/>
  <c r="AJ10" i="12"/>
  <c r="AJ17" i="12"/>
  <c r="AI20" i="12"/>
  <c r="AG24" i="12"/>
  <c r="AI4" i="12"/>
  <c r="AJ11" i="12"/>
  <c r="AJ26" i="12"/>
  <c r="AJ18" i="12"/>
  <c r="AJ25" i="12"/>
  <c r="AJ9" i="12"/>
  <c r="AD20" i="12"/>
  <c r="AG8" i="12"/>
  <c r="AI7" i="12"/>
  <c r="AJ6" i="12"/>
  <c r="AI9" i="12"/>
  <c r="AI17" i="12"/>
  <c r="AI25" i="12"/>
  <c r="AB12" i="12"/>
  <c r="AI2" i="12"/>
  <c r="AI10" i="12"/>
  <c r="AI18" i="12"/>
  <c r="AI26" i="12"/>
  <c r="AI3" i="12"/>
  <c r="AI11" i="12"/>
  <c r="AI19" i="12"/>
  <c r="AG21" i="12"/>
  <c r="AG5" i="12"/>
  <c r="AG13" i="12"/>
  <c r="AE2" i="12"/>
  <c r="AD11" i="12"/>
  <c r="AD16" i="12"/>
  <c r="AD3" i="12"/>
  <c r="Y4" i="12"/>
  <c r="AD17" i="12"/>
  <c r="AD9" i="12"/>
  <c r="AD25" i="12"/>
  <c r="Z2" i="12"/>
  <c r="W13" i="12"/>
  <c r="Y23" i="12"/>
  <c r="Y14" i="12"/>
  <c r="Y15" i="12"/>
  <c r="Y21" i="12"/>
  <c r="Y8" i="12"/>
  <c r="Y16" i="12"/>
  <c r="Y24" i="12"/>
  <c r="Y9" i="12"/>
  <c r="Y17" i="12"/>
  <c r="Y25" i="12"/>
  <c r="Y2" i="12"/>
  <c r="Y10" i="12"/>
  <c r="Y18" i="12"/>
  <c r="Y26" i="12"/>
  <c r="U2" i="12"/>
  <c r="R8" i="12"/>
  <c r="T15" i="12"/>
  <c r="T14" i="12"/>
  <c r="T13" i="12"/>
  <c r="T20" i="12"/>
  <c r="T12" i="12"/>
  <c r="T4" i="12"/>
  <c r="T2" i="12"/>
  <c r="T19" i="12"/>
  <c r="T11" i="12"/>
  <c r="T3" i="12"/>
  <c r="R16" i="12"/>
  <c r="D61" i="22" l="1"/>
  <c r="C11" i="22"/>
  <c r="B43" i="22"/>
  <c r="D11" i="22"/>
  <c r="C43" i="22"/>
  <c r="B46" i="22"/>
  <c r="C33" i="22"/>
  <c r="D44" i="22"/>
  <c r="C45" i="22"/>
  <c r="B12" i="22"/>
  <c r="D32" i="22"/>
  <c r="B36" i="22"/>
  <c r="C62" i="22"/>
  <c r="D65" i="22"/>
  <c r="C67" i="22"/>
  <c r="C47" i="22"/>
  <c r="C44" i="22"/>
  <c r="C12" i="22"/>
  <c r="C35" i="22"/>
  <c r="C37" i="22"/>
  <c r="D62" i="22"/>
  <c r="B66" i="22"/>
  <c r="D68" i="22"/>
  <c r="B67" i="22"/>
  <c r="D43" i="22"/>
  <c r="B33" i="22"/>
  <c r="B63" i="22"/>
  <c r="C26" i="22"/>
  <c r="D23" i="22"/>
  <c r="D24" i="22"/>
  <c r="B27" i="22"/>
  <c r="D26" i="22"/>
  <c r="D28" i="22"/>
  <c r="B26" i="22"/>
  <c r="C23" i="22"/>
  <c r="C27" i="22"/>
  <c r="C28" i="22"/>
  <c r="D25" i="22"/>
  <c r="B23" i="22"/>
  <c r="B28" i="22"/>
  <c r="C25" i="22"/>
  <c r="C24" i="22"/>
  <c r="D27" i="22"/>
  <c r="B25" i="22"/>
  <c r="B24" i="22"/>
  <c r="B44" i="22"/>
  <c r="D45" i="22"/>
  <c r="D12" i="22"/>
  <c r="D35" i="22"/>
  <c r="C36" i="22"/>
  <c r="C63" i="22"/>
  <c r="D66" i="22"/>
  <c r="D67" i="22"/>
  <c r="B65" i="22"/>
  <c r="C66" i="22"/>
  <c r="C46" i="22"/>
  <c r="B11" i="22"/>
  <c r="C34" i="22"/>
  <c r="D37" i="22"/>
  <c r="D63" i="22"/>
  <c r="B68" i="22"/>
  <c r="B61" i="22"/>
  <c r="B62" i="22"/>
  <c r="C68" i="22"/>
  <c r="C54" i="22"/>
  <c r="D51" i="22"/>
  <c r="D56" i="22"/>
  <c r="B54" i="22"/>
  <c r="C51" i="22"/>
  <c r="B52" i="22"/>
  <c r="C56" i="22"/>
  <c r="D53" i="22"/>
  <c r="B51" i="22"/>
  <c r="C55" i="22"/>
  <c r="C52" i="22"/>
  <c r="D54" i="22"/>
  <c r="B56" i="22"/>
  <c r="C53" i="22"/>
  <c r="D52" i="22"/>
  <c r="D55" i="22"/>
  <c r="B53" i="22"/>
  <c r="B55" i="22"/>
  <c r="B45" i="22"/>
  <c r="D46" i="22"/>
  <c r="B37" i="22"/>
  <c r="B32" i="22"/>
  <c r="B34" i="22"/>
  <c r="B64" i="22"/>
  <c r="D64" i="22"/>
  <c r="C61" i="22"/>
  <c r="C32" i="22"/>
  <c r="D33" i="22"/>
  <c r="B47" i="22"/>
  <c r="D47" i="22"/>
  <c r="D34" i="22"/>
  <c r="B35" i="22"/>
  <c r="D36" i="22"/>
  <c r="C64" i="22"/>
  <c r="C65" i="22"/>
  <c r="B4" i="2"/>
  <c r="C14" i="11" s="1"/>
  <c r="AS407" i="12"/>
  <c r="BH408" i="12"/>
  <c r="B2" i="2"/>
  <c r="AD408" i="12"/>
  <c r="BH407" i="12"/>
  <c r="B3" i="1"/>
  <c r="C4" i="11" s="1"/>
  <c r="AX407" i="12"/>
  <c r="BH406" i="12"/>
  <c r="Y406" i="12"/>
  <c r="Y408" i="12"/>
  <c r="Y407" i="12"/>
  <c r="B4" i="1"/>
  <c r="AS406" i="12"/>
  <c r="B3" i="5"/>
  <c r="C43" i="11" s="1"/>
  <c r="D3" i="8"/>
  <c r="B2" i="1"/>
  <c r="C3" i="11" s="1"/>
  <c r="AS408" i="12"/>
  <c r="AN407" i="12"/>
  <c r="AN406" i="12"/>
  <c r="AN408" i="12"/>
  <c r="C4" i="2"/>
  <c r="D14" i="11" s="1"/>
  <c r="C4" i="3"/>
  <c r="D24" i="11" s="1"/>
  <c r="AX408" i="12"/>
  <c r="D3" i="2"/>
  <c r="E13" i="11" s="1"/>
  <c r="T408" i="12"/>
  <c r="T407" i="12"/>
  <c r="T406" i="12"/>
  <c r="AX406" i="12"/>
  <c r="AD406" i="12"/>
  <c r="BC408" i="12"/>
  <c r="BC407" i="12"/>
  <c r="BC406" i="12"/>
  <c r="AD407" i="12"/>
  <c r="AI408" i="12"/>
  <c r="AI407" i="12"/>
  <c r="AI406" i="12"/>
  <c r="B3" i="2"/>
  <c r="C13" i="11" s="1"/>
  <c r="R407" i="12"/>
  <c r="B3" i="7"/>
  <c r="C63" i="11" s="1"/>
  <c r="D4" i="6"/>
  <c r="E54" i="11" s="1"/>
  <c r="B2" i="9"/>
  <c r="C81" i="11" s="1"/>
  <c r="C3" i="5"/>
  <c r="D43" i="11" s="1"/>
  <c r="C3" i="4"/>
  <c r="D33" i="11" s="1"/>
  <c r="AT405" i="12"/>
  <c r="D2" i="3"/>
  <c r="E22" i="11" s="1"/>
  <c r="C3" i="6"/>
  <c r="D53" i="11" s="1"/>
  <c r="D2" i="7"/>
  <c r="E62" i="11" s="1"/>
  <c r="D4" i="4"/>
  <c r="E34" i="11" s="1"/>
  <c r="B4" i="4"/>
  <c r="C34" i="11" s="1"/>
  <c r="C2" i="7"/>
  <c r="D62" i="11" s="1"/>
  <c r="B4" i="3"/>
  <c r="AY405" i="12"/>
  <c r="BD405" i="12"/>
  <c r="B3" i="6"/>
  <c r="C53" i="11" s="1"/>
  <c r="D2" i="6"/>
  <c r="E52" i="11" s="1"/>
  <c r="D4" i="1"/>
  <c r="E5" i="11" s="1"/>
  <c r="D3" i="5"/>
  <c r="E43" i="11" s="1"/>
  <c r="W407" i="12"/>
  <c r="D3" i="6"/>
  <c r="E53" i="11" s="1"/>
  <c r="C2" i="1"/>
  <c r="D3" i="11" s="1"/>
  <c r="B3" i="3"/>
  <c r="C23" i="11" s="1"/>
  <c r="C4" i="8"/>
  <c r="D73" i="11" s="1"/>
  <c r="AB407" i="12"/>
  <c r="C4" i="7"/>
  <c r="D64" i="11" s="1"/>
  <c r="D3" i="4"/>
  <c r="E33" i="11" s="1"/>
  <c r="C2" i="2"/>
  <c r="D12" i="11" s="1"/>
  <c r="D4" i="5"/>
  <c r="E44" i="11" s="1"/>
  <c r="D3" i="3"/>
  <c r="R408" i="12"/>
  <c r="AJ405" i="12"/>
  <c r="C2" i="9"/>
  <c r="D81" i="11" s="1"/>
  <c r="C4" i="9"/>
  <c r="D83" i="11" s="1"/>
  <c r="C3" i="9"/>
  <c r="BI405" i="12"/>
  <c r="D4" i="2"/>
  <c r="E14" i="11" s="1"/>
  <c r="AQ406" i="12"/>
  <c r="C3" i="1"/>
  <c r="D4" i="11" s="1"/>
  <c r="B2" i="3"/>
  <c r="C22" i="11" s="1"/>
  <c r="B2" i="8"/>
  <c r="C71" i="11" s="1"/>
  <c r="C2" i="3"/>
  <c r="D22" i="11" s="1"/>
  <c r="C3" i="7"/>
  <c r="D63" i="11" s="1"/>
  <c r="AG408" i="12"/>
  <c r="C3" i="2"/>
  <c r="D13" i="11" s="1"/>
  <c r="AL406" i="12"/>
  <c r="D2" i="1"/>
  <c r="U405" i="12"/>
  <c r="Z405" i="12"/>
  <c r="AE405" i="12"/>
  <c r="W406" i="12"/>
  <c r="AQ408" i="12"/>
  <c r="AV406" i="12"/>
  <c r="D4" i="8"/>
  <c r="E73" i="11" s="1"/>
  <c r="AB408" i="12"/>
  <c r="C4" i="4"/>
  <c r="D34" i="11" s="1"/>
  <c r="B3" i="9"/>
  <c r="C82" i="11" s="1"/>
  <c r="D2" i="5"/>
  <c r="E42" i="11" s="1"/>
  <c r="D3" i="1"/>
  <c r="E4" i="11" s="1"/>
  <c r="AO405" i="12"/>
  <c r="W408" i="12"/>
  <c r="AV407" i="12"/>
  <c r="B4" i="8"/>
  <c r="C73" i="11" s="1"/>
  <c r="BA406" i="12"/>
  <c r="C3" i="3"/>
  <c r="D23" i="11" s="1"/>
  <c r="C2" i="5"/>
  <c r="D42" i="11" s="1"/>
  <c r="C2" i="4"/>
  <c r="D32" i="11" s="1"/>
  <c r="B4" i="9"/>
  <c r="C83" i="11" s="1"/>
  <c r="AL407" i="12"/>
  <c r="D2" i="2"/>
  <c r="E12" i="11" s="1"/>
  <c r="B4" i="5"/>
  <c r="C44" i="11" s="1"/>
  <c r="D3" i="7"/>
  <c r="E63" i="11" s="1"/>
  <c r="BA408" i="12"/>
  <c r="C2" i="8"/>
  <c r="D71" i="11" s="1"/>
  <c r="C4" i="5"/>
  <c r="D44" i="11" s="1"/>
  <c r="AL408" i="12"/>
  <c r="B2" i="4"/>
  <c r="C32" i="11" s="1"/>
  <c r="R406" i="12"/>
  <c r="B2" i="5"/>
  <c r="C42" i="11" s="1"/>
  <c r="AV408" i="12"/>
  <c r="B3" i="8"/>
  <c r="C72" i="11" s="1"/>
  <c r="BA407" i="12"/>
  <c r="B2" i="6"/>
  <c r="C52" i="11" s="1"/>
  <c r="AG406" i="12"/>
  <c r="C4" i="6"/>
  <c r="D54" i="11" s="1"/>
  <c r="B3" i="4"/>
  <c r="C33" i="11" s="1"/>
  <c r="B4" i="7"/>
  <c r="C64" i="11" s="1"/>
  <c r="AQ407" i="12"/>
  <c r="D4" i="7"/>
  <c r="E64" i="11" s="1"/>
  <c r="C3" i="8"/>
  <c r="D72" i="11" s="1"/>
  <c r="D2" i="8"/>
  <c r="E71" i="11" s="1"/>
  <c r="B4" i="6"/>
  <c r="C54" i="11" s="1"/>
  <c r="D2" i="4"/>
  <c r="E32" i="11" s="1"/>
  <c r="AG407" i="12"/>
  <c r="C2" i="6"/>
  <c r="D52" i="11" s="1"/>
  <c r="D4" i="3"/>
  <c r="E24" i="11" s="1"/>
  <c r="B2" i="7"/>
  <c r="C62" i="11" s="1"/>
  <c r="D4" i="9"/>
  <c r="E83" i="11" s="1"/>
  <c r="BF408" i="12"/>
  <c r="BF407" i="12"/>
  <c r="BF406" i="12"/>
  <c r="D3" i="9"/>
  <c r="E82" i="11" s="1"/>
  <c r="D2" i="9"/>
  <c r="E81" i="11" s="1"/>
  <c r="C4" i="1"/>
  <c r="D5" i="11" s="1"/>
  <c r="AB406" i="12"/>
  <c r="E72" i="11"/>
  <c r="C5" i="11"/>
  <c r="C24" i="11"/>
  <c r="C12" i="11"/>
  <c r="E3" i="11"/>
  <c r="E23" i="11"/>
  <c r="D82" i="11"/>
  <c r="E42" i="22" l="1"/>
  <c r="J42" i="22" s="1"/>
  <c r="E55" i="22"/>
  <c r="J55" i="22" s="1"/>
  <c r="E63" i="22"/>
  <c r="J63" i="22" s="1"/>
  <c r="E24" i="22"/>
  <c r="H24" i="22" s="1"/>
  <c r="E45" i="22"/>
  <c r="I45" i="22" s="1"/>
  <c r="E25" i="22"/>
  <c r="I25" i="22" s="1"/>
  <c r="E36" i="22"/>
  <c r="J36" i="22" s="1"/>
  <c r="E53" i="22"/>
  <c r="J53" i="22" s="1"/>
  <c r="E51" i="22"/>
  <c r="J51" i="22" s="1"/>
  <c r="E11" i="22"/>
  <c r="E26" i="22"/>
  <c r="H26" i="22" s="1"/>
  <c r="E33" i="22"/>
  <c r="I33" i="22" s="1"/>
  <c r="E12" i="22"/>
  <c r="H12" i="22" s="1"/>
  <c r="E35" i="22"/>
  <c r="I35" i="22" s="1"/>
  <c r="E64" i="22"/>
  <c r="I64" i="22" s="1"/>
  <c r="E34" i="22"/>
  <c r="I34" i="22" s="1"/>
  <c r="E62" i="22"/>
  <c r="J62" i="22" s="1"/>
  <c r="E28" i="22"/>
  <c r="J28" i="22" s="1"/>
  <c r="E67" i="22"/>
  <c r="I67" i="22" s="1"/>
  <c r="E54" i="22"/>
  <c r="I54" i="22" s="1"/>
  <c r="E32" i="22"/>
  <c r="H32" i="22" s="1"/>
  <c r="E52" i="22"/>
  <c r="H52" i="22" s="1"/>
  <c r="E61" i="22"/>
  <c r="I61" i="22" s="1"/>
  <c r="E23" i="22"/>
  <c r="J23" i="22" s="1"/>
  <c r="E27" i="22"/>
  <c r="J27" i="22" s="1"/>
  <c r="E47" i="22"/>
  <c r="J47" i="22" s="1"/>
  <c r="E37" i="22"/>
  <c r="J37" i="22" s="1"/>
  <c r="E56" i="22"/>
  <c r="I56" i="22" s="1"/>
  <c r="E68" i="22"/>
  <c r="I68" i="22" s="1"/>
  <c r="E65" i="22"/>
  <c r="I65" i="22" s="1"/>
  <c r="E44" i="22"/>
  <c r="I44" i="22" s="1"/>
  <c r="E66" i="22"/>
  <c r="I66" i="22" s="1"/>
  <c r="E46" i="22"/>
  <c r="I46" i="22" s="1"/>
  <c r="E43" i="22"/>
  <c r="Y409" i="12"/>
  <c r="B3" i="10" s="1"/>
  <c r="BC409" i="12"/>
  <c r="C9" i="10" s="1"/>
  <c r="BH409" i="12"/>
  <c r="B10" i="10" s="1"/>
  <c r="AD409" i="12"/>
  <c r="D4" i="10" s="1"/>
  <c r="AS409" i="12"/>
  <c r="C7" i="10" s="1"/>
  <c r="AI409" i="12"/>
  <c r="B5" i="10" s="1"/>
  <c r="AX409" i="12"/>
  <c r="C8" i="10" s="1"/>
  <c r="T409" i="12"/>
  <c r="D2" i="10" s="1"/>
  <c r="AN409" i="12"/>
  <c r="C6" i="10" s="1"/>
  <c r="BA409" i="12"/>
  <c r="BF409" i="12"/>
  <c r="R409" i="12"/>
  <c r="AL409" i="12"/>
  <c r="AQ409" i="12"/>
  <c r="AV409" i="12"/>
  <c r="AG409" i="12"/>
  <c r="W409" i="12"/>
  <c r="AB409" i="12"/>
  <c r="C84" i="11"/>
  <c r="F71" i="11"/>
  <c r="D65" i="11"/>
  <c r="G65" i="11"/>
  <c r="F64" i="11"/>
  <c r="F73" i="11"/>
  <c r="F54" i="11"/>
  <c r="E74" i="11"/>
  <c r="F63" i="11"/>
  <c r="G74" i="11"/>
  <c r="D45" i="11"/>
  <c r="F12" i="11"/>
  <c r="F44" i="11"/>
  <c r="C35" i="11"/>
  <c r="F72" i="11"/>
  <c r="F42" i="11"/>
  <c r="E65" i="11"/>
  <c r="C74" i="11"/>
  <c r="C6" i="11"/>
  <c r="E55" i="11"/>
  <c r="E15" i="11"/>
  <c r="F14" i="11"/>
  <c r="D55" i="11"/>
  <c r="E45" i="11"/>
  <c r="E25" i="11"/>
  <c r="C65" i="11"/>
  <c r="F62" i="11"/>
  <c r="F4" i="11"/>
  <c r="F3" i="11"/>
  <c r="G45" i="11"/>
  <c r="F24" i="11"/>
  <c r="G55" i="11"/>
  <c r="F43" i="11"/>
  <c r="C25" i="11"/>
  <c r="F53" i="11"/>
  <c r="C55" i="11"/>
  <c r="D74" i="11"/>
  <c r="F52" i="11"/>
  <c r="C15" i="11"/>
  <c r="F34" i="11"/>
  <c r="F5" i="11"/>
  <c r="C45" i="11"/>
  <c r="E84" i="11"/>
  <c r="E35" i="11"/>
  <c r="E6" i="11"/>
  <c r="F83" i="11"/>
  <c r="G6" i="11"/>
  <c r="F81" i="11"/>
  <c r="D84" i="11"/>
  <c r="D35" i="11"/>
  <c r="F32" i="11"/>
  <c r="D25" i="11"/>
  <c r="F22" i="11"/>
  <c r="F23" i="11"/>
  <c r="G25" i="11"/>
  <c r="D6" i="11"/>
  <c r="F33" i="11"/>
  <c r="G35" i="11"/>
  <c r="G84" i="11"/>
  <c r="F82" i="11"/>
  <c r="F13" i="11"/>
  <c r="G15" i="11"/>
  <c r="D15" i="11"/>
  <c r="J45" i="22" l="1"/>
  <c r="H51" i="22"/>
  <c r="I53" i="22"/>
  <c r="H33" i="22"/>
  <c r="I26" i="22"/>
  <c r="H67" i="22"/>
  <c r="J32" i="22"/>
  <c r="I28" i="22"/>
  <c r="I51" i="22"/>
  <c r="I47" i="22"/>
  <c r="I42" i="22"/>
  <c r="H42" i="22"/>
  <c r="H56" i="22"/>
  <c r="J56" i="22"/>
  <c r="H44" i="22"/>
  <c r="H47" i="22"/>
  <c r="J26" i="22"/>
  <c r="I37" i="22"/>
  <c r="J54" i="22"/>
  <c r="H27" i="22"/>
  <c r="H54" i="22"/>
  <c r="J34" i="22"/>
  <c r="J65" i="22"/>
  <c r="H28" i="22"/>
  <c r="I32" i="22"/>
  <c r="H36" i="22"/>
  <c r="J33" i="22"/>
  <c r="I24" i="22"/>
  <c r="J24" i="22"/>
  <c r="H23" i="22"/>
  <c r="J44" i="22"/>
  <c r="K44" i="22" s="1"/>
  <c r="H62" i="22"/>
  <c r="H64" i="22"/>
  <c r="I36" i="22"/>
  <c r="I11" i="22"/>
  <c r="J11" i="22"/>
  <c r="H25" i="22"/>
  <c r="H63" i="22"/>
  <c r="J25" i="22"/>
  <c r="J68" i="22"/>
  <c r="I43" i="22"/>
  <c r="H43" i="22"/>
  <c r="J52" i="22"/>
  <c r="J43" i="22"/>
  <c r="H35" i="22"/>
  <c r="I23" i="22"/>
  <c r="K23" i="22" s="1"/>
  <c r="J66" i="22"/>
  <c r="H11" i="22"/>
  <c r="H46" i="22"/>
  <c r="H37" i="22"/>
  <c r="H34" i="22"/>
  <c r="I27" i="22"/>
  <c r="H53" i="22"/>
  <c r="H45" i="22"/>
  <c r="I62" i="22"/>
  <c r="H61" i="22"/>
  <c r="J61" i="22"/>
  <c r="I12" i="22"/>
  <c r="H65" i="22"/>
  <c r="I52" i="22"/>
  <c r="I63" i="22"/>
  <c r="J46" i="22"/>
  <c r="J35" i="22"/>
  <c r="J67" i="22"/>
  <c r="J64" i="22"/>
  <c r="I55" i="22"/>
  <c r="H66" i="22"/>
  <c r="H68" i="22"/>
  <c r="J12" i="22"/>
  <c r="H55" i="22"/>
  <c r="C5" i="10"/>
  <c r="D3" i="10"/>
  <c r="C3" i="10"/>
  <c r="D8" i="10"/>
  <c r="D6" i="10"/>
  <c r="D7" i="10"/>
  <c r="B6" i="10"/>
  <c r="B7" i="10"/>
  <c r="C4" i="10"/>
  <c r="D9" i="10"/>
  <c r="B9" i="10"/>
  <c r="B4" i="10"/>
  <c r="B8" i="10"/>
  <c r="D5" i="10"/>
  <c r="D10" i="10"/>
  <c r="C10" i="10"/>
  <c r="B2" i="10"/>
  <c r="C2" i="10"/>
  <c r="J65" i="11"/>
  <c r="J74" i="11"/>
  <c r="J45" i="11"/>
  <c r="I65" i="11"/>
  <c r="I55" i="11"/>
  <c r="J6" i="11"/>
  <c r="H65" i="11"/>
  <c r="F65" i="11"/>
  <c r="E66" i="11" s="1"/>
  <c r="J15" i="11"/>
  <c r="H74" i="11"/>
  <c r="J55" i="11"/>
  <c r="F55" i="11"/>
  <c r="E56" i="11" s="1"/>
  <c r="I74" i="11"/>
  <c r="F74" i="11"/>
  <c r="E75" i="11" s="1"/>
  <c r="H55" i="11"/>
  <c r="F45" i="11"/>
  <c r="E46" i="11" s="1"/>
  <c r="I45" i="11"/>
  <c r="H45" i="11"/>
  <c r="H6" i="11"/>
  <c r="I6" i="11"/>
  <c r="F6" i="11"/>
  <c r="E7" i="11" s="1"/>
  <c r="J35" i="11"/>
  <c r="H35" i="11"/>
  <c r="I15" i="11"/>
  <c r="F15" i="11"/>
  <c r="E16" i="11" s="1"/>
  <c r="F35" i="11"/>
  <c r="E36" i="11" s="1"/>
  <c r="I35" i="11"/>
  <c r="H15" i="11"/>
  <c r="J25" i="11"/>
  <c r="H25" i="11"/>
  <c r="F25" i="11"/>
  <c r="E26" i="11" s="1"/>
  <c r="I25" i="11"/>
  <c r="I84" i="11"/>
  <c r="F84" i="11"/>
  <c r="E85" i="11" s="1"/>
  <c r="J84" i="11"/>
  <c r="H84" i="11"/>
  <c r="K45" i="22" l="1"/>
  <c r="K28" i="22"/>
  <c r="K51" i="22"/>
  <c r="K53" i="22"/>
  <c r="K47" i="22"/>
  <c r="K24" i="22"/>
  <c r="K36" i="22"/>
  <c r="K65" i="22"/>
  <c r="K33" i="22"/>
  <c r="K26" i="22"/>
  <c r="K66" i="22"/>
  <c r="K32" i="22"/>
  <c r="K56" i="22"/>
  <c r="K42" i="22"/>
  <c r="K34" i="22"/>
  <c r="K54" i="22"/>
  <c r="K46" i="22"/>
  <c r="K67" i="22"/>
  <c r="K63" i="22"/>
  <c r="K64" i="22"/>
  <c r="K27" i="22"/>
  <c r="K43" i="22"/>
  <c r="K37" i="22"/>
  <c r="K52" i="22"/>
  <c r="K68" i="22"/>
  <c r="K62" i="22"/>
  <c r="K25" i="22"/>
  <c r="K61" i="22"/>
  <c r="K55" i="22"/>
  <c r="K35" i="22"/>
  <c r="E67" i="11"/>
  <c r="E57" i="11"/>
  <c r="E76" i="11"/>
  <c r="E86" i="11"/>
  <c r="E37" i="11"/>
  <c r="E17" i="11"/>
  <c r="E27" i="11"/>
  <c r="E47" i="11"/>
  <c r="E8"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D9B0B4-4D97-45AD-9987-311FC05C933D}" keepAlive="1" name="Query - interview_responses" description="Connection to the 'interview_responses' query in the workbook." type="5" refreshedVersion="8" background="1" saveData="1">
    <dbPr connection="Provider=Microsoft.Mashup.OleDb.1;Data Source=$Workbook$;Location=interview_responses;Extended Properties=&quot;&quot;" command="SELECT * FROM [interview_responses]"/>
  </connection>
  <connection id="2" xr16:uid="{D0345BBE-78E8-4375-9EB2-3905412D32D4}" keepAlive="1" name="Query - step2_raw_simulation" description="Connection to the 'step2_raw_simulation' query in the workbook." type="5" refreshedVersion="8" background="1" saveData="1">
    <dbPr connection="Provider=Microsoft.Mashup.OleDb.1;Data Source=$Workbook$;Location=step2_raw_simulation;Extended Properties=&quot;&quot;" command="SELECT * FROM [step2_raw_simulation]"/>
  </connection>
  <connection id="3" xr16:uid="{59800C96-21D8-47A3-B294-5457B01DAA7D}" keepAlive="1" name="Query - step2_raw_simulation (2)" description="Connection to the 'step2_raw_simulation (2)' query in the workbook." type="5" refreshedVersion="0" background="1" saveData="1">
    <dbPr connection="Provider=Microsoft.Mashup.OleDb.1;Data Source=$Workbook$;Location=&quot;step2_raw_simulation (2)&quot;;Extended Properties=&quot;&quot;" command="SELECT * FROM [step2_raw_simulation (2)]"/>
  </connection>
  <connection id="4" xr16:uid="{CD2CBEC7-DD68-4DE4-9807-64F4D1652185}" keepAlive="1" name="Query - step3_survey_simulation_results" description="Connection to the 'step3_survey_simulation_results' query in the workbook." type="5" refreshedVersion="8" background="1" saveData="1">
    <dbPr connection="Provider=Microsoft.Mashup.OleDb.1;Data Source=$Workbook$;Location=step3_survey_simulation_results;Extended Properties=&quot;&quot;" command="SELECT * FROM [step3_survey_simulation_results]"/>
  </connection>
  <connection id="5" xr16:uid="{68518907-6C44-4E2F-B44A-369417B2F34F}" keepAlive="1" name="Query - step3_validation" description="Connection to the 'step3_validation' query in the workbook." type="5" refreshedVersion="8" background="1" saveData="1">
    <dbPr connection="Provider=Microsoft.Mashup.OleDb.1;Data Source=$Workbook$;Location=step3_validation;Extended Properties=&quot;&quot;" command="SELECT * FROM [step3_validation]"/>
  </connection>
  <connection id="6" xr16:uid="{087CA380-0F42-4DAE-9364-8A6A73D4D6A8}" keepAlive="1" name="Query - step3_validation (2)" description="Connection to the 'step3_validation (2)' query in the workbook." type="5" refreshedVersion="8" background="1" saveData="1">
    <dbPr connection="Provider=Microsoft.Mashup.OleDb.1;Data Source=$Workbook$;Location=&quot;step3_validation (2)&quot;;Extended Properties=&quot;&quot;" command="SELECT * FROM [step3_validation (2)]"/>
  </connection>
  <connection id="7" xr16:uid="{76288996-789D-46B7-B1F3-F67C7AA1DC2E}" keepAlive="1" name="Query - step3_validation (3)" description="Connection to the 'step3_validation (3)' query in the workbook." type="5" refreshedVersion="0" background="1" saveData="1">
    <dbPr connection="Provider=Microsoft.Mashup.OleDb.1;Data Source=$Workbook$;Location=&quot;step3_validation (3)&quot;;Extended Properties=&quot;&quot;" command="SELECT * FROM [step3_validation (3)]"/>
  </connection>
  <connection id="8" xr16:uid="{F7EC4F26-98E3-4CD2-958A-1E8005FC2274}" keepAlive="1" name="Query - step3_validation (4)" description="Connection to the 'step3_validation (4)' query in the workbook." type="5" refreshedVersion="8" background="1" saveData="1">
    <dbPr connection="Provider=Microsoft.Mashup.OleDb.1;Data Source=$Workbook$;Location=&quot;step3_validation (4)&quot;;Extended Properties=&quot;&quot;" command="SELECT * FROM [step3_validation (4)]"/>
  </connection>
  <connection id="9" xr16:uid="{14EA6238-7AB9-4BDA-8602-510C19C4330E}" keepAlive="1" name="Query - step3_validation (5)" description="Connection to the 'step3_validation (5)' query in the workbook." type="5" refreshedVersion="0" background="1" saveData="1">
    <dbPr connection="Provider=Microsoft.Mashup.OleDb.1;Data Source=$Workbook$;Location=&quot;step3_validation (5)&quot;;Extended Properties=&quot;&quot;" command="SELECT * FROM [step3_validation (5)]"/>
  </connection>
  <connection id="10" xr16:uid="{F572EC63-C73E-4F9E-BAC2-A805F8AF7CF6}" keepAlive="1" name="Query - survey_responses" description="Connection to the 'survey_responses' query in the workbook." type="5" refreshedVersion="8" background="1" saveData="1">
    <dbPr connection="Provider=Microsoft.Mashup.OleDb.1;Data Source=$Workbook$;Location=survey_responses;Extended Properties=&quot;&quot;" command="SELECT * FROM [survey_responses]"/>
  </connection>
  <connection id="11" xr16:uid="{6ACD503F-7304-41B4-8BFB-2AC6A26B719C}" keepAlive="1" name="Query - survey_responses (2)" description="Connection to the 'survey_responses (2)' query in the workbook." type="5" refreshedVersion="0" background="1" saveData="1">
    <dbPr connection="Provider=Microsoft.Mashup.OleDb.1;Data Source=$Workbook$;Location=&quot;survey_responses (2)&quot;;Extended Properties=&quot;&quot;" command="SELECT * FROM [survey_responses (2)]"/>
  </connection>
</connections>
</file>

<file path=xl/sharedStrings.xml><?xml version="1.0" encoding="utf-8"?>
<sst xmlns="http://schemas.openxmlformats.org/spreadsheetml/2006/main" count="9127" uniqueCount="3766">
  <si>
    <t>HUMAN</t>
  </si>
  <si>
    <t>Oppose</t>
  </si>
  <si>
    <t>Neutral</t>
  </si>
  <si>
    <t>Support</t>
  </si>
  <si>
    <t>Metric</t>
  </si>
  <si>
    <t>Human_Oppose (%)</t>
  </si>
  <si>
    <t>Human_Neutral (%)</t>
  </si>
  <si>
    <t>Human_Support (%)</t>
  </si>
  <si>
    <t>ENF1</t>
  </si>
  <si>
    <t>ENF2</t>
  </si>
  <si>
    <t>FAC1</t>
  </si>
  <si>
    <t>FAC2</t>
  </si>
  <si>
    <t>TRU1</t>
  </si>
  <si>
    <t>TRU2</t>
  </si>
  <si>
    <t>TRU3</t>
  </si>
  <si>
    <t>TRU4</t>
  </si>
  <si>
    <t>OUT1</t>
  </si>
  <si>
    <t>Confusion Matrix_ENF1</t>
  </si>
  <si>
    <t>Human</t>
  </si>
  <si>
    <t>AI</t>
  </si>
  <si>
    <t>Agreement rate (%)</t>
  </si>
  <si>
    <t>Confusion Matrix_ENF2</t>
  </si>
  <si>
    <t>Confusion Matrix_FAC1</t>
  </si>
  <si>
    <t>Confusion Matrix_FAC2</t>
  </si>
  <si>
    <t>Confusion Matrix_TRU1</t>
  </si>
  <si>
    <t>Confusion Matrix_TRU2</t>
  </si>
  <si>
    <t>Confusion Matrix_TRU3</t>
  </si>
  <si>
    <t>Confusion Matrix_TRU4</t>
  </si>
  <si>
    <t>Confusion Matrix_OUT1</t>
  </si>
  <si>
    <t>Total</t>
  </si>
  <si>
    <t>MCC</t>
  </si>
  <si>
    <t>c</t>
  </si>
  <si>
    <t>Persona_ID</t>
  </si>
  <si>
    <t>Gender</t>
  </si>
  <si>
    <t>Age</t>
  </si>
  <si>
    <t>Region</t>
  </si>
  <si>
    <t>Education</t>
  </si>
  <si>
    <t>Employment</t>
  </si>
  <si>
    <t>Income_Mil</t>
  </si>
  <si>
    <t>Dependents</t>
  </si>
  <si>
    <t>AI_ENF1_Score</t>
  </si>
  <si>
    <t>Human_ENF1</t>
  </si>
  <si>
    <t>AI_ENF1_Reason</t>
  </si>
  <si>
    <t>AI_ENF2_Score</t>
  </si>
  <si>
    <t>Human_ENF2</t>
  </si>
  <si>
    <t>AI_ENF2_Reason</t>
  </si>
  <si>
    <t>AI_FAC1_Score</t>
  </si>
  <si>
    <t>Human_FAC1</t>
  </si>
  <si>
    <t>AI_FAC1_Reason</t>
  </si>
  <si>
    <t>AI_FAC2_Score</t>
  </si>
  <si>
    <t>Human_FAC2</t>
  </si>
  <si>
    <t>AI_FAC2_Reason</t>
  </si>
  <si>
    <t>AI_TRU1_Score</t>
  </si>
  <si>
    <t>Human_TRU1</t>
  </si>
  <si>
    <t>AI_TRU1_Reason</t>
  </si>
  <si>
    <t>AI_TRU2_Score</t>
  </si>
  <si>
    <t>Human_TRU2</t>
  </si>
  <si>
    <t>AI_TRU2_Reason</t>
  </si>
  <si>
    <t>AI_TRU3_Score</t>
  </si>
  <si>
    <t>Human_TRU3</t>
  </si>
  <si>
    <t>AI_TRU3_Reason</t>
  </si>
  <si>
    <t>AI_TRU4_Score</t>
  </si>
  <si>
    <t>Human_TRU4</t>
  </si>
  <si>
    <t>AI_TRU4_Reason</t>
  </si>
  <si>
    <t>AI_OUT1_Score</t>
  </si>
  <si>
    <t>Human_OUT1</t>
  </si>
  <si>
    <t>AI_OUT1_Reason</t>
  </si>
  <si>
    <t>Nữ</t>
  </si>
  <si>
    <t>30 - 39</t>
  </si>
  <si>
    <t>Thành thị</t>
  </si>
  <si>
    <t>Sau Đại học</t>
  </si>
  <si>
    <t>Chính thức</t>
  </si>
  <si>
    <t>Đại học</t>
  </si>
  <si>
    <t>Nam</t>
  </si>
  <si>
    <t>40 - 49</t>
  </si>
  <si>
    <t>Nông thôn</t>
  </si>
  <si>
    <t>25 - 29</t>
  </si>
  <si>
    <t>Tôi tin rằng số tiền thuế đóng sẽ được sử dụng hiệu quả để cải thiện dịch vụ công</t>
  </si>
  <si>
    <t>Timestamp</t>
  </si>
  <si>
    <t>Giới tính của bạn:</t>
  </si>
  <si>
    <t>Độ tuổi của bạn:</t>
  </si>
  <si>
    <t>Khu vực bạn đang sinh sống:</t>
  </si>
  <si>
    <t>Trình độ học vấn cao nhất:</t>
  </si>
  <si>
    <t>Tình trạng việc làm chính:</t>
  </si>
  <si>
    <t>Thu nhập bình quân tháng theo Hợp đồng lao động của bạn là bao nhiêu? (Vui lòng điền tổng thu nhập trước khi khấu trừ các loại Bảo hiểm (BHXH, BHYT, BHTN) và Thuế TNCN)</t>
  </si>
  <si>
    <t>Số người phụ thuộc (con nhỏ, cha mẹ già...) đủ điều kiện giảm trừ gia cảnh:</t>
  </si>
  <si>
    <t>Tôi tin rằng với các quy định quản lý thuế hiện nay, hành vi gian lận hoặc trốn thuế sẽ dễ dàng bị phát hiện và xử lý nghiêm. - HUMAN-ENF1</t>
  </si>
  <si>
    <t>Tôi tin rằng Nhà nước, cơ quan thuế có đủ khả năng và công nghệ để phát hiện, xử lý nghiêm các hành vi trốn thuế. - HUMAN-ENF2</t>
  </si>
  <si>
    <t>Các thủ tục khai báo thuế VÀ/HOẶC quy trình làm việc với cơ quan thuế đơn giản, tiện lợi, nhanh chóng hơn so với trước đây. - HUMAN-FAC1</t>
  </si>
  <si>
    <t>So với trước đây, tôi thấy cách tính thuế và các bậc thuế trong phương án mới đơn giản, dễ hiểu và dễ thực hiện hơn. - HUMAN-FAC2</t>
  </si>
  <si>
    <t>Tôi tin rằng Nhà nước, cơ quan thuế sẽ thực thi chính sách mới một cách khách quan, công tâm và đối xử bình đẳng với mọi người nộp thuế.  - HUMAN-TRU1</t>
  </si>
  <si>
    <t>Tôi thấy mức thuế tôi phải đóng theo phương án mới là công bằng (người thu nhập như tôi đóng mức này là hợp lý). - HUMAN-TRU2</t>
  </si>
  <si>
    <t>Tôi tin tưởng số tiền thuế tôi đóng sẽ được Nhà nước sử dụng hiệu quả để cải thiện dịch vụ công (y tế, đường xá...). - HUMAN-TRU3</t>
  </si>
  <si>
    <t>Tôi thấy Nhà nước đã giải thích rõ ràng, minh bạch về lý do và mục tiêu của việc sửa đổi thuế lần này. - HUMAN-TRU4</t>
  </si>
  <si>
    <t>Sau khi xem xét các quyền lợi và nghĩa vụ, bạn có ủng hộ và tuân thủ chính sách mới hiện nay? - HUMAN-OUT1</t>
  </si>
  <si>
    <t>Khu vực chính thức (Có Hợp đồng lao động, đóng BHXH)</t>
  </si>
  <si>
    <t>Từ 23 - 32 triệu VNĐ</t>
  </si>
  <si>
    <t>1 người</t>
  </si>
  <si>
    <t>Khu vực phi chính thức (Lao động tự do, không có HĐLĐ)</t>
  </si>
  <si>
    <t>Từ 12 - 18 triệu VNĐ</t>
  </si>
  <si>
    <t>2 người</t>
  </si>
  <si>
    <t>3 người</t>
  </si>
  <si>
    <t>Từ 70 - 102 triệu VNĐ</t>
  </si>
  <si>
    <t>Trên 102 triệu VNĐ</t>
  </si>
  <si>
    <t>Từ 32 - 48 triệu VNĐ</t>
  </si>
  <si>
    <t>0 người</t>
  </si>
  <si>
    <t>Từ 48 - 70 triệu VNĐ</t>
  </si>
  <si>
    <t>AI_Gender</t>
  </si>
  <si>
    <t>Human_Gender</t>
  </si>
  <si>
    <t>AI_Age</t>
  </si>
  <si>
    <t>Human_Age</t>
  </si>
  <si>
    <t>AI_Region</t>
  </si>
  <si>
    <t>Human_Region</t>
  </si>
  <si>
    <t>AI_Education</t>
  </si>
  <si>
    <t>Human_Education</t>
  </si>
  <si>
    <t>AI_Employment</t>
  </si>
  <si>
    <t>Human_Employment</t>
  </si>
  <si>
    <t>AI_Income_Mil</t>
  </si>
  <si>
    <t>Human_Income_Mil</t>
  </si>
  <si>
    <t>AI_Dependents</t>
  </si>
  <si>
    <t>Human_Dependents</t>
  </si>
  <si>
    <t>Human_ENF1_Score</t>
  </si>
  <si>
    <t>AI_ENF1_Category</t>
  </si>
  <si>
    <t>Human_ENF1_Category</t>
  </si>
  <si>
    <t>MAE_ENF1</t>
  </si>
  <si>
    <t>AI_ENF2_Category</t>
  </si>
  <si>
    <t>Human_ENF2_Score</t>
  </si>
  <si>
    <t>Human_ENF2_Category</t>
  </si>
  <si>
    <t>MAE_ENF2</t>
  </si>
  <si>
    <t>AI_FAC1_Category</t>
  </si>
  <si>
    <t>Human_FAC1_Score</t>
  </si>
  <si>
    <t>Human_FAC1_Category</t>
  </si>
  <si>
    <t>MAE_FAC1</t>
  </si>
  <si>
    <t>AI_FAC2_Category</t>
  </si>
  <si>
    <t>Human_FAC2_Score</t>
  </si>
  <si>
    <t>Human_FAC2_Category</t>
  </si>
  <si>
    <t>MAE_FAC2</t>
  </si>
  <si>
    <t>AI_TRU1_Category</t>
  </si>
  <si>
    <t>Human_TRU1_Score</t>
  </si>
  <si>
    <t>Human_TRU1_Category</t>
  </si>
  <si>
    <t>MAE_TRU1</t>
  </si>
  <si>
    <t>AI_TRU2_Category</t>
  </si>
  <si>
    <t>Human_TRU2_Score</t>
  </si>
  <si>
    <t>Human_TRU2_Category</t>
  </si>
  <si>
    <t>MAE_TRU2</t>
  </si>
  <si>
    <t>AI_TRU3_Category</t>
  </si>
  <si>
    <t>Human_TRU3_Score</t>
  </si>
  <si>
    <t>Human_TRU3_Category</t>
  </si>
  <si>
    <t>MAE_TRU3</t>
  </si>
  <si>
    <t>AI_TRU4_Category</t>
  </si>
  <si>
    <t>Human_TRU4_Score</t>
  </si>
  <si>
    <t>Human_TRU4_Category</t>
  </si>
  <si>
    <t>MAE_TRU4</t>
  </si>
  <si>
    <t>AI_OUT1_Category</t>
  </si>
  <si>
    <t>Human_OUT1_Score</t>
  </si>
  <si>
    <t>Human_OUT1_Category</t>
  </si>
  <si>
    <t>MAE_OUT1</t>
  </si>
  <si>
    <t>Phi chính thức</t>
  </si>
  <si>
    <t>tk</t>
  </si>
  <si>
    <t>pk</t>
  </si>
  <si>
    <t>tk x pk</t>
  </si>
  <si>
    <t>Male</t>
  </si>
  <si>
    <t>Female</t>
  </si>
  <si>
    <t>Number of participants</t>
  </si>
  <si>
    <t>Rate (%)</t>
  </si>
  <si>
    <t>Age_Group</t>
  </si>
  <si>
    <t>AI_ENF1</t>
  </si>
  <si>
    <t>d_ENF1</t>
  </si>
  <si>
    <t>AI_ENF2</t>
  </si>
  <si>
    <t>d_ENF2</t>
  </si>
  <si>
    <t>AI_FAC1</t>
  </si>
  <si>
    <t>d_FAC1</t>
  </si>
  <si>
    <t>AI_FAC2</t>
  </si>
  <si>
    <t>d_FAC2</t>
  </si>
  <si>
    <t>AI_TRU1</t>
  </si>
  <si>
    <t>d_TRU1</t>
  </si>
  <si>
    <t>AI_TRU2</t>
  </si>
  <si>
    <t>d_TRU2</t>
  </si>
  <si>
    <t>AI_TRU3</t>
  </si>
  <si>
    <t>d_TRU3</t>
  </si>
  <si>
    <t>AI_TRU4</t>
  </si>
  <si>
    <t>d_TRU4</t>
  </si>
  <si>
    <t>AI_OUT1</t>
  </si>
  <si>
    <t>d_OUT1</t>
  </si>
  <si>
    <t>18 - 24</t>
  </si>
  <si>
    <t>Tôi tin rằng số tiền thuế đóng sẽ được sử dụng hiệu quả để cải thiện dịch vụ công.</t>
  </si>
  <si>
    <t>Cao đẳng</t>
  </si>
  <si>
    <t>50 - 54</t>
  </si>
  <si>
    <t>Trung học phổ thông</t>
  </si>
  <si>
    <t>55 - 64</t>
  </si>
  <si>
    <t>Dưới 12 triệu VNĐ</t>
  </si>
  <si>
    <t>4 người trở lên</t>
  </si>
  <si>
    <t>Từ 18 - 23 triệu VNĐ</t>
  </si>
  <si>
    <t>Khác (Về hưu, nội trợ, sinh viên)</t>
  </si>
  <si>
    <t>Used_Seed</t>
  </si>
  <si>
    <t>Tôi tin rằng Nhà nước sẽ thực thi chính sách một cách công bằng đối với mọi người nộp thuế.</t>
  </si>
  <si>
    <t>Tôi tin rằng Nhà nước sẽ thực thi chính sách một cách công bằng và khách quan đối với mọi người nộp thuế.</t>
  </si>
  <si>
    <t>Nhà nước đã giải thích rõ ràng về mục tiêu và lý do của việc sửa đổi thuế, tạo niềm tin cho người dân.</t>
  </si>
  <si>
    <t/>
  </si>
  <si>
    <t>Nhà nước đã giải thích rõ ràng về mục tiêu của việc sửa đổi thuế lần này</t>
  </si>
  <si>
    <t>Count of Độ tuổi của bạn:</t>
  </si>
  <si>
    <t>Count of Trình độ học vấn cao nhất:</t>
  </si>
  <si>
    <t>Count of Tình trạng việc làm chính:</t>
  </si>
  <si>
    <t>Count of Thu nhập bình quân tháng theo Hợp đồng lao động của bạn là bao nhiêu? (Vui lòng điền tổng thu nhập trước khi khấu trừ các loại Bảo hiểm (BHXH, BHYT, BHTN) và Thuế TNCN)</t>
  </si>
  <si>
    <t>Income</t>
  </si>
  <si>
    <t>Count of Số người phụ thuộc (con nhỏ, cha mẹ già...) đủ điều kiện giảm trừ gia cảnh:</t>
  </si>
  <si>
    <t>Hiện nay, quản lý thuế ngày càng được cải thiện với nhiều công nghệ hỗ trợ. Tuy nhiên, vẫn còn những rủi ro về việc trốn thuế.</t>
  </si>
  <si>
    <t>Cơ quan thuế đã và đang áp dụng nhiều biện pháp để tăng cường quản lý, giảm thiểu gian lận. Tuy nhiên, hiệu quả thực tế phụ thuộc vào nhiều yếu tố</t>
  </si>
  <si>
    <t>Thủ tục khai báo thuế và làm việc với cơ quan thuế đã đơn giản hơn nhưng vẫn cần cải thiện để trở nên hoàn toàn tiện lợi.</t>
  </si>
  <si>
    <t>Cách tính thuế mới rõ ràng, dễ hiểu và dễ thực hiện. Tuy nhiên, đối với người không am hiểu về thuế, nó vẫn có thể gây khó khăn.</t>
  </si>
  <si>
    <t>Tôi tin rằng Nhà nước sẽ thực thi chính sách một cách công bằng nhưng cũng cần giám sát chặt chẽ để tránh bất công.</t>
  </si>
  <si>
    <t>Thuế tôi phải đóng theo phương án mới là hợp lý vì nó dựa trên thu nhập của tôi. Mức thuế giảm đã tăng niềm tin vào tính công bằng.</t>
  </si>
  <si>
    <t>Tôi tin rằng số tiền thuế tôi đóng sẽ được sử dụng hiệu quả để cải thiện các dịch vụ công, mặc dù có thể không hoàn toàn rõ ràng.</t>
  </si>
  <si>
    <t>Nhà nước đã giải thích rõ về mục tiêu của việc sửa đổi thuế nhưng cần làm rõ hơn về cách sử dụng nguồn thu từ thuế.</t>
  </si>
  <si>
    <t>Tôi ủng hộ và sẽ tuân thủ chính sách mới vì nó mang lại lợi ích cho tôi và cải thiện quản lý thuế tổng thể.</t>
  </si>
  <si>
    <t>Hiện nay, cơ quan thuế Việt Nam có hệ thống quản lý hiện đại và công nghệ thông tin phát triển, do đó tôi tin rằng hành vi gian lận hoặc trốn thuế sẽ dễ dàng bị phát hiện.</t>
  </si>
  <si>
    <t>Nhà nước đã đầu tư mạnh vào công nghệ và nhân lực để nâng cao hiệu quả quản lý thuế, do đó tôi tin rằng họ có đủ khả năng xử lý nghiêm các hành vi trốn thuế.</t>
  </si>
  <si>
    <t>Quy trình khai báo thuế đã đơn giản hóa đáng kể so với trước đây, không còn nhiều thủ tục rườm rà như lúc ban đầu.</t>
  </si>
  <si>
    <t>Biểu thuế mới có ít bậc hơn và dễ hiểu hơn, giúp việc tính thuế trở nên thuận tiện và dễ thực hiện hơn.</t>
  </si>
  <si>
    <t>Tôi tin rằng Nhà nước sẽ công tâm trong việc áp dụng các quy định mới và đối xử bình đẳng với mọi người nộp thuế.</t>
  </si>
  <si>
    <t>Thuế tôi phải đóng theo phương án mới là hợp lý, bởi mức giảm trừ gia cảnh tăng đáng kể giúp tôi tiết kiệm được một khoản tiền đáng kể.</t>
  </si>
  <si>
    <t>Những khoản thuế mà tôi đóng sẽ được sử dụng hiệu quả để cải thiện các dịch vụ công, do đó tôi cảm thấy hài lòng với việc đóng thuế.</t>
  </si>
  <si>
    <t>Nhà nước đã giải thích rõ ràng về mục tiêu và lý do của việc sửa đổi chính sách thuế lần này thông qua nhiều kênh thông tin.</t>
  </si>
  <si>
    <t>Sau khi xem xét các quyền lợi và nghĩa vụ mới, tôi ủng hộ và sẵn lòng tuân thủ chính sách mới vì nó mang lại lợi ích cho người dân như tôi.</t>
  </si>
  <si>
    <t>Thuế TNCN mới đã đơn giản hóa nhiều, giảm bậc thuế từ 7 xuống còn 5, do đó việc phát hiện và xử lý gian lận có thể không như trước.</t>
  </si>
  <si>
    <t>Công nghệ hiện đại giúp cơ quan thuế dễ dàng theo dõi nhưng vẫn phụ thuộc vào sự tuân thủ của cá nhân nộp thuế.</t>
  </si>
  <si>
    <t>Thủ tục khai thuế và quy trình làm việc với cơ quan thuế đã đơn giản hơn rất nhiều, đặc biệt là khi không còn phải lo lắng về thuế</t>
  </si>
  <si>
    <t>Cách tính thuế và các bậc thuế mới đơn giản hơn, dễ hiểu và thực hiện nhanh chóng hơn.</t>
  </si>
  <si>
    <t>Nhà nước đã tăng giảm trừ gia cảnh, do đó tôi tin rằng việc đánh giá công bằng về mức thuế là hợp lý</t>
  </si>
  <si>
    <t>Mức thuế mới cho phép tôi không phải đóng thuế, điều này cho thấy sự công bằng với thu nhập của mình.</t>
  </si>
  <si>
    <t>Số tiền thuế tôi đóng sẽ được sử dụng hiệu quả để cải thiện các dịch vụ công</t>
  </si>
  <si>
    <t>Nhà nước đã giải thích rõ ràng về mục tiêu và lý do của việc sửa đổi chính sách thuế.</t>
  </si>
  <si>
    <t>Dựa trên mức thuế tôi phải đóng thấp hơn so với trước, tôi sẽ ủng hộ và tuân thủ chính sách mới này</t>
  </si>
  <si>
    <t>Hiện nay, với các công nghệ hiện đại và quy định quản lý thuế chặt chẽ, tôi tin rằng hành vi gian lận hoặc trốn thuế sẽ dễ dàng bị phát hiện. Tuy nhiên, việc thực thi vẫn phụ thuộc vào hiệu quả của cơ quan thuế.</t>
  </si>
  <si>
    <t>Nhà nước và cơ quan thuế đã đầu tư vào công nghệ và nhân sự để xử lý các hành vi trốn thuế. Điều này cho thấy họ có khả năng phát hiện và xử lý nghiêm những hành vi không tuân thủ.</t>
  </si>
  <si>
    <t>So với trước đây, quy trình làm việc với cơ quan thuế đã đơn giản hơn nhiều. Các thủ tục khai báo thuế cũng trở nên dễ dàng hơn và nhanh chóng hơn.</t>
  </si>
  <si>
    <t>Biểu thuế mới có ít bậc hơn và đơn giản hóa cách tính thuế, khiến việc tính toán và nộp thuế trở nên dễ hiểu và tiện lợi hơn.</t>
  </si>
  <si>
    <t>Công nghệ hiện đại giúp phát hiện gian lận dễ dàng, cộng thêm việc tăng cường giám sát thuế sẽ làm giảm khả năng trốn tránh.</t>
  </si>
  <si>
    <t>Nhà nước đã đầu tư công nghệ và nguồn lực vào hệ thống quản lý thuế, giúp phát hiện và xử lý nhanh chóng các hành vi không hợp pháp.</t>
  </si>
  <si>
    <t>Quy trình khai báo thuế đơn giản hơn nhiều so với trước đây, giảm thời gian và công sức cho người dân.</t>
  </si>
  <si>
    <t>Bậc thuế mới đơn giản hóa quá trình tính thuế, giúp người dân dễ dàng hiểu và áp dụng.</t>
  </si>
  <si>
    <t>Nhà nước đã cải cách thuế một cách công bằng cho mọi đối tượng, tạo sự tin tưởng trong cộng đồng.</t>
  </si>
  <si>
    <t>Mức thuế mới giảm đáng kể so với trước đây, thể hiện sự công bằng với người thu nhập trung bình như tôi.</t>
  </si>
  <si>
    <t>Thuế đóng góp vào việc cải thiện các dịch vụ công và hạ tầng, tạo lợi ích cho cộng đồng</t>
  </si>
  <si>
    <t>Nhà nước đã minh bạch về mục đích và lý do của cải cách thuế, tăng sự tin tưởng từ người dân.</t>
  </si>
  <si>
    <t>Sau khi xem xét tác động tài chính tích cực, tôi ủng hộ và sẽ tuân thủ chính sách mới.</t>
  </si>
  <si>
    <t>Dù đã cải cách, nhưng tôi vẫn nghi ngờ khả năng phát hiện hành vi trốn thuế của nhà nước.</t>
  </si>
  <si>
    <t>Công nghệ hiện đại có thể hỗ trợ tốt trong việc phát hiện trốn thuế, nhưng thực tế còn phụ thuộc vào nguồn lực.</t>
  </si>
  <si>
    <t>Đơn giản hóa quy trình khai báo và giảm trừ gia cảnh giúp thủ tục trở nên dễ dàng hơn.</t>
  </si>
  <si>
    <t>Biểu thuế đơn giản hơn, nhưng tôi vẫn thấy một chút phức tạp khi tính toán các bậc thuế.</t>
  </si>
  <si>
    <t>Tôi tin rằng nhà nước sẽ thực hiện chính sách công bằng và minh bạch</t>
  </si>
  <si>
    <t>Với mức thu nhập của tôi, giảm trừ gia cảnh cao hơn giúp tôi thấy mức thuế này là hợp lý.</t>
  </si>
  <si>
    <t>Những giải thích về chính sách mới đã khá rõ ràng, nhưng tôi hy vọng nhà nước sẽ tiếp tục minh bạch hơn nữa.</t>
  </si>
  <si>
    <t>Chính sách mới giúp tiết kiệm chi phí thuế và đơn giản hóa quy trình khai báo, do đó tôi ủng hộ nó</t>
  </si>
  <si>
    <t>Dựa trên các quy định quản lý thuế hiện tại, tôi cho rằng khả năng phát hiện và xử lý nghiêm hành vi gian lận hoặc trốn thuế vẫn chưa hoàn toàn hiệu quả. Tuy nhiên, với sự cải tiến trong công nghệ và quản lý, khả năng này đã được tăng cường.</t>
  </si>
  <si>
    <t>Với mức giảm trừ gia cảnh tăng và quy trình thuế đơn giản hơn, cơ quan thuế có nhiều thông tin để phát hiện hành vi gian lận. Tuy nhiên, vẫn cần thêm biện pháp kỹ thuật để tăng hiệu quả.</t>
  </si>
  <si>
    <t>Dù có công nghệ phát hiện gian lận và trốn thuế, nhưng vẫn cần sự giám sát chặt chẽ từ phía người dân để nâng cao hiệu quả quản lý. Việc tăng giảm trừ gia cảnh và đơn giản hóa biểu thuế tạo ra niềm tin về tính công bằng.</t>
  </si>
  <si>
    <t>Nhà nước đã cải thiện hệ thống quản lý thuế, tăng giảm trừ gia cảnh và đơn giản hóa biểu thuế, nên khả năng phát hiện trốn thuế được nâng cao.</t>
  </si>
  <si>
    <t>Cơ quan thuế có công nghệ tiên tiến để theo dõi và xử lý các hành vi vi phạm về thuế.</t>
  </si>
  <si>
    <t>Quy trình khai báo thuế trở nên đơn giản hơn, giảm bớt thủ tục rườm rà trước đây.</t>
  </si>
  <si>
    <t>Biểu thuế mới có ít bậc hơn và dễ hiểu, giúp tính toán nhanh chóng hơn.</t>
  </si>
  <si>
    <t>Nhà nước đã công khai các chính sách về thuế, tạo sự minh bạch trong quá trình thực thi.</t>
  </si>
  <si>
    <t>Mức giảm trừ gia cảnh cao và số bậc thuế ít hơn làm cho mức thuế của tôi trở nên hợp lý.</t>
  </si>
  <si>
    <t>Thuế đóng góp vào việc cải thiện các dịch vụ công, tạo lợi ích chung cho toàn xã hội.</t>
  </si>
  <si>
    <t>Nhà nước đã giải thích rõ ràng về mục tiêu và lý do của chính sách thuế mới, tạo niềm tin trong người dân.</t>
  </si>
  <si>
    <t>Sau khi tính toán lợi ích từ chính sách mới, tôi ủng hộ và sẽ tuân thủ.</t>
  </si>
  <si>
    <t>Hiện nay, cơ quan thuế có nhiều công cụ và nguồn lực để kiểm soát gian lận, nhưng vẫn có thể gặp khó khăn với việc xử lý triệt để.</t>
  </si>
  <si>
    <t>Cơ quan thuế đã đầu tư vào công nghệ, nhưng hiệu quả thực tế còn phụ thuộc vào sự tuân thủ của cá nhân và doanh nghiệp.</t>
  </si>
  <si>
    <t>Quy trình khai báo thuế đơn giản hơn, giảm bớt các bước rườm rà, thuận tiện cho người dân.</t>
  </si>
  <si>
    <t>Biểu thuế mới ít bậc, dễ dàng nắm bắt và áp dụng, giúp tiết kiệm thời gian tính toán.</t>
  </si>
  <si>
    <t>Tôi tin Nhà nước sẽ công bằng trong việc thực thi chính sách, nhưng vẫn có thể gặp vấn đề về sự nhất quán.</t>
  </si>
  <si>
    <t>Thuế mới được giảm đáng kể, tôi thấy đây là mức thuế hợp lý cho thu nhập của mình.</t>
  </si>
  <si>
    <t>Tiền thuế đóng góp vào các dịch vụ công và phát triển cơ sở hạ tầng, lợi ích trực tiếp cho cộng đồng.</t>
  </si>
  <si>
    <t>Nhà nước đã giải thích rõ ràng về mục tiêu cải cách, nhưng vẫn cần làm rõ hơn về hiệu quả sử dụng nguồn thu thuế.</t>
  </si>
  <si>
    <t>Đối với tôi, chính sách mới mang lại nhiều lợi ích và thuận tiện, nên tôi ủng hộ và tuân thủ.</t>
  </si>
  <si>
    <t>Biểu thuế mới có ít bậc hơn, dễ hiểu và thực hiện nhanh chóng hơn so với trước đây.</t>
  </si>
  <si>
    <t>Quy trình khai báo và làm việc với cơ quan thuế trở nên đơn giản hơn, thuận tiện cho người dân.</t>
  </si>
  <si>
    <t>Tăng mức giảm trừ gia cảnh và đơn giản hóa biểu thuế có thể làm giảm khả năng phát hiện hành vi gian lận hoặc trốn thuế.</t>
  </si>
  <si>
    <t>Cơ quan thuế đã có nhiều cải tiến công nghệ, nhưng việc tăng mức giảm trừ gia cảnh và đơn giản hóa biểu thuế có thể làm giảm hiệu quả phát hiện hành vi trốn thuế.</t>
  </si>
  <si>
    <t>Quy trình khai báo thuế và làm việc với cơ quan thuế đã trở nên đơn giản hơn, nhưng việc tăng mức giảm trừ gia cảnh có thể khiến thủ tục phức tạp hơn đối với những người chưa quen.</t>
  </si>
  <si>
    <t>Biểu thuế được đơn giản hóa từ 7 bậc xuống còn 5 bậc, làm cho quá trình tính toán và nộp thuế dễ dàng hơn.</t>
  </si>
  <si>
    <t>Nhà nước đã tăng mức giảm trừ gia cảnh lên cao, giúp tôi không phải đóng thuế. Điều này thể hiện sự công bằng đối với người dân có thu nhập thấp-medium.</t>
  </si>
  <si>
    <t>Mức thuế mới được thiết kế để phù hợp với thu nhập của tôi và những người có cùng mức độ phụ thuộc, cho thấy tính công bằng trong việc áp dụng chính sách thuế.</t>
  </si>
  <si>
    <t>Tăng mức giảm trừ gia cảnh và đơn giản hóa biểu thuế sẽ giúp nguồn lực được phân bổ hiệu quả hơn vào các dịch vụ công, từ đó cải thiện chất lượng cuộc sống của tôi và người dân.</t>
  </si>
  <si>
    <t>Nhà nước đã giải thích rõ ràng về việc tăng mức giảm trừ gia cảnh và đơn giản hóa biểu thuế, khiến tôi cảm thấy tin tưởng vào quyết định này.</t>
  </si>
  <si>
    <t>Tôi ủng hộ chính sách mới vì nó giúp tôi không phải đóng thuế và thủ tục khai báo trở nên đơn giản hơn. Tôi sẽ tuân thủ các quy định mới để hỗ trợ cải cách của Nhà nước.</t>
  </si>
  <si>
    <t>Nước ta đang có nhiều biện pháp quản lý thuế chặt chẽ, với sự hỗ trợ của công nghệ, việc phát hiện và xử lý gian lận là khả thi.</t>
  </si>
  <si>
    <t>Cơ quan thuế đã đầu tư vào công nghệ và nhân lực để nâng cao hiệu quả quản lý.</t>
  </si>
  <si>
    <t>Thủ tục khai báo thuế đã đơn giản hơn, nhưng vẫn cần cải thiện thêm về sự tiện lợi.</t>
  </si>
  <si>
    <t>Bậc thuế mới đơn giản và dễ hiểu hơn, dễ thực hiện so với trước đây.</t>
  </si>
  <si>
    <t>Tôi tin rằng cơ quan thuế sẽ công bằng trong việc quản lý và thực thi chính sách thuế.</t>
  </si>
  <si>
    <t>Mức giảm trừ gia cảnh cao hơn và số bậc thuế ít hơn làm cho mức thuế tôi đóng hợp lý.</t>
  </si>
  <si>
    <t>Thuế tôi đóng sẽ được sử dụng hiệu quả để cải thiện dịch vụ công, từ đó tạo niềm tin.</t>
  </si>
  <si>
    <t>Nhà nước đã giải thích rõ mục tiêu và lý do của việc sửa đổi thuế này.</t>
  </si>
  <si>
    <t>Tác động tài chính tích cực, thủ tục đơn giản hơn, tôi ủng hộ và tuân thủ chính sách mới.</t>
  </si>
  <si>
    <t>Công nghệ hiện đại và sự giám sát chặt chẽ của cơ quan thuế có thể phát hiện gian lận, nhưng vẫn cần cải thiện.</t>
  </si>
  <si>
    <t>Nhà nước đã tăng giảm trừ gia cảnh và đơn giản hóa biểu thuế, nên khả năng phát hiện gian lận hay trốn thuế sẽ cao hơn.</t>
  </si>
  <si>
    <t>Cơ quan thuế có đủ công nghệ và nguồn lực để thực thi chính sách mới một cách hiệu quả.</t>
  </si>
  <si>
    <t>Quy trình khai báo thuế trở nên đơn giản hơn, chỉ cần cung cấp thông tin cơ bản là xong.</t>
  </si>
  <si>
    <t>Biểu thuế mới có ít bậc hơn và dễ hiểu, thuận tiện cho việc tính toán.</t>
  </si>
  <si>
    <t>Nếu cơ quan thuế có công nghệ hiện đại, khả năng phát hiện hành vi gian lận sẽ cao hơn. Tuy nhiên, tôi không hoàn toàn tin tưởng vào việc xử lý nghiêm minh</t>
  </si>
  <si>
    <t>Nhà nước đã đầu tư vào công nghệ và đào tạo nhân viên thuế nên khả năng phát hiện gian lận sẽ tốt hơn</t>
  </si>
  <si>
    <t>Quy trình làm việc với cơ quan thuế đơn giản hơn, thủ tục khai báo thuận tiện hơn nhưng vẫn còn một số rào cản</t>
  </si>
  <si>
    <t>Cách tính thuế và các bậc thuế mới dễ hiểu hơn so với trước đây</t>
  </si>
  <si>
    <t>Tôi tin rằng Nhà nước sẽ thực thi chính sách một cách công bằng, nhưng cần thêm thời gian để chứng minh</t>
  </si>
  <si>
    <t>Thuế mới có vẻ hợp lý cho thu nhập của tôi, mức giảm trừ gia cảnh tăng cao hơn trước</t>
  </si>
  <si>
    <t>Nhà nước đã giải thích rõ ràng về lý do và mục tiêu của việc sửa đổi thuế, tôi thấy đây là một bước tiến tích cực</t>
  </si>
  <si>
    <t>Tôi ủng hộ chính sách mới vì nó tạo ra sự công bằng và thuận tiện hơn cho người dân</t>
  </si>
  <si>
    <t>Thuế đã được đơn giản hóa và giảm trừ gia cảnh cao hơn, do đó, việc phát hiện hành vi gian lận có thể khó khăn hơn.</t>
  </si>
  <si>
    <t>Việc sử dụng công nghệ trong quản lý thuế đang được cải thiện nhưng không rõ liệu nó đã đủ để phát hiện đầy đủ các trường hợp trốn thuế.</t>
  </si>
  <si>
    <t>Việc tăng mức giảm trừ gia cảnh và đơn giản hóa biểu thuế có thể làm giảm cơ hội trốn thuế, nhưng vẫn cần thêm thời gian để đánh giá hiệu quả thực tế.</t>
  </si>
  <si>
    <t>Nhà nước đã đầu tư vào công nghệ để phát hiện hành vi trốn thuế, tuy nhiên, việc này còn phụ thuộc vào sự tuân thủ của người dân.</t>
  </si>
  <si>
    <t>Thủ tục khai báo và quy trình làm việc với cơ quan thuế đã đơn giản hơn so với trước đây, giúp tiết kiệm thời gian.</t>
  </si>
  <si>
    <t>Biểu thuế mới có ít bậc hơn và mức thuế suất rõ ràng hơn, thuận lợi cho việc tính toán và thực hiện.</t>
  </si>
  <si>
    <t>Tôi tin rằng Nhà nước sẽ công bằng khi áp dụng chính sách mới đối với mọi người nộp thuế, nhưng cần thêm thời gian để đánh giá.</t>
  </si>
  <si>
    <t>Mức thuế tôi phải đóng theo phương án mới là hợp lý, phù hợp với thu nhập của tôi và tình hình kinh tế hiện tại.</t>
  </si>
  <si>
    <t>Tôi tin rằng số tiền thuế tôi đóng sẽ được sử dụng hiệu quả để cải thiện các dịch vụ công, nhưng cần thêm thông tin về việc này.</t>
  </si>
  <si>
    <t>Nhà nước đã giải thích rõ ràng về mục tiêu của việc sửa đổi chính sách thuế lần này, giúp tôi hiểu hơn về lý do thay đổi.</t>
  </si>
  <si>
    <t>Tôi ủng hộ và tuân thủ chính sách mới vì nó tạo điều kiện thuận lợi cho người dân và giảm bớt gánh nặng về mặt tài chính.</t>
  </si>
  <si>
    <t>Với mức giảm trừ gia cảnh cao hơn và sự đơn giản hóa quy trình, việc phát hiện gian lận trở nên khó khăn. Tuy nhiên, tôi vẫn giữ một ít nghi ngờ về khả năng giám sát của cơ quan thuế đối với tất cả các trường hợp.</t>
  </si>
  <si>
    <t>Nhà nước đã tăng cường công nghệ và nguồn lực để quản lý thuế nên khả năng phát hiện trốn thuế được cải thiện đáng kể. Đây là một điểm tích cực.</t>
  </si>
  <si>
    <t>Các quy trình khai báo thuế trở nên đơn giản hơn, giảm bớt thời gian và công sức của người dân trong việc làm thủ tục với cơ quan thuế</t>
  </si>
  <si>
    <t>Biểu thuế mới có ít bậc hơn, dễ dàng hiểu và thực hiện hơn so với trước đây.</t>
  </si>
  <si>
    <t>Tôi tin rằng cơ quan thuế sẽ công bằng khi áp dụng chính sách mới cho mọi người nộp thuế</t>
  </si>
  <si>
    <t>Dựa trên mức giảm trừ gia cảnh và thu nhập của tôi, tôi thấy mức thuế mới là hợp lý và công bằng.</t>
  </si>
  <si>
    <t>Nhà nước đã giải thích rõ ràng về mục tiêu cải cách thuế, giúp người dân hiểu được lợi ích của chính sách này</t>
  </si>
  <si>
    <t>Cơ quan thuế đã công bố đầy đủ thông tin về việc cải cách thuế, tôi cảm thấy họ có trách nhiệm đối với quyết định này.</t>
  </si>
  <si>
    <t>Sau khi xem xét các quyền lợi và nghĩa vụ mới, tôi ủng hộ và tuân thủ chính sách thuế mới để đóng góp vào sự phát triển chung của đất nước</t>
  </si>
  <si>
    <t>Dù chưa rõ ràng về khả năng phát hiện, nhưng với mức giảm trừ gia cảnh cao, tôi tin rằng việc gian lận thuế sẽ ít hơn.</t>
  </si>
  <si>
    <t>Cơ quan thuế có thể áp dụng công nghệ để theo dõi, nhưng không rõ liệu họ có đủ khả năng hay không.</t>
  </si>
  <si>
    <t>Dù có công nghệ hỗ trợ, nhưng tôi vẫn nghi ngờ khả năng phát hiện và xử lý trốn thuế hiệu quả.</t>
  </si>
  <si>
    <t>Hiện tại, cơ quan thuế có nhiều công cụ và hệ thống để phát hiện hành vi gian lận hoặc trốn thuế. Tuy nhiên, việc thực thi vẫn cần sự phối hợp chặt chẽ giữa các đơn vị liên quan.</t>
  </si>
  <si>
    <t>Nhà nước đã đầu tư công nghệ và hệ thống quản lý thuế hiện đại, giúp phát hiện nhanh chóng và xử lý kịp thời các hành vi trốn thuế. Điều này tăng cường niềm tin của người dân vào sự minh bạch trong quản lý thuế.</t>
  </si>
  <si>
    <t>Dù không phải đóng thuế nhưng với mức giảm trừ gia cảnh cao, tôi vẫn lo ngại về việc phát hiện hành vi gian lận.</t>
  </si>
  <si>
    <t>Tôi tin rằng cơ quan thuế có đủ năng lực phát hiện hành vi trốn thuế do cải cách đã đơn giản hóa quy trình, nhưng vẫn cần tăng cường quản lý.</t>
  </si>
  <si>
    <t>Cơ quan thuế đã sử dụng công nghệ hiện đại hơn để theo dõi và xử lý các trường hợp trốn thuế</t>
  </si>
  <si>
    <t>Quy trình khai báo thuế trở nên đơn giản, nhưng vẫn cần cải thiện để phù hợp với thực tế của người dân.</t>
  </si>
  <si>
    <t>Biểu thuế đã được đơn giản hóa và dễ hiểu hơn so với trước đây</t>
  </si>
  <si>
    <t>Tôi tin rằng cơ quan thuế sẽ thực thi chính sách một cách công bằng, nhưng vẫn cần thêm minh bạch về quy trình</t>
  </si>
  <si>
    <t>Thuế mới giảm nên tôi cảm thấy mức thuế đóng là hợp lý</t>
  </si>
  <si>
    <t>Tài chính quốc gia có thể được sử dụng hiệu quả hơn, nhưng vẫn cần thông tin chi tiết về cách sử dụng</t>
  </si>
  <si>
    <t>Nhà nước đã giải thích rõ ràng mục tiêu của việc cải cách thuế</t>
  </si>
  <si>
    <t>Tôi ủng hộ chính sách mới vì lợi ích về mặt tài chính và giảm độ phức tạp</t>
  </si>
  <si>
    <t>Mặc dù mức thuế không thay đổi, nhưng với việc giảm trừ gia cảnh cao hơn trước, tôi tin rằng cơ quan thuế sẽ khó phát hiện hành vi trốn thuế.</t>
  </si>
  <si>
    <t xml:space="preserve">Hiện nay, với các quy định quản lý thuế mới, tôi tin rằng hành vi gian lận hoặc trốn thuế sẽ khó phát hiện hơn do mức giảm trừ gia cảnh cao. Tuy nhiên, cơ quan thuế vẫn có đủ khả năng xử lý nghiêm nếu phát hiện. </t>
  </si>
  <si>
    <t>Dù tôi không tin rằng Nhà nước có đầy đủ công nghệ để phát hiện trốn thuế một cách hiệu quả ngay lập tức, nhưng họ sẽ cố gắng tối ưu hóa khả năng này.</t>
  </si>
  <si>
    <t xml:space="preserve">Việc đơn giản hóa biểu thuế và tăng giảm trừ gia cảnh đã làm các thủ tục khai báo trở nên dễ dàng hơn. </t>
  </si>
  <si>
    <t>Các bậc thuế mới rõ ràng hơn, không còn phức tạp như trước đây.</t>
  </si>
  <si>
    <t>Tôi tin rằng Nhà nước sẽ thực thi chính sách một cách công bằng và khách quan, nhưng cần thêm thời gian để chứng minh.</t>
  </si>
  <si>
    <t>Mức thuế mới đối với thu nhập của tôi là hợp lý, giảm bớt gánh nặng tài chính.</t>
  </si>
  <si>
    <t>Nhà nước đã giải thích rõ ràng về mục tiêu của việc sửa đổi thuế, nhưng vẫn cần thêm thông tin về cách sử dụng chi phí thu thập.</t>
  </si>
  <si>
    <t xml:space="preserve">Dù có một số lo ngại về khả năng quản lý thuế, tôi ủng hộ chính sách mới vì nó mang lại lợi ích thực tế cho người dân. </t>
  </si>
  <si>
    <t>Tăng giảm trừ gia cảnh và đơn giản hóa biểu thuế làm giảm nguy cơ gian lận, nhưng thực tế phát hiện trốn thuế vẫn phụ thuộc vào hiệu quả công tác quản lý.</t>
  </si>
  <si>
    <t>Cơ quan thuế có nhiều công cụ kỹ thuật để theo dõi và xử lý hành vi trốn thuế, nhưng cần cải thiện hơn nữa trong việc ứng dụng công nghệ.</t>
  </si>
  <si>
    <t>Thủ tục đơn giản hóa giúp quá trình khai thuế dễ dàng hơn, nhưng vẫn còn một số bước cần tối ưu hóa.</t>
  </si>
  <si>
    <t>Bậc thuế giảm đi và giảm trừ gia cảnh tăng lên làm việc tính toán thuế trở nên đơn giản hơn, người dân dễ hiểu và thực hiện hơn.</t>
  </si>
  <si>
    <t>Mức thuế không thay đổi nhiều so với trước do mức thu nhập thấp hơn mức giảm trừ gia cảnh, tạo cảm giác công bằng trong việc áp dụng chính sách.</t>
  </si>
  <si>
    <t>Thu nhập của tôi vẫn thấp hơn mức giảm trừ gia cảnh nên không phải đóng thuế, điều này thấy được sự công bằng trong cách áp dụng chính sách mới.</t>
  </si>
  <si>
    <t>Nhìn chung, tôi tin rằng số tiền thuế đóng sẽ được sử dụng hiệu quả cho các dịch vụ công, vì mức giảm trừ gia cảnh cao giúp hỗ trợ đời sống</t>
  </si>
  <si>
    <t>Chính phủ đã giải thích rõ về mục tiêu và lý do của việc cải cách thuế, nhưng cần cải thiện thêm trong việc cung cấp thông tin chi tiết hơn.</t>
  </si>
  <si>
    <t>Dựa trên mức thu nhập và giảm trừ gia cảnh cao, tôi không phải đóng thuế nên ủng hộ chính sách mới. Tuy nhiên, vẫn cần cải thiện công tác quản lý để tránh trốn thuế.</t>
  </si>
  <si>
    <t>Do mức giảm trừ gia cảnh cao hơn thu nhập, tôi không nghĩ sẽ có hành vi gian lận hoặc trốn thuế. Hơn nữa, với sự phát triển của công nghệ, việc kiểm soát thuế ngày càng dễ dàng.</t>
  </si>
  <si>
    <t>Cơ quan thuế có nhiều nguồn lực và công nghệ để giám sát hành vi gian lận hoặc trốn thuế. Việc giảm trừ gia cảnh cao đã khiến tôi không phải đóng thuế, điều này đồng nghĩa với việc ít có khả năng trốn thuế.</t>
  </si>
  <si>
    <t>Quy trình khai báo thuế và làm việc với cơ quan thuế đã trở nên đơn giản hơn. Tôi chỉ cần khai báo thu nhập hàng tháng, không còn nhiều thủ tục rườm rà như trước đây.</t>
  </si>
  <si>
    <t>Cách tính thuế và các bậc thuế mới dễ hiểu hơn. Mức thuế suất giảm từ 7 bậc xuống 5 cũng giúp việc tính toán trở nên đơn giản hơn</t>
  </si>
  <si>
    <t>Nhà nước đã sửa đổi chính sách thuế một cách công bằng và khách quan, đặc biệt là với mức giảm trừ gia cảnh cao. Điều này tạo niềm tin cho tôi về việc thực thi chính sách mới.</t>
  </si>
  <si>
    <t>Mức thuế mà tôi phải đóng là hợp lý và công bằng so với thu nhập của mình, đặc biệt là khi mức giảm trừ gia cảnh cao hơn nhiều so với trước đây. Điều này cho thấy chính sách mới đã cân nhắc kỹ lưỡng.</t>
  </si>
  <si>
    <t>Nhà nước sẽ sử dụng số tiền thuế thu được để cải thiện các dịch vụ công, như y tế và đường xá, điều này tạo niềm tin cho tôi về việc sử dụng hiệu quả nguồn lực tài chính.</t>
  </si>
  <si>
    <t>Nhà nước đã giải thích rõ ràng về lý do và mục tiêu của việc sửa đổi thuế. Điều này làm tăng sự minh bạch và niềm tin của tôi vào hệ thống quản lý thuế mới.</t>
  </si>
  <si>
    <t>Tôi ủng hộ chính sách mới vì nó đơn giản hơn, công bằng hơn và giúp giảm gánh nặng về mặt tài chính. Tôi sẽ tuân thủ chính sách này.</t>
  </si>
  <si>
    <t>Dù thuế đã giảm đáng kể, nhưng tôi vẫn nghi ngờ khả năng phát hiện của cơ quan thuế đối với các hành vi gian lận.</t>
  </si>
  <si>
    <t>Việc nâng cao mức giảm trừ gia cảnh và đơn giản hóa biểu thuế giúp hạn chế tình trạng trốn thuế.</t>
  </si>
  <si>
    <t>Các quy định mới rõ ràng hơn, thủ tục khai báo thuận tiện hơn nhiều so với trước đây.</t>
  </si>
  <si>
    <t>Số bậc thuế giảm đi và mức thuế suất được điều chỉnh hợp lý giúp việc tính toán dễ dàng hơn.</t>
  </si>
  <si>
    <t>Tôi tin rằng cơ quan thuế sẽ thực hiện chính sách một cách công bằng, nhưng vẫn có chút lo ngại về khả năng thực thi.</t>
  </si>
  <si>
    <t>Thuế suất mới được thiết kế hợp lý cho thu nhập của tôi, điều này khiến tôi cảm thấy công bằng hơn.</t>
  </si>
  <si>
    <t>Tôi tin rằng thuế tôi đóng sẽ được sử dụng hiệu quả để cải thiện dịch vụ công và hạ tầng cơ sở.</t>
  </si>
  <si>
    <t>Chính phủ đã giải thích rõ ràng về việc sửa đổi thuế, nhưng tôi vẫn muốn có thêm thông tin chi tiết hơn.</t>
  </si>
  <si>
    <t>Mặc dù thuế giảm đi đáng kể, nhưng do tôi nghi ngờ khả năng phát hiện của cơ quan thuế nên không hoàn toàn ủng hộ đầy đủ.</t>
  </si>
  <si>
    <t>Thuế được tính dựa trên giảm trừ gia cảnh cao nên khó phát hiện gian lận.</t>
  </si>
  <si>
    <t>Cơ quan thuế có thể sử dụng công nghệ để theo dõi nhưng không chắc chắn về khả năng quản lý.</t>
  </si>
  <si>
    <t>Quy trình khai báo đơn giản hơn, dễ thực hiện hơn trước đây.</t>
  </si>
  <si>
    <t>Bậc thuế ít hơn và rõ ràng hơn khiến việc tính thuế trở nên dễ dàng.</t>
  </si>
  <si>
    <t>Việc giảm trừ gia cảnh cao giúp tôi cảm thấy công bằng trong cách thực thi chính sách.</t>
  </si>
  <si>
    <t>Thuế mới được tính dựa trên thu nhập thực tế nên hợp lý với mức thu nhập của tôi.</t>
  </si>
  <si>
    <t>Mức thuế này sẽ giúp cải thiện dịch vụ công như y tế và giao thông.</t>
  </si>
  <si>
    <t>Nhà nước đã giải thích về mục tiêu của việc sửa đổi luật thuế, tạo niềm tin.</t>
  </si>
  <si>
    <t>Do mức giảm trừ gia cảnh cao và tính công bằng trong cách tính thuế nên tôi ủng hộ chính sách mới.</t>
  </si>
  <si>
    <t>Dù có công nghệ hỗ trợ, nhưng với mức thuế thấp và giảm trừ gia cảnh tăng lên, khả năng phát hiện gian lận hoặc trốn thuế vẫn còn hạn chế.</t>
  </si>
  <si>
    <t>Cơ quan thuế có nhiều công cụ để phát hiện vi phạm, nhưng hiệu quả thực thi phụ thuộc vào nguồn lực và quyết tâm của họ.</t>
  </si>
  <si>
    <t>Quy trình khai báo thuế đơn giản hơn, giảm bớt thời gian chờ đợi và thủ tục rườm rà trước đây, giúp người nộp thuế thuận tiện hơn.</t>
  </si>
  <si>
    <t>Biểu thuế mới đơn giản, dễ hiểu, phù hợp với thu nhập của tôi. Việc tính toán thuế trở nên dễ dàng hơn.</t>
  </si>
  <si>
    <t>Tôi tin tưởng cơ quan thuế sẽ thực hiện chính sách một cách công bằng, nhưng cần thêm thời gian để chứng minh.</t>
  </si>
  <si>
    <t>Mức thuế mới phù hợp với thu nhập của tôi và giảm gánh nặng tài chính, do đó tôi thấy chúng công bằng.</t>
  </si>
  <si>
    <t>Thuế đóng góp vào các dịch vụ công, nhưng cần thêm minh bạch về cách sử dụng để tăng niềm tin.</t>
  </si>
  <si>
    <t>Tôi đã được thông báo rõ ràng về mục tiêu và lý do của chính sách mới, điều này tạo ra sự hiểu biết tốt hơn.</t>
  </si>
  <si>
    <t>Tác động tài chính tích cực cộng với quy trình đơn giản hóa làm tăng khả năng tuân thủ và ủng hộ chính sách.</t>
  </si>
  <si>
    <t>Nhà nước đã cải thiện công nghệ và quy định quản lý thuế, tuy nhiên việc phát hiện hành vi gian lận hoặc trốn thuế vẫn phụ thuộc vào thực thi cụ thể.</t>
  </si>
  <si>
    <t>Cơ quan thuế có đủ khả năng và công nghệ để phát hiện các hành vi trốn thuế, nhờ việc đơn giản hóa quy trình quản lý thuế.</t>
  </si>
  <si>
    <t>Thủ tục khai báo thuế và làm việc với cơ quan thuế trở nên đơn giản hơn, giảm bớt sự phiền phức cho người nộp thuế.</t>
  </si>
  <si>
    <t>Cách tính thuế mới dễ hiểu và thực hiện hơn so với trước đây nhờ số bậc thuế được rút gọn.</t>
  </si>
  <si>
    <t>Tôi tin rằng Nhà nước sẽ thực thi chính sách một cách khách quan, công bằng</t>
  </si>
  <si>
    <t>Mức thuế mới là hợp lý và công bằng với thu nhập của tôi</t>
  </si>
  <si>
    <t>Thuế tôi đóng sẽ được sử dụng hiệu quả để cải thiện dịch vụ công, từ đó nâng cao chất lượng cuộc sống</t>
  </si>
  <si>
    <t>Tôi ủng hộ và tuân thủ chính sách mới do nó mang lại lợi ích tài chính và thuận tiện cho người dân.</t>
  </si>
  <si>
    <t>Dù quy định quản lý thuế hiện tại có thể phát hiện gian lận, nhưng tôi vẫn lo ngại về khả năng thực thi của nhà nước.</t>
  </si>
  <si>
    <t>Nhà nước và cơ quan thuế đã cải thiện công nghệ để phát hiện trốn thuế, tuy nhiên, tình trạng gian lận vẫn tồn tại.</t>
  </si>
  <si>
    <t>Quy trình khai báo thuế trở nên đơn giản hơn so với trước đây, nhưng vẫn còn một số bước phức tạp.</t>
  </si>
  <si>
    <t>Biểu thuế mới rõ ràng và dễ hiểu hơn, giúp tôi tính toán chính xác hơn.</t>
  </si>
  <si>
    <t>Do mức giảm trừ gia cảnh cao hơn thu nhập, tôi không thấy cần thiết để phát hiện hành vi gian lận hoặc trốn thuế.</t>
  </si>
  <si>
    <t>Cơ quan thuế có đủ khả năng quản lý với mức giảm trừ gia cảnh mới.</t>
  </si>
  <si>
    <t>Dựa trên thông tin, tôi không hoàn toàn đồng ý với việc Nhà nước có đủ khả năng và công nghệ để phát hiện hành vi gian lận hoặc trốn thuế. Công nghệ hiện đại giúp nhiều nhưng vẫn còn tồn tại các lỗ hổng khó phát hiện.</t>
  </si>
  <si>
    <t>Dù Nhà nước đã nâng cấp hệ thống quản lý thuế, tôi vẫn không hoàn toàn tin rằng họ có đủ năng lực và công nghệ để phát hiện mọi hành vi gian lận hoặc trốn thuế. Cần thời gian để kiểm chứng.</t>
  </si>
  <si>
    <t>So với trước đây, quy trình làm việc với cơ quan thuế trở nên đơn giản hơn nhiều. Việc giảm trừ gia cảnh và số bậc thuế được đơn giản hóa giúp quá trình khai báo thuế thuận tiện hơn.</t>
  </si>
  <si>
    <t>Biểu thuế mới có ít bậc hơn, dễ hiểu hơn và thực hiện đơn giản hơn. Điều này giúp tôi nắm bắt rõ các quy định về thuế của mình.</t>
  </si>
  <si>
    <t>Tôi tin rằng Nhà nước sẽ công bằng trong việc thực thi chính sách mới, nhưng cần thời gian để kiểm chứng hiệu quả và sự minh bạch.</t>
  </si>
  <si>
    <t>Thuế mới được giảm đáng kể so với trước đây. Mức thuế hiện tại là hợp lý đối với thu nhập của tôi. Điều này giúp tôi thấy rằng chính sách mới đang hướng đến sự công bằng về mặt tài chính.</t>
  </si>
  <si>
    <t>Tôi tin tưởng số tiền thuế đóng sẽ được sử dụng hiệu quả để cải thiện dịch vụ công, nhưng cần thêm thời gian để xem xét thực tế.</t>
  </si>
  <si>
    <t>Nhà nước đã giải thích rõ ràng về mục tiêu của việc sửa đổi thuế. Tuy nhiên, tôi mong muốn có thêm thông tin chi tiết về cách sử dụng số tiền thu được từ thuế.</t>
  </si>
  <si>
    <t>Tôi ủng hộ chính sách mới vì nó giảm gánh nặng tài chính cho người dân và đơn giản hóa quy trình khai báo thuế. Tuy nhiên, tôi cần xem xét thêm về việc Nhà nước sử dụng hiệu quả số tiền thu được từ thuế.</t>
  </si>
  <si>
    <t>Vì mức giảm trừ gia cảnh cao hơn thu nhập nên tôi không phải đóng thuế, do đó cảm thấy quy định quản lý thuế hiện nay rất chặt chẽ và minh bạch.</t>
  </si>
  <si>
    <t>Nhà nước có thể áp dụng công nghệ tiên tiến để giám sát các giao dịch tài chính, tăng khả năng phát hiện hành vi trốn thuế.</t>
  </si>
  <si>
    <t>Quy trình khai báo thuế và làm việc với cơ quan thuế trở nên đơn giản hơn so với trước đây nhờ mức giảm trừ gia cảnh cao.</t>
  </si>
  <si>
    <t>Biểu thuế được đơn giản hóa, dễ hiểu hơn, đặc biệt là đối với người dân thường như tôi.</t>
  </si>
  <si>
    <t>Tôi tin rằng quy định mới sẽ được thực thi công bằng và minh bạch giữa các đối tượng nộp thuế.</t>
  </si>
  <si>
    <t>Với mức thu nhập của tôi, việc không phải đóng thuế là hợp lý và công bằng.</t>
  </si>
  <si>
    <t>Nhà nước sẽ sử dụng số tiền thuế này để cải thiện dịch vụ công, từ đó mang lại lợi ích cho người dân.</t>
  </si>
  <si>
    <t>Tôi thấy thông tin về việc sửa đổi thuế được giải thích rõ ràng và minh bạch trên các phương tiện truyền thông.</t>
  </si>
  <si>
    <t>Dựa trên sự đơn giản hóa quy trình, giảm trừ gia cảnh cao và mức thuế hợp lý, tôi ủng hộ và tuân thủ chính sách mới.</t>
  </si>
  <si>
    <t>Dù thu nhập cao nhưng mức giảm trừ gia cảnh đã tăng nên việc trốn thuế không còn lợi nữa. Cơ quan thuế có công nghệ hiện đại, dễ dàng phát hiện các hành vi gian lận.</t>
  </si>
  <si>
    <t>Cơ quan thuế có đủ khả năng và công nghệ để theo dõi và xử lý nghiêm các trường hợp trốn thuế. Điều này làm giảm nguy cơ gian lận.</t>
  </si>
  <si>
    <t>Quy trình khai báo thuế trở nên đơn giản hơn, dễ thực hiện hơn so với trước đây.</t>
  </si>
  <si>
    <t>Số bậc thuế giảm từ 7 xuống còn 5, làm quá trình tính thuế và hiểu rõ mức thuế mình phải đóng trở nên dễ dàng hơn.</t>
  </si>
  <si>
    <t>Nhà nước đã cải cách thuế một cách công bằng và minh bạch, không phân biệt đối xử giữa các cá nhân có thu nhập tương tự.</t>
  </si>
  <si>
    <t>Mức thuế mới giảm đi đáng kể so với trước đây, nên tôi thấy rằng mức này là hợp lý cho thu nhập của mình.</t>
  </si>
  <si>
    <t>Tiền thuế đóng góp vào các dịch vụ công như y tế và cơ sở hạ tầng, giúp cải thiện chất lượng cuộc sống của người dân.</t>
  </si>
  <si>
    <t>Nhà nước đã minh bạch về lý do và mục tiêu của việc sửa đổi chính sách thuế lần này. Điều này tăng tính tin cậy vào quyết định của họ.</t>
  </si>
  <si>
    <t>Tôi ủng hộ và tuân thủ chính sách mới, vì nó giúp giảm gian lận và đơn giản hóa quy trình nộp thuế.</t>
  </si>
  <si>
    <t>Dù không phải đóng thuế, tôi vẫn tin rằng cơ quan thuế sẽ có đủ khả năng phát hiện các hành vi gian lận.</t>
  </si>
  <si>
    <t>Cơ sở hạ tầng công nghệ và nguồn lực của nhà nước đã được cải thiện đáng kể trong những năm gần đây, cho phép họ xử lý hiệu quả hơn về thuế</t>
  </si>
  <si>
    <t>Dù cơ quan thuế có công nghệ hiện đại, nhưng hành vi gian lận vẫn khó phát hiện hoàn toàn. Tuy nhiên, với mức giảm trừ gia cảnh tăng lên và sự đơn giản hóa quy trình, việc trốn thuế trở nên khó khăn hơn.</t>
  </si>
  <si>
    <t>Nhà nước đã đầu tư vào công nghệ và nhân lực để quản lý hiệu quả. Tuy nhiên, vẫn cần nỗ lực nhiều hơn nữa trong việc phát hiện và xử lý trốn thuế.</t>
  </si>
  <si>
    <t>Việc tăng mức giảm trừ gia cảnh và đơn giản hóa biểu thuế có thể làm giảm khả năng phát hiện hành vi gian lận hoặc trốn thuế. Tuy nhiên, với sự cải tiến về công nghệ quản lý thuế, cơ quan thuế vẫn có thể phát hiện các hành vi không tuân thủ.</t>
  </si>
  <si>
    <t>Nhà nước và cơ quan thuế đã đầu tư vào công nghệ để phát triển hệ thống quản lý thuế tự động, tăng cường khả năng giám sát và xử lý nghiêm các hành vi trốn thuế. Điều này tăng độ tin cậy trong việc thực thi.</t>
  </si>
  <si>
    <t>Các quy định quản lý thuế hiện nay có nhiều cải tiến, nhưng tôi vẫn lo ngại về khả năng phát hiện hành vi gian lận hoặc trốn thuế.</t>
  </si>
  <si>
    <t>Hiện nay, các quy định quản lý thuế khá chặt chẽ và công nghệ đã giúp tăng cường hiệu quả kiểm soát. Tuy nhiên, vẫn có thể còn nhiều vấn đề cần cải thiện.</t>
  </si>
  <si>
    <t>Việc tăng mức giảm trừ gia cảnh và đơn giản hóa biểu thuế có thể làm giảm khả năng phát hiện hành vi gian lận hoặc trốn thuế.</t>
  </si>
  <si>
    <t>Cơ quan thuế đã cải thiện công nghệ, nhưng việc giảm mức thuế đối với người dân như tôi có thể làm giảm động lực để kiểm tra nghiêm túc.</t>
  </si>
  <si>
    <t>Thủ tục khai báo thuế và quy trình làm việc với cơ quan thuế trở nên đơn giản hơn, dễ dàng hơn so với trước đây.</t>
  </si>
  <si>
    <t>Cách tính thuế mới có ít bậc hơn, do đó dễ hiểu và thực hiện hơn nhưng vẫn cần thời gian để quen thuộc.</t>
  </si>
  <si>
    <t>Tôi tin rằng cơ quan thuế sẽ thực thi chính sách một cách công bằng, vì mức thuế mới giảm đi cho người dân như tôi.</t>
  </si>
  <si>
    <t>Mức thuế mới phù hợp với thu nhập của tôi và có thể coi là công bằng hơn so với trước đây.</t>
  </si>
  <si>
    <t>Tài chính quốc gia cần được sử dụng hiệu quả để cải thiện các dịch vụ công, việc giảm thuế có thể làm tăng số tiền dành cho những mục đích này.</t>
  </si>
  <si>
    <t>Nhà nước đã giải thích rõ ràng về lý do và mục tiêu của việc sửa đổi thuế lần này, mặc dù tôi là người đa nghi nhưng vẫn cảm thấy hài lòng với chính sách mới.</t>
  </si>
  <si>
    <t>Tôi ủng hộ và tuân thủ chính sách mới vì nó mang lại lợi ích tài chính cho tôi và có thể coi là công bằng hơn so với trước đây.</t>
  </si>
  <si>
    <t>Nhà nước đã giải thích rõ ràng về mục tiêu và lý do của việc sửa đổi chính sách thuế lần này.</t>
  </si>
  <si>
    <t>Do mức giảm trừ gia cảnh cao hơn thu nhập nên không có nhu cầu trốn thuế, thêm nữa cơ quan thuế cũng đã cải thiện khả năng phát hiện gian lận</t>
  </si>
  <si>
    <t>Công nghệ và hệ thống quản lý thuế ngày càng phát triển giúp việc phát hiện gian lận trở nên dễ dàng hơn</t>
  </si>
  <si>
    <t>Quy trình khai báo thuế đơn giản, tiết kiệm thời gian và công sức so với trước đây</t>
  </si>
  <si>
    <t>Các bậc thuế giảm đi giúp việc tính toán và nộp thuế trở nên dễ dàng hơn</t>
  </si>
  <si>
    <t>Nhà nước đã thể hiện sự công bằng trong việc tăng giảm trừ gia cảnh, điều này tạo niềm tin cho người dân</t>
  </si>
  <si>
    <t>Mức thuế mới được thiết kế phù hợp với thu nhập của tôi và các mức độ khác nhau, cảm thấy công bằng</t>
  </si>
  <si>
    <t>Thuế đóng góp vào việc cải thiện dịch vụ công, tạo niềm tin cho người dân</t>
  </si>
  <si>
    <t>Nhà nước đã giải thích rõ ràng về mục tiêu của chính sách mới, tạo cảm giác minh bạch</t>
  </si>
  <si>
    <t>Chính sách mới mang lại nhiều lợi ích cho tôi và gia đình, do đó tôi ủng hộ và tuân thủ</t>
  </si>
  <si>
    <t>Việc tăng mức giảm trừ gia cảnh và đơn giản hóa biểu thuế có thể làm giảm khả năng phát hiện hành vi gian lận. Tuy nhiên, với các quy định quản lý thuế hiện nay, tôi tin rằng cơ quan thuế vẫn sẽ phát hiện được những hành vi không tuân thủ.</t>
  </si>
  <si>
    <t>Nhà nước đã đầu tư công nghệ và nhân lực vào việc cải cách thuế, nên khả năng phát hiện và xử lý nghiêm các hành vi trốn thuế là có thể.</t>
  </si>
  <si>
    <t>Nhà nước đã tăng cường các biện pháp quản lý thuế và công nghệ hiện đại giúp phát hiện trốn thuế dễ dàng hơn, tạo sự tin tưởng trong việc thực thi.</t>
  </si>
  <si>
    <t>Thuế không còn được áp dụng nên tôi tin rằng việc gian lận hay trốn thuế sẽ không còn xảy ra.</t>
  </si>
  <si>
    <t>Cơ quan thuế đã không còn áp dụng thuế nên khả năng phát hiện và xử lý cũng bị giảm đi.</t>
  </si>
  <si>
    <t>Thuế không còn được áp dụng nên thủ tục khai báo trở nên đơn giản hơn nhiều so với trước đây.</t>
  </si>
  <si>
    <t>Cách tính thuế và các bậc thuế đã bị loại bỏ, khiến việc này trở nên dễ dàng hơn rất nhiều.</t>
  </si>
  <si>
    <t>Nhà nước đã không áp dụng thuế nên tôi tin rằng chính sách mới được thực thi một cách công tâm.</t>
  </si>
  <si>
    <t>Vì không còn phải đóng thuế, mức thuế mà tôi thấy là hoàn toàn công bằng.</t>
  </si>
  <si>
    <t>Việc không còn chịu thuế có nghĩa số tiền mà Nhà nước sử dụng để cải thiện dịch vụ công sẽ tăng lên.</t>
  </si>
  <si>
    <t>Nhà nước đã không áp dụng thuế nên lý do và mục tiêu của việc sửa đổi thuế lần này được minh bạch hơn nhiều.</t>
  </si>
  <si>
    <t>Tôi hoàn toàn ủng hộ chính sách mới hiện nay vì nó không còn gây gánh nặng về mặt tài chính cho tôi.</t>
  </si>
  <si>
    <t>Do mức giảm trừ gia cảnh cao và quy định đơn giản, tôi không hoàn toàn tin rằng hành vi gian lận sẽ dễ bị phát hiện.</t>
  </si>
  <si>
    <t>Cơ quan thuế có công nghệ tiên tiến nhưng vẫn cần cải thiện để phát hiện trốn thuế hiệu quả hơn.</t>
  </si>
  <si>
    <t>Quy trình khai báo và làm việc với cơ quan thuế đã đơn giản hóa, thuận tiện hơn rất nhiều.</t>
  </si>
  <si>
    <t>Biểu thuế mới đơn giản nhưng vẫn có thể gây khó hiểu cho người dân không am hiểu về thuế</t>
  </si>
  <si>
    <t>Nhà nước đã cải cách thuế một cách công bằng, giảm gánh nặng cho người dân.</t>
  </si>
  <si>
    <t>Mức thuế mới phù hợp với thu nhập của tôi và được giảm trừ gia cảnh nhiều hơn trước đây.</t>
  </si>
  <si>
    <t>Thuế đóng sẽ được sử dụng hiệu quả để cải thiện dịch vụ công, mang lại lợi ích cho người dân như tôi.</t>
  </si>
  <si>
    <t>Dựa trên sự đơn giản hóa và giảm gánh nặng tài chính, tôi ủng hộ và tuân thủ chính sách mới.</t>
  </si>
  <si>
    <t>Việc tăng giảm trừ gia cảnh và đơn giản hóa biểu thuế có thể làm giảm khả năng phát hiện hành vi gian lận, nhưng cơ quan thuế vẫn có đủ khả năng xử lý nghiêm các trường hợp vi phạm.</t>
  </si>
  <si>
    <t>Cơ quan thuế có công nghệ và nguồn lực để giám sát hoạt động tài chính của cá nhân, do đó việc phát hiện và xử lý trốn thuế là khả thi.</t>
  </si>
  <si>
    <t>Cơ quan thuế có đủ khả năng phát hiện hành vi gian lận, nhưng thực tế việc trốn thuế vẫn còn xảy ra nên độ tin cậy không hoàn toàn cao.</t>
  </si>
  <si>
    <t>Nhà nước đã đầu tư công nghệ để giám sát và xử lý nghiêm các hành vi trốn thuế, do đó tôi có niềm tin vào khả năng phát hiện và xử lý.</t>
  </si>
  <si>
    <t>Quy trình khai báo thuế đơn giản hơn, nhưng vẫn cần thời gian để quen thuộc với quy định mới.</t>
  </si>
  <si>
    <t>Công nghệ hiện nay ngày càng phát triển, giúp cơ quan thuế dễ dàng phát hiện hành vi gian lận và trốn thuế. Với quy định quản lý thuế hiện tại, tôi tin rằng việc xử lý nghiêm vẫn sẽ được đảm bảo.</t>
  </si>
  <si>
    <t>Nhà nước đã đầu tư vào công nghệ và nhân lực để cải thiện khả năng phát hiện và xử lý các hành vi trốn thuế. Tôi tin tưởng cơ quan thuế có đủ khả năng quản lý hiệu quả.</t>
  </si>
  <si>
    <t>Quy trình khai báo thuế nay đơn giản hơn, không còn nhiều thủ tục rườm rà như trước. Điều này giúp quá trình làm việc với cơ quan thuế thuận tiện và tiết kiệm thời gian.</t>
  </si>
  <si>
    <t>Biểu thuế mới có ít bậc hơn, đơn giản hóa quy trình tính thuế. Điều này dễ hiểu và thực hiện nhanh chóng hơn so với trước đây.</t>
  </si>
  <si>
    <t>Tôi tin rằng cơ quan thuế sẽ công tâm khi áp dụng chính sách mới. Mức giảm trừ gia cảnh cao hơn cũng tạo ra sự công bằng cho người dân.</t>
  </si>
  <si>
    <t>Mức thuế theo phương án mới phù hợp với thu nhập của tôi và nhiều người khác trong cùng ngành nghề, nên tôi thấy nó là một mức độ công bằng.</t>
  </si>
  <si>
    <t>Thuê đóng góp vào các dịch vụ công như y tế và giao thông. Tôi tin rằng số tiền thuế này sẽ được sử dụng hiệu quả để cải thiện chất lượng cuộc sống của người dân.</t>
  </si>
  <si>
    <t>Nhà nước đã giải thích rõ ràng về mục tiêu và lý do thay đổi chính sách thuế. Điều này tăng tính minh bạch và giúp tôi hiểu rõ hơn.</t>
  </si>
  <si>
    <t>Sau khi cân nhắc các quyền lợi và nghĩa vụ, tôi ủng hộ và tuân thủ chính sách mới vì nó mang lại nhiều tiện ích cho người dân như tôi.</t>
  </si>
  <si>
    <t>Quy định quản lý thuế hiện tại không rõ ràng, vẫn có nhiều cơ hội để gian lận hoặc trốn thuế.</t>
  </si>
  <si>
    <t>Cơ quan thuế chưa đủ công nghệ và nguồn lực để phát hiện toàn diện các hành vi trốn thuế.</t>
  </si>
  <si>
    <t>Dù có công nghệ hiện đại, nhưng vẫn còn rủi ro trốn thuế do khó phát hiện toàn diện.</t>
  </si>
  <si>
    <t>Nhà nước và cơ quan thuế có đủ khả năng để kiểm soát hiệu quả hơn với các cải cách mới.</t>
  </si>
  <si>
    <t>Quy trình khai báo trở nên đơn giản nhưng vẫn cần thời gian để người dân thích nghi.</t>
  </si>
  <si>
    <t>Bậc thuế mới đơn giản hơn, dễ hiểu và thực hiện thuận lợi hơn so với trước đây.</t>
  </si>
  <si>
    <t>Tôi tin rằng Nhà nước sẽ công bằng trong việc xử lý và giám sát thuế.</t>
  </si>
  <si>
    <t>Thuế mới có thể coi là công bằng vì mức giảm trừ gia cảnh tăng, nhưng cần thêm thời gian để đánh giá.</t>
  </si>
  <si>
    <t>Thuê đóng góp vào sự phát triển chung của quốc gia và cải thiện dịch vụ công.</t>
  </si>
  <si>
    <t>Nhà nước đã giải thích rõ ràng về mục tiêu cải cách thuế, nhưng vẫn có chỗ chưa đủ minh bạch.</t>
  </si>
  <si>
    <t>Tác động tài chính tích cực và quy định mới đơn giản hơn khiến tôi ủng hộ và tuân thủ.</t>
  </si>
  <si>
    <t>Nhà nước đã tăng cường quản lý thuế và công nghệ hiện đại, khiến việc phát hiện hành vi trốn thuế trở nên dễ dàng hơn.</t>
  </si>
  <si>
    <t>Cơ quan thuế có đủ nguồn lực và công nghệ để giám sát và xử lý nghiêm các trường hợp trốn thuế.</t>
  </si>
  <si>
    <t>Việc tăng mức giảm trừ gia cảnh và đơn giản hóa biểu thuế có thể làm giảm động cơ gian lận, nhưng thực tế việc phát hiện và xử lý trốn thuế vẫn phụ thuộc vào hiệu quả của hệ thống quản lý thuế.</t>
  </si>
  <si>
    <t>Nếu công nghệ và nguồn lực của cơ quan thuế được đầu tư đúng cách, khả năng phát hiện và xử lý trốn thuế sẽ tăng lên.</t>
  </si>
  <si>
    <t>Các quy định về giảm trừ gia cảnh rõ ràng hơn, nhưng thủ tục khai báo thuế vẫn cần tối ưu hóa để thuận tiện hơn cho người dân.</t>
  </si>
  <si>
    <t>Thuế đã được đơn giản hóa và giảm trừ gia cảnh cao hơn, nên gian lận khó xảy ra. Công nghệ hiện đại giúp phát hiện nhanh chóng.</t>
  </si>
  <si>
    <t>Trong thực tế, với mức giảm trừ gia cảnh cao hơn trước đây và doanh thu của tôi không vượt ngưỡng chịu thuế, nên tôi tin rằng hành vi gian lận hoặc trốn thuế sẽ rất khó xảy ra.</t>
  </si>
  <si>
    <t>Nhà nước đã đầu tư vào công nghệ để theo dõi và xử lý các hành vi bất thường liên quan đến thuế, mặc dù tôi không biết cụ thể về hệ thống quản lý mới này</t>
  </si>
  <si>
    <t>Quy trình khai thuế giờ đây đơn giản hơn nhiều so với trước đây. Việc giảm số bậc thuế và mức độ phức tạp giúp tôi dễ dàng hơn trong việc tính toán.</t>
  </si>
  <si>
    <t>Các bậc thuế mới rõ ràng hơn, dễ hiểu và dễ thực hiện hơn, do đó tạo thuận lợi cho người nộp thuế như tôi</t>
  </si>
  <si>
    <t>Nhà nước đã cải cách để đảm bảo tính công bằng trong việc áp dụng thuế. Với mức giảm trừ gia cảnh cao, thu nhập của tôi không phải đóng thuế nên tôi cảm thấy chính sách mới là khách quan và công bằng</t>
  </si>
  <si>
    <t>Mức thuế hiện tại cho thu nhập của tôi là hợp lý. Mức giảm trừ gia cảnh cao hơn nhiều so với trước đây, do đó tôi cảm thấy rằng mức thuế mới này là công bằng.</t>
  </si>
  <si>
    <t>Tôi tin rằng số tiền thuế mình đóng sẽ được sử dụng hiệu quả để cải thiện dịch vụ công như y tế và hạ tầng cơ sở</t>
  </si>
  <si>
    <t>Nhà nước đã giải thích rõ ràng về mục tiêu của việc sửa đổi thuế này. Tuy nhiên, tôi vẫn nghi ngờ về việc thực thi chính sách một cách khách quan.</t>
  </si>
  <si>
    <t>Do mức giảm trừ gia cảnh cao hơn nhiều so với thu nhập của tôi nên tôi không phải đóng thuế. Chính sách mới này giúp tôi ủng hộ và tuân thủ</t>
  </si>
  <si>
    <t>Hiện nay, với sự phát triển của công nghệ và hệ thống quản lý thuế hiện đại, tôi tin rằng hành vi gian lận hoặc trốn thuế sẽ dễ dàng bị phát hiện. Tuy nhiên, do vẫn chưa có nhiều thông tin cụ thể về khả năng thực thi, nên điểm số không quá cao.</t>
  </si>
  <si>
    <t>Quy trình làm việc với cơ quan thuế trở nên đơn giản hơn, thủ tục khai báo thuế thuận tiện hơn so với trước đây.</t>
  </si>
  <si>
    <t>Trong bối cảnh hiện tại, cơ quan thuế Việt Nam đã và đang đầu tư mạnh vào công nghệ để giám sát các giao dịch tài chính. Với việc tăng cường quản lý thông qua công nghệ, khả năng phát hiện hành vi trốn thuế sẽ tăng lên đáng kể.</t>
  </si>
  <si>
    <t>Nhà nước và cơ quan thuế đã có nhiều nỗ lực trong việc cải thiện hệ thống quản lý thuế, bao gồm cả việc nâng cấp công nghệ để phát hiện gian lận. Điều này tăng cường khả năng kiểm soát.</t>
  </si>
  <si>
    <t>Dựa trên thông tin, tôi cho rằng cơ quan thuế có công nghệ và khả năng để phát hiện hành vi gian lận hoặc trốn thuế. Tuy nhiên, việc thực thi vẫn phụ thuộc vào sự giám sát của cộng đồng và báo chí.</t>
  </si>
  <si>
    <t>Dựa trên mức thuế giảm và các biện pháp quản lý thuế mới, tôi tin rằng hành vi gian lận sẽ dễ bị phát hiện.</t>
  </si>
  <si>
    <t>Cơ quan thuế đã cải thiện công nghệ giám sát, tăng cường khả năng phát hiện trốn thuế.</t>
  </si>
  <si>
    <t>Dựa trên các quy định quản lý thuế hiện tại, tôi nghĩ rằng hành vi gian lận hoặc trốn thuế sẽ dễ dàng bị phát hiện và xử lý nghiêm. Với công nghệ ngày càng tiên tiến của cơ quan thuế, khả năng giám sát và kiểm soát đang tăng lên đáng kể.</t>
  </si>
  <si>
    <t>Nhìn chung, tôi tin rằng với việc sử dụng công nghệ tiên tiến và quy định quản lý thuế rõ ràng, hành vi gian lận hoặc trốn thuế sẽ bị phát hiện dễ dàng. Tuy nhiên, do còn nhiều rủi ro về thực thi cụ thể, nên điểm số không quá cao.</t>
  </si>
  <si>
    <t>Nhà nước và cơ quan thuế đã đầu tư công nghệ để hỗ trợ quản lý thuế hiệu quả hơn. Tuy nhiên, việc phát hiện trốn thuế vẫn phụ thuộc vào sự tuân thủ của người nộp thuế.</t>
  </si>
  <si>
    <t>Hiện nay, cơ quan thuế có nhiều công cụ và nguồn lực để phát hiện hành vi gian lận hoặc trốn thuế. Việc tăng mức giảm trừ gia cảnh cũng tạo thêm áp lực cho người nộp thuế phải khai báo chính xác thu nhập.</t>
  </si>
  <si>
    <t>Nhà nước đã tăng cường công nghệ và nhân lực để phát hiện hành vi gian lận thuế, tuy nhiên vẫn còn những lỗ hổng trong quản lý.</t>
  </si>
  <si>
    <t>Nếu cơ quan thuế có công nghệ hiện đại, việc phát hiện hành vi trốn thuế sẽ trở nên dễ dàng hơn. Tuy nhiên, tôi vẫn nghi ngờ về khả năng thực thi của họ.</t>
  </si>
  <si>
    <t>Thuế TNCN mới có nhiều cải tiến, tuy nhiên vẫn cần sự giám sát chặt chẽ từ các cơ quan chức năng để phát hiện và xử lý nghiêm minh hành vi gian lận hoặc trốn thuế.</t>
  </si>
  <si>
    <t>Tôi tin rằng số tiền thuế tôi đóng sẽ được sử dụng hiệu quả để cải thiện các dịch vụ công</t>
  </si>
  <si>
    <t>Hiện nay, cơ quan thuế đã có nhiều công cụ và nguồn lực để phát hiện gian lận. Với việc cải cách quản lý thuế, khả năng giám sát sẽ cao hơn.</t>
  </si>
  <si>
    <t>Dù có công nghệ hỗ trợ, nhưng tôi vẫn lo ngại về khả năng phát hiện hành vi gian lận hoặc trốn thuế bởi hệ thống quản lý thuế chưa hoàn thiện.</t>
  </si>
  <si>
    <t>Công nghệ ngày càng phát triển, cơ quan thuế có thể dễ dàng theo dõi và giám sát các giao dịch tài chính của công dân.</t>
  </si>
  <si>
    <t>Dựa trên các quy định quản lý thuế hiện tại, tôi cho rằng cơ quan thuế có đủ khả năng phát hiện và xử lý hành vi gian lận hoặc trốn thuế. Tuy nhiên, việc thực thi cần phải được cải thiện hơn nữa.</t>
  </si>
  <si>
    <t>Việc tăng mức giảm trừ gia cảnh và đơn giản hóa biểu thuế có thể giúp phát hiện hành vi trốn thuế dễ dàng hơn, nhưng vẫn cần công nghệ và nguồn lực của cơ quan thuế.</t>
  </si>
  <si>
    <t>Cơ quan thuế đã có nhiều cải tiến về công nghệ trong thời gian qua nên khả năng phát hiện và xử lý trốn thuế sẽ tốt hơn trước đây.</t>
  </si>
  <si>
    <t>So với quy trình khai thuế phức tạp trước đây, việc đơn giản hóa biểu thuế đã cải thiện đáng kể sự thuận tiện trong thủ tục khai báo thuế.</t>
  </si>
  <si>
    <t>Dựa trên các quy định quản lý thuế hiện nay, tôi thấy có nhiều biện pháp kiểm soát gian lận và trốn thuế. Tuy nhiên, việc thực thi vẫn phụ thuộc vào hiệu quả của cơ quan thuế trong công tác quản lý.</t>
  </si>
  <si>
    <t>Nhà nước đã đầu tư phát triển công nghệ để kiểm soát thuế, nhưng vẫn cần cải thiện hơn nữa về mặt nhân sự và hệ thống quản lý.</t>
  </si>
  <si>
    <t>So với trước đây, quy trình khai báo thuế trở nên đơn giản hơn. Tuy nhiên, việc nộp thuế online vẫn còn gặp nhiều rắc rối với người dân như tôi.</t>
  </si>
  <si>
    <t>Hiện nay, cơ quan thuế đã có nhiều biện pháp quản lý mạnh mẽ và công nghệ tiên tiến để phát hiện hành vi gian lận. Với mức giảm trừ gia cảnh tăng lên, việc trốn thuế sẽ khó khăn hơn.</t>
  </si>
  <si>
    <t>Nhà nước đã đầu tư vào hệ thống thông tin và công nghệ để cải thiện khả năng phát hiện hành vi gian lận. Tuy nhiên, vẫn còn phụ thuộc vào hiệu quả của các quy định quản lý.</t>
  </si>
  <si>
    <t>Với mức giảm trừ gia cảnh tăng lên, thủ tục khai báo thuế trở nên đơn giản hơn. Các bước cần thực hiện cũng ít đi so với trước đây.</t>
  </si>
  <si>
    <t>Biểu thuế được đơn giản hóa từ 7 bậc xuống còn 5 bậc, giúp việc tính thuế và thực hiện các bước dễ dàng hơn cho người dân.</t>
  </si>
  <si>
    <t>Điều này công bằng vì mức giảm trừ gia cảnh tăng lên sẽ hỗ trợ nhiều người dân. Cơ quan thuế cũng cam kết thực thi chính sách một cách khách quan.</t>
  </si>
  <si>
    <t>Như đã nêu, mức thuế mới phù hợp với thu nhập của tôi và có sự giảm trừ gia cảnh tăng lên giúp tôi cảm thấy công bằng hơn.</t>
  </si>
  <si>
    <t>Thuế đóng góp vào việc cải thiện dịch vụ công. Với mức thuế mới, số tiền đóng sẽ được sử dụng hiệu quả để nâng cao chất lượng cuộc sống.</t>
  </si>
  <si>
    <t>Chính phủ đã giải thích rõ ràng về mục tiêu của chính sách mới thông qua các tài liệu và sự kiện công khai. Điều này giúp tôi hiểu rõ hơn về lý do thay đổi.</t>
  </si>
  <si>
    <t>Sau khi xem xét, tôi thấy chính sách mới có lợi cho người dân như tôi. Việc giảm trừ gia cảnh tăng lên và đơn giản hóa biểu thuế sẽ giúp tôi tiết kiệm thời gian và tiền bạc.</t>
  </si>
  <si>
    <t>Dù các quy định quản lý thuế hiện nay có thể chưa hoàn hảo, nhưng với sự phát triển của công nghệ và khả năng xử lý dữ liệu của nhà nước, tôi tin rằng hành vi gian lận hoặc trốn thuế sẽ dễ dàng bị phát hiện. Điều này tăng cường niềm tin vào hệ thống.</t>
  </si>
  <si>
    <t>Nhà nước đã đầu tư nhiều vào công nghệ và nguồn lực để cải thiện khả năng quản lý, do đó tôi có thể tin tưởng rằng các hành vi trốn thuế sẽ bị phát hiện và xử lý nghiêm minh.</t>
  </si>
  <si>
    <t>Các quy trình khai báo và làm việc với cơ quan thuế đã đơn giản hơn, giảm thiểu thời gian chờ đợi và thủ tục phức tạp. Điều này giúp tôi cảm thấy thuận tiện hơn trong quá trình nộp thuế.</t>
  </si>
  <si>
    <t>Biểu thuế mới đơn giản hóa các bậc thuế từ 7 xuống còn 5, giảm độ phức tạp và dễ thực hiện hơn so với trước đây. Điều này giúp tôi dễ dàng tính toán và áp dụng.</t>
  </si>
  <si>
    <t>Tôi tin rằng Nhà nước sẽ thực thi chính sách mới một cách công tâm và đối xử bình đẳng giữa các cá nhân, do mức thuế giảm mạnh so với trước đây.</t>
  </si>
  <si>
    <t>Với mức thu nhập hiện tại của tôi, việc giảm trừ gia cảnh tăng lên giúp giảm gánh nặng thuế, do đó tôi thấy mức thuế mới này là công bằng.</t>
  </si>
  <si>
    <t>Tác động tài chính tích cực từ chính sách mới làm tăng niềm tin rằng số tiền thuế đóng sẽ được sử dụng hiệu quả để cải thiện dịch vụ công, như y tế và đường xá.</t>
  </si>
  <si>
    <t>Nhà nước đã giải thích rõ ràng về mục tiêu của việc sửa đổi thuế, mặc dù tôi không đồng ý hoàn toàn với tất cả các thay đổi, nhưng tôi thấy sự minh bạch là quan trọng.</t>
  </si>
  <si>
    <t>Trong tổng thể, tôi ủng hộ và tuân thủ chính sách mới vì tác động tài chính tích cực và cải thiện thuận tiện trong quá trình khai báo thuế. Mặc dù có một số thay đổi khó hiểu, nhưng lợi ích lớn hơn.</t>
  </si>
  <si>
    <t>Mặc dù có các quy định quản lý thuế, nhưng thực tế việc phát hiện và xử lý trốn thuế vẫn còn khó khăn. Do đó, tôi chỉ đồng ý một phần.</t>
  </si>
  <si>
    <t>Nhà nước đã đầu tư vào công nghệ, tuy nhiên, hiệu quả của việc sử dụng công nghệ trong quản lý thuế chưa thực sự rõ ràng.</t>
  </si>
  <si>
    <t>So với trước đây, quy trình khai thuế trở nên đơn giản hơn. Việc giảm trừ gia cảnh và số bậc thuế giúp người dân dễ hiểu và thực hiện.</t>
  </si>
  <si>
    <t>Phương án mới đơn giản hóa biểu thuế, làm cho việc tính toán và nộp thuế trở nên thuận tiện hơn so với trước đây.</t>
  </si>
  <si>
    <t>Tôi tin rằng Nhà nước sẽ thực thi chính sách một cách công bằng, nhưng vẫn có lo ngại về khả năng giám sát của cơ quan thuế.</t>
  </si>
  <si>
    <t>Lưu ý đến mức thu nhập và giảm trừ gia cảnh, tôi thấy mức thuế mới là hợp lý. Đây là một cải cách tích cực đối với người lao động như tôi.</t>
  </si>
  <si>
    <t>Việc cải cách thuế có thể giúp nâng cao chất lượng dịch vụ công, nhưng hiệu quả thực tế của việc sử dụng số tiền thuế còn phụ thuộc vào quản lý tài chính của Nhà nước.</t>
  </si>
  <si>
    <t>Nhà nước đã giải thích rõ ràng về mục tiêu cải cách, tuy nhiên, tôi hy vọng sẽ có thêm thông tin về cách sử dụng nguồn thu thuế mới.</t>
  </si>
  <si>
    <t>Chính sách mới mang lại lợi ích tài chính cho tôi và giảm bớt gánh nặng hành chính. Tôi ủng hộ cải cách này vì nó tạo ra một hệ thống thuế công bằng hơn.</t>
  </si>
  <si>
    <t>Việc giảm số bậc thuế từ 7 xuống 5, cùng với mức giảm trừ gia cảnh tăng lên có thể làm cho việc quản lý và phát hiện hành vi trốn thuế trở nên phức tạp hơn. Tuy nhiên, khả năng công nghệ của cơ quan thuế được cải thiện</t>
  </si>
  <si>
    <t>Cơ quan thuế đã đầu tư vào công nghệ để hỗ trợ việc quản lý và phát hiện trốn thuế hiệu quả hơn. Đây là một yếu tố quan trọng giúp tăng tính khả thi của việc thực thi</t>
  </si>
  <si>
    <t>Quy trình khai báo thuế được đơn giản hóa, giảm số bậc thuế từ 7 xuống 5 làm cho quy trình trở nên dễ dàng và nhanh chóng hơn. Người nộp thuế không còn phải lo lắng về việc tính toán các mức thuế phức tạp</t>
  </si>
  <si>
    <t>Số bậc thuế giảm đi từ 7 xuống 5, cùng với việc đơn giản hóa quy trình khai báo thuế làm cho cách tính thuế trở nên rõ ràng và dễ dàng hơn. Người nộp thuế không còn phải lo lắng về việc tính toán các mức thuế phức tạp</t>
  </si>
  <si>
    <t>Việc tăng mức giảm trừ gia cảnh và đơn giản hóa biểu thuế có thể làm cho quy trình thuế trở nên công bằng hơn. Người nộp thuế không còn phải lo lắng về việc bị xử phạt vì các lỗi nhỏ</t>
  </si>
  <si>
    <t>Mức thuế mới được thiết lập phù hợp với thu nhập của tôi, điều này làm cho quy trình trở nên công bằng hơn. Số tiền thuế tôi phải đóng là một phần hợp lý trong tổng thể hệ thống thuế</t>
  </si>
  <si>
    <t>Mức thuế tôi đóng sẽ được sử dụng để cải thiện các dịch vụ công, điều này làm cho quy trình trở nên công bằng hơn. Người nộp thuế tin rằng số tiền họ đóng có tác động tích cực đến xã hội</t>
  </si>
  <si>
    <t>Nhà nước đã giải thích rõ ràng về lý do và mục tiêu của việc sửa đổi thuế lần này, điều này làm tăng sự minh bạch và tin tưởng vào hệ thống thuế. Người nộp thuế cảm thấy họ được trao quyền thông qua việc hiểu rõ về quy định</t>
  </si>
  <si>
    <t>Sau khi xem xét các quyền lợi và nghĩa vụ, tôi ủng hộ và tuân thủ chính sách mới hiện nay. Việc tăng mức giảm trừ gia cảnh và đơn giản hóa biểu thuế làm cho quá trình này trở nên công bằng hơn</t>
  </si>
  <si>
    <t>Dù có công nghệ hỗ trợ, tôi vẫn nghi ngờ khả năng phát hiện trốn thuế hoàn toàn do mức độ phức tạp của các giao dịch tài chính cá nhân.</t>
  </si>
  <si>
    <t>Nhà nước và cơ quan thuế đã cải thiện đáng kể trong việc sử dụng công nghệ, nhưng vẫn còn khả năng trốn thuế bằng cách chia nhỏ thu nhập hoặc giấu thông tin tài chính.</t>
  </si>
  <si>
    <t>Quy trình khai báo và làm việc với cơ quan thuế trở nên đơn giản hơn, giảm bớt thời gian chờ đợi và thủ tục rườm rà.</t>
  </si>
  <si>
    <t>Các bậc thuế mới rõ ràng hơn, dễ hiểu và thực hiện thuận tiện hơn so với trước đây.</t>
  </si>
  <si>
    <t>Tôi tin rằng cơ quan thuế sẽ cố gắng thực thi công bằng, nhưng vẫn lo ngại về khả năng phát hiện và xử lý trốn thuế hiệu quả.</t>
  </si>
  <si>
    <t>Thuế mới giảm đáng kể so với trước đây, tạo cảm giác công bằng hơn cho người thu nhập như tôi.</t>
  </si>
  <si>
    <t>Việc tăng mức giảm trừ gia cảnh và đơn giản hóa biểu thuế có thể làm giảm khả năng phát hiện hành vi gian lận hoặc trốn thuế, do đó mức độ thực thi có thể bị suy yếu.</t>
  </si>
  <si>
    <t>Dù có công nghệ hỗ trợ, nhưng do quy trình quản lý thuế chưa hoàn thiện nên vẫn còn khả năng gian lận.</t>
  </si>
  <si>
    <t>Nhà nước đã đầu tư vào công nghệ và cơ sở vật chất để tăng cường giám sát, giảm thiểu trốn thuế.</t>
  </si>
  <si>
    <t>Chính phủ đã có nhiều biện pháp quản lý thuế hiện đại, nhưng vẫn cần cải thiện để phát hiện và xử lý triệt để hành vi gian lận.</t>
  </si>
  <si>
    <t>Nhà nước đang đầu tư vào công nghệ và nhân sự để tăng cường quản lý thuế, nhưng còn nhiều thách thức trong thực tế.</t>
  </si>
  <si>
    <t>Quy trình khai báo thuế đã đơn giản hơn so với trước đây, nhưng vẫn cần cải thiện nữa để tiện lợi hơn cho người dân.</t>
  </si>
  <si>
    <t>Các bậc thuế mới dễ hiểu và thực hiện thuận lợi hơn, giảm bớt sự phức tạp đáng kể đối với người nộp thuế.</t>
  </si>
  <si>
    <t>Tôi tin rằng nhà nước sẽ công tâm trong việc áp dụng chính sách mới, nhưng cần thêm thời gian để chứng minh.</t>
  </si>
  <si>
    <t>Mức thuế mới phù hợp với thu nhập của tôi và tăng giảm trừ gia cảnh giúp công bằng hơn.</t>
  </si>
  <si>
    <t>Tài chính nhà nước sẽ được sử dụng hiệu quả, nhưng cần giám sát chặt chẽ để đảm bảo điều này.</t>
  </si>
  <si>
    <t>Nhà nước đã giải thích rõ ràng về mục tiêu cải cách thuế, tạo niềm tin cho người dân.</t>
  </si>
  <si>
    <t>Tôi ủng hộ và tuân thủ chính sách mới vì lợi ích cá nhân và cộng đồng đều được nâng cao.</t>
  </si>
  <si>
    <t>Tôi tin rằng cơ quan thuế sẽ công bằng trong việc áp dụng chính sách mới.</t>
  </si>
  <si>
    <t>Nhà nước đã tăng cường công nghệ và đội ngũ kiểm tra, nên việc phát hiện gian lận có thể tốt hơn trước.</t>
  </si>
  <si>
    <t>Cơ quan thuế có nhiều nguồn lực hơn để giám sát và xử lý các hành vi trốn thuế do công nghệ tiên tiến.</t>
  </si>
  <si>
    <t>Quy trình khai báo trở nên đơn giản, tiết kiệm thời gian hơn so với trước đây.</t>
  </si>
  <si>
    <t>Biểu thuế được đơn giản hóa, dễ hiểu và thực hiện nhanh chóng hơn.</t>
  </si>
  <si>
    <t>Nhà nước đã giải thích rõ ràng về mục tiêu của việc sửa đổi luật thuế lần này.</t>
  </si>
  <si>
    <t>Mức thuế giảm đáng kể và công bằng hơn, phù hợp với thu nhập hiện tại.</t>
  </si>
  <si>
    <t>Tiền thuế đóng góp vào việc cải thiện dịch vụ công, tạo niềm tin về sử dụng hiệu quả nguồn lực.</t>
  </si>
  <si>
    <t>Nhà nước đã minh bạch về mục đích và lý do của chính sách mới, tăng tính trách nhiệm.</t>
  </si>
  <si>
    <t>Do giảm thuế và công bằng, tôi ủng hộ và sẽ tuân thủ chính sách mới.</t>
  </si>
  <si>
    <t>Nếu các quy định quản lý thuế hiện nay được thực thi nghiêm túc, tôi tin rằng việc phát hiện và xử lý gian lận hoặc trốn thuế sẽ hiệu quả. Tuy nhiên, do chưa biết rõ về tình hình cụ thể tại địa phương, tôi không hoàn toàn chắc chắn.</t>
  </si>
  <si>
    <t>Nhà nước đã đầu tư vào công nghệ và nguồn lực để cải thiện khả năng quản lý thuế. Do đó, tôi tin rằng họ có đủ khả năng để phát hiện và xử lý nghiêm các hành vi trốn thuế.</t>
  </si>
  <si>
    <t>So với trước đây, quy trình khai báo thuế đã đơn giản hơn nhiều. Điều này làm cho quá trình thực hiện trở nên thuận tiện hơn.</t>
  </si>
  <si>
    <t>Biểu thuế mới có ít bậc và rõ ràng hơn so với trước, khiến việc tính toán thuế dễ dàng hơn.</t>
  </si>
  <si>
    <t>Tôi tin rằng Nhà nước sẽ thực thi chính sách một cách công bằng. Mức giảm trừ gia cảnh tăng lên tạo cảm giác công bằng đối với tôi.</t>
  </si>
  <si>
    <t>Mức thuế mới là phù hợp với thu nhập của tôi và người cùng trình độ, do đó tôi thấy nó công bằng.</t>
  </si>
  <si>
    <t>Tăng giảm trừ gia cảnh tạo điều kiện cho việc sử dụng số tiền thuế đóng hiệu quả hơn để cải thiện dịch vụ công.</t>
  </si>
  <si>
    <t>Nhà nước đã giải thích rõ ràng về mục tiêu của chính sách mới, mặc dù tôi không có kiến thức chuyên sâu về luật pháp thuế.</t>
  </si>
  <si>
    <t>Với mức thuế giảm và các ưu đãi khác, tôi ủng hộ và tuân thủ chính sách mới. Nó tạo ra một hệ thống thuế công bằng hơn cho người dân.</t>
  </si>
  <si>
    <t>Nhà nước đã tăng cường kiểm soát và xử lý nghiêm các hành vi trốn thuế, tuy nhiên vẫn còn nhiều khó khăn trong việc phát hiện gian lận từ phía người nộp thuế.</t>
  </si>
  <si>
    <t>Cơ quan thuế có công nghệ tiên tiến để theo dõi và xử lý các hành vi trốn thuế, nhưng hiệu quả phụ thuộc vào sự tuân thủ của người nộp thuế.</t>
  </si>
  <si>
    <t>Dù có công nghệ hỗ trợ, nhưng tôi vẫn nghi ngờ khả năng phát hiện trọn vẹn hành vi gian lận hoặc trốn thuế.</t>
  </si>
  <si>
    <t>Cơ quan thuế đã cải thiện đáng kể trong việc sử dụng công nghệ để quản lý, nhưng tôi không tin rằng họ có thể phát hiện tất cả các trường hợp trốn thuế.</t>
  </si>
  <si>
    <t>Nếu cơ quan thuế có khả năng phát hiện và xử lý nghiêm các hành vi trốn thuế, điều này sẽ tạo ra một môi trường minh bạch. Tuy nhiên, với mức thu nhập hiện tại của tôi, tôi không quá lo lắng về việc bị phát hiện trốn thuế.</t>
  </si>
  <si>
    <t>Nhà nước đã cải thiện khả năng quản lý thuế qua các công nghệ và quy định mới. Điều này giúp tăng cường tính minh bạch và giảm thiểu hành vi gian lận.</t>
  </si>
  <si>
    <t>So với trước đây, quá trình khai báo thuế trở nên đơn giản hơn. Tuy nhiên, tôi vẫn cần mất thời gian để hiểu rõ các quy định mới.</t>
  </si>
  <si>
    <t>Biểu thuế được đơn giản hóa và dễ hiểu hơn, giúp việc tính toán thu nhập chịu thuế trở nên thuận tiện hơn.</t>
  </si>
  <si>
    <t>Tôi tin rằng Nhà nước sẽ thực thi chính sách một cách công bằng. Tuy nhiên, tôi vẫn có chút nghi ngờ về cách họ đánh giá mức thuế đối với các thu nhập tương tự như của tôi.</t>
  </si>
  <si>
    <t>Mức thuế mới được giảm đáng kể so với trước đây. Điều này thể hiện sự công bằng trong việc phân bổ gánh nặng thuế cho người dân.</t>
  </si>
  <si>
    <t>Tiết kiệm được số tiền thuế lớn, tôi tin rằng khoản tiền đó sẽ được sử dụng hiệu quả để cải thiện các dịch vụ công</t>
  </si>
  <si>
    <t>Nhà nước đã giải thích rõ ràng về mục tiêu của việc sửa đổi thuế. Tuy nhiên, tôi vẫn mong muốn có thêm thông tin về cách họ sử dụng số tiền thuế thu được.</t>
  </si>
  <si>
    <t>Mặc dù không hoàn toàn đồng ý với tất cả các điểm, nhưng tôi sẵn lòng ủng hộ và tuân thủ chính sách mới do lợi ích tài chính mà nó mang lại cho tôi.</t>
  </si>
  <si>
    <t>Cơ quan thuế có công nghệ hiện đại, nhưng không chắc chắn về việc quản lý thuế sẽ chặt chẽ hơn.</t>
  </si>
  <si>
    <t>Nhà nước đã đầu tư vào hệ thống công nghệ thông tin, tăng khả năng phát hiện hành vi gian lận.</t>
  </si>
  <si>
    <t>Quy trình khai thuế đơn giản hơn, nhưng vẫn cần thời gian để quen với các thay đổi.</t>
  </si>
  <si>
    <t>Biểu thuế rõ ràng hơn, dễ hiểu và thực hiện thuận tiện hơn so với trước đây.</t>
  </si>
  <si>
    <t>Hiện nay, cơ quan thuế có nhiều biện pháp quản lý và công nghệ hỗ trợ phát hiện hành vi gian lận hoặc trốn thuế.</t>
  </si>
  <si>
    <t>Cơ quan thuế đã đầu tư mạnh vào hệ thống công nghệ thông tin, giúp họ dễ dàng theo dõi và xử lý các vụ việc trốn thuế.</t>
  </si>
  <si>
    <t>Nếu có đủ công nghệ và nguồn lực, khả năng phát hiện gian lận sẽ tăng. Tuy nhiên, vẫn cần sự cải thiện về quản lý.</t>
  </si>
  <si>
    <t>Cơ quan thuế đã đầu tư vào công nghệ, nên khả năng xử lý và giám sát thuế có thể tốt hơn trước.</t>
  </si>
  <si>
    <t>Quy trình khai báo và làm việc với cơ quan thuế trở nên đơn giản hơn, giảm thời gian chờ đợi và thủ tục rườm rà.</t>
  </si>
  <si>
    <t>Biểu thuế mới đơn giản hóa bậc thuế, dễ hiểu và thực hiện nhanh chóng hơn so với trước đây</t>
  </si>
  <si>
    <t>Dựa trên các quy định quản lý thuế hiện tại, tôi cho rằng hành vi gian lận hoặc trốn thuế sẽ dễ dàng bị phát hiện và xử lý nghiêm. Với sự tăng cường công nghệ trong lĩnh vực này, khả năng phát hiện vi phạm cao hơn.</t>
  </si>
  <si>
    <t>Nhà nước đã đầu tư vào các công cụ và hệ thống để giám sát thuế tốt hơn, do đó tôi tin rằng Nhà nước có đủ khả năng xử lý nghiêm các hành vi trốn thuế.</t>
  </si>
  <si>
    <t>Thủ tục khai báo thuế đã trở nên đơn giản hơn với việc giảm số bậc thuế và tăng mức giảm trừ gia cảnh, làm cho quy trình này dễ dàng thực hiện hơn</t>
  </si>
  <si>
    <t>Các bậc thuế mới đơn giản hóa quá trình tính toán, giúp tôi hiểu rõ hơn về cách đóng thuế của mình.</t>
  </si>
  <si>
    <t>Tôi tin rằng Nhà nước sẽ thực thi chính sách một cách khách quan và công bằng cho tất cả các cá nhân nộp thuế.</t>
  </si>
  <si>
    <t>Với mức giảm trừ gia cảnh tăng lên, tôi thấy là công bằng khi đóng thuế theo phương án mới này.</t>
  </si>
  <si>
    <t>Nhà nước đã giải thích rõ ràng mục tiêu của việc sửa đổi thuế lần này, giúp tôi hiểu thêm về lý do đằng sau chính sách mới.</t>
  </si>
  <si>
    <t>Tích cực với các thay đổi và quyết định ủng hộ chính sách mới để góp phần xây dựng hệ thống thuế công bằng hơn</t>
  </si>
  <si>
    <t>Thuế hiện nay không áp dụng với tôi do mức thu nhập và giảm trừ gia cảnh cao hơn, nên tôi không tin rằng hành vi gian lận hoặc trốn thuế sẽ dễ dàng bị phát hiện. Tuy nhiên, nếu có quy định mới về quản lý thuế, tôi sẽ ủng hộ.</t>
  </si>
  <si>
    <t>Hiện tại, tôi không thấy cơ quan thuế có đủ khả năng để xử lý nghiêm các hành vi trốn thuế. Việc quản lý thuế cần được cải thiện nhiều hơn nữa.</t>
  </si>
  <si>
    <t>So với trước đây, việc khai báo thuế và làm việc với cơ quan thuế đơn giản hơn do mức giảm trừ gia cảnh cao hơn và số bậc thuế ít đi. Các quy trình cũng nhanh chóng hơn.</t>
  </si>
  <si>
    <t>Cách tính thuế và các bậc thuế mới đơn giản, dễ hiểu và dễ thực hiện hơn so với trước đây. Điều này giúp việc tuân thủ pháp luật trở nên thuận tiện hơn.</t>
  </si>
  <si>
    <t>Tôi tin rằng Nhà nước sẽ thực thi chính sách một cách khách quan và công bằng, nhưng do mức thuế không thay đổi nhiều so với trước đây, tôi vẫn nghi ngờ về khả năng phát hiện trốn thuế.</t>
  </si>
  <si>
    <t>Mức thuế tôi phải đóng theo phương án mới là hợp lý vì nó dựa trên thu nhập của tôi. Tuy nhiên, việc không áp dụng thuế với tôi gây nghi ngờ về tính công bằng của hệ thống.</t>
  </si>
  <si>
    <t>Tôi tin rằng số tiền thuế tôi đóng sẽ được sử dụng hiệu quả để cải thiện dịch vụ công, nhưng do mức thuế thấp hơn so với trước đây nên tôi không hoàn toàn chắc chắn.</t>
  </si>
  <si>
    <t>Nhà nước đã giải thích rõ ràng về mục tiêu sửa đổi thuế lần này. Tuy nhiên, việc không áp dụng thuế cho thu nhập của tôi khiến tôi nghi ngờ về tính minh bạch.</t>
  </si>
  <si>
    <t>Tôi ủng hộ chính sách mới vì nó đơn giản hóa quy trình và giảm bớt gánh nặng về thuế. Tuy nhiên, do mức thuế không thay đổi nhiều so với trước đây nên tôi chưa hoàn toàn tuân thủ.</t>
  </si>
  <si>
    <t>Nếu cơ quan thuế có công nghệ và khả năng phát hiện gian lận trốn thuế tốt hơn, điều này sẽ giảm thiểu hành vi không tuân thủ. Tuy nhiên, vẫn còn nghi ngờ về thực tế quản lý</t>
  </si>
  <si>
    <t>Cơ quan thuế có đủ khả năng phát hiện và xử lý các hành vi trốn thuế là rất quan trọng để duy trì hệ thống công bằng. Công nghệ ngày nay giúp việc này trở nên hiệu quả hơn</t>
  </si>
  <si>
    <t>So với trước đây, quy trình khai báo và làm việc với cơ quan thuế đã đơn giản hóa đáng kể. Điều này tạo điều kiện thuận lợi cho người dân nộp thuế</t>
  </si>
  <si>
    <t>Biểu thuế mới đơn giản hơn, dễ hiểu và thực hiện được cải thiện so với trước đây. Việc giảm bớt số bậc thuế đã làm việc tính toán thuế trở nên dễ dàng hơn</t>
  </si>
  <si>
    <t>Tôi tin rằng cơ quan thuế sẽ thực thi chính sách mới một cách công bằng, mặc dù vẫn có sự nghi ngờ nhất định về khả năng thực hiện</t>
  </si>
  <si>
    <t>Đối với thu nhập của tôi, mức giảm trừ gia cảnh và bậc thuế mới là hợp lý. Điều này làm tăng cảm giác công bằng trong việc đóng thuế</t>
  </si>
  <si>
    <t>Tiết kiệm được khoản tiền thuế đáng kể do cải cách thuế, tạo ra niềm tin rằng số tiền thuế tôi đóng sẽ được sử dụng hiệu quả để nâng cao chất lượng dịch vụ công</t>
  </si>
  <si>
    <t>Tôi đồng ý với việc giải thích rõ ràng về mục tiêu của chính sách mới. Tuy nhiên, vẫn cần thêm thông tin về cách sử dụng số tiền thuế để tăng thêm niềm tin</t>
  </si>
  <si>
    <t>Sau khi xem xét các quyền lợi và nghĩa vụ, tôi ủng hộ và tuân thủ chính sách mới. Các cải cách đã tạo ra sự công bằng và thuận tiện hơn cho người dân</t>
  </si>
  <si>
    <t>Có các biện pháp quản lý thuế hiện đại, nhưng vẫn lo ngại về khả năng phát hiện trốn thuế.</t>
  </si>
  <si>
    <t xml:space="preserve">Nếu Nhà nước và cơ quan thuế có đủ công nghệ, họ sẽ phát hiện nhanh chóng các hành vi trốn thuế, nhưng tôi vẫn nghi ngờ về việc thực thi. </t>
  </si>
  <si>
    <t>Việc tăng mức giảm trừ gia cảnh và đơn giản hóa biểu thuế có thể làm cho hành vi gian lận trở nên khó khăn hơn, nhưng vẫn cần sự giám sát chặt chẽ từ cơ quan thuế.</t>
  </si>
  <si>
    <t>Thuế hiện nay có nhiều biện pháp quản lý, nhưng tôi vẫn nghi ngờ về khả năng phát hiện trốn thuế đối với các công ty lớn hoặc doanh nghiệp tư nhân.</t>
  </si>
  <si>
    <t>Tôi tin rằng với mức giảm trừ gia cảnh cao và quy định đơn giản, cơ quan thuế sẽ công bằng trong việc thực thi.</t>
  </si>
  <si>
    <t>Mức thuế mới là hợp lý đối với thu nhập của tôi, giảm bớt gánh nặng về tài chính.</t>
  </si>
  <si>
    <t>Thuê được sử dụng hiệu quả cho dịch vụ công, cải thiện cuộc sống người dân.</t>
  </si>
  <si>
    <t>Chính phủ đã giải thích rõ ràng về mục tiêu và lý do của việc sửa đổi thuế, tạo niềm tin cho tôi.</t>
  </si>
  <si>
    <t>Tôi ủng hộ chính sách mới vì nó giảm gánh nặng tài chính và tăng công bằng trong việc đóng góp thuế.</t>
  </si>
  <si>
    <t>Dù có công nghệ hiện đại, nhưng việc quản lý thuế vẫn phụ thuộc vào sự tuân thủ của người nộp thuế. Hiện tại tôi không hoàn toàn tin rằng mọi hành vi gian lận đều sẽ bị phát hiện.</t>
  </si>
  <si>
    <t>Quy trình đơn giản hơn với mức giảm trừ gia cảnh cao nên thuận tiện cho việc khai báo thuế.</t>
  </si>
  <si>
    <t>Biểu thuế ngắn gọn, dễ hiểu hơn so với trước đây, giúp tính toán nhanh chóng.</t>
  </si>
  <si>
    <t>Tôi tin rằng chính phủ sẽ công bằng trong việc thực thi, nhưng không chắc chắn vì chưa rõ ràng về quy trình quản lý.</t>
  </si>
  <si>
    <t>Với mức giảm trừ gia cảnh cao và thu nhập thấp, tôi thấy thuế hiện tại là hợp lý.</t>
  </si>
  <si>
    <t>Thuế sẽ được sử dụng để cải thiện dịch vụ công, nhưng không biết cụ thể như thế nào.</t>
  </si>
  <si>
    <t>Thành phần giải thích về mục tiêu sửa đổi thuế chưa rõ ràng, nên tôi ít tin tưởng hơn.</t>
  </si>
  <si>
    <t>Dựa trên các cải tiến về công nghệ và quản lý thuế, tôi tin rằng hành vi gian lận hoặc trốn thuế sẽ khó xảy ra. Cơ quan thuế có nhiều nguồn lực để phát hiện và xử phạt những hành vi bất hợp pháp.</t>
  </si>
  <si>
    <t>Nhà nước đã đầu tư vào công nghệ, hệ thống quản lý thuế tiên tiến giúp cải thiện khả năng phát hiện trốn thuế. Điều này tăng niềm tin của tôi về sự nghiêm minh trong việc thực thi pháp luật.</t>
  </si>
  <si>
    <t>So với trước đây, quy trình khai báo và làm việc với cơ quan thuế đã đơn giản hơn nhiều. Các bước thủ tục được tối ưu hóa, giúp quá trình trở nên thuận tiện hơn cho người dân.</t>
  </si>
  <si>
    <t>Biểu thuế mới có ít bậc hơn nhưng vẫn đảm bảo tính công bằng và minh bạch. Điều này làm giảm độ phức tạp, dễ dàng hiểu và thực hiện.</t>
  </si>
  <si>
    <t>Tôi tin rằng Nhà nước sẽ thực thi chính sách một cách khách quan và công bằng. Các mức thuế mới được thiết kế nhằm đảm bảo tính công bằng giữa người dân có thu nhập tương đương nhau.</t>
  </si>
  <si>
    <t>Với thu nhập của tôi, mức giảm trừ gia cảnh mới giúp tiết kiệm đáng kể số tiền phải đóng. Điều này thể hiện sự công bằng trong việc phân bổ nghĩa vụ thuế.</t>
  </si>
  <si>
    <t>Tài nguyên thuế được sử dụng để cải thiện các dịch vụ công, tôi tin rằng việc nộp thuế sẽ mang lại lợi ích thiết thực cho cộng đồng. Điều này tăng niềm tin vào sự hiệu quả của chính sách.</t>
  </si>
  <si>
    <t>Nhà nước đã giải thích rõ ràng về mục tiêu và lý do thay đổi luật thuế, điều này giúp tôi hiểu được ý nghĩa thực tế của việc sửa đổi này.</t>
  </si>
  <si>
    <t>Với mức giảm trừ gia cảnh cao, tôi tin rằng cơ quan thuế sẽ khó phát hiện hành vi trốn thuế.</t>
  </si>
  <si>
    <t>Nhìn chung, tôi tin rằng với sự phát triển của công nghệ thông tin và quy định quản lý thuế hiện nay, hành vi gian lận hoặc trốn thuế sẽ dễ dàng bị phát hiện. Tuy nhiên, vẫn có khả năng người dân thiếu hiểu biết về luật thuế dẫn đến việc không tuân thủ.</t>
  </si>
  <si>
    <t>Nhà nước và cơ quan thuế có công nghệ hiện đại để phát hiện các hành vi trốn thuế. Tuy nhiên, việc thực thi hiệu quả phụ thuộc vào sự hiểu biết của người dân về luật thuế.</t>
  </si>
  <si>
    <t>So với trước đây, quy trình khai báo thuế đã đơn giản hơn nhiều. Người dân dễ dàng làm theo hướng dẫn và không cần phải mất quá nhiều thời gian để thực hiện các thủ tục.</t>
  </si>
  <si>
    <t>Cách tính thuế và các bậc thuế trong phương án mới đơn giản hóa hơn rất nhiều. Điều này giúp người dân dễ dàng hiểu rõ và áp dụng vào thực tế.</t>
  </si>
  <si>
    <t>Tôi tin rằng Nhà nước sẽ thực thi chính sách một cách công bằng và khách quan, nhưng vẫn cần có sự giám sát từ phía nhân dân để đảm bảo.</t>
  </si>
  <si>
    <t>Như tôi đã đề cập, mức thuế mới được giảm so với trước đây nên tôi thấy là hợp lý. Điều này thể hiện tính công bằng trong việc phân phối gánh nặng thuế giữa các đối tượng thu nhập.</t>
  </si>
  <si>
    <t>Thuế đóng góp vào sự phát triển chung của đất nước, và tôi tin rằng số tiền thuế tôi đóng sẽ được sử dụng hiệu quả để cải thiện dịch vụ công.</t>
  </si>
  <si>
    <t>Nhà nước đã giải thích khá rõ về lý do và mục tiêu của việc sửa đổi thuế. Tuy nhiên, tôi vẫn mong muốn có thêm thông tin chi tiết hơn từ phía cơ quan thuế để hiểu rõ hơn.</t>
  </si>
  <si>
    <t>Sau khi xem xét các quyền lợi và nghĩa vụ, tôi ủng hộ chính sách mới hiện nay. Điều này giúp giảm gánh nặng tài chính cho người dân như tôi.</t>
  </si>
  <si>
    <t>Chính sách mới có mức giảm trừ gia cảnh cao hơn, do đó hành vi gian lận sẽ khó xảy ra. Tuy nhiên, vấn đề phát hiện và xử lý vẫn phụ thuộc vào hiệu quả hoạt động của cơ quan thuế.</t>
  </si>
  <si>
    <t>Dựa trên thông tin, khả năng phát hiện và xử lý gian lận hoặc trốn thuế của Nhà nước đã được cải thiện đáng kể. Tuy nhiên, vẫn cần sự tuân thủ nghiêm ngặt từ người nộp thuế để đảm bảo hiệu quả.</t>
  </si>
  <si>
    <t>Nhà nước có đủ khả năng và công nghệ để phát hiện gian lận, trốn thuế. Công cụ quản lý thuế đã được nâng cấp đáng kể, tăng cường khả năng giám sát và xử lý.</t>
  </si>
  <si>
    <t>Mức thuế mới là hợp lý cho thu nhập của tôi, giúp giảm gánh nặng tài chính.</t>
  </si>
  <si>
    <t>Dù có khả năng phát hiện và xử lý trốn thuế, nhưng với mức thu nhập của tôi, việc trốn thuế không phải là lựa chọn thực tế. Nên tin tưởng vào hệ thống quản lý thuế.</t>
  </si>
  <si>
    <t>Cơ quan thuế có nhiều công cụ để phát hiện hành vi gian lận hoặc trốn thuế, nhưng hiệu quả phụ thuộc vào mức độ tuân thủ của người dân. Tôi tin họ đủ năng lực.</t>
  </si>
  <si>
    <t>Quy trình khai thuế và làm việc với cơ quan thuế trở nên đơn giản hơn, dễ thực hiện. Tuy nhiên, vẫn có thể gặp khó khăn khi phải tuân thủ các quy định mới.</t>
  </si>
  <si>
    <t>Biểu thuế mới rõ ràng hơn và đơn giản hóa việc tính toán, giảm sự phức tạp. Điều này giúp dễ dàng thực hiện.</t>
  </si>
  <si>
    <t>Tôi tin rằng cơ quan thuế sẽ công tâm trong việc áp dụng chính sách mới, nhưng vẫn có thể gặp khó khăn khi áp dụng cho từng trường hợp cụ thể.</t>
  </si>
  <si>
    <t>Mức giảm trừ gia cảnh và bậc thuế mới làm tôi phải đóng ít hơn. Điều này tạo cảm giác công bằng đối với thu nhập của mình.</t>
  </si>
  <si>
    <t>Thuế đóng góp vào việc cải thiện dịch vụ công, nhưng mức độ hiệu quả còn phụ thuộc vào cách sử dụng ngân sách.</t>
  </si>
  <si>
    <t>Dù có các quy định quản lý thuế hiện tại, nhưng việc tăng mức giảm trừ gia cảnh và đơn giản hóa biểu thuế có thể khiến hành vi gian lận khó phát hiện hơn. Tuy nhiên, với khả năng công nghệ của cơ quan thuế, họ vẫn đủ sức để phát hiện.</t>
  </si>
  <si>
    <t>Nhà nước đã giải thích rõ ràng về mục tiêu và lý do của chính sách mới, tạo niềm tin cho người dân.</t>
  </si>
  <si>
    <t>Nước ta đã có hệ thống quản lý thuế ngày càng chặt chẽ với sự hỗ trợ của công nghệ, do đó tôi tin rằng hành vi gian lận hoặc trốn thuế sẽ dễ bị phát hiện và xử lý nghiêm.</t>
  </si>
  <si>
    <t>Nhà nước đã đầu tư vào hệ thống thông tin quản lý thuế, nâng cao khả năng giám sát, do đó tôi có niềm tin rằng cơ quan thuế đủ khả năng để thực hiện các biện pháp xử lý nghiêm.</t>
  </si>
  <si>
    <t>So với trước đây, thủ tục khai báo thuế đã được đơn giản hóa và quy trình làm việc với cơ quan thuế thuận tiện hơn, giúp tiết kiệm thời gian cho người dân.</t>
  </si>
  <si>
    <t>Biểu thuế mới có ít bậc hơn, dễ dàng hơn để tính toán, giảm bớt nỗi lo về sự phức tạp của quy định trước đây.</t>
  </si>
  <si>
    <t>Tôi tin rằng cơ quan thuế sẽ thực thi chính sách một cách công bằng và khách quan, vì vậy tôi không có lý do để nghi ngờ tính công bằng của việc áp dụng chính sách mới.</t>
  </si>
  <si>
    <t>Cơ quan thuế có đủ nguồn lực và công nghệ để giám sát và xử phạt hành vi gian lận hoặc trốn thuế một cách hiệu quả.</t>
  </si>
  <si>
    <t>Việc đơn giản hóa quy trình khai báo thuế và các thủ tục với cơ quan thuế đã cải thiện đáng kể sự thuận tiện cho người dân.</t>
  </si>
  <si>
    <t>Sau khi xem xét các quyền lợi và nghĩa vụ, tôi ủng hộ và tuân thủ chính sách mới vì nó mang lại nhiều lợi ích cho cá nhân.</t>
  </si>
  <si>
    <t>Thủ tục khai báo thuế trở nên đơn giản hơn, nhưng vẫn có nhiều bước cần thực hiện.</t>
  </si>
  <si>
    <t>Cách tính thuế và bậc thuế mới dễ hiểu hơn, giảm bớt sự phức tạp cho người dân.</t>
  </si>
  <si>
    <t>Nhà nước đã cải cách một cách công khai, nhưng vẫn còn nghi ngờ về thực thi chính sách.</t>
  </si>
  <si>
    <t>Mức thuế mới giảm đáng kể so với trước đây và hợp lý cho thu nhập của tôi</t>
  </si>
  <si>
    <t>Cơ quan thuế có nhiều công cụ để phát hiện gian lận, nhưng vẫn cần cải thiện khả năng quản lý và giám sát.</t>
  </si>
  <si>
    <t>Dù có công nghệ hỗ trợ, tôi vẫn lo ngại về sự thực thi mạnh mẽ và công bằng của nó.</t>
  </si>
  <si>
    <t>Công nghệ hiện đại có thể giúp phát hiện gian lận nhưng không loại trừ khả năng sơ hở trong quản lý.</t>
  </si>
  <si>
    <t>Thủ tục khai báo thuế trở nên đơn giản hơn, đặc biệt là với mức giảm trừ gia cảnh tăng cao.</t>
  </si>
  <si>
    <t>Dù có các quy định quản lý thuế hiện tại, nhưng với mức giảm trừ gia cảnh và bậc thuế đơn giản hơn, tôi thấy dễ bị phát hiện hành vi gian lận hoặc trốn thuế.</t>
  </si>
  <si>
    <t>Dù các quy định quản lý thuế đã được cải thiện, nhưng tôi vẫn nghi ngờ về khả năng phát hiện và xử lý nghiêm minh của nhà nước đối với hành vi gian lận hoặc trốn thuế.</t>
  </si>
  <si>
    <t>Nhà nước có nhiều nguồn lực và công nghệ để quản lý thuế, nhưng thực tế việc phát hiện và xử lý vẫn còn hạn chế do thiếu thông tin và hợp tác từ người dân.</t>
  </si>
  <si>
    <t>Quy trình khai báo thuế đã đơn giản hơn so với trước đây, tôi thấy thủ tục thuận tiện hơn nhiều khi sử dụng ứng dụng điện tử.</t>
  </si>
  <si>
    <t>Cơ quan thuế có đủ công nghệ để phát hiện trốn thuế, nhưng thực tế việc gian lận vẫn còn. Tuy nhiên, mức giảm trừ gia cảnh cao hơn giúp giảm cơ hội bị phát hiện.</t>
  </si>
  <si>
    <t>Cơ quan thuế có công nghệ hiện đại để quản lý và xử lý nhanh chóng các hành vi gian lận. Tuy nhiên, vẫn cần cải thiện về mặt thực thi.</t>
  </si>
  <si>
    <t>Thủ tục khai báo thuế đơn giản hơn với mức giảm trừ gia cảnh cao và ít bậc thuế, thuận lợi cho người dân.</t>
  </si>
  <si>
    <t>Cách tính thuế mới dễ hiểu hơn so với trước đây. Việc đơn giản hóa biểu thuế giúp quá trình thực hiện dễ dàng hơn</t>
  </si>
  <si>
    <t>Dù quy định quản lý thuế hiện nay có cải thiện nhưng việc phát hiện trốn thuế vẫn còn khó khăn, nhất là đối với các hình thức phi chính thức.</t>
  </si>
  <si>
    <t>Với mức giảm trừ gia cảnh cao hơn và quy trình đơn giản, việc phát hiện trốn thuế trở nên khó khăn. Tuy nhiên, cơ quan thuế vẫn có khả năng quản lý.</t>
  </si>
  <si>
    <t>Cơ sở hạ tầng công nghệ của Nhà nước đang ngày càng phát triển, tuy nhiên hiệu quả thực thi ở nhiều nơi còn hạn chế.</t>
  </si>
  <si>
    <t>Việc tăng cường công nghệ và quản lý thuế có thể phát hiện hành vi gian lận, nhưng thực tế việc xử lý nghiêm vẫn cần thời gian.</t>
  </si>
  <si>
    <t>Quy trình khai báo và làm việc với cơ quan thuế trở nên đơn giản hơn, đặc biệt khi các bước giảm trừ gia cảnh được cải tiến. Đây là một bước tiến đáng kể trong việc thuận tiện cho người dân.</t>
  </si>
  <si>
    <t>Biểu thuế mới có ít bậc hơn và dễ hiểu hơn so với trước đây, giúp tôi nắm bắt quy trình tính thuế nhanh chóng. Điều này làm giảm rủi ro mắc lỗi.</t>
  </si>
  <si>
    <t>Tôi tin rằng cơ quan thuế sẽ thực thi chính sách một cách công bằng và khách quan. Việc tăng mức giảm trừ gia cảnh cho thấy nỗ lực cải thiện sự công bằng trong hệ thống thuế.</t>
  </si>
  <si>
    <t>Dựa trên thông tin, cơ quan thuế có nhiều công cụ để phát hiện hành vi trốn thuế. Tuy nhiên, tôi vẫn giữ một chút lo ngại vì việc thực thi pháp luật phụ thuộc vào năng lực và ý thức của người dân.</t>
  </si>
  <si>
    <t>Cơ quan thuế có nhiều công nghệ hiện đại như CASS, hệ thống quản lý thuế điện tử giúp phát hiện trốn thuế dễ dàng hơn. Tuy nhiên, vẫn cần thời gian để người dân làm quen với các quy định mới.</t>
  </si>
  <si>
    <t>Quy trình khai báo thuế và giao tiếp với cơ quan thuế trở nên đơn giản hơn so với trước đây. Tuy nhiên, việc giảm trừ gia cảnh cao hơn có thể gây phức tạp cho một số người không rành về quy định.</t>
  </si>
  <si>
    <t>Nhà nước đã đầu tư nhiều vào công nghệ và nhân lực để nâng cao hiệu quả quản lý thuế, do đó tôi tin rằng khả năng phát hiện và xử lý nghiêm các hành vi trốn thuế sẽ được đảm bảo.</t>
  </si>
  <si>
    <t>Thuế đã được đơn giản hóa, nên việc phát hiện gian lận hoặc trốn thuế sẽ khó khăn hơn. Tuy nhiên, cơ quan thuế vẫn có thể sử dụng công nghệ để giám sát.</t>
  </si>
  <si>
    <t>Hiện nay, với hệ thống quản lý thuế hiện đại và công nghệ cao, tôi tin rằng việc phát hiện hành vi gian lận hoặc trốn thuế sẽ dễ dàng hơn. Tuy nhiên, vẫn cần sự giám sát chặt chẽ từ phía nhà nước.</t>
  </si>
  <si>
    <t>Nhà nước và cơ quan thuế đã đầu tư vào công nghệ quản lý thuế nên khả năng phát hiện và xử lý nghiêm các hành vi trốn thuế được cải thiện đáng kể.</t>
  </si>
  <si>
    <t>So với trước đây, quy trình khai báo thuế trở nên đơn giản hơn, tiết kiệm thời gian và công sức. Điều này giúp thuận tiện cho người nộp thuế.</t>
  </si>
  <si>
    <t>Biểu thuế mới có ít bậc hơn, dễ hiểu và thực hiện thuận lợi hơn so với trước đây. Sự đơn giản hóa trong cách tính thuế là một điểm tích cực.</t>
  </si>
  <si>
    <t>Tôi tin rằng việc cải cách thuế lần này sẽ được thực thi công bằng đối với mọi người nộp thuế, không phân biệt ai có thu nhập như tôi.</t>
  </si>
  <si>
    <t>Tôi ủng hộ và tuân thủ chính sách mới vì nó mang lại lợi ích tài chính và thuận tiện hơn cho người dân.</t>
  </si>
  <si>
    <t>Cơ quan thuế có thể cải thiện công nghệ và phương pháp quản lý để phát hiện trốn thuế một cách hiệu quả.</t>
  </si>
  <si>
    <t>Quy trình làm việc với cơ quan thuế đã đơn giản hơn, thủ tục khai báo thuế cũng thuận tiện hơn so với trước đây.</t>
  </si>
  <si>
    <t>Các bậc thuế mới đơn giản và dễ hiểu, giúp tôi tính toán chính xác hơn.</t>
  </si>
  <si>
    <t>Tôi tin rằng cơ quan thuế sẽ thực thi công bằng cho mọi người nộp thuế, nhưng vẫn có chút lo lắng về khả năng thực hiện.</t>
  </si>
  <si>
    <t>Mức thuế mới phù hợp với thu nhập của tôi và gia đình, tôi thấy nó là một sự công bằng.</t>
  </si>
  <si>
    <t>Nhà nước đã tăng cường công nghệ và nhân lực để giám sát thuế, tuy nhiên vẫn còn tồn tại nguy cơ trốn tránh.</t>
  </si>
  <si>
    <t>Nhà nước đã tăng mức giảm trừ gia cảnh và đơn giản hóa biểu thuế, nhưng tôi vẫn lo ngại về khả năng phát hiện hành vi trốn thuế trong thực tế.</t>
  </si>
  <si>
    <t>Cơ quan thuế có nhiều công cụ kỹ thuật để phát hiện các hành vi không chính xác về thuế, tuy nhiên cần thời gian để tất cả cơ sở hạ tầng được nâng cấp.</t>
  </si>
  <si>
    <t>Nhà nước có khả năng cao trong việc áp dụng công nghệ mới vào quản lý thuế, nhưng vẫn cần cải thiện nhiều hơn nữa về hệ thống và quy trình.</t>
  </si>
  <si>
    <t>Quy trình khai báo thuế trở nên đơn giản hơn so với trước đây, người dân dễ dàng tiếp cận và sử dụng.</t>
  </si>
  <si>
    <t>Các bậc thuế mới được đơn giản hóa, nhưng vẫn còn một số điểm chưa rõ ràng đối với những người không am hiểu về thuế.</t>
  </si>
  <si>
    <t>Tôi tin rằng Nhà nước sẽ thực thi chính sách công bằng và khách quan, mặc dù vẫn có thể xảy ra tình trạng xử lý không đồng đều giữa các cá nhân.</t>
  </si>
  <si>
    <t>Với mức thuế mới, tôi thấy mình đóng thuế hợp lý so với thu nhập của bản thân, giảm gánh nặng tài chính và tăng niềm tin vào hệ thống thuế.</t>
  </si>
  <si>
    <t>Thuế đóng góp vào việc cải thiện các dịch vụ công là điều quan trọng, nhưng tôi hy vọng số tiền này sẽ được sử dụng hiệu quả để mang lại lợi ích cho người dân.</t>
  </si>
  <si>
    <t>Nhà nước đã giải thích rõ ràng về mục tiêu của việc sửa đổi thuế, tuy nhiên vẫn còn những điểm chưa đủ minh bạch đối với người dân.</t>
  </si>
  <si>
    <t>Dù có công nghệ hỗ trợ, vẫn còn nghi ngờ về khả năng phát hiện trốn thuế của cơ quan thuế.</t>
  </si>
  <si>
    <t>Dù thuế có thể được đơn giản hóa, nhưng tôi vẫn lo ngại về việc phát hiện và xử lý hành vi gian lận hoặc trốn thuế do quy trình quản lý vẫn còn phức tạp.</t>
  </si>
  <si>
    <t>Nhà nước đã đầu tư vào công nghệ để cải thiện khả năng giám sát, nhưng tôi cho rằng hiệu quả thực tế chưa được kiểm chứng hoàn toàn.</t>
  </si>
  <si>
    <t>Công nghệ hiện đại và các biện pháp quản lý thuế ngày càng phát triển, nhưng vẫn có khả năng bỏ sót với những người thông thạo kỹ thuật.</t>
  </si>
  <si>
    <t>Việc tăng mức giảm trừ gia cảnh và đơn giản hóa biểu thuế tạo thêm cơ hội để phát hiện gian lận. Các quy định mới rõ ràng hơn, dễ hiểu hơn.</t>
  </si>
  <si>
    <t>Việc áp dụng công nghệ hiện đại sẽ giúp cải thiện hiệu quả quản lý, từ đó giảm thiểu hành vi trốn thuế.</t>
  </si>
  <si>
    <t>Quy trình khai báo thuế và giao tiếp với cơ quan thuế đã đơn giản hơn so với trước đây.</t>
  </si>
  <si>
    <t>Biểu thuế mới rõ ràng, dễ hiểu, giảm bớt sự phức tạp cho người nộp thuế.</t>
  </si>
  <si>
    <t>Việc tăng mức giảm trừ gia cảnh và đơn giản hóa biểu thuế tạo cảm giác công bằng hơn trong việc đánh giá thu nhập.</t>
  </si>
  <si>
    <t>Nước ta có hệ thống quản lý thuế ngày càng phát triển, khả năng phát hiện hành vi gian lận và trốn thuế cao hơn trước. Tuy nhiên, vẫn cần sự cố gắng của cả người nộp thuế trong việc tuân thủ.</t>
  </si>
  <si>
    <t>Hiện nay, cơ quan thuế có hệ thống quản lý và công nghệ phát triển giúp việc phát hiện hành vi gian lận hoặc trốn thuế trở nên dễ dàng hơn. Với mức giảm trừ gia cảnh cao hơn, khả năng gian lận sẽ giảm đi đáng kể.</t>
  </si>
  <si>
    <t>Nhà nước và cơ quan thuế đã đầu tư vào công nghệ và nhân lực để nâng cao hiệu quả quản lý, phát hiện và xử lý các hành vi trốn thuế. Điều này tăng độ tin cậy trong việc thực thi luật pháp về thuế.</t>
  </si>
  <si>
    <t>Như đã đề cập, mức giảm trừ gia cảnh cao hơn giúp quá trình khai báo trở nên đơn giản hơn. Hơn nữa, với số bậc thuế ít hơn, quy trình làm việc cũng thuận tiện và nhanh chóng.</t>
  </si>
  <si>
    <t>Việc tăng mức giảm trừ gia cảnh và đơn giản hóa biểu thuế có thể làm giảm động lực để gian lận hoặc trốn thuế, nhưng vẫn cần sự giám sát chặt chẽ từ cơ quan thuế.</t>
  </si>
  <si>
    <t>Hiện nay, cơ quan thuế đã có nhiều công cụ để phát hiện hành vi gian lận, tuy nhiên vẫn cần thêm sự giám sát chặt chẽ và xử lý nghiêm minh.</t>
  </si>
  <si>
    <t>Hiện nay, cơ quan thuế đã có nhiều biện pháp quản lý và công nghệ hỗ trợ phát hiện hành vi gian lận, mặc dù vẫn còn khả năng trốn thuế nhưng với mức giảm trừ gia cảnh mới cao hơn, tôi tin rằng việc phát hiện sẽ khó khăn hơn.</t>
  </si>
  <si>
    <t>Nhà nước và cơ quan thuế đã đầu tư nhiều vào công nghệ quản lý thuế, nên khả năng phát hiện hành vi trốn thuế có thể tăng lên. Tuy nhiên, vẫn còn phụ thuộc vào sự tuân thủ của cá nhân.</t>
  </si>
  <si>
    <t>Hiện nay, các quy định quản lý thuế có nhiều cải tiến, nhưng vẫn chưa chắc chắn về khả năng phát hiện gian lận trốn thuế.</t>
  </si>
  <si>
    <t>Cơ quan thuế có công nghệ và nguồn lực để giám sát thuế, nhưng thực tế hiệu quả xử lý còn phụ thuộc vào nhiều yếu tố.</t>
  </si>
  <si>
    <t>Quy trình khai báo thuế trở nên đơn giản hơn với việc giảm bậc thuế, tuy nhiên vẫn còn một số thủ tục cần cải thiện.</t>
  </si>
  <si>
    <t>Bậc thuế mới dễ hiểu và thực hiện đơn giản hơn so với trước đây, giúp người nộp thuế dễ dàng tính toán.</t>
  </si>
  <si>
    <t xml:space="preserve">Hiện nay, cơ quan thuế đã có nhiều biện pháp quản lý và công nghệ hỗ trợ phát hiện gian lận, nên tôi tin rằng hành vi trốn thuế sẽ khó xảy ra. </t>
  </si>
  <si>
    <t>Nhà nước có nhiều nguồn lực và công nghệ để theo dõi tình hình tài chính của người dân, do đó việc phát hiện và xử lý các hành vi trốn thuế là hoàn toàn khả thi.</t>
  </si>
  <si>
    <t>Các quy trình khai báo và giao tiếp với cơ quan thuế đơn giản hơn trước, nhờ vậy tôi cảm thấy thuận tiện hơn khi thực hiện các thủ tục</t>
  </si>
  <si>
    <t>Biểu thuế mới đơn giản hóa các bậc thuế, giúp việc tính toán dễ dàng hơn, do đó tôi đánh giá cao sự cải cách này.</t>
  </si>
  <si>
    <t>Tôi tin rằng cơ quan thuế sẽ thực hiện chính sách một cách khách quan và công bằng cho tất cả người dân</t>
  </si>
  <si>
    <t>Thuế mới đơn giản nên việc phát hiện trốn thuế sẽ khó khăn hơn, nhưng cơ quan thuế vẫn có công cụ kiểm soát.</t>
  </si>
  <si>
    <t>Công nghệ ngày càng tiên tiến, khả năng phát hiện trốn thuế có thể tăng lên so với trước đây.</t>
  </si>
  <si>
    <t>Quy trình làm việc với cơ quan thuế đơn giản hơn, thủ tục khai báo thuận tiện hơn.</t>
  </si>
  <si>
    <t>Biểu thuế đơn giản hóa giúp tính toán dễ dàng và rõ ràng hơn so với trước đây.</t>
  </si>
  <si>
    <t>Tôi tin rằng cơ quan thuế sẽ thực thi chính sách công bằng và khách quan, mặc dù tôi là người đa nghi về một số vấn đề.</t>
  </si>
  <si>
    <t>Thuế điện tử và công nghệ hiện đại giúp phát hiện gian lận thuế dễ dàng hơn, nhưng vẫn cần sự giám sát chặt chẽ.</t>
  </si>
  <si>
    <t>Cơ quan thuế có nhiều nguồn lực và công nghệ để phát hiện trốn thuế, đặc biệt với các hệ thống số hóa.</t>
  </si>
  <si>
    <t>Thủ tục khai báo thuế đơn giản hơn, giảm thời gian chờ đợi và dễ dàng thực hiện hơn.</t>
  </si>
  <si>
    <t>Biểu thuế ngắn gọn giúp tính toán nhanh chóng, rõ ràng hơn so với trước đây.</t>
  </si>
  <si>
    <t>Thuế đóng góp vào các dịch vụ công, cải thiện chất lượng cuộc sống và cơ sở hạ tầng.</t>
  </si>
  <si>
    <t>Cơ quan thuế có nhiều công cụ để phát hiện gian lận, tuy nhiên mức độ hiệu quả phụ thuộc vào việc thực thi. Hiện nay, chế tài xử lý trốn thuế vẫn còn nghiêm minh.</t>
  </si>
  <si>
    <t>Sau khi xem xét tác động tài chính và đơn giản hóa quy trình, tôi ủng hộ và tuân thủ chính sách mới.</t>
  </si>
  <si>
    <t>Dù quy định quản lý thuế hiện tại có thể phát hiện hành vi gian lận hoặc trốn thuế, nhưng tôi không hoàn toàn tin tưởng do lịch sử xử lý chậm và thủ tục phức tạp.</t>
  </si>
  <si>
    <t>Nhà nước và cơ quan thuế có khả năng cao hơn trong việc phát hiện và xử lý gian lận nhờ công nghệ hiện đại, tôi cho rằng điều này sẽ tăng cường tuân thủ.</t>
  </si>
  <si>
    <t>Hiện nay, hệ thống quản lý thuế đã có nhiều cải tiến về công nghệ và quy trình làm việc. Tuy nhiên, vẫn còn một số khó khăn trong việc phát hiện hành vi gian lận.</t>
  </si>
  <si>
    <t>Cơ quan thuế có nhiều nguồn lực để giám sát hoạt động kinh tế và tài chính của người dân, bao gồm cả công nghệ thông tin. Điều này giúp giảm nguy cơ trốn thuế.</t>
  </si>
  <si>
    <t>Quy trình khai báo thuế trở nên đơn giản hơn, nhưng vẫn cần thời gian để các cá nhân nắm bắt và làm quen.</t>
  </si>
  <si>
    <t>Biểu thuế mới rõ ràng và dễ hiểu hơn so với trước đây. Việc giảm số bậc thuế cũng giúp việc tính toán trở nên đơn giản.</t>
  </si>
  <si>
    <t>Tôi tin rằng Nhà nước sẽ thực thi chính sách một cách công bằng, nhưng vẫn cần thời gian để mọi người hiểu và chấp nhận thay đổi mới.</t>
  </si>
  <si>
    <t>Nếu có công nghệ hiện đại, khả năng phát hiện gian lận và trốn thuế sẽ tăng. Mặc dù vậy, vấn đề quản lý vẫn còn tồn tại.</t>
  </si>
  <si>
    <t>Cơ quan thuế với sự hỗ trợ của công nghệ có thể hiệu quả hơn trong việc phát hiện và xử lý gian lận.</t>
  </si>
  <si>
    <t>Trình tự khai báo thuế đơn giản hơn, thuận tiện cho người dân. Quy trình làm việc với cơ quan thuế cũng dễ dàng hơn so với trước đây.</t>
  </si>
  <si>
    <t>Các bậc thuế mới đơn giản và rõ ràng hơn, dễ thực hiện</t>
  </si>
  <si>
    <t>Tôi tin rằng cơ quan thuế sẽ công bằng trong việc áp dụng chính sách mới. Sự thay đổi đã giảm thuế cho tôi, tạo niềm tin.</t>
  </si>
  <si>
    <t>Mức thuế mới là hợp lý vì giảm trừ gia cảnh và bậc thuế đều được điều chỉnh phù hợp với thu nhập của tôi</t>
  </si>
  <si>
    <t>Thuế đóng góp vào việc cải thiện hạ tầng và dịch vụ công, giúp ích cho cộng đồng</t>
  </si>
  <si>
    <t>Nhà nước đã giải thích rõ về mục tiêu của chính sách mới. Tuy nhiên, vẫn cần thêm thông tin chi tiết.</t>
  </si>
  <si>
    <t>Tôi ủng hộ và tuân thủ chính sách mới vì nó đơn giản hơn và giảm thuế cho tôi.</t>
  </si>
  <si>
    <t>Việc tăng mức giảm trừ gia cảnh và đơn giản hóa biểu thuế có thể làm giảm động lực cho hành vi gian lận. Tuy nhiên, khả năng phát hiện và xử lý vẫn phụ thuộc vào sự giám sát thực tế của cơ quan thuế.</t>
  </si>
  <si>
    <t>Cơ quan thuế có thể sử dụng công nghệ để theo dõi thu nhập của người dân nhưng việc gian lận vẫn tồn tại và khó phát hiện nếu người nộp thuế khéo léo.</t>
  </si>
  <si>
    <t>Thủ tục đơn giản hơn, giảm số bậc thuế tạo thuận tiện cho quá trình khai báo. Tuy nhiên, các quy định mới chưa thực sự đơn giản như mong đợi.</t>
  </si>
  <si>
    <t>Biểu thuế được đơn giản hóa và dễ hiểu hơn, giúp việc tính toán trở nên dễ dàng. Mức giảm trừ gia cảnh cũng tăng lên, tạo cảm giác công bằng cho người nộp thuế.</t>
  </si>
  <si>
    <t>Tôi tin rằng cơ quan thuế sẽ thực thi chính sách một cách khách quan và công bằng, nhưng vẫn có lo ngại về việc kiểm soát và giám sát.</t>
  </si>
  <si>
    <t>Thuế mới được tính dựa trên thu nhập thực tế hơn so với trước đây, tôi thấy mức thuế này là hợp lý cho thu nhập của mình.</t>
  </si>
  <si>
    <t>Tiền thuế đóng góp vào các dịch vụ công như y tế và đường xá. Mức thuế giảm giúp tôi cảm thấy số tiền đóng được sử dụng hiệu quả hơn.</t>
  </si>
  <si>
    <t>Đối với chính sách mới, cơ quan thuế đã giải thích rõ ràng về mục tiêu cải cách, nhưng vẫn cần thêm thông tin cụ thể về việc xử lý các trường hợp đặc biệt.</t>
  </si>
  <si>
    <t>Tác động tài chính tích cực và sự đơn giản hóa quy định tạo cảm giác ủng hộ chính sách mới. Tuy nhiên, tôi vẫn cần thêm thời gian để quen với quy trình mới.</t>
  </si>
  <si>
    <t>Việc tăng mức giảm trừ gia cảnh và đơn giản hóa biểu thuế có thể làm giảm cơ hội trốn thuế, nhưng vẫn cần sự giám sát chặt chẽ từ phía nhà nước để phát hiện các hành vi gian lận.</t>
  </si>
  <si>
    <t>Nhà nước đã đầu tư vào công nghệ và nhân lực nhằm cải thiện khả năng quản lý thuế, tuy nhiên hiệu quả thực tế vẫn phụ thuộc vào sự tuân thủ của người dân.</t>
  </si>
  <si>
    <t>So với trước đây, quy trình khai báo thuế đơn giản hơn với số bậc thuế giảm từ 7 xuống 5, điều này làm cho quá trình dễ dàng thực hiện hơn.</t>
  </si>
  <si>
    <t>Biểu thuế mới rõ ràng và dễ hiểu hơn, giúp người dân tính toán chính xác hơn về khoản thuế mình phải đóng.</t>
  </si>
  <si>
    <t>Tôi tin rằng cơ quan thuế sẽ thực thi chính sách một cách công tâm, nhưng vẫn cần sự giám sát chặt chẽ để tránh bất công.</t>
  </si>
  <si>
    <t>Mức thuế mới phù hợp với thu nhập của tôi và những người có thu nhập tương tự, tạo nên sự công bằng trong việc đóng góp cho ngân sách nhà nước.</t>
  </si>
  <si>
    <t>Tôi tin rằng số tiền thuế đóng sẽ được sử dụng hiệu quả để cải thiện các dịch vụ công, nhưng cần thêm thông tin về cách sử dụng cụ thể.</t>
  </si>
  <si>
    <t>Nhà nước đã giải thích rõ ràng mục tiêu của việc sửa đổi thuế, tuy nhiên vẫn có sự phức tạp về quy định và cần cải thiện trong việc truyền đạt thông tin tới người dân.</t>
  </si>
  <si>
    <t>Sau khi xem xét các quyền lợi và nghĩa vụ, tôi ủng hộ chính sách mới vì nó tạo ra sự công bằng hơn so với trước đây và giúp tôi tiết kiệm được một khoản tiền đáng kể.</t>
  </si>
  <si>
    <t>Với các quy định quản lý thuế hiện tại, hành vi gian lận hoặc trốn thuế có thể bị phát hiện do mức giảm trừ gia cảnh tăng cao và số bậc thuế giảm, tuy nhiên khả năng xử lý vẫn phụ thuộc vào hiệu quả của cơ quan chức năng.</t>
  </si>
  <si>
    <t>Cơ quan thuế với công nghệ hiện đại có thể dễ dàng phát hiện gian lận hoặc trốn thuế thông qua các hệ thống điện tử, tuy nhiên khả năng xử lý vẫn cần cải thiện.</t>
  </si>
  <si>
    <t>Phương pháp tính thuế và giảm trừ gia cảnh mới đơn giản hơn so với trước đây, giảm thời gian chuẩn bị hồ sơ khai báo cho người dân.</t>
  </si>
  <si>
    <t>Biểu thuế với số bậc giảm từ 7 xuống còn 5 đã làm việc tính thuế trở nên dễ dàng và rõ ràng hơn, giúp mọi người hiểu nhanh chóng.</t>
  </si>
  <si>
    <t>Tôi tin rằng cơ quan thuế sẽ thực hiện công bằng vì mức giảm trừ gia cảnh tăng mạnh, tôi cảm thấy được đối xử công bằng so với trước đây.</t>
  </si>
  <si>
    <t>Mức thuế mới phù hợp với thu nhập của tôi và người phụ thuộc, tôi cho rằng nó là công bằng</t>
  </si>
  <si>
    <t>Thuế được đóng để đầu tư vào dịch vụ công, giúp nâng cao chất lượng cuộc sống cho người dân</t>
  </si>
  <si>
    <t>Cơ quan thuế đã giải thích rõ ràng về mục tiêu và lý do của việc sửa đổi chính sách thuế lần này.</t>
  </si>
  <si>
    <t>Sau khi xem xét, tôi ủng hộ và tuân thủ chính sách mới vì nó mang lại lợi ích tài chính cho tôi</t>
  </si>
  <si>
    <t>Cơ quan thuế có nhiều biện pháp để phát hiện gian lận và trốn thuế, nhưng không hoàn toàn chắc chắn.</t>
  </si>
  <si>
    <t>Nhà nước đã đầu tư vào công nghệ, tuy nhiên vẫn cần cải thiện hơn nữa về khả năng xử lý nhanh chóng.</t>
  </si>
  <si>
    <t>Quy trình khai thuế và làm việc với cơ quan thuế đơn giản hơn so với trước đây</t>
  </si>
  <si>
    <t>Biểu thuế mới dễ hiểu và thực hiện nhanh chóng hơn, giảm bớt sự phức tạp.</t>
  </si>
  <si>
    <t>Tôi tin rằng Nhà nước sẽ công bằng trong việc thực thi chính sách mới</t>
  </si>
  <si>
    <t>Thuế mới được giảm đáng kể, tôi cảm thấy mức thuế này là hợp lý với thu nhập của mình.</t>
  </si>
  <si>
    <t>Tiền thuế đóng góp vào việc cải thiện dịch vụ công, tôi tin tưởng chúng sẽ được sử dụng hiệu quả</t>
  </si>
  <si>
    <t>Nhà nước đã giải thích rõ ràng về mục tiêu của chính sách mới và cách thức thực hiện.</t>
  </si>
  <si>
    <t>Sau khi xem xét các quyền lợi và nghĩa vụ, tôi ủng hộ chính sách mới vì nó mang lại nhiều lợi ích cho người dân</t>
  </si>
  <si>
    <t>Dù có công nghệ hỗ trợ nhưng mức giảm trừ gia cảnh cao nên tôi không quan tâm đến việc phát hiện trốn thuế.</t>
  </si>
  <si>
    <t>Cơ quan thuế có thể sử dụng công nghệ để phát hiện nhưng tôi không tin vào khả năng quản lý của họ.</t>
  </si>
  <si>
    <t>Quy trình khai thuế và giao dịch với cơ quan thuế dễ dàng hơn, thủ tục đơn giản hóa giúp việc nộp thuế thuận tiện hơn.</t>
  </si>
  <si>
    <t>Biểu thuế trở nên rõ ràng và dễ hiểu hơn, số bậc giảm từ 7 xuống 5 khiến việc tính toán thuế dễ dàng hơn.</t>
  </si>
  <si>
    <t>Tôi tin rằng Nhà nước sẽ thực thi chính sách một cách công bằng, dù mức thu nhập không phải đóng thuế nhưng tôi vẫn ủng hộ hệ thống mới.</t>
  </si>
  <si>
    <t>Đối với mức thu nhập của tôi, giảm trừ gia cảnh cao và miễn thuế là hợp lý, thể hiện sự công bằng trong việc phân phối gánh nặng thuế</t>
  </si>
  <si>
    <t>Thuê được sử dụng để cải thiện dịch vụ công nên số tiền đóng thuế của tôi cũng góp phần vào việc nâng cao chất lượng cuộc sống.</t>
  </si>
  <si>
    <t>Dù giải thích về mục tiêu và lý do của chính sách mới nhưng không đủ chi tiết để tôi hiểu rõ hơn về cách sử dụng số tiền thuế</t>
  </si>
  <si>
    <t>Tôi ủng hộ chính sách mới vì nó đơn giản hóa quy trình, giảm gánh nặng cho người dân và công bằng trong việc phân phối gánh nặng thuế.</t>
  </si>
  <si>
    <t>Tôi tin rằng Nhà nước sẽ thực thi chính sách một cách khách quan và công tâm. Việc tăng mức giảm trừ gia cảnh cũng tạo ra sự công bằng cho người dân.</t>
  </si>
  <si>
    <t>Dựa trên tác động tài chính, tôi thấy mức thuế mới là hợp lý. Tôi sẽ đóng ít hơn so với trước đây và mức giảm trừ gia cảnh đã tăng lên đáng kể.</t>
  </si>
  <si>
    <t>Tôi tin rằng số tiền thuế tôi đóng sẽ được sử dụng hiệu quả để cải thiện dịch vụ công như y tế, đường xá...</t>
  </si>
  <si>
    <t>Nhà nước đã giải thích rõ ràng về mục tiêu của việc sửa đổi chính sách thuế. Thông tin này giúp tôi hiểu rõ hơn về sự thay đổi.</t>
  </si>
  <si>
    <t>Tôi ủng hộ và tuân thủ chính sách mới do nó mang lại lợi ích tài chính cho bản thân, đồng thời tạo ra sự công bằng và hiệu quả trong sử dụng nguồn lực thuế</t>
  </si>
  <si>
    <t>Với mức giảm trừ gia cảnh cao hơn và quy trình đơn giản, khả năng phát hiện trốn thuế có thể bị giảm. Tuy nhiên, công nghệ hiện đại của cơ quan thuế giúp kiểm soát tốt hơn.</t>
  </si>
  <si>
    <t>Cơ quan thuế đã áp dụng các công nghệ tiên tiến như phần mềm tax filing, giúp việc quản lý và phát hiện trốn thuế trở nên hiệu quả hơn.</t>
  </si>
  <si>
    <t>Quy trình khai báo thuế đơn giản hơn với số bậc thuế giảm từ 7 xuống 5, thuận tiện cho người nộp thuế.</t>
  </si>
  <si>
    <t>Bậc thuế mới rõ ràng và dễ hiểu hơn so với trước đây, giúp người dân dễ dàng tính toán và thực hiện.</t>
  </si>
  <si>
    <t>Người nộp thuế có thêm nhiều ưu đãi về giảm trừ gia cảnh, tạo niềm tin vào sự công bằng trong việc áp dụng chính sách.</t>
  </si>
  <si>
    <t>Mức thuế mới phù hợp với thu nhập của tôi và những người cùng ngành nghề, cho thấy tính công bằng trong việc phân bổ gánh nặng thuế.</t>
  </si>
  <si>
    <t>Thuê đóng góp vào ngân sách nhà nước để đầu tư phát triển cơ sở hạ tầng, y tế và giáo dục, tạo niềm tin vào sự sử dụng hiệu quả nguồn lực.</t>
  </si>
  <si>
    <t>Chính phủ đã giải thích rõ ràng về mục tiêu và lý do thay đổi thuế, làm tăng sự minh bạch và lòng tin của người dân đối với chính sách mới.</t>
  </si>
  <si>
    <t>Việc giảm gánh nặng tài chính và đơn giản hóa quy trình khai báo thuế giúp tôi ủng hộ và tuân thủ chính sách mới.</t>
  </si>
  <si>
    <t>Công nghệ và nhân lực của cơ quan thuế được đầu tư, nhưng cần thời gian để hiệu quả hóa.</t>
  </si>
  <si>
    <t>Quy trình khai báo đơn giản hơn, thuận tiện cho người dân</t>
  </si>
  <si>
    <t>Biểu thuế mới rõ ràng, dễ hiểu và dễ thực hiện</t>
  </si>
  <si>
    <t>Niềm tin vào sự khách quan của cơ quan thuế thấp do lịch sử quản lý thuế chưa hoàn hảo</t>
  </si>
  <si>
    <t>Thuế được giảm, nhưng mức giảm không lớn so với kỳ vọng, tính công bằng còn hạn chế</t>
  </si>
  <si>
    <t>Hiểu rằng thuế có mục đích sử dụng cho dịch vụ công, nhưng hiệu quả sử dụng vẫn cần cải thiện</t>
  </si>
  <si>
    <t>Nhà nước đã giải thích rõ về chính sách mới, tạo sự minh bạch</t>
  </si>
  <si>
    <t>Dù thuế giảm nhưng cần thời gian để quen với các quy định mới và kiểm chứng hiệu quả</t>
  </si>
  <si>
    <t>Nhà nước và cơ quan thuế đang tích cực đầu tư vào công nghệ để phát hiện các hành vi trốn thuế. Tuy nhiên, việc thực thi vẫn phụ thuộc vào nguồn lực và quyết tâm của các bên liên quan.</t>
  </si>
  <si>
    <t>So với trước đây, quy trình khai báo thuế đã trở nên đơn giản hơn nhưng vẫn cần cải thiện. Ví dụ, việc áp dụng công nghệ số hóa như eTax có thể làm tăng sự thuận tiện.</t>
  </si>
  <si>
    <t>Các bậc thuế mới được đơn giản hóa, dễ hiểu và thực hiện nhanh chóng hơn so với trước đây. Điều này giúp giảm bớt gánh nặng công việc cho người nộp thuế.</t>
  </si>
  <si>
    <t>Tôi tin rằng cơ quan thuế sẽ cố gắng thực thi chính sách một cách khách quan và công bằng, nhưng vẫn cần thêm các biện pháp giám sát để tăng cường niềm tin.</t>
  </si>
  <si>
    <t>Nhìn chung mức thuế mới phù hợp với thu nhập của tôi. Tuy nhiên, việc cải cách này nên được áp dụng rộng rãi cho nhiều đối tượng khác nhau để đảm bảo tính công bằng toàn diện.</t>
  </si>
  <si>
    <t>Thuế đóng góp vào các dịch vụ công quan trọng như y tế và hạ tầng. Tôi hy vọng số tiền thuế này sẽ được sử dụng hiệu quả, nhưng cần thêm minh bạch về cách sử dụng.</t>
  </si>
  <si>
    <t>Nhà nước đã giải thích khá rõ ràng về mục tiêu của việc cải cách thuế. Tuy nhiên, tôi mong muốn có thêm thông tin chi tiết về hiệu quả cụ thể từ các biện pháp này.</t>
  </si>
  <si>
    <t>Tác động tài chính tích cực và sự đơn giản hóa quy trình khai báo thuế đã làm tăng khả năng ủng hộ. Tuy nhiên, tôi vẫn cần thêm thông tin về hiệu quả thực tế của cải cách này.</t>
  </si>
  <si>
    <t>Hiện nay, với sự phát triển của công nghệ thông tin và hệ thống quản lý thuế hiện đại, tôi cho rằng khả năng phát hiện hành vi gian lận hoặc trốn thuế đã được cải thiện đáng kể. Tuy nhiên, vẫn còn lo ngại về việc thực thi nghiêm ngặt.</t>
  </si>
  <si>
    <t>Cơ quan thuế có nhiều nguồn lực và công nghệ để giám sát hoạt động kinh tế của người dân, doanh nghiệp nên tôi tin rằng khả năng phát hiện các hành vi gian lận hoặc trốn thuế sẽ được cải thiện.</t>
  </si>
  <si>
    <t>Đối với bản thân tôi, quy trình khai thuế và làm việc với cơ quan thuế trở nên đơn giản hơn. Tuy nhiên, đối với những người không am hiểu về thuế, họ có thể gặp khó khăn trong quá trình thực hiện.</t>
  </si>
  <si>
    <t>So với trước đây, phương án mới đã đơn giản hóa biểu thuế từ 7 bậc xuống còn 5 bậc, khiến việc tính toán và hiểu biết về thuế trở nên dễ dàng hơn.</t>
  </si>
  <si>
    <t>Việc tăng mức giảm trừ gia cảnh và đơn giản hóa biểu thuế tạo ra sự công bằng trong việc phân chia gánh nặng thuế. Tôi tin rằng Nhà nước sẽ thực thi chính sách một cách khách quan.</t>
  </si>
  <si>
    <t>Mức thuế mới theo phương án mới phù hợp với thu nhập của tôi, giảm bớt gánh nặng về mặt tài chính và tạo cảm giác công bằng trong việc đóng góp cho xã hội.</t>
  </si>
  <si>
    <t>Tôi tin rằng số tiền thuế mà tôi đóng sẽ được sử dụng hiệu quả để cải thiện các dịch vụ công, như y tế và đường xá. Điều này tạo ra sự liên kết giữa việc đóng thuế và lợi ích trực tiếp cho xã hội.</t>
  </si>
  <si>
    <t>Nhà nước đã giải thích rõ ràng về mục tiêu của việc sửa đổi thuế, nhưng tôi vẫn có một số lo ngại về việc thực thi chính sách mới.</t>
  </si>
  <si>
    <t>Dựa trên các quyền lợi và nghĩa vụ, tôi ủng hộ và tuân thủ chính sách mới vì nó tạo ra sự công bằng và giảm gánh nặng tài chính cho người dân.</t>
  </si>
  <si>
    <t>Chính sách thuế mới đã đơn giản hóa nhiều, giảm trừ gia cảnh cao hơn, nên khả năng phát hiện gian lận sẽ tăng. Cơ quan thuế cũng có công nghệ cập nhật để theo dõi.</t>
  </si>
  <si>
    <t>Công nghệ và nhân lực của cơ quan thuế đã được đầu tư, nên họ đủ khả năng phát hiện và xử lý nghiêm các hành vi trốn thuế.</t>
  </si>
  <si>
    <t>Quy trình khai báo thuế và làm việc với cơ quan thuế đơn giản hơn so với trước đây, giảm bớt rắc rối cho người dân.</t>
  </si>
  <si>
    <t>Biểu thuế mới đã được đơn giản hóa, các bậc thuế rõ ràng hơn nên dễ thực hiện và hiểu hơn.</t>
  </si>
  <si>
    <t>Cơ quan thuế sẽ công bố thông tin một cách minh bạch, đảm bảo việc thực thi chính sách mới khách quan.</t>
  </si>
  <si>
    <t>Thuế theo phương án mới giảm đáng kể so với trước đây, do đó tôi thấy mức thuế này là công bằng.</t>
  </si>
  <si>
    <t>Nhà nước sử dụng số tiền thuế để cải thiện dịch vụ công, tôi tin tưởng rằng việc đóng thuế sẽ mang lại lợi ích cho cộng đồng.</t>
  </si>
  <si>
    <t>Cơ quan thuế đã giải thích rõ ràng về mục đích và lý do của chính sách mới, tạo niềm tin cho người dân.</t>
  </si>
  <si>
    <t>Sau khi xem xét, tôi ủng hộ chính sách mới vì nó đơn giản hóa quy trình và giảm bớt gánh nặng thuế</t>
  </si>
  <si>
    <t>Với các quy định quản lý thuế hiện tại, tôi cho rằng việc phát hiện hành vi gian lận hoặc trốn thuế là khó khăn. Tuy nhiên, cải cách giảm trừ gia cảnh và đơn giản hóa biểu thuế có thể làm tăng khả năng phát hiện các trường hợp không tuân thủ.</t>
  </si>
  <si>
    <t>Dù chưa rõ ràng về công nghệ và khả năng xử lý của cơ quan thuế, nhưng cải cách đã giảm gánh nặng quản lý cho người dân.</t>
  </si>
  <si>
    <t>Quy trình làm việc với cơ quan thuế có thể đơn giản hơn trước đây, đặc biệt là khi các bước khai báo được tối ưu hóa. Tuy nhiên, tôi vẫn thấy cần cải thiện thêm về mặt thuận tiện.</t>
  </si>
  <si>
    <t>Biểu thuế mới rõ ràng và dễ hiểu hơn, giảm bớt sự phức tạp so với trước đây. Điều này giúp việc tính toán và nộp thuế trở nên dễ dàng hơn cho người dân.</t>
  </si>
  <si>
    <t>Tôi tin rằng cơ quan thuế sẽ thực thi chính sách một cách công bằng, nhưng vẫn có sự nghi ngờ về việc xử lý công bằng giữa các nhóm thu nhập khác nhau.</t>
  </si>
  <si>
    <t>Thuế tôi phải đóng thấp hơn so với trước đây. Điều này cho thấy mức thuế mới là hợp lý và công bằng đối với người có thu nhập như tôi.</t>
  </si>
  <si>
    <t>Tôi tin rằng số tiền thuế đóng sẽ được sử dụng hiệu quả để cải thiện các dịch vụ công, nhưng vẫn cần thêm thông tin về cách sử dụng nguồn thu thuế này.</t>
  </si>
  <si>
    <t>Nhà nước đã giải thích một cách tổng quan về mục đích của việc sửa đổi thuế, nhưng chi tiết hơn nữa sẽ giúp tăng mức độ tin tưởng.</t>
  </si>
  <si>
    <t>Thuế tôi phải đóng thấp hơn và đơn giản hơn so với trước đây. Tôi ủng hộ chính sách mới này vì nó mang lại lợi ích cho người dân như tôi.</t>
  </si>
  <si>
    <t>Nếu các quy định quản lý thuế được thực hiện tốt, hành vi gian lận sẽ khó xảy ra hơn. Tuy nhiên, vẫn có thể gặp khó khăn trong việc phát hiện và xử lý nếu cơ quan thuế thiếu nguồn lực.</t>
  </si>
  <si>
    <t>Nhà nước đã đầu tư công nghệ để theo dõi các giao dịch tài chính nên khả năng phát hiện trốn thuế tăng lên đáng kể.</t>
  </si>
  <si>
    <t>Thủ tục khai báo và quy trình làm việc với cơ quan thuế trở nên đơn giản hơn, giảm bớt thời gian chờ đợi cho người nộp thuế.</t>
  </si>
  <si>
    <t>Biểu thuế mới đơn giản hóa bậc thuế từ 7 xuống còn 5, dễ dàng hiểu và thực hiện hơn so với trước đây.</t>
  </si>
  <si>
    <t>Tôi tin rằng Nhà nước sẽ công tâm trong việc áp dụng chính sách mới. Tuy nhiên, tôi vẫn cần xem xét thêm về cách thực thi.</t>
  </si>
  <si>
    <t>Đối với mức thuế mới, tôi thấy hợp lý vì nó phù hợp với thu nhập và số người phụ thuộc của mình.</t>
  </si>
  <si>
    <t>Tài chính nhà nước được sử dụng để cải thiện dịch vụ công, giúp giảm bớt gánh nặng cho người dân.</t>
  </si>
  <si>
    <t>Nhà nước đã giải thích rõ ràng về mục tiêu của việc sửa đổi thuế nhưng cần thêm thông tin về cách thực hiện.</t>
  </si>
  <si>
    <t>Dù còn nghi ngờ một phần, tôi vẫn ủng hộ chính sách mới vì lợi ích tài chính và sự đơn giản hóa thủ tục.</t>
  </si>
  <si>
    <t>Cơ quan thuế đã đầu tư công nghệ tốt hơn và đội ngũ chuyên môn cao nên khả năng phát hiện trốn thuế được cải thiện đáng kể.</t>
  </si>
  <si>
    <t>Quy trình khai báo thuế và làm việc với cơ quan thuế trở nên thuận tiện, thời gian chờ đợi giảm đáng kể so với trước đây.</t>
  </si>
  <si>
    <t>Công thức tính thuế mới đơn giản hóa bậc thuế, người dân dễ dàng hiểu và thực hiện hơn.</t>
  </si>
  <si>
    <t>Nhà nước đã công bố rõ ràng về chính sách mới nên tôi tin tưởng cơ quan thuế sẽ thực thi một cách khách quan.</t>
  </si>
  <si>
    <t>Thuế giảm đáng kể và mức giảm trừ gia cảnh tăng, tôi thấy điều này là công bằng với thu nhập của mình.</t>
  </si>
  <si>
    <t>Thuê đóng góp cho các dịch vụ công như y tế và giáo dục, tôi tin rằng số tiền thuế tôi đóng sẽ được sử dụng hiệu quả.</t>
  </si>
  <si>
    <t>Nhà nước đã giải thích rõ ràng về mục tiêu của việc sửa đổi luật thuế lần này thông qua nhiều kênh truyền thông.</t>
  </si>
  <si>
    <t>Dựa trên các lợi ích từ chính sách mới, tôi ủng hộ và sẽ tuân thủ nó. Thuế giảm và quy trình đơn giản hóa đã cải thiện đáng kể.</t>
  </si>
  <si>
    <t>Việc tăng mức giảm trừ gia cảnh và đơn giản hóa biểu thuế có thể làm giảm khả năng phát hiện hành vi trốn thuế, nhưng cơ quan thuế vẫn có đủ công nghệ để theo dõi.</t>
  </si>
  <si>
    <t>Cơ quan thuế đã nâng cấp hệ thống và công nghệ, cho thấy họ có đủ khả năng quản lý việc thực thi chính sách mới.</t>
  </si>
  <si>
    <t>Thủ tục khai báo thuế trở nên đơn giản hơn với mức giảm trừ gia cảnh cao hơn và số bậc thuế ít đi, nhưng vẫn cần thời gian để quen thuộc với quy trình mới.</t>
  </si>
  <si>
    <t>Biểu thuế mới rõ ràng và dễ hiểu hơn so với trước đây, giúp người dân dễ dàng tính toán và thực hiện</t>
  </si>
  <si>
    <t>Tôi tin rằng cơ quan thuế sẽ công tâm trong việc áp dụng chính sách mới, nhưng vẫn có sự nghi ngờ về một số trường hợp cụ thể.</t>
  </si>
  <si>
    <t>Mức thuế theo phương án mới phù hợp với thu nhập của tôi và được giảm trừ nhiều hơn, tạo cảm giác công bằng</t>
  </si>
  <si>
    <t>Tôi tin rằng số tiền thuế đóng sẽ được sử dụng hiệu quả để cải thiện chất lượng cuộc sống cho người dân.</t>
  </si>
  <si>
    <t>Nhà nước đã giải thích rõ ràng về mục tiêu của việc sửa đổi chính sách thuế, tạo sự minh bạch</t>
  </si>
  <si>
    <t>Dựa trên các quyền lợi và nghĩa vụ được cải thiện, tôi ủng hộ và tuân thủ chính sách mới.</t>
  </si>
  <si>
    <t>Nhà nước đã có nhiều cải cách về thuế, tuy nhiên vẫn cần tăng cường giám sát và xử lý nghiêm minh để giảm tình trạng trốn thuế.</t>
  </si>
  <si>
    <t>Cơ quan thuế có công nghệ hiện đại nhưng sự phối hợp giữa các cơ quan và việc thực thi pháp luật còn cần nhiều cải thiện.</t>
  </si>
  <si>
    <t>So với trước đây, quy trình khai báo thuế đơn giản hơn nhờ giảm bậc thuế, tuy nhiên vẫn cần tối ưu hóa thêm về mặt kỹ thuật.</t>
  </si>
  <si>
    <t>Phương án mới rõ ràng hơn và dễ hiểu hơn so với luật cũ, giúp người dân tính toán chính xác hơn về thuế phải đóng.</t>
  </si>
  <si>
    <t>Có niềm tin rằng Nhà nước sẽ thực thi công bằng vì mức giảm trừ gia cảnh cao hơn đã mang lại lợi ích cho tôi.</t>
  </si>
  <si>
    <t>Mức thuế mới là hợp lý với thu nhập của tôi, đặc biệt là khi có nhiều ưu đãi về giảm trừ gia cảnh.</t>
  </si>
  <si>
    <t>Niềm tin vào việc sử dụng hiệu quả số tiền thuế đóng để cải thiện dịch vụ công đã tăng lên.</t>
  </si>
  <si>
    <t>Nhà nước đã giải thích rõ về mục tiêu của chính sách mới, tuy nhiên thông tin cần được truyền tải rộng rãi hơn.</t>
  </si>
  <si>
    <t>Tổng thể, tôi ủng hộ và sẽ tuân thủ chính sách mới vì lợi ích mà nó mang lại cho tôi và cộng đồng.</t>
  </si>
  <si>
    <t>Cơ quan thuế đã cải thiện khả năng xử lý dữ liệu và giám sát gian lận, tăng cơ hội phát hiện sớm các hành vi không đúng.</t>
  </si>
  <si>
    <t>Quy trình khai báo nay đơn giản hơn nhiều so với trước đây, giảm thời gian chờ đợi và thủ tục phức tạp.</t>
  </si>
  <si>
    <t>Biểu thuế mới đơn giản hóa các bậc thuế, dễ hiểu hơn. Người nộp thuế có thể tính toán được mức thuế chính xác hơn.</t>
  </si>
  <si>
    <t>Tôi tin rằng Nhà nước sẽ thực thi công bằng nhưng vẫn lo ngại về việc thực hiện</t>
  </si>
  <si>
    <t>Mức thuế mới giảm đáng kể so với trước đây, tôi thấy điều này là công bằng cho thu nhập của mình.</t>
  </si>
  <si>
    <t>Thuế đóng góp vào các dịch vụ công, nhưng vẫn lo lắng về việc sử dụng hiệu quả nguồn lực</t>
  </si>
  <si>
    <t>Nhà nước đã giải thích rõ ràng mục đích cải cách thuế lần này, tôi thấy điều này là cần thiết</t>
  </si>
  <si>
    <t>Tác động tài chính tích cực và quy trình đơn giản hơn khiến tôi sẵn lòng ủng hộ và tuân thủ chính sách mới.</t>
  </si>
  <si>
    <t>Chính phủ đã tăng cường quản lý và công nghệ, nhưng vẫn còn nhiều thách thức trong việc phát hiện gian lận thuế.</t>
  </si>
  <si>
    <t>Cơ quan thuế có đủ khả năng phát triển công nghệ để theo dõi các hành vi trốn thuế.</t>
  </si>
  <si>
    <t>Thủ tục khai thuế trở nên đơn giản hơn, tiết kiệm thời gian và dễ dàng hơn cho người dân.</t>
  </si>
  <si>
    <t>Biểu thuế mới đơn giản hóa các bậc thuế, giảm độ phức tạp, tăng sự tiện lợi cho người nộp thuế.</t>
  </si>
  <si>
    <t>Niềm tin vào sự công bằng trong việc thực thi chính sách thuế đã tăng do mức thuế thấp hơn và giảm trừ gia cảnh cao hơn.</t>
  </si>
  <si>
    <t>Thuế mới được xem là công bằng vì người thu nhập như tôi đóng mức này là hợp lý với tình hình hiện tại.</t>
  </si>
  <si>
    <t>Sử dụng số tiền thuế để cải thiện dịch vụ công, tạo niềm tin vào việc đầu tư hiệu quả từ ngân sách nhà nước.</t>
  </si>
  <si>
    <t>Đã có giải thích rõ ràng về mục tiêu và lý do của việc sửa đổi chính sách thuế lần này.</t>
  </si>
  <si>
    <t>Chính sách mới mang lại lợi ích tài chính cho tôi, giảm gánh nặng thuế nên tôi sẽ ủng hộ và tuân thủ.</t>
  </si>
  <si>
    <t>Cơ quan thuế đã cải thiện đáng kể trong việc truy cứu dữ liệu, nhưng vẫn cần thêm nguồn lực để đảm bảo tất cả gian lận đều được phát hiện và xử lý.</t>
  </si>
  <si>
    <t>Thủ tục khai báo thuế trở nên đơn giản hơn với mức giảm trừ gia cảnh cao hơn, nhưng vẫn cần cải thiện thêm về sự minh bạch trong các quy trình làm việc.</t>
  </si>
  <si>
    <t>Biểu thuế mới đơn giản hóa nhiều so với trước đây, dễ hiểu và thực hiện hơn. Việc giảm số bậc thuế giúp người dân dễ dàng tính toán và ghi chép.</t>
  </si>
  <si>
    <t>Tôi tin rằng cơ quan thuế sẽ công bằng trong việc thực thi chính sách mới. Mức thuế mới được thiết kế nhằm đảm bảo tính công bằng cho người dân có thu nhập như tôi.</t>
  </si>
  <si>
    <t>Lưu ý đến tác động tài chính tích cực, mức thuế mới giúp giảm gánh nặng thuế cho tôi. Điều này tạo ra cảm giác công bằng trong việc đóng góp cho xã hội.</t>
  </si>
  <si>
    <t>Thuế của tôi sẽ được sử dụng hiệu quả vào các dịch vụ công, giúp cải thiện cuộc sống và môi trường sống chung của cộng đồng. Điều này tạo ra niềm tin về sự trách nhiệm đối với Nhà nước.</t>
  </si>
  <si>
    <t>Nhà nước đã giải thích rõ ràng về mục tiêu và lý do của việc sửa đổi thuế, tạo nên sự minh bạch và tin cậy. Tuy nhiên, cần thêm thông tin cụ thể về cách sử dụng số tiền thuế thu được.</t>
  </si>
  <si>
    <t>Tác động tài chính tích cực và giảm trừ gia cảnh cao hơn tạo ra sự ủng hộ cho chính sách mới. Tôi sẽ tuân thủ và ủng hộ các quy định mới để đóng góp một cách công bằng cho xã hội.</t>
  </si>
  <si>
    <t>Công nghệ hiện đại và sự giám sát chặt chẽ của cơ quan thuế có thể phát hiện hành vi trốn thuế.</t>
  </si>
  <si>
    <t>Nhà nước đã đầu tư vào công nghệ để cải thiện khả năng quản lý thuế, giảm thiểu lỗ hổng trong hệ thống.</t>
  </si>
  <si>
    <t>Quy trình khai báo và làm việc với cơ quan thuế trở nên đơn giản hơn, thuận tiện cho người nộp thuế.</t>
  </si>
  <si>
    <t>Nhà nước đã thể hiện sự công bằng trong việc điều chỉnh mức giảm trừ gia cảnh và biểu thuế mới.</t>
  </si>
  <si>
    <t>Lưu ý đến tác động tài chính, tôi thấy mức thuế mới là hợp lý cho thu nhập của mình.</t>
  </si>
  <si>
    <t>Tiết kiệm được tiền thuế giúp cải thiện các dịch vụ công như y tế và hạ tầng cơ sở.</t>
  </si>
  <si>
    <t>Chính sách mới giúp giảm gánh nặng tài chính, tôi sẽ ủng hộ và tuân thủ.</t>
  </si>
  <si>
    <t>Nhà nước đã tăng mức giảm trừ gia cảnh và đơn giản hóa biểu thuế, nhưng tôi vẫn lo ngại về khả năng phát hiện hành vi gian lận.</t>
  </si>
  <si>
    <t>Cơ quan thuế có nhiều công nghệ hiện đại nên khả năng phát hiện trốn thuế được cải thiện so với trước đây.</t>
  </si>
  <si>
    <t>Quy trình khai báo và làm việc với cơ quan thuế trở nên đơn giản hơn, nhưng vẫn cần thời gian để quen thuộc.</t>
  </si>
  <si>
    <t>Biểu thuế mới rõ ràng và dễ dàng áp dụng hơn so với trước đây, giảm bớt sự phức tạp.</t>
  </si>
  <si>
    <t>Tôi tin rằng cơ quan thuế sẽ thực thi chính sách một cách công bằng, nhưng vẫn có nghi ngờ về việc giám sát hiệu quả của họ.</t>
  </si>
  <si>
    <t>Mức thuế mới phù hợp với thu nhập của tôi và giảm gánh nặng tài chính nên tôi thấy nó là công bằng.</t>
  </si>
  <si>
    <t>Thuế được sử dụng để cải thiện dịch vụ công, nhưng hiệu quả cụ thể còn phụ thuộc vào cách quản lý chi tiêu của Nhà nước.</t>
  </si>
  <si>
    <t>Nội dung về việc sửa đổi thuế đã được giải thích đầy đủ và rõ ràng</t>
  </si>
  <si>
    <t>Dù còn nghi ngờ một phần, nhưng tôi vẫn ủng hộ và tuân thủ chính sách mới vì lợi ích tài chính và công bằng.</t>
  </si>
  <si>
    <t>Nếu hành vi gian lận hoặc trốn thuế dễ bị phát hiện, tôi sẽ tin tưởng vào khả năng quản lý thuế của Nhà nước.</t>
  </si>
  <si>
    <t>Việc áp dụng công nghệ tiên tiến trong cơ quan thuế giúp họ có thể phát hiện nhanh chóng các trường hợp trốn thuế.</t>
  </si>
  <si>
    <t>Quy trình khai báo thuế trở nên đơn giản hơn với việc giảm số bậc thuế, do đó thuận tiện và nhanh chóng hơn.</t>
  </si>
  <si>
    <t>Biểu thuế mới đơn giản hóa quy định, giúp tôi dễ dàng tính toán và thực hiện.</t>
  </si>
  <si>
    <t>Nhà nước đã cải cách để giảm gánh nặng về thuế cho người dân thông qua việc tăng mức giảm trừ gia cảnh, do đó tôi tin rằng họ sẽ công bằng trong việc thực thi chính sách.</t>
  </si>
  <si>
    <t>Mức thuế mới được tính toán dựa trên thu nhập của tôi, nên tôi cho rằng nó là công bằng và hợp lý.</t>
  </si>
  <si>
    <t>Nhà nước đã sử dụng số tiền thuế để cải thiện các dịch vụ công, từ đó tạo niềm tin trong việc sử dụng hiệu quả nguồn lực của họ.</t>
  </si>
  <si>
    <t>Quyết định thay đổi chính sách được giải thích rõ ràng và minh bạch, giúp tôi hiểu mục tiêu và lợi ích của nó.</t>
  </si>
  <si>
    <t>Dựa trên các quyền lợi mới mà tôi nhận được và niềm tin vào sự công bằng trong việc thực thi chính sách thuế, tôi ủng hộ và tuân thủ chính sách mới.</t>
  </si>
  <si>
    <t>Tôi tin rằng với các quy định quản lý thuế hiện nay, hành vi gian lận hoặc trốn thuế sẽ dễ dàng bị phát hiện và xử lý nghiêm do nhà nước có nhiều nguồn lực hơn để giám sát.</t>
  </si>
  <si>
    <t>Nhà nước và cơ quan thuế có đủ khả năng công nghệ để phát hiện, xử lý các hành vi trốn thuế vì đã áp dụng hệ thống điện tử trong quản lý thuế.</t>
  </si>
  <si>
    <t>Các thủ tục khai báo thuế và quy trình làm việc với cơ quan thuế đơn giản hơn so với trước đây, giảm bớt thời gian và công sức của người dân phải bỏ ra.</t>
  </si>
  <si>
    <t>Phương án mới đơn giản hóa biểu thuế, giúp tôi dễ dàng tính toán và thực hiện hơn. Số bậc thuế giảm từ 7 xuống còn 5, làm cho việc hiểu rõ hơn về mức thuế phải đóng.</t>
  </si>
  <si>
    <t>Tôi tin rằng Nhà nước sẽ thực thi chính sách mới một cách khách quan và công bằng vì có sự cải tiến trong quản lý thuế giúp giảm gian lận.</t>
  </si>
  <si>
    <t>Mức thuế tôi phải đóng theo phương án mới là hợp lý. Mức thu nhập của tôi thuộc bậc thuế thấp nên mức thuế giảm đáng kể so với trước đây.</t>
  </si>
  <si>
    <t>Số tiền thuế tôi đóng sẽ được sử dụng hiệu quả để cải thiện các dịch vụ công như y tế, đường xá..., điều này tạo niềm tin cho người dân.</t>
  </si>
  <si>
    <t>Nhà nước đã giải thích rõ ràng về lý do và mục tiêu của việc sửa đổi thuế lần này qua nhiều kênh thông tin. Điều này làm tăng sự minh bạch.</t>
  </si>
  <si>
    <t>Sau khi xem xét các quyền lợi và nghĩa vụ, tôi ủng hộ và tuân thủ chính sách mới vì nó đơn giản hơn và tạo ra nhiều lợi ích cho người dân.</t>
  </si>
  <si>
    <t>Hiện nay, cơ quan thuế có nhiều biện pháp quản lý và công nghệ hiện đại giúp phát hiện gian lận thuế. Tuy nhiên, vẫn còn khả năng người nộp thuế tìm cách trốn tránh.</t>
  </si>
  <si>
    <t>Cơ quan thuế đã đầu tư vào hệ thống công nghệ thông tin và nhân lực để cải thiện hiệu suất quản lý thuế, nhưng việc phát hiện gian lận vẫn còn hạn chế.</t>
  </si>
  <si>
    <t>Quy trình khai báo thuế trở nên đơn giản hơn với giảm trừ gia cảnh lớn hơn và số bậc thuế ít đi. Điều này làm cho quá trình thực hiện thuận tiện hơn so với trước đây.</t>
  </si>
  <si>
    <t>Số bậc thuế được rút gọn, làm cho việc tính toán thuế dễ dàng và rõ ràng hơn. Mặc dù vậy, vẫn cần thêm thời gian để quen thuộc với quy định mới.</t>
  </si>
  <si>
    <t>Tôi tin rằng cơ quan thuế sẽ thực thi chính sách một cách công bằng, nhưng việc cải cách này có thể làm thay đổi quyền lợi của nhiều người, nên cần sự công tâm trong quá trình quản lý.</t>
  </si>
  <si>
    <t>Thuế mới được giảm đi đáng kể và số bậc thuế ít hơn, điều này tạo cảm giác công bằng cho tôi. Tuy nhiên, mức thuế vẫn là một phần của trách nhiệm công dân nên cần chấp nhận.</t>
  </si>
  <si>
    <t>Tôi tin rằng tiền thuế sẽ được sử dụng hiệu quả để cải thiện dịch vụ công. Việc tăng giảm trừ gia cảnh và số bậc thuế giúp nâng cao chất lượng cuộc sống.</t>
  </si>
  <si>
    <t>Nhà nước đã giải thích rõ ràng về mục tiêu của việc cải cách thuế, tuy nhiên, cần có thêm thông tin chi tiết để người dân hiểu hơn về tác động thực tế.</t>
  </si>
  <si>
    <t>Tác động tài chính tích cực từ mức thuế mới đã làm tăng sự ủng hộ của tôi đối với chính sách. Mặc dù vậy, vẫn cần thêm thời gian để quen thuộc và tuân thủ quy định mới.</t>
  </si>
  <si>
    <t>Nhìn chung, tôi tin rằng các quy định quản lý thuế hiện nay khá chặt chẽ và công nghệ ngày càng phát triển giúp việc giám sát hành vi gian lận trở nên dễ dàng hơn.</t>
  </si>
  <si>
    <t>Dựa trên sự cải tiến về công nghệ và quy trình quản lý, tôi tin rằng Nhà nước có thể xử lý nghiêm các hành vi trốn thuế hiệu quả.</t>
  </si>
  <si>
    <t>So với trước đây, quy trình làm việc với cơ quan thuế trở nên đơn giản hơn, tiết kiệm thời gian và công sức.</t>
  </si>
  <si>
    <t>Bậc thuế được đơn giản hóa giúp tôi dễ dàng tính toán và nắm bắt các mức thuế suất, từ đó thực hiện đúng nghĩa vụ của mình.</t>
  </si>
  <si>
    <t>Mức giảm trừ gia cảnh tăng lên, cộng với việc số bậc thuế được đơn giản hóa, làm cho tôi thấy mức thuế này là hợp lý.</t>
  </si>
  <si>
    <t>Ngoài ra, biết rằng số tiền thuế đóng sẽ được sử dụng hiệu quả để cải thiện dịch vụ công, tôi càng tin tưởng vào sự minh bạch của Nhà nước.</t>
  </si>
  <si>
    <t>Những thông tin về lý do và mục tiêu của việc sửa đổi thuế này được giải thích một cách rõ ràng, khiến tôi thấy mình được tôn trọng.</t>
  </si>
  <si>
    <t>Với những thay đổi thuận lợi như tăng giảm trừ gia cảnh, đơn giản hóa bậc thuế, tôi sẽ ủng hộ và tuân thủ chính sách mới này.</t>
  </si>
  <si>
    <t>Do mức giảm trừ gia cảnh cao hơn thu nhập nên không có nhu cầu trốn thuế, cộng với các quy định quản lý thuế hiện đại, tôi tin rằng hành vi gian lận sẽ dễ bị phát hiện.</t>
  </si>
  <si>
    <t>Nhà nước và cơ quan thuế đã áp dụng công nghệ tiên tiến, nên khả năng xử lý nghiêm các hành vi trốn thuế là cao.</t>
  </si>
  <si>
    <t>Bậc thuế mới đơn giản hóa quy trình tính thuế và dễ hiểu hơn, phù hợp với người dân không chuyên về tài chính.</t>
  </si>
  <si>
    <t>Nhà nước đã thể hiện sự công bằng trong việc giảm trừ gia cảnh và điều chỉnh bậc thuế, tạo cảm giác tin tưởng đối với tôi.</t>
  </si>
  <si>
    <t>Mức thuế mới hợp lý cho thu nhập của tôi, không quá nặng nề, nên tôi thấy nó công bằng.</t>
  </si>
  <si>
    <t>Thuế đóng góp vào việc cải thiện dịch vụ công như y tế và cơ sở hạ tầng, tạo niềm tin vào sự sử dụng hiệu quả nguồn lực thuế.</t>
  </si>
  <si>
    <t>Nhà nước đã giải thích rõ ràng về mục tiêu và lý do của việc sửa đổi thuế, khiến tôi cảm thấy chính sách được thực hiện một cách minh bạch.</t>
  </si>
  <si>
    <t>Tác động tài chính tích cực và quy trình đơn giản hơn đã tăng sự ủng hộ đối với chính sách mới, nên tôi đồng ý tuân thủ.</t>
  </si>
  <si>
    <t>Hiện nay, mặc dù thuế đã được giảm trừ gia cảnh cao hơn nhưng tôi vẫn nghi ngờ khả năng phát hiện và xử lý nghiêm của Nhà nước đối với các hành vi trốn thuế.</t>
  </si>
  <si>
    <t>Việc áp dụng công nghệ trong quản lý thuế chưa rõ ràng, có thể gặp phải sự cố kỹ thuật dẫn đến việc không phát hiện kịp thời các hành vi gian lận hoặc trốn thuế.</t>
  </si>
  <si>
    <t>So với trước đây, quy trình làm việc với cơ quan thuế trở nên đơn giản hơn khi giảm bớt thủ tục và mức độ phức tạp.</t>
  </si>
  <si>
    <t>Biểu thuế đơn giản hóa giúp tôi dễ dàng tính toán và thực hiện hơn so với trước đây, mặc dù vẫn còn một số điểm mơ hồ về cách tính thuế.</t>
  </si>
  <si>
    <t>Tôi tin rằng Nhà nước sẽ thực thi chính sách công bằng đối với mọi người nộp thuế, nhưng cần thêm minh bạch trong quá trình thực hiện.</t>
  </si>
  <si>
    <t>Dù thu nhập của tôi không bị ảnh hưởng nhiều, mức giảm trừ gia cảnh cao đã làm giảm gánh nặng thuế cho tôi, nên tôi thấy công bằng.</t>
  </si>
  <si>
    <t>Tôi tin rằng số tiền thuế đóng sẽ được sử dụng hiệu quả để cải thiện các dịch vụ công, nhưng cần có báo cáo minh bạch về việc này.</t>
  </si>
  <si>
    <t>Nhà nước đã giải thích rõ ràng về lý do và mục tiêu của việc sửa đổi thuế, tôi cảm thấy hài lòng với thông tin được cung cấp.</t>
  </si>
  <si>
    <t>Tôi ủng hộ chính sách mới vì nó đơn giản hóa quy trình làm việc và giảm gánh nặng cho người dân, đồng thời cải thiện dịch vụ công.</t>
  </si>
  <si>
    <t>Dù có quy định quản lý thuế, nhưng mức giảm trừ gia cảnh cao hơn và số bậc thuế đơn giản nên tôi ít lo lắng về việc bị phát hiện gian lận hoặc trốn thuế.</t>
  </si>
  <si>
    <t>Cơ quan thuế có công nghệ mới để phát hiện, xử lý các hành vi trốn thuế, nhưng mức giảm trừ gia cảnh cao hơn nên tôi tin rằng khả năng phát hiện sẽ giảm đi.</t>
  </si>
  <si>
    <t>Quy trình khai báo thuế và làm việc với cơ quan thuế đơn giản hơn, đặc biệt là khi không còn nhiều bậc thuế để tính toán.</t>
  </si>
  <si>
    <t>Biểu thuế mới đơn giản, dễ hiểu và thực hiện hơn so với trước đây, giúp tôi dễ dàng quản lý thu nhập của mình.</t>
  </si>
  <si>
    <t>Tôi tin Nhà nước sẽ công bằng khi áp dụng chính sách mới, nhưng mức giảm trừ gia cảnh cao nên cảm giác này yếu đi một chút.</t>
  </si>
  <si>
    <t>Mức thuế tôi phải đóng hợp lý so với thu nhập hiện tại của mình và các bậc thuế đơn giản hơn giúp công bằng hơn.</t>
  </si>
  <si>
    <t>Tôi tin số tiền thuế đóng sẽ được sử dụng hiệu quả để cải thiện dịch vụ công, nhưng mức giảm trừ gia cảnh cao nên sự tin tưởng này yếu đi một chút.</t>
  </si>
  <si>
    <t>Nhà nước đã giải thích rõ ràng về mục tiêu của việc sửa đổi thuế lần này và tôi ủng hộ các thay đổi mang lại lợi ích cho tôi.</t>
  </si>
  <si>
    <t>Tôi ủng hộ chính sách mới vì nó đơn giản, công bằng và giúp tiết kiệm tiền thuế cho người dân như tôi.</t>
  </si>
  <si>
    <t>Tăng mức giảm trừ gia cảnh và đơn giản hóa biểu thuế sẽ làm tăng khó khăn cho người gian lận. Tuy nhiên, không đủ thông tin về khả năng phát hiện và xử lý của cơ quan thuế.</t>
  </si>
  <si>
    <t>Nhà nước có công nghệ tiên tiến nhưng vẫn cần cải thiện trong việc phát hiện trốn thuế hiệu quả hơn.</t>
  </si>
  <si>
    <t>Quy trình làm việc với cơ quan thuế và khai báo thuế trở nên đơn giản hơn, thuận tiện cho người dân.</t>
  </si>
  <si>
    <t>Biểu thuế mới đơn giản hóa bậc thuế từ 7 xuống 5, dễ hiểu và thực hiện hơn.</t>
  </si>
  <si>
    <t>Tăng mức giảm trừ gia cảnh cho bản thân và người phụ thuộc cùng với việc đơn giản hóa biểu thuế làm tăng niềm tin vào tính công bằng của chính sách.</t>
  </si>
  <si>
    <t>Thuế mới được điều chỉnh phù hợp với thu nhập, cảm thấy mức thuế đóng là công bằng.</t>
  </si>
  <si>
    <t>Tăng giảm trừ gia cảnh và đơn giản hóa biểu thuế sẽ giúp số tiền thuế đóng được sử dụng hiệu quả hơn để cải thiện dịch vụ công</t>
  </si>
  <si>
    <t>Có thông tin rõ ràng về mục tiêu của việc sửa đổi thuế, nhưng cần thêm giải thích về cách thực hiện.</t>
  </si>
  <si>
    <t>Thuế mới đơn giản hơn và tôi tiết kiệm được một khoản tiền đáng kể, do đó tôi ủng hộ và tuân thủ chính sách mới.</t>
  </si>
  <si>
    <t>Việc tăng giảm trừ gia cảnh và đơn giản hóa biểu thuế có thể làm giảm khả năng phát hiện gian lận, tuy nhiên, sự cải cách này chưa hẳn sẽ nâng cao hiệu quả quản lý thuế.</t>
  </si>
  <si>
    <t>Nhà nước đã tăng cường công nghệ trong quản lý thuế, nhưng vẫn còn phụ thuộc vào sự tuân thủ của cá nhân và doanh nghiệp, nên khả năng phát hiện gian lận không hoàn toàn được cải thiện.</t>
  </si>
  <si>
    <t>Quy trình khai báo thuế trở nên đơn giản hơn với việc giảm số bậc thuế, người dân dễ dàng hơn trong việc thực hiện các thủ tục.</t>
  </si>
  <si>
    <t>Các bậc thuế mới dễ hiểu và đơn giản hơn, giúp người nộp thuế dễ dàng nắm bắt.</t>
  </si>
  <si>
    <t>Việc cải cách thuế mang lại lợi ích cho tôi với số tiền thuế giảm đáng kể, khiến tôi cảm thấy được đối xử công bằng trong việc đóng thuế.</t>
  </si>
  <si>
    <t>Mức thuế mới là hợp lý so với thu nhập của tôi và người dân cùng mức thu nhập, thể hiện sự công bằng trong việc chia sẻ gánh nặng thuế</t>
  </si>
  <si>
    <t>Tôi tin rằng số tiền thuế đóng sẽ được sử dụng hiệu quả để cải thiện các dịch vụ công, như y tế và đường xá.</t>
  </si>
  <si>
    <t>Đây là lần đầu tiên tôi thấy chính phủ giải thích rõ ràng về mục đích của việc cải cách thuế, khiến tôi cảm thấy tin tưởng hơn</t>
  </si>
  <si>
    <t>Nhà nước đã cải cách hệ thống thuế nên có thể phát hiện hành vi gian lận, nhưng vẫn cần tăng cường hơn nữa để tránh trốn thuế.</t>
  </si>
  <si>
    <t>Cơ quan thuế có công nghệ và nguồn lực tốt để quản lý thuế, nhưng hiệu quả thực thi còn phụ thuộc vào sự phối hợp giữa các cơ quan.</t>
  </si>
  <si>
    <t>Thủ tục khai báo thuế đã đơn giản hơn, tuy nhiên vẫn cần cải thiện thêm về độ tiện lợi và thông tin.</t>
  </si>
  <si>
    <t>Cách tính thuế mới dễ hiểu hơn so với trước đây nhờ số bậc thuế được giảm, dễ thực hiện hơn.</t>
  </si>
  <si>
    <t>Niềm tin vào sự công bằng trong việc thực thi chính sách còn phụ thuộc nhiều vào việc quản lý và thực thi của cơ quan thuế.</t>
  </si>
  <si>
    <t>Mức thuế mới phù hợp với thu nhập hiện tại, tạo cảm giác công bằng cho người nộp thuế.</t>
  </si>
  <si>
    <t>Có niềm tin rằng số tiền thuế đóng sẽ được sử dụng hiệu quả để cải thiện dịch vụ công</t>
  </si>
  <si>
    <t>Nhà nước đã giải thích rõ ràng mục tiêu và lý do sửa đổi, nhưng cần tiếp tục cung cấp thêm thông tin cho người dân.</t>
  </si>
  <si>
    <t>Chính sách mới có lợi hơn về mặt tài chính và thuận tiện hơn, nên ủng hộ việc tuân thủ.</t>
  </si>
  <si>
    <t>Nhà nước đã đầu tư công nghệ và nhân lực vào việc quản lý thuế, nên khả năng phát hiện trốn thuế cao hơn.</t>
  </si>
  <si>
    <t>Cơ quan thuế có nhiều nguồn lực hơn để xử lý các hành vi gian lận hoặc trốn thuế do công nghệ được nâng cấp.</t>
  </si>
  <si>
    <t>Thủ tục khai thuế và làm việc với cơ quan thuế trở nên đơn giản, dễ dàng hơn nhờ quy định rõ ràng.</t>
  </si>
  <si>
    <t>Bậc thuế được giảm từ 7 xuống còn 5, khiến quá trình tính toán thu nhập chịu thuế trở nên dễ hiểu và thực hiện nhanh chóng hơn.</t>
  </si>
  <si>
    <t>Mức thuế mới công bằng hơn với thu nhập của tôi và người dân cùng mức độ thu nhập khác, tạo cảm giác tin tưởng.</t>
  </si>
  <si>
    <t>Ngưỡng chịu thuế đã được điều chỉnh phù hợp với thực tế kinh tế, khiến mức thuế phải đóng trở nên công bằng hơn.</t>
  </si>
  <si>
    <t>Thẻ thuế mới sẽ hỗ trợ cải thiện các dịch vụ công như y tế và giao thông, tạo niềm tin về việc sử dụng tiền thuế hiệu quả.</t>
  </si>
  <si>
    <t>Quyết định sửa đổi chính sách thuế đã được giải thích rõ ràng tại nhiều kênh thông tin, tăng tính minh bạch.</t>
  </si>
  <si>
    <t>Sau khi xem xét các quyền lợi và nghĩa vụ mới, tôi ủng hộ và tuân thủ chính sách thuế mới vì nó mang lại lợi ích cho tôi.</t>
  </si>
  <si>
    <t>Dù các quy định quản lý thuế đã được cải thiện, nhưng tôi vẫn lo ngại về việc phát hiện và xử lý hành vi gian lận hoặc trốn thuế.</t>
  </si>
  <si>
    <t>Nhà nước có khả năng kỹ thuật để phát hiện và xử lý các hành vi trốn thuế, nhưng thực tế việc này vẫn phụ thuộc vào sự hiệu quả của cơ quan thuế trong việc quản lý.</t>
  </si>
  <si>
    <t>Thủ tục khai báo thuế và quy trình làm việc với cơ quan thuế đã đơn giản hơn so với trước đây, giúp giảm bớt phiền toái cho người nộp thuế.</t>
  </si>
  <si>
    <t>Cách tính thuế và các bậc thuế mới đã trở nên rõ ràng và dễ hiểu hơn, giúp tôi dễ dàng tuân thủ hơn.</t>
  </si>
  <si>
    <t>Tôi tin rằng Nhà nước sẽ thực thi chính sách một cách công bằng, nhưng cần có thêm minh bạch về quy trình thực thi để tăng thêm niềm tin.</t>
  </si>
  <si>
    <t>Mức thuế mới được giảm so với trước đây, giúp tôi cảm thấy mức đóng là hợp lý và công bằng hơn.</t>
  </si>
  <si>
    <t>Số tiền thuế đóng sẽ được sử dụng hiệu quả để cải thiện dịch vụ công, mặc dù tôi mong muốn có thêm thông tin cụ thể về cách sử dụng</t>
  </si>
  <si>
    <t>Nhà nước đã giải thích rõ ràng lý do và mục tiêu của việc sửa đổi thuế, giúp tôi hiểu hơn về chính sách mới.</t>
  </si>
  <si>
    <t>Dựa trên các lợi ích mà chính sách mới mang lại, tôi ủng hộ và tuân thủ nó. Việc giảm trừ gia cảnh và đơn giản hóa biểu thuế đã tăng sự thuận tiện cho người nộp thuế.</t>
  </si>
  <si>
    <t>Việc tăng giảm trừ gia cảnh và đơn giản hóa biểu thuế có thể làm giảm khả năng phát hiện hành vi gian lận hoặc trốn thuế, nhưng vẫn tin rằng cơ quan thuế sẽ xử lý nghiêm túc.</t>
  </si>
  <si>
    <t>Cơ sở hạ tầng công nghệ thông tin và nhân lực của nhà nước đang ngày càng phát triển, nên khả năng phát hiện gian lận thuế được cải thiện so với trước đây.</t>
  </si>
  <si>
    <t>So với trước đây, quy trình khai báo thuế đơn giản hơn, nhưng vẫn cần thời gian để quen thuộc với các thay đổi mới.</t>
  </si>
  <si>
    <t>Biểu thuế được đơn giản hóa thành 5 bậc, dễ hiểu và thực hiện hơn so với trước đây với 7 bậc.</t>
  </si>
  <si>
    <t>Lưu ý rằng mức thuế mới có thể công bằng đối với người nộp thuế như tôi, nhưng vẫn có sự nghi ngờ về cách thực thi chính sách.</t>
  </si>
  <si>
    <t>Mức thuế mới sau khi giảm trừ gia cảnh phù hợp với thu nhập của tôi và được coi là công bằng.</t>
  </si>
  <si>
    <t>Nhà nước đã đầu tư nhiều vào các dịch vụ công, nên tin rằng số tiền thuế đóng sẽ được sử dụng hiệu quả.</t>
  </si>
  <si>
    <t>Dù chưa đầy đủ nhưng thông tin về việc cải cách thuế đã được giải thích một cách rõ ràng.</t>
  </si>
  <si>
    <t>Tuy phải đóng ít hơn so với trước đây, nhưng vẫn cần thời gian để hoàn toàn tin tưởng vào sự công bằng của chính sách mới.</t>
  </si>
  <si>
    <t>Nhà nước đã đầu tư nhiều vào công nghệ và nhân lực để quản lý thuế hiệu quả hơn, tuy nhiên, việc phát hiện trốn thuế hoàn toàn phụ thuộc vào sự tận tụy của các cơ quan chức năng.</t>
  </si>
  <si>
    <t>Quy trình khai báo thuế trở nên đơn giản hơn với mức giảm trừ gia cảnh cao hơn, giúp người dân dễ dàng hơn trong việc thực hiện thủ tục.</t>
  </si>
  <si>
    <t>Biểu thuế mới có ít bậc và rõ ràng hơn so với trước đây, làm cho quá trình tính thuế trở nên thuận tiện và dễ hiểu hơn.</t>
  </si>
  <si>
    <t>Tôi tin rằng cơ quan thuế sẽ thực thi chính sách một cách công bằng, nhưng vẫn cần sự minh bạch trong việc áp dụng các quy định mới.</t>
  </si>
  <si>
    <t>Mức thuế mới tôi phải đóng là hợp lý cho thu nhập của tôi và gia đình, điều này tạo cảm giác công bằng.</t>
  </si>
  <si>
    <t>Tôi tin rằng số tiền thuế đóng sẽ được sử dụng hiệu quả để cải thiện dịch vụ công, mặc dù cần có thêm minh bạch về cách sử dụng nguồn thu</t>
  </si>
  <si>
    <t>Nhà nước đã giải thích rõ ràng về mục tiêu của việc sửa đổi thuế, nhưng vẫn có thể cải thiện trong việc truyền thông và tiếp cận người dân.</t>
  </si>
  <si>
    <t>Tôi ủng hộ chính sách mới vì nó tạo ra sự công bằng hơn so với trước đây, giúp giảm gánh nặng tài chính cho gia đình tôi.</t>
  </si>
  <si>
    <t>Điều kiện hiện tại không có thông tin cụ thể về khả năng phát hiện hành vi gian lận hoặc trốn thuế, do đó tôi chỉ đánh giá ở mức trung bình.</t>
  </si>
  <si>
    <t>Cơ quan thuế đã tăng cường công nghệ và nguồn lực để quản lý thuế, tuy nhiên, không có thông tin cụ thể về khả năng thực hiện, do đó tôi cũng chỉ đánh giá ở mức trung bình.</t>
  </si>
  <si>
    <t>Các quy trình khai báo thuế đơn giản hơn, giảm bớt các thủ tục rườm rà, giúp việc làm việc với cơ quan thuế dễ dàng hơn.</t>
  </si>
  <si>
    <t>Biểu thuế đơn giản hóa từ 7 bậc xuống còn 5 bậc, do đó việc tính toán và thực hiện các bước chịu thuế trở nên dễ dàng hơn.</t>
  </si>
  <si>
    <t>Ngưỡng giảm trừ gia cảnh tăng lên, giảm gánh nặng về mặt tài chính cho người dân, tôi tin rằng điều này thể hiện sự công bằng trong việc thực thi chính sách.</t>
  </si>
  <si>
    <t>Thu nhập của tôi nằm ở mức trung bình nên mức thuế mới hợp lý với thu nhập hiện tại của tôi, tạo cảm giác công bằng.</t>
  </si>
  <si>
    <t>Tiết kiệm được chi phí về mặt tài chính, đồng thời việc cải thiện dịch vụ công như y tế và giao thông dự kiến sẽ mang lại lợi ích cho người dân.</t>
  </si>
  <si>
    <t>Đã có thông tin rõ ràng về mục tiêu và lý do thay đổi thuế lần này, tuy nhiên cần thêm thông tin chi tiết để đánh giá cao hơn.</t>
  </si>
  <si>
    <t>Sau khi xem xét các quyền lợi và nghĩa vụ, tôi ủng hộ và tuân thủ chính sách mới hiện nay do nó tạo ra sự công bằng và giảm gánh nặng về mặt tài chính cho người dân.</t>
  </si>
  <si>
    <t>Biện pháp quản lý thuế hiện tại vẫn còn khó kiểm soát hành vi gian lận, nhưng cải cách mới có thể giúp giảm cơ hội trốn thuế.</t>
  </si>
  <si>
    <t>Cơ quan thuế đã đầu tư công nghệ mới để phát hiện và xử lý nhanh chóng các hành vi trốn thuế, tạo thêm khả năng quản lý hiệu quả hơn.</t>
  </si>
  <si>
    <t>Quy trình khai báo thuế trở nên đơn giản, thủ tục ít rườm rà hơn so với trước đây, dễ dàng tiếp cận và thực hiện hơn.</t>
  </si>
  <si>
    <t>Biểu thuế được đơn giản hóa từ 7 bậc xuống 5 bậc, dễ hiểu và dễ áp dụng hơn cho người dân bình thường.</t>
  </si>
  <si>
    <t>Tôi tin rằng Nhà nước sẽ thực thi chính sách một cách công bằng vì các mức giảm trừ gia cảnh mới đã được điều chỉnh phù hợp với thu nhập thực tế của người dân.</t>
  </si>
  <si>
    <t>Mức thuế mới đóng góp tương xứng với thu nhập, tôi thấy nó là công bằng đối với người có thu nhập như tôi.</t>
  </si>
  <si>
    <t>Thuế tôi đóng sẽ được sử dụng hiệu quả để cải thiện dịch vụ công, từ đó mang lại lợi ích cho cộng đồng và cá nhân tôi.</t>
  </si>
  <si>
    <t>Nhà nước đã giải thích rõ ràng mục tiêu cải cách thuế, cũng như lý do đưa ra các thay đổi này.</t>
  </si>
  <si>
    <t>Tôi ủng hộ và tuân thủ chính sách mới vì nó mang lại lợi ích về mặt tài chính cho tôi, đồng thời đơn giản hóa quy trình khai thuế.</t>
  </si>
  <si>
    <t>Cơ quan thuế đã cải thiện trong việc sử dụng công nghệ, nhưng không loại trừ khả năng vẫn còn sơ hở về mặt quản lý.</t>
  </si>
  <si>
    <t>Thủ tục khai báo thuế trở nên đơn giản hơn, đặc biệt là với mức giảm trừ gia cảnh cao hơn và số bậc thuế ít hơn. Tuy nhiên, vẫn còn một số bước cần cải thiện.</t>
  </si>
  <si>
    <t>Cách tính thuế và các bậc thuế mới dễ hiểu hơn so với trước đây, đặc biệt là khi mức giảm trừ gia cảnh tăng lên.</t>
  </si>
  <si>
    <t>Tôi tin rằng cơ quan thuế sẽ thực hiện chính sách một cách công bằng, nhưng vẫn có những lo ngại về sự công bằng giữa các nhóm thu nhập khác nhau.</t>
  </si>
  <si>
    <t>Mức thuế mới đối với thu nhập của tôi là hợp lý, giảm gánh nặng tài chính và tăng niềm tin vào hệ thống thuế.</t>
  </si>
  <si>
    <t>Tài nguyên thuế được sử dụng để cải thiện dịch vụ công có thể tạo ra hiệu quả xã hội, nhưng cần đảm bảo rằng việc đầu tư này mang lại lợi ích thực tế cho người dân.</t>
  </si>
  <si>
    <t>Nhà nước đã giải thích rõ ràng về mục tiêu của chính sách mới, nhưng vẫn có những vấn đề liên quan đến sự minh bạch và khả năng giám sát.</t>
  </si>
  <si>
    <t>Tôi ủng hộ chính sách thuế mới vì nó mang lại lợi ích cho người dân như tôi, giảm gánh nặng tài chính và tăng niềm tin vào hệ thống thuế.</t>
  </si>
  <si>
    <t>Trong tình hình hiện tại, mặc dù tôi không có thông tin cụ thể về hệ thống quản lý thuế mới, nhưng với mức giảm trừ gia cảnh cao hơn trước, tôi tin rằng cơ quan thuế sẽ dễ dàng phát hiện và xử lý các hành vi trốn thuế.</t>
  </si>
  <si>
    <t>Như đã đề cập, tôi dựa trên mức giảm trừ gia cảnh cao hơn để đánh giá khả năng kiểm soát của cơ quan thuế, mặc dù không có thông tin cụ thể về công nghệ và nguồn lực.</t>
  </si>
  <si>
    <t>So với trước đây, với các bước tính thuế đơn giản hóa, quy trình làm việc với cơ quan thuế chắc chắn sẽ thuận tiện hơn cho người dân như tôi.</t>
  </si>
  <si>
    <t>Bậc thuế mới ít và rõ ràng hơn giúp quá trình tính toán thuế trở nên dễ dàng hơn so với trước đây, dù vẫn còn phức tạp đối với những người không quen thuộc.</t>
  </si>
  <si>
    <t>Tôi tin rằng Nhà nước sẽ thực thi chính sách một cách công bằng và minh bạch, đặc biệt là khi mức giảm trừ gia cảnh cao hơn giúp giảm gánh nặng thuế cho người dân.</t>
  </si>
  <si>
    <t>Với mức thu nhập của tôi, việc phải đóng thuế thấp hơn trước đây là hợp lý và công bằng, vì vậy tôi thấy rằng chính sách mới này rất công bằng.</t>
  </si>
  <si>
    <t>Tôi tin tưởng số tiền thuế tôi đóng sẽ được sử dụng hiệu quả để cải thiện dịch vụ công, đặc biệt là y tế và giao thông mà tôi cần hàng ngày.</t>
  </si>
  <si>
    <t>Như đã đề cập, tôi không có thông tin cụ thể về cách giải thích của chính phủ, nhưng việc tăng giảm trừ gia cảnh rõ ràng hơn giúp tạo niềm tin vào sự minh bạch.</t>
  </si>
  <si>
    <t>Tổng kết các điểm trên, tôi ủng hộ và tuân thủ chính sách mới vì nó đơn giản hơn, công bằng và tôi có thể thấy lợi ích từ việc cải cách này.</t>
  </si>
  <si>
    <t>Điều kiện thực thi hiện tại không rõ ràng, nhưng mức thuế giảm đáng kể nên tôi vẫn tin rằng việc trốn thuế sẽ dễ bị phát hiện.</t>
  </si>
  <si>
    <t>Khả năng của Nhà nước và cơ quan thuế trong việc quản lý thuế đã cải thiện, đặc biệt là với các quy định mới đơn giản hơn.</t>
  </si>
  <si>
    <t>Thủ tục khai báo thuế trở nên dễ dàng hơn, nhưng vẫn cần thời gian để thích nghi.</t>
  </si>
  <si>
    <t>Cách tính thuế mới đơn giản hóa đáng kể so với trước đây, tạo sự rõ ràng và dễ thực hiện hơn.</t>
  </si>
  <si>
    <t>Tôi tin rằng chính sách mới sẽ được thực thi công bằng đối với mọi người nộp thuế.</t>
  </si>
  <si>
    <t>Mức thuế giảm đáng kể, tạo cảm giác công bằng so với trước đây.</t>
  </si>
  <si>
    <t>Thuế giảm nhưng tôi tin rằng số tiền sẽ được sử dụng hiệu quả cho các dịch vụ công.</t>
  </si>
  <si>
    <t>Nhà nước đã giải thích rõ ràng về mục tiêu cải cách, tạo niềm tin trong việc thực hiện chính sách mới.</t>
  </si>
  <si>
    <t>Chính sách mới phù hợp với tôi và mang lại lợi ích rõ rệt, do đó tôi ủng hộ và tuân thủ nó.</t>
  </si>
  <si>
    <t>Nhà nước đã đầu tư công nghệ để phát hiện trốn thuế, tuy nhiên, các quy định quản lý thuế vẫn còn nhiều vấn đề cần khắc phục.</t>
  </si>
  <si>
    <t>So với trước đây, quá trình khai báo thuế trở nên đơn giản hơn, thủ tục làm việc với cơ quan thuế thuận lợi hơn nhiều.</t>
  </si>
  <si>
    <t>Biểu thuế mới rõ ràng và dễ hiểu hơn so với cũ, giảm bớt sự phức tạp cho người dân cần tính toán.</t>
  </si>
  <si>
    <t>Tôi tin rằng chính phủ sẽ thực thi công bằng nhưng vẫn có thể có những bất cập trong quá trình quản lý thuế.</t>
  </si>
  <si>
    <t>Mức thuế mới giảm đáng kể so với trước đây, tôi thấy đây là mức hợp lý cho thu nhập của mình.</t>
  </si>
  <si>
    <t>Thuế được sử dụng để cải thiện dịch vụ công, nhưng hiệu quả sử dụng nguồn lực vẫn cần được giám sát chặt chẽ.</t>
  </si>
  <si>
    <t>Nhà nước đã giải thích rõ ràng về mục tiêu của chính sách mới, tuy nhiên, tôi hy vọng sẽ có thêm thông tin về cách sử dụng nguồn thuế.</t>
  </si>
  <si>
    <t>Tôi ủng hộ và tuân thủ chính sách mới do nó mang lại lợi ích tài chính cho tôi và người dân trong vùng.</t>
  </si>
  <si>
    <t>Nhà nước và cơ quan thuế có đủ khả năng công nghệ để phát hiện, xử lý trốn thuế. Tuy nhiên, hiệu quả thực tế còn phụ thuộc vào việc thực thi.</t>
  </si>
  <si>
    <t>Quy trình khai báo thuế và làm việc với cơ quan thuế trở nên đơn giản hơn, nhưng vẫn cần thời gian để người dân thích ứng.</t>
  </si>
  <si>
    <t>Các bậc thuế mới đơn giản và dễ hiểu hơn so với trước đây. Việc giảm số bậc thuế giúp người nộp thuế dễ thực hiện.</t>
  </si>
  <si>
    <t>Tôi tin rằng Nhà nước sẽ công bằng trong việc thực thi chính sách, nhưng sự công bằng còn phụ thuộc vào cách áp dụng cụ thể.</t>
  </si>
  <si>
    <t>Mức thuế mới giảm đi đáng kể so với trước đây. Việc tăng mức giảm trừ gia cảnh và đơn giản hóa biểu thuế giúp tôi thấy rằng mức thuế này là hợp lý đối với thu nhập của tôi.</t>
  </si>
  <si>
    <t>Tôi tin số tiền thuế đóng sẽ được sử dụng hiệu quả để cải thiện dịch vụ công. Tuy nhiên, việc kiểm tra cụ thể về cách sử dụng nguồn ngân sách vẫn cần có.</t>
  </si>
  <si>
    <t>Nhà nước đã giải thích rõ ràng về mục tiêu của chính sách mới. Mặc dù vậy, tôi mong muốn có thêm thông tin chi tiết về các quyết định cụ thể và cách sử dụng nguồn ngân sách.</t>
  </si>
  <si>
    <t>Sau khi xem xét các quyền lợi và nghĩa vụ, tôi ủng hộ chính sách mới. Mức thuế giảm đi giúp tôi thấy rằng mình đóng góp công bằng cho xã hội.</t>
  </si>
  <si>
    <t>Nhìn chung, tôi tin rằng với sự phát triển của công nghệ và tăng cường quản lý thuế, hành vi gian lận hoặc trốn thuế sẽ dễ bị phát hiện. Tuy nhiên, vẫn có khả năng một số người cố tình che giấu thông tin để tránh bị phát hiện.</t>
  </si>
  <si>
    <t>Nhà nước và cơ quan thuế đã đầu tư công nghệ hiện đại để giám sát và quản lý thuế. Tuy nhiên, hiệu quả thực tế phụ thuộc vào việc triển khai và sử dụng công nghệ một cách hiệu quả.</t>
  </si>
  <si>
    <t>Quy trình làm việc với cơ quan thuế trở nên dễ dàng hơn, thủ tục khai báo thuế đơn giản hơn. Điều này giúp người dân không còn cảm thấy bị bối rối khi thực hiện các nghĩa vụ thuế.</t>
  </si>
  <si>
    <t>Biểu thuế mới với số bậc giảm từ 7 xuống 5 và việc tăng mức giảm trừ gia cảnh khiến quá trình tính thuế trở nên dễ hiểu hơn. Tuy nhiên, cần thời gian để quen thuộc.</t>
  </si>
  <si>
    <t>Tôi tin rằng Nhà nước sẽ thực thi chính sách một cách công bằng và minh bạch. Việc tăng mức giảm trừ gia cảnh giúp tôi cảm thấy được đối xử công bằng hơn.</t>
  </si>
  <si>
    <t>Mức thuế mới phù hợp với thu nhập của tôi, khiến tôi cảm thấy việc đóng thuế là một nghĩa vụ bình thường và công bằng.</t>
  </si>
  <si>
    <t>Tôi tin rằng số tiền thuế tôi đóng sẽ được sử dụng hiệu quả để cải thiện các dịch vụ công. Việc tăng mức giảm trừ gia cảnh giúp tôi cảm thấy việc đóng thuế có ích hơn.</t>
  </si>
  <si>
    <t>Nhà nước đã giải thích rõ ràng về mục tiêu của việc sửa đổi chính sách thuế. Tuy nhiên, việc thực thi các quy định mới cần thêm thời gian để người dân hiểu và tuân thủ.</t>
  </si>
  <si>
    <t>Sau khi xem xét tất cả các yếu tố trên, tôi ủng hộ và sẽ tuân thủ chính sách mới. Việc giảm thuế và đơn giản hóa quy trình làm việc với cơ quan thuế giúp tôi cảm thấy hài lòng.</t>
  </si>
  <si>
    <t>Quy trình khai báo thuế và làm việc với cơ quan thuế có thể đơn giản hơn nhờ mức giảm trừ gia cảnh cao, nhưng vẫn cần cải thiện.</t>
  </si>
  <si>
    <t>Biểu thuế đã được đơn giản hóa, các bậc thuế rõ ràng hơn, do đó dễ thực hiện và hiểu hơn so với trước đây.</t>
  </si>
  <si>
    <t>Nhà nước đã tăng giảm trừ gia cảnh, do đó tôi tin rằng việc thực thi chính sách mới sẽ công bằng đối với mọi người nộp thuế.</t>
  </si>
  <si>
    <t>Mức thuế mà tôi phải đóng theo phương án mới là hợp lý và công bằng, đặc biệt khi giảm trừ gia cảnh cao hơn so với trước đây.</t>
  </si>
  <si>
    <t>Tôi tin rằng số tiền thuế mà tôi đóng sẽ được sử dụng hiệu quả để cải thiện dịch vụ công, giúp nâng cao chất lượng cuộc sống của người dân.</t>
  </si>
  <si>
    <t>Nhà nước đã giải thích rõ ràng về mục tiêu và lý do sửa đổi thuế trong lần này, tạo sự minh bạch cho người dân.</t>
  </si>
  <si>
    <t>Tôi ủng hộ chính sách mới vì nó có lợi cho tôi và gia đình, giảm gánh nặng tài chính mà không làm mất đi tính công bằng.</t>
  </si>
  <si>
    <t>Nước ta đã có nhiều nỗ lực trong việc tăng cường quản lý thuế, nhưng vẫn còn nhiều thách thức. Tuy nhiên, với sự phát triển của công nghệ, khả năng phát hiện hành vi gian lận hoặc trốn thuế sẽ cao hơn.</t>
  </si>
  <si>
    <t>Cơ quan thuế có đủ nguồn lực và công nghệ để giám sát các hoạt động tài chính cá nhân. Tuy nhiên, vẫn còn cần cải thiện trong việc xử lý hiệu quả thông tin</t>
  </si>
  <si>
    <t>Quy trình khai báo thuế trở nên đơn giản hơn với mức giảm trừ gia cảnh lớn hơn và số bậc thuế ít đi. Tuy nhiên, vẫn có những khó khăn về mặt thủ tục.</t>
  </si>
  <si>
    <t>Cách tính thuế mới rõ ràng hơn và dễ hiểu, giúp người dân nắm bắt nhanh chóng. Số bậc thuế giảm từ 7 xuống 5 đã làm cho việc tính toán trở nên đơn giản hơn</t>
  </si>
  <si>
    <t>Tôi tin rằng cơ quan thuế sẽ thực thi chính sách một cách khách quan và công bằng, nhưng vẫn có sự nghi ngờ về khả năng kiểm soát toàn diện của họ.</t>
  </si>
  <si>
    <t>Mức thuế mới giảm đáng kể so với trước đây nên tôi cảm thấy nó là hợp lý. Việc giảm trừ gia cảnh tăng lên cũng giúp việc chia sẻ gánh nặng thuế trở nên công bằng hơn</t>
  </si>
  <si>
    <t>Nhìn vào các dự án đầu tư của nhà nước, tôi tin rằng số tiền thuế đóng sẽ được sử dụng hiệu quả để cải thiện dịch vụ công. Tuy nhiên, vẫn cần nhiều thông tin chi tiết hơn về cách sử dụng nguồn thu</t>
  </si>
  <si>
    <t>Nhà nước đã giải thích khá rõ ràng về mục tiêu của việc sửa đổi thuế lần này, nhưng vẫn còn một số điểm chưa được làm rõ</t>
  </si>
  <si>
    <t>Tôi ủng hộ và tuân thủ chính sách mới vì nó mang lại nhiều quyền lợi cho tôi. Tôi tin rằng việc giảm trừ gia cảnh và đơn giản hóa thuế sẽ giúp cải thiện chất lượng cuộc sống.</t>
  </si>
  <si>
    <t>Các quy định hiện nay có nhiều cải tiến về công nghệ theo dõi, tuy nhiên vẫn còn thiếu trong việc giám sát tự giác của người dân.</t>
  </si>
  <si>
    <t>Nhà nước và cơ quan thuế đã đầu tư vào hệ thống quản lý thuế hiện đại, giúp phát hiện nhanh chóng các hành vi trốn thuế.</t>
  </si>
  <si>
    <t>Quy trình khai báo thuế trở nên đơn giản hơn với mức giảm trừ gia cảnh cao và số bậc thuế ít đi.</t>
  </si>
  <si>
    <t>Cách tính thuế mới rõ ràng, dễ hiểu và áp dụng thống nhất cho mọi người, phù hợp với thu nhập của bản thân.</t>
  </si>
  <si>
    <t>Tôi tin rằng Nhà nước sẽ thực thi chính sách một cách công bằng và minh bạch, không phân biệt đối xử.</t>
  </si>
  <si>
    <t>Mức thuế mới được thiết lập dựa trên thu nhập hiện tại của tôi, tôi thấy đây là mức thuế phù hợp.</t>
  </si>
  <si>
    <t>Thuê đóng góp vào việc cải thiện các dịch vụ công, như y tế và giao thông, giúp nâng cao chất lượng cuộc sống.</t>
  </si>
  <si>
    <t>Nhà nước đã giải thích rõ ràng về mục tiêu của chính sách mới, tôi thấy đây là một bước tiến tích cực.</t>
  </si>
  <si>
    <t>Sau khi tính toán lợi ích và nghĩa vụ, tôi ủng hộ và tuân thủ chính sách mới vì nó mang lại nhiều quyền lợi cho bản thân.</t>
  </si>
  <si>
    <t>Cơ quan thuế có nhiều công cụ để phát hiện hành vi trốn thuế, cộng với sự giám sát chặt chẽ hơn từ phía nhà nước nên tôi tin rằng việc gian lận sẽ bị xử lý nghiêm.</t>
  </si>
  <si>
    <t>Nhà nước đã đầu tư vào công nghệ và nguồn lực để quản lý thuế hiệu quả, do đó tôi có niềm tin rằng các hành vi trốn thuế sẽ được phát hiện và xử lý.</t>
  </si>
  <si>
    <t>So với trước đây, quy trình khai báo thuế đơn giản hơn nhiều, tiết kiệm thời gian và công sức của người dân.</t>
  </si>
  <si>
    <t>Công thức tính thuế mới rõ ràng hơn và dễ thực hiện, giúp tôi không còn cảm thấy bối rối khi đối mặt với các bậc thuế phức tạp trước đây.</t>
  </si>
  <si>
    <t>Việc Nhà nước tăng giảm trừ gia cảnh và đơn giản hóa biểu thuế thể hiện sự công bằng trong việc chia sẻ gánh nặng về thuế giữa người dân.</t>
  </si>
  <si>
    <t>Mức thuế mới phù hợp với thu nhập của tôi, do đó tôi cảm thấy rằng nó đã được thiết lập một cách công bằng và cân nhắc.</t>
  </si>
  <si>
    <t>Thuế đóng góp vào các dịch vụ công quan trọng như y tế và giao thông, điều này làm tăng sự tin tưởng của tôi về việc sử dụng hiệu quả số tiền thuế.</t>
  </si>
  <si>
    <t>Nhà nước đã giải thích rõ ràng mục tiêu của việc sửa đổi thuế lần này, giúp người dân hiểu được tầm quan trọng của chính sách mới.</t>
  </si>
  <si>
    <t>Sau khi xem xét tất cả các yếu tố trên, tôi ủng hộ và tuân thủ chính sách mới vì nó mang lại nhiều lợi ích về mặt tài chính và thuận tiện cho người dân.</t>
  </si>
  <si>
    <t>Hiện nay, công nghệ theo dõi thuế đã tiến bộ nhiều, nhưng vẫn phụ thuộc vào việc thực thi. Mức thuế giảm có thể làm tăng niềm tin vào sự công bằng.</t>
  </si>
  <si>
    <t>Nhà nước và cơ quan thuế có đủ khả năng phát hiện gian lận do hệ thống theo dõi và xử lý hiệu quả hơn trước</t>
  </si>
  <si>
    <t>Thủ tục đơn giản hơn, không còn nhiều bước phức tạp như trước</t>
  </si>
  <si>
    <t>Bậc thuế giảm đi và cách tính thuế rõ ràng hơn, dễ thực hiện</t>
  </si>
  <si>
    <t>Thuế giảm nên cảm thấy công bằng hơn so với trước đây</t>
  </si>
  <si>
    <t>Mức thuế mới phù hợp với thu nhập của tôi, cho thấy tính công bằng trong việc đánh thuế</t>
  </si>
  <si>
    <t>Thuế giảm có thể dẫn đến cải thiện dịch vụ công, tạo niềm tin vào hiệu quả sử dụng nguồn lực</t>
  </si>
  <si>
    <t>Lý do và mục tiêu của việc sửa đổi thuế đã được giải thích rõ ràng</t>
  </si>
  <si>
    <t>Đánh thuế ít hơn mang lại lợi ích, đồng thời cảm thấy công bằng nên tôi sẽ ủng hộ và tuân thủ chính sách mới.</t>
  </si>
  <si>
    <t>Dù không có thêm thông tin về quản lý thuế, nhưng với mức giảm trừ gia cảnh tăng mạnh và số bậc thuế đơn giản hơn, khả năng phát hiện gian lận hoặc trốn thuế có thể cao hơn.</t>
  </si>
  <si>
    <t>Nhà nước đã cải cách hệ thống thuế, nên có công nghệ và nguồn lực để quản lý hiệu quả hơn</t>
  </si>
  <si>
    <t>Thủ tục đơn giản hóa và giảm trừ gia cảnh tăng giúp việc khai báo thuế dễ dàng hơn</t>
  </si>
  <si>
    <t>Bậc thuế mới đơn giản, dễ hiểu và thực hiện thuận tiện hơn</t>
  </si>
  <si>
    <t>Trách nhiệm công bằng trong việc cải cách hệ thống thuế đã được giải thích rõ ràng</t>
  </si>
  <si>
    <t>Đối với thu nhập của tôi, mức thuế mới có vẻ hợp lý và công bằng hơn so với trước đây</t>
  </si>
  <si>
    <t>Việc giảm trừ gia cảnh tăng giúp số tiền đóng thuế hợp lý, do đó tin tưởng vào việc sử dụng hiệu quả</t>
  </si>
  <si>
    <t>Nhà nước đã giải thích rõ ràng về mục tiêu cải cách và mức độ công bằng trong việc thay đổi hệ thống thuế</t>
  </si>
  <si>
    <t>Chính sách mới giúp tôi tiết kiệm được tiền, do đó tôi ủng hộ và tuân thủ</t>
  </si>
  <si>
    <t>Việc tăng mức giảm trừ gia cảnh và đơn giản hóa biểu thuế có thể làm giảm khả năng phát hiện trốn thuế, do đó giảm độ tin cậy của việc quản lý thuế.</t>
  </si>
  <si>
    <t>Trong thực tế, công nghệ hiện đại đã hỗ trợ cơ quan thuế trong việc phát hiện gian lận thuế, nhưng mức độ hiệu quả phụ thuộc vào nhân lực và chiến lược quản lý của họ.</t>
  </si>
  <si>
    <t>Quy trình khai báo thuế trở nên đơn giản hơn với mức giảm trừ gia cảnh cao hơn và số bậc thuế ít đi, làm cho việc thực hiện thủ tục trở nên thuận tiện hơn.</t>
  </si>
  <si>
    <t>Biểu thuế mới rõ ràng hơn, dễ hiểu và dễ áp dụng so với trước đây, khiến quá trình tính toán thuế trở nên đơn giản và nhanh chóng.</t>
  </si>
  <si>
    <t>Nhà nước đã nâng cao mức giảm trừ gia cảnh, do đó việc thực thi chính sách mới công bằng hơn cho người dân với thu nhập thấp như tôi.</t>
  </si>
  <si>
    <t>Mức thuế theo phương án mới phù hợp với thu nhập của tôi, tạo cảm giác công bằng và tương xứng với đóng góp vào ngân sách nhà nước.</t>
  </si>
  <si>
    <t>Tăng mức giảm trừ gia cảnh giúp số tiền thuế tôi đóng được phân bổ hiệu quả hơn cho các dịch vụ công, từ đó nâng cao niềm tin của tôi về việc sử dụng tiền thuế một cách minh bạch.</t>
  </si>
  <si>
    <t>Nhà nước đã giải thích rõ ràng về mục tiêu và lý do của việc sửa đổi luật thuế, mặc dù có thể còn nhiều ý kiến trái chiều nhưng tôi cho rằng thông tin được cung cấp là đầy đủ.</t>
  </si>
  <si>
    <t>Tôi ủng hộ chính sách mới vì nó mang lại lợi ích thực tế như giảm gánh nặng thuế và nâng cao hiệu quả sử dụng tiền thuế, đồng thời tạo ra cảm giác công bằng trong việc phân phối thu nhập.</t>
  </si>
  <si>
    <t>Hệ thống quản lý thuế hiện nay đã có nhiều cải tiến, nhưng vẫn còn một số rủi ro về mặt kỹ thuật và con người. Tuy nhiên, với việc giảm trừ gia cảnh tăng lên, tôi tin rằng việc trốn thuế sẽ bị phát hiện sớm hơn.</t>
  </si>
  <si>
    <t>Cơ quan thuế đã đầu tư vào công nghệ, tuy vậy vấn đề về quản lý dữ liệu và khả năng ứng dụng công nghệ vẫn còn hạn chế. Tuy nhiên, việc đơn giản hóa biểu thuế sẽ giúp giảm bớt áp lực cho người dân.</t>
  </si>
  <si>
    <t>Quy trình khai báo thuế trở nên dễ dàng hơn với các bước đơn giản và chính xác. Các ứng dụng điện tử cũng đã được sử dụng rộng rãi, tạo thuận lợi cho việc làm việc với cơ quan thuế.</t>
  </si>
  <si>
    <t>Biểu thuế mới có ít bậc hơn nên dễ hiểu và thực hiện đơn giản hơn so với trước đây. Tuy nhiên, người dân cần thời gian để thích ứng với các thay đổi này.</t>
  </si>
  <si>
    <t>Tôi tin rằng cơ quan thuế sẽ thực thi chính sách một cách công bằng và khách quan. Việc giảm trừ gia cảnh tăng lên cho thấy sự coi trọng của Nhà nước đối với người dân.</t>
  </si>
  <si>
    <t>Mức thuế mới phù hợp với thu nhập của tôi, giúp tôi cảm thấy rằng mình đóng góp công bằng vào ngân sách nhà nước. Việc giảm trừ gia cảnh tăng lên cũng làm cho mức thuế này trở nên hợp lý.</t>
  </si>
  <si>
    <t>Tôi tin tưởng số tiền thuế tôi đóng sẽ được sử dụng hiệu quả để cải thiện dịch vụ công, đặc biệt là y tế và giao thông. Việc giảm trừ gia cảnh tăng lên cho thấy chính phủ quan tâm đến lợi ích của người dân.</t>
  </si>
  <si>
    <t>Nhà nước đã giải thích rõ ràng về mục tiêu của việc sửa đổi thuế, mặc dù có thể cần thêm thông tin để hiểu sâu hơn về cách sử dụng ngân sách thu được từ thuế.</t>
  </si>
  <si>
    <t>Tôi ủng hộ và tuân thủ chính sách mới vì nó giúp tôi tiết kiệm được một khoản tiền đáng kể, đồng thời tạo ra một môi trường thuế công bằng hơn. Tôi tin rằng việc này sẽ thúc đẩy sự phát triển kinh tế và xã hội.</t>
  </si>
  <si>
    <t>Tăng mức giảm trừ gia cảnh và đơn giản hóa biểu thuế có thể làm tăng khó khăn trong việc phát hiện hành vi gian lận hoặc trốn thuế.</t>
  </si>
  <si>
    <t>Cơ quan thuế Việt Nam đã có nhiều cải tiến về công nghệ, tuy nhiên, mức độ thực thi vẫn phụ thuộc vào sự tuân thủ của người dân và cơ sở dữ liệu thuế còn hạn chế.</t>
  </si>
  <si>
    <t>Quy trình khai báo thuế trở nên đơn giản hơn với việc giảm số bậc thuế, tuy nhiên, người nộp thuế vẫn cần thời gian để quen thuộc với quy định mới.</t>
  </si>
  <si>
    <t>Các bậc thuế mới rõ ràng và dễ hiểu hơn so với trước đây, giúp quá trình tính thuế trở nên đơn giản hơn cho người dân.</t>
  </si>
  <si>
    <t>Mức thuế mới được giảm so với trước đây, tôi thấy điều này là hợp lý cho thu nhập hiện tại của mình.</t>
  </si>
  <si>
    <t>Thuế đóng góp vào việc nâng cao chất lượng dịch vụ công và hạ tầng, tôi tin tưởng số tiền thuế tôi đóng sẽ được sử dụng hiệu quả.</t>
  </si>
  <si>
    <t>Chính phủ đã giải thích rõ ràng về mục đích của việc sửa đổi chính sách thuế lần này, mặc dù vẫn có một số nghi ngờ về thông tin cung cấp.</t>
  </si>
  <si>
    <t>Tôi ủng hộ và sẽ tuân thủ chính sách mới vì nó mang lại lợi ích đáng kể cho tôi và gia đình.</t>
  </si>
  <si>
    <t>Hiện nay, cơ quan thuế có nhiều biện pháp quản lý và công nghệ hiện đại nên việc phát hiện hành vi gian lận hoặc trốn thuế là khả thi.</t>
  </si>
  <si>
    <t>Nhà nước đã đầu tư vào công nghệ và đào tạo đội ngũ nhân viên để nâng cao hiệu quả quản lý, giảm thiểu các trường hợp vi phạm.</t>
  </si>
  <si>
    <t>Quy trình khai báo thuế trở nên đơn giản hơn với việc tăng mức giảm trừ gia cảnh và số bậc thuế, làm cho thủ tục dễ dàng hơn.</t>
  </si>
  <si>
    <t>Biểu thuế mới rõ ràng hơn với ít bậc thuế, giúp tính toán nhanh chóng và chính xác hơn so với trước đây.</t>
  </si>
  <si>
    <t>Tôi tin rằng các cơ quan thuế sẽ thực thi công bằng vì mức giảm trừ gia cảnh đã tăng, làm giảm gánh nặng tài chính cho người dân.</t>
  </si>
  <si>
    <t>Mức thuế mới phù hợp với thu nhập của tôi và có sự giảm nhẹ so với trước đây, thể hiện tính công bằng.</t>
  </si>
  <si>
    <t>Những khoản thuế đóng góp vào việc cải thiện các dịch vụ công như y tế và hạ tầng giao thông, điều này làm tăng niềm tin của tôi về cách sử dụng tiền thuế.</t>
  </si>
  <si>
    <t>Chính phủ đã giải thích rõ ràng về mục đích sửa đổi thuế nhưng cần cải thiện hơn nữa trong việc truyền đạt thông tin đến người dân.</t>
  </si>
  <si>
    <t>Tôi ủng hộ và sẽ tuân thủ chính sách mới vì lợi ích mà nó mang lại, bao gồm mức giảm trừ gia cảnh và sự đơn giản hóa quy trình thuế.</t>
  </si>
  <si>
    <t>Nếu quản lý thuế hiệu quả, việc phát hiện trốn thuế sẽ tăng. Tuy nhiên, với luật mới có nhiều thay đổi, khả năng phát hiện cần thời gian để điều chỉnh và hoàn thiện.</t>
  </si>
  <si>
    <t>Cơ quan thuế đã tăng cường công nghệ quản lý, nhưng hiệu quả thực thi vẫn phụ thuộc vào sự tuân thủ của các doanh nghiệp và cá nhân nộp thuế.</t>
  </si>
  <si>
    <t>So với trước đây, quy trình khai báo thuế đơn giản hơn. Tuy nhiên, mức độ thuận tiện còn phụ thuộc vào độ kỹ càng trong việc cung cấp thông tin.</t>
  </si>
  <si>
    <t>Biểu thuế mới có ít bậc hơn và rõ ràng hơn so với trước đây, giúp dễ dàng tính toán và thực hiện hơn.</t>
  </si>
  <si>
    <t>Tôi tin rằng nhà nước sẽ công tâm trong việc áp dụng các quy định, nhưng sự công bằng còn phụ thuộc vào cách quản lý và giám sát.</t>
  </si>
  <si>
    <t>Thuế mới giảm đáng kể so với trước đây nên tôi thấy mức thuế hiện tại là hợp lý. Điều này tăng độ tin cậy về tính công bằng của chính sách.</t>
  </si>
  <si>
    <t>Tiết kiệm được tiền thuế có thể mang lại lợi ích cho dịch vụ công, nhưng hiệu quả sử dụng ngân sách vẫn cần được giám sát chặt chẽ.</t>
  </si>
  <si>
    <t>Các giải thích về mục tiêu của chính sách mới khá rõ ràng, tuy nhiên tôi hy vọng sẽ có thêm thông tin về cách cụ thể tiền thuế được sử dụng.</t>
  </si>
  <si>
    <t>Tôi ủng hộ chính sách mới vì giảm gánh nặng thuế và tăng thuận tiện cho việc khai báo. Điều này giúp tôi tuân thủ dễ dàng hơn mà không ảnh hưởng đến lợi ích cá nhân.</t>
  </si>
  <si>
    <t>Dù các quy định quản lý thuế hiện nay đã được cải thiện, tôi vẫn lo ngại về khả năng phát hiện hành vi gian lận hoặc trốn thuế.</t>
  </si>
  <si>
    <t>Công nghệ và hệ thống của cơ quan thuế đã được nâng cấp, nhưng mức độ kiểm soát và xử lý nghiêm minh vẫn còn hạn chế.</t>
  </si>
  <si>
    <t>Quy trình khai báo thuế đơn giản hơn so với trước đây, việc nộp thuế qua mạng cũng tiện lợi hơn nhiều.</t>
  </si>
  <si>
    <t>Biểu thuế mới đơn giản và dễ hiểu hơn, giảm bớt rào cản trong quá trình tính toán và thực hiện.</t>
  </si>
  <si>
    <t>Tôi tin rằng Nhà nước sẽ cố gắng thực thi chính sách công bằng cho mọi người nộp thuế, nhưng vẫn có những lo ngại về sự khách quan.</t>
  </si>
  <si>
    <t>Mức thuế mới giảm đáng kể so với trước đây, tôi thấy điều này là công bằng đối với thu nhập của mình.</t>
  </si>
  <si>
    <t>Dù không hoàn toàn hiểu rõ cách sử dụng số tiền thuế đã đóng, tôi tin rằng nó sẽ được sử dụng hiệu quả cho các dịch vụ công.</t>
  </si>
  <si>
    <t>Tôi đồng ý với mục tiêu của chính sách mới, nhưng thông tin giải thích về lý do và mục tiêu còn hạn chế.</t>
  </si>
  <si>
    <t>Dựa trên tác động tài chính tích cực và sự đơn giản hóa quy trình, tôi ủng hộ và sẽ tuân thủ chính sách mới.</t>
  </si>
  <si>
    <t>Nhà nước và cơ quan thuế có nhiều biện pháp phát hiện hành vi gian lận, trốn thuế, nhưng hiệu quả phụ thuộc vào việc tuân thủ của cá nhân. Với mức giảm trừ gia cảnh tăng cao, khả năng bị phát hiện gian lận có thể thấp hơn.</t>
  </si>
  <si>
    <t>Cơ quan thuế có công nghệ và nguồn lực để giám sát và xử lý các hành vi trốn thuế, nhưng cần sự phối hợp từ phía người dân. Việc cải cách thuế giúp giảm rủi ro gian lận.</t>
  </si>
  <si>
    <t>Quy trình khai báo thuế đơn giản hơn và dễ hiểu hơn so với trước đây, đặc biệt là với mức thuế mới thấp hơn do giảm trừ gia cảnh tăng.</t>
  </si>
  <si>
    <t>Bậc thuế đơn giản hóa giúp tính toán và nộp thuế trở nên dễ dàng hơn. Việc giảm thuế cho người dân cũng tạo cảm giác thuận tiện.</t>
  </si>
  <si>
    <t>Tôi tin rằng Nhà nước sẽ thực thi chính sách một cách khách quan, nhưng do sự phức tạp của hệ thống quản lý thuế, vẫn có khả năng xảy ra sai sót.</t>
  </si>
  <si>
    <t>Mức giảm trừ gia cảnh và thuế suất mới tạo ra mức đóng góp hợp lý cho người dân như tôi. Đây là một cải tiến công bằng so với trước đây.</t>
  </si>
  <si>
    <t>Việc sử dụng số tiền thuế để cải thiện dịch vụ công sẽ tạo niềm tin vào sự hiệu quả của chính sách này.</t>
  </si>
  <si>
    <t>Nhà nước đã giải thích rõ ràng mục tiêu và lý do của việc cải cách thuế, nhưng vẫn có nhiều thông tin cần được cung cấp thêm để người dân hiểu đầy đủ hơn.</t>
  </si>
  <si>
    <t>Tôi ủng hộ chính sách mới vì nó giúp giảm gánh nặng về tài chính cho tôi và gia đình. Tuy nhiên, cần cải thiện sự minh bạch và hiệu quả trong việc sử dụng số tiền thuế thu được.</t>
  </si>
  <si>
    <t>Chính sách mới có lợi cho tôi, nhưng do còn nghi ngờ về cách thực thi, nên tôi không hoàn toàn ủng hộ.</t>
  </si>
  <si>
    <t>Khả năng của cơ quan thuế trong việc xử lý vi phạm cần thời gian để chứng minh.</t>
  </si>
  <si>
    <t>Quy trình khai báo và làm việc với cơ quan thuế đã đơn giản hơn, nhưng vẫn còn phức tạp đối với người không am hiểu về thuế.</t>
  </si>
  <si>
    <t>Các bậc thuế mới dễ dàng quản lý hơn so với trước đây, tôi thấy phương pháp tính toán đơn giản và rõ ràng hơn.</t>
  </si>
  <si>
    <t>Tôi tin rằng nhà nước sẽ thực thi chính sách công bằng đối với tất cả người nộp thuế.</t>
  </si>
  <si>
    <t>Mức giảm trừ gia cảnh và mức thuế mới là hợp lý cho thu nhập của tôi, tạo cảm giác công bằng.</t>
  </si>
  <si>
    <t>Thuế tôi đóng sẽ được sử dụng hiệu quả để cải thiện dịch vụ công, điều này tăng niềm tin vào Nhà nước.</t>
  </si>
  <si>
    <t>Nhà nước đã giải thích rõ về mục tiêu và lý do của việc sửa đổi thuế, nhưng vẫn cần thêm thông tin chi tiết hơn.</t>
  </si>
  <si>
    <t>Sau khi xem xét các quyền lợi và nghĩa vụ, tôi ủng hộ chính sách mới vì nó tạo ra sự công bằng và đơn giản hóa quy trình.</t>
  </si>
  <si>
    <t>Dù không có thông tin cụ thể về khả năng phát hiện hành vi gian lận, nhưng với mức giảm trừ gia cảnh tăng lên và việc đơn giản hóa biểu thuế, tôi cho rằng nguy cơ trốn thuế sẽ giảm. Tuy nhiên, vẫn cần thêm thông tin về công nghệ và quy trình quản lý của cơ quan thuế.</t>
  </si>
  <si>
    <t>Việc Nhà nước cải cách thuế với mức giảm trừ gia cảnh cao hơn và đơn giản hóa biểu thuế sẽ tăng khả năng phát hiện trốn thuế. Tuy nhiên, cần thêm thông tin về hệ thống công nghệ của cơ quan thuế.</t>
  </si>
  <si>
    <t>Quy trình làm việc với cơ quan thuế và thủ tục khai báo thuế trở nên đơn giản hơn so với trước đây. Bước tính thu nhập cũng dễ dàng hơn, nhưng cần thêm thông tin về ứng dụng thực tế.</t>
  </si>
  <si>
    <t>So với trước đây, cách tính thuế và các bậc thuế trong phương án mới đơn giản, dễ hiểu và dễ thực hiện. Việc giảm số bậc thuế từ 7 xuống 5 cũng giúp việc áp dụng biểu thuế trở nên dễ dàng hơn.</t>
  </si>
  <si>
    <t>Tôi tin rằng Nhà nước sẽ công bằng trong việc thực thi chính sách mới, nhưng cần thêm thông tin về cách thức và biện pháp cụ thể để kiểm tra độ khách quan của cơ quan thuế.</t>
  </si>
  <si>
    <t>Mức thuế tôi phải đóng theo phương án mới là công bằng. Với mức thu nhập hiện tại, việc giảm trừ gia cảnh cao hơn giúp tiết kiệm chi phí, do đó mức thuế này là hợp lý.</t>
  </si>
  <si>
    <t>Tôi tin rằng số tiền thuế tôi đóng sẽ được sử dụng hiệu quả để cải thiện dịch vụ công. Tuy nhiên, cần thêm thông tin về cách sử dụng nguồn thu từ thuế để đánh giá mức độ hiệu quả.</t>
  </si>
  <si>
    <t>Nhà nước đã giải thích rõ ràng lý do và mục tiêu của việc sửa đổi thuế trong báo cáo chính sách. Tuy nhiên, cần thêm thông tin chi tiết về quy trình triển khai để tôi có thể đánh giá mức độ minh bạch.</t>
  </si>
  <si>
    <t>Sau khi xem xét các quyền lợi và nghĩa vụ, tôi ủng hộ chính sách mới. Việc giảm trừ gia cảnh cao hơn và đơn giản hóa biểu thuế giúp tiết kiệm chi phí. Tôi sẽ tuân thủ chính sách mới.</t>
  </si>
  <si>
    <t>Các thủ tục khai báo thuế đã được đơn giản hóa, giảm số bước và cần cung cấp thông tin ít hơn. Điều này làm cho quá trình làm việc với cơ quan thuế trở nên thuận tiện hơn so với trước đây.</t>
  </si>
  <si>
    <t>Biểu thuế mới có số bậc giảm từ 7 xuống còn 5, tạo ra sự đơn giản hóa và dễ hiểu cho người dân. Điều này giúp việc tính toán thuế trở nên dễ dàng hơn và thuận tiện hơn.</t>
  </si>
  <si>
    <t>Nhà nước đã công bố minh bạch về các quy định mới, đảm bảo mọi người nộp thuế đều được đối xử công bằng. Điều này tăng cường niềm tin vào sự khách quan và công tâm trong quản lý thuế.</t>
  </si>
  <si>
    <t>Mức thuế tôi phải đóng theo phương án mới là hợp lý, phù hợp với thu nhập của mình. Việc giảm trừ gia cảnh tăng lên cũng giúp giảm gánh nặng về mặt tài chính cho tôi.</t>
  </si>
  <si>
    <t>Tôi tin rằng số tiền thuế đóng vào nhà nước sẽ được sử dụng hiệu quả để cải thiện chất lượng dịch vụ công, từ đó tạo ra một xã hội tốt hơn cho người dân như tôi và gia đình.</t>
  </si>
  <si>
    <t>Nhà nước đã giải thích rõ ràng về mục tiêu của việc sửa đổi thuế lần này. Điều này tăng cường sự minh bạch và trách nhiệm trong quản lý tài chính nhà nước.</t>
  </si>
  <si>
    <t>Tôi ủng hộ chính sách mới vì nó giúp giảm gánh nặng về mặt tài chính, đồng thời đơn giản hóa quy trình khai báo thuế. Tôi sẽ tuân thủ và hỗ trợ chính sách này.</t>
  </si>
  <si>
    <t>Nếu mức giảm trừ gia cảnh đã tăng cao hơn thu nhập của tôi, việc bị phát hiện trốn thuế sẽ không còn nhiều. Tuy nhiên, cơ quan thuế vẫn cần công nghệ và khả năng để kiểm soát.</t>
  </si>
  <si>
    <t>Nhà nước đã cải thiện đáng kể về công nghệ quản lý thuế, nhưng tôi vẫn nghi ngờ liệu họ có thể phát hiện hết các hành vi trốn thuế hay không.</t>
  </si>
  <si>
    <t>Khi không phải khai báo và đóng thuế, quy trình với cơ quan thuế của tôi trở nên đơn giản hơn nhiều. Điều này giúp tiết kiệm thời gian và công sức.</t>
  </si>
  <si>
    <t>Số bậc thuế giảm từ 7 xuống còn 5, cộng với việc tăng mức giảm trừ gia cảnh đã khiến việc tính toán trở nên dễ dàng hơn nhiều.</t>
  </si>
  <si>
    <t>Nhà nước thực hiện chính sách một cách công bằng và khách quan. Mức thuế mới phù hợp với thu nhập của tôi, giúp giảm gánh nặng tài chính</t>
  </si>
  <si>
    <t>Lần này, mức thuế tôi phải đóng thấp hơn so với trước đây và chỉ chiếm một phần nhỏ thu nhập hàng tháng. Điều này cho thấy mức thuế mới là hợp lý.</t>
  </si>
  <si>
    <t>Nhà nước sử dụng tiền thuế để cải thiện dịch vụ công như y tế, giáo dục và giao thông. Điều này giúp tôi tin tưởng vào việc sử dụng hiệu quả nguồn lực</t>
  </si>
  <si>
    <t>Tôi đã đọc kỹ thông báo về chính sách mới và thấy giải thích rõ ràng về mục tiêu của nó. Điều này làm tăng sự hiểu biết và lòng tin đối với Nhà nước.</t>
  </si>
  <si>
    <t>Với mức thuế thấp hơn và các quyền lợi được cải thiện, tôi ủng hộ và tuân thủ chính sách mới</t>
  </si>
  <si>
    <t>Như đã đề cập, Nhà nước có đủ khả năng và công nghệ để quản lý thuế nhưng do không phải đóng nên cảm giác yếu đi.</t>
  </si>
  <si>
    <t>Quy trình làm việc với cơ quan thuế đơn giản hơn, tuy nhiên vẫn cần thời gian để quen thuộc.</t>
  </si>
  <si>
    <t>Cách tính thuế và các bậc thuế mới đơn giản, dễ hiểu hơn so với trước đây.</t>
  </si>
  <si>
    <t>Tôi tin Nhà nước sẽ công tâm trong việc thực thi chính sách mới, nhưng do không phải đóng nên sự tin tưởng chưa cao.</t>
  </si>
  <si>
    <t>Mức thuế tôi phải đóng hợp lý so với thu nhập hiện tại và giảm trừ gia cảnh</t>
  </si>
  <si>
    <t>Thuế được sử dụng để cải thiện dịch vụ công, nhưng do không phải đóng nên cảm giác yếu đi.</t>
  </si>
  <si>
    <t>Nhà nước đã giải thích rõ ràng mục tiêu của việc sửa đổi thuế</t>
  </si>
  <si>
    <t>Dù không phải đóng thuế nhưng chính sách mới có lợi cho tôi nên tôi ủng hộ.</t>
  </si>
  <si>
    <t>Dựa trên sự cải tiến về quản lý thuế và mức thuế mới công bằng hơn, tôi ủng hộ và tuân thủ chính sách mới. Điều này cũng giúp giảm gánh nặng tài chính cho người dân như tôi.</t>
  </si>
  <si>
    <t>Những quy định quản lý thuế hiện tại khá rõ ràng, nhưng với mức giảm trừ gia cảnh cao hơn và số bậc thuế ít hơn, việc phát hiện hành vi gian lận hay trốn thuế có thể khó khăn hơn.</t>
  </si>
  <si>
    <t>Cơ quan thuế đã áp dụng công nghệ trong quản lý thuế nhưng vẫn cần cải thiện để đảm bảo hiệu quả và độ chính xác cao hơn trong phát hiện các hành vi trốn thuế.</t>
  </si>
  <si>
    <t>So với trước đây, quy trình làm việc với cơ quan thuế trở nên đơn giản hơn do giảm số bậc thuế và mức giảm trừ gia cảnh cao hơn.</t>
  </si>
  <si>
    <t>Cách tính thuế và các bậc thuế trong phương án mới dễ hiểu hơn, giúp người dân như tôi dễ dàng áp dụng.</t>
  </si>
  <si>
    <t>Tôi tin rằng Nhà nước sẽ thực thi chính sách một cách công bằng, vì mức thuế giảm đi đáng kể với thu nhập của tôi.</t>
  </si>
  <si>
    <t>Mức thuế mới đối với người như tôi là hợp lý, giúp tiết kiệm tiền cho gia đình.</t>
  </si>
  <si>
    <t>Thuê đóng vào ngân sách sẽ được sử dụng hiệu quả để cải thiện dịch vụ công và phát triển quốc gia.</t>
  </si>
  <si>
    <t>Nhà nước đã giải thích rõ ràng về mục tiêu của việc sửa đổi thuế, giúp tôi hiểu và ủng hộ chính sách mới.</t>
  </si>
  <si>
    <t>Tôi sẽ ủng hộ và tuân thủ chính sách mới vì lợi ích mà nó mang lại cho người dân như tôi.</t>
  </si>
  <si>
    <t>Năm 2023, cơ quan thuế đã tăng cường kiểm soát và công nghệ quản lý thuế ngày càng phát triển. Tuy nhiên, việc xử lý nghiêm các hành vi gian lận vẫn phụ thuộc vào sự quyết tâm của các bên liên quan.</t>
  </si>
  <si>
    <t>Ngoài việc tăng cường kiểm soát, cơ quan thuế cũng đã nâng cao năng lực công nghệ, nhưng mức độ thực hiện hiệu quả còn tùy thuộc vào quy định cụ thể và thực tế triển khai.</t>
  </si>
  <si>
    <t>Quy trình làm việc với cơ quan thuế đơn giản hơn do số bậc thuế giảm. Quá trình khai báo cũng thuận tiện hơn nhờ các ứng dụng điện tử, tuy nhiên vẫn cần cải thiện về độ chính xác và tốc độ phản hồi.</t>
  </si>
  <si>
    <t>Cách tính thuế rõ ràng hơn với số bậc giảm từ 7 xuống 5. Điều này giúp người dân dễ hiểu và thực hiện, nhưng cần thêm hướng dẫn chi tiết để tránh sai sót.</t>
  </si>
  <si>
    <t>Nhà nước đã công bố các quy định mới một cách minh bạch. Tuy nhiên, việc thực thi vẫn phụ thuộc vào sự tuân thủ và kiểm soát của cơ quan thuế.</t>
  </si>
  <si>
    <t>Thuế suất giảm đi phù hợp với thu nhập hiện tại của tôi, tạo cảm giác công bằng. Tuy nhiên, mức thuế mới chưa hoàn toàn phản ánh đầy đủ giá trị cung cấp của dịch vụ công.</t>
  </si>
  <si>
    <t>Thuế đóng góp vào việc cải thiện chất lượng dịch vụ công. Tuy nhiên, hiệu quả sử dụng nguồn lực còn phụ thuộc vào quản lý và giám sát của Nhà nước.</t>
  </si>
  <si>
    <t>Nhà nước đã giải thích rõ về mục tiêu của chính sách mới, nhưng có thể cần thêm thông tin chi tiết về các dự án cụ thể để tăng sự tin tưởng.</t>
  </si>
  <si>
    <t>Trách nhiệm thuế giảm đi phù hợp với thu nhập hiện tại. Tuy nhiên, tôi vẫn cần xem xét kỹ lưỡng trước khi tuân thủ chính sách mới.</t>
  </si>
  <si>
    <t>Khả năng công nghệ của Nhà nước chưa rõ ràng, nhưng với mức thuế thấp, sự phát hiện có thể không cần thiết.</t>
  </si>
  <si>
    <t>Quy trình đơn giản hơn trước, nhưng vẫn phức tạp đối với người phi chính thức.</t>
  </si>
  <si>
    <t>Bậc thuế giảm từ 7 xuống 5, dễ hiểu và thực hiện hơn.</t>
  </si>
  <si>
    <t>Chính sách mới không ảnh hưởng đến tôi nên công bằng, nhưng tôi vẫn nghi ngờ về thực thi.</t>
  </si>
  <si>
    <t>Mức thuế thấp hơn so với trước đây nên hợp lý đối với thu nhập của tôi.</t>
  </si>
  <si>
    <t>Thuế giảm, nhưng không rõ số tiền thuế đóng sẽ được sử dụng như thế nào.</t>
  </si>
  <si>
    <t>Nhà nước chưa giải thích rõ ràng về mục tiêu cải cách thuế lần này.</t>
  </si>
  <si>
    <t>Sau khi xem xét, tôi ủng hộ chính sách mới vì giảm thuế cho người dân.</t>
  </si>
  <si>
    <t>Quy định quản lý thuế hiện nay khá chặt chẽ và công nghệ hiện đại giúp phát hiện gian lận, trốn thuế dễ dàng hơn.</t>
  </si>
  <si>
    <t>Nhà nước đã đầu tư vào hệ thống công nghệ thông tin nên có đủ khả năng để xử lý nghiêm các hành vi trốn thuế.</t>
  </si>
  <si>
    <t>So với trước đây, quy trình làm việc với cơ quan thuế trở nên đơn giản hơn và tiện lợi hơn nhiều.</t>
  </si>
  <si>
    <t>Biểu thuế mới có ít bậc và dễ hiểu hơn, giúp tính toán thuế nhanh chóng và chính xác hơn.</t>
  </si>
  <si>
    <t>Tôi tin rằng Nhà nước sẽ thực thi chính sách một cách công bằng vì mức giảm trừ gia cảnh và số bậc thuế đã được điều chỉnh phù hợp với thu nhập của tôi.</t>
  </si>
  <si>
    <t>Theo phương án mới, mức thuế mà tôi đóng là hợp lý đối với thu nhập hiện tại của tôi.</t>
  </si>
  <si>
    <t>Tôi tin tưởng rằng số tiền thuế tôi đóng sẽ được sử dụng hiệu quả để cải thiện dịch vụ công như y tế và hạ tầng giao thông.</t>
  </si>
  <si>
    <t>Nhà nước đã giải thích rõ ràng về mục tiêu của việc sửa đổi thuế, tạo ra sự minh bạch trong quy trình này.</t>
  </si>
  <si>
    <t>Sau khi xem xét các quyền lợi và nghĩa vụ, tôi ủng hộ và sẽ tuân thủ chính sách mới vì nó có lợi cho người dân như tôi.</t>
  </si>
  <si>
    <t>Tôi cho rằng công nghệ và nguồn lực của cơ quan thuế đã cải thiện đáng kể, nhưng không chắc chắn mức độ cụ thể trong việc phát hiện gian lận.</t>
  </si>
  <si>
    <t>Quy trình khai báo trở nên đơn giản hơn với giảm trừ gia cảnh cao và số bậc thuế ít đi, thuận tiện cho người nộp thuế.</t>
  </si>
  <si>
    <t>Cách tính thuế rõ ràng hơn, số bậc thuế ít đi giúp việc tính toán dễ dàng hơn so với trước đây.</t>
  </si>
  <si>
    <t>Nhà nước đã điều chỉnh giảm trừ gia cảnh và cấp bậc thuế một cách công bằng cho mọi người nộp thuế.</t>
  </si>
  <si>
    <t>Với thu nhập của tôi, mức thuế mới vẫn không thay đổi nhiều so với trước đây, do đó tôi thấy hợp lý.</t>
  </si>
  <si>
    <t>Thuế tôi đóng được sử dụng để cải thiện dịch vụ công như y tế và hạ tầng, điều này tăng niềm tin của tôi vào việc đầu tư thuế</t>
  </si>
  <si>
    <t>Nhà nước đã giải thích rõ ràng về mục tiêu và lý do thay đổi thuế, khiến tôi cảm thấy chính sách được thực hiện một cách công bằng.</t>
  </si>
  <si>
    <t>Mặc dù không có sự thay đổi đáng kể trong mức thuế, nhưng các cải tiến về giảm trừ gia cảnh và quy trình khai báo tăng tính thuận tiện cho tôi</t>
  </si>
  <si>
    <t>Dù các quy định quản lý thuế có thể chưa hoàn hảo, nhưng với sự phát triển của công nghệ, khả năng phát hiện hành vi gian lận hoặc trốn thuế được cải thiện đáng kể.</t>
  </si>
  <si>
    <t>Cơ quan thuế đã đầu tư vào các hệ thống công nghệ thông tin nên khả năng quản lý và xử lý nghiêm túc các vấn đề về thuế có thể được đảm bảo.</t>
  </si>
  <si>
    <t>So với trước đây, quy trình khai báo thuế trở nên đơn giản hơn. Việc cung cấp thông tin trực tuyến đã giúp thuận tiện cho người dân nộp thuế.</t>
  </si>
  <si>
    <t>Số bậc thuế giảm đi và mức giảm trừ gia cảnh tăng lên làm cho việc tính toán thuế dễ dàng, minh bạch hơn so với trước đây.</t>
  </si>
  <si>
    <t>Tôi tin rằng Nhà nước sẽ thực thi chính sách một cách công bằng vì đã công bố rõ mục tiêu và phương án thay đổi.</t>
  </si>
  <si>
    <t>Mức thuế mới giảm đi đáng kể so với trước đây, giúp tôi cảm thấy mức đóng thuế là hợp lý hơn.</t>
  </si>
  <si>
    <t>Tiết kiệm được tiền thuế có thể được sử dụng để cải thiện các dịch vụ công như y tế và đường xá, do đó tôi tin tưởng số tiền mình đóng sẽ được sử dụng hiệu quả.</t>
  </si>
  <si>
    <t>Nhà nước đã giải thích rõ ràng về mục tiêu của việc thay đổi thuế lần này, giúp người dân hiểu và ủng hộ chính sách mới.</t>
  </si>
  <si>
    <t>Sau khi xem xét các quyền lợi và nghĩa vụ, tôi đồng ý với chính sách mới và sẽ tuân thủ nó.</t>
  </si>
  <si>
    <t xml:space="preserve">Cơ quan thuế có nhiều công cụ kỹ thuật để giám sát, nhưng khả năng thực thi vẫn cần cải thiện. </t>
  </si>
  <si>
    <t>Quy trình khai báo thuế trở nên đơn giản hơn, giảm thời gian chờ đợi và thuận tiện cho người dân.</t>
  </si>
  <si>
    <t>Tôi tin rằng Nhà nước sẽ thực thi chính sách một cách công bằng, nhưng vẫn cần các biện pháp giám sát thêm để đảm bảo.</t>
  </si>
  <si>
    <t>Mức thuế mới cho phép tôi đóng ít hơn so với trước đây, nên tôi thấy việc này hợp lý.</t>
  </si>
  <si>
    <t>Thuế tôi đóng sẽ được sử dụng hiệu quả để cải thiện các dịch vụ công, như y tế và giao thông.</t>
  </si>
  <si>
    <t xml:space="preserve">Nhà nước đã giải thích rõ về lý do và mục tiêu của việc sửa đổi thuế lần này. </t>
  </si>
  <si>
    <t>Sau khi xem xét các quyền lợi, tôi ủng hộ chính sách mới và sẽ tuân thủ.</t>
  </si>
  <si>
    <t>Dù quy định quản lý thuế hiện nay đã cải thiện, nhưng tôi vẫn nghi ngờ về khả năng phát hiện trốn thuế của nhà nước do thiếu thông tin và công nghệ hiện đại.</t>
  </si>
  <si>
    <t>Ngày nay, cơ quan thuế có nhiều công cụ để kiểm soát hơn so với trước đây, nhưng tôi vẫn lo ngại về khả năng phát hiện trốn thuế của họ.</t>
  </si>
  <si>
    <t>Quy trình khai báo thuế và làm việc với cơ quan thuế đã đơn giản hóa nhiều so với trước đây, khiến quá trình này trở nên dễ dàng hơn.</t>
  </si>
  <si>
    <t>Biểu thuế mới có ít bậc hơn, dễ hiểu và thực hiện thuận tiện hơn, giúp tôi không còn cảm thấy bị rối rắm như trước đây.</t>
  </si>
  <si>
    <t>Tôi tin rằng cơ quan thuế sẽ cố gắng thực thi chính sách một cách công bằng và khách quan, nhưng vẫn có chút nghi ngờ về khả năng của họ.</t>
  </si>
  <si>
    <t>Thuế mới mà tôi phải đóng theo phương án mới là hợp lý vì nó phù hợp với thu nhập của tôi và số người phụ thuộc.</t>
  </si>
  <si>
    <t>Tôi tin rằng thuế tôi đóng sẽ được sử dụng hiệu quả để cải thiện các dịch vụ công, nhưng vẫn có sự lo ngại về việc quản lý ngân sách.</t>
  </si>
  <si>
    <t>Nhà nước đã giải thích rõ ràng về mục tiêu của chính sách mới, mặc dù tôi không thể hoàn toàn chắc chắn về quyết định của họ.</t>
  </si>
  <si>
    <t>Dù có một số lo ngại, nhưng lợi ích tài chính từ việc giảm thuế và đơn giản hóa quy trình làm việc với cơ quan thuế đã khiến tôi sẵn lòng tuân thủ chính sách mới.</t>
  </si>
  <si>
    <t>Chính phủ và cơ quan thuế đã có các biện pháp quản lý mạnh mẽ, công nghệ hiện đại để phát hiện hành vi gian lận hoặc trốn thuế.</t>
  </si>
  <si>
    <t>Cơ quan thuế đã đầu tư vào hệ thống công nghệ thông tin, tăng cường khả năng giám sát và xử lý các hành vi trốn thuế hiệu quả hơn.</t>
  </si>
  <si>
    <t>Quy trình khai báo thuế được đơn giản hóa, thủ tục làm việc với cơ quan thuế thuận lợi hơn so với trước đây.</t>
  </si>
  <si>
    <t>Các bậc thuế và cách tính thuế mới đã rõ ràng và dễ dàng thực hiện hơn, giảm tải cho người dân.</t>
  </si>
  <si>
    <t>Tăng mức giảm trừ gia cảnh và đơn giản hóa biểu thuế tạo cảm giác công bằng trong việc đánh giá thu nhập.</t>
  </si>
  <si>
    <t>Thuế tôi phải đóng theo phương án mới là hợp lý, phù hợp với tình hình kinh tế hiện tại của gia đình.</t>
  </si>
  <si>
    <t>Tiền thuế đóng góp vào các dịch vụ công sẽ cải thiện chất lượng cuộc sống cho người dân.</t>
  </si>
  <si>
    <t>Nhà nước đã giải thích rõ mục tiêu và lý do của việc sửa đổi luật thuế, tạo niềm tin cho người dân.</t>
  </si>
  <si>
    <t>Sau khi xem xét các lợi ích từ chính sách mới, tôi ủng hộ và tuân thủ quy định thuế mới.</t>
  </si>
  <si>
    <t>Tôi đồng ý với việc quản lý thuế hiện nay khá chặt chẽ, nhưng vẫn cần cải thiện công nghệ để phát hiện trốn thuế hiệu quả hơn.</t>
  </si>
  <si>
    <t>Nhà nước đã đầu tư công nghệ và nhân lực vào việc quản lý thuế, tăng khả năng xử lý nghiêm hành vi gian lận.</t>
  </si>
  <si>
    <t>Quy trình khai báo thuế và làm việc với cơ quan thuế đơn giản hơn trước, nhưng vẫn cần cải thiện thêm về mặt thủ tục.</t>
  </si>
  <si>
    <t>Cách tính thuế mới đơn giản hơn, dễ hiểu và thực hiện thuận tiện hơn so với cách cũ.</t>
  </si>
  <si>
    <t>Tôi tin rằng cơ quan thuế sẽ thực thi chính sách một cách công bằng, nhưng cần thêm minh bạch về quy trình xử lý.</t>
  </si>
  <si>
    <t>Dựa trên tác động tài chính tích cực, tôi thấy mức thuế mới là công bằng đối với thu nhập của mình và người phụ thuộc.</t>
  </si>
  <si>
    <t>Đã có giải thích rõ ràng về mục tiêu và lý do của việc sửa đổi thuế, nhưng cần thêm thông tin chi tiết hơn.</t>
  </si>
  <si>
    <t>Tác động tài chính tích cực và giảm sự phức tạp giúp tôi đồng ý và ủng hộ chính sách mới.</t>
  </si>
  <si>
    <t>Dù không hoàn toàn tin tưởng, nhưng các quy định quản lý thuế mới có thể giúp giảm hành vi trốn thuế. Cơ quan thuế đã cải thiện khả năng phát hiện thông qua công nghệ.</t>
  </si>
  <si>
    <t>Nhà nước và cơ quan thuế có nhiều nguồn lực hơn để giám sát, xử lý các vấn đề về thuế do công nghệ được nâng cấp.</t>
  </si>
  <si>
    <t>Quy trình làm việc với cơ quan thuế trở nên đơn giản hơn, thủ tục khai báo thuế cũng dễ dàng hơn so với trước đây.</t>
  </si>
  <si>
    <t>Biểu thuế mới có ít bậc hơn và rõ ràng hơn, giúp tính toán và thực hiện thuế dễ dàng hơn.</t>
  </si>
  <si>
    <t>Tôi tin Nhà nước sẽ công bằng khi áp dụng chính sách mới. Các mức giảm trừ gia cảnh được tăng lên, tạo ra sự công bằng cho mọi người nộp thuế.</t>
  </si>
  <si>
    <t>Thuế tôi phải đóng theo phương án mới là hợp lý so với thu nhập hiện tại của mình và các quy định mới.</t>
  </si>
  <si>
    <t>Thiết bị thuế tôi đóng sẽ được sử dụng hiệu quả để cải thiện dịch vụ công, giúp nâng cao chất lượng cuộc sống cho người dân.</t>
  </si>
  <si>
    <t>Nhà nước đã giải thích rõ ràng về mục tiêu của việc sửa đổi chính sách thuế lần này. Thông tin minh bạch tạo ra niềm tin.</t>
  </si>
  <si>
    <t>Tôi ủng hộ và tuân thủ chính sách mới, vì nó giảm gánh nặng tài chính cho tôi và công bằng hơn so với trước đây.</t>
  </si>
  <si>
    <t>Thủ tục khai báo thuế đơn giản hơn so với trước đây, dễ thực hiện hơn. Các quy trình làm việc với cơ quan thuế cũng trở nên tiện lợi hơn.</t>
  </si>
  <si>
    <t>Biểu thuế mới có ít bậc hơn và dễ hiểu hơn, giảm bớt sự phức tạp cho người dân khi tính toán thuế.</t>
  </si>
  <si>
    <t>Niềm tin vào sự công bằng trong việc thực thi chính sách thuế được nâng cao nhờ mức giảm trừ gia cảnh tăng đáng kể. Sự minh bạch về mục tiêu của chính sách mới cũng tạo ra niềm tin.</t>
  </si>
  <si>
    <t>Thuế tôi phải đóng theo phương án mới hợp lý và công bằng, phù hợp với mức thu nhập hiện tại. Mức thuế được giảm đáng kể, mang lại cảm giác rằng chính sách mới công bằng hơn.</t>
  </si>
  <si>
    <t>Tôi tin rằng số tiền thuế đóng sẽ được sử dụng hiệu quả để cải thiện các dịch vụ công. Các quyền lợi từ chính sách mới cũng hỗ trợ việc này.</t>
  </si>
  <si>
    <t>Nhà nước đã giải thích rõ ràng về mục tiêu của việc sửa đổi thuế, tạo ra sự minh bạch và tin tưởng. Các thông tin được cung cấp đầy đủ và dễ hiểu.</t>
  </si>
  <si>
    <t>Sau khi xem xét các quyền lợi và nghĩa vụ, tôi ủng hộ chính sách mới vì nó mang lại nhiều lợi ích cho người dân như việc giảm trừ gia cảnh tăng đáng kể. Tôi sẽ tuân thủ chính sách mới.</t>
  </si>
  <si>
    <t>Hiện nay, các quy định quản lý thuế có nhiều cải tiến công nghệ, nhưng mức giảm trừ gia cảnh cao khiến tôi không cần phải đóng thuế nên cảm thấy an tâm về việc phát hiện trốn thuế.</t>
  </si>
  <si>
    <t>Nhà nước đã đầu tư vào hệ thống công nghệ thông tin để quản lý thuế, nhưng với mức giảm trừ gia cảnh cao, tôi không thường xuyên phải tương tác với cơ quan thuế.</t>
  </si>
  <si>
    <t>Quy trình khai thuế trở nên đơn giản hơn và tiện lợi hơn so với trước đây do số bậc thuế ít hơn và giảm trừ gia cảnh cao, nhưng vẫn cần thời gian để quen thuộc.</t>
  </si>
  <si>
    <t>Biểu thuế mới đơn giản hóa nhiều so với trước đây, giúp dễ dàng tính toán và tuân thủ, đặc biệt là khi mức giảm trừ gia cảnh cao hơn.</t>
  </si>
  <si>
    <t>Nhà nước thực thi chính sách một cách khách quan và công bằng, nhưng do không phải đóng thuế nên cảm thấy niềm tin đối với cơ quan thuế chưa hoàn toàn đầy đủ.</t>
  </si>
  <si>
    <t>Tôi cảm thấy mức thuế mới là hợp lý cho thu nhập của mình, mặc dù mức giảm trừ gia cảnh cao khiến tôi không cần phải đóng thuế.</t>
  </si>
  <si>
    <t>Mức thuế thấp giúp cải thiện dịch vụ công và xã hội, nhưng do không phải đóng nên niềm tin về việc sử dụng hiệu quả nguồn thu thuế còn hạn chế.</t>
  </si>
  <si>
    <t>Nhà nước đã giải thích rõ ràng về mục tiêu của chính sách mới, mặc dù tôi chỉ cần làm việc với cơ quan thuế ít hơn trước đây</t>
  </si>
  <si>
    <t>Tôi ủng hộ và tuân thủ chính sách mới vì nó đơn giản hóa quy trình khai thuế và giảm gánh nặng về mặt tài chính.</t>
  </si>
  <si>
    <t>Nhà nước và cơ quan thuế đã có nhiều biện pháp quản lý mạnh mẽ, tuy nhiên vẫn cần nâng cao công nghệ để phát hiện gian lận.</t>
  </si>
  <si>
    <t>Cơ quan thuế có đủ khả năng với hệ thống công nghệ hiện đại nhưng cần cải thiện nữa để xử lý nhanh chóng các vụ việc gian lận.</t>
  </si>
  <si>
    <t>Đối với bản thân tôi, quy trình làm việc trở nên đơn giản hơn nhưng vẫn còn một số thủ tục phức tạp.</t>
  </si>
  <si>
    <t>Cách tính thuế và bậc thuế mới rõ ràng hơn, dễ dàng áp dụng so với trước đây</t>
  </si>
  <si>
    <t>Tôi tin Nhà nước sẽ thực thi công bằng nhưng cần có thêm các biện pháp để đảm bảo minh bạch.</t>
  </si>
  <si>
    <t>Mức thuế mới hợp lý và phù hợp với thu nhập của tôi, giúp tôi tiết kiệm được một khoản tiền đáng kể</t>
  </si>
  <si>
    <t>Thuế đóng góp vào sự phát triển cơ sở hạ tầng và dịch vụ công, nhưng cần biết rõ cách sử dụng để tăng niềm tin.</t>
  </si>
  <si>
    <t>Nhà nước đã giải thích rõ ràng về mục tiêu cải cách nhưng cần làm rõ hơn về cách thức thực hiện</t>
  </si>
  <si>
    <t>Tôi ủng hộ chính sách mới vì nó giúp tôi tiết kiệm được tiền và dễ dàng áp dụng hơn.</t>
  </si>
  <si>
    <t>Nước ta có hệ thống quản lý thuế ngày càng chặt chẽ, việc phát hiện và xử lý các hành vi trốn thuế là điều không thể tránh khỏi.</t>
  </si>
  <si>
    <t>Cơ quan thuế đã có công nghệ hiện đại để theo dõi tình hình tài chính của các doanh nghiệp và cá nhân, việc trốn thuế rất khó xảy ra.</t>
  </si>
  <si>
    <t>Quy trình khai báo thuế nay đơn giản hơn, nhưng vẫn cần thời gian để quen thuộc với quy định mới.</t>
  </si>
  <si>
    <t>Biểu thuế đã được đơn giản hóa, việc tính toán và nộp thuế trở nên dễ dàng hơn so với trước đây.</t>
  </si>
  <si>
    <t>Tôi tin rằng cơ quan thuế sẽ thực thi chính sách một cách công bằng, không phân biệt ai đang đóng thuế bao nhiêu.</t>
  </si>
  <si>
    <t>Thuế của tôi đã giảm đáng kể so với trước đây, điều này cho thấy mức thuế là hợp lý và công bằng.</t>
  </si>
  <si>
    <t>Nhà nước sử dụng số tiền thuế thu được để cải thiện các dịch vụ công, việc này làm tăng niềm tin của tôi vào sự hiệu quả của việc đóng thuế.</t>
  </si>
  <si>
    <t>Cơ quan thuế đã có thông báo rõ ràng về mục tiêu và lý do của việc sửa đổi chính sách thuế lần này.</t>
  </si>
  <si>
    <t>Dựa trên những lợi ích mà tôi nhận được, tôi sẽ ủng hộ và tuân thủ chính sách mới.</t>
  </si>
  <si>
    <t>Nhà nước đã thực hiện nhiều biện pháp quản lý thuế, nhưng vẫn có nguy cơ gian lận hoặc trốn thuế. Tuy nhiên, với sự phát triển của công nghệ, khả năng phát hiện vi phạm ngày càng cao.</t>
  </si>
  <si>
    <t>Cơ quan thuế đã đầu tư vào hệ thống công nghệ thông tin để tăng cường quản lý và giám sát. Điều này giúp nâng cao hiệu quả xử lý các hành vi trốn tránh thuế.</t>
  </si>
  <si>
    <t>Quy trình khai báo thuế trở nên đơn giản hơn với việc giảm bớt các bước và quy định. Tuy nhiên, vẫn cần thời gian để người dân quen thuộc với hệ thống mới.</t>
  </si>
  <si>
    <t>Các bậc thuế mới rõ ràng hơn, dễ hiểu và dễ thực hiện so với trước đây. Điều này giúp người nộp thuế tính toán chính xác thu nhập chịu thuế của mình.</t>
  </si>
  <si>
    <t>Tôi tin rằng cơ quan thuế sẽ thực thi chính sách một cách công bằng, nhưng vẫn cần thời gian để mọi người dần dần hiểu và chấp nhận</t>
  </si>
  <si>
    <t>Thuế mới được giảm so với trước đây, giúp tôi cảm thấy công bằng hơn. Người có thu nhập như tôi đóng mức thuế này là hợp lý.</t>
  </si>
  <si>
    <t>Thuốc đóng góp vào việc cải thiện dịch vụ công và phát triển cơ sở hạ tầng, nhưng cần thời gian để kết quả cụ thể xuất hiện</t>
  </si>
  <si>
    <t>Nhà nước đã giải thích rõ về mục tiêu của chính sách mới, giúp tôi hiểu được lý do đằng sau các thay đổi.</t>
  </si>
  <si>
    <t>Tôi ủng hộ chính sách mới vì nó mang lại lợi ích tài chính và giảm bớt gánh nặng thuế cho người dân. Tuy nhiên, cần thời gian để thích nghi với quy định mới.</t>
  </si>
  <si>
    <t>Tôi tin rằng nhà nước sẽ thực thi chính sách một cách công bằng, nhưng vẫn có sự nghi ngờ về việc kiểm soát và quản lý hiệu quả.</t>
  </si>
  <si>
    <t>Mức thuế mới hợp lý cho thu nhập của tôi, giảm gánh nặng tài chính.</t>
  </si>
  <si>
    <t>Thuế đóng góp vào các dịch vụ công quan trọng như y tế và cơ sở hạ tầng.</t>
  </si>
  <si>
    <t>Nhà nước đã giải thích đầy đủ về mục tiêu của việc cải cách thuế, nhưng thông tin chi tiết cần được cung cấp nhiều hơn.</t>
  </si>
  <si>
    <t>Tôi ủng hộ chính sách mới vì nó giúp tôi tiết kiệm tiền và đơn giản hóa quy trình khai báo thuế.</t>
  </si>
  <si>
    <t>Quy trình đơn giản hơn so với trước đây, giảm bớt các thủ tục phức tạp.</t>
  </si>
  <si>
    <t>Các bậc thuế rõ ràng hơn và dễ hiểu, không còn nhiều bậc như trước đây.</t>
  </si>
  <si>
    <t>Nhà nước đã cải cách thuế một cách công bằng cho người dân với mức giảm trừ gia cảnh cao.</t>
  </si>
  <si>
    <t>Mức thuế mới phù hợp với thu nhập của tôi, không quá nặng nề hay nhẹ nhàng.</t>
  </si>
  <si>
    <t>Tôi tin rằng số tiền thuế đóng sẽ được sử dụng hiệu quả cho các dịch vụ công.</t>
  </si>
  <si>
    <t>Nhà nước đã giải thích rõ ràng về mục tiêu cải cách thuế, tôi ủng hộ những thay đổi này.</t>
  </si>
  <si>
    <t>Chính sách mới phù hợp với thu nhập của tôi và giảm bớt các thủ tục phức tạp nên tôi ủng hộ.</t>
  </si>
  <si>
    <t>Nhà nước đã giải thích rõ ràng về mục tiêu và lý do của việc sửa đổi thuế. Tuy nhiên, vẫn có thể cần thêm thông tin chi tiết hơn về cách sử dụng nguồn thu thuế.</t>
  </si>
  <si>
    <t>Chính sách mới tạo lợi ích cho tôi với mức giảm trừ gia cảnh cao và bậc thuế đơn giản hơn. Tôi sẽ ủng hộ và tuân thủ chính sách này.</t>
  </si>
  <si>
    <t>Dù các quy định quản lý thuế được cải thiện, nhưng mức giảm trừ gia cảnh cao hơn thu nhập nên tôi không lo ngại về việc gian lận hoặc trốn thuế.</t>
  </si>
  <si>
    <t>Cơ quan thuế có thể phát hiện và xử lý nghiêm các hành vi trốn thuế, nhưng do mức giảm trừ gia cảnh đã vượt quá thu nhập nên khả năng gặp vấn đề về thuế là rất thấp đối với tôi.</t>
  </si>
  <si>
    <t>Quy trình làm việc với cơ quan thuế và khai báo thuế trở nên đơn giản hơn, thuận tiện hơn so với trước đây.</t>
  </si>
  <si>
    <t>Biểu thuế đã được đơn giản hóa từ 7 bậc xuống còn 5 bậc, giúp tôi dễ hiểu và dễ thực hiện hơn.</t>
  </si>
  <si>
    <t>Tôi tin rằng cơ quan thuế sẽ thực thi chính sách một cách công bằng đối với mọi người nộp thuế.</t>
  </si>
  <si>
    <t>Theo phương án mới, mức thuế tôi phải đóng phù hợp với thu nhập của tôi và được giảm trừ gia cảnh cao hơn nhiều so với trước đây.</t>
  </si>
  <si>
    <t>Nhà nước sử dụng số tiền thuế để cải thiện các dịch vụ công như y tế, giáo dục, đường xá... giúp đời sống người dân được tốt hơn.</t>
  </si>
  <si>
    <t>Tôi tin rằng Nhà nước đã giải thích rõ ràng về mục tiêu và lý do của việc sửa đổi thuế lần này.</t>
  </si>
  <si>
    <t>Sau khi xem xét các quyền lợi và nghĩa vụ, tôi ủng hộ và tuân thủ chính sách mới vì nó tạo ra sự công bằng cho người dân và sử dụng hiệu quả nguồn lực thuế.</t>
  </si>
  <si>
    <t>Công nghệ hiện đại ngày càng phát triển, khả năng theo dõi thu nhập và gian lận thuế có thể bị phát hiện dễ dàng hơn. Tuy nhiên, vẫn cần sự phối hợp chặt chẽ giữa các cơ quan quản lý.</t>
  </si>
  <si>
    <t>Cơ quan thuế đã có nhiều cải tiến công nghệ trong thời gian qua để hỗ trợ phát hiện và xử lý gian lận thuế.</t>
  </si>
  <si>
    <t>Việc đơn giản hóa quy trình khai báo thuế và giảm bớt các bước làm việc với cơ quan thuế đã tạo nên sự thuận tiện hơn cho người dân.</t>
  </si>
  <si>
    <t>Biểu thuế mới có ít bậc hơn, dễ hiểu và thực hiện đơn giản hơn so với trước đây. Điều này giúp tôi tính toán nhanh chóng và chính xác thu nhập cần chịu thuế.</t>
  </si>
  <si>
    <t>Tôi tin rằng Nhà nước sẽ thực thi chính sách một cách công bằng cho mọi người, vì mức giảm trừ gia cảnh đã tăng lên đáng kể.</t>
  </si>
  <si>
    <t>Với thu nhập hiện tại và mức giảm trừ gia cảnh mới, tôi không cần đóng thuế. Điều này thể hiện sự công bằng trong việc phân chia gánh nặng thuế giữa các đối tượng thu nhập khác nhau.</t>
  </si>
  <si>
    <t>Thuế mà tôi đóng sẽ được sử dụng hiệu quả để cải thiện dịch vụ công, từ đó nâng cao chất lượng cuộc sống cho người dân như tôi.</t>
  </si>
  <si>
    <t>Nhà nước đã giải thích rõ ràng về mục tiêu và lý do của việc sửa đổi thuế lần này. Điều này làm tăng niềm tin vào quyết định của họ.</t>
  </si>
  <si>
    <t>Tôi ủng hộ chính sách mới vì nó giảm gánh nặng thuế cho người dân có thu nhập thấp như tôi, đồng thời đơn giản hóa quy trình khai báo thuế.</t>
  </si>
  <si>
    <t>Dựa trên các quy định quản lý thuế hiện tại, tôi tin rằng hành vi gian lận hoặc trốn thuế sẽ dễ dàng bị phát hiện và xử lý nghiêm. Tuy nhiên, việc thực thi cần có sự phối hợp chặt chẽ giữa nhiều cơ quan</t>
  </si>
  <si>
    <t>Nhà nước và các cơ quan thuế đã đầu tư công nghệ tiên tiến để phát hiện trốn thuế. Điều này cho thấy họ có khả năng xử lý nghiêm các hành vi sai phạm.</t>
  </si>
  <si>
    <t>So với trước đây, quy trình khai báo thuế và làm việc với cơ quan thuế đã đơn giản hơn nhiều. Tuy nhiên, vẫn cần thêm thời gian để người dân nắm bắt và sử dụng.</t>
  </si>
  <si>
    <t>Các bậc thuế mới đơn giản hóa quy trình tính thuế, giảm độ phức tạp. Điều này giúp tôi dễ hiểu và thực hiện hơn</t>
  </si>
  <si>
    <t>Tôi tin rằng Nhà nước sẽ thực thi chính sách một cách khách quan. Mức thuế mới có thể coi là công bằng cho người như tôi.</t>
  </si>
  <si>
    <t>Người thu nhập như tôi đóng mức thuế này là hợp lý, phù hợp với quy định mới</t>
  </si>
  <si>
    <t>Thuế mà tôi đóng sẽ được sử dụng hiệu quả để cải thiện các dịch vụ công. Điều này làm tăng niềm tin của tôi vào sự quản trị tài chính quốc gia.</t>
  </si>
  <si>
    <t>Nhà nước đã giải thích rõ ràng về mục tiêu và lý do sửa đổi thuế, tạo cảm giác minh bạch trong quy trình thực thi</t>
  </si>
  <si>
    <t>Sau khi xem xét các quyền lợi, nghĩa vụ cũng như tác động tài chính tích cực từ chính sách mới, tôi ủng hộ và tuân thủ</t>
  </si>
  <si>
    <t>Hiện nay, với sự phát triển của công nghệ và hệ thống quản lý thuế, tôi tin rằng hành vi gian lận hoặc trốn thuế sẽ dễ dàng bị phát hiện. Tuy nhiên, việc thực thi có thể phụ thuộc vào hiệu suất làm việc của cơ quan thuế.</t>
  </si>
  <si>
    <t>Nhà nước và các cơ quan thuế đã đầu tư mạnh mẽ vào công nghệ, tôi tin rằng họ đủ khả năng để phát hiện và xử lý nghiêm các hành vi trốn thuế.</t>
  </si>
  <si>
    <t>So với trước đây, quy trình khai báo thuế trở nên đơn giản hơn. Các bước thủ tục được sắp xếp logic, dễ hiểu hơn.</t>
  </si>
  <si>
    <t>Bậc thuế mới đơn giản và dễ hiểu hơn so với biểu thuế cũ, giảm bớt sự phức tạp cho người nộp thuế.</t>
  </si>
  <si>
    <t>Nhà nước có thể thực thi chính sách một cách công bằng dựa trên quy định mới. Mọi người đều phải đóng thuế theo thu nhập của họ.</t>
  </si>
  <si>
    <t>Với mức thuế mới, tôi thấy rằng mình đang đóng mức thuế hợp lý so với thu nhập hiện tại của mình.</t>
  </si>
  <si>
    <t>Những khoản thuế này sẽ được sử dụng hiệu quả để cải thiện các dịch vụ công như y tế và giao thông, tạo niềm tin cho người dân.</t>
  </si>
  <si>
    <t>Chính phủ đã giải thích rõ ràng về mục tiêu của việc sửa đổi thuế lần này. Tuy nhiên, có thể vẫn còn một số khía cạnh chưa được làm rõ.</t>
  </si>
  <si>
    <t>Sau khi xem xét các quyền lợi và nghĩa vụ mới, tôi đồng ý với chính sách mới và sẽ tuân thủ nó. Mức thuế giảm giúp nâng cao niềm tin vào hệ thống thuế mới.</t>
  </si>
  <si>
    <t>Với mức giảm trừ gia cảnh cao và các biện pháp quản lý thuế hiện đại, tôi tin rằng hành vi gian lận sẽ dễ bị phát hiện.</t>
  </si>
  <si>
    <t>Cơ quan thuế có công nghệ tiên tiến giúp họ xử lý hiệu quả các trường hợp trốn thuế.</t>
  </si>
  <si>
    <t>Quy trình khai báo và làm việc với cơ quan thuế đã đơn giản hơn nhiều so với trước đây.</t>
  </si>
  <si>
    <t>Biểu thuế mới có ít bậc hơn nên dễ hiểu và thực hiện nhanh chóng hơn.</t>
  </si>
  <si>
    <t>Nhà nước đã công bố rõ ràng về chính sách, tôi tin họ sẽ thực thi một cách công bằng.</t>
  </si>
  <si>
    <t>Mức thuế hiện tại phù hợp với thu nhập của tôi và những người có cùng mức độ phụ thuộc.</t>
  </si>
  <si>
    <t>Đã giảm trừ gia cảnh nhiều hơn, số tiền thuế đóng sẽ được sử dụng hiệu quả cho dịch vụ công</t>
  </si>
  <si>
    <t>Nhà nước đã giải thích rõ về lý do và mục tiêu của việc sửa đổi thuế.</t>
  </si>
  <si>
    <t>Phương án mới này phù hợp với thu nhập và mức sống của tôi, tôi sẽ ủng hộ và tuân thủ.</t>
  </si>
  <si>
    <t>Hiện nay, với mức giảm trừ gia cảnh cao hơn trước, tôi không còn lo lắng về việc bị phát hiện trốn thuế.</t>
  </si>
  <si>
    <t>Nhà nước và cơ quan thuế đã có nhiều cải tiến công nghệ để quản lý thuế hiệu quả hơn trong thời gian gần đây.</t>
  </si>
  <si>
    <t>Quy trình khai báo thuế đơn giản hơn, đặc biệt là với mức giảm trừ gia cảnh cao nên tôi thấy thuận tiện hơn nhiều so với trước đây.</t>
  </si>
  <si>
    <t>Biểu thuế có ít bậc hơn và mức thuế suất rõ ràng hơn, giúp tôi dễ dàng tính toán và thực hiện.</t>
  </si>
  <si>
    <t>Việc giảm trừ gia cảnh cao đã khiến tôi không còn phải đóng thuế nên tôi tin rằng chính sách mới được áp dụng công bằng.</t>
  </si>
  <si>
    <t>Với mức thu nhập của tôi, việc không phải đóng thuế là hợp lý, do đó tôi cảm thấy hài lòng về sự công bằng của chính sách này.</t>
  </si>
  <si>
    <t>Tiền thuế mà tôi không đóng được sử dụng hiệu quả cho các dịch vụ công sẽ giúp nâng cao chất lượng cuộc sống cho người dân.</t>
  </si>
  <si>
    <t>Nhà nước đã giải thích rõ ràng về mục tiêu cải cách thuế và tôi thấy đó là một quyết định cần thiết.</t>
  </si>
  <si>
    <t>Tôi ủng hộ chính sách mới vì nó mang lại lợi ích thực tế cho người dân như tôi, đồng thời giảm gánh nặng quản lý của cơ quan thuế.</t>
  </si>
  <si>
    <t>Tăng mức giảm trừ gia cảnh và đơn giản hóa biểu thuế làm giảm khả năng phát hiện hành vi gian lận hoặc trốn thuế.</t>
  </si>
  <si>
    <t>Mặc dù tăng mức giảm trừ gia cảnh, cơ quan thuế vẫn có công nghệ để theo dõi và xử lý các trường hợp vi phạm thuế.</t>
  </si>
  <si>
    <t>Quy định mới đơn giản hóa quy trình làm việc với cơ quan thuế, tạo cảm giác thuận tiện hơn cho người nộp thuế.</t>
  </si>
  <si>
    <t>Biểu thuế mới rõ ràng và dễ dàng áp dụng hơn so với trước đây, giúp người dân hiểu và thực hiện đúng.</t>
  </si>
  <si>
    <t>Nhà nước đã cải cách thuế một cách công tâm, giảm bớt gánh nặng thuế cho người dân có thu nhập trung bình.</t>
  </si>
  <si>
    <t>Mức thuế mới phù hợp với thu nhập của tôi và các mức thuế suất được điều chỉnh hợp lý.</t>
  </si>
  <si>
    <t>Tăng giảm trừ gia cảnh giúp số tiền thuế đóng ít hơn, tạo niềm tin rằng Nhà nước sử dụng tiền thuế hiệu quả.</t>
  </si>
  <si>
    <t>Các giải thích về lý do và mục tiêu cải cách thuế rõ ràng, minh bạch thông qua các kênh thông tin chính thức.</t>
  </si>
  <si>
    <t>Phương án mới công bằng hơn với người có thu nhập trung bình như tôi, nên tôi ủng hộ và tuân thủ.</t>
  </si>
  <si>
    <t>Nhà nước đã cải thiện hệ thống quản lý thuế, tuy nhiên việc giám sát và xử lý hành vi gian lận vẫn còn nhiều khó khăn.</t>
  </si>
  <si>
    <t>Cơ quan thuế có các công cụ kỹ thuật tiên tiến nhưng việc thực thi cần sự hợp tác của người dân.</t>
  </si>
  <si>
    <t>Quy trình khai báo và làm việc với cơ quan thuế đã đơn giản hơn, thuận lợi hơn so với trước đây.</t>
  </si>
  <si>
    <t>Biểu thuế mới rõ ràng, dễ hiểu và thực hiện dễ dàng hơn so với hệ thống cũ.</t>
  </si>
  <si>
    <t>Tôi tin rằng Nhà nước sẽ áp dụng chính sách một cách công bằng nhưng vẫn có nguy cơ xử lý không công minh trong thực tế.</t>
  </si>
  <si>
    <t>Thuế mới giảm đáng kể, tôi thấy mức này là hợp lý và công bằng cho thu nhập của mình.</t>
  </si>
  <si>
    <t>Tiền thuế đóng góp vào cải thiện dịch vụ công, điều này mang lại niềm tin về hiệu quả sử dụng nguồn lực.</t>
  </si>
  <si>
    <t>Nhà nước đã giải thích rõ ràng mục tiêu và lý do của việc sửa đổi thuế nhưng cần làm rõ hơn nữa để mọi người hiểu</t>
  </si>
  <si>
    <t>Tôi ủng hộ chính sách mới vì nó mang lại lợi ích đáng kể về mặt tài chính, giảm gánh nặng cho người dân.</t>
  </si>
  <si>
    <t>Dựa trên các quy định quản lý thuế hiện nay, tôi cho rằng hành vi gian lận hoặc trốn thuế sẽ dễ dàng bị phát hiện và xử lý nghiêm. Đây là một yếu tố quan trọng để tạo niềm tin trong xã hội.</t>
  </si>
  <si>
    <t>Nhà nước có hệ thống công nghệ tiên tiến nên khả năng phát hiện, xử lý các hành vi trốn thuế được cải thiện đáng kể. Điều này cho thấy Nhà nước rất nghiêm túc với vấn đề chống gian lận.</t>
  </si>
  <si>
    <t>So với trước đây, quy trình khai báo và làm việc với cơ quan thuế đã đơn giản hơn nhiều. Đặc biệt là việc giảm số bậc thuế, giúp người dân dễ dàng tính toán và nộp thuế hơn.</t>
  </si>
  <si>
    <t>Biểu thuế mới rõ ràng và dễ hiểu hơn so với trước đây. Việc giảm trừ gia cảnh tăng lên cũng làm cho quá trình tính thuế trở nên đơn giản và minh bạch hơn.</t>
  </si>
  <si>
    <t>Tôi tin rằng Nhà nước sẽ thực hiện chính sách một cách công bằng và khách quan, không phân biệt ai có thu nhập như tôi. Điều này tạo nên sự tin tưởng giữa người dân và cơ quan thuế.</t>
  </si>
  <si>
    <t>Mức thuế mới mà tôi phải đóng là hợp lý. Việc tăng mức giảm trừ gia cảnh và đơn giản hóa biểu thuế đều giúp tôi tiết kiệm được một khoản đáng kể tiền thuế, đây là một sự công bằng.</t>
  </si>
  <si>
    <t>Tôi tin rằng số tiền thuế tôi đóng sẽ được sử dụng hiệu quả để cải thiện dịch vụ công như y tế và giao thông. Điều này tăng niềm tin vào việc sử dụng nguồn lực thuế một cách công bằng.</t>
  </si>
  <si>
    <t>Nhà nước đã giải thích rõ ràng về lý do và mục tiêu của việc sửa đổi thuế lần này, giúp người dân hiểu được sự cần thiết của nó. Điều này tạo nên sự minh bạch trong quá trình quản lý thuế.</t>
  </si>
  <si>
    <t>Sau khi xem xét các quyền lợi và nghĩa vụ theo chính sách mới, tôi ủng hộ và sẽ tuân thủ vì điều đó không chỉ giúp tôi tiết kiệm được tiền mà còn tạo ra sự công bằng trong việc đóng góp cho xã hội.</t>
  </si>
  <si>
    <t>Dù có các quy định quản lý thuế hiện tại, nhưng do mức giảm trừ gia cảnh tăng mạnh và số bậc thuế đơn giản hơn, khả năng phát hiện trốn thuế không hoàn toàn đảm bảo.</t>
  </si>
  <si>
    <t>Nhà nước đã đầu tư vào công nghệ để quản lý thuế hiệu quả, nhưng thực tế việc xử lý nghiêm vẫn phụ thuộc nhiều vào sự kiên trì và quyết tâm của cơ quan thuế.</t>
  </si>
  <si>
    <t>Thủ tục khai báo thuế đơn giản hơn, nhưng việc cần nắm bắt thông tin mới để làm đúng có thể gây khó khăn cho một số người không thường xuyên liên hệ với cơ quan thuế.</t>
  </si>
  <si>
    <t>Cách tính thuế và các bậc thuế rõ ràng hơn, dễ hiểu hơn so với trước đây, giúp việc thực hiện đơn giản hơn</t>
  </si>
  <si>
    <t>Tôi tin rằng Nhà nước sẽ thực thi chính sách một cách khách quan, nhưng mức độ công tâm còn phụ thuộc vào thực tế kiểm soát thuế.</t>
  </si>
  <si>
    <t>Do mức thuế giảm và số bậc thuế đơn giản hơn, tôi thấy mức thuế mới là hợp lý cho thu nhập của mình</t>
  </si>
  <si>
    <t>Ngoài việc cải thiện dịch vụ công, số tiền thuế đóng còn hỗ trợ các dự án quan trọng khác, như giáo dục và an sinh xã hội.</t>
  </si>
  <si>
    <t>Nhà nước đã giải thích rõ ràng về mục tiêu của chính sách mới, nhưng tôi mong muốn có thêm thông tin chi tiết về cách sử dụng số tiền thuế đóng</t>
  </si>
  <si>
    <t>Sau khi xem xét các quyền lợi và nghĩa vụ, tôi ủng hộ và tuân thủ chính sách mới. Mặc dù vẫn có một số lo ngại, nhưng sự đơn giản hóa quy định đã cải thiện đáng kể.</t>
  </si>
  <si>
    <t>Việc tăng mức giảm trừ gia cảnh và đơn giản hóa biểu thuế có thể làm tăng độ khó trong việc phát hiện gian lận, nhưng với khả năng công nghệ ngày nay, điều này không quá khó khăn để kiểm soát.</t>
  </si>
  <si>
    <t>Nhà nước đã đầu tư vào hệ thống thông tin thuế và các công cụ quản lý, nên việc phát hiện và xử lý gian lận là có thể.</t>
  </si>
  <si>
    <t>So với trước đây, quy trình khai báo thuế trở nên đơn giản hơn, nhưng vẫn cần thời gian để người dân thích nghi.</t>
  </si>
  <si>
    <t>Biểu thuế mới có ít bậc hơn và dễ hiểu hơn, giúp quá trình tính thuế thuận tiện hơn cho người dân</t>
  </si>
  <si>
    <t>Nếu các quy định được thực thi công bằng, tôi tin rằng sự thay đổi sẽ mang lại lợi ích cho nhiều người như tôi.</t>
  </si>
  <si>
    <t>Mức thuế mới giảm so với trước đây, thể hiện tính công bằng đối với thu nhập của tôi và người dân cùng tầm với</t>
  </si>
  <si>
    <t>Việc cải cách thuế nhằm tăng cường dịch vụ công, điều này làm tăng niềm tin vào việc sử dụng hiệu quả nguồn thuế</t>
  </si>
  <si>
    <t>Nhà nước đã có những thông báo rõ ràng về mục tiêu và lý do của cải cách, giúp người dân hiểu được tầm quan trọng của nó.</t>
  </si>
  <si>
    <t>Tôi ủng hộ chính sách mới vì nó mang lại lợi ích tài chính cho tôi và gia đình, đồng thời đơn giản hóa quy trình thuế</t>
  </si>
  <si>
    <t>Dù các quy định quản lý thuế hiện nay có thể phát hiện gian lận, nhưng do tôi là công dân bình thường và không biết nhiều về hệ thống quản lý, nên mức độ tin tưởng không cao.</t>
  </si>
  <si>
    <t>Cơ quan thuế có đủ khả năng xử lý nghiêm các hành vi trốn thuế, nhưng tôi không hoàn toàn tin vào thực tế này do thiếu thông tin cụ thể.</t>
  </si>
  <si>
    <t>Thủ tục khai báo và làm việc với cơ quan thuế trở nên đơn giản hơn rất nhiều, giảm bớt thời gian và công sức của người dân.</t>
  </si>
  <si>
    <t>Biểu thuế đơn giản hóa từ 7 bậc thành 5 bậc giúp dễ hiểu và thực hiện hơn, nhưng do thói quen trước đây nên cần quá trình thích nghi.</t>
  </si>
  <si>
    <t>Tôi tin rằng Nhà nước sẽ công tâm trong việc thực thi chính sách, nhưng vẫn có sự đa nghi nhất định do môi trường xã hội hiện nay.</t>
  </si>
  <si>
    <t>Thuế mới giảm đáng kể so với trước đây nên tôi cảm thấy mức thuế này là hợp lý cho thu nhập của mình.</t>
  </si>
  <si>
    <t>Dù chưa rõ ràng về việc số tiền thuế đóng được sử dụng như thế nào, nhưng tôi tin vào mục tiêu cải thiện dịch vụ công.</t>
  </si>
  <si>
    <t>Tôi đồng ý với sự thay đổi này và cho rằng Nhà nước đã giải thích minh bạch về mục đích của nó.</t>
  </si>
  <si>
    <t>Sau khi xem xét, tôi ủng hộ chính sách mới vì lợi ích tài chính rõ ràng và thủ tục đơn giản hơn trước đây.</t>
  </si>
  <si>
    <t>Cơ quan thuế có nhiều công cụ phát hiện trốn thuế, nhưng vẫn cần cải thiện hơn nữa để ngăn chặn gian lận.</t>
  </si>
  <si>
    <t>Nhà nước đã đầu tư vào công nghệ và nhân lực, tuy nhiên khả năng quản lý còn hạn chế với số lượng lớn doanh nghiệp và cá nhân nộp thuế.</t>
  </si>
  <si>
    <t>Quy trình khai báo thuế có cải thiện nhưng vẫn cần thêm các hướng dẫn cụ thể để người dân dễ thực hiện hơn.</t>
  </si>
  <si>
    <t>Biểu thuế đơn giản hơn, giảm bớt sự phức tạp và dễ hiểu hơn so với trước đây.</t>
  </si>
  <si>
    <t>Tôi tin rằng Nhà nước sẽ công tâm trong việc thực thi chính sách nhưng vẫn cần thêm minh bạch về cách tính thuế.</t>
  </si>
  <si>
    <t>Đối với thu nhập của tôi, mức thuế mới là hợp lý và công bằng so với trước đây.</t>
  </si>
  <si>
    <t>Thuế đóng góp vào việc cải thiện dịch vụ công nhưng cần minh bạch hơn về cách sử dụng nguồn thu</t>
  </si>
  <si>
    <t>Nhà nước đã giải thích rõ ràng mục tiêu của chính sách mới, tuy nhiên còn cần thêm thông tin về hiệu quả cụ thể.</t>
  </si>
  <si>
    <t>Tôi ủng hộ và tuân thủ chính sách mới vì nó mang lại lợi ích tài chính và sự đơn giản hóa cho người dân.</t>
  </si>
  <si>
    <t>Dù có các quy định quản lý thuế, nhưng với mức giảm trừ gia cảnh tăng lên và số bậc thuế giảm đi, tôi vẫn lo ngại về khả năng phát hiện trốn thuế. Tuy nhiên, công nghệ hiện đại của cơ quan thuế giúp phát hiện dễ dàng hơn.</t>
  </si>
  <si>
    <t>Cơ quan thuế có khả năng và công nghệ tốt để phát hiện hành vi trốn thuế, nhưng tôi vẫn nghi ngờ về việc quản lý chặt chẽ của họ.</t>
  </si>
  <si>
    <t>Quy trình khai báo thuế đơn giản hơn trước đây, đặc biệt là với mức giảm trừ gia cảnh tăng lên. Tuy nhiên, tôi vẫn thấy cần cải thiện thêm.</t>
  </si>
  <si>
    <t>Cách tính thuế và các bậc thuế mới đơn giản và dễ hiểu hơn, giúp việc đóng thuế trở nên thuận tiện hơn.</t>
  </si>
  <si>
    <t>Tôi tin rằng cơ quan thuế sẽ thực thi chính sách một cách công tâm và khách quan, nhưng vẫn có nghi ngờ về sự minh bạch trong quản lý.</t>
  </si>
  <si>
    <t>Mức thuế mới là hợp lý với thu nhập của tôi. Mức giảm trừ gia cảnh tăng lên cũng giúp tôi tiết kiệm hơn.</t>
  </si>
  <si>
    <t>Tôi tin số tiền thuế đóng sẽ được sử dụng hiệu quả để cải thiện các dịch vụ công, nhưng vẫn có lo ngại về việc quản lý ngân sách.</t>
  </si>
  <si>
    <t>Nhà nước đã giải thích rõ ràng về mục tiêu và lý do của việc sửa đổi chính sách thuế, giúp tôi hiểu hơn.</t>
  </si>
  <si>
    <t>Tôi ủng hộ và tuân thủ chính sách mới vì lợi ích tài chính rõ ràng và cách tính thuế đơn giản hơn. Tuy nhiên, vẫn có một số lo ngại về quản lý thuế.</t>
  </si>
  <si>
    <t>Trong thực tế, các quy định quản lý thuế hiện nay chưa đủ mạnh để phát hiện và xử lý hành vi gian lận hoặc trốn thuế một cách hiệu quả. Tuy nhiên, với sự cải cách này, tôi tin rằng việc phát hiện sẽ trở nên dễ dàng hơn.</t>
  </si>
  <si>
    <t>Cơ quan thuế có thể sử dụng công nghệ để theo dõi và giám sát tình hình tài chính của người dân. Tuy nhiên, hiệu quả thực tế còn phụ thuộc vào nguồn lực và sự đầu tư của nhà nước.</t>
  </si>
  <si>
    <t>So với trước đây, quy trình khai thuế trở nên đơn giản hơn khi số bậc thuế giảm. Điều này giúp việc làm thủ tục trở nên thuận tiện hơn cho người dân.</t>
  </si>
  <si>
    <t>Biểu thuế mới đã đơn giản hóa các bậc thuế, giúp tôi dễ dàng tính toán và thực hiện hơn so với trước đây.</t>
  </si>
  <si>
    <t>Tôi tin rằng Nhà nước sẽ thực thi chính sách một cách công bằng và khách quan. Tuy nhiên, việc xử lý trốn thuế cần phải có biện pháp mạnh mẽ hơn.</t>
  </si>
  <si>
    <t>Thuế mới được tính theo mức thu nhập của tôi, nên tôi thấy nó là hợp lý. Mức giảm trừ gia cảnh tăng lên cũng giúp giảm gánh nặng thuế cho người dân.</t>
  </si>
  <si>
    <t>Tôi tin rằng số tiền thuế đóng sẽ được sử dụng hiệu quả để cải thiện chất lượng dịch vụ công, tuy nhiên cần có thêm thông tin về cách sử dụng nguồn thu thuế này.</t>
  </si>
  <si>
    <t>Nhà nước đã giải thích rõ ràng về mục tiêu của việc cải cách thuế. Tuy vậy, tôi mong muốn có thêm thông tin chi tiết hơn từ các cơ quan chức năng.</t>
  </si>
  <si>
    <t>Tôi ủng hộ và tuân thủ chính sách mới vì nó tạo ra sự công bằng hơn và đơn giản hóa quy trình khai thuế. Tuy nhiên, tôi hy vọng sẽ có thêm cải tiến về việc phát hiện và xử lý trốn thuế.</t>
  </si>
  <si>
    <t>Hệ thống giảm trừ gia cảnh và bậc thuế đơn giản hơn đã làm việc trở nên dễ dàng hơn. Tôi không phải điền nhiều thông tin phức tạp.</t>
  </si>
  <si>
    <t>Bậc thuế mới rõ ràng, dễ hiểu hơn so với trước đây</t>
  </si>
  <si>
    <t>Tôi tin rằng cơ quan thuế sẽ công bằng trong việc áp dụng chính sách mới. Mức độ giảm trừ gia cảnh cao đã làm giảm gánh nặng thuế của tôi.</t>
  </si>
  <si>
    <t>Nhìn chung, mức thuế mới là hợp lý đối với thu nhập của tôi và những người khác trong tình huống tương tự</t>
  </si>
  <si>
    <t>Thuế mà tôi đóng sẽ được sử dụng để cải thiện các dịch vụ công như y tế và cơ sở hạ tầng, điều này mang lại lợi ích cho cả cộng đồng.</t>
  </si>
  <si>
    <t>Chính phủ đã cung cấp thông tin đầy đủ về mục tiêu của chính sách mới. Tôi thấy đây là một cải tiến tích cực</t>
  </si>
  <si>
    <t>Dựa trên các lợi ích và giảm trừ gia cảnh, tôi ủng hộ và tuân thủ chính sách thuế mới.</t>
  </si>
  <si>
    <t>Nhà nước đã và đang tăng cường hệ thống quản lý thuế, nhưng vẫn có những lỗ hổng nhỏ cho hành vi gian lận. Tuy nhiên, với mức giảm trừ gia cảnh cao hơn, việc trốn thuế sẽ khó khăn hơn.</t>
  </si>
  <si>
    <t>Cơ quan thuế đã đầu tư công nghệ hiện đại để phát hiện hành vi gian lận. Tuy nhiên, vẫn còn phụ thuộc vào sự tuân thủ của cá nhân và doanh nghiệp.</t>
  </si>
  <si>
    <t>So với trước đây, quy trình khai thuế đơn giản hơn nhiều, đặc biệt là việc sử dụng phần mềm điện tử. Điều này giúp tiết kiệm thời gian và công sức.</t>
  </si>
  <si>
    <t>Biểu thuế mới có ít bậc, giảm độ phức tạp trong quá trình tính toán và khai báo. Người dân dễ dàng hiểu và áp dụng hơn so với trước đây.</t>
  </si>
  <si>
    <t>Nhà nước đã thực hiện công bằng trong việc điều chỉnh thuế theo thu nhập, tuy nhiên tôi vẫn có sự lo ngại về cách thức thực thi chính sách.</t>
  </si>
  <si>
    <t>Mức thuế mới giảm đáng kể so với trước đây và phù hợp với thu nhập của tôi. Điều này làm tăng niềm tin vào tính công bằng của hệ thống thuế.</t>
  </si>
  <si>
    <t>Số tiền thuế đóng sẽ được sử dụng hiệu quả để cải thiện dịch vụ công, mặc dù vẫn còn những lo ngại về việc quản lý ngân sách.</t>
  </si>
  <si>
    <t>Nhà nước đã có những giải thích rõ ràng về mục tiêu và lý do của việc sửa đổi thuế. Tuy nhiên, tôi mong muốn có thêm thông tin chi tiết hơn.</t>
  </si>
  <si>
    <t>Tôi ủng hộ chính sách mới vì nó giảm gánh nặng tài chính cho người dân như tôi, đồng thời đơn giản hóa quy trình khai thuế.</t>
  </si>
  <si>
    <t>Quy trình khai báo thuế đơn giản hơn trước, nhưng vẫn còn một số thủ tục phức tạp. Tuy nhiên, sự đơn giản hóa biểu thuế đã cải thiện đáng kể.</t>
  </si>
  <si>
    <t>Cách tính thuế và các bậc thuế mới đơn giản, dễ hiểu. Mức giảm trừ gia cảnh tăng giúp việc tính toán thuận lợi hơn nhiều so với trước đây.</t>
  </si>
  <si>
    <t>Tôi tin rằng cơ quan thuế sẽ thực thi công bằng vì mức thu thuế phù hợp với thu nhập của tôi, và các quy định đã được cải thiện</t>
  </si>
  <si>
    <t>Mức thuế mới là công bằng đối với người có thu nhập như tôi. Sự đơn giản hóa cũng giúp việc đóng thuế trở nên dễ dàng hơn.</t>
  </si>
  <si>
    <t>Tôi tin rằng số tiền thuế tôi đóng sẽ được sử dụng hiệu quả để cải thiện dịch vụ công, nhưng cần thêm thông tin cụ thể về cách sử dụng</t>
  </si>
  <si>
    <t>Nhà nước đã giải thích rõ ràng về mục tiêu của việc sửa đổi thuế này. Tuy nhiên, có thể cần thêm thông tin chi tiết để tôi cảm thấy hoàn toàn an tâm.</t>
  </si>
  <si>
    <t>Tôi ủng hộ và tuân thủ chính sách mới vì nó đơn giản hơn và công bằng hơn so với trước đây. Mức thuế mới giúp tôi tiết kiệm được một khoản tiền đáng kể mỗi tháng.</t>
  </si>
  <si>
    <t>Dựa trên thông tin hiện có, tôi cho rằng cơ quan thuế vẫn có khả năng phát hiện hành vi trốn thuế do mức giảm trừ gia cảnh tăng, giúp xác định chính xác thu nhập chịu thuế. Tuy nhiên, việc này cần sự phối hợp chặt chẽ giữa các cơ quan quản lý.</t>
  </si>
  <si>
    <t>Công nghệ ngày càng phát triển nên khả năng theo dõi và xử lý trốn thuế của nhà nước có thể được cải thiện, nhưng vẫn phụ thuộc vào việc thực thi cụ thể.</t>
  </si>
  <si>
    <t>So với trước đây, quy trình khai báo thuế trở nên đơn giản hơn, số bậc thuế giảm từ 7 xuống còn 5. Điều này giúp tôi tiết kiệm thời gian và dễ dàng thực hiện.</t>
  </si>
  <si>
    <t>Biểu thuế mới đơn giản hơn với ít bậc thuế, việc tính toán và nộp thuế trở nên dễ dàng hơn. Tuy nhiên, việc áp dụng các mức thuế cụ thể vẫn cần thêm thời gian để làm quen.</t>
  </si>
  <si>
    <t>Tôi tin rằng Nhà nước sẽ thực thi chính sách một cách công bằng và khách quan, nhưng sự minh bạch của thông tin về việc thu thuế vẫn là yếu tố cần cải thiện.</t>
  </si>
  <si>
    <t>Mức giảm trừ gia cảnh tăng lên giúp tôi tiết kiệm nhiều hơn so với trước đây. Điều này cho thấy mức thuế mới được coi là công bằng đối với người nộp thuế có thu nhập như tôi.</t>
  </si>
  <si>
    <t>Tôi tin rằng số tiền thuế đóng sẽ được sử dụng hiệu quả để cải thiện dịch vụ công, nhưng việc thực hiện vẫn phụ thuộc vào quản lý chi tiêu của nhà nước.</t>
  </si>
  <si>
    <t>Nhà nước đã giải thích rõ ràng về thay đổi chính sách mới, nhưng tôi mong muốn có thêm thông tin về những ưu điểm và hạn chế cụ thể hơn để hiểu rõ hơn về quyết định này.</t>
  </si>
  <si>
    <t>Dựa trên sự thuận tiện trong khai thuế, mức giảm trừ gia cảnh tăng lên, cùng với việc thay đổi cơ bản về biểu thuế, tôi ủng hộ và tuân thủ chính sách mới.</t>
  </si>
  <si>
    <t>Nhà nước và cơ quan thuế có nhiều biện pháp quản lý, giám sát các giao dịch tài chính, doanh nghiệp nên việc phát hiện trốn thuế là hoàn toàn khả thi.</t>
  </si>
  <si>
    <t>Với sự phát triển của công nghệ và cơ sở hạ tầng thông tin, Nhà nước đã có đủ năng lực để xử lý các hành vi trốn thuế một cách hiệu quả.</t>
  </si>
  <si>
    <t>Các quy định mới đơn giản hóa quy trình khai thuế, giảm bớt thủ tục rườm rà, làm việc với cơ quan thuế trở nên dễ dàng hơn.</t>
  </si>
  <si>
    <t>Biểu thuế mới có ít bậc hơn và mức thuế suất rõ ràng hơn, giúp quá trình tính thuế trở nên dễ dàng và dễ hiểu hơn so với trước đây.</t>
  </si>
  <si>
    <t>Tôi tin rằng Nhà nước sẽ thực thi chính sách một cách công bằng, khách quan, đảm bảo không thiên vị bất kỳ đối tượng nào.</t>
  </si>
  <si>
    <t>Mức thuế mới được thiết kế hợp lý cho thu nhập của tôi, đảm bảo tính công bằng trong việc phân bổ gánh nặng thuế</t>
  </si>
  <si>
    <t>Tôi tin rằng số tiền thuế đóng sẽ được sử dụng hiệu quả để cải thiện dịch vụ công và chất lượng cuộc sống.</t>
  </si>
  <si>
    <t>Nhà nước đã giải thích rõ ràng về mục tiêu của chính sách mới, tạo niềm tin cho người dân hiểu đúng về lợi ích của việc này.</t>
  </si>
  <si>
    <t>Tôi ủng hộ và tuân thủ chính sách mới vì nó mang lại nhiều quyền lợi hơn so với trước đây và giúp tiết kiệm chi phí.</t>
  </si>
  <si>
    <t>Việc đơn giản hóa quy trình khai báo thuế và biểu thuế làm cho quá trình này dễ dàng hơn, đặc biệt là với những người có thu nhập ổn định như tôi. Thủ tục trở nên thuận tiện hơn so với trước đây.</t>
  </si>
  <si>
    <t>Biểu thuế mới đơn giản hóa các bậc thuế và giảm số lượng bậc từ 7 xuống còn 5, làm cho việc tính toán thuế dễ dàng và nhanh chóng hơn. Điều này giúp tôi hiểu rõ hơn về mức thuế mình phải đóng.</t>
  </si>
  <si>
    <t>Tôi tin rằng Nhà nước sẽ thực thi chính sách mới một cách công bằng, với mức giảm trừ gia cảnh tăng lên và đơn giản hóa biểu thuế. Điều này làm cho quy trình khai báo và nộp thuế trở nên công bằng hơn.</t>
  </si>
  <si>
    <t>Nhà nước đã nâng cao mức giảm trừ gia cảnh, giúp tôi tiết kiệm được một khoản tiền đáng kể. Điều này thể hiện sự công bằng trong việc phân bổ gánh nặng thuế giữa người thu nhập thấp và cao.</t>
  </si>
  <si>
    <t>Tôi tin rằng số tiền thuế tôi đóng sẽ được sử dụng hiệu quả để cải thiện các dịch vụ công, như y tế và đường xá. Điều này giúp nâng cao chất lượng cuộc sống của người dân.</t>
  </si>
  <si>
    <t>Nhà nước đã giải thích rõ ràng về mục tiêu của việc sửa đổi thuế lần này, đặc biệt là về việc tăng mức giảm trừ gia cảnh và đơn giản hóa biểu thuế. Điều này làm tôi cảm thấy tin tưởng hơn vào quyết định của họ.</t>
  </si>
  <si>
    <t>Sau khi xem xét các quyền lợi và nghĩa vụ, tôi ủng hộ chính sách mới hiện nay. Nó giúp tôi tiết kiệm được một khoản tiền đáng kể và làm cho quy trình khai báo thuế trở nên thuận tiện hơn.</t>
  </si>
  <si>
    <t>Cơ quan thuế đã cải thiện hệ thống quản lý và sử dụng công nghệ cao, nên có khả năng xử lý nghiêm các hành vi trốn thuế hiệu quả hơn trước đây.</t>
  </si>
  <si>
    <t>So với quy trình khai báo thuế trước đây, hiện tại thủ tục đơn giản hơn và tiện lợi hơn rất nhiều, đặc biệt là việc giảm số bậc thuế.</t>
  </si>
  <si>
    <t>Biểu thuế mới có ít bậc hơn và rõ ràng hơn so với trước, giúp tính toán thuế dễ dàng và nhanh chóng hơn cho người dân.</t>
  </si>
  <si>
    <t>Tôi tin rằng Nhà nước sẽ thực thi chính sách một cách công bằng vì mức thuế mới đã được điều chỉnh phù hợp với thu nhập của tôi, tăng cường niềm tin vào hệ thống quản lý thuế.</t>
  </si>
  <si>
    <t>Đối với tôi, mức thuế mới này là hợp lý và công bằng, giảm gánh nặng tài chính, nên tôi cảm thấy hài lòng về tính công bằng của nó.</t>
  </si>
  <si>
    <t>Tôi tin rằng số tiền thuế đóng sẽ được sử dụng hiệu quả để cải thiện các dịch vụ công, như y tế và giao thông, do đó tăng niềm tin vào hệ thống quản lý tài chính của Nhà nước.</t>
  </si>
  <si>
    <t>Nhà nước đã giải thích rõ ràng về việc sửa đổi thuế, mục tiêu là giảm gánh nặng cho người dân và tạo ra một biểu thuế đơn giản hơn. Điều này tăng sự minh bạch và trách nhiệm.</t>
  </si>
  <si>
    <t>Tính công bằng, thuận tiện và lợi ích tài chính mà chính sách mới mang lại đã thuyết phục tôi ủng hộ và tuân thủ nó.</t>
  </si>
  <si>
    <t>Dù cơ quan thuế có công nghệ phát hiện, nhưng với mức thuế thấp hơn trước nên khả năng trốn thuế giảm đi. Tuy nhiên vẫn cần sự giám sát chặt chẽ.</t>
  </si>
  <si>
    <t>Công nghệ ngày càng phát triển, cơ quan thuế có thể xử lý nhanh chóng các hành vi gian lận hoặc trốn thuế.</t>
  </si>
  <si>
    <t>Thủ tục đơn giản hơn, không cần nhiều giấy tờ phức tạp như trước nên thuận tiện hơn.</t>
  </si>
  <si>
    <t>Các bậc thuế rõ ràng, dễ hiểu và thực hiện nhanh chóng hơn so với quy định cũ.</t>
  </si>
  <si>
    <t>Niềm tin vào sự công bằng của Nhà nước được tăng lên do mức thuế giảm và quy định đơn giản hơn.</t>
  </si>
  <si>
    <t>Mức thuế mới phù hợp với thu nhập hiện tại, tôi cho rằng nó là công bằng.</t>
  </si>
  <si>
    <t>Thuế được sử dụng vào các dịch vụ công như y tế và đường xá, tăng niềm tin vào sự đầu tư hiệu quả của Nhà nước.</t>
  </si>
  <si>
    <t>Đã có thông báo rõ ràng về mục tiêu của việc sửa đổi thuế lần này</t>
  </si>
  <si>
    <t>Tôi ủng hộ và tuân thủ chính sách mới vì nó đơn giản hơn, công bằng hơn và giảm gánh nặng tài chính.</t>
  </si>
  <si>
    <t>Nhà nước và cơ quan thuế đã đầu tư vào công nghệ, tuy nhiên, việc xử lý nghiêm túc các vụ việc còn phụ thuộc nhiều vào nguồn lực và hiệu quả quản lý.</t>
  </si>
  <si>
    <t>Quy trình làm việc với cơ quan thuế dễ dàng hơn so với trước đây, nhưng vẫn cần cải thiện để giảm bớt thời gian chờ đợi.</t>
  </si>
  <si>
    <t>Biểu thuế mới đơn giản hóa quy trình tính toán và có nhiều bậc thuế thuận lợi cho người nộp thuế, dễ hiểu hơn so với trước đây.</t>
  </si>
  <si>
    <t>Tôi tin tưởng cơ quan thuế sẽ thực thi chính sách một cách công bằng, nhưng vẫn cần giám sát để đảm bảo khách quan.</t>
  </si>
  <si>
    <t>Mức thuế mới giảm đáng kể so với trước đây, thể hiện tính công bằng và hợp lý cho người có thu nhập như tôi.</t>
  </si>
  <si>
    <t>Thuế tôi đóng sẽ được sử dụng hiệu quả để cải thiện dịch vụ công, nhưng cần có minh bạch hơn về cách sử dụng nguồn lực này.</t>
  </si>
  <si>
    <t>Tôi ủng hộ việc giải thích rõ ràng về mục tiêu và lý do của việc sửa đổi thuế lần này, thể hiện trách nhiệm chính phủ với người dân.</t>
  </si>
  <si>
    <t>Chính sách mới cải thiện đáng kể so với trước đây về mặt thu nhập và thủ tục làm việc, tôi sẽ ủng hộ và tuân thủ.</t>
  </si>
  <si>
    <t>Nhà nước và cơ quan thuế đã đầu tư công nghệ để phát hiện hành vi trốn thuế, nhưng vẫn phụ thuộc vào các quy định cụ thể. Cần thêm nỗ lực để tăng cường hơn nữa.</t>
  </si>
  <si>
    <t>So với trước đây, quy trình khai báo và làm việc với cơ quan thuế đã đơn giản hơn nhiều, nhưng vẫn còn một số thủ tục rườm rà.</t>
  </si>
  <si>
    <t>Biểu thuế mới rõ ràng hơn với ít bậc, giúp tôi dễ dàng tính toán và tuân thủ hơn so với trước đây.</t>
  </si>
  <si>
    <t>Tôi tin rằng Nhà nước sẽ thực thi chính sách một cách công bằng đối với mọi người nộp thuế. Sự cải thiện về mức giảm trừ gia cảnh cũng tăng thêm sự công bằng.</t>
  </si>
  <si>
    <t>Lượng thuế tôi phải đóng thấp hơn và có nhiều ưu đãi hơn, khiến tôi thấy việc đóng thuế là hợp lý đối với thu nhập của mình.</t>
  </si>
  <si>
    <t>Thuế tôi đóng sẽ được sử dụng để cải thiện dịch vụ công, như y tế và giao thông, làm cho việc đóng thuế có ý nghĩa hơn.</t>
  </si>
  <si>
    <t>Nhà nước đã giải thích rõ ràng về mục tiêu của việc sửa đổi thuế, mặc dù tôi vẫn nghi ngờ một chút về hiệu quả thực tế của các biện pháp này.</t>
  </si>
  <si>
    <t>Sau khi xem xét tất cả các yếu tố, tôi ủng hộ và sẽ tuân thủ chính sách mới. Sự đơn giản hóa và cải thiện về mức giảm trừ gia cảnh đã làm tăng niềm tin của tôi.</t>
  </si>
  <si>
    <t>Do có mức giảm trừ gia cảnh tăng lên, điều này làm giảm cơ hội cho hành vi gian lận. Tuy nhiên, khả năng phát hiện và xử lý vẫn phụ thuộc vào hiệu quả thực thi của nhà nước.</t>
  </si>
  <si>
    <t>Cơ quan thuế đã cải thiện công nghệ và quy trình để tăng cường quản lý, nhưng cần thêm thời gian để đánh giá hiệu quả toàn diện.</t>
  </si>
  <si>
    <t>So với trước đây, quá trình khai báo thuế dễ dàng hơn do giảm số bậc thuế. Tuy nhiên, thủ tục vẫn cần tối ưu hóa nhiều hơn.</t>
  </si>
  <si>
    <t>Biểu thuế mới đơn giản và rõ ràng hơn, giúp việc tính toán dễ dàng hơn. Sự thay đổi này làm tăng độ tin cậy trong quá trình tính thuế.</t>
  </si>
  <si>
    <t>Tôi tin rằng nhà nước sẽ thực thi chính sách một cách khách quan và công bằng, nhưng sự minh bạch về quy trình thực thi vẫn cần được cải thiện.</t>
  </si>
  <si>
    <t>Nhờ mức thuế giảm đáng kể, tôi thấy việc đóng thuế theo phương án mới là hợp lý. Tuy nhiên, có thể có sự khác biệt trong cách hiểu về mức độ công bằng giữa các cá nhân.</t>
  </si>
  <si>
    <t>Số tiền thuế giảm đi giúp cải thiện dịch vụ công. Tuy nhiên, hiệu quả sử dụng nguồn ngân sách vẫn cần được đánh giá.</t>
  </si>
  <si>
    <t>Nhà nước đã giải thích rõ ràng về mục tiêu của chính sách mới, nhưng thông tin chi tiết về cách thực thi và quản lý nguồn thu thuế vẫn còn hạn chế.</t>
  </si>
  <si>
    <t>Tổng thể, tôi ủng hộ chính sách này vì nó mang lại lợi ích tài chính cho người dân và đơn giản hóa quy trình làm việc với cơ quan thuế. Tuy nhiên, cần có thêm nỗ lực để cải thiện sự minh bạch.</t>
  </si>
  <si>
    <t>Dù cơ quan thuế có công nghệ phát hiện, nhưng với quy định quản lý thuế hiện tại, việc gian lận hoặc trốn thuế vẫn còn tiềm ẩn. Tuy nhiên, mức giảm trừ gia cảnh tăng lên có thể giúp giảm bớt tình trạng này.</t>
  </si>
  <si>
    <t>Nhà nước và cơ quan thuế đã đầu tư công nghệ để phát hiện trốn thuế, nhưng hiệu quả thực tế còn phụ thuộc vào sự giám sát và quản lý.</t>
  </si>
  <si>
    <t>Hệ thống quy trình khai báo thuế trở nên đơn giản hơn, nhưng vẫn cần thời gian quen với các thay đổi mới.</t>
  </si>
  <si>
    <t>Biểu thuế đơn giản hóa và rõ ràng hơn, giúp việc tính toán thuế dễ dàng hơn so với trước đây.</t>
  </si>
  <si>
    <t>Tôi tin rằng Nhà nước sẽ thực thi chính sách một cách công tâm, nhưng vẫn có sự đa dạng trong áp dụng quy định.</t>
  </si>
  <si>
    <t>Tính công bằng của mức thuế mới dựa trên thu nhập của tôi là hợp lý, đặc biệt khi được giảm trừ gia cảnh nhiều hơn trước đây.</t>
  </si>
  <si>
    <t>Thuế tôi đóng sẽ được sử dụng hiệu quả để cải thiện dịch vụ công, nhưng cần giám sát để đảm bảo.</t>
  </si>
  <si>
    <t>Nhà nước đã giải thích rõ ràng về mục tiêu của việc sửa đổi thuế, mặc dù không phải tất cả thông tin đều được công khai đầy đủ.</t>
  </si>
  <si>
    <t>Tôi ủng hộ chính sách mới vì nó giúp giảm gánh nặng tài chính và tăng quyền lợi cho người dân. Tuy nhiên, cần thời gian để quen với các thay đổi.</t>
  </si>
  <si>
    <t>Điều kiện thực thi hiện tại chưa đủ mạnh để phát hiện và xử lý trốn thuế.</t>
  </si>
  <si>
    <t>Cơ quan thuế cần cải thiện công nghệ để phát hiện gian lận hoặc trốn thuế hiệu quả hơn.</t>
  </si>
  <si>
    <t>Khả năng đơn giản hóa quy trình khai báo và làm việc với cơ quan thuế đã cải thiện đáng kể.</t>
  </si>
  <si>
    <t>Cách tính thuế mới rõ ràng hơn, nhưng mức thuế vẫn khá phức tạp đối với người bình thường.</t>
  </si>
  <si>
    <t>Tôi tin rằng cơ quan thuế sẽ thực thi chính sách công bằng, nhưng có một số lo ngại về khả năng kiểm soát.</t>
  </si>
  <si>
    <t>Mức giảm trừ gia cảnh mới và bảng thuế đơn giản đã giúp tôi cảm thấy mức thuế đóng là hợp lý.</t>
  </si>
  <si>
    <t>Tiết kiệm tiền thuế sẽ được dùng hiệu quả để cải thiện dịch vụ công, nhưng cần thêm thông tin cụ thể.</t>
  </si>
  <si>
    <t>Nhà nước đã giải thích rõ ràng về mục tiêu của việc sửa đổi chính sách, tạo niềm tin cho người dân.</t>
  </si>
  <si>
    <t>Tôi ủng hộ và tuân thủ chính sách mới vì lợi ích về mặt tài chính và cải tiến quy định thuế.</t>
  </si>
  <si>
    <t>Nguyên tắc quản lý thuế hiện tại đã được cải tiến, tuy nhiên vẫn có thể gặp khó khăn trong việc phát hiện trốn thuế do quy mô và nguồn lực hạn chế của cơ quan thuế.</t>
  </si>
  <si>
    <t>Việc áp dụng công nghệ để quản lý thuế đã tốt hơn nhưng khả năng xử lý nghiêm các hành vi gian lận hay trốn thuế vẫn phụ thuộc vào nguồn lực và quyết tâm của cơ quan chức năng.</t>
  </si>
  <si>
    <t>So với trước đây, quy trình khai báo thuế trở nên đơn giản hơn nhờ việc giảm số bậc thuế, tuy nhiên vẫn cần thời gian để người dân thích nghi và nắm bắt các thay đổi.</t>
  </si>
  <si>
    <t>Các bước tính thuế mới đơn giản và dễ hiểu hơn so với trước đây, giúp người dân có thể tự tính toán chính xác hơn mà không cần sự hỗ trợ của chuyên gia tài chính.</t>
  </si>
  <si>
    <t>Tôi tin rằng cơ quan thuế sẽ thực thi chính sách công bằng đối với mọi cá nhân nộp thuế, nhưng vẫn cần thời gian để các quy định mới được phổ biến rộng rãi.</t>
  </si>
  <si>
    <t>Với mức giảm trừ gia cảnh và bậc thuế mới, tôi thấy rằng mình đang đóng mức thuế tương xứng với thu nhập hiện tại của mình, tạo cảm giác công bằng hơn.</t>
  </si>
  <si>
    <t>Việc cải cách thuế nhằm mục đích nâng cao chất lượng dịch vụ công và phát triển kinh tế, nên tôi tin rằng số tiền thuế đóng sẽ được sử dụng hiệu quả.</t>
  </si>
  <si>
    <t>Nhà nước đã giải thích rõ ràng về thay đổi thuế qua nhiều kênh thông tin, tuy nhiên vẫn cần thêm các biện pháp cụ thể để tăng sự minh bạch và trách nhiệm hơn nữa.</t>
  </si>
  <si>
    <t>Dựa trên những cải tiến trong chính sách mới, tôi ủng hộ việc tuân thủ và đồng ý với quy định hiện tại, mặc dù vẫn có một số điều cần được hoàn thiện thêm.</t>
  </si>
  <si>
    <t>Dựa trên thông tin, tôi không hoàn toàn tin rằng hành vi gian lận hoặc trốn thuế sẽ dễ dàng bị phát hiện và xử lý. Tuy nhiên, các quy định quản lý thuế đã được cải thiện nên khả năng phát hiện cũng tăng lên.</t>
  </si>
  <si>
    <t>Nhà nước và cơ quan thuế có thể áp dụng công nghệ để hỗ trợ việc phát hiện trốn thuế. Tuy nhiên, hiệu quả này phụ thuộc vào nguồn lực và khả năng triển khai của họ.</t>
  </si>
  <si>
    <t>Quy trình làm việc với cơ quan thuế đã đơn giản hơn, nhưng thủ tục khai báo thuế vẫn cần cải thiện để trở nên dễ dàng hơn.</t>
  </si>
  <si>
    <t>Biểu thuế mới có ít bậc hơn và mức thuế suất rõ ràng hơn, giúp việc tính thuế dễ hiểu hơn. Tuy nhiên, việc áp dụng các quy định mới vẫn cần thời gian để người dân thích nghi.</t>
  </si>
  <si>
    <t>Tôi tin rằng cơ quan thuế sẽ thực thi chính sách một cách công tâm và khách quan. Mức thuế giảm giúp tôi cảm thấy sự công bằng trong việc đóng góp cho xã hội.</t>
  </si>
  <si>
    <t>Theo thông tin, mức thuế mới là hợp lý với thu nhập của tôi. Thuế giảm giúp tôi cảm thấy công bằng hơn trong việc đóng góp cho dịch vụ công</t>
  </si>
  <si>
    <t>Mức thuế giảm và cải thiện cơ sở hạ tầng y tế, đường xá... tăng niềm tin rằng số tiền thuế đóng sẽ được sử dụng hiệu quả.</t>
  </si>
  <si>
    <t>Dù thông tin về mục tiêu của việc sửa đổi thuế đã được giải thích rõ ràng, nhưng tôi mong muốn có thêm các phương án thay thế để cân nhắc</t>
  </si>
  <si>
    <t>Tôi ủng hộ và tuân thủ chính sách mới vì nó phù hợp với thu nhập của tôi và giúp cải thiện dịch vụ công. Tuy nhiên, tôi cũng mong muốn có thêm thông tin về cách sử dụng số tiền thuế</t>
  </si>
  <si>
    <t>Hiện nay, cơ quan thuế có nhiều công cụ phát hiện gian lận và trốn thuế, do đó tôi tin rằng hành vi này sẽ dễ bị phát hiện. Thực thi pháp luật cũng được cải thiện đáng kể.</t>
  </si>
  <si>
    <t>Cơ quan thuế có đội ngũ nhân viên chuyên nghiệp và công nghệ thông tin phát triển, giúp họ xử lý nhanh chóng các vụ việc trốn thuế và gian lận.</t>
  </si>
  <si>
    <t>So với trước đây, quy trình khai thuế trở nên đơn giản hơn, thủ tục cũng thuận tiện và nhanh chóng hơn nhiều.</t>
  </si>
  <si>
    <t>Số bậc thuế được giảm từ 7 xuống còn 5, và các mức thuế suất rõ ràng hơn, dễ dàng thực hiện hơn so với trước đây.</t>
  </si>
  <si>
    <t>Tôi tin rằng cơ quan thuế sẽ công tâm trong việc áp dụng chính sách mới. Các quy định mới giúp giảm gian lận và trốn thuế.</t>
  </si>
  <si>
    <t>Nhờ mức giảm trừ gia cảnh tăng lên, tôi thấy mình đóng thuế ít hơn so với trước đây, điều này tạo cảm giác công bằng.</t>
  </si>
  <si>
    <t>Thuế của tôi sẽ được sử dụng để cải thiện hạ tầng và dịch vụ công, do đó tôi tin rằng việc đóng thuế là đáng giá.</t>
  </si>
  <si>
    <t>Nhà nước đã giải thích rõ ràng về mục tiêu sửa đổi chính sách thuế lần này, tạo niềm tin cho người dân.</t>
  </si>
  <si>
    <t>Tôi ủng hộ và tuân thủ chính sách mới vì nó đơn giản hơn, công bằng hơn và có tác động tài chính tích cực đối với tôi.</t>
  </si>
  <si>
    <t>Dù cơ quan thuế có công nghệ phát hiện gian lận, nhưng với mức độ tuân thủ cao từ người dân, hành vi trốn thuế vẫn còn tồn tại. Tuy nhiên, với việc tăng giảm trừ gia cảnh và đơn giản hóa quy trình, khả năng bị phát hiện sẽ tăng.</t>
  </si>
  <si>
    <t>Nhà nước đã đầu tư vào công nghệ để quản lý thuế hiệu quả hơn, nhưng sự thực thi vẫn phụ thuộc vào sự tuân thủ của người dân. Khả năng xử lý nghiêm vẫn cần được cải thiện.</t>
  </si>
  <si>
    <t>Quy trình khai báo và làm việc với cơ quan thuế trở nên dễ dàng hơn, giảm bớt gian nan cho người nộp thuế.</t>
  </si>
  <si>
    <t>Biểu thuế đơn giản hơn nhiều so với trước đây, giúp người dân dễ dàng tính toán và tuân thủ.</t>
  </si>
  <si>
    <t>Nhà nước đã tăng giảm trừ gia cảnh và đơn giản hóa quy trình, tạo ra sự công bằng hơn cho người nộp thuế như tôi.</t>
  </si>
  <si>
    <t>Lệ phí mới được tính dựa trên thu nhập thực tế của tôi, phù hợp với mức độ thu nhập hiện tại.</t>
  </si>
  <si>
    <t>Thuế được sử dụng để đầu tư vào các dịch vụ công, cải thiện cuộc sống cho người dân.</t>
  </si>
  <si>
    <t>Nội dung giải thích về chính sách mới rõ ràng và dễ hiểu, tăng sự tin tưởng của tôi đối với Nhà nước.</t>
  </si>
  <si>
    <t>Sau khi xem xét các lợi ích từ chính sách mới, tôi ủng hộ việc thực thi nó để cải thiện trải nghiệm nộp thuế của tôi.</t>
  </si>
  <si>
    <t>Thuế mà tôi phải đóng theo phương án mới phù hợp với thu nhập của mình, tôi thấy nó là một mức thuế công bằng và hợp lý.</t>
  </si>
  <si>
    <t>Tôi tin rằng số tiền thuế tôi đóng sẽ được sử dụng hiệu quả để cải thiện các dịch vụ công như y tế, giao thông...</t>
  </si>
  <si>
    <t>Nhà nước đã giải thích rõ ràng về mục tiêu và lý do của việc sửa đổi thuế, tôi cảm thấy mình hiểu được chính sách mới.</t>
  </si>
  <si>
    <t>Tôi ủng hộ và tuân thủ chính sách mới vì nó mang lại lợi ích tài chính cho tôi đồng thời đơn giản hóa quy trình khai báo thuế.</t>
  </si>
  <si>
    <t>Dù có công nghệ hỗ trợ, nhưng tôi vẫn nghi ngờ việc phát hiện trốn thuế hiệu quả vì chưa rõ quy định quản lý thuế cụ thể.</t>
  </si>
  <si>
    <t>Công nghệ hiện đại giúp phát hiện gian lận dễ dàng hơn, tuy nhiên, nếu không có quy định cụ thể thì khả năng thực thi vẫn còn hạn chế.</t>
  </si>
  <si>
    <t>Quy trình khai thuế đơn giản hơn nhưng tôi vẫn cần thời gian để quen với các thay đổi mới.</t>
  </si>
  <si>
    <t>Biểu thuế được đơn giản hóa, dễ hiểu và thực hiện thuận tiện hơn so với trước đây.</t>
  </si>
  <si>
    <t>Tôi tin Nhà nước sẽ công tâm trong việc thực thi luật pháp nhưng vẫn có sự nghi ngờ về việc quản lý hiệu quả.</t>
  </si>
  <si>
    <t>Mức thuế mới phù hợp với thu nhập của tôi, làm tăng niềm tin về tính công bằng.</t>
  </si>
  <si>
    <t>Thuế đóng góp vào các dịch vụ công là điều cần thiết và tôi tin nó sẽ được sử dụng hiệu quả.</t>
  </si>
  <si>
    <t>Chính phủ đã giải thích rõ ràng về mục tiêu của việc cải cách thuế, tạo sự minh bạch trong quản lý tài chính.</t>
  </si>
  <si>
    <t>Sau khi tính toán tác động tài chính và các thay đổi, tôi ủng hộ và sẽ tuân thủ chính sách mới.</t>
  </si>
  <si>
    <t>Hiện nay, với sự phát triển của công nghệ, việc phát hiện hành vi gian lận hoặc trốn thuế sẽ trở nên dễ dàng hơn. Tuy nhiên, tôi vẫn lo ngại về khả năng thực thi và xử lý hiệu quả.</t>
  </si>
  <si>
    <t>Nhà nước đã đầu tư vào công nghệ và nhân lực để cải thiện quản lý thuế, điều này tăng cường khả năng phát hiện và xử lý các hành vi trốn thuế.</t>
  </si>
  <si>
    <t>Thủ tục khai báo thuế trở nên đơn giản hơn với mức giảm trừ gia cảnh cao hơn và số bậc thuế ít đi, thuận lợi cho người nộp thuế.</t>
  </si>
  <si>
    <t>Cách tính thuế mới đơn giản hơn so với trước đây, giúp tôi dễ dàng nắm bắt và áp dụng.</t>
  </si>
  <si>
    <t>Tôi tin rằng Nhà nước sẽ thực thi chính sách một cách công bằng cho mọi người nộp thuế, nhưng vẫn có sự nghi ngờ về việc thực hiện.</t>
  </si>
  <si>
    <t>Mức thuế mới phù hợp với thu nhập của tôi và số người phụ thuộc, tạo cảm giác công bằng.</t>
  </si>
  <si>
    <t>Tôi tin rằng số tiền thuế đóng sẽ được sử dụng hiệu quả để cải thiện các dịch vụ công như y tế và đường xá.</t>
  </si>
  <si>
    <t>Nhà nước đã giải thích rõ ràng về mục tiêu của việc sửa đổi chính sách thuế, làm tăng niềm tin của tôi.</t>
  </si>
  <si>
    <t>Tác động tài chính tích cực và thủ tục đơn giản hơn khiến tôi có xu hướng ủng hộ và tuân thủ chính sách mới.</t>
  </si>
  <si>
    <t>Quy trình khai báo thuế và làm việc với cơ quan thuế trở nên đơn giản hơn nhiều so với trước đây, giúp quá trình thực hiện thuận tiện hơn.</t>
  </si>
  <si>
    <t>Biểu thuế mới có ít bậc hơn, dễ hiểu và dễ thực hiện hơn, giúp tôi không cần phải tính toán phức tạp như trước đây.</t>
  </si>
  <si>
    <t>Tôi tin rằng Nhà nước sẽ công bằng trong việc áp dụng chính sách thuế mới, do mức giảm trừ gia cảnh và các bậc thuế đã được điều chỉnh phù hợp.</t>
  </si>
  <si>
    <t>Mức thuế tôi phải đóng theo phương án mới là hợp lý với thu nhập của mình. Mức giảm trừ gia cảnh cao hơn giúp tiết kiệm chi phí thuế.</t>
  </si>
  <si>
    <t>Thuế mà tôi đóng sẽ được sử dụng hiệu quả để cải thiện các dịch vụ công, từ đó mang lại lợi ích cho cộng đồng và bản thân tôi.</t>
  </si>
  <si>
    <t>Nhà nước đã giải thích rõ ràng về lý do và mục tiêu của việc sửa đổi thuế lần này. Tôi cảm thấy tin tưởng vào quyết định của họ.</t>
  </si>
  <si>
    <t>Dựa trên các ưu điểm về mặt giảm trừ gia cảnh, đơn giản hóa quy trình khai báo thuế và mức thuế công bằng hơn, tôi ủng hộ và tuân thủ chính sách mới.</t>
  </si>
  <si>
    <t>Dù luật mới có đơn giản hóa biểu thuế, nhưng tôi vẫn tin rằng cơ quan thuế sẽ phát hiện và xử lý các hành vi gian lận hoặc trốn thuế. Cơ quan thuế đã đầu tư nhiều vào công nghệ giám sát.</t>
  </si>
  <si>
    <t>Việc tăng giảm trừ gia cảnh và đơn giản hóa biểu thuế giúp cải thiện khả năng quản lý của cơ quan thuế, nhưng tôi vẫn tin rằng họ có đủ nguồn lực để thực hiện nhiệm vụ.</t>
  </si>
  <si>
    <t>Thủ tục khai báo thuế trở nên dễ dàng hơn với mức giảm trừ gia cảnh cao hơn và số bậc thuế ít đi. Đây là một cải tiến đáng kể.</t>
  </si>
  <si>
    <t>Biểu thuế mới đơn giản hóa quy trình tính toán, nhưng tôi vẫn thấy rằng việc theo dõi các thay đổi có thể gây khó khăn đối với nhiều người.</t>
  </si>
  <si>
    <t>Tôi tin rằng Nhà nước sẽ thực thi chính sách một cách công bằng và khách quan. Tác động tài chính tích cực giúp tăng niềm tin vào hệ thống thuế mới.</t>
  </si>
  <si>
    <t>Như tôi đã đề cập, mức thuế mới là hợp lý đối với thu nhập của tôi, điều này làm tăng cảm giác công bằng. Tuy nhiên, việc áp dụng chung cho tất cả mọi người có thể gây nghi ngờ.</t>
  </si>
  <si>
    <t>Tôi tin rằng số tiền thuế đóng sẽ được sử dụng hiệu quả để cải thiện các dịch vụ công. Tác động tài chính tích cực tăng niềm tin vào việc này.</t>
  </si>
  <si>
    <t>Nhà nước đã giải thích rõ ràng về mục tiêu của chính sách mới, nhưng tôi vẫn nghi ngờ về mức độ thực hiện các cam kết cải cách.</t>
  </si>
  <si>
    <t>Tôi ủng hộ và tuân thủ chính sách mới vì tác động tài chính tích cực và sự đơn giản hóa quy trình thuế. Tuy nhiên, tôi sẽ tiếp tục theo dõi để đảm bảo các cam kết được thực hiện.</t>
  </si>
  <si>
    <t>Các quy định quản lý thuế hiện nay đã được cải thiện, tuy nhiên do tôi không có kiến thức chuyên môn sâu về lĩnh vực này nên chưa thể đánh giá cao.</t>
  </si>
  <si>
    <t>Nhà nước và cơ quan thuế có khả năng công nghệ tốt để phát hiện hành vi trốn thuế, nhưng vẫn cần cải thiện thêm.</t>
  </si>
  <si>
    <t>So với trước đây, quy trình khai báo thuế trở nên đơn giản hơn nhiều, thuận tiện cho người nộp thuế.</t>
  </si>
  <si>
    <t>Các bậc thuế mới được đơn giản hóa và dễ hiểu hơn, giúp việc tính toán thuế trở nên thuận lợi.</t>
  </si>
  <si>
    <t>Tôi tin rằng Nhà nước sẽ thực thi chính sách một cách công bằng với tất cả các đối tượng nộp thuế.</t>
  </si>
  <si>
    <t>Mức thuế mới theo phương án mới là hợp lý và công bằng, phù hợp với thu nhập của tôi.</t>
  </si>
  <si>
    <t>Tôi tin rằng số tiền thuế đóng sẽ được sử dụng hiệu quả cho các dịch vụ công như y tế, giáo dục và cơ sở hạ tầng.</t>
  </si>
  <si>
    <t>Nhà nước đã giải thích rõ ràng mục tiêu của việc sửa đổi thuế lần này, tuy nhiên cần cải thiện thêm về sự minh bạch.</t>
  </si>
  <si>
    <t>Tôi ủng hộ và tuân thủ chính sách mới do nó phù hợp với thu nhập của tôi và mang lại nhiều lợi ích hơn so với trước đây.</t>
  </si>
  <si>
    <t>Tăng mức giảm trừ gia cảnh và đơn giản hóa biểu thuế có thể làm tăng khả năng phát hiện hành vi trốn thuế, nhưng vẫn cần cải thiện công nghệ để xử lý hiệu quả.</t>
  </si>
  <si>
    <t>Cơ quan thuế đã đầu tư vào công nghệ thông tin nên khả năng phát hiện và xử lý trốn thuế có thể tốt hơn trước đây.</t>
  </si>
  <si>
    <t>Quy trình khai báo thuế trở nên đơn giản, nhưng vẫn cần thêm thời gian để quen với các thay đổi mới.</t>
  </si>
  <si>
    <t>Biểu thuế mới rõ ràng và dễ hiểu hơn so với trước đây, giảm tải cho người dân khi tính toán thuế.</t>
  </si>
  <si>
    <t>Tăng mức giảm trừ gia cảnh và đơn giản hóa biểu thuế tạo cảm giác công bằng giữa các đối tượng nộp thuế.</t>
  </si>
  <si>
    <t>Mức thuế mới phù hợp với thu nhập của tôi, cho thấy chính sách này có tính đến thực tế đời sống của người dân.</t>
  </si>
  <si>
    <t>Thuế đóng góp vào việc cải thiện các dịch vụ công quan trọng như y tế và giao thông, tạo niềm tin về sử dụng tiền thuế hiệu quả.</t>
  </si>
  <si>
    <t>Chính phủ đã giải thích rõ ràng về mục tiêu của chính sách mới, nhưng vẫn cần thêm thông tin chi tiết hơn về cách thực hiện.</t>
  </si>
  <si>
    <t>Trải qua quá trình đánh giá và xem xét các quyền lợi, tôi đồng ý với chính sách mới và sẽ tuân thủ.</t>
  </si>
  <si>
    <t>Dù chưa rõ ràng về khả năng phát hiện, nhưng với mức thuế giảm và công nghệ hiện đại, tôi tin rằng việc gian lận sẽ khó tồn tại.</t>
  </si>
  <si>
    <t>Cơ quan thuế có nhiều nguồn thông tin để kiểm soát, nhưng khả năng thực thi phụ thuộc vào sự quyết tâm của họ.</t>
  </si>
  <si>
    <t>Quy trình nay đơn giản hơn và dễ dàng hơn trong việc khai báo, giảm thời gian chờ đợi nên rất thuận tiện.</t>
  </si>
  <si>
    <t>Bậc thuế đã được rút gọn và giảm trừ gia cảnh tăng lên, làm cho cách tính thuế trở nên rõ ràng hơn.</t>
  </si>
  <si>
    <t>Nhà nước công bố các quy định mới một cách minh bạch, tuy nhiên tôi vẫn nghi ngờ về sự công bằng trong việc áp dụng.</t>
  </si>
  <si>
    <t>Thuế của tôi giảm đáng kể và mức giảm trừ gia cảnh tăng nên tôi thấy là công bằng cho thu nhập hiện tại của mình.</t>
  </si>
  <si>
    <t>Công tác đầu tư của nhà nước vào y tế, giáo dục còn hạn chế, nhưng thuế sẽ được sử dụng hiệu quả hơn.</t>
  </si>
  <si>
    <t>Nhà nước đã giải thích rõ về mục tiêu của việc cải cách thuế và tôi tin rằng họ đang cố gắng minh bạch.</t>
  </si>
  <si>
    <t>Sau khi xem xét, tôi thấy chính sách mới có lợi cho tôi nên sẽ ủng hộ và tuân thủ nó.</t>
  </si>
  <si>
    <t>Bậc thuế mới được sắp xếp rõ ràng, dễ hiểu hơn so với trước đây, tạo điều kiện cho việc tính thuế trở nên đơn giản.</t>
  </si>
  <si>
    <t>Tôi tin rằng Nhà nước sẽ thực thi chính sách một cách khách quan và công bằng, đối xử bình đẳng với mọi người nộp thuế.</t>
  </si>
  <si>
    <t>Thuế mới được giảm bớt so với trước đây, tạo cảm giác công bằng hơn cho người có thu nhập như tôi.</t>
  </si>
  <si>
    <t>Tiền thuế đóng góp vào việc cải thiện dịch vụ công, giúp nâng cao chất lượng cuộc sống của mọi người.</t>
  </si>
  <si>
    <t>Nhà nước đã giải thích rõ ràng về mục tiêu và lý do của chính sách mới, tạo sự tin tưởng cho người dân.</t>
  </si>
  <si>
    <t>Tôi ủng hộ và sẽ tuân thủ chính sách mới vì nó mang lại nhiều lợi ích về mặt tài chính và thuận tiện hơn so với trước đây.</t>
  </si>
  <si>
    <t>Quy trình khai báo thuế đã được đơn giản hóa, giảm bớt các bước rườm rà trước đây, khiến quá trình làm việc với cơ quan thuế trở nên tiện lợi hơn.</t>
  </si>
  <si>
    <t>Biểu thuế mới đơn giản và dễ hiểu hơn so với trước, giúp người dân dễ dàng tính toán và thực hiện</t>
  </si>
  <si>
    <t>Tôi tin rằng cơ quan thuế sẽ công bằng trong việc thực thi chính sách, nhưng vẫn cần thêm các biện pháp kiểm tra để đảm bảo sự minh bạch.</t>
  </si>
  <si>
    <t>Mức thuế mới phù hợp với thu nhập của tôi và giảm trừ gia cảnh tăng lên giúp tôi cảm thấy công bằng hơn</t>
  </si>
  <si>
    <t>Số tiền thuế đóng sẽ được sử dụng hiệu quả để cải thiện dịch vụ công, nhưng cần có thêm thông tin về cách sử dụng khoản thuế này.</t>
  </si>
  <si>
    <t>Tôi thấy Nhà nước đã giải thích rõ ràng mục tiêu của việc sửa đổi thuế, mặc dù vẫn còn nhiều điểm tôi muốn biết thêm</t>
  </si>
  <si>
    <t>Sau khi xem xét tác động tài chính tích cực và sự đơn giản hóa quy trình, tôi đồng ý ủng hộ và tuân thủ chính sách mới.</t>
  </si>
  <si>
    <t>Nhà nước và cơ quan thuế đã có nhiều nỗ lực trong việc cải thiện công nghệ, nhưng vẫn còn hạn chế về khả năng phát hiện gian lận.</t>
  </si>
  <si>
    <t>Cơ quan thuế có đủ khả năng để quản lý và xử lý các vụ trốn thuế, nhưng sự hiệu quả phụ thuộc vào việc thực thi.</t>
  </si>
  <si>
    <t>So với trước đây, quy trình khai báo thuế đã đơn giản hơn, tuy nhiên vẫn còn một số rắc rối khi làm thủ tục.</t>
  </si>
  <si>
    <t>Tôi tin rằng Nhà nước sẽ thực thi chính sách một cách công bằng, nhưng vẫn cần thêm minh bạch về quy trình quản lý thuế.</t>
  </si>
  <si>
    <t>Mức thuế mới là hợp lý, giúp tôi tiết kiệm được nhiều tiền, thể hiện sự công bằng.</t>
  </si>
  <si>
    <t>Tài chính của Nhà nước sẽ được sử dụng hiệu quả cho các dịch vụ công, điều này tăng niềm tin vào việc đóng thuế.</t>
  </si>
  <si>
    <t>Nhà nước đã giải thích rõ ràng về mục tiêu cải cách và tác động đến người dân, nhưng vẫn cần thêm thông tin.</t>
  </si>
  <si>
    <t>Tôi ủng hộ chính sách mới, vì nó giúp tôi tiết kiệm tiền và đơn giản hóa quy trình khai báo thuế.</t>
  </si>
  <si>
    <t>Bậc thuế giảm đi và cách tính thuế dễ hiểu hơn, do đó thủ tục trở nên thuận tiện và dễ thực hiện hơn so với trước đây.</t>
  </si>
  <si>
    <t>Tôi tin rằng Nhà nước sẽ công tâm trong việc thực thi chính sách mới.</t>
  </si>
  <si>
    <t>Thuế tôi phải đóng theo phương án mới là phù hợp với thu nhập của mình, do đó tôi cảm thấy mức thuế này là công bằng.</t>
  </si>
  <si>
    <t>Việc Nhà nước sử dụng số tiền thuế để cải thiện dịch vụ công như y tế và đường xá sẽ tăng niềm tin vào sự hiệu quả của thuế.</t>
  </si>
  <si>
    <t>Nhà nước đã giải thích rõ ràng về mục tiêu và lý do của việc sửa đổi thuế, nên tôi cảm thấy mình được thông tin đầy đủ.</t>
  </si>
  <si>
    <t>Tôi ủng hộ chính sách mới vì nó giúp giảm gánh nặng tài chính cho gia đình tôi và tạo ra sự công bằng trong việc đóng thuế.</t>
  </si>
  <si>
    <t>Hiện nay cơ quan thuế có nhiều công cụ để phát hiện hành vi gian lận, trốn thuế nên tôi tin rằng các quy định quản lý thuế sẽ được thực thi nghiêm túc.</t>
  </si>
  <si>
    <t>Nhà nước đã đầu tư vào công nghệ và nhân lực nhằm cải thiện khả năng phát hiện, xử lý các hành vi trốn thuế nên tôi tin rằng họ có đủ khả năng để thực hiện điều này.</t>
  </si>
  <si>
    <t>So với trước đây, quy trình khai báo thuế và làm việc với cơ quan thuế đã trở nên đơn giản hơn, tiết kiệm thời gian cho người dân.</t>
  </si>
  <si>
    <t>Với số bậc thuế được giảm từ 7 xuống còn 5, quá trình tính thuế trở nên dễ dàng và hợp lý hơn.</t>
  </si>
  <si>
    <t>Tôi tin rằng Nhà nước sẽ thực thi chính sách một cách công bằng đối với mọi người nộp thuế, không phân biệt ai đóng bao nhiêu thuế.</t>
  </si>
  <si>
    <t>Mức thuế mới được tính dựa trên thu nhập của tôi là hợp lý và công bằng. Thu nhập như hiện tại nên phải đóng mức thuế này.</t>
  </si>
  <si>
    <t>Tôi tin rằng số tiền thuế tôi đóng sẽ được sử dụng hiệu quả để cải thiện các dịch vụ công, từ đó nâng cao chất lượng cuộc sống cho người dân.</t>
  </si>
  <si>
    <t>Nhà nước đã giải thích rõ ràng về mục tiêu và lý do của việc sửa đổi thuế, giúp tôi hiểu rõ hơn về chính sách mới.</t>
  </si>
  <si>
    <t>Sau khi xem xét các quyền lợi và nghĩa vụ, tôi ủng hộ và sẽ tuân thủ chính sách thuế mới vì nó mang lại nhiều lợi ích cho tôi và gia đình.</t>
  </si>
  <si>
    <t>Việc tăng mức giảm trừ gia cảnh và đơn giản hóa biểu thuế có thể làm giảm động cơ gian lận, nhưng thực tế việc phát hiện và xử lý trốn thuế vẫn phụ thuộc nhiều vào công nghệ và nguồn lực của cơ quan thuế.</t>
  </si>
  <si>
    <t>Cơ quan thuế đã đầu tư vào công nghệ để hỗ trợ quản lý thuế, nhưng hiệu quả thực tế còn cần thời gian để chứng minh.</t>
  </si>
  <si>
    <t>Quy trình khai báo thuế và làm việc với cơ quan thuế trở nên đơn giản hơn do giảm số bậc thuế, tuy nhiên thủ tục vẫn có thể phức tạp đối với người không am hiểu về thuế.</t>
  </si>
  <si>
    <t>Số bậc thuế giảm đi, cách tính thuế rõ ràng hơn và dễ thực hiện, điều này giúp tôi cảm thấy thuận tiện hơn trong việc làm tax</t>
  </si>
  <si>
    <t>Tôi tin rằng cơ quan thuế sẽ thực thi chính sách một cách công bằng vì mức giảm trừ gia cảnh tăng lên và số bậc thuế đơn giản hóa, nhưng vẫn cần thời gian để chứng minh.</t>
  </si>
  <si>
    <t>Nhìn chung tôi cảm thấy mức thuế mới là hợp lý cho thu nhập của mình, mặc dù còn nghi ngờ về sự công bằng trong việc áp dụng thuế với các đối tượng khác.</t>
  </si>
  <si>
    <t>Việc tăng giảm trừ gia cảnh và đơn giản hóa biểu thuế làm tôi tin rằng số tiền thuế đóng sẽ được sử dụng hiệu quả cho lợi ích của xã hội</t>
  </si>
  <si>
    <t>Nhà nước đã giải thích rõ ràng về mục tiêu cải cách thuế, nhưng vẫn cần thông tin thêm về việc quản lý và sử dụng số tiền thuế.</t>
  </si>
  <si>
    <t>Tôi ủng hộ chính sách mới vì nó giúp giảm gánh nặng tài chính cho tôi, đồng thời đơn giản hóa quy trình khai báo thuế</t>
  </si>
  <si>
    <t>Hiện nay, cơ quan thuế đã ứng dụng công nghệ cao vào quản lý và giám sát các giao dịch tài chính, do đó hành vi trốn thuế sẽ khó có thể che giấu. Tăng cường hoạt động kiểm tra và xử lý nghiêm minh.</t>
  </si>
  <si>
    <t>Cơ quan thuế đã đầu tư vào công nghệ thông tin mạnh mẽ, cho phép họ theo dõi và xử lý nhanh chóng các hành vi trốn thuế. Công nghệ hiện đại giúp tăng cường hiệu quả quản lý.</t>
  </si>
  <si>
    <t>Quy trình khai báo thuế trở nên đơn giản hơn với sự cắt giảm bậc thuế, do đó thủ tục thuận tiện và nhanh chóng hơn so với trước đây. Tuy nhiên, vẫn cần cải thiện trong việc cung cấp hướng dẫn chi tiết.</t>
  </si>
  <si>
    <t>Phương án mới đơn giản hóa bậc thuế từ 7 xuống còn 5, dễ hiểu và thực hiện hơn. Thu nhập của tôi nằm ở mức trung bình nên không bị ảnh hưởng nhiều về mặt tính toán.</t>
  </si>
  <si>
    <t>Nhà nước đã công bố rõ ràng mục tiêu cải cách thuế, nhằm đảm bảo công bằng và minh bạch cho người nộp thuế. Các quy định mới được thực thi một cách khách quan.</t>
  </si>
  <si>
    <t>Mức thuế mới phù hợp với thu nhập của tôi, giảm trừ gia cảnh tăng lên giúp cân đối hơn. Đây là mức thuế công bằng cho người có thu nhập như tôi.</t>
  </si>
  <si>
    <t>Thuế đóng góp vào việc cải thiện các dịch vụ công và phát triển hạ tầng. Tôi tin tưởng số tiền thuế của mình sẽ được sử dụng hiệu quả.</t>
  </si>
  <si>
    <t>Nhà nước đã giải thích rõ ràng về mục tiêu và lý do cải cách thuế, tạo niềm tin cho người dân trong việc thực thi chính sách mới.</t>
  </si>
  <si>
    <t>Tôi ủng hộ chính sách mới vì nó công bằng và đơn giản hơn. Thuế giảm giúp tôi có thêm tiền để đầu tư hoặc tiết kiệm.</t>
  </si>
  <si>
    <t>Dù không hoàn toàn tin tưởng, nhưng các quy định quản lý thuế mới có phần đơn giản hơn. Việc tăng mức giảm trừ gia cảnh cũng sẽ hạn chế khả năng gian lận.</t>
  </si>
  <si>
    <t>Cơ quan thuế đã cải thiện công nghệ và hệ thống để phát hiện hành vi trốn thuế, nhưng vẫn cần thời gian kiểm chứng hiệu quả.</t>
  </si>
  <si>
    <t>Quy trình khai thuế trở nên đơn giản hơn với số bậc thuế giảm đi từ 7 xuống còn 5. Tuy nhiên, việc áp dụng mới vẫn có thể gặp một số khó khăn.</t>
  </si>
  <si>
    <t>Cách tính thuế và các bậc thuế trong phương án mới đơn giản hơn so với trước đây, giúp người dân dễ hiểu và thực hiện.</t>
  </si>
  <si>
    <t>Tôi tin rằng cơ quan thuế sẽ thực thi chính sách một cách công bằng, nhưng vẫn cần thời gian để chứng minh</t>
  </si>
  <si>
    <t>Mức thuế mới phù hợp với thu nhập của tôi và giảm trừ gia cảnh cũng tăng lên. Điều này làm cho mức thuế trở nên công bằng hơn.</t>
  </si>
  <si>
    <t>Tôi tin rằng số tiền thuế đóng sẽ được sử dụng hiệu quả để cải thiện dịch vụ công, nhưng vẫn cần thêm thông tin về cách sử dụng chi tiết.</t>
  </si>
  <si>
    <t>Nhà nước đã giải thích rõ ràng về mục tiêu của việc sửa đổi luật thuế lần này. Tuy nhiên, tôi mong muốn có thêm thông tin chi tiết hơn.</t>
  </si>
  <si>
    <t>Trong tổng thể, chính sách mới mang lại lợi ích cho người dân như tôi và giảm gánh nặng về mặt tài chính. Tôi sẽ ủng hộ và tuân thủ.</t>
  </si>
  <si>
    <t>Thuế TNCN hiện nay có nhiều quy định phức tạp, nhưng với cải cách này, việc quản lý thuế trở nên rõ ràng hơn. Tôi tin rằng hệ thống sẽ phát hiện hành vi gian lận hoặc trốn thuế hiệu quả.</t>
  </si>
  <si>
    <t>Nhà nước và cơ quan thuế đã đầu tư công nghệ để cải thiện khả năng giám sát thuế, nhưng vẫn cần thời gian để hoàn thiện hệ thống.</t>
  </si>
  <si>
    <t>Quy trình khai báo thuế trở nên đơn giản hơn, nhưng tôi còn gặp một số khó khăn khi làm quen với các thay đổi mới.</t>
  </si>
  <si>
    <t>Biểu thuế mới đơn giản hóa bậc thuế, dễ hiểu và thực hiện thuận lợi hơn so với trước đây.</t>
  </si>
  <si>
    <t>Tôi tin Nhà nước sẽ công bằng trong việc áp dụng chính sách, nhưng cần thời gian để xem xét hiệu quả thực tế.</t>
  </si>
  <si>
    <t>Thuế mới giảm đáng kể so với trước đây, tôi thấy mức thuế này là hợp lý cho thu nhập của mình.</t>
  </si>
  <si>
    <t>Tôi tin số tiền thuế đóng sẽ được sử dụng hiệu quả để cải thiện dịch vụ công, nhưng cần thời gian để chứng minh.</t>
  </si>
  <si>
    <t>Nhà nước đã giải thích rõ ràng về mục tiêu và lý do của chính sách mới, tôi cảm thấy tin tưởng hơn.</t>
  </si>
  <si>
    <t>Dù có một số khó khăn ban đầu, nhưng tôi ủng hộ và tuân thủ chính sách mới vì lợi ích tài chính và sự đơn giản hóa.</t>
  </si>
  <si>
    <t>Dù có cải cách, tôi vẫn lo ngại về khả năng phát hiện hành vi gian lận thuế vì chưa thấy minh bạch trong quản lý.</t>
  </si>
  <si>
    <t>Nếu cơ quan thuế nâng cao công nghệ và nhân lực, họ sẽ có thể xử lý hiệu quả hơn các vụ trốn thuế</t>
  </si>
  <si>
    <t>Quy trình khai báo thuế đơn giản hơn trước, giảm bớt thời gian làm việc với cơ quan thuế</t>
  </si>
  <si>
    <t>Biểu thuế rõ ràng hơn và dễ thực hiện, nhưng vẫn còn khó hiểu đối với người không chuyên về thuế</t>
  </si>
  <si>
    <t>Tôi tin rằng Nhà nước sẽ công tâm trong việc thực thi, song cần thêm thông tin minh bạch</t>
  </si>
  <si>
    <t>Thuế mới giảm gánh nặng tài chính, tôi thấy hợp lý với thu nhập hiện tại của mình</t>
  </si>
  <si>
    <t>Tiền thuế đóng góp vào dịch vụ công, nhưng không biết cụ thể làm gì</t>
  </si>
  <si>
    <t>Có thông tin giải thích về mục tiêu cải cách, nhưng còn thiếu trong việc thực thi</t>
  </si>
  <si>
    <t>Thuế giảm đáng kể và quy định đơn giản hơn, tôi sẽ tuân thủ chính sách mới</t>
  </si>
  <si>
    <t>Thuế tôi đóng sẽ được sử dụng hiệu quả để cải thiện dịch vụ công, nhưng không hoàn toàn tin tưởng.</t>
  </si>
  <si>
    <t>Dù cải cách mang lại lợi ích tài chính, nhưng tôi vẫn có sự nghi ngờ về thực thi chính sách.</t>
  </si>
  <si>
    <t>Với việc cải cách thuế, các quy định quản lý thuế đã được đơn giản hóa và công nghệ hiện đại giúp phát hiện trốn thuế dễ dàng hơn.</t>
  </si>
  <si>
    <t>Cơ quan thuế có đủ khả năng và công nghệ để theo dõi và xử lý các hành vi gian lận hoặc trốn thuế hiệu quả.</t>
  </si>
  <si>
    <t>Thủ tục khai báo thuế đơn giản hơn trước, dễ thực hiện và tiện lợi hơn với việc giảm số bậc thuế.</t>
  </si>
  <si>
    <t>Cách tính thuế và các bậc thuế trong phương án mới trở nên đơn giản và dễ hiểu hơn so với trước đây.</t>
  </si>
  <si>
    <t>Thuế đóng góp vào việc cải thiện dịch vụ công và phát triển cơ sở hạ tầng, do đó tôi tin tưởng số tiền thuế sẽ được sử dụng hiệu quả.</t>
  </si>
  <si>
    <t>Nhà nước đã giải thích rõ ràng về mục tiêu của chính sách mới, giúp chúng tôi hiểu được lý do và giá trị của nó.</t>
  </si>
  <si>
    <t>Tôi ủng hộ chính sách mới vì nó giảm gánh nặng thuế cho người dân và đơn giản hóa quy trình khai báo thuế.</t>
  </si>
  <si>
    <t>Khả năng của Nhà nước trong việc xử lý trốn thuế đã được nâng cao, nhưng vấn đề về công nghệ và nguồn lực vẫn còn tồn tại.</t>
  </si>
  <si>
    <t>Quy trình khai báo thuế trở nên đơn giản hơn so với trước đây, tuy nhiên vẫn có một số bước phức tạp cần cải thiện.</t>
  </si>
  <si>
    <t>Cách tính thuế mới dễ hiểu hơn và các bậc thuế đã được đơn giản hóa, giúp người dân dễ dàng thực hiện.</t>
  </si>
  <si>
    <t>Tôi tin rằng cơ quan thuế sẽ thực thi chính sách một cách công bằng, nhưng vẫn cần thêm minh bạch trong quá trình quản lý.</t>
  </si>
  <si>
    <t>Mức thuế mới phù hợp với thu nhập của tôi và các điều chỉnh này làm giảm gánh nặng tài chính, tăng cảm giác công bằng.</t>
  </si>
  <si>
    <t>Thuế đóng góp vào việc cải thiện dịch vụ công, nhưng hiệu quả sử dụng nguồn lực vẫn cần được nâng cao.</t>
  </si>
  <si>
    <t>Nhà nước đã giải thích rõ ràng về mục tiêu của việc sửa đổi thuế, tuy nhiên các thông tin chi tiết về việc quản lý nguồn thu còn hạn chế.</t>
  </si>
  <si>
    <t>Tôi ủng hộ chính sách mới vì nó làm giảm gánh nặng tài chính và tăng cảm giác công bằng, đồng thời tôi sẽ tuân thủ theo quy định.</t>
  </si>
  <si>
    <t>Điểm số này phản ánh sự tin tưởng rằng các quy định quản lý thuế hiện tại đủ mạnh để phát hiện và xử lý gian lận hoặc trốn thuế. Với mức giảm trừ gia cảnh tăng lên, việc phát hiện trốn thuế có thể khó khăn hơn, tuy nhiên, với công nghệ hiện đại, khả năng phát hiện vẫn là cao. Do đó, điểm số này được đánh giá ở mức 7.</t>
  </si>
  <si>
    <t>Điểm số này dựa trên niềm tin rằng Nhà nước và cơ quan thuế có đủ năng lực công nghệ để phát hiện trốn thuế. Công nghệ hiện đại ngày càng phát triển, giúp việc quản lý thuế hiệu quả hơn. Do đó, điểm số này được đánh giá ở mức 8.</t>
  </si>
  <si>
    <t>Điểm số này phản ánh sự thuận tiện của các thủ tục khai báo thuế và quy trình làm việc với cơ quan thuế so với trước đây. Việc đơn giản hóa biểu thuế đã giảm bớt rắc rối cho người nộp thuế, do đó điểm số này được đánh giá ở mức 9.</t>
  </si>
  <si>
    <t>Điểm số này dựa trên việc tính thuế và các bậc thuế mới đơn giản hơn so với trước đây. Việc giảm số bậc thuế từ 7 xuống còn 5 đã làm cho quy trình trở nên dễ dàng hơn, do đó điểm số này được đánh giá ở mức 9.</t>
  </si>
  <si>
    <t>Điểm số này phản ánh niềm tin rằng Nhà nước và cơ quan thuế sẽ thực thi chính sách một cách công bằng. Mức giảm trừ gia cảnh tăng lên, cùng với việc đơn giản hóa biểu thuế, làm cho quy trình trở nên công bằng hơn, do đó điểm số này được đánh giá ở mức 8.</t>
  </si>
  <si>
    <t>Điểm số này dựa trên sự công bằng của mức thuế mới so với thu nhập hiện tại. Với mức thuế giảm và giảm trừ gia cảnh tăng, tôi thấy mình đóng thuế hợp lý hơn so với trước đây, do đó điểm số này được đánh giá ở mức 8.</t>
  </si>
  <si>
    <t>Điểm số này dựa trên niềm tin rằng số tiền thuế đóng sẽ được sử dụng hiệu quả để cải thiện dịch vụ công. Với thu nhập của tôi, việc giảm thuế có thể giúp tăng nguồn lực cho các dịch vụ công, do đó điểm số này được đánh giá ở mức 7.</t>
  </si>
  <si>
    <t>Điểm số này dựa trên sự minh bạch về lý do và mục tiêu của việc sửa đổi thuế. Các phương án mới đã được giải thích rõ ràng, do đó điểm số này được đánh giá ở mức 8.</t>
  </si>
  <si>
    <t>Điểm số này phản ánh sự ủng hộ đối với chính sách mới. Với lợi ích về mặt tài chính và sự đơn giản hóa, tôi sẽ tuân thủ chính sách mới, do đó điểm số này được đánh giá ở mức 9.</t>
  </si>
  <si>
    <t>Hiện nay, cơ quan thuế có nhiều công cụ và nguồn lực để phát hiện gian lận hoặc trốn thuế. Với mức giảm trừ gia cảnh tăng lên, việc thực thi sẽ trở nên phức tạp hơn nhưng vẫn khả thi.</t>
  </si>
  <si>
    <t>Nhà nước đã đầu tư vào công nghệ và nhân lực để cải thiện năng lực quản lý, do đó có khả năng phát hiện và xử lý nghiêm các hành vi trốn thuế.</t>
  </si>
  <si>
    <t>So với trước đây, quy trình khai báo thuế đã đơn giản hơn. Tuy nhiên, vẫn cần thêm thời gian để quen thuộc với hệ thống mới.</t>
  </si>
  <si>
    <t>Biểu thuế mới có ít bậc hơn, do đó dễ hiểu và thực hiện hơn. Việc này giúp người dân như tôi có thể tính toán nhanh chóng.</t>
  </si>
  <si>
    <t>Tôi tin rằng cơ quan thuế sẽ công bằng trong việc áp dụng chính sách mới, đặc biệt là khi mức giảm trừ gia cảnh tăng lên.</t>
  </si>
  <si>
    <t>Nhờ mức giảm trừ gia cảnh tăng lên và số bậc thuế giảm, tôi cảm thấy mình đóng thuế một cách công bằng hơn so với trước đây.</t>
  </si>
  <si>
    <t>Tôi tin rằng số tiền thuế mà tôi đóng sẽ được sử dụng hiệu quả cho mục đích công cộng như y tế và giao thông.</t>
  </si>
  <si>
    <t>Nhà nước đã giải thích rõ ràng về lý do và mục tiêu của việc sửa đổi chính sách thuế, giúp tôi hiểu được tầm quan trọng của nó.</t>
  </si>
  <si>
    <t>Tôi ủng hộ chính sách mới vì nó mang lại lợi ích tài chính cho tôi đồng thời đơn giản hóa quy trình làm việc với cơ quan thuế.</t>
  </si>
  <si>
    <t>Dù luật mới có giảm thuế cho tôi, nhưng các quy định quản lý thuế hiện tại vẫn chưa hoàn toàn rõ ràng và dễ hiểu. Tuy nhiên, khả năng phát hiện trốn thuế của cơ quan thuế đã được cải thiện đáng kể.</t>
  </si>
  <si>
    <t>Cơ quan thuế có đủ công nghệ để giám sát các giao dịch tài chính, nhưng việc thực thi luật vẫn phụ thuộc vào nguồn lực và hiệu quả của cơ quan quản lý.</t>
  </si>
  <si>
    <t>Thủ tục khai báo thuế trở nên đơn giản hơn với sự giảm trừ gia cảnh tăng lên. Tuy nhiên, quy trình làm việc vẫn cần thêm cải tiến để nhanh chóng và tiện lợi hơn nữa.</t>
  </si>
  <si>
    <t>Biểu thuế mới đơn giản hóa thành 5 bậc thay vì 7 trước đây, dễ hiểu và thực hiện hơn. Tuy nhiên, việc tính toán vẫn cần thêm thời gian để quen thuộc.</t>
  </si>
  <si>
    <t>Tôi tin rằng cơ quan thuế sẽ công tâm trong việc áp dụng chính sách mới, nhưng vẫn có sự nghi ngờ về cách thực thi quy định quản lý thuế.</t>
  </si>
  <si>
    <t>Mức thuế mới giảm đáng kể so với trước đây. Tôi thấy mình đóng mức thuế này là hợp lý và công bằng.</t>
  </si>
  <si>
    <t>Thuế tôi đóng sẽ được sử dụng để cải thiện các dịch vụ công, như y tế và đường xá, nhưng hiệu quả cụ thể còn phụ thuộc vào quản lý chi tiêu của nhà nước.</t>
  </si>
  <si>
    <t>Nhà nước đã giải thích rõ ràng về mục đích của việc sửa đổi thuế này. Tuy nhiên, có sự nghi ngờ về cách thực hiện và hiệu quả của những thay đổi.</t>
  </si>
  <si>
    <t>Sau khi xem xét các quyền lợi và nghĩa vụ, tôi ủng hộ chính sách mới vì nó mang lại lợi ích đáng kể cho người dân như tôi. Tôi sẽ tuân thủ để hưởng lợi từ chính sách này.</t>
  </si>
  <si>
    <t>Thuế hiện nay có nhiều biện pháp quản lý và phát hiện gian lận, nhưng vẫn còn khả năng trốn thuế khó phát hiện.</t>
  </si>
  <si>
    <t>Cơ quan thuế đã đầu tư công nghệ để giám sát các hành vi gian lận, tuy nhiên không phải lúc nào cũng hiệu quả 100%.</t>
  </si>
  <si>
    <t>Thủ tục khai thuế và làm việc với cơ quan thuế đã đơn giản hơn trước đây, nhưng vẫn còn nhiều bước cần cải tiến.</t>
  </si>
  <si>
    <t>Các bậc thuế mới đã đơn giản hóa so với trước, dễ hiểu và thực hiện hơn, giảm bớt sự phức tạp cho người nộp thuế.</t>
  </si>
  <si>
    <t>Tôi tin rằng Nhà nước sẽ công tâm trong việc thực thi chính sách mới, nhưng vẫn có thể có trường hợp xử lý không công bằng.</t>
  </si>
  <si>
    <t>Thuế mới đã giảm gánh nặng tài chính cho tôi, khiến mức đóng thuế hiện tại trở nên công bằng hơn so với trước đây.</t>
  </si>
  <si>
    <t>Tôi tin rằng số tiền thuế tôi đóng sẽ được sử dụng hiệu quả để cải thiện dịch vụ công, nhưng không thể kiểm chứng hoàn toàn.</t>
  </si>
  <si>
    <t>Nhà nước đã giải thích rõ ràng về lý do và mục tiêu của việc sửa đổi luật thuế lần này, giúp tôi hiểu hơn.</t>
  </si>
  <si>
    <t>Tôi ủng hộ và tuân thủ chính sách mới vì nó mang lại lợi ích tài chính và giảm bớt sự phức tạp cho người nộp thuế.</t>
  </si>
  <si>
    <t>Biểu thuế mới rõ ràng và dễ hiểu hơn so với trước đây, giúp người dân tính toán nhanh chóng.</t>
  </si>
  <si>
    <t>Tôi tin rằng Nhà nước sẽ thực thi chính sách một cách công bằng nhưng lo ngại về khả năng thực hiện.</t>
  </si>
  <si>
    <t>Thuế mới giảm đáng kể, tôi thấy mức thuế này là hợp lý và công bằng cho thu nhập của mình.</t>
  </si>
  <si>
    <t>Tiền thuế đóng góp vào các dịch vụ công quan trọng, cải thiện chất lượng cuộc sống chung.</t>
  </si>
  <si>
    <t>Nhà nước đã giải thích rõ về sự thay đổi này nhưng vẫn cần minh bạch hơn trong quá trình thực hiện.</t>
  </si>
  <si>
    <t>Với mức thuế giảm đáng kể và mức độ thuận tiện tăng lên, tôi ủng hộ và tuân thủ chính sách mới.</t>
  </si>
  <si>
    <t>Những biện pháp quản lý thuế hiện nay được cải tiến, khả năng phát hiện và xử lý hành vi gian lận hoặc trốn thuế tăng lên.</t>
  </si>
  <si>
    <t>Cơ quan thuế có đủ công nghệ và nguồn lực để hỗ trợ việc theo dõi, quản lý các hoạt động khai báo thuế của cá nhân.</t>
  </si>
  <si>
    <t>Thủ tục khai báo thuế đơn giản hơn với mức giảm trừ gia cảnh tăng cao, người dân dễ dàng làm việc với cơ quan thuế hơn trước đây.</t>
  </si>
  <si>
    <t>Biểu thuế mới có ít bậc và rõ ràng hơn so với trước, giúp tính toán thuế trở nên đơn giản và dễ hiểu hơn.</t>
  </si>
  <si>
    <t>Nhà nước đã công bố minh bạch về chính sách thuế, tôi tin rằng sẽ được thực hiện một cách khách quan và công bằng cho mọi người nộp thuế.</t>
  </si>
  <si>
    <t>Mức thuế mới mà tôi phải đóng là hợp lý so với thu nhập của mình sau khi áp dụng các mức giảm trừ gia cảnh.</t>
  </si>
  <si>
    <t>Việc đóng thuế sẽ được sử dụng hiệu quả để cải thiện dịch vụ công, từ đó tạo niềm tin vào hệ thống quản lý tài chính nhà nước.</t>
  </si>
  <si>
    <t>Nhà nước đã giải thích rõ ràng về mục tiêu và lý do của việc sửa đổi thuế lần này, tăng sự minh bạch và trách nhiệm.</t>
  </si>
  <si>
    <t>Tôi ủng hộ chính sách mới vì nó mang lại lợi ích tài chính cho tôi và người thân, đồng thời tạo niềm tin vào hệ thống quản lý thuế.</t>
  </si>
  <si>
    <t>Dù không hoàn toàn tin tưởng, nhưng với mức giảm trừ gia cảnh tăng và đơn giản hóa biểu thuế, khả năng phát hiện hành vi gian lận hoặc trốn thuế sẽ cao hơn.</t>
  </si>
  <si>
    <t>Cơ quan thuế có đủ công nghệ để giám sát các giao dịch tài chính, nhưng vẫn cần cải thiện trong việc xử lý và phát hiện vấn đề.</t>
  </si>
  <si>
    <t>Quy trình khai báo thuế đơn giản hơn trước, thuận tiện cho người dân, giảm bớt thời gian và công sức phải bỏ ra.</t>
  </si>
  <si>
    <t>Biểu thuế mới rõ ràng hơn so với trước đây, dễ dàng thực hiện hơn trong việc tính toán thuế</t>
  </si>
  <si>
    <t>Tôi tin rằng Nhà nước sẽ công bằng và khách quan khi áp dụng chính sách này, nhưng vẫn có nghi ngại về sự minh bạch.</t>
  </si>
  <si>
    <t>Mức thuế mới giảm so với trước đây, giúp tôi tiết kiệm được tiền, cho thấy mức thuế công bằng hơn.</t>
  </si>
  <si>
    <t>Thuế đóng góp vào việc cải thiện dịch vụ công và hạ tầng cơ sở, nhưng vẫn cần nhiều thông tin cụ thể về cách sử dụng số tiền này.</t>
  </si>
  <si>
    <t>Nhà nước đã giải thích rõ ràng mục tiêu của việc thay đổi thuế, nhưng chi tiết hơn về tiến trình và kết quả sẽ tốt hơn</t>
  </si>
  <si>
    <t>Tính toán lợi ích tài chính từ chính sách mới và sự đơn giản hóa quy định, tôi đồng ý với nó và sẽ tuân thủ.</t>
  </si>
  <si>
    <t>Điều này phụ thuộc vào khả năng của cơ quan thuế trong việc phát hiện trốn thuế, nhưng với các công nghệ hiện đại ngày nay, tôi tin rằng khả năng phát hiện sẽ tăng lên.</t>
  </si>
  <si>
    <t>Nhà nước và cơ quan thuế đã đầu tư vào công nghệ và nhân lực để cải thiện quản lý thuế, do đó khả năng xử lý nghiêm các hành vi trốn thuế cũng được nâng cao.</t>
  </si>
  <si>
    <t>So với trước đây, quy trình khai báo thuế trở nên đơn giản hơn nhiều, đặc biệt là với việc giảm số bậc thuế và tăng mức giảm trừ gia cảnh.</t>
  </si>
  <si>
    <t>Biểu thuế mới đơn giản hóa quá trình tính thuế, giúp người dân dễ dàng hiểu rõ hơn về các bậc thuế suất và ngưỡng chịu thuế.</t>
  </si>
  <si>
    <t>Tôi tin rằng việc áp dụng chính sách mới sẽ đảm bảo một cách công bằng đối xử giữa các cá nhân và doanh nghiệp trong việc đóng góp thuế cho Nhà nước.</t>
  </si>
  <si>
    <t>Với mức giảm trừ gia cảnh tăng lên, tôi cảm thấy rằng mình đang đóng mức thuế phù hợp với thu nhập của mình, tạo ra một cảm giác công bằng.</t>
  </si>
  <si>
    <t>Thuế mà tôi đóng sẽ được sử dụng để cải thiện các dịch vụ công như y tế và giao thông, điều này làm tăng niềm tin rằng việc đóng thuế là cần thiết và hữu ích.</t>
  </si>
  <si>
    <t>Nhà nước đã cung cấp thông tin đầy đủ về chính sách mới, mục tiêu và lý do thay đổi, giúp tôi hiểu rõ hơn về quyết định này.</t>
  </si>
  <si>
    <t>Tôi ủng hộ chính sách mới vì nó giảm gánh nặng thuế cho người dân, đồng thời đơn giản hóa quy trình khai báo thuế, tạo ra một hệ thống thuế công bằng và minh bạch hơn.</t>
  </si>
  <si>
    <t>Cơ quan thuế đã cải thiện đáng kể về khả năng phát hiện và xử lý các hành vi trốn thuế với công nghệ hiện đại hơn, nhưng vẫn cần nỗ lực nhiều hơn để đảm bảo công bằng.</t>
  </si>
  <si>
    <t>So với trước đây, quy trình khai báo thuế và làm việc với cơ quan thuế đã đơn giản đi rất nhiều. Các bước thực hiện dễ dàng hơn, thuận tiện cho người nộp thuế.</t>
  </si>
  <si>
    <t>Biểu thuế mới có ít bậc hơn nhưng vẫn đảm bảo tính công bằng và rõ ràng trong cách tính thuế. Điều này làm giảm độ phức tạp, giúp việc thực hiện dễ dàng hơn.</t>
  </si>
  <si>
    <t>Tôi tin rằng Nhà nước sẽ thực thi chính sách một cách khách quan và công tâm, mặc dù vẫn có sự nghi ngờ nhất định về khả năng thực thi hoàn toàn.</t>
  </si>
  <si>
    <t>Mức thuế mới được đánh giá là hợp lý cho thu nhập của tôi. Số tiền giảm trừ gia cảnh và các bậc thuế đơn giản hơn giúp tăng cảm giác công bằng.</t>
  </si>
  <si>
    <t>Tiền thuế đóng góp sẽ hỗ trợ cho việc cải thiện dịch vụ công, mặc dù không thể biết chi tiết cụ thể như thế nào.</t>
  </si>
  <si>
    <t>Nhà nước đã giải thích rõ ràng về mục tiêu của chính sách mới. Tuy nhiên, tôi vẫn mong muốn có thêm thông tin về cách sử dụng tiền thuế đóng góp.</t>
  </si>
  <si>
    <t>Sau khi xem xét các quyền lợi và nghĩa vụ, tôi ủng hộ và tuân thủ chính sách mới này. Nó đã cải thiện đáng kể so với trước đây.</t>
  </si>
  <si>
    <t>Việc tăng mức giảm trừ gia cảnh và đơn giản hóa biểu thuế có thể làm giảm động lực cho hành vi gian lận. Tuy nhiên, khả năng phát hiện trốn thuế vẫn phụ thuộc vào công nghệ và nguồn lực của cơ quan thuế.</t>
  </si>
  <si>
    <t>Cơ quan thuế đã có nhiều cải tiến về công nghệ trong thời gian gần đây. Tuy nhiên, mức độ thực thi trên toàn quốc vẫn còn phụ thuộc vào sự phân bổ nguồn lực của nhà nước.</t>
  </si>
  <si>
    <t>Quy trình khai báo thuế và làm việc với cơ quan thuế trở nên đơn giản hơn. Việc áp dụng biểu thuế mới rõ ràng giúp người dân dễ dàng nắm bắt.</t>
  </si>
  <si>
    <t>Biểu thuế mới có ít bậc hơn, dễ hiểu hơn so với trước đây. Mức thuế được giảm đáng kể, tạo cảm giác công bằng cho người nộp thuế.</t>
  </si>
  <si>
    <t>Tôi tin rằng cơ quan thuế sẽ thực thi chính sách một cách khách quan và công bằng. Việc cải cách thuế lần này nhằm mục đích công bằng hóa gánh nặng tài chính giữa các đối tượng có thu nhập khác nhau.</t>
  </si>
  <si>
    <t>Mức thuế mới được giảm đáng kể, tạo cảm giác công bằng cho người dân. Điều này thể hiện sự quan tâm của nhà nước tới người lao động có thu nhập trung bình.</t>
  </si>
  <si>
    <t>Thuế tôi phải đóng thấp hơn so với trước đây và được sử dụng để cải thiện dịch vụ công. Điều này khiến tôi tin rằng việc đóng thuế sẽ mang lại lợi ích thực tế cho cộng đồng.</t>
  </si>
  <si>
    <t>Phương án mới đã giải thích rõ về mục tiêu của việc cải cách thuế, bao gồm cả sự thay đổi về mức thuế và biểu thuế. Tuy nhiên, vẫn có những điểm không hoàn toàn minh bạch.</t>
  </si>
  <si>
    <t>Dựa trên tác động tài chính tích cực từ việc cải cách thuế, tôi ủng hộ và tuân thủ chính sách mới. Việc giảm gánh nặng về mặt tài chính cũng giúp tôi có nhiều khả năng đầu tư vào tương lai.</t>
  </si>
  <si>
    <t>Biểu thuế mới có ít bậc và dễ hiểu hơn, giúp tôi tính toán nhanh chóng và chính xác hơn so với trước đây.</t>
  </si>
  <si>
    <t>Tôi tin rằng cơ quan thuế sẽ thực hiện chính sách một cách công tâm đối với tất cả người nộp thuế</t>
  </si>
  <si>
    <t>Với mức thuế mới, tôi thấy mình đóng góp hợp lý vào ngân sách quốc gia và xã hội</t>
  </si>
  <si>
    <t>Thuế tôi đóng sẽ được sử dụng hiệu quả để cải thiện các dịch vụ công như y tế, giáo dục...</t>
  </si>
  <si>
    <t>Tôi đã được giải thích rõ ràng về mục tiêu và lý do của việc sửa đổi thuế lần này</t>
  </si>
  <si>
    <t>Sau khi xem xét các quyền lợi và nghĩa vụ, tôi ủng hộ và tuân thủ chính sách mới hiện nay vì nó có lợi cho tôi và xã hội.</t>
  </si>
  <si>
    <t>Dù tôi đồng ý rằng Nhà nước có thể phát hiện hành vi gian lận, nhưng việc các quy định quản lý thuế hiện tại chưa rõ ràng nên gây khó hiểu cho người dân.</t>
  </si>
  <si>
    <t>Nhà nước và cơ quan thuế đã đầu tư công nghệ để theo dõi tình hình kinh tế cá nhân, tuy nhiên, việc phát hiện trốn thuế vẫn phụ thuộc vào độ minh bạch của người nộp thuế.</t>
  </si>
  <si>
    <t>Quy trình khai báo thuế trở nên đơn giản hơn với mức giảm trừ gia cảnh cao và số bậc thuế ít đi, giúp tôi dễ dàng thực hiện hơn so với trước đây.</t>
  </si>
  <si>
    <t>Cách tính thuế mới đơn giản hóa các bậc thuế từ 7 xuống 5, làm cho việc tính toán thu nhập chịu thuế trở nên dễ dàng và rõ ràng hơn.</t>
  </si>
  <si>
    <t>Tôi tin rằng Nhà nước sẽ thực thi chính sách một cách khách quan, nhưng vẫn cần sự minh bạch trong quá trình quản lý để tăng thêm niềm tin của người dân.</t>
  </si>
  <si>
    <t>Mức thuế mới giảm đáng kể so với trước đây, cho thấy sự công bằng đối với thu nhập trung bình như tôi. Điều này khiến tôi cảm thấy chính sách mới là hợp lý.</t>
  </si>
  <si>
    <t>Thuế đóng góp vào các dịch vụ công như y tế và giao thông, giúp cải thiện chất lượng cuộc sống của mọi người. Điều này tăng thêm sự tin tưởng về việc sử dụng tiền thuế một cách hiệu quả.</t>
  </si>
  <si>
    <t>Chính phủ đã giải thích rõ ràng lý do và mục tiêu của việc sửa đổi thuế, mặc dù vẫn còn nhiều thông tin cần cung cấp để tăng thêm sự minh bạch.</t>
  </si>
  <si>
    <t>Tôi ủng hộ chính sách mới vì nó giảm gánh nặng tài chính cho tôi và người dân như tôi. Tuy nhiên, việc cải cách vẫn đang trong quá trình thực hiện nên cần thêm thời gian để chứng minh hiệu quả.</t>
  </si>
  <si>
    <t>Thuế thu nhập cá nhân có nhiều quy định phức tạp, nhưng với mức giảm trừ gia cảnh tăng cao và các công nghệ hiện đại, khả năng phát hiện gian lận trở nên dễ dàng hơn.</t>
  </si>
  <si>
    <t>Cơ quan thuế đã đầu tư vào công nghệ để quản lý và giám sát hoạt động kinh doanh trực tuyến, giúp việc phát hiện trốn thuế trở nên hiệu quả hơn.</t>
  </si>
  <si>
    <t>Quy trình khai báo thuế trở nên đơn giản với các mức giảm trừ gia cảnh rõ ràng. Các ứng dụng điện tử hỗ trợ người nộp thuế dễ dàng thực hiện.</t>
  </si>
  <si>
    <t>So với trước đây, biểu thuế mới có ít bậc hơn và việc tính toán thuế trở nên dễ hiểu hơn. Người dân không còn phải lo lắng về những thay đổi phức tạp của luật.</t>
  </si>
  <si>
    <t>Việc Nhà nước tăng mức giảm trừ gia cảnh cho bản thân và người phụ thuộc tạo ra sự công bằng trong việc phân chia gánh nặng thuế giữa các nhóm thu nhập khác nhau.</t>
  </si>
  <si>
    <t>Các bậc thuế mới có xu hướng ưu đãi cho những người có thu nhập thấp hơn, giảm gánh nặng tài chính cho họ. Đây là một quyết định hợp lý từ quan điểm công bằng.</t>
  </si>
  <si>
    <t>Thuế đóng góp vào các dịch vụ công như y tế và cơ sở hạ tầng. Việc cải cách thuế giúp tiền thuế được sử dụng hiệu quả hơn, tăng niềm tin của người dân vào việc sử dụng nguồn lực một cách trách nhiệm.</t>
  </si>
  <si>
    <t>Nhà nước đã công bố rõ ràng về mục đích và nguyên nhân của cải cách thuế. Điều này tạo nên sự minh bạch và giúp người dân hiểu được tầm quan trọng của việc cải cách.</t>
  </si>
  <si>
    <t>Tôi ủng hộ và tuân thủ chính sách mới vì nó giảm gánh nặng tài chính cho tôi, đồng thời công bằng và minh bạch hơn. Tôi tin rằng điều này sẽ giúp cải thiện chất lượng cuộc sống chung.</t>
  </si>
  <si>
    <t>Quy trình khai báo thuế đơn giản hơn, dễ thực hiện trên ứng dụng điện tử, tiết kiệm thời gian cho người dân.</t>
  </si>
  <si>
    <t>Biểu thuế mới có ít bậc hơn nên việc tính toán và làm thủ tục thuế trở nên dễ dàng, minh bạch hơn.</t>
  </si>
  <si>
    <t>Việc tăng mức giảm trừ gia cảnh tạo ra sự công bằng cho người dân như tôi, đồng thời cơ quan thuế cũng đã giải thích rõ ràng về mục đích cải cách này.</t>
  </si>
  <si>
    <t>Mức thuế mới có thể coi là hợp lý vì nó dựa trên thu nhập thực tế của tôi và số người phụ thuộc, không quá nặng nề.</t>
  </si>
  <si>
    <t>Nếu số tiền thuế được sử dụng hiệu quả để cải thiện các dịch vụ công, tôi sẽ tin tưởng hơn về việc đóng góp của mình cho xã hội.</t>
  </si>
  <si>
    <t>Nhà nước đã giải thích rõ ràng mục tiêu và lý do của việc cải cách thuế, tạo niềm tin cho người dân.</t>
  </si>
  <si>
    <t>Tôi ủng hộ chính sách mới vì nó mang lại lợi ích tài chính và giảm gánh nặng về mặt thủ tục hành chính cho tôi.</t>
  </si>
  <si>
    <t>Nhà nước đã cải thiện quy định để giảm gian lận và đảm bảo công bằng, nhưng cần thêm minh bạch trong việc thực thi.</t>
  </si>
  <si>
    <t>Mức thuế mới phù hợp với thu nhập của tôi. Tuy nhiên, mức tăng không quá lớn so với lợi ích từ giảm trừ gia cảnh.</t>
  </si>
  <si>
    <t>Thuế đóng góp vào việc cải thiện dịch vụ công nhưng cần có báo cáo chi tiết về sử dụng để tăng niềm tin.</t>
  </si>
  <si>
    <t>Nhà nước đã giải thích rõ mục tiêu của chính sách mới. Tuy nhiên, thông tin về kết quả thực hiện còn hạn chế.</t>
  </si>
  <si>
    <t>Sau khi xem xét tác động tài chính và sự đơn giản hóa quy trình, tôi ủng hộ chính sách mới để giảm gian lận và tăng công bằng.</t>
  </si>
  <si>
    <t>Công nghệ hiện đại đã giúp cơ quan thuế phát hiện nhiều hành vi gian lận hơn, nhưng việc xử lý nghiêm túc vẫn cần thời gian để thực hiện.</t>
  </si>
  <si>
    <t>So với trước đây, quy trình khai báo và làm việc với cơ quan thuế đơn giản hơn nhiều, đặc biệt là với mức giảm trừ gia cảnh cao hơn.</t>
  </si>
  <si>
    <t>Biểu thuế mới đơn giản hơn nhiều so với trước đây, dễ hiểu và thực hiện hơn, dù vẫn có thể phức tạp đối với người không am hiểu về thuế.</t>
  </si>
  <si>
    <t>Tôi tin rằng cơ quan thuế sẽ thực thi chính sách một cách công bằng, nhưng cần thời gian để chứng minh sự khách quan và công tâm.</t>
  </si>
  <si>
    <t>Mức thuế mới phù hợp với thu nhập của tôi, giảm gánh nặng tài chính nên thấy rằng nó là công bằng.</t>
  </si>
  <si>
    <t>Tuy nhiên, để đánh giá hiệu quả sử dụng số tiền thuế đóng, cần thời gian quan sát các dịch vụ công được cải thiện.</t>
  </si>
  <si>
    <t>Chính phủ đã giải thích rõ ràng về mục tiêu của việc sửa đổi thuế, nhưng chi tiết về quy trình thực hiện còn hạn chế.</t>
  </si>
  <si>
    <t>Trừu tượng hóa lợi ích và nghĩa vụ từ chính sách mới, tôi ủng hộ và tuân thủ vì nó giúp giảm gánh nặng tài chính cho gia đình.</t>
  </si>
  <si>
    <t>Dù có công nghệ hỗ trợ, tôi vẫn lo ngại về sự tuân thủ và thực thi trong thực tế.</t>
  </si>
  <si>
    <t>Tôi tin rằng Nhà nước đã đầu tư vào công nghệ và đào tạo để phát hiện hành vi trốn thuế hiệu quả.</t>
  </si>
  <si>
    <t>Quy trình khai báo đơn giản hơn, nhưng vẫn phải tuân thủ các bước.</t>
  </si>
  <si>
    <t>Biểu thuế đơn giản đi nhưng tôi cần thời gian để quen với việc tính toán mới.</t>
  </si>
  <si>
    <t>Tôi hy vọng Nhà nước sẽ thực thi công bằng, song không thể chắc chắn.</t>
  </si>
  <si>
    <t>Thuế giảm đáng kể nên tôi cảm thấy mức thuế mới là hợp lý.</t>
  </si>
  <si>
    <t>Nhà nước đã giải thích rõ ràng về mục tiêu và quy định mới, tôi thấy thông tin minh bạch.</t>
  </si>
  <si>
    <t>Tôi ủng hộ chính sách mới vì nó giảm gánh nặng thuế cho người dân.</t>
  </si>
  <si>
    <t>Dù hiện nay có công nghệ phát triển, nhưng tôi vẫn nghi ngờ về khả năng phát hiện trốn thuế hiệu quả do thiếu thông tin cá nhân.</t>
  </si>
  <si>
    <t>Công nghệ và hệ thống của cơ quan thuế đã được cải thiện đáng kể trong vài năm gần đây, nên tôi nghĩ khả năng xử lý nghiêm các hành vi trốn thuế sẽ tăng lên.</t>
  </si>
  <si>
    <t>Quy trình khai báo thuế trở nên đơn giản hơn với mức giảm trừ gia cảnh cao hơn và số bậc thuế ít đi, thuận lợi cho người dân.</t>
  </si>
  <si>
    <t>Cách tính thuế mới đơn giản hóa các bậc thuế, dễ hiểu và thực hiện hơn so với trước đây.</t>
  </si>
  <si>
    <t>Tôi tin rằng cơ quan thuế sẽ công tâm trong việc áp dụng luật pháp, nhưng vẫn cần thêm thời gian để chứng minh.</t>
  </si>
  <si>
    <t>Mức thuế mới phù hợp với thu nhập của tôi và người cùng trình độ học vấn, tạo ra cảm giác công bằng.</t>
  </si>
  <si>
    <t>Tôi tin rằng số tiền thuế đóng sẽ được sử dụng hiệu quả cho các dịch vụ công, nhưng cần thêm minh bạch về cách sử dụng.</t>
  </si>
  <si>
    <t>Nhà nước đã giải thích rõ ràng về mục tiêu và lý do của việc sửa đổi luật thuế, tạo niềm tin với người dân.</t>
  </si>
  <si>
    <t>Các quyền lợi và nghĩa vụ theo chính sách mới được cải thiện đáng kể, tôi sẽ ủng hộ và tuân thủ.</t>
  </si>
  <si>
    <t xml:space="preserve">Hệ thống quản lý thuế hiện tại đã phát triển công nghệ để theo dõi giao dịch tài chính, do đó việc trốn thuế sẽ khó lường. </t>
  </si>
  <si>
    <t>Cơ quan thuế có đội ngũ chuyên nghiệp và sử dụng công nghệ tiên tiến nên dễ dàng phát hiện các hành vi gian lận.</t>
  </si>
  <si>
    <t>Quy trình khai báo thuế trở nên đơn giản hơn, không còn nhiều bước rườm rà như trước.</t>
  </si>
  <si>
    <t>Biểu thuế mới có ít bậc hơn và dễ hiểu, giúp tôi tính toán nhanh chóng</t>
  </si>
  <si>
    <t xml:space="preserve">Tôi tin rằng cơ quan thuế sẽ công bằng trong việc thực thi luật pháp. </t>
  </si>
  <si>
    <t>Thuế mới giảm đi so với trước, tôi thấy mức này hợp lý cho thu nhập của mình.</t>
  </si>
  <si>
    <t>Hiểu rằng thuế sẽ được sử dụng để cải thiện dịch vụ công, tăng niềm tin</t>
  </si>
  <si>
    <t>Nhà nước đã giải thích rõ ràng mục tiêu của việc cải cách thuế lần này.</t>
  </si>
  <si>
    <t>Chính sách mới giảm gánh nặng tài chính, tôi sẽ ủng hộ và tuân thủ.</t>
  </si>
  <si>
    <t>Dù cơ quan thuế có công nghệ để phát hiện hành vi trốn thuế, nhưng thực tế việc giám sát rộng lớn như vậy vẫn khó hoàn toàn. Thuế thu nhập cá nhân là một vấn đề nghiêm túc.</t>
  </si>
  <si>
    <t>Cơ quan thuế có nhiều nguồn lực và công nghệ hiện đại để phát hiện hành vi trốn thuế, tăng khả năng giám sát hiệu quả.</t>
  </si>
  <si>
    <t>Thủ tục khai báo thuế đơn giản hơn trước, việc này thuận lợi cho người dân. Tuy nhiên, vẫn có thể gặp vấn đề nếu không thông thạo.</t>
  </si>
  <si>
    <t>Biểu thuế mới giảm số bậc và mức thuế rõ ràng, dễ hiểu hơn so với trước đây. Điều này giúp người dân tính toán nhanh chóng và chính xác.</t>
  </si>
  <si>
    <t>Tôi tin rằng Nhà nước sẽ thực thi chính sách một cách công bằng, nhưng vẫn có những lo ngại về sự khách quan trong quá trình quản lý thuế.</t>
  </si>
  <si>
    <t>Dựa trên mức thuế mới, tôi thấy mình đóng góp phù hợp với thu nhập hiện tại. Điều này tạo ra cảm giác công bằng cho tôi.</t>
  </si>
  <si>
    <t>Thuế có thể được sử dụng hiệu quả để cải thiện dịch vụ công như y tế và đường xá, tuy nhiên việc quản lý ngân sách vẫn cần sự minh bạch.</t>
  </si>
  <si>
    <t>Đã có giải thích rõ ràng về mục tiêu của chính sách mới, nhưng tôi hy vọng sẽ thấy kết quả cụ thể hơn trong thời gian tới.</t>
  </si>
  <si>
    <t>Sau khi xem xét tác động tài chính và sự đơn giản hóa quy trình thuế, tôi ủng hộ và tuân thủ chính sách mới. Điều này giúp tiết kiệm chi phí cho cá nhân tôi.</t>
  </si>
  <si>
    <t>Hiện nay, cơ quan thuế có nhiều công cụ và công nghệ để phát hiện hành vi gian lận hoặc trốn thuế. Với mức thuế giảm mạnh, khả năng phát hiện hành vi trốn thuế càng cao.</t>
  </si>
  <si>
    <t>Nhà nước đã đầu tư vào hệ thống công nghệ thông tin và nhân lực để đảm bảo quản lý thuế hiệu quả. Tuy nhiên, vẫn có thể còn room để cải thiện.</t>
  </si>
  <si>
    <t>So với trước đây, quy trình khai báo thuế đơn giản hơn nhiều. Việc giảm bậc thuế và tăng mức giảm trừ gia cảnh giúp thủ tục thuận tiện hơn.</t>
  </si>
  <si>
    <t>Biểu thuế mới đơn giản hóa đáng kể so với trước đây. Số bậc thuế ít đi, nhưng vẫn đảm bảo công bằng cho người nộp thuế.</t>
  </si>
  <si>
    <t>Nhà nước đã thực hiện việc tăng mức giảm trừ gia cảnh và đơn giản hóa biểu thuế một cách công bằng. Các quy định mới được áp dụng đối với mọi người nộp thuế, không phân biệt.</t>
  </si>
  <si>
    <t>Thuế mới theo phương án này hợp lý cho thu nhập của tôi. Mức giảm trừ gia cảnh tăng thêm giúp tiết kiệm chi phí thuế.</t>
  </si>
  <si>
    <t>Sau khi xem xét tác động tài chính, tôi tin rằng số tiền thuế tôi đóng sẽ được sử dụng hiệu quả để cải thiện dịch vụ công và phát triển đất nước.</t>
  </si>
  <si>
    <t>Nhà nước đã giải thích rõ ràng về mục tiêu của việc sửa đổi thuế. Tuy nhiên, việc minh bạch cần được cải thiện hơn nữa để người dân tin tưởng tuyệt đối.</t>
  </si>
  <si>
    <t>Tác động tài chính tích cực và sự đơn giản hóa quy trình khai báo thuế làm tăng khả năng ủng hộ và tuân thủ chính sách mới.</t>
  </si>
  <si>
    <t>Nếu cơ quan thuế có công nghệ hiện đại, khả năng phát hiện hành vi trốn thuế sẽ cao. Với mức giảm trừ gia cảnh tăng lên và quy định rõ ràng hơn, việc gian lận sẽ khó khăn hơn.</t>
  </si>
  <si>
    <t>Cơ quan thuế đã đầu tư vào công nghệ để cải thiện quản lý và giám sát. Tuy nhiên, vẫn có thể gặp rủi ro nếu người dân không tuân thủ đúng quy định.</t>
  </si>
  <si>
    <t>Quy trình khai báo thuế trở nên đơn giản hơn với số bậc thuế giảm. Điều này tạo thuận lợi cho người dân trong việc thực hiện nghĩa vụ thuế.</t>
  </si>
  <si>
    <t>Các bậc thuế mới rõ ràng và dễ hiểu hơn so với trước đây, giúp mọi người tính toán nhanh chóng.</t>
  </si>
  <si>
    <t>Việc tăng mức giảm trừ gia cảnh công bằng với nhu cầu của người dân. Tuy nhiên, vẫn có sự nghi ngờ về cách thực thi chính sách.</t>
  </si>
  <si>
    <t>Thuế mới được tính dựa trên thu nhập thực tế và số người phụ thuộc, nên tôi thấy công bằng với mức thu nhập của mình.</t>
  </si>
  <si>
    <t>Tiết kiệm tiền thuế giúp cải thiện cuộc sống, nhưng vẫn cần biết cách sử dụng đúng mục đích để tạo niềm tin.</t>
  </si>
  <si>
    <t>Nhà nước đã giải thích rõ ràng về mục tiêu chính sách mới. Tuy nhiên, việc thực thi quy định còn phụ thuộc vào thái độ của người dân.</t>
  </si>
  <si>
    <t>Chính sách mới mang lại lợi ích cho tôi, giảm gánh nặng thuế và tăng mức sống. Tôi ủng hộ và sẽ tuân thủ.</t>
  </si>
  <si>
    <t>Biểu thuế đơn giản hóa giúp tính toán nhanh chóng và dễ dàng, nhưng người dân cần thời gian để quen với thay đổi mới.</t>
  </si>
  <si>
    <t>Tôi tin rằng các quy định về giảm trừ gia cảnh công bằng đối với mọi người thu nhập tương đương tôi.</t>
  </si>
  <si>
    <t>Mức thuế mới được tính dựa trên thu nhập của tôi là hợp lý, phù hợp với mức sống và khả năng tài chính.</t>
  </si>
  <si>
    <t>Thuế đóng góp vào sự phát triển cơ sở hạ tầng và dịch vụ công, tôi tin rằng tiền thuế được sử dụng hiệu quả.</t>
  </si>
  <si>
    <t>Nhà nước đã giải thích rõ ràng về mục tiêu của việc cải cách thuế, nhưng cần thêm thông tin về cách sử dụng số tiền thuế đóng góp.</t>
  </si>
  <si>
    <t>Tôi ủng hộ chính sách mới vì nó giúp tôi tiết kiệm được tiền thuế và đơn giản hóa quy trình khai báo thuế.</t>
  </si>
  <si>
    <t>Nhà nước đã tăng giảm trừ gia cảnh và đơn giản hóa biểu thuế, giảm gian lận nhưng vẫn có thể phát hiện thông qua các biện pháp quản lý hiệu quả.</t>
  </si>
  <si>
    <t>Cơ quan thuế có nhiều công cụ công nghệ để giám sát và xử lý các hành vi trốn thuế, đồng thời tăng giảm trừ gia cảnh cũng giúp phát hiện gian lận dễ dàng hơn.</t>
  </si>
  <si>
    <t>Quy trình khai báo thuế trở nên đơn giản với mức giảm trừ gia cảnh cao hơn và số bậc thuế ít đi, thuận tiện cho người dân.</t>
  </si>
  <si>
    <t>Biểu thuế mới đơn giản hóa các bậc thuế suất, dễ hiểu và thực hiện hơn so với trước đây, giúp người dân tính toán nhanh chóng.</t>
  </si>
  <si>
    <t>Nhà nước đã công bố rõ ràng về chính sách mới, giảm gian lận và tăng thu nhập cho người dân, tạo niềm tin trong việc quản lý thuế.</t>
  </si>
  <si>
    <t>Thuế tôi phải đóng theo phương án mới thấp hơn so với trước đây, mức thuế này được coi là công bằng đối với tình hình tài chính hiện tại của tôi.</t>
  </si>
  <si>
    <t>Tiền thuế sẽ được sử dụng hiệu quả để cải thiện dịch vụ công, đặc biệt là y tế và hạ tầng cơ sở, tạo niềm tin về cách dùng tiền thuế.</t>
  </si>
  <si>
    <t>Nhà nước đã giải thích rõ ràng mục tiêu của việc sửa đổi thuế lần này, tạo sự minh bạch và niềm tin cho người dân.</t>
  </si>
  <si>
    <t>Tôi ủng hộ chính sách mới vì nó giảm gian lận, đơn giản hóa quy trình khai báo thuế, tăng thu nhập thực tế và công bằng hơn về mặt thuế suất.</t>
  </si>
  <si>
    <t>Tăng cường quản lý thuế và công nghệ hiện đại của cơ quan thuế tạo điều kiện cho việc phát hiện hành vi gian lận và trốn thuế.</t>
  </si>
  <si>
    <t>Cơ quan thuế có đủ nguồn lực và công nghệ để kiểm soát hiệu quả hơn so với trước đây.</t>
  </si>
  <si>
    <t>Việc đơn giản hóa quy trình làm việc với cơ quan thuế giúp thuận tiện hơn cho người dân.</t>
  </si>
  <si>
    <t>Biểu thuế mới đơn giản và dễ hiểu, giảm bớt sự phức tạp so với trước đây.</t>
  </si>
  <si>
    <t>Nhà nước đã thể hiện rõ ràng mục tiêu của chính sách mới, tạo niềm tin trong cộng đồng.</t>
  </si>
  <si>
    <t>Thuế mới được điều chỉnh công bằng hơn cho thu nhập như mình.</t>
  </si>
  <si>
    <t>Tiết kiệm thuế giúp tôi có thêm nguồn lực cải thiện chất lượng cuộc sống và dịch vụ công</t>
  </si>
  <si>
    <t>Nhà nước đã giải thích rõ về mục đích của chính sách mới, tạo sự minh bạch.</t>
  </si>
  <si>
    <t>Chính sách mới mang lại nhiều quyền lợi và thuận tiện cho người dân, mình sẽ ủng hộ và tuân thủ.</t>
  </si>
  <si>
    <t>Việc tăng giảm trừ gia cảnh và đơn giản hóa biểu thuế ít ảnh hưởng đến khả năng phát hiện trốn thuế, vì vậy điểm này không cao.</t>
  </si>
  <si>
    <t>Nhà nước đã đầu tư vào công nghệ để quản lý thuế, nhưng vẫn cần cải thiện khả năng phát hiện gian lận trốn thuế.</t>
  </si>
  <si>
    <t>Thủ tục khai báo và làm việc với cơ quan thuế đơn giản hơn so với trước đây, do đó điểm này cao.</t>
  </si>
  <si>
    <t>Biểu thuế mới có ít bậc hơn, dễ hiểu và thực hiện hơn, nâng điểm số này lên.</t>
  </si>
  <si>
    <t>Nhà nước sẽ thực thi chính sách một cách công tâm, nhưng vẫn cần minh bạch thêm để tăng niềm tin.</t>
  </si>
  <si>
    <t>Mức thuế tôi phải đóng hợp lý và công bằng so với thu nhập hiện tại của mình.</t>
  </si>
  <si>
    <t>Thuế đóng góp vào việc cải thiện dịch vụ công, nhưng cần minh bạch hơn về cách sử dụng nguồn thu</t>
  </si>
  <si>
    <t>Chính phủ đã giải thích rõ ràng mục tiêu của chính sách mới, nâng điểm này lên.</t>
  </si>
  <si>
    <t>Tôi ủng hộ chính sách mới vì giảm bớt gian lận trốn thuế và thủ tục đơn giản hơn.</t>
  </si>
  <si>
    <t>Quy trình khai thuế và làm việc với cơ quan thuế trở nên đơn giản hơn nhờ giảm bớt các bước phức tạp trước đây.</t>
  </si>
  <si>
    <t>Biểu thuế mới có ít bậc hơn, dễ hiểu và thực hiện thuận lợi hơn so với trước đây.</t>
  </si>
  <si>
    <t>Nhà nước đã cải cách chính sách một cách công bằng đối với tất cả các nhóm thu nhập.</t>
  </si>
  <si>
    <t>Nhờ mức giảm trừ gia cảnh cao và số bậc thuế ít hơn, tôi thấy mình đóng thuế phù hợp với nguồn thu nhập của mình.</t>
  </si>
  <si>
    <t>Thuế được sử dụng để cải thiện các dịch vụ công, từ đó nâng cao chất lượng cuộc sống cho người dân.</t>
  </si>
  <si>
    <t>Tôi ủng hộ và tuân thủ chính sách mới vì nó vừa đơn giản hóa quy trình, giảm gánh nặng tài chính lại công bằng hơn.</t>
  </si>
  <si>
    <t>Thuế đã được đơn giản hóa và mức giảm trừ gia cảnh cao, nên hành vi gian lận khó xảy ra. Cơ quan thuế cũng có công nghệ hiện đại để theo dõi.</t>
  </si>
  <si>
    <t>Nhà nước và cơ quan thuế đã đầu tư công nghệ để quản lý thuế một cách hiệu quả hơn, giảm thiểu khả năng trốn thuế.</t>
  </si>
  <si>
    <t>Trình tự khai báo thuế và quy trình làm việc với cơ quan thuế đơn giản hơn nhiều so với trước đây. Việc này giúp người dân dễ dàng thực hiện.</t>
  </si>
  <si>
    <t>Bậc thuế đã được rút gọn, cách tính thuế trở nên rõ ràng và dễ hiểu hơn, giảm sự phức tạp cho người nộp thuế.</t>
  </si>
  <si>
    <t>Dù mức thu nhập không cao nhưng tôi không phải đóng thuế do giảm trừ gia cảnh lớn. Tôi tin rằng điều này công bằng đối với mọi người.</t>
  </si>
  <si>
    <t>Thuế được giảm đi đáng kể và mức giảm trừ gia cảnh lớn, khiến mức thuế mà tôi cần nộp hợp lý.</t>
  </si>
  <si>
    <t>Tài chính quốc gia sẽ được sử dụng hiệu quả hơn để cải thiện dịch vụ công, điều này làm tăng niềm tin của tôi vào Nhà nước.</t>
  </si>
  <si>
    <t>Nhà nước đã giải thích rõ ràng về mục tiêu và lý do sửa đổi thuế, khiến tôi thấy chính sách mới được thực hiện một cách minh bạch.</t>
  </si>
  <si>
    <t>Chính sách mới này phù hợp với tình hình tài chính của gia đình tôi, giảm gánh nặng về mặt tiền bạc và tăng sự công bằng. Tôi sẽ tuân thủ.</t>
  </si>
  <si>
    <t>Cơ quan thuế có nhiều nguồn lực và công nghệ để theo dõi giao dịch tài chính cá nhân, tăng khả năng kiểm soát.</t>
  </si>
  <si>
    <t>Thủ tục đơn giản hơn trước, chỉ cần khai báo thu nhập, không quá rườm rà. Quy trình làm việc với cơ quan thuế thuận lợi hơn.</t>
  </si>
  <si>
    <t>Bậc thuế giảm từ 7 xuống còn 5, dễ dàng tính toán và thực hiện hơn so với trước đây.</t>
  </si>
  <si>
    <t>Thuế đã được đơn giản hóa và phù hợp với thu nhập cá nhân, việc gian lận ít xảy ra nên cảm thấy công bằng.</t>
  </si>
  <si>
    <t>Mức thuế giảm từ trước đến nay là hợp lý, không quá cao hoặc thấp so với thu nhập của tôi.</t>
  </si>
  <si>
    <t>Thuê được sử dụng để đầu tư vào các dịch vụ công như y tế và giao thông, điều này mang lại lợi ích cho người dân.</t>
  </si>
  <si>
    <t>Phương án thuế mới đã được giải thích rõ ràng trong các văn bản chính sách, tăng sự minh bạch.</t>
  </si>
  <si>
    <t>Chính sách mới mang lại lợi ích về tài chính và thủ tục đơn giản hơn, tôi sẽ ủng hộ và tuân thủ.</t>
  </si>
  <si>
    <t>Nguyên tắc pháp luật và công nghệ hiện đại giúp phát hiện hành vi gian lận, tuy nhiên vẫn có khả năng sơ hở.</t>
  </si>
  <si>
    <t>Cơ quan thuế đã đầu tư vào công nghệ để cải thiện quản lý, nhưng tình hình thực tế có thể còn hạn chế.</t>
  </si>
  <si>
    <t>Quy trình khai báo trở nên đơn giản hơn với mức giảm trừ gia cảnh cao hơn, làm cho thủ tục dễ dàng hơn.</t>
  </si>
  <si>
    <t>Biểu thuế mới có ít bậc hơn và rõ ràng hơn so với trước đây, giúp việc tính toán dễ hiểu hơn.</t>
  </si>
  <si>
    <t>Tôi tin rằng cơ quan thuế sẽ công bằng trong việc áp dụng chính sách, nhưng vẫn cần giám sát chặt chẽ.</t>
  </si>
  <si>
    <t>Mức thuế mới giảm đáng kể so với trước đây, thể hiện tính công bằng và phù hợp với thu nhập của tôi.</t>
  </si>
  <si>
    <t>Thuế đóng góp vào các dịch vụ công quan trọng như y tế, giao thông, tạo nên niềm tin về việc sử dụng số tiền thuế một cách hiệu quả.</t>
  </si>
  <si>
    <t>Nhà nước đã giải thích rõ ràng về mục tiêu và lý do của việc cải cách thuế, làm tăng sự hiểu biết và ủng hộ từ người dân.</t>
  </si>
  <si>
    <t>Sau khi xem xét các quyền lợi và nghĩa vụ mới, tôi đồng ý và sẽ tuân thủ chính sách mới với mức độ ủng hộ cao.</t>
  </si>
  <si>
    <t>Dù không hoàn toàn tin tưởng, nhưng với mức giảm trừ gia cảnh cao hơn và quy định rõ ràng về thuế, việc phát hiện trốn thuế sẽ dễ dàng hơn.</t>
  </si>
  <si>
    <t>Cơ quan thuế đã nâng cấp công nghệ, tuy nhiên khả năng thực thi vẫn phụ thuộc vào nguồn lực và sự nỗ lực của họ.</t>
  </si>
  <si>
    <t>Quy trình làm việc với cơ quan thuế đơn giản hơn trước đây, đặc biệt khi mức thuế giảm, thủ tục khai báo cũng dễ dàng hơn.</t>
  </si>
  <si>
    <t>Các bậc thuế mới đơn giản và rõ ràng hơn so với trước đây, giúp việc tính toán và nộp thuế trở nên thuận tiện hơn.</t>
  </si>
  <si>
    <t>Tôi tin rằng cơ quan thuế sẽ thực thi chính sách công bằng, tuy nhiên vẫn có sự nghi ngờ về một số quy định cụ thể.</t>
  </si>
  <si>
    <t>Mức thuế mới phù hợp với thu nhập của tôi và giảm trừ gia cảnh cao hơn đã giúp tôi tiết kiệm được nhiều tiền, cảm thấy công bằng.</t>
  </si>
  <si>
    <t>Tôi tin rằng số tiền thuế đóng sẽ được sử dụng hiệu quả để cải thiện dịch vụ công, mặc dù vẫn có nghi ngờ về quản lý kinh phí.</t>
  </si>
  <si>
    <t>Nhà nước đã giải thích rõ ràng về mục tiêu của việc sửa đổi thuế, tuy nhiên sự minh bạch trong sử dụng ngân sách vẫn còn hạn chế.</t>
  </si>
  <si>
    <t>Trong khi các quyền lợi và nghĩa vụ theo chính sách mới đã cải thiện đáng kể, tôi vẫn cần thời gian để thích ứng hoàn toàn với hệ thống mới.</t>
  </si>
  <si>
    <t>Nhà nước và cơ quan thuế đã đầu tư vào công nghệ và hệ thống quản lý thuế hiện đại. Điều này giúp tăng cường khả năng phát hiện và xử lý các hành vi trốn thuế, nhưng thực tế vẫn còn nhiều thách thức.</t>
  </si>
  <si>
    <t>So với trước đây, quy trình khai báo thuế đã đơn giản hơn. Việc giảm số bậc thuế cũng giúp quá trình tính thuế trở nên thuận tiện hơn.</t>
  </si>
  <si>
    <t>Thay đổi về mức giảm trừ gia cảnh và số bậc thuế làm cho cách tính thuế dễ hiểu và thực hiện thuận lợi hơn nhiều so với trước đây.</t>
  </si>
  <si>
    <t>Tôi tin rằng cơ quan thuế sẽ thực thi chính sách một cách công bằng, nhưng vẫn cần thêm thời gian để chứng minh điều này.</t>
  </si>
  <si>
    <t>Mức thuế mới mà tôi phải đóng là hợp lý và công bằng. Số tiền giảm trừ gia cảnh cũng giúp giảm bớt gánh nặng về mặt tài chính.</t>
  </si>
  <si>
    <t>Tôi tin rằng số tiền thuế tôi đóng sẽ được sử dụng hiệu quả để cải thiện dịch vụ công, nhưng cần thêm thông tin cụ thể về cách sử dụng nguồn thu thuế này.</t>
  </si>
  <si>
    <t>Nhà nước đã giải thích rõ ràng về mục tiêu của việc sửa đổi luật thuế. Tuy nhiên, tôi mong muốn có thêm thông tin chi tiết về quy trình thực thi chính sách mới.</t>
  </si>
  <si>
    <t>Trước tác động tài chính tích cực và sự đơn giản hóa quy trình khai báo thuế, tôi ủng hộ và tuân thủ chính sách mới. Tuy nhiên, vẫn cần thêm thông tin về cách sử dụng nguồn thu để tăng niềm tin.</t>
  </si>
  <si>
    <t>Việc tăng mức giảm trừ gia cảnh và đơn giản hóa biểu thuế có thể làm giảm động cơ trốn thuế, tuy nhiên, tôi vẫn lo ngại về khả năng thực thi hiệu quả của các quy định quản lý thuế.</t>
  </si>
  <si>
    <t>Công nghệ hiện đại có thể giúp phát hiện trốn thuế nhanh chóng hơn, nhưng cần thời gian để nhà nước hoàn thiện hệ thống.</t>
  </si>
  <si>
    <t>So với trước đây, quy trình khai thuế đơn giản hơn, thuận tiện cho người dân hơn nhờ giảm số bậc thuế và tăng mức giảm trừ gia cảnh.</t>
  </si>
  <si>
    <t>Biểu thuế mới rõ ràng hơn, dễ hiểu và thực hiện đơn giản hơn so với trước đây, đặc biệt là sau khi đã áp dụng các quy định mới.</t>
  </si>
  <si>
    <t>Tôi tin rằng Nhà nước sẽ công bằng trong việc thực thi chính sách mới, nhưng cần thêm thời gian để quan sát và đánh giá.</t>
  </si>
  <si>
    <t>Theo phương án mới, tôi thấy mức thuế đóng hợp lý cho thu nhập của mình, phù hợp với quy định giảm trừ gia cảnh mới.</t>
  </si>
  <si>
    <t>Tôi tin rằng số tiền thuế đóng sẽ được sử dụng hiệu quả để cải thiện dịch vụ công, nhưng cần thêm thông tin về chi tiêu cụ thể.</t>
  </si>
  <si>
    <t>Nhà nước đã giải thích rõ ràng về mục đích của việc sửa đổi thuế, tuy nhiên, tôi muốn thấy thêm chi tiết về kế hoạch thực hiện.</t>
  </si>
  <si>
    <t>Công nghệ hiện đại có thể phát hiện gian lận thuế, nhưng vẫn cần sự giám sát từ phía người nộp thuế. Thuế được quản lý tốt hơn so với trước đây.</t>
  </si>
  <si>
    <t>Nhà nước đã đầu tư vào công nghệ và nhân lực để phát hiện trốn thuế hiệu quả hơn, tuy nhiên vẫn cần cải tiến thêm.</t>
  </si>
  <si>
    <t>Quy trình khai báo thuế trở nên đơn giản hơn, việc nộp thuế qua ứng dụng điện tử thuận tiện hơn.</t>
  </si>
  <si>
    <t>Biểu thuế mới đơn giản hóa các bậc và mức thuế, dễ hiểu và thực hiện hơn so với trước đây.</t>
  </si>
  <si>
    <t>Thuế được giảm đáng kể nên tin tưởng Nhà nước sẽ quản lý hiệu quả.</t>
  </si>
  <si>
    <t>Thu nhập của tôi thuộc nhóm có mức thuế thấp hơn, công bằng với thu nhập tương đương.</t>
  </si>
  <si>
    <t>Thuế giảm giúp cải thiện dịch vụ công, đặc biệt là y tế và giao thông.</t>
  </si>
  <si>
    <t>Nhà nước đã giải thích rõ mục tiêu của việc sửa đổi thuế lần này.</t>
  </si>
  <si>
    <t>Sau khi xem xét, tôi ủng hộ và sẽ tuân thủ chính sách mới vì nó mang lại lợi ích đáng kể cho người dân.</t>
  </si>
  <si>
    <t>Dù không hoàn toàn, nhưng với việc tăng giảm trừ gia cảnh và đơn giản hóa biểu thuế, khả năng phát hiện gian lận hoặc trốn thuế có thể tốt hơn. Tuy nhiên, sự hiệu quả của việc quản lý thuế phụ thuộc nhiều vào thực tế.</t>
  </si>
  <si>
    <t>Nhà nước và cơ quan thuế có công nghệ hiện đại, nhưng khả năng phát hiện trốn thuế còn phụ thuộc vào cách thức quản lý và nguồn lực. Tuy nhiên, cơ hội để trốn thuế đã giảm.</t>
  </si>
  <si>
    <t>Quy trình làm việc với cơ quan thuế trở nên đơn giản hơn, nhưng cần thời gian để người dân thích nghi. Khai báo thuế cũng dễ dàng hơn với các mức giảm trừ gia cảnh tăng.</t>
  </si>
  <si>
    <t>Biểu thuế đã được đơn giản hóa từ 7 bậc xuống 5 bậc, làm việc tính toán thuế trở nên dễ dàng hơn. Mức thuế mới rõ ràng hơn so với trước đây.</t>
  </si>
  <si>
    <t>Tôi tin rằng Nhà nước sẽ thực thi chính sách một cách công bằng và minh bạch, nhưng vẫn có những lo ngại về việc quản lý thuế hiệu quả.</t>
  </si>
  <si>
    <t>Mức thuế mới phù hợp với thu nhập của tôi. Mức giảm trừ gia cảnh tăng giúp tôi tiết kiệm tiền</t>
  </si>
  <si>
    <t>Thuế mà tôi đóng sẽ được sử dụng để cải thiện dịch vụ công, điều này làm tăng niềm tin vào Nhà nước.</t>
  </si>
  <si>
    <t>Chính phủ đã giải thích rõ ràng về mục tiêu của việc sửa đổi thuế. Tuy nhiên, có thể cần thêm thông tin về cách sử dụng số tiền thuế để cải thiện dịch vụ công.</t>
  </si>
  <si>
    <t>Tác động tài chính tích cực và sự đơn giản hóa quy trình khai báo thuế khiến tôi ủng hộ và tuân thủ chính sách mới. Tuy nhiên, vẫn có những lo ngại về quản lý thuế.</t>
  </si>
  <si>
    <t>Nếu thuế được quản lý chặt chẽ hơn, việc gian lận sẽ giảm. Tuy nhiên, tôi còn nghi ngờ về mức độ thực thi.</t>
  </si>
  <si>
    <t>Cơ quan thuế có công nghệ hiện đại, nhưng vẫn cần sự hỗ trợ từ người dân trong việc tuân thủ.</t>
  </si>
  <si>
    <t>Quy trình khai báo đơn giản hơn, tiết kiệm thời gian và nỗ lực.</t>
  </si>
  <si>
    <t>Số bậc thuế giảm đi, nhưng việc tính toán vẫn khá phức tạp đối với người bình thường.</t>
  </si>
  <si>
    <t>Tôi tin Nhà nước sẽ công tâm trong việc thực thi chính sách, nhưng cần thời gian để chứng minh.</t>
  </si>
  <si>
    <t>Thuế mới được giảm đáng kể, tôi thấy đây là mức hợp lý cho thu nhập hiện tại của mình.</t>
  </si>
  <si>
    <t>Tài nguyên thuế sẽ được sử dụng hiệu quả hơn trong việc cải thiện hạ tầng và dịch vụ công.</t>
  </si>
  <si>
    <t>Nhà nước đã giải thích rõ ràng về mục tiêu của chính sách mới, tôi thấy đây là bước tiến tích cực.</t>
  </si>
  <si>
    <t>Với mức thuế giảm và các quyền lợi mới, tôi sẽ ủng hộ và tuân thủ chính sách này.</t>
  </si>
  <si>
    <t>Dù các quy định quản lý thuế hiện nay có nhiều cải tiến, nhưng với vị trí công việc và kiến thức của tôi, tôi vẫn nghi ngờ khả năng phát hiện trọn vẹn hành vi gian lận hoặc trốn thuế.</t>
  </si>
  <si>
    <t>Tăng cường công nghệ trong quản lý thuế có thể giúp nhưng không loại trừ hoàn toàn khả năng thất bại của con người.</t>
  </si>
  <si>
    <t>Quy trình khai báo và làm việc với cơ quan thuế nhanh chóng hơn, thủ tục đơn giản hơn so với trước đây, giúp tiết kiệm thời gian.</t>
  </si>
  <si>
    <t>Biểu thuế mới có ít bậc hơn, rõ ràng dễ hiểu hơn, dễ thực hiện hơn so với biểu thuế cũ phức tạp</t>
  </si>
  <si>
    <t>Tôi tin rằng Nhà nước sẽ thực thi chính sách một cách khách quan công bằng nhưng vẫn lo ngại về khả năng giám sát.</t>
  </si>
  <si>
    <t>Mức thuế mới phù hợp với thu nhập của tôi, giảm trừ gia cảnh tăng giúp mức thuế trở nên công bằng hơn</t>
  </si>
  <si>
    <t>Nhà nước đã giải thích rõ ràng về mục tiêu cải cách thuế và tôi tin rằng tiền thuế sẽ được sử dụng hiệu quả.</t>
  </si>
  <si>
    <t>Dù cơ quan thuế đã công bố chi tiết nhưng vẫn có sự lo ngại về việc thực thi</t>
  </si>
  <si>
    <t>Tôi ủng hộ chính sách mới vì nó mang lại lợi ích tài chính và đơn giản hóa quy trình, đồng thời tôi sẽ tuân thủ.</t>
  </si>
  <si>
    <t>Hiện nay, cơ quan thuế đã có nhiều biện pháp quản lý và công nghệ hiện đại giúp phát hiện hành vi trốn thuế. Với mức thuế giảm đi, tôi tin rằng việc phát hiện trốn thuế sẽ được cải thiện hơn.</t>
  </si>
  <si>
    <t>Nhà nước đã đầu tư vào hệ thống quản lý thuế tiên tiến và hiệu quả. Việc này cho thấy họ có khả năng xử lý nghiêm các hành vi gian lận hoặc trốn thuế.</t>
  </si>
  <si>
    <t>Quy trình khai báo và làm việc với cơ quan thuế trở nên đơn giản hơn, không còn nhiều thủ tục rườm rà như trước đây. Điều này giúp tôi tiết kiệm thời gian và công sức.</t>
  </si>
  <si>
    <t>Biểu thuế mới có ít bậc hơn nhưng vẫn phản ánh đúng mức thu nhập của tôi, dễ hiểu và dễ thực hiện hơn so với trước đây.</t>
  </si>
  <si>
    <t>Nhà nước đã công bố đầy đủ về các quy định mới. Điều này cho thấy họ sẽ thực thi chính sách một cách khách quan và công bằng.</t>
  </si>
  <si>
    <t>Thuế tôi phải đóng theo phương án mới phù hợp với thu nhập của tôi, không quá nặng so với mức lương hiện tại.</t>
  </si>
  <si>
    <t>Số tiền thuế mà tôi đóng sẽ được sử dụng hiệu quả để cải thiện dịch vụ công, tạo nên sự tin tưởng vào việc đầu tư của Nhà nước.</t>
  </si>
  <si>
    <t>Nhà nước đã giải thích rõ ràng về mục tiêu và lý do của việc thay đổi thuế lần này. Điều này tăng thêm niềm tin vào quyết định của họ.</t>
  </si>
  <si>
    <t>Sau khi xem xét các quyền lợi và nghĩa vụ, tôi ủng hộ chính sách mới. Nó giúp tôi tiết kiệm tiền mà vẫn đảm bảo công bằng cho tất cả mọi người.</t>
  </si>
  <si>
    <t>Nhà nước đã tăng cường quản lý thuế và công nghệ, tuy nhiên việc phát hiện trốn thuế vẫn phụ thuộc nhiều vào thực tế.</t>
  </si>
  <si>
    <t>Cơ quan thuế có đủ khả năng và công nghệ để phát hiện các hành vi gian lận, điều này tăng tính minh bạch cho hệ thống thuế.</t>
  </si>
  <si>
    <t>Quy trình khai báo thuế trở nên đơn giản hơn khi số bậc thuế giảm, thủ tục cũng nhanh chóng hơn so với trước đây.</t>
  </si>
  <si>
    <t>Phương án mới có ít bậc thuế hơn và dễ hiểu hơn, dễ thực hiện hơn so với luật cũ.</t>
  </si>
  <si>
    <t>Tôi tin rằng Nhà nước sẽ công bằng trong việc áp dụng chính sách mới, mặc dù còn một số lo ngại về sự thực thi.</t>
  </si>
  <si>
    <t>Thuế tôi phải đóng theo phương án mới là hợp lý và công bằng cho thu nhập của tôi.</t>
  </si>
  <si>
    <t>Tài chính cá nhân của tôi sẽ tăng lên do giảm thuế, giúp tôi có thể đầu tư vào các dịch vụ công như y tế, giáo dục.</t>
  </si>
  <si>
    <t>Nhà nước đã giải thích rõ ràng về mục tiêu và lý do thay đổi chính sách thuế, điều này tăng tính minh bạch.</t>
  </si>
  <si>
    <t>Tôi ủng hộ và tuân thủ chính sách mới vì nó mang lại lợi ích tài chính cho cá nhân tôi và cải thiện dịch vụ công.</t>
  </si>
  <si>
    <t>Với sự phát triển của công nghệ, khả năng theo dõi và xử lý vi phạm thuế chắc chắn sẽ tăng lên.</t>
  </si>
  <si>
    <t>Nhà nước đã đầu tư vào hệ thống thông tin hóa nên việc quản lý thuế sẽ hiệu quả hơn.</t>
  </si>
  <si>
    <t>Quy trình khai thuế đơn giản hơn, thủ tục làm việc với cơ quan thuế thuận tiện hơn so với trước đây.</t>
  </si>
  <si>
    <t>Bậc thuế giảm từ 7 xuống 5, dễ hiểu và thực hiện nhanh chóng hơn, không còn cảm giác bị áp bức bởi mức thuế cao quá nhiều bậc.</t>
  </si>
  <si>
    <t>Tôi tin rằng Nhà nước sẽ công bằng trong việc thực thi chính sách mới vì giảm trừ gia cảnh và các quy định đã được cải thiện.</t>
  </si>
  <si>
    <t>Mức thuế tôi phải đóng theo phương án mới là hợp lý, phù hợp với thu nhập của mình sau khi giảm trừ.</t>
  </si>
  <si>
    <t>Thuế mà tôi đóng sẽ được sử dụng hiệu quả cho các dịch vụ công, cải thiện chất lượng cuộc sống.</t>
  </si>
  <si>
    <t>Nhà nước đã giải thích rõ ràng về việc sửa đổi chính sách thuế và mục tiêu của nó.</t>
  </si>
  <si>
    <t>Tôi ủng hộ và sẽ tuân thủ chính sách mới vì lợi ích cá nhân cũng như đóng góp cho xã hội.</t>
  </si>
  <si>
    <t>Việc tăng mức giảm trừ gia cảnh và đơn giản hóa biểu thuế có thể làm giảm khả năng phát hiện hành vi gian lận hoặc trốn thuế. Tuy nhiên, cơ quan thuế vẫn có đủ khả năng phát hiện và xử lý các trường hợp này.</t>
  </si>
  <si>
    <t>Cơ quan thuế có thể sử dụng công nghệ để theo dõi và giám sát hành vi nộp thuế của cá nhân, do đó việc gian lận hoặc trốn thuế sẽ khó hơn. Tuy nhiên, vẫn cần sự cải thiện trong khả năng quản lý.</t>
  </si>
  <si>
    <t>Các quy trình khai báo thuế và làm việc với cơ quan thuế đã đơn giản hóa, dễ dàng thực hiện hơn so với trước đây. Điều này giúp thuận tiện cho người dân trong quá trình nộp thuế.</t>
  </si>
  <si>
    <t>Biểu thuế mới có ít bậc hơn và mức thuế suất rõ ràng hơn, giúp việc tính thuế trở nên dễ dàng và dễ hiểu hơn. Điều này tăng độ thuận tiện cho người dân khi áp dụng chính sách mới.</t>
  </si>
  <si>
    <t>Tôi tin rằng cơ quan thuế sẽ thực thi chính sách một cách công bằng, khách quan và đối xử bình đẳng với mọi người nộp thuế. Việc giảm thuế suất và tăng mức giảm trừ gia cảnh giúp tôi cảm thấy công bằng hơn.</t>
  </si>
  <si>
    <t>Người thu nhập như tôi chỉ phải đóng thuế ở bậc 3, với mức thuế suất 20%. Mức này là hợp lý so với thu nhập của tôi và nhiều người trong cùng ngành nghề.</t>
  </si>
  <si>
    <t>Việc giảm thuế giúp số tiền thuế tôi đóng được sử dụng hiệu quả hơn để cải thiện dịch vụ công. Điều này tăng niềm tin của tôi vào việc sử dụng nguồn thu từ thuế một cách minh bạch.</t>
  </si>
  <si>
    <t>Nhà nước đã giải thích rõ ràng về mục đích và lý do của việc sửa đổi chính sách thuế, giúp tôi hiểu được lợi ích mà chính sách mang lại cho người dân.</t>
  </si>
  <si>
    <t>Tác động tài chính tích cực từ chính sách mới cùng với sự đơn giản hóa quy trình khai báo thuế đã khiến tôi ủng hộ và tuân thủ chính sách này. Tôi tin rằng việc thực thi chính sách sẽ mang lại lợi ích cho cả người dân và nền kinh tế.</t>
  </si>
  <si>
    <t>Nhà nước đã tăng giảm trừ gia cảnh và đơn giản hóa biểu thuế, nhưng tôi vẫn lo ngại về khả năng phát hiện gian lận của cơ quan thuế.</t>
  </si>
  <si>
    <t>Cơ quan thuế có thể sử dụng công nghệ cao để theo dõi các hoạt động tài chính, nhưng thực tế còn phụ thuộc vào nguồn lực và quy trình quản lý của họ.</t>
  </si>
  <si>
    <t>Khai báo thuế trở nên dễ dàng hơn với mức giảm trừ gia cảnh tăng và số bậc thuế giảm. Tuy nhiên, tôi vẫn cần thời gian để quen với các thay đổi.</t>
  </si>
  <si>
    <t>Biểu thuế đơn giản hơn nhưng cần thêm thời gian để hiểu rõ cách tính thuế mới. Điều này giúp dễ dàng thực hiện hơn so với trước đây.</t>
  </si>
  <si>
    <t>Tôi tin rằng cơ quan thuế sẽ công tâm trong việc áp dụng chính sách, mặc dù vẫn có lo ngại về sự nhất quán trong quá trình quản lý.</t>
  </si>
  <si>
    <t>Mức thuế mới đối với thu nhập của tôi là hợp lý. Mức giảm trừ gia cảnh tăng và số bậc thuế giảm giúp giảm bớt gánh nặng tài chính.</t>
  </si>
  <si>
    <t>Thuế đóng góp vào việc cải thiện các dịch vụ công như y tế, giáo dục và hạ tầng. Tôi tin rằng số tiền tôi đóng sẽ được sử dụng hiệu quả.</t>
  </si>
  <si>
    <t>Nhà nước đã giải thích rõ ràng về mục tiêu của chính sách mới, mặc dù vẫn có thể cần thêm thông tin để hiểu chi tiết hơn.</t>
  </si>
  <si>
    <t>Sau khi xem xét các quyền lợi và nghĩa vụ, tôi ủng hộ và tuân thủ chính sách mới vì nó giúp giảm gánh nặng tài chính cho người dân như tôi.</t>
  </si>
  <si>
    <t>Cơ quan thuế có nhiều nguồn lực để quản lý, nhưng khả năng phát hiện và xử lý trốn thuế phụ thuộc vào hiệu quả của các biện pháp quản lý thực tế.</t>
  </si>
  <si>
    <t>Quy trình khai báo thuế đơn giản hơn, thủ tục nhanh chóng hơn so với trước đây.</t>
  </si>
  <si>
    <t>Bậc thuế đơn giản, dễ hiểu, giảm bớt việc tính toán và quản lý chi phí cho người dân nộp thuế.</t>
  </si>
  <si>
    <t>Tôi tin rằng Nhà nước sẽ công bằng trong việc thực thi các chính sách mới, nhưng cần thời gian để kiểm chứng.</t>
  </si>
  <si>
    <t>Thuế giảm đáng kể so với trước đây, công bằng đối với thu nhập của tôi và người dân có cùng mức thu nhập.</t>
  </si>
  <si>
    <t>Tổng số thuế giảm đi giúp cải thiện dịch vụ công, nhưng hiệu quả sử dụng nguồn lực còn phụ thuộc vào việc quản lý ngân sách</t>
  </si>
  <si>
    <t>Đã có giải thích rõ ràng về mục đích sửa đổi luật thuế, nhưng cần thêm thông tin về cách quản lý và sử dụng nguồn thu.</t>
  </si>
  <si>
    <t>Chính sách mới giúp giảm gánh nặng tài chính, tăng niềm tin vào Nhà nước, do đó tôi ủng hộ và tuân thủ</t>
  </si>
  <si>
    <t>Nếu mức giảm trừ gia cảnh tăng cao như hiện nay, việc phát hiện và xử lý trốn thuế sẽ khó khăn hơn.</t>
  </si>
  <si>
    <t>Cơ quan thuế có thể đã cải thiện công nghệ nhưng không chắc chắn họ đủ khả năng để kiểm soát toàn bộ hệ thống thuế.</t>
  </si>
  <si>
    <t>Việc tăng giảm trừ gia cảnh và đơn giản hóa biểu thuế làm các quy trình trở nên dễ dàng hơn, thuận tiện cho người dân.</t>
  </si>
  <si>
    <t>Biểu thuế mới rõ ràng hơn, dễ hiểu và dễ thực hiện hơn so với trước đây, đặc biệt là với mức giảm trừ gia cảnh cao.</t>
  </si>
  <si>
    <t>Tôi tin rằng chính phủ sẽ xử lý công bằng vì tôi không phải đóng thuế do thu nhập thấp hơn nhiều so với mức chịu thuế.</t>
  </si>
  <si>
    <t>Mức thuế mới là hợp lý cho thu nhập của tôi, giảm gánh nặng tài chính đáng kể.</t>
  </si>
  <si>
    <t>Thuế đóng góp vào việc cải thiện cơ sở hạ tầng và dịch vụ công, nhưng không rõ liệu chi phí này có được sử dụng hiệu quả hay không.</t>
  </si>
  <si>
    <t>Nhà nước đã giải thích các thay đổi một cách minh bạch nhưng tôi vẫn nghi ngờ về việc thực thi và quản lý thuế.</t>
  </si>
  <si>
    <t>Tôi ủng hộ chính sách mới vì nó giảm gánh nặng thuế cho thu nhập thấp như tôi, nhưng vẫn có sự không chắc chắn về cách thực hiện.</t>
  </si>
  <si>
    <t>Dù không hoàn toàn tin tưởng, nhưng với việc nâng cao mức giảm trừ gia cảnh và đơn giản hóa biểu thuế, hành vi gian lận hay trốn thuế sẽ khó khăn hơn. Người dân cũng có nhiều thông tin hơn để kiểm tra chính xác.</t>
  </si>
  <si>
    <t>Cơ quan thuế đã tăng cường công nghệ và đội ngũ nhân sự, nên khả năng phát hiện và xử lý gian lận hay trốn thuế sẽ tốt hơn. Tuy nhiên, vẫn còn cần cải thiện.</t>
  </si>
  <si>
    <t>Quy trình khai báo thuế đơn giản hơn, đặc biệt với việc giảm số bậc thuế từ 7 xuống 5. Điều này giúp thủ tục nhanh chóng và tiện lợi hơn so với trước đây.</t>
  </si>
  <si>
    <t>Biểu thuế mới dễ hiểu và thực hiện đơn giản, đặc biệt với việc giảm số bậc thuế. Người dân như tôi có thể tính toán nhanh chóng và chính xác hơn.</t>
  </si>
  <si>
    <t>Tôi tin rằng cơ quan thuế sẽ công bằng trong việc áp dụng chính sách mới. Việc tăng mức giảm trừ gia cảnh và đơn giản hóa biểu thuế cho thấy sự đối xử bình đẳng với mọi người nộp thuế.</t>
  </si>
  <si>
    <t>Mức thuế mới mà tôi phải đóng là hợp lý, phù hợp với thu nhập của tôi. Việc tăng mức giảm trừ gia cảnh và đơn giản hóa biểu thuế giúp tôi tiết kiệm được một khoản tiền đáng kể.</t>
  </si>
  <si>
    <t>Tôi tin rằng số tiền thuế tôi đóng sẽ được sử dụng hiệu quả để cải thiện dịch vụ công. Chính sách mới này thể hiện sự cam kết của Nhà nước trong việc đầu tư vào các lĩnh vực quan trọng.</t>
  </si>
  <si>
    <t>Nhà nước đã giải thích rõ ràng về mục tiêu và lý do của việc sửa đổi thuế, giúp tôi hiểu được giá trị của chính sách này. Thông tin minh bạch này tăng thêm niềm tin vào sự công bằng.</t>
  </si>
  <si>
    <t>Tôi ủng hộ chính sách mới vì nó mang lại nhiều lợi ích cho người dân như tôi, giúp giảm gian lận và trốn thuế. Tôi sẽ tuân thủ các quy định mới để đóng góp vào sự phát triển chung.</t>
  </si>
  <si>
    <t>Dù thu nhập của tôi không quá cao nhưng mức thuế giảm đáng kể đã giúp tôi tiết kiệm được một khoản tiền lớn. Tuy nhiên, do chưa rõ ràng về khả năng phát hiện và xử lý trốn thuế, nên điểm số không cao.</t>
  </si>
  <si>
    <t>Việc đơn giản hóa quy trình khai báo thuế và giảm mức thuế đã giúp tôi tiết kiệm thời gian và công sức. Tuy nhiên, khả năng phát hiện trốn thuế vẫn còn là một vấn đề cần cải thiện.</t>
  </si>
  <si>
    <t>Quy trình khai báo thuế trở nên đơn giản hơn rất nhiều so với trước đây, giảm bớt các thủ tục rườm rà. Điều này giúp tôi dễ dàng thực hiện hơn và tiết kiệm thời gian.</t>
  </si>
  <si>
    <t>Biểu thuế mới có ít bậc hơn đã làm cho việc tính toán thuế trở nên dễ dàng hơn. Tuy nhiên, cần thêm hướng dẫn cụ thể để người dân hiểu rõ về các thay đổi.</t>
  </si>
  <si>
    <t>Tôi tin rằng Nhà nước sẽ thực thi chính sách một cách công bằng và minh bạch. Mức thuế mới đối với thu nhập của tôi là hợp lý, nhưng vẫn cần thêm thông tin rõ ràng về việc sử dụng nguồn thu này.</t>
  </si>
  <si>
    <t>Mức giảm trừ gia cảnh tăng đã giúp tôi tiết kiệm một khoản tiền đáng kể. Tuy nhiên, mức thuế mới vẫn có thể gây nghi ngờ cho những người không hiểu rõ về chính sách mới.</t>
  </si>
  <si>
    <t>Tiết kiệm được nhiều chi phí từ việc giảm thuế đã làm tôi tin tưởng hơn vào mục tiêu sử dụng nguồn thu này để cải thiện dịch vụ công. Tuy nhiên, vẫn cần thêm minh bạch về việc sử dụng số tiền này.</t>
  </si>
  <si>
    <t>Những thay đổi trong chính sách thuế được giải thích khá rõ ràng, nhưng tôi hy vọng rằng sẽ có thêm thông tin về cách thực hiện các biện pháp chống trốn thuế để tăng niềm tin.</t>
  </si>
  <si>
    <t>Sau khi xem xét các quyền lợi và nghĩa vụ, tôi ủng hộ chính sách mới. Tuy nhiên, vẫn cần thêm cải tiến để giảm bớt những lo ngại về việc thực thi chính sách này.</t>
  </si>
  <si>
    <t xml:space="preserve">Tăng cường quản lý thuế và công nghệ hiện đại giúp phát hiện hành vi gian lận hoặc trốn thuế dễ dàng hơn. </t>
  </si>
  <si>
    <t>Nhà nước đã đầu tư vào hệ thống quản lý thuế, tăng khả năng giám sát và xử lý nghiêm các trường hợp trốn thuế.</t>
  </si>
  <si>
    <t>Biểu thuế đơn giản hóa từ 7 bậc xuống còn 5 bậc giúp tính toán và hiểu rõ hơn về mức thuế phải đóng.</t>
  </si>
  <si>
    <t>Quy định mới mang tính khách quan, công bằng với việc giảm trừ gia cảnh lớn hơn và số bậc thuế đơn giản hóa.</t>
  </si>
  <si>
    <t>Mức thuế sau khi thay đổi phù hợp với thu nhập của mình, giúp tôi tin rằng nó là một mức thuế công bằng.</t>
  </si>
  <si>
    <t>Thuế đóng góp vào các dịch vụ công quan trọng như y tế và đường xá, tạo niềm tin về việc sử dụng hiệu quả số tiền đã đóng.</t>
  </si>
  <si>
    <t>Nhà nước đã giải thích rõ ràng mục tiêu của chính sách mới thông qua các phương tiện truyền thông, tạo sự minh bạch và tin tưởng.</t>
  </si>
  <si>
    <t>Tôi ủng hộ và tuân thủ chính sách mới vì nó mang lại lợi ích về mặt tài chính và công bằng hơn so với trước đây.</t>
  </si>
  <si>
    <t>Dù có công nghệ hỗ trợ, tôi vẫn nghi ngờ khả năng phát hiện trốn thuế hiệu quả vì nhiều lý do phức tạp trong việc giao dịch tài chính.</t>
  </si>
  <si>
    <t>Cơ quan thuế đã nâng cấp hệ thống nhưng không loại trừ khả năng quản lý thuế còn nhiều lỗ hổng.</t>
  </si>
  <si>
    <t>Quy trình đơn giản hơn so với trước, đặc biệt là việc giảm số bậc thuế từ 7 xuống 5.</t>
  </si>
  <si>
    <t>Cách tính thuế rõ ràng và dễ dàng, mặc dù vẫn còn nhiều khía cạnh phức tạp liên quan đến các loại thu nhập khác nhau.</t>
  </si>
  <si>
    <t>Tôi tin rằng công tâm trong việc áp dụng chính sách mới nhưng lo ngại về khả năng thực thi khách quan.</t>
  </si>
  <si>
    <t>Mức thuế mới phù hợp với thu nhập của tôi và các mức giảm trừ gia cảnh tăng lên, tạo cảm giác công bằng.</t>
  </si>
  <si>
    <t>Thuế đóng góp vào việc cải thiện dịch vụ công là điều cần thiết nhưng hiệu quả sử dụng nguồn lực vẫn còn cần được đánh giá.</t>
  </si>
  <si>
    <t>Nhà nước đã giải thích rõ ràng mục đích của chính sách mới, mặc dù tôi không hoàn toàn tin tưởng vào sự minh bạch.</t>
  </si>
  <si>
    <t>Tác động tài chính tích cực và việc đơn giản hóa quy trình làm việc với cơ quan thuế khiến tôi ủng hộ chính sách mới.</t>
  </si>
  <si>
    <t>Nhìn chung, tôi cảm thấy mức thuế mới là công bằng đối với thu nhập của mình và so sánh với các bậc thuế trước đây. Mức giảm trừ gia cảnh cũng giúp cân bằng hơn.</t>
  </si>
  <si>
    <t>Đồng ý rằng số tiền tôi đóng thuế sẽ được sử dụng hiệu quả cho lợi ích chung, mặc dù cụ thể về cách sử dụng vẫn cần thêm thông tin. Tuy nhiên, việc cải thiện hạ tầng công cộng là mục tiêu rõ ràng.</t>
  </si>
  <si>
    <t>Nhà nước đã giải thích khá đầy đủ về lý do và mục tiêu của việc sửa đổi thuế lần này. Điều này giúp tôi hiểu rõ hơn về sự cần thiết của các thay đổi.</t>
  </si>
  <si>
    <t>Dựa trên mức giảm trừ gia cảnh tăng, số bậc thuế ít đi, cùng với việc làm rõ mục tiêu cải cách, tôi ủng hộ và sẽ tuân thủ chính sách mới. Việc này giúp tôi tiết kiệm được một khoản tiền đáng kể.</t>
  </si>
  <si>
    <t>Biểu thuế được đơn giản hóa từ 7 bậc xuống 5 bậc, dễ hiểu và thực hiện thuận tiện hơn. Việc giảm trừ gia cảnh cao giúp tôi tiết kiệm nhiều tiền thuế mỗi tháng.</t>
  </si>
  <si>
    <t>Tôi tin rằng Nhà nước sẽ thực thi chính sách một cách công bằng vì có sự cải cách rõ ràng về thuế. Tuy nhiên, vẫn cần thời gian để mọi người làm quen và tiếp thu.</t>
  </si>
  <si>
    <t>Mức thuế mới giảm đi đáng kể so với trước đây, giúp tôi thấy được tính công bằng trong việc đóng góp cho xã hội. Việc giảm trừ gia cảnh cao hơn tạo sự công bằng về mặt tài chính.</t>
  </si>
  <si>
    <t>Tiền thuế tôi đóng sẽ được sử dụng để cải thiện dịch vụ công, nhưng cần thời gian để xem xét hiệu quả thực tế. Việc giảm trừ gia cảnh cao giúp tôi tin tưởng hơn vào việc này.</t>
  </si>
  <si>
    <t>Nhà nước đã giải thích rõ ràng về mục tiêu và lý do của việc cải cách thuế, nhưng cần thêm thông tin chi tiết để người dân hiểu đầy đủ.</t>
  </si>
  <si>
    <t>Trong tổng thể, tôi ủng hộ chính sách mới vì nó mang lại lợi ích tài chính rõ ràng cho tôi. Tuy nhiên, việc giảm trừ gia cảnh cao có thể tạo ra sự bất công giữa các nhóm thu nhập khác nhau.</t>
  </si>
  <si>
    <t>So với quy trình trước đây, việc đơn giản hóa biểu thuế đã làm giảm thời gian khai báo và làm việc với cơ quan thuế, do đó cảm thấy thuận tiện hơn nhiều.</t>
  </si>
  <si>
    <t>Biểu thuế mới có ít bậc hơn và các mức thuế suất rõ ràng hơn, giúp tôi dễ dàng tính toán và hiểu được quy trình tính thuế.</t>
  </si>
  <si>
    <t>Nhà nước đã công bố chi tiết về mục tiêu của chính sách mới, do đó tôi tin rằng việc thực thi sẽ khách quan và công bằng đối với tất cả các cá nhân nộp thuế.</t>
  </si>
  <si>
    <t>Với mức thu nhập của mình, số tiền thuế giảm đáng kể so với trước đây, do đó tôi cảm thấy mức thuế mới là công bằng. Đây cũng là một sự khuyến khích để tuân thủ.</t>
  </si>
  <si>
    <t>Thuế mà tôi đóng sẽ được sử dụng hiệu quả cho các dịch vụ công, như y tế và cơ sở hạ tầng, giúp cải thiện cuộc sống của người dân. Điều này tạo niềm tin rằng thuế đóng góp vào việc xây dựng một xã hội tốt hơn.</t>
  </si>
  <si>
    <t>Nhà nước đã giải thích rõ ràng về mục tiêu và lý do đằng sau việc sửa đổi thuế, và tôi thấy họ có động cơ chính đáng để cải thiện hệ thống quản lý thuế.</t>
  </si>
  <si>
    <t>Tôi ủng hộ và tuân thủ chính sách mới vì nó giúp giảm gánh nặng tài chính cho cá nhân như tôi, đồng thời cũng tạo ra sự công bằng trong việc đóng góp thuế. Điều này sẽ khuyến khích mọi người tuân thủ.</t>
  </si>
  <si>
    <t>Nhà nước đã tăng cường hệ thống giám sát thuế và công nghệ hiện đại nên việc phát hiện hành vi gian lận hoặc trốn thuế sẽ dễ dàng hơn.</t>
  </si>
  <si>
    <t>Cơ quan thuế có đầy đủ khả năng và công nghệ để quản lý, xử lý các vụ việc liên quan đến thuế một cách hiệu quả.</t>
  </si>
  <si>
    <t>Việc đơn giản hóa thủ tục khai báo thuế đã làm cho quá trình này trở nên dễ dàng hơn, tiết kiệm thời gian và công sức.</t>
  </si>
  <si>
    <t>Số bậc thuế giảm từ 7 xuống còn 5 đã giúp tôi hiểu rõ quy định hơn và thực hiện các bước tính thuế một cách thuận tiện hơn.</t>
  </si>
  <si>
    <t>Nhà nước đã công bố rõ ràng về chính sách mới, tôi tin rằng họ sẽ thực thi một cách khách quan và công bằng.</t>
  </si>
  <si>
    <t>Tăng cường mức giảm trừ gia cảnh cũng như đơn giản hóa thuế suất làm cho mức thuế mà tôi phải đóng trở nên hợp lý hơn so với trước đây.</t>
  </si>
  <si>
    <t>Thuế mà tôi đóng sẽ được sử dụng hiệu quả để cải thiện các dịch vụ công, điều này tạo ra cảm giác mình đang đầu tư vào sự phát triển chung của cộng đồng.</t>
  </si>
  <si>
    <t>Nhà nước đã tổ chức các buổi hội thảo và giải thích cụ thể về chính sách mới, tôi thấy họ rất minh bạch trong việc thông tin đến người dân.</t>
  </si>
  <si>
    <t>Tôi ủng hộ và sẽ tuân thủ chính sách mới vì nó đã mang lại lợi ích tài chính cho tôi đồng thời đơn giản hóa quy trình thuế một cách đáng kể.</t>
  </si>
  <si>
    <t>Quy trình khai thuế đơn giản hơn và nhanh chóng hơn so với trước đây.</t>
  </si>
  <si>
    <t>Biểu thuế mới có ít bậc hơn, dễ hiểu và thực hiện dễ dàng hơn.</t>
  </si>
  <si>
    <t>Nhà nước sẽ thực thi chính sách công bằng với mọi người nộp thuế.</t>
  </si>
  <si>
    <t>Mức thuế mới phù hợp với thu nhập của tôi, được giảm trừ gia cảnh nhiều hơn.</t>
  </si>
  <si>
    <t>Thuế đóng góp vào các dịch vụ công như y tế và hạ tầng cơ sở.</t>
  </si>
  <si>
    <t>Nhà nước đã giải thích rõ ràng về mục tiêu cải cách thuế mới.</t>
  </si>
  <si>
    <t>Đồng ý ủng hộ và tuân thủ chính sách mới vì lợi ích cá nhân và cộng đồng.</t>
  </si>
  <si>
    <t>Công nghệ ngày càng phát triển, cơ quan thuế có nhiều công cụ phát hiện gian lận. Tuy nhiên, vẫn cần sự giám sát chặt chẽ từ người dân và các tổ chức.</t>
  </si>
  <si>
    <t>Nhà nước đã đầu tư vào công nghệ và nguồn lực để cải thiện khả năng quản lý thuế, giảm thiểu trốn thuế hiệu quả hơn.</t>
  </si>
  <si>
    <t>Bậc thuế mới đơn giản, dễ hiểu. Mức giảm trừ gia cảnh tăng giúp tính toán thuận lợi hơn</t>
  </si>
  <si>
    <t>Tôi tin Nhà nước sẽ thực thi công bằng với mọi người nộp thuế.</t>
  </si>
  <si>
    <t>Mức thuế mới phù hợp với thu nhập của tôi, cảm thấy công bằng hơn</t>
  </si>
  <si>
    <t>Thuế đóng góp vào các dịch vụ công quan trọng cho cộng đồng.</t>
  </si>
  <si>
    <t>Nhà nước đã giải thích rõ ràng về mục tiêu và lý do của việc sửa đổi thuế</t>
  </si>
  <si>
    <t>Chính sách mới có lợi cho tôi, tôi sẽ ủng hộ và tuân thủ.</t>
  </si>
  <si>
    <t>Trong thực tế, các quy định quản lý thuế hiện tại chưa hoàn toàn hiệu quả trong việc phát hiện hành vi gian lận hoặc trốn thuế. Tuy nhiên, với sự phát triển của công nghệ thông tin và hệ thống quản lý thuế tự động, khả năng kiểm soát có thể được cải thiện.</t>
  </si>
  <si>
    <t>Cơ quan thuế đã đầu tư vào các công cụ kỹ thuật số để giám sát và xử lý gian lận. Tuy nhiên, hiệu quả thực tế vẫn phụ thuộc vào sự phối hợp giữa các bộ phận.</t>
  </si>
  <si>
    <t>So với trước đây, quy trình khai thuế đã đơn giản hơn nhiều, đặc biệt là việc giảm số bậc thuế. Điều này giúp người nộp thuế dễ dàng làm theo và tiết kiệm thời gian.</t>
  </si>
  <si>
    <t>Biểu thuế mới có ít bậc hơn, nhưng vẫn đủ phức tạp để phân loại thu nhập. Người dân như tôi cảm thấy dễ hiểu và thực hiện thuận lợi hơn so với trước đây.</t>
  </si>
  <si>
    <t>Tôi tin rằng cơ quan thuế sẽ thực thi chính sách một cách công tâm, nhưng hiệu quả phụ thuộc vào sự minh bạch trong quản lý và sử dụng nguồn ngân sách thu được từ thuế.</t>
  </si>
  <si>
    <t>Với mức giảm trừ gia cảnh tăng lên, tôi thấy mình đóng thuế công bằng hơn so với trước đây. Tuy nhiên, vẫn còn lo ngại về việc chênh lệch giữa các khu vực và ngành nghề.</t>
  </si>
  <si>
    <t>Tôi tin rằng số tiền thuế mà tôi đóng sẽ được sử dụng hiệu quả cho cải thiện dịch vụ công. Tuy nhiên, việc minh bạch về cách sử dụng nguồn thu từ thuế vẫn cần được tăng cường.</t>
  </si>
  <si>
    <t>Nhà nước đã giải thích rõ ràng về mục đích của việc sửa đổi chính sách thuế, nhưng tôi mong muốn có thêm thông tin chi tiết về quy trình thực hiện và kết quả đạt được.</t>
  </si>
  <si>
    <t>Tôi ủng hộ và tuân thủ chính sách mới vì nó mang lại nhiều lợi ích cho người dân như tăng giảm trừ gia cảnh, đơn giản hóa biểu thuế. Tuy nhiên, tôi vẫn mong muốn có thêm cải tiến trong việc minh bạch và công bằng.</t>
  </si>
  <si>
    <t>Việc tăng mức giảm trừ gia cảnh và đơn giản hóa biểu thuế có thể làm giảm khả năng phát hiện hành vi gian lận hoặc trốn thuế, nhưng cơ quan thuế vẫn có công cụ để theo dõi. Tuy nhiên, tôi tin vào sự chuyên nghiệp của họ.</t>
  </si>
  <si>
    <t>Cơ quan thuế đã áp dụng công nghệ tiên tiến như hệ thống điện tử để quản lý và theo dõi thuế nên khả năng phát hiện vi phạm cao hơn so với trước đây.</t>
  </si>
  <si>
    <t>Quy trình khai báo và làm việc với cơ quan thuế trở nên đơn giản hơn, tiết kiệm thời gian, nhưng vẫn cần thêm các hướng dẫn cụ thể để người dân nắm bắt nhanh chóng.</t>
  </si>
  <si>
    <t>Biểu thuế mới có ít bậc hơn và rõ ràng hơn so với trước đây, giúp tính toán đơn giản hóa, thuận tiện cho người dân.</t>
  </si>
  <si>
    <t>Tôi tin rằng cơ quan thuế sẽ thực thi chính sách công bằng và khách quan, dù mức giảm trừ gia cảnh lớn hơn nhưng vẫn có các bậc thuế để phân biệt thu nhập.</t>
  </si>
  <si>
    <t>Mức thuế mới phù hợp với thu nhập của tôi, giảm gánh nặng tài chính. Sự đơn giản hóa cũng tăng thêm tính công bằng trong việc áp dụng pháp luật thuế.</t>
  </si>
  <si>
    <t>Thuế đóng góp vào các dịch vụ công như y tế và hạ tầng, tạo môi trường sống tốt hơn cho cộng đồng.</t>
  </si>
  <si>
    <t>Nhà nước đã giải thích rõ ràng về mục tiêu cải cách thuế trong các buổi hội thảo, giúp người dân hiểu được lợi ích của chính sách mới.</t>
  </si>
  <si>
    <t>Trước tác động tài chính tích cực và sự đơn giản hóa quy trình, tôi ủng hộ và tuân thủ chính sách mới.</t>
  </si>
  <si>
    <t>Hiện tại, cơ quan thuế có hệ thống quản lý và công nghệ phát triển nên khả năng phát hiện hành vi gian lận hoặc trốn thuế là cao.</t>
  </si>
  <si>
    <t>Cơ quan thuế đã đầu tư vào công nghệ, nâng cấp hệ thống để có thể giám sát và xử lý nhanh chóng các trường hợp trốn thuế.</t>
  </si>
  <si>
    <t>So với trước đây, quy trình khai báo thuế trở nên đơn giản hơn khi số lượng mức thuế giảm từ 7 xuống còn 5 bậc, đồng thời có thêm nhiều tiện ích trực tuyến hỗ trợ.</t>
  </si>
  <si>
    <t>Bậc thuế mới rõ ràng và dễ hiểu hơn so với trước đây, giúp người dân tính toán nhanh chóng và chính xác hơn</t>
  </si>
  <si>
    <t>Tôi tin rằng các cơ quan thuế sẽ thực thi chính sách một cách công bằng và khách quan đối với mọi người nộp thuế.</t>
  </si>
  <si>
    <t>Nhờ mức giảm trừ gia cảnh tăng lên, tôi chỉ còn phải đóng thuế ít hơn so với trước đây, tạo cảm giác rằng mức thuế mới là hợp lý</t>
  </si>
  <si>
    <t>Tôi tin rằng số tiền thuế mà tôi đóng sẽ được sử dụng hiệu quả để cải thiện các dịch vụ công và phát triển đất nước.</t>
  </si>
  <si>
    <t>Nhà nước đã giải thích rõ ràng về mục đích của việc sửa đổi chính sách thuế, giúp tôi hiểu hơn về tầm quan trọng của nó</t>
  </si>
  <si>
    <t>Tôi ủng hộ và tuân thủ chính sách mới vì những thay đổi này mang lại lợi ích thực tế cho người dân như tôi.</t>
  </si>
  <si>
    <t>Có nhiều biện pháp quản lý thuế hiện đại, nhưng vẫn có rủi ro về việc phát hiện trốn thuế.</t>
  </si>
  <si>
    <t>Nhà nước đã đầu tư công nghệ và nhân lực cho cơ quan thuế, tăng khả năng giám sát</t>
  </si>
  <si>
    <t>Quy trình khai thuế đơn giản hơn nhưng vẫn cần thời gian để quen với thay đổi.</t>
  </si>
  <si>
    <t>Biểu thuế mới dễ hiểu và thực hiện thuận lợi, giảm độ phức tạp</t>
  </si>
  <si>
    <t>Tôi tin vào sự công bằng của Nhà nước trong việc áp dụng chính sách, nhưng vẫn có những lo ngại về khả năng thực thi.</t>
  </si>
  <si>
    <t>Thuế mới giảm đáng kể, tôi thấy mình đóng mức thuế hợp lý</t>
  </si>
  <si>
    <t>Tiết kiệm được tiền thuế giúp cải thiện dịch vụ công và chất lượng cuộc sống</t>
  </si>
  <si>
    <t>Đã có giải thích rõ ràng về mục tiêu của chính sách mới, nhưng vẫn cần nhiều thông tin hơn để hiểu sâu</t>
  </si>
  <si>
    <t>Chính sách mới cải thiện đáng kể và tôi sẽ tuân thủ</t>
  </si>
  <si>
    <t>Nhà nước và cơ quan thuế đã đầu tư nhiều vào hệ thống công nghệ thông tin. Tôi tin rằng họ có đủ khả năng để phát hiện, xử lý nghiêm các hành vi trốn thuế như quy định.</t>
  </si>
  <si>
    <t>Quy trình khai báo và làm việc với cơ quan thuế đã đơn giản hơn nhiều so với trước đây. Việc giảm bậc thuế cũng khiến quy trình tính toán thuế trở nên dễ dàng hơn cho người dân.</t>
  </si>
  <si>
    <t>So với cách tính thuế cũ, phương án mới có ít bậc thuế và dễ hiểu hơn, giảm bớt sự phức tạp đối với người dân như tôi.</t>
  </si>
  <si>
    <t>Tôi tin rằng Nhà nước sẽ thực thi chính sách một cách công bằng. Việc tăng mức giảm trừ gia cảnh đã làm cho tôi cảm thấy được đối xử công bằng hơn.</t>
  </si>
  <si>
    <t>Mức thuế mới mà tôi phải đóng là công bằng và phù hợp với thu nhập của tôi, điều này khiến tôi có niềm tin vào tính công bằng trong hệ thống thuế hiện tại.</t>
  </si>
  <si>
    <t>Tôi tin rằng số tiền thuế tôi đóng sẽ được sử dụng hiệu quả để cải thiện dịch vụ công. Việc tăng mức giảm trừ gia cảnh giúp tôi cảm thấy tin tưởng hơn về cách sử dụng số tiền này.</t>
  </si>
  <si>
    <t>Nhà nước đã giải thích rõ ràng và minh bạch về lý do và mục tiêu của việc sửa đổi thuế. Điều này làm tăng sự tin tưởng của tôi vào quyết định này.</t>
  </si>
  <si>
    <t>Dựa trên các ưu điểm về thực thi, thuận tiện, công bằng và khả năng sử dụng hiệu quả số tiền thuế mà tôi đóng, tôi ủng hộ và tuân thủ chính sách mới.</t>
  </si>
  <si>
    <t>So với trước đây, các quy trình khai báo thuế và làm việc với cơ quan thuế đã đơn giản hơn. Tuy nhiên, tôi nghĩ có thể cải thiện thêm để thuận tiện hơn nữa cho người dân.</t>
  </si>
  <si>
    <t>Các bậc thuế mới đã được đơn giản hóa, dễ hiểu và thực hiện hơn so với trước đây. Điều này góp phần làm giảm sự phức tạp trong việc tính thuế.</t>
  </si>
  <si>
    <t>Tôi tin rằng cơ quan thuế sẽ thực thi chính sách một cách công tâm và khách quan, nhưng vẫn có thể xảy ra sai sót. Tuy nhiên, điểm số cao dựa trên niềm tin ban đầu.</t>
  </si>
  <si>
    <t>Như đã nêu trong phần tác động tài chính, tôi thấy mức thuế mới là hợp lý và công bằng cho thu nhập của mình. Điều này tăng thêm niềm tin về sự công bằng.</t>
  </si>
  <si>
    <t>Thuế đóng góp vào cải thiện các dịch vụ công như y tế, giáo dục và hạ tầng. Tuy nhiên, cần có minh bạch hơn trong việc sử dụng số tiền thuế thu được.</t>
  </si>
  <si>
    <t>Nhà nước đã giải thích rõ ràng về mục tiêu của chính sách mới, tuy nhiên, tôi mong muốn thấy thêm thông tin chi tiết về cách thực hiện và hiệu quả cụ thể hơn.</t>
  </si>
  <si>
    <t>Dựa trên các yếu tố trên, tôi ủng hộ và tuân thủ chính sách thuế mới. Mức độ thuận tiện, công bằng và tác động tài chính tích cực đã làm tăng sự chấp nhận của tôi đối với chính sách này.</t>
  </si>
  <si>
    <t>Hiện nay, cơ quan thuế có nhiều công cụ và công nghệ để theo dõi hành vi gian lận hoặc trốn thuế. Tuy nhiên, việc phát hiện và xử lý vẫn phụ thuộc vào hiệu quả của lực lượng quản lý thuế.</t>
  </si>
  <si>
    <t>Nhà nước đã đầu tư công nghệ và nhân lực cho cơ quan thuế để tăng cường khả năng quản lý. Tuy nhiên, tình hình thực tế có thể còn phụ thuộc vào sự phối hợp giữa các bộ phận.</t>
  </si>
  <si>
    <t>Quy trình khai báo thuế và làm việc với cơ quan thuế đã đơn giản hơn so với trước đây. Tuy nhiên, vẫn cần thêm thời gian để nhân viên thuế và người nộp thuế thích ứng.</t>
  </si>
  <si>
    <t>Biểu thuế mới có ít bậc hơn nên dễ dàng tính toán và thực hiện hơn. Việc tăng giảm trừ gia cảnh cũng thuận lợi cho việc tính thuế</t>
  </si>
  <si>
    <t>Tôi tin rằng Nhà nước sẽ công bằng trong việc áp dụng chính sách mới, nhưng vẫn cần thời gian để kiểm chứng.</t>
  </si>
  <si>
    <t>Mức thuế mới được tính dựa trên thu nhập của tôi nên tôi thấy là hợp lý. Tuy nhiên, việc đánh giá chung về công bằng của hệ thống thuế vẫn cần thời gian để xem xét.</t>
  </si>
  <si>
    <t>Số tiền thuế đóng sẽ được sử dụng cho các dịch vụ công, nhưng tôi mong muốn có thêm thông tin chi tiết về cách thức quản lý và sử dụng số tiền đó</t>
  </si>
  <si>
    <t>Nhà nước đã giải thích rõ ràng về mục tiêu của việc sửa đổi thuế. Tuy nhiên, tôi vẫn muốn có thêm thông tin cụ thể về quy trình thực hiện.</t>
  </si>
  <si>
    <t>Tôi ủng hộ và tuân thủ chính sách mới vì nó giúp giảm gánh nặng tài chính cho người dân và đơn giản hóa việc tính thuế. Tuy nhiên, tôi mong muốn có thêm thông tin về cách sử dụng số tiền thuế đã đóng.</t>
  </si>
  <si>
    <t>Chính phủ đã có nhiều cải cách trong việc quản lý thuế, mặc dù tôi vẫn nghi ngờ một số trường hợp trốn thuế phức tạp.</t>
  </si>
  <si>
    <t>Công nghệ hiện đại và khả năng của cơ quan thuế được cải thiện, nhưng vẫn có thể gặp khó khăn với những hành vi gian lận tinh vi.</t>
  </si>
  <si>
    <t>Quy trình khai báo và làm việc với cơ quan thuế trở nên đơn giản hơn nhiều so với trước đây.</t>
  </si>
  <si>
    <t>Biểu thuế mới rõ ràng, dễ hiểu và dễ thực hiện hơn, giảm bớt sự phức tạp đối với người dân.</t>
  </si>
  <si>
    <t>Nhà nước đã cố gắng cải cách để tạo ra một hệ thống công bằng cho mọi người nộp thuế.</t>
  </si>
  <si>
    <t>Mức giảm trừ gia cảnh cao và việc không phải đóng thuế theo luật cũ khiến tôi cảm thấy chính sách mới là hợp lý đối với thu nhập của tôi.</t>
  </si>
  <si>
    <t>Những khoản thuế mà tôi đóng sẽ được sử dụng hiệu quả để cải thiện các dịch vụ công, tôi tin rằng tiền thuế đã góp phần vào việc này.</t>
  </si>
  <si>
    <t>Quyết định và mục tiêu của chính phủ trong việc sửa đổi luật thuế được giải thích rõ ràng, giúp tăng niềm tin của người dân vào hệ thống quản lý thuế.</t>
  </si>
  <si>
    <t>Tôi ủng hộ và tuân thủ chính sách mới vì nó tạo ra một môi trường thuế công bằng và thuận tiện hơn cho người dân.</t>
  </si>
  <si>
    <t>Hiện nay, hệ thống quản lý thuế ngày càng hoàn thiện với nhiều biện pháp kiểm soát mạnh mẽ. Tuy nhiên, việc phát hiện và xử lý trốn thuế vẫn phụ thuộc vào khả năng của cơ quan thuế.</t>
  </si>
  <si>
    <t>Cơ quan thuế đã đầu tư công nghệ để phát hiện các hành vi trốn thuế, tuy nhiên hiệu quả thực tế còn hạn chế do nguồn lực và quy định quản lý chưa hoàn thiện.</t>
  </si>
  <si>
    <t>So với trước đây, quy trình khai báo thuế và làm việc với cơ quan thuế đã đơn giản hơn nhưng vẫn cần cải tiến để thuận tiện hơn nữa cho người nộp thuế.</t>
  </si>
  <si>
    <t>Biểu thuế mới đã được đơn giản hóa, khiến quá trình tính toán thuế trở nên dễ dàng hơn. Tuy nhiên, việc hiểu rõ các bậc thuế và cách áp dụng vẫn cần thêm thời gian để làm quen.</t>
  </si>
  <si>
    <t>Tôi tin rằng cơ quan thuế sẽ thực hiện chính sách một cách công tâm nhưng không thể phủ nhận rằng với sự phức tạp của hệ thống, việc quản lý và giám sát vẫn còn nhiều bất cập.</t>
  </si>
  <si>
    <t>Thuế mới giảm đáng kể so với trước đây, giúp tôi tiết kiệm được một khoản tiền lớn. Điều này khiến tôi cảm thấy công bằng khi đóng thuế</t>
  </si>
  <si>
    <t>Tôi tin rằng số tiền thuế tôi đóng sẽ được sử dụng hiệu quả để cải thiện dịch vụ công, mặc dù việc giám sát chi tiêu ngân sách nhà nước vẫn còn nhiều tranh cãi.</t>
  </si>
  <si>
    <t>Nhà nước đã giải thích khá rõ về mục đích và lý do của việc sửa đổi thuế. Tuy nhiên, tôi hy vọng sẽ có thêm thông tin chi tiết hơn để hiểu rõ hơn.</t>
  </si>
  <si>
    <t>Tôi ủng hộ chính sách mới vì nó giúp giảm gánh nặng tài chính cho người dân và tạo ra sự công bằng trong việc đóng thuế. Tôi sẽ tuân thủ theo quy định</t>
  </si>
  <si>
    <t>Việc công nghệ được ứng dụng trong quản lý thuế giúp cơ quan thuế xử lý thông tin nhanh chóng và chính xác hơn, giảm thiểu khả năng trốn tránh. Cơ quan thuế cũng có nhiều biện pháp để phát hiện gian lận.</t>
  </si>
  <si>
    <t>Quy trình khai báo thuế trở nên đơn giản với việc rút gọn bậc thuế và tăng mức giảm trừ, giúp người dân dễ dàng thực hiện hơn. Việc này đã cải thiện đáng kể sự thuận tiện cho người nộp thuế.</t>
  </si>
  <si>
    <t>Các bậc thuế mới đã được đơn giản hóa và rõ ràng hơn, người dân có thể tính toán nhanh chóng và chính xác hơn. Điều này giúp giảm bớt gian nan trong quá trình khai báo.</t>
  </si>
  <si>
    <t>Nhà nước đã công bố những thay đổi này một cách minh bạch, với mục đích tạo ra sự công bằng và công lý. Việc tăng giảm trừ gia cảnh và số bậc thuế giúp mọi người nộp thuế cảm thấy được đối xử công bằng hơn.</t>
  </si>
  <si>
    <t>Như đã nêu trên, mức thuế mới phù hợp với thu nhập của tôi, do đó tôi cảm thấy nó là công bằng. Việc giảm trừ gia cảnh tăng lên cũng giúp tôi tiết kiệm được một khoản tiền đáng kể.</t>
  </si>
  <si>
    <t>Nhà nước đã sử dụng số thuế mà người dân đóng góp vào nhiều dịch vụ công quan trọng, như y tế và đường xá. Điều này tạo ra sự tin tưởng rằng thuế sẽ được sử dụng hiệu quả.</t>
  </si>
  <si>
    <t>Nhà nước đã giải thích rõ ràng về mục tiêu của việc cải cách thuế, nhằm công bằng hóa hệ thống thuế và thu hút đầu tư. Tôi thấy đây là một quyết định đúng đắn.</t>
  </si>
  <si>
    <t>Tôi ủng hộ chính sách mới này vì nó tạo ra sự công bằng hơn trong việc đánh giá thuế, giảm gian nan cho người dân trong khai báo và giúp tôi tiết kiệm được một số tiền đáng kể. Đây là lợi ích rõ ràng đối với mọi người có thu nhập như tôi.</t>
  </si>
  <si>
    <t>Dù quy định quản lý thuế hiện nay có thể phát hiện gian lận, nhưng tôi vẫn lo ngại về khả năng thực thi của Nhà nước.</t>
  </si>
  <si>
    <t>Việc cải cách thuế mới tăng mức giảm trừ gia cảnh và đơn giản hóa biểu thuế nên công tác quản lý sẽ dễ dàng hơn.</t>
  </si>
  <si>
    <t>So với trước đây, quy trình làm việc với cơ quan thuế trở nên đơn giản hơn nhiều.</t>
  </si>
  <si>
    <t>Biểu thuế mới đơn giản hóa các bậc thuế và cách tính, dễ hiểu hơn cho người dân.</t>
  </si>
  <si>
    <t>Tôi tin Nhà nước sẽ thực thi chính sách một cách công bằng, nhưng vẫn có sự nghi ngờ về khả năng thực hiện.</t>
  </si>
  <si>
    <t>Như tôi đã tiết kiệm được nhiều tiền thuế, mức thuế mới là hợp lý cho thu nhập của tôi.</t>
  </si>
  <si>
    <t>Tôi tin số tiền thuế đóng sẽ được sử dụng hiệu quả để cải thiện dịch vụ công, mặc dù không biết cụ thể như thế nào.</t>
  </si>
  <si>
    <t>Nhà nước đã giải thích rõ ràng về mục tiêu của việc sửa đổi thuế, nhưng vẫn có sự lo ngại về việc thực thi.</t>
  </si>
  <si>
    <t>Tôi ủng hộ và tuân thủ chính sách mới vì nó mang lại lợi ích cho tôi. Thuế giảm giúp tôi tiết kiệm nhiều hơn.</t>
  </si>
  <si>
    <t>Cơ quan thuế đã có nhiều cải tiến về công nghệ và quy định quản lý nên khả năng phát hiện gian lận là khá cao.</t>
  </si>
  <si>
    <t>Quy trình khai báo thuế trở nên đơn giản hơn, nhưng vẫn cần thời gian để quen với các thay đổi mới.</t>
  </si>
  <si>
    <t>Cách tính thuế và bậc thuế được đơn giản hóa, dễ hiểu hơn so với trước đây, do đó thực hiện thuế trở nên thuận tiện hơn.</t>
  </si>
  <si>
    <t>Nhà nước đã thực thi chính sách một cách khách quan và công bằng cho người dân</t>
  </si>
  <si>
    <t>Mức giảm trừ gia cảnh cao hơn thu nhập nên tôi không phải đóng thuế, điều này rất công bằng cho trường hợp của mình.</t>
  </si>
  <si>
    <t>Thuế được sử dụng hiệu quả để cải thiện dịch vụ công như y tế và đường xá</t>
  </si>
  <si>
    <t>Nhà nước đã giải thích rõ ràng về mục tiêu của việc sửa đổi thuế, mặc dù tôi chưa hoàn toàn tin tưởng</t>
  </si>
  <si>
    <t>Tác động tài chính tích cực từ chính sách mới khiến tôi ủng hộ và tuân thủ</t>
  </si>
  <si>
    <t>Dù không hoàn toàn tin tưởng vào việc phát hiện gian lận, nhưng với sự cải cách quản lý thuế và công nghệ hiện đại, khả năng phát hiện trốn thuế có thể tăng lên.</t>
  </si>
  <si>
    <t>Nhà nước đã đầu tư vào các hệ thống công nghệ mới để hỗ trợ quản lý thuế, nên khả năng xử lý nghiêm túc các hành vi trốn thuế là rất cao.</t>
  </si>
  <si>
    <t>So với trước đây, quy trình khai báo thuế và làm việc với cơ quan thuế trở nên đơn giản hơn, giúp tiết kiệm thời gian.</t>
  </si>
  <si>
    <t>Số bậc thuế được giảm từ 7 xuống còn 5, khiến việc tính toán thuế trở nên dễ dàng và rõ ràng hơn.</t>
  </si>
  <si>
    <t>Tôi tin rằng các quy định mới sẽ được thực thi công bằng và khách quan với mọi người nộp thuế.</t>
  </si>
  <si>
    <t>Với mức giảm trừ gia cảnh tăng lên, tôi cảm thấy việc đóng thuế theo phương án mới là hợp lý đối với thu nhập của mình.</t>
  </si>
  <si>
    <t>Hiểu rõ rằng số tiền thuế đóng sẽ được sử dụng hiệu quả cho các dịch vụ công, tôi tin tưởng số tiền đó sẽ mang lại lợi ích cho cộng đồng.</t>
  </si>
  <si>
    <t>Nhà nước đã cung cấp thông tin đầy đủ về mục tiêu và lý do của việc cải cách thuế lần này, khiến tôi cảm thấy hài lòng hơn.</t>
  </si>
  <si>
    <t>Dựa trên các quyền lợi và nghĩa vụ mới, tôi ủng hộ chính sách mới và sẽ tuân thủ nó vì những thay đổi mang lại nhiều thuận tiện cho người dân.</t>
  </si>
  <si>
    <t>Thuế mới giảm đáng kể so với trước đây và có mức giảm trừ gia cảnh cao hơn. Điều này thể hiện tính công bằng trong việc đánh giá thu nhập để đóng thuế.</t>
  </si>
  <si>
    <t>Tôi tin rằng số tiền thuế tôi đóng sẽ được sử dụng hiệu quả cho các dịch vụ công, giúp cải thiện cuộc sống của người dân. Tuy nhiên, cần có thêm thông tin cụ thể về việc này.</t>
  </si>
  <si>
    <t>Nhà nước đã giải thích rõ ràng mục tiêu và lý do của việc sửa đổi thuế. Điều này làm tăng niềm tin vào tính minh bạch của chính sách mới.</t>
  </si>
  <si>
    <t>Sau khi xem xét, tôi ủng hộ và tuân thủ chính sách mới vì nó giúp giảm gánh nặng tài chính cho người dân như tôi. Tuy nhiên, vẫn cần cải thiện thêm về minh bạch trong sử dụng ngân sách thuế.</t>
  </si>
  <si>
    <t>Việc tăng mức giảm trừ gia cảnh và đơn giản hóa biểu thuế có thể làm giảm cơ hội trốn thuế, nhưng không loại bỏ hoàn toàn khả năng gian lận.</t>
  </si>
  <si>
    <t>Cơ quan thuế đã đầu tư công nghệ hiện đại hơn để phát hiện trốn thuế, tuy nhiên, vẫn cần thời gian kiểm chứng hiệu quả.</t>
  </si>
  <si>
    <t>Quy trình làm việc với cơ quan thuế có thể dễ dàng hơn, nhưng thủ tục khai báo thuế vẫn còn phức tạp.</t>
  </si>
  <si>
    <t>Biểu thuế đơn giản hơn và rõ ràng hơn so với trước đây, giúp người dân dễ hiểu và thực hiện.</t>
  </si>
  <si>
    <t>Nhà nước đã cải cách để tạo ra một hệ thống công bằng hơn nhưng vẫn có nghi ngờ về việc thực thi khách quan.</t>
  </si>
  <si>
    <t>Mức thuế mới được giảm đáng kể, tôi cảm thấy đây là mức hợp lý cho thu nhập của mình.</t>
  </si>
  <si>
    <t>Thuế tôi đóng sẽ được sử dụng hiệu quả để cải thiện dịch vụ công, tôi tin vào sự đầu tư này.</t>
  </si>
  <si>
    <t>Nhà nước đã giải thích rõ về mục tiêu cải cách thuế nhưng cần nhiều thông tin hơn để tăng niềm tin.</t>
  </si>
  <si>
    <t>Dù vẫn có nghi ngờ, nhưng với mức thuế giảm đáng kể và quy định đơn giản hơn, tôi sẽ ủng hộ chính sách mới.</t>
  </si>
  <si>
    <t>Dù thuế có giảm, nhưng tôi vẫn nghi ngờ việc quản lý thuế của Nhà nước và lo ngại về khả năng phát hiện gian lận.</t>
  </si>
  <si>
    <t>Ngoài việc tăng mức giảm trừ, tôi thấy cơ quan thuế cần nhiều cải tiến hơn để ngăn chặn trốn thuế hiệu quả hơn.</t>
  </si>
  <si>
    <t>Quy trình khai báo thuế đã đơn giản hóa so với trước đây, nhưng vẫn còn phức tạp đối với người không am hiểu về luật thuế.</t>
  </si>
  <si>
    <t>So với trước đây, cách tính thuế và các bậc thuế mới dễ hiểu hơn, giảm bớt sự phức tạp cho người dân.</t>
  </si>
  <si>
    <t>Tôi tin Nhà nước sẽ công tâm trong việc thực thi chính sách, nhưng vẫn cần nhiều cải tiến về minh bạch hơn.</t>
  </si>
  <si>
    <t>Mức thuế mới phù hợp với thu nhập của tôi và giảm gánh nặng tài chính, tạo cảm giác công bằng.</t>
  </si>
  <si>
    <t>Việc tăng mức giảm trừ gia cảnh giúp số tiền đóng thuế giảm đáng kể, tạo niềm tin vào việc sử dụng hiệu quả nguồn thu ngân sách.</t>
  </si>
  <si>
    <t>Những giải thích về mục tiêu của chính sách mới đã rõ ràng hơn so với trước đây, nhưng tôi hy vọng sẽ có thêm thông tin chi tiết.</t>
  </si>
  <si>
    <t>Tôi ủng hộ và tuân thủ chính sách mới vì nó mang lại lợi ích tài chính cho bản thân và giảm gánh nặng thuế</t>
  </si>
  <si>
    <t>Với việc tăng cường quản lý thuế và công nghệ hiện đại, tôi tin rằng hành vi gian lận hoặc trốn thuế sẽ được phát hiện dễ dàng. Tuy nhiên, do còn nhiều rủi ro không thể loại trừ hoàn toàn, nên điểm số không đạt đến mức tối đa.</t>
  </si>
  <si>
    <t>Nhà nước và cơ quan thuế có đủ khả năng để phát hiện và xử lý các hành vi trốn thuế. Công nghệ hiện đại giúp cải thiện hiệu quả quản lý, do đó tôi tin tưởng vào khả năng thực thi.</t>
  </si>
  <si>
    <t>So với trước đây, quy trình làm việc với cơ quan thuế đơn giản hơn. Tuy nhiên, vẫn còn một số bước phức tạp cần cải tiến.</t>
  </si>
  <si>
    <t>Biểu thuế mới đơn giản và dễ hiểu hơn so với trước đây, đặc biệt là sau khi giảm từ 7 bậc xuống còn 5 bậc. Điều này giúp người dân dễ dàng tính toán hơn.</t>
  </si>
  <si>
    <t>Tôi tin rằng Nhà nước sẽ thực thi chính sách một cách công bằng và khách quan, nhưng cần thêm thời gian để chứng minh</t>
  </si>
  <si>
    <t>Mức thuế mới hợp lý với thu nhập của tôi. Mức giảm trừ gia cảnh tăng lên giúp tôi tiết kiệm được nhiều tiền</t>
  </si>
  <si>
    <t>Tài nguyên thuế được sử dụng để cải thiện dịch vụ công, nhưng cần thời gian để chứng minh hiệu quả đầu tư</t>
  </si>
  <si>
    <t>Nhà nước đã giải thích rõ ràng về mục tiêu của việc sửa đổi thuế. Tuy nhiên, tôi mong muốn có thêm thông tin về cách sử dụng số tiền thuế này để tăng niềm tin.</t>
  </si>
  <si>
    <t>Tôi ủng hộ chính sách mới vì nó giúp tôi tiết kiệm được nhiều chi phí và quy trình đơn giản hơn. Tôi sẽ tuân thủ</t>
  </si>
  <si>
    <t>Cơ quan thuế có nhiều công cụ kỹ thuật hỗ trợ nhưng cần cải thiện hơn nữa về khả năng phát hiện và xử lý trốn thuế hiệu quả.</t>
  </si>
  <si>
    <t>Khai báo thuế nay đơn giản hơn, thủ tục gọn gàng hơn so với trước đây</t>
  </si>
  <si>
    <t>Các bậc thuế mới rõ ràng và dễ hiểu hơn, nhưng vẫn cần thêm hướng dẫn cho người dân.</t>
  </si>
  <si>
    <t>Tôi tin rằng Nhà nước sẽ công bằng trong việc thực thi chính sách, tuy nhiên còn nhiều yếu tố phụ thuộc vào cách thực hiện cụ thể</t>
  </si>
  <si>
    <t>Thuế mới giảm đáng kể, tôi thấy đây là mức thuế hợp lý cho thu nhập của mình</t>
  </si>
  <si>
    <t>Tôi tin rằng thuế đóng góp vào việc cải thiện các dịch vụ công và phát triển hạ tầng quốc gia</t>
  </si>
  <si>
    <t>Nhà nước đã giải thích khá rõ ràng về chính sách mới, tuy nhiên vẫn cần thông tin thêm về tác động cụ thể đến người dân.</t>
  </si>
  <si>
    <t>Thuế giảm đáng kể và đơn giản hóa quy trình làm việc với cơ quan thuế khiến tôi ủng hộ và tuân thủ chính sách mới</t>
  </si>
  <si>
    <t>Dù các quy định quản lý thuế hiện nay có khả năng phát hiện hành vi gian lận và trốn thuế, nhưng tôi vẫn cảm thấy không hoàn toàn tin tưởng do kinh nghiệm cá nhân về việc xử lý chậm và rườm rà của cơ quan thuế.</t>
  </si>
  <si>
    <t>Nhìn chung, tôi tin rằng Nhà nước có đủ khả năng công nghệ để phát hiện hành vi trốn thuế, nhưng thực tế về việc xử lý chậm và thiếu hiệu quả vẫn khiến tôi cảm thấy lo ngại.</t>
  </si>
  <si>
    <t>So với trước đây, quy trình làm việc với cơ quan thuế đã đơn giản hơn, thủ tục khai báo cũng dễ dàng hơn. Tuy nhiên, việc áp dụng các quy định mới vẫn có thể gây khó khăn cho người dân không am hiểu.</t>
  </si>
  <si>
    <t>Cách tính thuế và bậc thuế trong phương án mới đã đơn giản hóa so với trước đây, dễ dàng hơn cho người nộp thuế nắm bắt.</t>
  </si>
  <si>
    <t>Tôi tin rằng Nhà nước sẽ thực thi chính sách một cách công bằng, nhưng lo ngại về việc xử lý chậm và rườm rà vẫn khiến tôi không hoàn toàn tin tưởng.</t>
  </si>
  <si>
    <t>Mức thuế mới được giảm đáng kể so với trước đây, giúp tôi cảm thấy mức đóng là công bằng. Tuy nhiên, việc hiểu rõ quy định mới có thể còn khó khăn đối với một số người.</t>
  </si>
  <si>
    <t>Tôi tin rằng số tiền thuế đóng sẽ được sử dụng hiệu quả để cải thiện dịch vụ công, nhưng lo ngại về việc thực thi và xử lý chậm vẫn khiến tôi không hoàn toàn chắc chắn.</t>
  </si>
  <si>
    <t>Nhà nước đã giải thích rõ ràng về mục tiêu của việc sửa đổi thuế lần này, tuy nhiên, còn cần cải thiện hơn nữa trong việc truyền thông và thực thi.</t>
  </si>
  <si>
    <t>Dù tác động tài chính tích cực từ chính sách mới giúp tôi tiết kiệm được một khoản tiền đáng kể, nhưng lo ngại về hiệu quả thực thi vẫn khiến tôi cân nhắc kỹ lưỡng trước khi ủng hộ hoàn toàn.</t>
  </si>
  <si>
    <t>Với việc tăng mức giảm trừ gia cảnh và đơn giản hóa quy trình, khả năng phát hiện hành vi gian lận hoặc trốn thuế được cải thiện. Tuy nhiên, vẫn có thể còn khó khăn trong quản lý.</t>
  </si>
  <si>
    <t>Nhà nước đã đầu tư vào công nghệ để hỗ trợ việc kiểm soát và xử lý thuế một cách hiệu quả hơn. Đây là một yếu tố quan trọng để tăng cường thực thi pháp luật.</t>
  </si>
  <si>
    <t>Quy trình khai báo thuế trở nên đơn giản hơn với việc giảm bậc thuế, điều này giúp thuận tiện cho người dân trong quá trình nộp thuế.</t>
  </si>
  <si>
    <t>Các bậc thuế mới rõ ràng và dễ hiểu hơn so với trước đây. Điều này làm giảm sự phức tạp và giúp tôi dễ dàng tuân thủ.</t>
  </si>
  <si>
    <t xml:space="preserve">Tôi tin rằng Nhà nước sẽ thực thi chính sách một cách công bằng, đặc biệt là khi mức thuế mới được điều chỉnh phù hợp với thu nhập của tôi. </t>
  </si>
  <si>
    <t>Mức thuế mới giảm so với trước đây, thể hiện tính công bằng trong việc phân bổ gánh nặng thuế cho người dân.</t>
  </si>
  <si>
    <t>Tiết kiệm được một khoản tiền đáng kể từ thuế, tôi tin rằng Nhà nước sẽ sử dụng số tiền này để đầu tư vào các dịch vụ công ích quan trọng.</t>
  </si>
  <si>
    <t>Nhà nước đã giải thích rõ ràng về mục đích của việc cải cách và cung cấp thông tin minh bạch. Điều này làm tăng sự hiểu biết và niềm tin vào chính sách mới.</t>
  </si>
  <si>
    <t>Chính sách mới giúp giảm gánh nặng thuế, đồng thời đơn giản hóa quy trình khai báo, tôi sẽ ủng hộ và tuân thủ.</t>
  </si>
  <si>
    <t>Như hiện nay, cơ quan thuế có nhiều kênh để kiểm soát và phát hiện hành vi gian lận thuế, do đó tin rằng việc trốn thuế sẽ khó khăn hơn.</t>
  </si>
  <si>
    <t>Cơ quan thuế đã đầu tư công nghệ và nguồn lực vào việc phát hiện và xử lý các trường hợp trốn thuế.</t>
  </si>
  <si>
    <t>Quy trình khai báo thuế và làm việc với cơ quan thuế đơn giản hơn, giảm bớt thời gian và công sức của người dân.</t>
  </si>
  <si>
    <t>Số bậc thuế giảm từ 7 xuống 5, khiến quy định thuế trở nên dễ hiểu và thực hiện thuận tiện hơn.</t>
  </si>
  <si>
    <t>Nhà nước đã công bố rõ ràng về chính sách mới, tạo cảm giác tin cậy đối với người dân.</t>
  </si>
  <si>
    <t>Mức thuế mới có thể coi là công bằng cho thu nhập của tôi, phù hợp với mức sống hiện tại.</t>
  </si>
  <si>
    <t>Sau khi xem xét các quyền lợi, tôi ủng hộ và sẽ tuân thủ chính sách mới vì nó giúp giảm gánh nặng tài chính và đơn giản hóa quy định.</t>
  </si>
  <si>
    <t>Nhà nước đã tăng cường quản lý thuế và công nghệ hiện đại, khả năng phát hiện trốn thuế cao hơn.</t>
  </si>
  <si>
    <t>Cơ quan thuế có hệ thống công nghệ thông tin tiên tiến giúp giám sát hiệu quả.</t>
  </si>
  <si>
    <t>Quy trình khai báo đơn giản, giảm thời gian chờ đợi khi làm việc với cơ quan thuế.</t>
  </si>
  <si>
    <t>Nguyên tắc công bằng được áp dụng trong việc tính thuế mới, đảm bảo mọi người đều đóng góp công bằng.</t>
  </si>
  <si>
    <t>Mức thuế mới phù hợp với thu nhập của tôi và nhóm tôi, thể hiện sự công bằng.</t>
  </si>
  <si>
    <t>Thuế đóng góp vào việc cải thiện các dịch vụ công, nâng cao chất lượng cuộc sống.</t>
  </si>
  <si>
    <t>Nhà nước đã giải thích rõ ràng về mục tiêu và lý do sửa đổi thuế lần này.</t>
  </si>
  <si>
    <t>Dù có công nghệ hiện đại, nhưng việc quản lý thuế vẫn phụ thuộc vào sự tuân thủ của người nộp thuế. Với mức thuế giảm, nguy cơ gian lận tăng cao nên khả năng phát hiện và xử lý sẽ khó khăn hơn.</t>
  </si>
  <si>
    <t>Nhà nước có nhiều nguồn lực và công nghệ để giám sát, nhưng vẫn cần sự phối hợp chặt chẽ giữa các cơ quan để tăng hiệu quả quản lý thuế.</t>
  </si>
  <si>
    <t>Quy trình khai báo thuế đơn giản hơn trước, nhưng việc phải làm nhiều giấy tờ và thời gian chờ đợi vẫn còn là vấn đề.</t>
  </si>
  <si>
    <t>Cách tính thuế trở nên rõ ràng hơn với ít bậc thuế, nhưng việc áp dụng các quy định cụ thể trong biểu thuế có thể gây khó hiểu cho người dân.</t>
  </si>
  <si>
    <t>Tôi tin rằng Nhà nước sẽ thực thi chính sách một cách công bằng, nhưng vẫn cần nhiều nỗ lực để đảm bảo tính minh bạch và khách quan.</t>
  </si>
  <si>
    <t>Thuế mới giảm đáng kể so với trước đây nên tôi thấy mức thuế này là hợp lý đối với thu nhập của mình.</t>
  </si>
  <si>
    <t>Tôi tin rằng số tiền thuế đóng sẽ được sử dụng hiệu quả cho các dịch vụ công, nhưng vẫn cần nhiều thông tin cụ thể về cách sử dụng nguồn ngân sách này.</t>
  </si>
  <si>
    <t>Nhà nước đã giải thích rõ ràng về mục tiêu sửa đổi thuế, tuy nhiên còn cần thêm thông tin chi tiết hơn về quy trình thực hiện chính sách mới.</t>
  </si>
  <si>
    <t>Sau khi tính toán tác động tài chính và cách thức tính thuế, tôi ủng hộ và tuân thủ chính sách mới. Tuy nhiên, vẫn cần cải thiện trong việc truyền thông và hướng dẫn người dân để giảm sự hiểu lầm.</t>
  </si>
  <si>
    <t>Thuế đóng góp vào việc cải thiện dịch vụ công, nhưng cụ thể như nào thì còn phụ thuộc vào hiệu quả sử dụng ngân sách.</t>
  </si>
  <si>
    <t>Tôi đã nhận được giải thích đầy đủ về mục tiêu và lý do của chính sách mới từ cơ quan thuế.</t>
  </si>
  <si>
    <t>Sau khi xem xét các quyền lợi và nghĩa vụ, tôi ủng hộ và sẽ tuân thủ chính sách mới vì nó mang lại lợi ích cho tôi.</t>
  </si>
  <si>
    <t>Cơ quan thuế có đủ năng lực về kỹ thuật nhưng cần cải thiện quy trình xử lý để tăng hiệu quả.</t>
  </si>
  <si>
    <t>Thủ tục khai báo và giao tiếp với cơ quan thuế đơn giản hơn, giúp người dân dễ dàng thực hiện hơn.</t>
  </si>
  <si>
    <t>Biểu thuế mới đơn giản hóa bậc thuế, làm cho việc tính toán và tuân thủ pháp luật trở nên dễ hiểu hơn.</t>
  </si>
  <si>
    <t>Tôi tin rằng cơ quan thuế sẽ thực thi chính sách công bằng với mọi người nộp thuế.</t>
  </si>
  <si>
    <t>Mức thuế mới phù hợp với thu nhập của tôi và giúp giảm gánh nặng tài chính</t>
  </si>
  <si>
    <t>Nhà nước sử dụng số tiền thuế thu được để cải thiện dịch vụ công, từ đó nâng cao chất lượng cuộc sống.</t>
  </si>
  <si>
    <t>Cơ quan thuế đã giải thích rõ ràng về mục tiêu và lý do của việc sửa đổi thuế mới</t>
  </si>
  <si>
    <t>Tôi ủng hộ chính sách mới vì nó giúp giảm gánh nặng tài chính và tăng tiện lợi khi khai báo thuế.</t>
  </si>
  <si>
    <t>Việc thuế được đơn giản hóa có thể làm giảm khả năng phát hiện hành vi gian lận, nhưng vẫn tin tưởng cơ quan thuế sẽ thực thi nghiêm minh.</t>
  </si>
  <si>
    <t>Nhà nước đã đầu tư công nghệ hiện đại nên khả năng phát hiện và xử lý trốn thuế đã cải thiện đáng kể.</t>
  </si>
  <si>
    <t>Quy trình khai báo thuế trở nên đơn giản hơn, dễ thực hiện và nhanh chóng hơn so với trước đây.</t>
  </si>
  <si>
    <t>Biểu thuế mới có ít bậc hơn và rõ ràng hơn, giúp tính toán thuận tiện cho người dân.</t>
  </si>
  <si>
    <t>Hi vọng rằng cơ quan thuế sẽ công tâm trong việc thực thi chính sách, nhưng vẫn cần thêm thời gian để chứng minh.</t>
  </si>
  <si>
    <t>Thuế mới được giảm đáng kể so với trước đây, khiến tôi cảm thấy mức đóng là hợp lý.</t>
  </si>
  <si>
    <t>Chưa có đủ thông tin về cách sử dụng số tiền thuế này để đánh giá hiệu quả sử dụng</t>
  </si>
  <si>
    <t>Đã nhận được giải thích rõ ràng về mục tiêu của việc sửa đổi thuế, nhưng mong muốn thêm nhiều thông tin chi tiết.</t>
  </si>
  <si>
    <t>Dù còn nghi ngờ một phần, tôi vẫn ủng hộ vì mức thuế mới giảm đáng kể và quy trình đơn giản hơn.</t>
  </si>
  <si>
    <t>Nếu cơ quan thuế có khả năng phát hiện gian lận và trốn thuế tốt hơn, tôi sẽ tin rằng hành vi này sẽ bị xử lý nghiêm. Tuy nhiên, với kinh nghiệm của mình, tôi vẫn nghi ngờ về hiệu suất thực tế trong việc phát hiện gian lận.</t>
  </si>
  <si>
    <t>Nếu Nhà nước và cơ quan thuế có đủ công nghệ và nguồn lực để giám sát toàn diện, tôi sẽ đồng ý. Tuy nhiên, với tình hình thực tế, tôi vẫn giữ thái độ thận trọng.</t>
  </si>
  <si>
    <t>So với trước đây, quy trình làm việc với cơ quan thuế đã đơn giản hơn, nhưng vẫn còn một số bước cần cải thiện. Đặc biệt là việc cung cấp thông tin trực tuyến chưa đầy đủ.</t>
  </si>
  <si>
    <t>Biểu thuế mới đơn giản hơn so với trước đây, giúp người dân dễ hiểu và thực hiện hơn, nhưng vẫn còn một số bậc thuế cần được tối ưu hóa hơn nữa.</t>
  </si>
  <si>
    <t>Tôi tin rằng Nhà nước sẽ cố gắng thực thi chính sách một cách công bằng. Tuy nhiên, với tình hình kinh tế hiện tại, tôi vẫn có một số lo ngại về việc thực thi.</t>
  </si>
  <si>
    <t>Thuế mới được giảm đi đáng kể so với trước đây, giúp tôi thấy mức thuế này là công bằng. Điều này tăng thêm niềm tin vào hệ thống thuế mới.</t>
  </si>
  <si>
    <t>Tôi tin rằng số tiền thuế đóng sẽ được sử dụng hiệu quả để cải thiện các dịch vụ công. Tuy nhiên, tôi cũng mong muốn có sự minh bạch hơn về cách sử dụng nguồn thu này.</t>
  </si>
  <si>
    <t>Nhà nước đã giải thích rõ ràng về mục tiêu của việc sửa đổi thuế lần này và các quyền lợi của người dân. Điều này làm tăng thêm niềm tin vào hệ thống.</t>
  </si>
  <si>
    <t>Sau khi xem xét, tôi ủng hộ chính sách mới hiện nay vì nó giúp giảm gánh nặng tài chính cho tôi và gia đình, đồng thời cũng có tác động tích cực đến nền kinh tế tổng thể.</t>
  </si>
  <si>
    <t>Nhà nước và cơ quan thuế có nhiều biện pháp quản lý, công nghệ tiên tiến để phát hiện hành vi trốn thuế. Mặc dù vậy, vẫn còn một số rủi ro cho người dân không tuân thủ.</t>
  </si>
  <si>
    <t>Nhà nước và cơ quan thuế đã cải thiện đáng kể khả năng quản lý thông qua công nghệ hiện đại nhưng việc thực thi cụ thể vẫn phụ thuộc vào nhân sự và nguồn lực.</t>
  </si>
  <si>
    <t>Quy trình khai thuế và làm việc với cơ quan thuế đã được đơn giản hóa, tốn ít thời gian hơn so với trước đây. Tuy nhiên, vẫn còn một số thủ tục có thể cải thiện.</t>
  </si>
  <si>
    <t>Biểu thuế mới rõ ràng và dễ hiểu hơn. Việc tăng mức giảm trừ gia cảnh giúp tính toán thuế đơn giản, dễ thực hiện hơn so với trước đây.</t>
  </si>
  <si>
    <t>Tôi tin rằng cơ quan thuế sẽ thực thi chính sách một cách công bằng đối với mọi người nộp thuế. Việc cải cách này nhằm mục đích tạo ra hệ thống thuế công bằng hơn.</t>
  </si>
  <si>
    <t>Mức thuế mới phù hợp với thu nhập của tôi và các mức giảm trừ gia cảnh cao hơn, giúp tôi thấy rằng tôi đóng mức thuế này là hợp lý.</t>
  </si>
  <si>
    <t>Với việc cải cách thuế, số tiền thuế mà tôi đóng sẽ được sử dụng hiệu quả để phục vụ lợi ích chung của xã hội như y tế và cơ sở hạ tầng.</t>
  </si>
  <si>
    <t>Nhà nước đã giải thích rõ ràng về mục tiêu của chính sách mới, tạo ra sự minh bạch cần thiết. Điều này tăng cường niềm tin vào hệ thống thuế.</t>
  </si>
  <si>
    <t>Tôi ủng hộ và tuân thủ chính sách mới vì nó đơn giản hóa quy trình khai báo và giảm gánh nặng về mặt tài chính cho tôi. Tuy nhiên, vẫn cần cải thiện thêm ở một số điểm.</t>
  </si>
  <si>
    <t>Những quy định quản lý thuế hiện nay đã được cải thiện, công nghệ theo dõi thuế cũng tiên tiến hơn nên việc phát hiện hành vi gian lận hoặc trốn thuế sẽ dễ dàng hơn.</t>
  </si>
  <si>
    <t>Cơ quan thuế có nhiều nguồn lực và công nghệ hỗ trợ để quản lý hiệu quả, giảm thiểu tình trạng trốn thuế.</t>
  </si>
  <si>
    <t>So với trước đây, quy trình khai báo thuế đơn giản hơn và nhanh chóng hơn, thuận tiện cho người dân.</t>
  </si>
  <si>
    <t>Biểu thuế mới đơn giản hơn với ít bậc thuế, dễ hiểu và thực hiện đơn giản hơn so với trước đây.</t>
  </si>
  <si>
    <t>Tôi tin rằng Nhà nước sẽ công bằng khi thực thi chính sách mới, nhưng vẫn có phần nghi ngờ về việc áp dụng thực tế.</t>
  </si>
  <si>
    <t>Lợi ích tài chính từ thuế giảm cho tôi là công bằng và hợp lý với thu nhập của mình.</t>
  </si>
  <si>
    <t>Tôi tin rằng số tiền thuế đóng sẽ được sử dụng hiệu quả để cải thiện dịch vụ công, nhưng vẫn có sự lo ngại về cách quản lý.</t>
  </si>
  <si>
    <t>Nhà nước đã giải thích rõ ràng mục tiêu của việc sửa đổi thuế, nhưng còn thiếu thông tin về chi tiết cụ thể hơn.</t>
  </si>
  <si>
    <t>Dù có nghi ngờ, tôi vẫn ủng hộ và tuân thủ chính sách mới vì lợi ích tài chính trực tiếp từ nó.</t>
  </si>
  <si>
    <t>Thuế hiện nay có nhiều quy định và khó kiểm soát, nhưng với mức giảm trừ gia cảnh tăng cao, khả năng phát hiện trốn thuế cũng được cải thiện. Nhà nước đã đầu tư công nghệ vào hệ thống quản lý thuế.</t>
  </si>
  <si>
    <t>Cơ quan thuế có nhiều nguồn lực và công nghệ hỗ trợ để phát hiện gian lận, mặc dù vẫn còn khó khăn nhưng khả năng xử lý nghiêm minh hơn trước.</t>
  </si>
  <si>
    <t>Quy trình khai báo thuế đơn giản hơn với mức giảm trừ gia cảnh mới, thủ tục làm việc với cơ quan thuế cũng nhanh chóng và tiện lợi hơn</t>
  </si>
  <si>
    <t>Biểu thuế được đơn giản hóa từ 7 bậc xuống còn 5 bậc, cách tính thuế rõ ràng và dễ hiểu hơn so với trước đây</t>
  </si>
  <si>
    <t>Nhà nước đã tăng mức giảm trừ gia cảnh, tôi tin họ sẽ thực thi chính sách một cách công bằng và khách quan.</t>
  </si>
  <si>
    <t>Mức thuế mới hợp lý với thu nhập của tôi, việc tăng giảm trừ gia cảnh làm giảm gánh nặng tài chính</t>
  </si>
  <si>
    <t>Thuế tôi đóng sẽ được sử dụng hiệu quả để cải thiện dịch vụ công như y tế và cơ sở hạ tầng</t>
  </si>
  <si>
    <t>Nhà nước đã giải thích rõ về mục tiêu và lý do của việc sửa đổi thuế, tôi cảm thấy tin tưởng hơn.</t>
  </si>
  <si>
    <t>Sau khi xem xét tác động tài chính tích cực và sự đơn giản hóa quy trình, tôi ủng hộ và tuân thủ chính sách mới</t>
  </si>
  <si>
    <t>Quy trình khai báo thuế và làm việc với cơ quan thuế đã trở nên đơn giản hơn so với trước đây, thuận tiện cho người dân.</t>
  </si>
  <si>
    <t>Biểu thuế mới dễ hiểu hơn, các bậc thuế rõ ràng hơn giúp tôi dễ dàng tính toán và tuân thủ.</t>
  </si>
  <si>
    <t>Mức giảm trừ gia cảnh và biểu thuế mới giúp tôi thấy mức thuế đóng là hợp lý, công bằng hơn.</t>
  </si>
  <si>
    <t>Tiền thuế của tôi sẽ được sử dụng hiệu quả để cải thiện các dịch vụ công, từ đó tạo niềm tin cho người dân.</t>
  </si>
  <si>
    <t>Nhà nước đã giải thích rõ về mục tiêu và lý do thay đổi thuế lần này, giúp tôi hiểu được việc làm của họ.</t>
  </si>
  <si>
    <t>Tôi ủng hộ chính sách mới vì nó mang lại lợi ích tài chính cho tôi, đồng thời đơn giản hóa quy trình khai báo thuế.</t>
  </si>
  <si>
    <t>Có quy định quản lý thuế hiện tại, nhưng do không có thông tin cụ thể về khả năng phát hiện và xử lý của cơ quan thuế nên còn nhiều lo ngại.</t>
  </si>
  <si>
    <t>Nhà nước có khả năng công nghệ tốt để phát hiện trốn thuế, nhưng thực tế cần thêm thông tin về số liệu cụ thể.</t>
  </si>
  <si>
    <t>Thủ tục khai báo thuế và làm việc với cơ quan thuế đơn giản hơn so với trước đây, thuận tiện cho người dân.</t>
  </si>
  <si>
    <t>Cách tính thuế và các bậc thuế mới đơn giản hóa quy trình, dễ thực hiện hơn so với luật cũ.</t>
  </si>
  <si>
    <t>Việc cải cách thuế công bằng hơn, giảm gánh nặng cho người dân có thu nhập thấp như tôi.</t>
  </si>
  <si>
    <t>Thuế mới được điều chỉnh phù hợp với mức thu nhập của tôi, thể hiện tính công bằng.</t>
  </si>
  <si>
    <t>Thuê đóng góp vào việc cải thiện các dịch vụ công, như y tế và hạ tầng giao thông.</t>
  </si>
  <si>
    <t>Nhà nước đã giải thích rõ ràng về mục tiêu của chính sách mới, nhưng cần thêm thông tin chi tiết hơn.</t>
  </si>
  <si>
    <t>Dựa trên các quyền lợi và nghĩa vụ mới, tôi ủng hộ và tuân thủ chính sách thuế mới này. Thuế giảm giúp cải thiện điều kiện sống của gia đình.</t>
  </si>
  <si>
    <t>Cơ quan thuế có thể áp dụng các biện pháp kỹ thuật để phát hiện trốn thuế, nhưng thực tế không phải lúc nào cũng hiệu quả.</t>
  </si>
  <si>
    <t>Quy trình khai báo và làm việc với cơ quan thuế đã đơn giản hơn, nhưng vẫn cần cải thiện nhiều hơn.</t>
  </si>
  <si>
    <t>Biểu thuế mới đơn giản hơn so với trước đây, dễ hiểu và thực hiện thuận tiện hơn.</t>
  </si>
  <si>
    <t>Tôi tin rằng cơ quan thuế sẽ công bằng trong việc áp dụng chính sách, nhưng vẫn có lo ngại về cách thực thi.</t>
  </si>
  <si>
    <t>Thuế mới giảm cho tôi và gia đình, cảm thấy mức đóng là công bằng. Thu nhập của tôi thuộc nhóm người nộp thuế hợp lý.</t>
  </si>
  <si>
    <t>Tôi tin rằng số tiền thuế sẽ được sử dụng hiệu quả cho các dịch vụ công</t>
  </si>
  <si>
    <t>Nhà nước đã giải thích rõ ràng về mục tiêu cải cách, nhưng vẫn cần thêm thông tin.</t>
  </si>
  <si>
    <t>Chính sách mới giảm gánh nặng thuế cho tôi và gia đình, đồng thời đơn giản hóa quy trình, nên tôi ủng hộ và tuân thủ.</t>
  </si>
  <si>
    <t>Việc giảm trừ gia cảnh và đơn giản hóa biểu thuế giúp quy trình khai báo trở nên dễ dàng hơn, tôi cảm thấy thuận tiện hơn so với trước đây.</t>
  </si>
  <si>
    <t>Biểu thuế mới rõ ràng và dễ hiểu hơn, đặc biệt là khi mức thu nhập của tôi nằm trong các bậc thuế thấp</t>
  </si>
  <si>
    <t>Tôi tin rằng Nhà nước sẽ thực thi chính sách một cách công bằng, nhưng vẫn có sự nghi ngờ về việc áp dụng đồng đều cho tất cả người nộp thuế.</t>
  </si>
  <si>
    <t>Thuế mới giúp tôi giảm gánh nặng tài chính đáng kể, điều này làm tăng niềm tin vào tính công bằng của hệ thống thuế</t>
  </si>
  <si>
    <t>Tôi tin rằng số tiền thuế đóng sẽ được sử dụng hiệu quả cho mục đích cải thiện dịch vụ công, nhưng vẫn cần thêm thông tin cụ thể về cách sử dụng.</t>
  </si>
  <si>
    <t>Nhà nước đã giải thích rõ ràng về lý do và mục tiêu của việc sửa đổi thuế, mặc dù tôi mong muốn có thêm thông tin chi tiết</t>
  </si>
  <si>
    <t>Tôi ủng hộ chính sách mới vì nó giúp giảm gánh nặng tài chính và tăng sự thuận tiện trong quy trình khai báo. Tôi sẽ tuân thủ nếu các biện pháp quản lý thuế được thực hiện hiệu quả.</t>
  </si>
  <si>
    <t>Cơ quan thuế có nhiều công cụ để phát hiện hành vi gian lận, nhưng vẫn cần cải thiện hơn. Với mức thu nhập của tôi và số người phụ thuộc, khả năng bị truy cứu về thuế là thấp.</t>
  </si>
  <si>
    <t>Nhà nước đã đầu tư nhiều vào công nghệ để hỗ trợ quản lý thuế, nên khả năng phát hiện gian lận cao hơn trước đây.</t>
  </si>
  <si>
    <t>Quy trình khai thuế và làm việc với cơ quan thuế đơn giản hơn, nhưng vẫn cần thời gian để quen thuộc.</t>
  </si>
  <si>
    <t>Bậc thuế được đơn giản hóa, dễ hiểu và thực hiện nhanh chóng hơn so với trước đây, giảm bớt rắc rối cho người dân.</t>
  </si>
  <si>
    <t>Tôi tin Nhà nước sẽ công tâm trong việc quản lý thuế, nhưng vẫn cần thêm thời gian để xem xét thực tế.</t>
  </si>
  <si>
    <t>Dựa trên tác động tài chính, mức thuế mới là hợp lý và công bằng cho thu nhập của tôi.</t>
  </si>
  <si>
    <t>Tác động tài chính tích cực và quy trình đơn giản hóa giúp tôi ủng hộ và tuân thủ chính sách mới.</t>
  </si>
  <si>
    <t>Dựa trên thông tin, các quy định quản lý thuế hiện nay có nhiều cải tiến nhưng vẫn còn khả năng bị gian lận. Tuy nhiên, với việc tăng mức giảm trừ gia cảnh và đơn giản hóa biểu thuế, việc phát hiện hành vi trốn thuế sẽ trở nên dễ dàng hơn.</t>
  </si>
  <si>
    <t>Nhà nước đã đầu tư công nghệ để quản lý thuế hiệu quả hơn. Tuy nhiên, vẫn cần cải thiện trong quá trình thực thi.</t>
  </si>
  <si>
    <t>So với trước đây, quy trình làm việc và khai báo thuế trở nên đơn giản, thuận tiện hơn rất nhiều. Việc giảm số bậc thuế giúp người dân dễ hiểu và tuân thủ hơn.</t>
  </si>
  <si>
    <t>Biểu thuế mới có ít bậc hơn và mức giảm trừ gia cảnh cao hơn, do đó việc tính toán thu nhập chịu thuế trở nên đơn giản và dễ thực hiện.</t>
  </si>
  <si>
    <t>Tôi tin rằng Nhà nước sẽ công tâm trong việc thực thi chính sách mới. Mức thuế tôi phải đóng là hợp lý so với thu nhập của mình.</t>
  </si>
  <si>
    <t>Mức thuế mới được giảm đáng kể, do đó tôi cảm thấy nó là công bằng. Người có thu nhập như tôi đã đóng mức thuế này là phù hợp.</t>
  </si>
  <si>
    <t>Nhà nước đã giải ngân một phần số tiền thuế để cải thiện các dịch vụ công. Tôi tin rằng việc đóng thuế sẽ giúp nâng cao chất lượng cuộc sống cho người dân.</t>
  </si>
  <si>
    <t>Tôi thấy Nhà nước đã giải thích rõ ràng về mục tiêu của việc sửa đổi thuế. Thông tin minh bạch này tăng tính tin cậy.</t>
  </si>
  <si>
    <t>Dựa trên tác động tài chính tích cực và sự đơn giản hóa các quy trình, tôi ủng hộ và tuân thủ chính sách mới.</t>
  </si>
  <si>
    <t>Nhà nước đã đầu tư vào công nghệ và nhân lực để cải thiện hiệu quả quản lý, tuy nhiên vấn đề về nguồn lực và quy trình vẫn còn tồn tại.</t>
  </si>
  <si>
    <t>Quy trình khai thuế trở nên đơn giản hơn với việc giảm số bậc thuế, nhưng vẫn có một số thủ tục cần cải thiện để tăng độ thuận tiện.</t>
  </si>
  <si>
    <t>Biểu thuế mới rõ ràng và dễ hiểu hơn so với trước đây, giúp người dân tính toán nhanh chóng và chính xác.</t>
  </si>
  <si>
    <t>Tôi tin rằng cơ quan thuế sẽ thực hiện công bằng và công tâm trong việc áp dụng các quy định mới.</t>
  </si>
  <si>
    <t>Thuế mới được giảm đáng kể, giúp tôi cảm thấy mức đóng là hợp lý cho thu nhập của mình.</t>
  </si>
  <si>
    <t>Việc cải cách thuế nhằm tăng cường dịch vụ công và hạ tầng, do đó tôi tin rằng số tiền đóng sẽ được sử dụng hiệu quả.</t>
  </si>
  <si>
    <t>Nhà nước đã giải thích rõ về mục tiêu của cải cách này, nhưng vẫn có thể cần thêm thông tin cụ thể hơn.</t>
  </si>
  <si>
    <t>Tôi ủng hộ chính sách mới vì nó giúp tôi tiết kiệm được nhiều tiền thuế và quy định đơn giản hơn.</t>
  </si>
  <si>
    <t>Như một công dân, tôi tin rằng với việc cải cách và đầu tư vào công nghệ mới, cơ quan thuế có khả năng kiểm soát gian lận thuế tốt hơn.</t>
  </si>
  <si>
    <t>Việc áp dụng các công nghệ hiện đại trong quản lý thuế cho thấy Nhà nước đã thực hiện đúng trách nhiệm của mình để bảo vệ lợi ích chung.</t>
  </si>
  <si>
    <t>So với trước đây, quy trình khai thuế và làm việc với cơ quan thuế trở nên đơn giản hơn, tiết kiệm thời gian cho người nộp thuế.</t>
  </si>
  <si>
    <t>Biểu thuế mới có ít bậc hơn và rõ ràng hơn, giúp tôi dễ dàng tính toán và hiểu được mức thuế mình phải đóng.</t>
  </si>
  <si>
    <t>Tôi tin rằng các quy định mới sẽ được thực hiện công bằng đối với tất cả người nộp thuế.</t>
  </si>
  <si>
    <t>Với mức thu nhập của tôi, mức giảm trừ gia cảnh và bậc thuế mới là hợp lý, đảm bảo sự công bằng trong việc đóng thuế.</t>
  </si>
  <si>
    <t>Những khoản tiền thuế đóng góp vào việc cải thiện các dịch vụ công ích, giúp nâng cao chất lượng cuộc sống cho người dân.</t>
  </si>
  <si>
    <t>Các giải trình về mục tiêu và lý do của chính sách mới đã được cung cấp đầy đủ, minh bạch trên các phương tiện thông tin đại chúng.</t>
  </si>
  <si>
    <t>Dựa trên lợi ích tài chính và sự cải tiến trong quy trình làm việc, tôi ủng hộ và sẽ tuân thủ chính sách mới này.</t>
  </si>
  <si>
    <t>Nếu cơ quan thuế có công nghệ hiện đại, khả năng phát hiện hành vi gian lận sẽ cao hơn, nhưng tôi vẫn nghi ngờ về việc xử lý nghiêm túc.</t>
  </si>
  <si>
    <t>Cơ quan thuế có thể đủ năng lực để theo dõi, song thực tế xử phạt không nhất quán dẫn đến tình trạng trốn thuế.</t>
  </si>
  <si>
    <t>Quy trình khai báo thuế đơn giản hơn trước, nhưng vẫn phức tạp đối với người dân không am hiểu về thuế.</t>
  </si>
  <si>
    <t>Số bậc thuế giảm giúp tính toán dễ dàng hơn, nhưng mức thuế mới có thể gây khó khăn cho những người nhận thu nhập không ổn định.</t>
  </si>
  <si>
    <t>Tôi tin rằng cơ quan thuế sẽ cố gắng thực thi công bằng, nhưng sự giám sát và minh bạch vẫn chưa đầy đủ.</t>
  </si>
  <si>
    <t>Thuế mới phù hợp với thu nhập của tôi, giảm gánh nặng tài chính nên tôi đồng ý với phương án này.</t>
  </si>
  <si>
    <t>Nhà nước sử dụng số tiền thuế để cải thiện dịch vụ công là điều cần thiết và hợp lý.</t>
  </si>
  <si>
    <t>Các giải thích về chính sách mới rõ ràng hơn, nhưng tôi vẫn mong muốn có thêm thông tin về cách thực hiện hiệu quả.</t>
  </si>
  <si>
    <t>Sau tính toán và xem xét các quyền lợi của mình, tôi ủng hộ và tuân thủ chính sách mới để giảm gánh nặng thuế.</t>
  </si>
  <si>
    <t>Nhà nước đã đầu tư vào công nghệ và nhân sự, nâng cao hiệu quả quản lý, do đó khả năng xử lý nghiêm các hành vi trốn thuế tăng lên.</t>
  </si>
  <si>
    <t>Quy trình khai báo giờ đơn giản hơn với nhiều ưu đãi cho người nộp thuế. Việc sử dụng công nghệ cũng giúp quá trình làm việc nhanh chóng, tiện lợi hơn.</t>
  </si>
  <si>
    <t>Biểu thuế mới đơn giản hóa bậc thuế, dễ hiểu và thực hiện hơn so với trước đây, giảm bớt sự phức tạp cho người dân.</t>
  </si>
  <si>
    <t>Tôi tin rằng nhà nước sẽ công bằng trong việc áp dụng luật thuế, nhưng vẫn cần thêm minh bạch từ các cơ quan quản lý để tăng niềm tin.</t>
  </si>
  <si>
    <t>Với mức giảm trừ gia cảnh cao hơn và số bậc thuế ít đi, tôi thấy mình đóng thuế hợp lý với thu nhập hiện tại của mình.</t>
  </si>
  <si>
    <t>Nhà nước đã đầu tư nhiều vào các dịch vụ công như y tế và giao thông, do đó tôi tin rằng số tiền thuế tôi đóng sẽ được sử dụng hiệu quả.</t>
  </si>
  <si>
    <t>Tôi đồng ý với những giải thích từ cơ quan thuế về mục tiêu cải cách nhưng vẫn mong muốn có thêm thông tin cụ thể hơn.</t>
  </si>
  <si>
    <t>Dù còn nghi ngờ đôi chút, tôi sẽ ủng hộ và tuân thủ chính sách mới vì lợi ích thực tế mà nó mang lại cho tôi.</t>
  </si>
  <si>
    <t>Cơ quan thuế có nhiều công cụ và nguồn lực để phát hiện hành vi trốn thuế, vì vậy tôi tin rằng việc gian lận sẽ bị phát hiện.</t>
  </si>
  <si>
    <t>Nhà nước đã đầu tư vào công nghệ và nhân sự để cải thiện khả năng quản lý thuế, nâng cao hiệu quả xử lý</t>
  </si>
  <si>
    <t>Quy trình khai báo thuế đơn giản hơn nhiều so với trước đây, dễ thực hiện và nhanh chóng hơn</t>
  </si>
  <si>
    <t>Biểu thuế mới có ít bậc hơn, nên việc tính toán và áp dụng thuế trở nên rõ ràng và dễ dàng hơn</t>
  </si>
  <si>
    <t>Tôi tin rằng cơ quan thuế sẽ thực thi chính sách một cách công bằng và khách quan với mọi người nộp thuế</t>
  </si>
  <si>
    <t>Thuế mới theo phương án này là hợp lý cho thu nhập của tôi, mức giảm trừ gia cảnh cũng cao hơn trước</t>
  </si>
  <si>
    <t>Nhà nước đã có những giải thích rõ ràng về mục tiêu và lý do của việc sửa đổi chính sách thuế này</t>
  </si>
  <si>
    <t>Trong tổng thể, tôi ủng hộ và tuân thủ chính sách mới vì lợi ích mà nó mang lại cho người dân</t>
  </si>
  <si>
    <t>Việc tăng mức giảm trừ gia cảnh và đơn giản hóa biểu thuế có thể làm cho việc trốn thuế khó khăn hơn, nhưng không loại trừ hoàn toàn khả năng gian lận. Cơ quan thuế cần tiếp tục cải tiến công nghệ để phát hiện hành vi gian lận.</t>
  </si>
  <si>
    <t>Cơ quan thuế có đủ tiềm lực và công nghệ để giám sát và xử lý các vụ việc trốn thuế, tuy nhiên hiệu quả thực thi phụ thuộc vào sự quyết tâm của họ trong công tác chống gian lận.</t>
  </si>
  <si>
    <t>Quy trình khai thuế trở nên đơn giản hơn với mức giảm trừ gia cảnh mới và số bậc thuế ít hơn, thuận tiện cho người dân.</t>
  </si>
  <si>
    <t>Các bước tính thuế mới dễ hiểu hơn so với trước đây, giúp người dân nắm bắt nhanh chóng.</t>
  </si>
  <si>
    <t>Nhà nước đã cố gắng công bằng trong việc điều chỉnh mức giảm trừ gia cảnh và bậc thuế, tạo ra sự công bằng giữa các đối tượng nộp thuế.</t>
  </si>
  <si>
    <t>Mức thuế mới phù hợp với thu nhập của tôi, thể hiện tính công bằng trong việc đóng góp cho ngân sách nhà nước.</t>
  </si>
  <si>
    <t>Tôi tin rằng số tiền thuế đóng sẽ được sử dụng hiệu quả để cải thiện hạ tầng và dịch vụ công</t>
  </si>
  <si>
    <t>Nhà nước đã giải thích rõ ràng về việc sửa đổi luật thuế, giúp tôi hiểu mục tiêu của chính sách mới.</t>
  </si>
  <si>
    <t>Sau khi xem xét các quyền lợi và nghĩa vụ, tôi ủng hộ và tuân thủ chính sách mới. Điều này thể hiện sự tin tưởng vào hệ thống thuế hiện tại.</t>
  </si>
  <si>
    <t>Hiện nay, cơ quan thuế có hệ thống công nghệ thông tin hiện đại nên việc phát hiện hành vi gian lận hoặc trốn thuế khá dễ dàng. Tuy nhiên, vẫn còn khả năng người dân sẽ tìm cách eva tax.</t>
  </si>
  <si>
    <t>Nhà nước đã đầu tư vào công nghệ và nâng cao hiệu quả quản lý nên khả năng phát hiện và xử lý nghiêm các hành vi trốn thuế là cao. Tuy nhiên, vẫn có thể còn thiếu trong việc giám sát chặt chẽ.</t>
  </si>
  <si>
    <t>Quy trình khai báo thuế trở nên đơn giản hơn với giảm trừ gia cảnh tăng và số bậc thuế giảm. Điều này giúp người dân dễ dàng thực hiện hơn so với trước đây.</t>
  </si>
  <si>
    <t>Số bậc thuế giảm từ 7 xuống 5, cùng với mức giảm trừ gia cảnh tăng đã làm cho việc tính thuế trở nên rõ ràng và dễ hiểu hơn. Điều này tạo thuận lợi cho quá trình thực hiện.</t>
  </si>
  <si>
    <t>Tôi tin rằng cơ quan thuế sẽ công bằng trong việc áp dụng chính sách mới, nhưng vẫn cần thêm thời gian để đánh giá hiệu quả của nó.</t>
  </si>
  <si>
    <t>Với mức giảm trừ gia cảnh và số bậc thuế được điều chỉnh, tôi cảm thấy mình đóng góp một phần vào xã hội một cách công bằng. Tuy nhiên, vẫn có những người nghi ngờ về sự công bằng của chính sách mới.</t>
  </si>
  <si>
    <t>Tôi tin rằng số tiền thuế mà tôi đóng sẽ được sử dụng hiệu quả để cải thiện dịch vụ công và đời sống của người dân. Tuy nhiên, cần thêm thông tin về cách sử dụng nguồn thu này.</t>
  </si>
  <si>
    <t>Chính phủ đã giải thích khá rõ ràng về lý do và mục tiêu của việc sửa đổi thuế lần này, tạo sự minh bạch cho người dân hiểu hơn. Tuy nhiên, vẫn cần thêm thông tin để tăng niềm tin.</t>
  </si>
  <si>
    <t>Tôi ủng hộ chính sách mới vì nó giảm gánh nặng thuế và đơn giản hóa quy trình khai báo thuế. Tôi sẽ tuân thủ các quy định hiện tại.</t>
  </si>
  <si>
    <t>Tôi đồng ý rằng Nhà nước và cơ quan thuế có thể phát hiện các hành vi sai phạm thông qua công nghệ, nhưng thực tế vẫn cần thời gian để cải tiến.</t>
  </si>
  <si>
    <t>Quy trình khai báo thuế đã đơn giản hơn so với trước đây, thủ tục cũng nhanh chóng hơn nhiều. Việc giảm số bậc thuế giúp việc tính toán và nộp thuế trở nên dễ dàng hơn.</t>
  </si>
  <si>
    <t>Các bậc thuế mới đơn giản và dễ hiểu hơn. Tuy nhiên, tôi vẫn thấy một chút phức tạp khi phải phân loại thu nhập vào từng bậc.</t>
  </si>
  <si>
    <t>Tôi tin rằng Nhà nước sẽ thực thi chính sách công bằng với mọi người nộp thuế, nhưng lo ngại về khả năng kiểm soát và xử lý các trường hợp vi phạm pháp luật thuế.</t>
  </si>
  <si>
    <t>Mức thuế mới giảm đáng kể so với trước đây, do đó tôi cảm thấy mức này là công bằng. Việc tăng giảm trừ gia cảnh cũng giúp tôi tiết kiệm chi phí.</t>
  </si>
  <si>
    <t>Tài chính của Nhà nước sẽ được cải thiện nhờ thuế mới, từ đó có thể đầu tư vào các dịch vụ công như y tế và giao thông. Tuy nhiên, vẫn cần nhiều thông tin về cách sử dụng chi tiết nguồn thu nhập này.</t>
  </si>
  <si>
    <t>Phương án thuế mới đã được giải thích rõ ràng hơn so với trước đây, nhưng tôi vẫn mong muốn có thêm thông tin về các dự án cụ thể để đảm bảo rằng tiền thuế sẽ được sử dụng hiệu quả.</t>
  </si>
  <si>
    <t>Sau khi xem xét cả lợi ích và nghĩa vụ, tôi ủng hộ và sẵn lòng tuân thủ chính sách mới. Mức giảm trừ gia cảnh và sự đơn giản hóa quy trình nộp thuế khiến tôi thấy hài lòng hơn.</t>
  </si>
  <si>
    <t>Cơ quan thuế có thể áp dụng công nghệ hiện đại để theo dõi và xử lý các hành vi trốn thuế hiệu quả hơn nhờ vào việc tăng cường quản lý thu thuế.</t>
  </si>
  <si>
    <t>Thủ tục khai báo thuế đơn giản hóa, người nộp thuế có thể dễ dàng thực hiện mà không cần sự hỗ trợ của nhiều chuyên viên kế toán.</t>
  </si>
  <si>
    <t>Biểu thuế mới rõ ràng hơn so với trước đây, giảm bớt rào cản trong việc tính toán và nộp thuế. Việc này tạo điều kiện thuận lợi cho người dân.</t>
  </si>
  <si>
    <t>Nhà nước đã công khai các quy định mới, tôi tin rằng họ sẽ thực thi chính sách một cách khách quan, công bằng đối với mọi người nộp thuế.</t>
  </si>
  <si>
    <t>Mức thuế mới phù hợp với thu nhập của tôi. Việc giảm trừ gia cảnh tăng lên giúp tôi tiết kiệm nhiều hơn so với trước đây.</t>
  </si>
  <si>
    <t>Nhiều khoản thu được sử dụng để cải thiện dịch vụ công, tôi tin rằng số tiền thuế tôi đóng sẽ mang lại lợi ích thiết thực cho cộng đồng.</t>
  </si>
  <si>
    <t>Nhà nước đã giải thích rõ ràng về mục đích của việc sửa đổi thuế. Tôi cảm thấy mình được tham gia vào quá trình này thông qua các kênh truyền thông.</t>
  </si>
  <si>
    <t>Sau khi xem xét tác động tài chính và sự đơn giản hóa quy định, tôi ủng hộ và tuân thủ chính sách mới. Việc giảm trừ gia cảnh tăng lên giúp tôi tiết kiệm nhiều hơn so với trước đây.</t>
  </si>
  <si>
    <t>Việc tăng mức giảm trừ gia cảnh và đơn giản hóa biểu thuế có thể làm tăng độ khó trong việc đánh giá thu nhập thực tế, nhưng Nhà nước vẫn có khả năng phát hiện gian lận thông qua các hệ thống quản lý hiện đại.</t>
  </si>
  <si>
    <t>Cơ quan thuế đã áp dụng công nghệ cao vào việc quản lý và kiểm soát thuế, cho thấy họ có đủ khả năng phát hiện và xử lý nghiêm các hành vi trốn thuế.</t>
  </si>
  <si>
    <t>Quy trình làm việc với cơ quan thuế trở nên đơn giản hơn, giảm bớt rắc rối trong khai báo thuế. Đây là cải tiến tích cực đối với người nộp thuế.</t>
  </si>
  <si>
    <t>Biểu thuế được đơn giản hóa từ 7 bậc xuống còn 5 bậc, làm cho việc tính thuế trở nên dễ dàng hơn và dễ hiểu hơn.</t>
  </si>
  <si>
    <t>Nhà nước đã công khai giải thích về lý do và mục tiêu của việc sửa đổi thuế lần này, giúp tăng niềm tin vào sự khách quan và công bằng trong thực thi chính sách.</t>
  </si>
  <si>
    <t>Mức thuế mới được xem xét kỹ lưỡng dựa trên thu nhập cá nhân. Với mức thuế hiện tại, tôi cảm thấy nó là hợp lý và công bằng.</t>
  </si>
  <si>
    <t>Thuế đóng góp vào việc cải thiện các dịch vụ công, từ đó nâng cao chất lượng cuộc sống của người dân. Tôi tin rằng số tiền thuế tôi đóng sẽ được sử dụng hiệu quả.</t>
  </si>
  <si>
    <t>Nhà nước đã giải thích rõ ràng về mục tiêu và lý do sửa đổi thuế, tạo ra sự minh bạch trong việc thực thi chính sách.</t>
  </si>
  <si>
    <t>Việc cải cách thuế mang lại lợi ích lớn cho tôi về mặt tài chính và thủ tục. Tôi đồng ý với chính sách mới và sẽ tuân thủ nó.</t>
  </si>
  <si>
    <t>Trong tình hình hiện tại, việc quản lý thuế có sự giám sát chặt chẽ hơn từ phía nhà nước. Tuy nhiên, vẫn cần tăng cường công nghệ và nguồn lực để phát hiện trốn thuế hiệu quả hơn.</t>
  </si>
  <si>
    <t>Nhà nước đã đầu tư vào hệ thống công nghệ thông tin và nhân sự để cải thiện khả năng quản lý thuế. Tuy nhiên, việc này vẫn cần thời gian để hoàn thiện.</t>
  </si>
  <si>
    <t>Các quy trình khai báo thuế đã đơn giản hơn so với trước đây. Việc giảm trừ gia cảnh và số bậc thuế cũng giúp quá trình làm việc thuận lợi hơn.</t>
  </si>
  <si>
    <t>Biểu thuế mới có số bậc thuế ít hơn, dễ hiểu và thực hiện đơn giản hơn. Đây là cải tiến đáng kể so với trước đây.</t>
  </si>
  <si>
    <t>Tôi tin rằng cơ quan thuế sẽ công tâm trong việc áp dụng chính sách mới. Tuy nhiên, cần có thêm nhiều thông tin minh bạch hơn để tăng niềm tin.</t>
  </si>
  <si>
    <t>Thuế tôi phải đóng giảm đáng kể so với trước đây, do đó cảm thấy rằng mức thuế mới là công bằng. Điều này giúp tôi ủng hộ chính sách.</t>
  </si>
  <si>
    <t>Tôi tin rằng số tiền thuế tôi đóng sẽ được sử dụng hiệu quả để cải thiện dịch vụ công. Tuy nhiên, cần có thêm thông tin về cách sử dụng nguồn thu này.</t>
  </si>
  <si>
    <t>Nhà nước đã giải thích rõ ràng về mục tiêu của chính sách mới, nhưng vẫn cần nhiều hơn nữa để tăng sự hiểu biết và chấp nhận từ người dân.</t>
  </si>
  <si>
    <t>Tác động tài chính tích cực và quy trình làm việc thuận lợi hơn đã giúp tôi ủng hộ chính sách mới. Tuy nhiên, tôi vẫn cần thêm thông tin về cách sử dụng nguồn thu thuế để hoàn toàn đồng ý.</t>
  </si>
  <si>
    <t>Nhà nước và cơ quan thuế có các công cụ kiểm soát mạnh mẽ, nhưng tôi vẫn lo ngại về việc phát hiện trốn thuế. Tuy nhiên, mức độ giảm trừ gia cảnh tăng nên ít bị gian lận hơn.</t>
  </si>
  <si>
    <t>Cơ quan thuế có công nghệ tiên tiến và nguồn lực đủ để giám sát thuế. Việc đơn giản hóa quy trình cũng giúp phát hiện trốn thuế dễ dàng hơn.</t>
  </si>
  <si>
    <t>Quy trình khai báo thuế trở nên đơn giản hơn, thủ tục thuận tiện hơn so với trước đây</t>
  </si>
  <si>
    <t>Biểu thuế mới đơn giản và dễ hiểu, dễ áp dụng hơn so với trước đây</t>
  </si>
  <si>
    <t>Tôi tin rằng cơ quan thuế sẽ công bằng trong việc thực thi pháp luật. Mức giảm trừ gia cảnh tăng giúp tôi cảm thấy công bằng.</t>
  </si>
  <si>
    <t>Lượng thuế phải đóng thấp hơn sau khi áp dụng chính sách mới, phù hợp với thu nhập của tôi</t>
  </si>
  <si>
    <t>Thuế đóng góp vào các dịch vụ công quan trọng như y tế và giao thông, giúp nâng cao chất lượng cuộc sống</t>
  </si>
  <si>
    <t>Nhà nước đã giải thích rõ ràng về mục tiêu và lý do của việc cải cách thuế. Mức giảm trừ gia cảnh tăng làm tôi tin tưởng vào sự minh bạch.</t>
  </si>
  <si>
    <t>Tôi ủng hộ chính sách mới vì nó giúp tôi tiết kiệm được tiền thuế mà vẫn đảm bảo đóng góp cho xã hội</t>
  </si>
  <si>
    <t>Tăng mức giảm trừ gia cảnh và đơn giản hóa biểu thuế có thể làm tăng độ phức tạp trong việc phát hiện hành vi gian lận. Tuy nhiên, với quy định quản lý thuế hiện nay, tôi vẫn tin rằng hành vi trốn thuế sẽ được xử lý nghiêm.</t>
  </si>
  <si>
    <t>Cơ quan thuế có khả năng và công nghệ để phát hiện và xử lý các hành vi trốn thuế. Việc cải cách thuế tạo ra một hệ thống minh bạch hơn, làm giảm cơ hội trốn thuế.</t>
  </si>
  <si>
    <t>Quy trình khai báo thuế trở nên đơn giản hơn với mức giảm trừ gia cảnh cao hơn và số bậc thuế ít hơn. Điều này tạo thuận lợi cho người dân trong việc thực hiện nghĩa vụ thuế của mình.</t>
  </si>
  <si>
    <t>Biểu thuế mới đơn giản hóa quá trình tính thuế, giúp dễ dàng hiểu và thực hiện hơn so với trước đây.</t>
  </si>
  <si>
    <t>Nhà nước đã cải cách hệ thống thuế một cách khách quan và công bằng. Các mức giảm trừ gia cảnh mới tạo ra sự công bằng cho người dân có nhiều người phụ thuộc.</t>
  </si>
  <si>
    <t>Tôi cảm thấy mức thuế tôi phải đóng là công bằng, phù hợp với thu nhập của mình và số người phụ thuộc. Mức giảm trừ gia cảnh mới giúp phân phối đều hơn giữa các cá nhân có thu nhập tương tự.</t>
  </si>
  <si>
    <t>Thuế tôi đóng sẽ được sử dụng hiệu quả để cải thiện dịch vụ công, tạo ra sự tin tưởng rằng tiền thuế sẽ không bị lãng phí và mang lại lợi ích cho cộng đồng.</t>
  </si>
  <si>
    <t>Nhà nước đã giải thích rõ ràng về lý do và mục tiêu của việc cải cách thuế. Thông tin minh bạch giúp tạo niềm tin đối với người dân.</t>
  </si>
  <si>
    <t>Sau khi xem xét các quyền lợi và nghĩa vụ, tôi ủng hộ và tuân thủ chính sách mới vì nó công bằng hơn so với trước đây và tạo thuận lợi cho việc thực hiện nghĩa vụ thuế của mình.</t>
  </si>
  <si>
    <t>Thuế mới có thể coi là hợp lý cho người như tôi, với mức thu nhập hiện tại.</t>
  </si>
  <si>
    <t>Hiểu rằng thuế đóng góp vào việc cải thiện chất lượng dịch vụ công, tạo niềm tin vào sử dụng hiệu quả nguồn lực.</t>
  </si>
  <si>
    <t>Những thông tin về mục đích và lý do của việc sửa đổi luật thuế được giải thích rõ ràng.</t>
  </si>
  <si>
    <t>Dựa trên sự cải thiện về công bằng, thuận tiện và tác động tài chính tích cực, tôi ủng hộ và sẽ tuân thủ chính sách mới.</t>
  </si>
  <si>
    <t>Nhà nước đã đầu tư công nghệ để hỗ trợ quản lý thuế hiệu quả hơn, do đó tôi tin rằng khả năng phát hiện và xử lý trốn thuế sẽ tăng lên. Tuy nhiên, có thể cần thêm thời gian để hoàn thiện.</t>
  </si>
  <si>
    <t>So với trước đây, các thủ tục khai báo thuế đã đơn giản hơn nhiều, không còn nhiều giấy tờ rườm rà như trước. Điều này giúp tôi tiết kiệm được thời gian và công sức.</t>
  </si>
  <si>
    <t>Cách tính thuế mới rõ ràng hơn, số bậc thuế giảm nên việc tính toán cũng dễ dàng hơn. Tuy nhiên, có thể một số người chưa quen với cách tính mới này.</t>
  </si>
  <si>
    <t>Tôi tin rằng cơ quan thuế sẽ thực thi chính sách một cách khách quan và công bằng. Việc tăng mức giảm trừ gia cảnh cũng tạo ra sự công bằng hơn giữa người nộp thuế khác nhau.</t>
  </si>
  <si>
    <t>Nhờ có mức giảm trừ gia cảnh cao hơn, tôi thấy mình đóng thuế hợp lý so với thu nhập. Việc này giúp tôi cảm thấy công bằng hơn.</t>
  </si>
  <si>
    <t>Tiết kiệm được số tiền thuế là một lợi ích rõ ràng, tôi tin rằng số tiền này sẽ được sử dụng hiệu quả để cải thiện dịch vụ công.</t>
  </si>
  <si>
    <t>Nhà nước đã giải thích công khai về mục tiêu của việc sửa đổi thuế. Tuy nhiên, có thể cần thêm thông tin về cách sử dụng số tiền thu được từ thuế để tăng sự tin tưởng.</t>
  </si>
  <si>
    <t>Tôi ủng hộ chính sách mới vì nó mang lại lợi ích rõ ràng cho người dân như tôi. Việc giảm gánh nặng tài chính cũng làm tăng khả năng tuân thủ.</t>
  </si>
  <si>
    <t>Dù chưa rõ ràng nhưng với việc tăng giảm trừ gia cảnh và đơn giản hóa biểu thuế, hành vi gian lận có thể bị phát hiện sớm hơn.</t>
  </si>
  <si>
    <t>Cơ quan thuế đã cải thiện công nghệ để theo dõi tình hình tài chính cá nhân nên khả năng phát hiện trốn thuế được nâng cao.</t>
  </si>
  <si>
    <t>Hệ thống khai thuế và quy trình làm việc với cơ quan thuế đơn giản hơn, giảm bớt thời gian chờ đợi.</t>
  </si>
  <si>
    <t>Biểu thuế mới đơn giản hóa các bậc thuế, dễ tính toán và thực hiện hơn so với trước đây.</t>
  </si>
  <si>
    <t>Nhà nước đã công bố rõ ràng về mục đích cải cách thuế nên tôi tin rằng việc thực thi sẽ khách quan.</t>
  </si>
  <si>
    <t>Mức thuế mới phù hợp với thu nhập hiện tại của tôi, giảm gánh nặng tài chính.</t>
  </si>
  <si>
    <t>Thuế đóng góp vào các dịch vụ công giúp cải thiện chất lượng cuộc sống cho người dân như y tế và cơ sở hạ tầng.</t>
  </si>
  <si>
    <t>Đã có sự giải thích chi tiết về lý do và mục tiêu của việc cải cách thuế, tăng niềm tin vào quyết định này.</t>
  </si>
  <si>
    <t>Điều kiện thực thi thuế hiện nay có nhiều cải thiện, nhưng vẫn còn khó khăn trong việc phát hiện gian lận hoặc trốn thuế.</t>
  </si>
  <si>
    <t>Cơ quan thuế có khả năng và công nghệ tốt hơn để theo dõi tình hình tài chính của người dân, tuy nhiên, vẫn cần cải thiện.</t>
  </si>
  <si>
    <t>Quy trình khai thuế trở nên đơn giản hơn so với trước đây, nhưng vẫn còn một số thủ tục rườm rà.</t>
  </si>
  <si>
    <t>Phương án mới về thuế có các bậc thuế đơn giản và dễ hiểu hơn, giúp người dân tính toán thuận tiện hơn.</t>
  </si>
  <si>
    <t>Tôi tin rằng Nhà nước sẽ thực thi chính sách một cách công bằng, nhưng vẫn cần nhiều cải thiện trong việc minh bạch.</t>
  </si>
  <si>
    <t>Mức thuế mới được tính toán hợp lý, giảm gánh nặng tài chính cho người dân như tôi.</t>
  </si>
  <si>
    <t>Thuế đóng góp vào việc cải thiện hạ tầng và dịch vụ công, nhưng cần nhiều thông tin hơn về cách sử dụng để tăng niềm tin.</t>
  </si>
  <si>
    <t>Đã có giải thích rõ ràng về mục tiêu và lý do của chính sách mới, nhưng vẫn còn thiếu minh bạch trong việc thực thi.</t>
  </si>
  <si>
    <t>Sau khi xem xét các quyền lợi và nghĩa vụ, tôi ủng hộ chính sách mới vì giảm gánh nặng thuế và cải thiện thuận tiện cho người dân.</t>
  </si>
  <si>
    <t>Cơ quan thuế có công nghệ tiên tiến để phát hiện hành vi không tuân thủ pháp luật thuế. Việc cải cách giúp tăng cường khả năng quản lý hiệu quả hơn.</t>
  </si>
  <si>
    <t>Quy trình khai thuế và giao dịch với cơ quan thuế trở nên đơn giản, dễ dàng hơn so với trước đây nhờ ứng dụng công nghệ. Gia tăng sự thuận tiện cho người dân.</t>
  </si>
  <si>
    <t>Biểu thuế mới đơn giản hóa bậc thuế từ 7 xuống còn 5, giúp việc tính toán và hiểu rõ hơn về mức thuế phải đóng.</t>
  </si>
  <si>
    <t>Tôi tin rằng cơ quan thuế sẽ thực thi chính sách một cách công bằng và khách quan. Việc cải cách nhằm tạo ra một môi trường thuế công bằng cho mọi người.</t>
  </si>
  <si>
    <t>Thuế mới có sự thay đổi phù hợp với thu nhập của tôi, giảm gánh nặng về tài chính. Điều này thể hiện tính công bằng trong việc phân chia trách nhiệm đóng thuế.</t>
  </si>
  <si>
    <t>Những khoản tiền thuế được sử dụng cho các dịch vụ công như y tế và hạ tầng, tạo nên sự đổi mới và cải thiện chất lượng cuộc sống. Tôi tin rằng số tiền tôi đóng sẽ mang lại lợi ích đáng kể.</t>
  </si>
  <si>
    <t>Nhà nước đã giải thích rõ ràng về mục tiêu của việc cải cách thuế, giúp người dân hiểu được tầm quan trọng và sự cần thiết của nó.</t>
  </si>
  <si>
    <t>Sau khi xem xét các quyền lợi và nghĩa vụ mới, tôi ủng hộ chính sách này. Nó tạo ra một môi trường thuế công bằng và thuận tiện hơn cho người dân.</t>
  </si>
  <si>
    <t>Với mức giảm trừ gia cảnh tăng, quy định quản lý thuế sẽ khó phát hiện hành vi gian lận hoặc trốn thuế.</t>
  </si>
  <si>
    <t>Cơ quan thuế có công nghệ và nguồn lực để phát hiện các hành vi trốn thuế, nhưng phụ thuộc vào sự thực thi của họ.</t>
  </si>
  <si>
    <t>Thủ tục khai báo thuế trở nên đơn giản hơn với mức giảm trừ gia cảnh tăng, dễ dàng hơn cho người dân.</t>
  </si>
  <si>
    <t>Biểu thuế đơn giản hóa từ 7 bậc xuống 5 giúp việc tính toán thuế trở nên dễ dàng và rõ ràng hơn.</t>
  </si>
  <si>
    <t>Nếu các quy định được thực thi công bằng, tôi sẽ tin rằng mọi người nộp thuế đều được đối xử công bằng.</t>
  </si>
  <si>
    <t>Mức thuế mới giảm, phù hợp với thu nhập của gia đình tôi và thể hiện sự công bằng trong việc đóng góp vào ngân sách nhà nước.</t>
  </si>
  <si>
    <t>Thuế được sử dụng để cải thiện dịch vụ công, nhưng hiệu quả sử dụng còn phụ thuộc vào cách quản lý ngân sách của chính phủ.</t>
  </si>
  <si>
    <t>Nhà nước đã giải thích rõ về mục tiêu và lý do sửa đổi thuế, tạo ra sự minh bạch trong quá trình thực hiện.</t>
  </si>
  <si>
    <t>Sau khi xem xét các lợi ích và nghĩa vụ mới, tôi ủng hộ và tuân thủ chính sách thuế mới vì nó mang lại nhiều quyền lợi hơn cho gia đình tôi.</t>
  </si>
  <si>
    <t>Biểu thuế mới rõ ràng và dễ hiểu hơn so với trước, giúp người dân dễ dàng tính toán và thực hiện đúng.</t>
  </si>
  <si>
    <t>Dựa trên các ưu đãi về mức giảm trừ gia cảnh, tôi tin rằng việc thực thi chính sách mới là công bằng đối với mọi người nộp thuế.</t>
  </si>
  <si>
    <t>Thuế của tôi đã giảm đáng kể sau khi áp dụng luật mới, điều này thể hiện sự công bằng trong việc phân bổ gánh nặng thuế.</t>
  </si>
  <si>
    <t>Với mức thu nhập và số người phụ thuộc như tôi, số tiền thuế đóng sẽ được sử dụng hiệu quả để cải thiện các dịch vụ công.</t>
  </si>
  <si>
    <t>Nhà nước đã cung cấp thông tin chi tiết về chính sách mới, giúp người dân hiểu rõ hơn về mục tiêu và lý do của việc sửa đổi này.</t>
  </si>
  <si>
    <t>Tôi ủng hộ và tuân thủ chính sách mới vì nó mang lại lợi ích tài chính cho tôi và gia đình, đồng thời thể hiện sự công bằng trong việc phân bổ gánh nặng thuế.</t>
  </si>
  <si>
    <t>Dù không có thông tin cụ thể về khả năng phát hiện, nhưng với sự cải cách mạnh mẽ trong lĩnh vực thuế, tôi cho rằng cơ quan thuế sẽ có nhiều biện pháp để ngăn chặn gian lận.</t>
  </si>
  <si>
    <t>Như đã đề cập ở trên, tôi tin tưởng rằng với các công nghệ hiện đại, việc phát hiện và xử lý hành vi trốn thuế sẽ được cải thiện đáng kể.</t>
  </si>
  <si>
    <t>So với trước đây, quy trình làm việc với cơ quan thuế trở nên đơn giản hơn nhiều, đặc biệt là khi giảm số bậc thuế xuống còn 5 bậc.</t>
  </si>
  <si>
    <t>Biểu thuế mới rõ ràng và dễ hiểu hơn so với trước đây, giúp tôi dễ dàng tính toán và đóng thuế đúng hạn.</t>
  </si>
  <si>
    <t>Tôi tin rằng cơ quan thuế sẽ thực hiện chính sách một cách công bằng đối với tất cả các cá nhân nộp thuế.</t>
  </si>
  <si>
    <t>Với mức giảm trừ gia cảnh và bậc thuế mới, tôi thấy mình đóng thuế hợp lý hơn so với trước đây.</t>
  </si>
  <si>
    <t>Tiết kiệm được nhiều tiền thuế, tôi tin rằng số tiền này sẽ được sử dụng hiệu quả để cải thiện dịch vụ công</t>
  </si>
  <si>
    <t>Nhà nước đã giải thích rõ ràng về mục tiêu và lý do của việc sửa đổi luật thuế lần này.</t>
  </si>
  <si>
    <t>Tôi ủng hộ chính sách mới vì nó giúp tôi tiết kiệm được tiền thuế và làm việc với cơ quan thuế trở nên dễ dàng hơn.</t>
  </si>
  <si>
    <t>Có các quy định quản lý thuế hiện tại, nhưng mức độ thực thi còn hạn chế do thiếu nguồn lực và công nghệ, nên khả năng phát hiện gian lận hay trốn thuế không cao.</t>
  </si>
  <si>
    <t>Nhà nước và cơ quan thuế đang cố gắng cải thiện công nghệ quản lý thuế nhưng còn nhiều hạn chế về nguồn lực và kỹ thuật, chưa đủ khả năng phát hiện và xử lý nghiêm các hành vi trốn thuế.</t>
  </si>
  <si>
    <t>Quy trình khai báo thuế và làm việc với cơ quan thuế đã đơn giản hơn so với trước đây, nhưng vẫn còn nhiều rắc rối về giấy tờ và thủ tục.</t>
  </si>
  <si>
    <t>Cách tính thuế và các bậc thuế mới đơn giản hóa đáng kể, dễ hiểu và thực hiện thuận tiện hơn, giúp người dân giảm bớt gánh nặng</t>
  </si>
  <si>
    <t>Tôi tin rằng cơ quan thuế sẽ cố gắng thực thi công bằng, nhưng việc thiếu minh bạch về quy trình cụ thể còn khiến tôi có phần nghi ngờ.</t>
  </si>
  <si>
    <t>Mức thuế mới theo phương án cải cách là hợp lý so với thu nhập của tôi, giúp giảm gánh nặng tài chính và tăng cảm giác công bằng</t>
  </si>
  <si>
    <t>Tôi tin rằng số tiền thuế đóng sẽ được sử dụng hiệu quả để phục vụ lợi ích chung của xã hội, nhưng cần nhiều minh bạch hơn về cách sử dụng nguồn thu.</t>
  </si>
  <si>
    <t>Nhà nước đã giải thích rõ ràng mục tiêu và lý do cải cách thuế, giúp người dân hiểu được lợi ích từ việc thay đổi này</t>
  </si>
  <si>
    <t>Sau khi xem xét các quyền lợi và nghĩa vụ, tôi ủng hộ chính sách mới vì nó giúp giảm gánh nặng tài chính và tăng cảm giác công bằng, đồng thời tuân thủ các quy định.</t>
  </si>
  <si>
    <t>Nếu các quy định quản lý thuế hiện nay được thực thi nghiêm minh, việc phát hiện hành vi gian lận hoặc trốn thuế sẽ tăng lên, tuy nhiên tôi không chắc chắn về khả năng của nhà nước trong việc xử lý một cách công bằng.</t>
  </si>
  <si>
    <t>Nhà nước và cơ quan thuế có thể đã nâng cao khả năng phát hiện hành vi gian lận, nhưng thực tế liệu họ có đủ nguồn lực để xử lý nghiêm minh các vụ việc vi phạm thì tôi chưa chắc chắn.</t>
  </si>
  <si>
    <t>So với trước đây, quy trình khai báo thuế và làm việc với cơ quan thuế trở nên đơn giản hơn do mức giảm trừ gia cảnh tăng và số bậc thuế được rút gọn.</t>
  </si>
  <si>
    <t>Các bậc thuế mới đơn giản hơn và dễ hiểu, giúp tôi tính toán chính xác hơn về thu nhập chịu thuế của mình.</t>
  </si>
  <si>
    <t>Tôi tin rằng Nhà nước sẽ thực thi chính sách một cách khách quan nhưng vẫn lo ngại về việc liệu họ có công bằng với tất cả mọi người không, đặc biệt là những người thuộc các ngành nghề khác nhau.</t>
  </si>
  <si>
    <t>Mức thuế mới phù hợp với thu nhập của tôi và tôi thấy nó phản ánh sự đóng góp công bằng vào ngân sách nhà nước.</t>
  </si>
  <si>
    <t>Nhà nước đã sử dụng một phần số tiền thuế để cải thiện hạ tầng và dịch vụ công, điều này khiến tôi tin rằng việc đóng thuế là có ích cho cộng đồng.</t>
  </si>
  <si>
    <t>Các giải thích về mục tiêu của chính sách mới đã được cung cấp một cách rõ ràng, nhưng tôi vẫn mong muốn có thêm thông tin chi tiết về cách sử dụng số tiền thuế.</t>
  </si>
  <si>
    <t>Tôi ủng hộ và tuân thủ chính sách mới vì nó đơn giản hơn và giảm gánh nặng tài chính cho người dân như tôi, đồng thời giúp cải thiện chất lượng dịch vụ công</t>
  </si>
  <si>
    <t xml:space="preserve">Dù không hoàn toàn tin tưởng, nhưng với mức giảm trừ gia cảnh tăng lên và đơn giản hóa quy trình, việc phát hiện hành vi gian lận trở nên dễ dàng hơn. </t>
  </si>
  <si>
    <t>Nhà nước đã đầu tư công nghệ để quản lý thuế hiệu quả hơn, tuy nhiên còn cần cải thiện khả năng xử lý và xử phạt</t>
  </si>
  <si>
    <t>Quy trình khai báo thuế đơn giản hơn với mức giảm trừ gia cảnh cao hơn. Việc này giúp tôi dễ dàng thực hiện hơn.</t>
  </si>
  <si>
    <t>Số bậc thuế giảm từ 7 xuống còn 5, giảm đi sự phức tạp, dễ dàng tính toán và hiểu rõ hơn về thuế</t>
  </si>
  <si>
    <t>Tôi tin Nhà nước sẽ thực thi chính sách một cách công bằng với tất cả mọi người nộp thuế.</t>
  </si>
  <si>
    <t>Mức giảm trừ gia cảnh và bậc thuế mới phù hợp với thu nhập của tôi, cảm thấy công bằng</t>
  </si>
  <si>
    <t>Thuốc đóng góp vào việc cải thiện dịch vụ công như y tế và giao thông, tin tưởng số tiền thuế sử dụng hiệu quả</t>
  </si>
  <si>
    <t>Nhà nước đã giải thích rõ ràng về mục tiêu của chính sách mới, minh bạch trong việc thực thi</t>
  </si>
  <si>
    <t>Chính sách mới mang lại lợi ích tài chính và thuận tiện hơn cho tôi, đồng ý tuân thủ và ủng hộ</t>
  </si>
  <si>
    <t>Biểu thuế mới có ít bậc hơn và mức thuế suất rõ ràng hơn, dễ hiểu và thực hiện đơn giản hơn so với trước đây.</t>
  </si>
  <si>
    <t>Tôi tin rằng Nhà nước sẽ thực thi chính sách một cách công bằng và khách quan. Tuy nhiên, việc minh bạch thông tin còn chưa đầy đủ.</t>
  </si>
  <si>
    <t>Mức thuế mới theo tôi là hợp lý vì đã được điều chỉnh phù hợp với thu nhập của người dân như tôi.</t>
  </si>
  <si>
    <t>Tôi tin rằng số tiền thuế đóng sẽ được sử dụng hiệu quả, nhưng cần có thêm thông tin về cách sử dụng nguồn thu thuế này.</t>
  </si>
  <si>
    <t>Nhà nước đã giải thích rõ ràng về mục đích của việc sửa đổi luật thuế lần này. Tuy nhiên, tôi mong muốn có thêm nhiều thông tin chi tiết hơn về quá trình thực thi chính sách mới.</t>
  </si>
  <si>
    <t>Sau khi xem xét các quyền lợi và nghĩa vụ theo chính sách mới, tôi ủng hộ và sẽ tuân thủ. Tuy nhiên, vẫn cần cải thiện thêm trong việc minh bạch thông tin để tăng niềm tin của người dân.</t>
  </si>
  <si>
    <t>Dù thuế có giảm, tôi vẫn tin rằng cơ quan thuế đủ khả năng phát hiện và xử lý gian lận.</t>
  </si>
  <si>
    <t>Khả năng công nghệ của nhà nước đã tiến bộ đáng kể trong việc quản lý thuế.</t>
  </si>
  <si>
    <t>Quy trình làm việc với cơ quan thuế và khai báo thuế trở nên đơn giản hơn, tiện lợi cho người dân.</t>
  </si>
  <si>
    <t>Biểu thuế mới có ít bậc hơn, dễ hiểu và dễ thực hiện so với trước đây.</t>
  </si>
  <si>
    <t>Thuế mới giảm, tôi thấy mức này hợp lý cho thu nhập hiện tại của mình.</t>
  </si>
  <si>
    <t>Thuốc đóng góp vào cải thiện dịch vụ công là điều cần thiết và tôi tin tưởng số tiền thuế sẽ được sử dụng hiệu quả.</t>
  </si>
  <si>
    <t>Nhà nước đã giải thích rõ về mục tiêu của việc sửa đổi chính sách thuế này, mặc dù có thể còn thiếu thông tin.</t>
  </si>
  <si>
    <t>Tôi ủng hộ và tuân thủ chính sách mới vì nó mang lại lợi ích tài chính và thuận tiện cho người nộp thuế.</t>
  </si>
  <si>
    <t>Dù luật thuế mới đơn giản hơn, nhưng tôi vẫn lo ngại về khả năng phát hiện hành vi gian lận hoặc trốn thuế. Các quy định quản lý thuế hiện tại chưa thực sự hiệu quả.</t>
  </si>
  <si>
    <t>Tôi tin rằng cơ quan thuế có đủ khả năng và công nghệ để phát hiện, xử lý các hành vi trốn thuế, nhưng cần cải thiện về thực thi.</t>
  </si>
  <si>
    <t>So với trước đây, quy trình làm việc với cơ quan thuế đã đơn giản hơn. Tuy nhiên, vẫn có một số thủ tục phức tạp và khó hiểu đối với người dân bình thường.</t>
  </si>
  <si>
    <t>Cách tính thuế mới đơn giản và dễ hiểu hơn so với trước đây. Số bậc thuế giảm đã làm việc này trở nên thuận tiện hơn nhiều</t>
  </si>
  <si>
    <t>Tôi tin rằng Nhà nước sẽ thực thi chính sách một cách công bằng, nhưng cần có thêm các biện pháp để đảm bảo tính minh bạch và khách quan.</t>
  </si>
  <si>
    <t>Mức thuế mới là hợp lý đối với thu nhập của tôi. Các giảm trừ gia cảnh tăng lên đã làm giảm gánh nặng tài chính cho tôi</t>
  </si>
  <si>
    <t>Tôi tin tưởng rằng số tiền thuế tôi đóng sẽ được sử dụng hiệu quả để cải thiện dịch vụ công, nhưng cần có thêm minh bạch về cách sử dụng nguồn thu.</t>
  </si>
  <si>
    <t>Nhà nước đã giải thích rõ ràng về mục tiêu của việc sửa đổi thuế lần này. Tuy nhiên, tôi mong muốn có thêm thông tin chi tiết về các biện pháp cụ thể trong thực thi chính sách mới.</t>
  </si>
  <si>
    <t>Tôi ủng hộ và tuân thủ chính sách mới vì mức thuế giảm đã làm tăng sự công bằng và thuận tiện cho tôi. Tuy nhiên, tôi vẫn có một số lo ngại về thực thi và minh bạch</t>
  </si>
  <si>
    <t>Dù quy định quản lý thuế hiện nay có nhiều cải tiến, nhưng việc phát hiện và xử lý hành vi gian lận hoặc trốn thuế vẫn còn phụ thuộc vào năng lực của cơ quan thuế. Với số lượng người nộp thuế lớn, khó đảm bảo 100% hiệu quả trong việc phát hiện.</t>
  </si>
  <si>
    <t>Cơ quan thuế có khả năng và công nghệ để phát hiện trốn thuế tốt hơn nhờ các cải tiến công nghệ. Tuy nhiên, hiệu quả thực tế còn phụ thuộc vào nguồn lực và quyết tâm của cơ quan quản lý.</t>
  </si>
  <si>
    <t>So với trước đây, thủ tục khai báo thuế và làm việc với cơ quan thuế trở nên đơn giản hơn. Việc tăng giảm trừ gia cảnh rõ ràng giúp quá trình khai thuế thuận lợi hơn.</t>
  </si>
  <si>
    <t>Biểu thuế được đơn giản hóa từ 7 bậc xuống 5, dễ hiểu và thực hiện nhanh chóng hơn. Tuy nhiên, các mức thuế suất vẫn có thể gây nhầm lẫn đối với người dân.</t>
  </si>
  <si>
    <t>Nhà nước đã cố gắng xử lý công bằng giữa các đối tượng nộp thuế thông qua việc tăng giảm trừ gia cảnh và đơn giản hóa biểu thuế. Tuy nhiên, việc thực thi vẫn cần sự minh bạch hơn.</t>
  </si>
  <si>
    <t>Mức thuế mới phù hợp với thu nhập của tôi, giảm gánh nặng tài chính mà không làm mất công bằng so với các đối tượng khác. Tuy nhiên, việc phân loại thu nhập vào bậc thuế vẫn cần cải thiện.</t>
  </si>
  <si>
    <t>Thuê đóng góp vào ngân sách nhà nước và được sử dụng hiệu quả cho các dịch vụ công. Tuy nhiên, thông tin về cách sử dụng cụ thể của nguồn thu còn hạn chế đối với người dân.</t>
  </si>
  <si>
    <t>Nhà nước đã giải thích rõ ràng mục tiêu và lý do của việc sửa đổi thuế trong các tài liệu chính sách. Tuy nhiên, sự minh bạch về cách sử dụng nguồn thu cần được cải thiện.</t>
  </si>
  <si>
    <t>Tác động tài chính tích cực từ chính sách mới đã giúp tôi tiết kiệm đáng kể, tăng niềm tin vào hệ thống thuế và cam kết tuân thủ. Dù còn tồn tại một số vấn đề về minh bạch, nhưng tổng thể là ủng hộ.</t>
  </si>
  <si>
    <t>Thuế hiện nay có nhiều quy định và cần thêm thời gian để quen thuộc. Tuy nhiên, với sự phát triển công nghệ của cơ quan thuế, khả năng phát hiện trốn thuế cao hơn.</t>
  </si>
  <si>
    <t>Cơ quan thuế đã đầu tư vào công nghệ và nhân lực để cải thiện quản lý thuế. Tuy nhiên, vẫn còn nhiều thách thức trong việc kiểm soát toàn diện.</t>
  </si>
  <si>
    <t>Quy trình khai báo thuế trở nên đơn giản hơn với mức giảm trừ gia cảnh tăng cao và số bậc thuế giảm, dễ thực hiện hơn cho người dân.</t>
  </si>
  <si>
    <t>Công thức tính thuế mới rõ ràng hơn, các bậc thuế đơn giản hóa giúp việc tính toán thuận tiện. Điều này làm giảm gánh nặng quản lý của cả người nộp và cơ quan thuế.</t>
  </si>
  <si>
    <t>Tôi tin rằng Nhà nước sẽ thực thi chính sách một cách công bằng, mặc dù vẫn có những lo ngại về việc kiểm soát trốn thuế đầy đủ. Mức giảm trừ gia cảnh tăng lên cho thấy sự công bằng trong việc phân bổ thu nhập.</t>
  </si>
  <si>
    <t>Thuế mới này là hợp lý với thu nhập của tôi, mức giảm trừ gia cảnh và số bậc thuế giảm giúp giảm gánh nặng tài chính. Điều này làm tăng sự công bằng trong việc phân chia trách nhiệm giữa người nộp và Nhà nước.</t>
  </si>
  <si>
    <t>Tôi tin rằng số tiền thuế đóng sẽ được sử dụng hiệu quả cho các dịch vụ công như y tế, giáo dục. Mức giảm trừ gia cảnh tăng lên cho thấy sự đầu tư vào việc cải thiện chất lượng cuộc sống của người dân.</t>
  </si>
  <si>
    <t>Nhà nước đã giải thích rõ ràng về mục tiêu và lý do sửa đổi thuế qua nhiều kênh thông tin. Tuy nhiên, vẫn còn một số điểm chưa rõ ràng cần được làm rõ hơn để tăng niềm tin.</t>
  </si>
  <si>
    <t>Tôi ủng hộ chính sách mới này vì nó đơn giản hóa quy trình và giảm gánh nặng thuế cho người dân. Việc cải thiện công bằng trong việc phân chia trách nhiệm giữa Nhà nước và người nộp thuế cũng là một yếu tố quan trọng.</t>
  </si>
  <si>
    <t>Mặc dù mức thuế giảm, nhưng tôi vẫn lo ngại về khả năng phát hiện và xử lý gian lận của cơ quan thuế.</t>
  </si>
  <si>
    <t>Tôi tin rằng với sự phát triển công nghệ, khả năng giám sát các hành vi trốn thuế sẽ được cải thiện đáng kể.</t>
  </si>
  <si>
    <t>Quy trình khai báo thuế trở nên đơn giản hơn, nhưng tôi vẫn cần thời gian để quen thuộc với những thay đổi mới.</t>
  </si>
  <si>
    <t>Biểu thuế mới rõ ràng hơn so với trước đây, giúp việc tính toán dễ dàng hơn và giảm bớt rắc rối.</t>
  </si>
  <si>
    <t>Tôi tin rằng cơ quan thuế sẽ thực thi chính sách một cách công bằng, nhưng vẫn có sự nghi ngờ về khả năng kiểm soát gian lận.</t>
  </si>
  <si>
    <t>Mức thuế mới phù hợp với thu nhập của tôi và gia đình, cho thấy sự công bằng trong việc phân bổ gánh nặng tài chính.</t>
  </si>
  <si>
    <t>Thuế đóng góp vào việc cải thiện dịch vụ công, nhưng hiệu quả sử dụng nguồn lực vẫn cần được giám sát chặt chẽ.</t>
  </si>
  <si>
    <t>Nhà nước đã cung cấp thông tin chi tiết về mục tiêu và lý do của chính sách mới, tạo sự minh bạch.</t>
  </si>
  <si>
    <t>Ngay cả khi thuế giảm, tôi vẫn cần cân nhắc kỹ lưỡng trước khi tuân thủ chính sách mới để tránh rủi ro gian lận.</t>
  </si>
  <si>
    <t>Nhìn chung, tôi đồng ý với nhận định này. Với việc tăng giảm trừ gia cảnh và đơn giản hóa biểu thuế, hành vi gian lận sẽ bị phát hiện dễ dàng hơn.</t>
  </si>
  <si>
    <t>Tôi tin rằng nhà nước đã đầu tư công nghệ để theo dõi các giao dịch tài chính, giúp phát hiện và xử lý nghiêm các hành vi trốn thuế.</t>
  </si>
  <si>
    <t>Thủ tục khai báo thuế trở nên đơn giản hơn với việc giảm số bậc thuế và tăng giảm trừ gia cảnh. Điều này làm cho quy trình thuận tiện và nhanh chóng hơn.</t>
  </si>
  <si>
    <t>Cách tính thuế và các bậc thuế mới dễ hiểu hơn, đặc biệt là sau khi đã được giải thích rõ ràng.</t>
  </si>
  <si>
    <t>Tôi tin rằng Nhà nước sẽ thực thi chính sách một cách công bằng với tất cả người nộp thuế. Việc tăng giảm trừ gia cảnh và đơn giản hóa biểu thuế tạo ra sự công bằng trong việc đóng thuế.</t>
  </si>
  <si>
    <t>Mức thuế mới mà tôi phải đóng là hợp lý, đặc biệt khi so sánh với mức thuế trước đây. Việc giảm trừ gia cảnh cũng tăng thêm tính công bằng.</t>
  </si>
  <si>
    <t>Sau khi xem xét, tôi tin rằng số tiền thuế tôi đóng sẽ được sử dụng hiệu quả để cải thiện dịch vụ công. Điều này tạo ra sự liên kết giữa việc đóng thuế và lợi ích cho cộng đồng.</t>
  </si>
  <si>
    <t>Nhà nước đã giải thích rõ ràng về mục tiêu của việc sửa đổi thuế, giúp tôi hiểu rõ hơn về chính sách mới.</t>
  </si>
  <si>
    <t>Sau khi xem xét tất cả các yếu tố, tôi ủng hộ và sẽ tuân thủ chính sách mới. Việc giảm trừ gia cảnh và đơn giản hóa biểu thuế tạo ra lợi ích thực tế cho người dân như tôi.</t>
  </si>
  <si>
    <t>Nhìn chung, tôi tin rằng cơ quan thuế có khả năng phát hiện hành vi gian lận nhưng không hoàn toàn chắc chắn.</t>
  </si>
  <si>
    <t>Cơ quan thuế đang đầu tư công nghệ và nhân lực để cải thiện quản lý, tuy nhiên cần thời gian để thực sự hiệu quả.</t>
  </si>
  <si>
    <t>Quy trình khai báo đã đơn giản hơn so với trước đây, thủ tục nhanh chóng nhưng vẫn còn một số bước cần cải thiện.</t>
  </si>
  <si>
    <t>Cách tính thuế mới dễ hiểu và thực hiện đơn giản hơn, giảm bớt sự phức tạp cho người dân.</t>
  </si>
  <si>
    <t>Tôi tin rằng cơ quan thuế sẽ thực thi chính sách một cách công bằng nhưng vẫn có chút nghi ngờ về khả năng thực hiện.</t>
  </si>
  <si>
    <t>Nhìn chung mức thuế mới là hợp lý và phù hợp với thu nhập của tôi, giảm gánh nặng tài chính.</t>
  </si>
  <si>
    <t>Đồng ý rằng số tiền thuế đóng sẽ được sử dụng hiệu quả cho các dịch vụ công nhưng cần thời gian để đánh giá.</t>
  </si>
  <si>
    <t>Nhà nước đã giải thích rõ về mục tiêu của chính sách mới, tuy nhiên vẫn có một số điểm chưa minh bạch.</t>
  </si>
  <si>
    <t>Tôi ủng hộ và tuân thủ chính sách mới do tác động tích cực đến tài chính cá nhân và sự đơn giản hóa quy trình thuế.</t>
  </si>
  <si>
    <t>Dựa trên quy định quản lý thuế hiện nay, tôi nghĩ việc phát hiện và xử lý trốn thuế sẽ khó khăn hơn vì có nhiều cách che giấu thu nhập. Tuy nhiên, với sự tiến bộ về công nghệ thông tin, khả năng phát hiện có thể được cải thiện.</t>
  </si>
  <si>
    <t>Nhà nước và cơ quan thuế đã đầu tư công nghệ để theo dõi các giao dịch tài chính nên khả năng phát hiện trốn thuế sẽ tốt hơn. Tuy nhiên, vẫn còn nhiều thách thức trong việc giám sát.</t>
  </si>
  <si>
    <t>Quy trình khai thuế và làm việc với cơ quan thuế đã đơn giản hóa so với trước đây, giảm bớt các bước rườm rà. Điều này giúp người dân nộp thuế thuận lợi hơn.</t>
  </si>
  <si>
    <t>Biểu thuế mới có ít bậc và dễ hiểu hơn, giúp việc tính toán thuế trở nên đơn giản. Người dân không còn lo lắng về sự phức tạp trước đây.</t>
  </si>
  <si>
    <t>Tôi tin rằng cơ quan thuế sẽ thực thi chính sách một cách khách quan và công bằng. Sự thay đổi trong các mức giảm trừ gia cảnh và bậc thuế giúp việc tính toán trở nên công bằng hơn.</t>
  </si>
  <si>
    <t>Mức thuế tôi phải đóng theo phương án mới đã giảm đáng kể, điều này cho thấy sự công bằng khi so sánh với mức thu nhập hiện tại. Nó phản ánh đúng mức độ đóng góp của người dân.</t>
  </si>
  <si>
    <t>Sau khi xem xét, tôi tin rằng số tiền thuế tôi đóng sẽ được sử dụng hiệu quả để cải thiện các dịch vụ công. Điều này tăng thêm niềm tin vào việc đầu tư công.</t>
  </si>
  <si>
    <t>Nhà nước đã giải thích rõ ràng về sự thay đổi trong chính sách thuế, giúp tôi hiểu được mục tiêu và lý do của nó. Việc minh bạch này tăng tính công bằng và tin cậy.</t>
  </si>
  <si>
    <t>Đối với chính sách mới hiện nay, tôi ủng hộ vì nó mang lại lợi ích về mặt tài chính và thuận tiện cho người nộp thuế. Việc giảm trừ gia cảnh và bậc thuế mới giúp tôi cảm thấy công bằng hơn.</t>
  </si>
  <si>
    <t>Nhà nước đã tăng cường quản lý thuế thông qua công nghệ và hệ thống giám sát, nhưng vẫn cần sự hỗ trợ từ người dân để phát hiện hành vi trốn thuế.</t>
  </si>
  <si>
    <t>Cơ quan thuế có khả năng sử dụng công nghệ cao hơn để phát hiện trốn thuế, tuy nhiên, vẫn cần thời gian và nguồn lực cho việc triển khai.</t>
  </si>
  <si>
    <t>Hệ thống khai báo thuế đã đơn giản hơn, nhưng vẫn còn một số thủ tục phức tạp cần cải thiện.</t>
  </si>
  <si>
    <t>Phương án mới có ít bậc thuế hơn và dễ hiểu hơn so với trước đây, giúp giảm bớt sự phức tạp cho người dân.</t>
  </si>
  <si>
    <t>Tôi tin rằng Nhà nước sẽ thực thi chính sách một cách công bằng, nhưng vẫn cần thời gian để chứng minh.</t>
  </si>
  <si>
    <t>Mức thuế mới phù hợp với thu nhập của tôi, giảm đáng kể so với trước đây. Tôi thấy điều này là công bằng.</t>
  </si>
  <si>
    <t>Thuế được sử dụng để cải thiện dịch vụ công và phát triển cơ sở hạ tầng, giúp nâng cao chất lượng cuộc sống.</t>
  </si>
  <si>
    <t>Nhà nước đã giải thích rõ ràng về mục tiêu của việc sửa đổi thuế, nhưng cần tiếp tục làm rõ hơn nữa về cách sử dụng nguồn thu.</t>
  </si>
  <si>
    <t>Tôi ủng hộ và tuân thủ chính sách mới vì nó mang lại nhiều lợi ích và giảm gánh nặng tài chính cho tôi.</t>
  </si>
  <si>
    <t>Việc tăng mức giảm trừ gia cảnh và đơn giản hóa biểu thuế có thể làm giảm khả năng phát hiện hành vi trốn thuế, nhưng cơ quan thuế vẫn có đủ nguồn lực để kiểm soát.</t>
  </si>
  <si>
    <t>Cơ sở hạ tầng công nghệ thông tin của Việt Nam ngày càng phát triển, nên việc phát hiện và xử lý gian lận trốn thuế sẽ trở nên dễ dàng hơn.</t>
  </si>
  <si>
    <t>Việc đơn giản hóa biểu thuế từ 7 bậc xuống 5 bậc đã làm giảm sự phức tạp trong quy trình khai báo thuế, thuận tiện cho người dân.</t>
  </si>
  <si>
    <t>Các bậc thuế mới rõ ràng hơn và dễ hiểu, giúp việc tính toán thuế trở nên đơn giản hơn so với trước đây.</t>
  </si>
  <si>
    <t>Nhà nước đã công bố các quy định mới một cách minh bạch, tạo niềm tin cho người dân về sự công bằng trong việc thực thi chính sách.</t>
  </si>
  <si>
    <t>Với mức thu nhập của mình, tôi thấy rằng mức thuế mới được áp dụng là phù hợp và công bằng.</t>
  </si>
  <si>
    <t>Sau khi xem xét tác động tài chính tích cực từ chính sách mới, tôi tin rằng số tiền thuế đóng sẽ được sử dụng hiệu quả để cải thiện chất lượng cuộc sống của người dân.</t>
  </si>
  <si>
    <t>Nhà nước đã giải thích rõ ràng về mục đích và nguyên nhân của việc sửa đổi thuế lần này, tạo sự tin tưởng cho người dân.</t>
  </si>
  <si>
    <t>Tôi ủng hộ chính sách mới vì nó mang lại lợi ích tài chính và thuận tiện hơn cho tôi, đồng thời thể hiện sự công bằng trong việc đóng góp cho xã hội.</t>
  </si>
  <si>
    <t>Với mức thuế giảm và quy định quản lý thuế rõ ràng, tôi tin rằng hành vi gian lận sẽ bị phát hiện dễ dàng.</t>
  </si>
  <si>
    <t>Cơ quan thuế có nhiều công cụ kỹ thuật để theo dõi thuế, việc này làm tăng khả năng kiểm tra và xử lý nghiêm các hành vi trốn thuế.</t>
  </si>
  <si>
    <t>Quy trình khai báo thuế trở nên đơn giản hơn với mức giảm trừ gia cảnh cao hơn, giúp quá trình thuận tiện hơn cho người dân.</t>
  </si>
  <si>
    <t>Số bậc thuế từ 7 xuống còn 5 tạo cảm giác rõ ràng và dễ dàng áp dụng hơn cho người nộp thuế.</t>
  </si>
  <si>
    <t>Tôi tin rằng cơ quan thuế sẽ thực thi chính sách công bằng, với mức thuế giảm đáng kể so với trước đây.</t>
  </si>
  <si>
    <t>Mức thuế mới phù hợp với thu nhập của tôi, giúp tôi cảm thấy công bằng khi đóng góp vào ngân sách quốc gia.</t>
  </si>
  <si>
    <t>Tôi tin rằng số tiền thuế đóng sẽ được sử dụng hiệu quả để cải thiện các dịch vụ công.</t>
  </si>
  <si>
    <t>Nhà nước đã giải thích rõ ràng mục tiêu của chính sách mới, tạo sự minh bạch cho người dân.</t>
  </si>
  <si>
    <t>Tác động tài chính tích cực và quy trình đơn giản hơn khiến tôi ủng hộ và tuân thủ chính sách mới.</t>
  </si>
  <si>
    <t>Thuế TNCN mới đã giảm đáng kể, tôi tin rằng cơ quan thuế sẽ tập trung vào việc thực thi chính sách mới này.</t>
  </si>
  <si>
    <t>Công nghệ hiện đại có thể giúp phát hiện và xử lý các hành vi trốn thuế một cách nhanh chóng.</t>
  </si>
  <si>
    <t>Quy trình khai báo thuế trở nên đơn giản hơn, dễ dàng thực hiện hơn so với trước đây.</t>
  </si>
  <si>
    <t>Biểu thuế mới đã đơn giản hóa và dễ hiểu hơn, giảm bớt sự phức tạp cho người dân.</t>
  </si>
  <si>
    <t>Tôi tin rằng cơ quan thuế sẽ thực thi chính sách một cách công bằng với tất cả mọi người nộp thuế.</t>
  </si>
  <si>
    <t>Thuế tôi phải đóng thấp hơn so với trước đây, do đó tôi cảm thấy mức thuế này là công bằng.</t>
  </si>
  <si>
    <t>Tôi tin rằng số tiền thuế tôi đóng sẽ được sử dụng hiệu quả để cải thiện các dịch vụ công.</t>
  </si>
  <si>
    <t>Tôi ủng hộ chính sách mới vì nó mang lại lợi ích tài chính cho tôi, giảm gánh nặng thuế.</t>
  </si>
  <si>
    <t>Có các quy định quản lý thuế hiện tại, nhưng tôi vẫn nghi ngờ về khả năng phát hiện trốn thuế của cơ quan thuế do thiếu thông tin và nguồn lực.</t>
  </si>
  <si>
    <t>Tôi cho rằng Nhà nước có đủ tiềm lực tài chính để đầu tư vào công nghệ kiểm soát thuế, nhưng thực tế chưa rõ ràng.</t>
  </si>
  <si>
    <t>Thủ tục khai báo thuế nhanh chóng hơn, nhưng tôi vẫn thấy một số bước phức tạp khi làm việc với cơ quan thuế.</t>
  </si>
  <si>
    <t>Phương án mới đơn giản hóa quy trình tính thuế và các bậc thuế, dễ hiểu và thực hiện hơn so với trước đây.</t>
  </si>
  <si>
    <t>Tôi tin rằng Nhà nước sẽ thực thi chính sách công bằng, nhưng cần thời gian để chứng minh.</t>
  </si>
  <si>
    <t>Mức thuế mới công bằng đối với thu nhập của tôi, giảm trừ gia cảnh và bậc thuế đã được cải thiện.</t>
  </si>
  <si>
    <t>Thuế đóng góp vào việc cải thiện dịch vụ công, nhưng cần có thêm thông tin về cách sử dụng nguồn lực này.</t>
  </si>
  <si>
    <t>Nhà nước đã giải thích rõ mục tiêu và lý do của chính sách mới, nhưng chi tiết thực hiện còn hạn chế.</t>
  </si>
  <si>
    <t>Tôi ủng hộ chính sách mới vì giảm trừ gia cảnh tốt hơn và quy trình thuế đơn giản hơn. Tôi sẽ tuân thủ nếu chính sách được thực thi một cách công bằng.</t>
  </si>
  <si>
    <t>Hiện nay, cơ quan thuế đã ứng dụng công nghệ cao trong quản lý thuế, như hệ thống điện tử, phần mềm khai thuế, giúp việc phát hiện hành vi gian lận trở nên dễ dàng hơn. Điều này làm tăng khả năng phát hiện và xử lý nghiêm các trường hợp trốn thuế.</t>
  </si>
  <si>
    <t>Nhà nước đã đầu tư mạnh vào công nghệ thông tin, nâng cao chất lượng dữ liệu và hệ thống quản lý thuế. Điều này cho thấy Nhà nước có đủ khả năng để phát hiện và xử lý nghiêm các hành vi trốn thuế.</t>
  </si>
  <si>
    <t>So với trước đây, quy trình khai báo thuế đã đơn giản hơn nhiều, sử dụng phần mềm điện tử giúp việc làm thủ tục trở nên nhanh chóng và tiện lợi. Điều này cải thiện đáng kể sự thuận tiện cho người dân.</t>
  </si>
  <si>
    <t>Số bậc thuế giảm từ 7 xuống còn 5, cùng với mức giảm trừ gia cảnh cao hơn, giúp việc tính thuế trở nên dễ hiểu và đơn giản. Điều này làm giảm độ phức tạp của quy trình tính thuế.</t>
  </si>
  <si>
    <t>Nhà nước đã công bố rõ ràng về mục đích và nguyên tắc thực thi chính sách mới, thể hiện sự khách quan và công bằng trong việc xử lý các trường hợp nộp thuế.</t>
  </si>
  <si>
    <t>Với mức giảm trừ gia cảnh cao hơn và số bậc thuế ít hơn, tôi thấy rằng mình đang đóng mức thuế công bằng cho thu nhập của mình. Điều này làm tăng niềm tin vào sự công bằng của chính sách.</t>
  </si>
  <si>
    <t>Thuận tiện với các quy định mới, số tiền thuế tôi nộp sẽ được sử dụng hiệu quả để cải thiện dịch vụ công, như y tế và giao thông. Điều này làm tăng niềm tin vào việc sử dụng tiền thuế một cách minh bạch.</t>
  </si>
  <si>
    <t>Nhà nước đã giải thích rõ ràng về lý do và mục tiêu của việc sửa đổi chính sách thuế, thể hiện sự minh bạch trong quá trình thực thi.</t>
  </si>
  <si>
    <t>Sau khi xem xét các quyền lợi và nghĩa vụ mới, tôi ủng hộ và tuân thủ chính sách thuế mới. Việc giảm thuế giúp tài chính gia đình cải thiện đáng kể.</t>
  </si>
  <si>
    <t>Hiện nay, mặc dù các quy định quản lý thuế đã được cải thiện nhưng với mức thu nhập và giảm trừ gia cảnh cao như hiện tại, tôi không thấy có sự khác biệt đáng kể trong khả năng phát hiện hành vi trốn thuế.</t>
  </si>
  <si>
    <t>Nhà nước và cơ quan thuế đã đầu tư vào công nghệ để giám sát các giao dịch tài chính, do đó tôi tin rằng họ có đủ khả năng phát hiện và xử lý nghiêm các hành vi trốn thuế.</t>
  </si>
  <si>
    <t>So với trước đây, quy trình khai báo thuế và làm việc với cơ quan thuế đã đơn giản hơn rất nhiều. Tuy nhiên, tôi vẫn mong muốn có thêm hướng dẫn chi tiết hơn để tránh nhầm lẫn.</t>
  </si>
  <si>
    <t>Các bậc thuế mới được đơn giản hóa và dễ hiểu hơn so với trước đây, giảm bớt sự phức tạp trong việc tính toán. Điều này giúp tôi dễ dàng tuân thủ hơn.</t>
  </si>
  <si>
    <t>Tôi tin rằng Nhà nước sẽ thực thi chính sách một cách công bằng và khách quan, đặc biệt là khi mức giảm trừ gia cảnh cao hơn thu nhập của tôi, giúp tôi không phải đóng thuế.</t>
  </si>
  <si>
    <t>Mức thuế mới mà tôi phải đóng được xem xét kỹ lưỡng và phù hợp với tình hình kinh tế cá nhân của tôi. Điều này làm tăng niềm tin vào tính công bằng của chính sách.</t>
  </si>
  <si>
    <t>Tôi tin rằng số tiền thuế tôi đóng sẽ được sử dụng hiệu quả để cải thiện các dịch vụ công, đặc biệt là y tế và hạ tầng cơ sở. Điều này tăng sự chấp nhận đối với chính sách mới.</t>
  </si>
  <si>
    <t>Nhà nước đã giải thích rõ ràng về mục tiêu của việc sửa đổi thuế, tuy nhiên tôi vẫn mong muốn có thêm thông tin chi tiết về cách sử dụng số tiền thuế thu được để tăng sự minh bạch.</t>
  </si>
  <si>
    <t>Dựa trên những cải tiến về mức giảm trừ gia cảnh và quy trình làm việc đơn giản hơn, tôi sẽ ủng hộ và tuân thủ chính sách mới. Điều này giúp ích cho cả tôi và cộng đồng.</t>
  </si>
  <si>
    <t>Hiện nay, các quy định quản lý thuế đã được cải thiện đáng kể, với việc sử dụng công nghệ tiên tiến để phát hiện gian lận và trốn thuế. Điều này làm tăng độ tin cậy trong việc thực thi pháp luật.</t>
  </si>
  <si>
    <t>Nhà nước đã đầu tư vào hệ thống quản lý thuế, bao gồm công nghệ thông tin tiên tiến giúp phát hiện và xử lý nhanh chóng các hành vi trốn thuế. Đây là một bước tiến lớn.</t>
  </si>
  <si>
    <t>Việc giảm số bậc thuế và đơn giản hóa quy trình khai báo thuế đã làm cho thủ tục trở nên dễ dàng và thuận tiện hơn nhiều so với trước đây.</t>
  </si>
  <si>
    <t>Các bậc thuế mới và mức giảm trừ gia cảnh cao hơn giúp việc tính thuế đơn giản hóa, dễ hiểu và dễ thực hiện hơn.</t>
  </si>
  <si>
    <t>Tôi tin rằng Nhà nước sẽ thực thi chính sách một cách công bằng đối với mọi người nộp thuế. Các thông báo về chính sách mới đã được giải thích rõ ràng.</t>
  </si>
  <si>
    <t>Mức thuế mới mà tôi phải đóng là hợp lý và công bằng, đặc biệt sau khi giảm trừ gia cảnh và số bậc thuế được đơn giản hóa.</t>
  </si>
  <si>
    <t>Tôi tin rằng số tiền thuế tôi đóng sẽ được sử dụng hiệu quả để cải thiện dịch vụ công như y tế và giao thông. Đây là một mục tiêu chính đáng.</t>
  </si>
  <si>
    <t>Nhà nước đã giải thích rõ ràng về lý do và mục tiêu của việc sửa đổi thuế, giúp tôi hiểu được tầm quan trọng của chính sách mới này.</t>
  </si>
  <si>
    <t>Tôi ủng hộ chính sách mới vì nó mang lại lợi ích tài chính và thuận tiện hơn cho người dân. Tôi sẽ tuân thủ để đóng góp vào sự phát triển chung của đất nước.</t>
  </si>
  <si>
    <t>Thuế TNCN mới có nhiều cải tiến về mức giảm trừ gia cảnh và đơn giản hóa biểu thuế, nên hành vi gian lận sẽ khó hơn. Tuy nhiên, việc thực thi vẫn phụ thuộc vào hiệu quả của cơ quan thuế trong phát hiện và xử lý.</t>
  </si>
  <si>
    <t>Nhà nước đã đầu tư công nghệ để hỗ trợ kiểm soát thuế, tuy nhiên, hiệu quả thực tế còn cần thời gian chứng minh.</t>
  </si>
  <si>
    <t>Thủ tục khai báo thuế trở nên đơn giản hơn với mức giảm trừ gia cảnh mới và biểu thuế ít bậc hơn, nhưng việc thực hiện vẫn cần sự tuân thủ từ phía người nộp thuế.</t>
  </si>
  <si>
    <t>Biểu thuế mới có ít bậc và dễ hiểu hơn, giúp tính toán nhanh chóng và chính xác hơn. Điều này làm cho quá trình khai báo trở nên thuận tiện hơn so với trước đây.</t>
  </si>
  <si>
    <t>Tôi tin rằng cơ quan thuế sẽ thực thi chính sách một cách công tâm, mặc dù mức thuế mới có thể thay đổi so với trước đây. Sự minh bạch về quy định mới làm tăng niềm tin.</t>
  </si>
  <si>
    <t>Mức thuế mới được giảm đáng kể so với trước đây, đặc biệt là sau khi tính toán các mức giảm trừ gia cảnh. Điều này thể hiện sự công bằng trong việc đánh thuế.</t>
  </si>
  <si>
    <t>Số tiền thuế tôi đóng sẽ được sử dụng để cải thiện dịch vụ công, như y tế và giao thông. Mức thuế mới giúp tôi cảm thấy rằng mình đang đóng góp vào sự phát triển chung của xã hội.</t>
  </si>
  <si>
    <t>Nhà nước đã giải thích rõ ràng về mục tiêu của việc cải cách thuế, mặc dù có thể còn nhiều ý kiến khác nhau về hiệu quả thực tế của nó.</t>
  </si>
  <si>
    <t>Chính sách mới làm giảm gánh nặng tài chính cho tôi và gia đình. Mặc dù vẫn giữ một thái độ cảnh giác, nhưng tôi ủng hộ cải cách thuế này vì những lợi ích mà nó mang lại.</t>
  </si>
  <si>
    <t>Dựa trên thông tin, tôi thấy các quy định quản lý thuế hiện nay có nhiều biện pháp phát hiện hành vi gian lận và trốn thuế. Tuy nhiên, do chưa thực tế trải nghiệm, nên vẫn còn một chút lo lắng.</t>
  </si>
  <si>
    <t>Nhà nước đã đầu tư công nghệ để hỗ trợ việc quản lý thuế, tuy nhiên, việc xử lý nghiêm các hành vi trốn thuế cần sự phối hợp chặt chẽ giữa cơ quan chức năng và người nộp thuế.</t>
  </si>
  <si>
    <t>So với trước đây, quy trình khai báo thuế đơn giản hơn nhiều. Các bước thực hiện thuận tiện và nhanh chóng hơn, dễ dàng theo dõi quá trình.</t>
  </si>
  <si>
    <t>Biểu thuế mới rõ ràng hơn về các bậc thuế suất và ngưỡng chịu thuế, giúp việc tính toán thu nhập dễ hiểu và dễ thực hiện hơn.</t>
  </si>
  <si>
    <t>Tôi tin rằng cơ quan thuế sẽ thực thi chính sách một cách khách quan. Tuy nhiên, để tăng độ tin cậy, cần có thêm thông tin về quy trình giám sát và kiểm tra.</t>
  </si>
  <si>
    <t>Thuế theo phương án mới phù hợp với thu nhập của tôi, giảm đáng kể so với trước đây. Điều này thể hiện sự công bằng trong việc đánh giá mức thuế.</t>
  </si>
  <si>
    <t>Với số tiền thuế giảm, tôi có thêm cơ hội đầu tư hoặc tiết kiệm. Tôi tin rằng tiền thuế sẽ được sử dụng hiệu quả cho các dịch vụ công ích.</t>
  </si>
  <si>
    <t>Nhà nước đã giải thích rõ ràng về mục đích và lý do của việc sửa đổi thuế, tuy nhiên, để tăng độ tin cậy, cần có thêm thông tin cụ thể hơn về sử dụng nguồn thu</t>
  </si>
  <si>
    <t>Chính sách mới tạo ra sự công bằng và thuận tiện cho người dân. Tôi ủng hộ và sẽ tuân thủ chính sách.</t>
  </si>
  <si>
    <t>Chính phủ và cơ quan thuế đã có nhiều nỗ lực trong việc tăng cường quản lý, phát hiện và xử lý các hành vi gian lận hoặc trốn thuế. Tuy nhiên, vẫn còn một số khó khăn về mặt công nghệ và nguồn lực.</t>
  </si>
  <si>
    <t>Cơ quan thuế có khả năng và công nghệ tốt hơn để phát hiện các hành vi gian lận hoặc trốn thuế so với trước đây, do đó tôi tin rằng việc xử lý nghiêm sẽ được thực hiện hiệu quả.</t>
  </si>
  <si>
    <t>So với trước đây, quy trình khai báo và làm việc với cơ quan thuế đã trở nên đơn giản hơn, nhưng vẫn còn một số thủ tục rườm rà cần cải tiến.</t>
  </si>
  <si>
    <t>Biểu thuế mới có ít bậc hơn, dễ hiểu và dễ thực hiện, do đó tôi cảm thấy cách tính thuế trở nên đơn giản hơn so với trước đây.</t>
  </si>
  <si>
    <t>Tôi tin rằng chính phủ sẽ công bằng trong việc thực thi chính sách mới, nhưng vẫn cần thêm thời gian để xem xét các quy định và cách thực hiện.</t>
  </si>
  <si>
    <t>Thuế tôi phải đóng theo phương án mới là hợp lý vì nó dựa trên mức thu nhập của tôi. Việc tăng giảm trừ gia cảnh cũng giúp công bằng hơn cho người lao động.</t>
  </si>
  <si>
    <t>Việc giảm thuế và cải thiện các quyền lợi có thể làm tăng niềm tin vào việc sử dụng hiệu quả số tiền thuế này để nâng cao chất lượng dịch vụ công.</t>
  </si>
  <si>
    <t>Chính phủ đã giải thích rõ ràng về mục tiêu và lý do của việc sửa đổi chính sách thuế. Tuy nhiên, cần thêm thông tin chi tiết hơn để tăng độ tin cậy.</t>
  </si>
  <si>
    <t>Tôi ủng hộ và tuân thủ chính sách mới vì nó mang lại lợi ích rõ ràng cho tôi, bao gồm việc giảm thuế và cải thiện quyền lợi. Tôi hy vọng rằng chính phủ sẽ tiếp tục cải tiến các quy định.</t>
  </si>
  <si>
    <t>Trong thực tế, các quy định quản lý thuế hiện nay đã có nhiều cải tiến, tuy nhiên để phát hiện và xử lý nghiêm các hành vi gian lận hay trốn thuế vẫn còn gặp nhiều khó khăn. Cơ quan thuế cần nâng cao năng lực và công nghệ hơn nữa.</t>
  </si>
  <si>
    <t>Nhà nước và cơ quan thuế đã có sự đầu tư vào hệ thống công nghệ thông tin, tuy nhiên việc phát hiện gian lận hay trốn thuế vẫn cần thời gian để hoàn thiện.</t>
  </si>
  <si>
    <t>Các thủ tục khai báo thuế và quy trình làm việc với cơ quan thuế đã đơn giản hơn, nhưng vẫn còn một số rào cản về mặt kỹ thuật và hiểu biết của người dân.</t>
  </si>
  <si>
    <t>So với trước đây, cách tính thuế và các bậc thuế trong phương án mới đã rõ ràng và dễ hiểu hơn nhiều, giúp người dân dễ dàng thực hiện.</t>
  </si>
  <si>
    <t>Tôi tin rằng Nhà nước sẽ thực thi chính sách một cách công bằng và minh bạch. Tuy nhiên, do sự phức tạp của hệ thống thuế trước đây, tôi cần thời gian để quen với các quy định mới.</t>
  </si>
  <si>
    <t>Mức thuế mới theo phương án mới có vẻ công bằng hơn so với trước đây. Tôi cảm thấy mình đóng mức thuế này là hợp lý.</t>
  </si>
  <si>
    <t>Tôi tin rằng số tiền thuế tôi đóng sẽ được sử dụng hiệu quả để cải thiện dịch vụ công, nhưng cần thời gian để chứng minh điều đó.</t>
  </si>
  <si>
    <t>Nhà nước đã giải thích rõ ràng về mục tiêu của việc sửa đổi thuế lần này, tuy nhiên, tôi vẫn mong muốn có thêm thông tin chi tiết hơn.</t>
  </si>
  <si>
    <t>Sau khi xem xét các quyền lợi và nghĩa vụ, tôi ủng hộ chính sách mới hiện nay. Mặc dù có một số khó khăn ban đầu nhưng tôi tin rằng nó sẽ mang lại nhiều lợi ích cho người dân.</t>
  </si>
  <si>
    <t>Thuế TNCN mới có nhiều thay đổi về mức giảm trừ gia cảnh và số bậc thuế, tuy nhiên việc áp dụng công nghệ trong quản lý thuế chưa rõ ràng. Cơ quan thuế cần tăng cường hơn nữa để phát hiện hành vi trốn thuế.</t>
  </si>
  <si>
    <t>Cơ quan thuế đã có nhiều nỗ lực cải thiện, nhưng việc thực thi vẫn còn hạn chế. Công nghệ quản lý thuế cần được nâng cấp và áp dụng rộng rãi hơn để tăng hiệu quả</t>
  </si>
  <si>
    <t>Quy trình khai báo thuế trở nên đơn giản hơn do giảm số bậc thuế, nhưng vẫn có nhiều bước cần thực hiện. Việc sử dụng công nghệ trong quá trình này chưa được tối ưu hóa.</t>
  </si>
  <si>
    <t>Biểu thuế mới đơn giản và dễ hiểu hơn so với trước đây. Mức thuế giảm đáng kể giúp việc tính toán trở nên thuận tiện hơn</t>
  </si>
  <si>
    <t>Nhà nước đã cải thiện mức giảm trừ gia cảnh, tạo ra sự công bằng cho người dân. Quy định mới được áp dụng khách quan và công tâm đối với mọi người nộp thuế.</t>
  </si>
  <si>
    <t>Do thu nhập không quá cao, mức thuế mới là hợp lý. Người phụ thuộc ít nên giảm trừ gia cảnh tăng đáng kể, tạo ra sự công bằng về mặt tài chính</t>
  </si>
  <si>
    <t>Thuế được sử dụng để cải thiện các dịch vụ công như y tế, giáo dục, đường xá. Việc này giúp người dân cảm thấy hài lòng hơn với việc đóng thuế</t>
  </si>
  <si>
    <t>Nhà nước đã giải thích rõ ràng về mục đích và lý do của chính sách mới. Tuy nhiên, cần cải thiện thêm trong việc truyền đạt thông tin đến người dân.</t>
  </si>
  <si>
    <t>Chính sách mới tạo ra nhiều lợi ích cho tôi, đặc biệt là giảm thuế và tăng mức giảm trừ gia cảnh. Tôi sẽ ủng hộ và tuân thủ chính sách mới</t>
  </si>
  <si>
    <t>Tôi tin rằng số tiền thuế đóng sẽ được sử dụng hiệu quả để cải thiện dịch vụ công, nhưng vẫn cần giám sát chặt chẽ về cách sử dụng nguồn vốn này.</t>
  </si>
  <si>
    <t>Nhà nước đã giải thích rõ ràng mục đích của việc sửa đổi thuế, tuy nhiên, tôi mong muốn có thêm thông tin cụ thể hơn về chi tiêu từ nguồn thu thuế mới.</t>
  </si>
  <si>
    <t>Tôi ủng hộ chính sách mới vì giảm gánh nặng tài chính và thủ tục làm việc với cơ quan thuế trở nên thuận lợi hơn, đồng thời tôi sẽ tuân thủ vì lợi ích chung của xã hội.</t>
  </si>
  <si>
    <t>Nhà nước đã có nhiều biện pháp quản lý thuế và xử lý gian lận, tuy nhiên vẫn còn một số khó khăn trong việc phát hiện trốn thuế.</t>
  </si>
  <si>
    <t>Cơ quan thuế đã tăng cường công nghệ để theo dõi và phát hiện hành vi trốn thuế, nhưng hiệu quả thực tế còn phụ thuộc vào nhiều yếu tố như nguồn lực và hợp tác của người dân.</t>
  </si>
  <si>
    <t>So với trước đây, quy trình khai báo thuế đã đơn giản hơn, tuy nhiên vẫn cần cải tiến thêm để thuận tiện hơn cho người nộp thuế.</t>
  </si>
  <si>
    <t>Bậc thuế mới ít hơn và dễ hiểu hơn so với trước đây, giúp việc tính toán và khai báo thuế trở nên đơn giản hơn.</t>
  </si>
  <si>
    <t>Tôi tin rằng Nhà nước sẽ thực thi chính sách một cách công bằng đối với mọi người nộp thuế, nhưng vẫn có thể xảy ra các vấn đề về kiểm soát và công bằng trong quá trình thực thi.</t>
  </si>
  <si>
    <t>Mức thuế mới giảm đáng kể so với trước đây, giúp tôi cảm thấy rằng mức đóng góp của mình là hợp lý.</t>
  </si>
  <si>
    <t>Tôi tin số tiền thuế tôi đóng sẽ được sử dụng hiệu quả để cải thiện dịch vụ công, đặc biệt là y tế và giao thông.</t>
  </si>
  <si>
    <t>Nhà nước đã giải thích rõ ràng về mục tiêu của việc sửa đổi thuế, tuy nhiên vẫn có thể cần thêm thông tin và minh bạch hơn.</t>
  </si>
  <si>
    <t>Dựa trên các quyền lợi và nghĩa vụ mới, tôi ủng hộ chính sách này và sẽ tuân thủ nó. Mức giảm trừ gia cảnh và thuế suất mới giúp cải thiện đáng kể trải nghiệm nộp thuế của tôi.</t>
  </si>
  <si>
    <t>Thuế có nhiều biện pháp quản lý hiện đại và công nghệ, tuy nhiên vẫn còn khả năng trốn thuế thông qua các phương thức không được phát hiện.</t>
  </si>
  <si>
    <t>Cơ quan thuế đã cải thiện đáng kể về công nghệ, nhưng cần thời gian để áp dụng hiệu quả trên toàn bộ hệ thống.</t>
  </si>
  <si>
    <t>Việc giảm bậc thuế từ 7 xuống 5 và tăng mức giảm trừ gia cảnh làm thủ tục đơn giản hơn nhiều so với trước đây.</t>
  </si>
  <si>
    <t>Cách tính thuế mới rõ ràng, dễ hiểu và thuận tiện hơn cho người dân, giảm bớt rắc rối trong quá trình khai báo.</t>
  </si>
  <si>
    <t>Nếu chính sách được thực thi công bằng và minh bạch, tôi sẽ tin tưởng vào sự công tâm của nhà nước trong việc quản lý thuế.</t>
  </si>
  <si>
    <t>Thuế mới giảm đáng kể so với trước đây nên cảm thấy hợp lý hơn cho thu nhập của mình.</t>
  </si>
  <si>
    <t>Thuế đóng góp vào việc cải thiện cơ sở hạ tầng và dịch vụ công, tăng niềm tin về hiệu quả sử dụng nguồn lực.</t>
  </si>
  <si>
    <t>Chính phủ đã giải thích rõ mục đích của chính sách mới, tuy nhiên cần thêm thông tin chi tiết hơn để minh bạch.</t>
  </si>
  <si>
    <t>Việc giảm thuế và đơn giản hóa quy trình khai báo làm tôi có động lực tuân thủ và ủng hộ chính sách mới.</t>
  </si>
  <si>
    <t>Số bậc thuế giảm từ 7 xuống 5 đã giúp cách tính thuế trở nên đơn giản, dễ hiểu. Việc này không chỉ giúp người dân dễ dàng tuân thủ mà còn làm giảm gánh nặng về mặt quản lý cho cơ quan thuế.</t>
  </si>
  <si>
    <t>Nhà nước đã công bố rõ ràng về mục tiêu của việc sửa đổi thuế, bao gồm việc tăng mức giảm trừ gia cảnh. Điều này tạo niềm tin rằng chính sách mới sẽ được thực thi một cách khách quan và công bằng.</t>
  </si>
  <si>
    <t>Với mức thuế thấp hơn do giảm trừ gia cảnh cao hơn, tôi thấy mình đóng góp tương xứng với thu nhập của mình. Điều này cho thấy mức thuế mới là hợp lý.</t>
  </si>
  <si>
    <t>Mức thuế mới giúp tôi tin rằng số tiền tôi đóng sẽ được sử dụng hiệu quả để cải thiện các dịch vụ công như y tế và giao thông, từ đó nâng cao chất lượng cuộc sống của người dân.</t>
  </si>
  <si>
    <t>Nhà nước đã giải thích rõ ràng về mục tiêu của việc sửa đổi thuế. Việc này minh bạch hóa quy trình, tăng tính công bằng và giúp tôi tin tưởng vào quyết định của họ.</t>
  </si>
  <si>
    <t>Sau khi xem xét các quyền lợi và nghĩa vụ, tôi ủng hộ và tuân thủ chính sách mới. Nó không chỉ đơn giản hóa quy trình mà còn tạo ra một hệ thống thuế công bằng hơn.</t>
  </si>
  <si>
    <t>Hiện nay, cơ quan thuế có nhiều công cụ để phát hiện gian lận và trốn thuế, do đó tôi tin rằng hành vi này sẽ khó trốn tránh.</t>
  </si>
  <si>
    <t>Cơ quan thuế đã cải thiện hệ thống quản lý thuế, tăng cường khả năng giám sát và xử lý nghiêm các hành vi trốn thuế.</t>
  </si>
  <si>
    <t>Quy trình khai báo thuế trở nên đơn giản hơn với nhiều tiện ích trực tuyến, giúp tiết kiệm thời gian cho người dân.</t>
  </si>
  <si>
    <t>Nguyên tắc tính thuế mới rõ ràng và dễ hiểu, giảm bớt sự phức tạp so với trước đây, thuận lợi cho việc thực hiện.</t>
  </si>
  <si>
    <t>Tôi tin rằng các quy định mới được áp dụng công bằng cho mọi người dân, tạo ra một môi trường thuế công lý hơn.</t>
  </si>
  <si>
    <t>Thuế tôi phải đóng theo phương án mới hợp lý và không vượt quá mức mà tôi có thể chấp nhận.</t>
  </si>
  <si>
    <t>Tài nguyên thuế được sử dụng hiệu quả cho các dịch vụ công, cải thiện chất lượng cuộc sống của người dân.</t>
  </si>
  <si>
    <t>Nhà nước đã cung cấp thông tin đầy đủ về mục tiêu và lý do thay đổi luật thuế, khiến tôi cảm thấy mình được lắng nghe.</t>
  </si>
  <si>
    <t>Tôi ủng hộ chính sách mới vì nó mang lại lợi ích thực tế cho người dân như giảm gánh nặng thuế và cải thiện quy trình quản lý thuế.</t>
  </si>
  <si>
    <t>Cơ quan thuế có nhiều công cụ và nguồn lực để phát hiện hành vi gian lận, nhưng vẫn cần cải thiện.</t>
  </si>
  <si>
    <t>Việc sử dụng công nghệ tiên tiến giúp nhà nước quản lý thuế hiệu quả hơn, giảm thiểu trốn thuế.</t>
  </si>
  <si>
    <t>Thủ tục khai báo thuế và giao tiếp với cơ quan thuế đơn giản hơn, thuận tiện qua ứng dụng điện tử.</t>
  </si>
  <si>
    <t>Biểu thuế đơn giản hơn, không còn nhiều bậc nên dễ tính toán và thực hiện hơn.</t>
  </si>
  <si>
    <t>Tôi tin rằng cơ quan thuế sẽ công bằng trong việc áp dụng chính sách mới, nhưng cần thời gian để kiểm chứng.</t>
  </si>
  <si>
    <t>Thuế theo phương án mới giảm đáng kể so với trước đây, tôi thấy mức này hợp lý cho thu nhập của mình.</t>
  </si>
  <si>
    <t>Tiền thuế đóng góp vào việc cải thiện hạ tầng và dịch vụ công, nhưng cần xem xét hiệu quả sử dụng.</t>
  </si>
  <si>
    <t>Cơ quan thuế đã giải thích rõ về mục tiêu của chính sách mới, tôi thấy thông tin minh bạch.</t>
  </si>
  <si>
    <t>Tôi ủng hộ và tuân thủ chính sách mới vì lợi ích tài chính và sự đơn giản hóa quy trình.</t>
  </si>
  <si>
    <t>Dù công nghệ và cơ sở vật chất của nhà nước đã được cải thiện đáng kể, nhưng vẫn còn khả năng phát hiện hành vi trốn thuế khó khăn nếu không áp dụng đúng quy trình quản lý.</t>
  </si>
  <si>
    <t>Quy trình khai báo thuế và làm việc với cơ quan thuế trở nên đơn giản hơn, đặc biệt là khi mức giảm trừ gia cảnh tăng lên, do đó thủ tục thuận tiện hơn so với trước đây.</t>
  </si>
  <si>
    <t>Bậc thuế mới đơn giản hóa quy trình tính thuế và dễ hiểu hơn, giúp người dân dễ dàng tuân thủ pháp luật mà không cần phải tìm hiểu quá nhiều về các quy định phức tạp.</t>
  </si>
  <si>
    <t>Tôi tin rằng Nhà nước sẽ thực thi chính sách mới một cách công bằng và khách quan, dù mức thuế giảm đi nhưng việc giảm trừ gia cảnh tăng lên giúp tôi cảm thấy được đối xử công bằng hơn.</t>
  </si>
  <si>
    <t>Mức thuế theo phương án mới là hợp lý với thu nhập của tôi. Việc giảm trừ gia cảnh và đơn giản hóa biểu thuế làm cho mức thuế trở nên công bằng hơn so với trước đây.</t>
  </si>
  <si>
    <t>Tôi tin rằng số tiền thuế tôi đóng sẽ được sử dụng hiệu quả để cải thiện dịch vụ công, nhờ vào việc tăng mức giảm trừ gia cảnh và đơn giản hóa biểu thuế, tôi cảm thấy mình đóng góp một cách công bằng.</t>
  </si>
  <si>
    <t>Nhà nước đã giải thích rõ ràng về lý do và mục tiêu của việc sửa đổi thuế lần này, thông qua các kênh truyền thông như báo chí, mạng xã hội...</t>
  </si>
  <si>
    <t>Tôi ủng hộ và tuân thủ chính sách mới vì nó đơn giản hóa quy trình tính thuế, giảm gánh nặng về mặt tài chính và mang lại cảm giác công bằng.</t>
  </si>
  <si>
    <t>Hệ thống thuế hiện tại có nhiều biện pháp kiểm soát, nhưng với mức giảm trừ gia cảnh cao hơn và số bậc thuế ít đi, việc phát hiện trốn thuế trở nên khó khăn hơn.</t>
  </si>
  <si>
    <t>Cơ quan thuế có công nghệ và nguồn lực để phát hiện trốn thuế, nhưng hiệu quả phụ thuộc vào cách thực thi.</t>
  </si>
  <si>
    <t>Thủ tục đơn giản hơn với mức giảm trừ gia cảnh cao, nhưng việc phải khai báo thông tin cá nhân vẫn gây phiền phức.</t>
  </si>
  <si>
    <t>Phương án mới đơn giản hóa quy trình tính thuế, dễ hiểu và thực hiện hơn so với trước đây.</t>
  </si>
  <si>
    <t>Niềm tin vào cách thực thi công bằng còn hạn chế do các biến số chưa rõ ràng.</t>
  </si>
  <si>
    <t>Mức thuế mới giảm, nhưng tôi vẫn lo lắng về việc áp dụng công bằng với mọi người nộp thuế.</t>
  </si>
  <si>
    <t>Thuế giảm giúp cải thiện dịch vụ công, nhưng hiệu quả sử dụng nguồn ngân sách chưa rõ ràng.</t>
  </si>
  <si>
    <t>Nhà nước đã giải thích mục tiêu của chính sách mới, nhưng tôi mong muốn có thêm thông tin chi tiết về cách thực hiện.</t>
  </si>
  <si>
    <t>Thuế giảm và thủ tục đơn giản làm tăng niềm tin và ủng hộ chính sách mới.</t>
  </si>
  <si>
    <t>Hiện nay, cơ quan thuế có nhiều công cụ và nguồn lực để phát hiện trốn thuế. Tuy nhiên, việc quản lý thuế vẫn còn những hạn chế về kỹ thuật và nhân sự.</t>
  </si>
  <si>
    <t>Cơ quan thuế đã đầu tư vào các hệ thống công nghệ thông tin hỗ trợ kiểm tra và xử lý trốn thuế một cách hiệu quả hơn. Tuy nhiên, vẫn cần cải thiện về mặt kỹ thuật.</t>
  </si>
  <si>
    <t>Các thủ tục khai báo thuế đã đơn giản hơn so với trước đây nhờ việc giảm bậc thuế và tăng mức giảm trừ gia cảnh. Điều này làm cho quy trình trở nên thuận tiện hơn.</t>
  </si>
  <si>
    <t>Biểu thuế mới đơn giản hơn, dễ hiểu và thực hiện dễ dàng hơn so với trước đây. Số bậc thuế giảm từ 7 xuống còn 5 khiến việc tính toán thuế trở nên dễ dàng hơn.</t>
  </si>
  <si>
    <t>Tôi tin rằng cơ quan thuế sẽ thực thi chính sách một cách công bằng và khách quan. Tuy nhiên, do tôi là người công chức và hiểu biết về luật pháp, tôi có cái nhìn tích cực hơn về việc này.</t>
  </si>
  <si>
    <t>Thuế mới được giảm đáng kể so với trước đây, điều này tạo cảm giác công bằng cho cá nhân như tôi. Số tiền thuế giảm từ 1,287,276 VNĐ/tháng xuống còn 454,092 VNĐ/tháng.</t>
  </si>
  <si>
    <t>Việc đóng thuế sẽ được sử dụng hiệu quả để cải thiện các dịch vụ công. Tuy nhiên, mức độ chi tiêu cụ thể của Nhà nước vẫn cần thông tin rõ ràng hơn.</t>
  </si>
  <si>
    <t>Nhà nước đã giải thích khá rõ về mục đích và lý do của việc sửa đổi thuế lần này. Các thông tin được cung cấp giúp tôi hiểu hơn về các thay đổi và lợi ích cho người dân.</t>
  </si>
  <si>
    <t>Tôi ủng hộ chính sách mới vì nó tạo ra sự công bằng và thuận tiện hơn trong việc đóng thuế. Tuy nhiên, cần cải thiện thêm để tăng niềm tin của người dân về cách sử dụng số tiền thuế đã đóng.</t>
  </si>
  <si>
    <t>Quy trình khai báo thuế dễ dàng hơn với mức giảm trừ gia cảnh cao hơn.</t>
  </si>
  <si>
    <t>Bậc thuế đơn giản, dễ hiểu và áp dụng đúng theo thu nhập.</t>
  </si>
  <si>
    <t>Niềm tin vào sự công bằng của Nhà nước tăng do mức giảm trừ gia cảnh được cải thiện.</t>
  </si>
  <si>
    <t>Thuế mới hợp lý với thu nhập hiện tại, giúp tiết kiệm tiền cho người có thu nhập ổn định.</t>
  </si>
  <si>
    <t>Mức thuế đóng được sử dụng hiệu quả vào các dịch vụ công, cải thiện chất lượng cuộc sống.</t>
  </si>
  <si>
    <t>Nhà nước đã giải thích rõ ràng về mục tiêu và lý do của việc sửa đổi luật thuế.</t>
  </si>
  <si>
    <t>Chính sách mới mang lại lợi ích tài chính, tăng niềm tin vào hệ thống thuế và công bằng xã hội.</t>
  </si>
  <si>
    <t>Hiện nay, cơ quan thuế có nhiều công cụ để phát hiện gian lận và trốn thuế, do đó tôi tin rằng hành vi này sẽ bị phát hiện và xử lý nghiêm. Việc tăng mức giảm trừ gia cảnh cũng giúp giảm thiểu khả năng gian lận.</t>
  </si>
  <si>
    <t>Cơ quan thuế có đủ nguồn lực công nghệ để theo dõi và quản lý các hoạt động kinh tế, từ đó phát hiện và xử lý trốn thuế một cách hiệu quả. Tuy nhiên, cần cải thiện hơn nữa về mặt thực thi.</t>
  </si>
  <si>
    <t>So với trước đây, quy trình khai báo thuế đã đơn giản hơn nhiều nhờ việc giảm số bậc thuế và tăng mức giảm trừ gia cảnh. Đây là một bước tiến trong hướng cải thiện thuận tiện cho người nộp thuế.</t>
  </si>
  <si>
    <t>Phương án mới về thuế thu nhập cá nhân đã đơn giản hóa quy trình tính thuế, giúp người dân dễ dàng hơn trong việc tuân thủ. Việc giảm số bậc thuế từ 7 xuống 5 cũng tạo nên sự thuận lợi.</t>
  </si>
  <si>
    <t>Nhà nước đã công bố rõ ràng về mục tiêu của chính sách mới, giúp tôi tin rằng các quy định sẽ được thực hiện một cách khách quan và công bằng. Tuy nhiên, việc kiểm soát gian lận vẫn còn là vấn đề cần cải thiện.</t>
  </si>
  <si>
    <t>Mức thuế mới theo phương án mới phù hợp với thu nhập của tôi và người cùng trình độ học vấn. Việc tăng mức giảm trừ gia cảnh giúp đảm bảo rằng tôi không đóng quá nhiều thuế so với khả năng tài chính.</t>
  </si>
  <si>
    <t>Tôi tin rằng số tiền thuế mà tôi đóng sẽ được sử dụng một cách hiệu quả để cải thiện dịch vụ công. Tuy nhiên, cần có thêm thông tin về cách sử dụng nguồn thu từ thuế này.</t>
  </si>
  <si>
    <t>Nhà nước đã giải thích rõ ràng về mục tiêu và lý do của việc sửa đổi chính sách thuế lần này. Điều này giúp tôi hiểu được tính công bằng trong quy định mới.</t>
  </si>
  <si>
    <t>Chính sách mới về thuế thu nhập cá nhân có lợi cho người dân như tôi, giảm gánh nặng tài chính và tạo ra sự thuận tiện hơn. Tôi ủng hộ và sẽ tuân thủ theo quy định mới.</t>
  </si>
  <si>
    <t>Dù cơ quan thuế có công nghệ hiện đại, nhưng thực tế việc phát hiện gian lận vẫn khó khăn. Tuy nhiên, mức giảm trừ gia cảnh tăng lên và đơn giản hóa biểu thuế có thể giúp người dân tuân thủ tốt hơn.</t>
  </si>
  <si>
    <t>Nhà nước đã đầu tư vào công nghệ để hỗ trợ việc quản lý thuế, nhưng vẫn cần cải thiện về mặt thực thi pháp luật và xử phạt gian lận thuế.</t>
  </si>
  <si>
    <t>So với trước đây, quy trình khai báo thuế trở nên đơn giản hơn nhờ mức giảm trừ gia cảnh cao hơn. Tuy nhiên, vẫn cần cải thiện về mặt hướng dẫn và hỗ trợ người dân.</t>
  </si>
  <si>
    <t>Biểu thuế được đơn giản hóa với ít bậc hơn, khiến việc tính thuế trở nên dễ hiểu hơn. Số tiền tiết kiệm từ thuế cũng giúp người dân cảm thấy thuận tiện hơn.</t>
  </si>
  <si>
    <t>Tôi tin rằng Nhà nước sẽ thực thi chính sách một cách công bằng vì mức giảm trừ gia cảnh và thuế suất mới đều được thiết kế để công bằng đối với mọi người có thu nhập tương tự.</t>
  </si>
  <si>
    <t>Dù mức thuế mới có thể cao hơn so với trước đây, nhưng tôi thấy nó hợp lý vì đã tính đến nhiều yếu tố như giảm trừ gia cảnh và số người phụ thuộc.</t>
  </si>
  <si>
    <t>Tôi tin rằng số tiền thuế đóng sẽ được sử dụng hiệu quả để cải thiện dịch vụ công. Tuy nhiên, cần có thêm thông tin về cách sử dụng khoản thu để tăng niềm tin.</t>
  </si>
  <si>
    <t>Nhà nước đã giải thích rõ ràng về mục tiêu của việc sửa đổi thuế, nhưng cần làm rõ hơn về quy trình thực thi và hiệu quả sử dụng nguồn lực</t>
  </si>
  <si>
    <t>Tôi ủng hộ chính sách mới vì nó đơn giản hóa quy trình thuế và giúp tiết kiệm tiền cho gia đình tôi. Tuy nhiên, vẫn cần cải thiện thêm về mặt minh bạch và thực thi.</t>
  </si>
  <si>
    <t>Việc thuế được tính toán rõ ràng và minh bạch, nhưng tôi vẫn lo ngại về khả năng phát hiện hành vi gian lận hoặc trốn thuế.</t>
  </si>
  <si>
    <t>Cơ quan thuế có nhiều công nghệ hỗ trợ, tuy nhiên, việc xử lý nghiêm các trường hợp gian lận vẫn cần cải thiện.</t>
  </si>
  <si>
    <t>Hệ thống khai báo và làm việc với cơ quan thuế đơn giản hơn trước, tôi có thể hoàn thành mọi công việc nhanh chóng hơn.</t>
  </si>
  <si>
    <t>Biểu thuế đã được đơn giản hóa, giảm số bậc thuế từ 7 xuống còn 5, dễ hiểu và thực hiện thuận tiện hơn.</t>
  </si>
  <si>
    <t>Tôi tin rằng Nhà nước sẽ thực thi chính sách công bằng đối với mọi người nộp thuế, nhưng vẫn cần thêm minh bạch trong quy trình.</t>
  </si>
  <si>
    <t>Thuế mới được giảm đáng kể so với trước đây, tôi thấy mức thuế này là hợp lý cho thu nhập của mình.</t>
  </si>
  <si>
    <t>Số tiền thuế đóng sẽ được sử dụng hiệu quả để cải thiện dịch vụ công, tôi tin tưởng vào việc này.</t>
  </si>
  <si>
    <t>Nhà nước đã giải thích rõ ràng về mục tiêu và lý do của chính sách mới, nhưng cần thêm thông tin chi tiết.</t>
  </si>
  <si>
    <t>Sau khi xem xét các quyền lợi và nghĩa vụ, tôi ủng hộ và tuân thủ chính sách thuế mới này. Thuế giảm đáng kể đã tăng niềm tin vào hệ thống.</t>
  </si>
  <si>
    <t>Dựa trên thông tin, cơ quan thuế có công nghệ và khả năng để phát hiện gian lận trốn thuế. Với mức giảm trừ gia cảnh tăng lên, việc quản lý thuế sẽ trở nên phức tạp hơn nhưng cũng đồng nghĩa với việc bảo vệ quyền lợi hợp pháp của người dân.</t>
  </si>
  <si>
    <t>Nhà nước và cơ quan thuế có đủ khả năng để phát hiện và xử lý nghiêm các hành vi trốn thuế. Tuy nhiên, việc quản lý thuế sẽ phức tạp hơn do mức giảm trừ gia cảnh tăng lên.</t>
  </si>
  <si>
    <t>Quy trình khai báo thuế và làm việc với cơ quan thuế trở nên đơn giản hơn. Mức giảm trừ gia cảnh tăng mạnh giúp việc tính toán thuế dễ dàng hơn, thuận tiện cho người dân.</t>
  </si>
  <si>
    <t>So với trước đây, cách tính thuế và các bậc thuế mới đơn giản, dễ hiểu và dễ thực hiện hơn. Việc giảm số bậc thuế từ 7 xuống 5 đã giúp việc tính toán thuế trở nên dễ dàng hơn.</t>
  </si>
  <si>
    <t>Tôi tin rằng Nhà nước, cơ quan thuế sẽ thực thi chính sách mới một cách khách quan và công tâm. Sự tăng mạnh của mức giảm trừ gia cảnh và việc đơn giản hóa biểu thuế tạo ra sự công bằng.</t>
  </si>
  <si>
    <t>Mức thuế tôi phải đóng theo phương án mới là hợp lý. Với thu nhập hiện tại, mức giảm trừ gia cảnh tăng mạnh giúp tiết kiệm đáng kể số tiền thuế nên tôi thấy mức thuế này công bằng.</t>
  </si>
  <si>
    <t>Tôi tin tưởng rằng số tiền thuế tôi đóng sẽ được sử dụng hiệu quả để cải thiện các dịch vụ công. Việc đơn giản hóa biểu thuế và tăng mức giảm trừ gia cảnh tạo ra sự công bằng trong việc phân bổ nguồn lực tài chính.</t>
  </si>
  <si>
    <t>Nhà nước đã giải thích rõ ràng, minh bạch về lý do và mục tiêu của việc sửa đổi thuế lần này. Tuy nhiên, tôi vẫn có một số thắc mắc về cách sử dụng nguồn thu từ thuế.</t>
  </si>
  <si>
    <t>Tôi ủng hộ chính sách mới vì nó tạo ra sự công bằng trong việc đóng góp và giảm gánh nặng tài chính cho người dân. Tuy nhiên, tôi hy vọng nhà nước sẽ giải thích rõ hơn về cách sử dụng nguồn thu từ thuế.</t>
  </si>
  <si>
    <t>Nghị định quản lý thuế hiện nay chưa hoàn thiện, khả năng phát hiện trốn thuế phụ thuộc nhiều vào công nghệ và nhân lực. Mặc dù có thể cải thiện nhưng vẫn còn không đủ.</t>
  </si>
  <si>
    <t>Cơ quan thuế đang đầu tư nhiều vào công nghệ để giám sát, tuy nhiên sự hiệu quả của việc này chưa rõ ràng.</t>
  </si>
  <si>
    <t>So với trước đây, quy trình khai thuế và làm việc với cơ quan thuế đơn giản hơn, thủ tục cũng tiện lợi hơn. Điều này giúp người dân dễ dàng thực hiện.</t>
  </si>
  <si>
    <t>Biểu thuế mới có ít bậc hơn, rõ ràng hơn nên dễ hiểu và dễ thực hiện hơn so với trước đây</t>
  </si>
  <si>
    <t>Tôi tin rằng Nhà nước sẽ công tâm trong việc thực thi chính sách mới, nhưng còn phụ thuộc vào cách thực tế họ làm việc.</t>
  </si>
  <si>
    <t>Lưu ý về mức thuế giảm đáng kể, tôi thấy mình đóng thuế ít hơn nên cảm thấy công bằng. Tuy nhiên, vẫn cần xem xét thêm để đánh giá chính xác.</t>
  </si>
  <si>
    <t>Thuế được sử dụng vào các dịch vụ công như y tế, giáo dục có thể cải thiện cuộc sống của người dân</t>
  </si>
  <si>
    <t>Đã giải thích rõ ràng về mục tiêu và lý do sửa đổi thuế, tuy nhiên vẫn còn cần thêm thông tin chi tiết hơn để đánh giá.</t>
  </si>
  <si>
    <t>Chính sách mới có nhiều ưu điểm về mặt tiện ích và giảm trừ gia cảnh, tôi sẽ ủng hộ và tuân thủ</t>
  </si>
  <si>
    <t>Dù quy định quản lý thuế hiện nay có thể không hoàn hảo, nhưng với mức giảm trừ gia cảnh cao hơn và số bậc thuế đơn giản hóa, hành vi gian lận hoặc trốn thuế sẽ khó khăn hơn để thực hiện. Điều này tăng khả năng phát hiện và xử lý</t>
  </si>
  <si>
    <t>Nhà nước và cơ quan thuế có đội ngũ chuyên nghiệp và công nghệ hiện đại, họ sẽ có đủ khả năng phát hiện các hành vi trốn thuế. Công nghệ hiện đại như AI cũng hỗ trợ rất nhiều trong việc này</t>
  </si>
  <si>
    <t>Quy trình khai báo thuế và quy định mới đơn giản hơn, giảm bớt thủ tục rườm rà trước đây. Điều này giúp cho quá trình làm việc với cơ quan thuế trở nên dễ dàng và nhanh chóng hơn</t>
  </si>
  <si>
    <t>Số bậc thuế đã được đơn giản hóa từ 7 xuống còn 5, điều này làm giảm độ phức tạp và giúp việc tính thuế trở nên dễ dàng hơn. Người dân như tôi thấy rõ sự thay đổi này</t>
  </si>
  <si>
    <t>Nếu Nhà nước thực thi chính sách mới một cách công tâm, người nộp thuế sẽ cảm thấy tin tưởng vào quy định mới. Mức thuế giảm đi cũng tạo nên niềm tin về tính công bằng</t>
  </si>
  <si>
    <t>Thuế mới mà tôi phải đóng theo phương án mới được coi là hợp lý vì mức thu nhập của tôi không quá cao, và việc giảm trừ gia cảnh tăng lên cũng giúp cân đối hơn</t>
  </si>
  <si>
    <t>Số tiền thuế tôi đóng sẽ được sử dụng hiệu quả để cải thiện dịch vụ công như y tế, đường xá..., điều này tạo nên sự tin tưởng vào mục tiêu của Nhà nước</t>
  </si>
  <si>
    <t>Nhà nước đã giải thích rõ ràng về lý do và mục tiêu của việc sửa đổi thuế lần này. Điều này khiến tôi cảm thấy các quyết định được thực hiện một cách minh bạch</t>
  </si>
  <si>
    <t>Tôi ủng hộ chính sách mới vì nó đã cải thiện nhiều mặt, từ tính công bằng, thuận tiện cho người dân đến việc giảm gánh nặng thuế. Tôi sẽ tuân thủ theo</t>
  </si>
  <si>
    <t>Nhà nước đã đầu tư công nghệ và nguồn lực vào việc quản lý thuế, nên khả năng phát hiện gian lận là cao. Tuy nhiên, sự tuân thủ của người dân cũng quan trọng không kém.</t>
  </si>
  <si>
    <t>Quy trình khai báo và làm việc với cơ quan thuế đã trở nên đơn giản hơn, nhưng vẫn cần thời gian để mọi người quen thuộc với quy định mới.</t>
  </si>
  <si>
    <t>Biểu thuế đơn giản hóa giúp dễ dàng tính toán, nhưng người dân có thể gặp khó khăn trong việc hiểu rõ các thay đổi.</t>
  </si>
  <si>
    <t>Tôi tin rằng cơ quan thuế sẽ thực thi chính sách một cách công tâm, mặc dù vẫn cần sự minh bạch từ phía nhà nước.</t>
  </si>
  <si>
    <t>Thuế mới được giảm đáng kể so với trước đây, tạo cảm giác công bằng cho người dân như tôi.</t>
  </si>
  <si>
    <t>Tài sản thu thuế sẽ được sử dụng hiệu quả để cải thiện dịch vụ công, tôi tin vào điều này.</t>
  </si>
  <si>
    <t>Nhà nước đã giải thích rõ về mục tiêu của việc thay đổi chính sách thuế, tuy nhiên, có thể cần thêm thông tin cho người dân hiểu rõ hơn.</t>
  </si>
  <si>
    <t>Tôi ủng hộ và tuân thủ chính sách mới vì nó mang lại lợi ích tài chính đáng kể và công bằng so với trước đây.</t>
  </si>
  <si>
    <t>Việc tăng giảm trừ gia cảnh và đơn giản hóa bậc thuế có thể làm giảm khả năng phát hiện gian lận, nhưng các quy định quản lý thuế cần phải được nâng cao để đảm bảo hiệu quả.</t>
  </si>
  <si>
    <t>Cơ quan thuế đã đầu tư công nghệ và nguồn lực để cải thiện hệ thống, nhưng việc phát hiện gian lận vẫn phụ thuộc vào sự tuân thủ của người nộp thuế.</t>
  </si>
  <si>
    <t>Quy trình khai báo trở nên đơn giản hơn, dễ thực hiện hơn so với trước đây, giảm thời gian và công sức cho người dân.</t>
  </si>
  <si>
    <t>Biểu thuế mới rõ ràng hơn, dễ hiểu và dễ thực hiện hơn so với biểu cũ, giúp tôi nắm bắt nhanh chóng.</t>
  </si>
  <si>
    <t>Tôi tin rằng Nhà nước sẽ công tâm khi áp dụng chính sách mới, nhưng việc thực thi vẫn phụ thuộc vào sự tuân thủ của người dân.</t>
  </si>
  <si>
    <t>Thuế tôi phải đóng theo phương án mới hợp lý và công bằng, giảm gánh nặng tài chính so với trước đây.</t>
  </si>
  <si>
    <t>Tiền thuế đóng góp vào cải thiện dịch vụ công như y tế, giáo dục và hạ tầng, giúp xã hội phát triển.</t>
  </si>
  <si>
    <t>Nhà nước đã giải thích rõ mục đích của việc sửa đổi thuế, nhưng cần làm rõ hơn về cách sử dụng nguồn thu thuế.</t>
  </si>
  <si>
    <t>Tôi ủng hộ chính sách mới vì giảm gánh nặng tài chính và thuận tiện trong quy trình khai báo, đồng thời tin tưởng vào mục tiêu cải thiện dịch vụ công.</t>
  </si>
  <si>
    <t>Dù các quy định quản lý thuế hiện nay đã được cải thiện, nhưng việc gian lận vẫn có thể xảy ra. Tuy nhiên, với hệ thống công nghệ và cơ chế phát hiện hiện đại hơn, tôi tin rằng khả năng phát hiện hành vi gian lận sẽ cao hơn.</t>
  </si>
  <si>
    <t>Nhà nước đã đầu tư vào các công nghệ và nguồn lực cần thiết để cải thiện khả năng giám sát thuế. Do đó, tôi tin rằng việc xử lý nghiêm các hành vi trốn thuế sẽ được thực hiện hiệu quả.</t>
  </si>
  <si>
    <t>So với trước đây, quy trình khai báo thuế trở nên đơn giản hơn. Tuy nhiên, vẫn còn một số bước cần hoàn thiện để việc làm việc với cơ quan thuế trở nên thuận tiện hơn.</t>
  </si>
  <si>
    <t>Biểu thuế mới được đơn giản hóa và rõ ràng hơn so với trước đây, giúp tôi dễ dàng tính toán và tuân thủ chính sách</t>
  </si>
  <si>
    <t>Tôi tin rằng Nhà nước sẽ thực thi chính sách một cách khách quan. Tuy nhiên, việc công bố thông tin đầy đủ về các quy định mới vẫn cần được cải thiện để tăng sự minh bạch.</t>
  </si>
  <si>
    <t>Thuế tôi phải đóng theo phương án mới hợp lý và công bằng so với thu nhập của tôi. Việc giảm trừ gia cảnh lớn hơn cũng đã làm tăng độ công bằng</t>
  </si>
  <si>
    <t>Tôi tin rằng số tiền thuế tôi đóng sẽ được sử dụng hiệu quả để cải thiện các dịch vụ công, như y tế và giao thông. Tuy nhiên, việc cung cấp thông tin chi tiết về cách sử dụng ngân sách thuế vẫn còn hạn chế</t>
  </si>
  <si>
    <t>Nhà nước đã giải thích rõ ràng về các thay đổi trong chính sách thuế, tuy nhiên, tôi nghĩ rằng cần thêm nhiều thông tin và hướng dẫn cụ thể hơn.</t>
  </si>
  <si>
    <t>Tôi ủng hộ và tuân thủ chính sách mới vì nó mang lại lợi ích tài chính cho tôi. Tuy nhiên, việc cải thiện sự minh bạch và hỗ trợ thực thi các quy định sẽ giúp tăng mức độ ủng hộ.</t>
  </si>
  <si>
    <t>Cơ quan thuế đã có nhiều cải tiến trong việc theo dõi và xử lý hành vi trốn thuế, tuy nhiên, mức độ hiệu quả vẫn phụ thuộc vào sự tuân thủ của người dân. Với mức thuế giảm đáng kể, tôi tin rằng việc gian lận sẽ ít đi.</t>
  </si>
  <si>
    <t>Nhà nước đã đầu tư công nghệ để phát hiện và xử lý trốn thuế nhanh chóng hơn, do đó khả năng phát hiện hành vi trốn thuế có thể tăng lên đáng kể.</t>
  </si>
  <si>
    <t>Quy trình làm việc với cơ quan thuế đã đơn giản hóa nhiều so với trước đây, thủ tục khai báo thuế cũng trở nên thuận tiện hơn, giúp tôi tiết kiệm thời gian.</t>
  </si>
  <si>
    <t>Biểu thuế mới đã đơn giản hóa đáng kể, số bậc giảm từ 7 xuống 5, do đó việc tính toán và tuân thủ quy định thuế trở nên dễ dàng hơn.</t>
  </si>
  <si>
    <t>Tôi tin rằng Nhà nước sẽ thực thi chính sách một cách công tâm với tất cả mọi người nộp thuế. Sự thay đổi về mức giảm trừ gia cảnh và số bậc thuế mới đều tạo ra sự công bằng.</t>
  </si>
  <si>
    <t>Theo phương án mới, tôi thấy mức thuế mình đóng là hợp lý. Thu nhập của tôi thuộc nhóm có thu nhập trung bình, nên mức thuế này là phù hợp.</t>
  </si>
  <si>
    <t>Nhà nước đã tiết kiệm được một khoản tiền đáng kể cho người nộp thuế, số tiền đó sẽ được sử dụng để cải thiện dịch vụ công. Điều này tạo niềm tin cho tôi về việc sử dụng hiệu quả nguồn thu</t>
  </si>
  <si>
    <t>Nhà nước đã giải thích rõ ràng về mục tiêu của chính sách mới, tuy nhiên, tôi vẫn mong muốn có thêm nhiều thông tin chi tiết hơn để hiểu hơn về cách thực thi.</t>
  </si>
  <si>
    <t>Sau khi xem xét tất cả các yếu tố, tôi ủng hộ và tuân thủ chính sách mới. Việc giảm thuế và đơn giản hóa quy trình làm việc với cơ quan thuế tạo ra nhiều lợi ích cho người dân.</t>
  </si>
  <si>
    <t>Nhà nước và cơ quan thuế đang đầu tư vào công nghệ để cải thiện khả năng phát hiện và xử lý gian lận, nhưng vẫn chưa hoàn hảo.</t>
  </si>
  <si>
    <t>Thủ tục khai báo và làm việc với cơ quan thuế đã đơn giản hơn so với trước đây, thuận tiện cho người dân.</t>
  </si>
  <si>
    <t>Phương án mới về thuế có ít bậc và dễ hiểu hơn, giúp tôi dễ dàng tính toán và nộp thuế.</t>
  </si>
  <si>
    <t>Tôi tin rằng Nhà nước sẽ thực thi chính sách một cách công bằng, nhưng vẫn cần thêm các biện pháp giám sát để đảm bảo.</t>
  </si>
  <si>
    <t>Thuế tôi phải đóng thấp hơn do giảm trừ gia cảnh tăng và số bậc thuế ít đi, cảm thấy đây là mức độ hợp lý.</t>
  </si>
  <si>
    <t>Số tiền thuế tôi đóng sẽ được sử dụng hiệu quả để cải thiện dịch vụ công, mặc dù cụ thể về cách sử dụng còn cần thêm thông tin.</t>
  </si>
  <si>
    <t>Nhà nước đã giải thích rõ ràng lý do và mục tiêu của việc sửa đổi thuế lần này, tôi cảm thấy khá hài lòng với sự minh bạch.</t>
  </si>
  <si>
    <t>Tôi ủng hộ chính sách mới vì lợi ích tài chính cá nhân tăng lên đáng kể và thủ tục nộp thuế trở nên đơn giản hơn.</t>
  </si>
  <si>
    <t>Hiện nay, các quy định quản lý thuế ngày càng chặt chẽ và công nghệ đã giúp phát hiện gian lận dễ dàng hơn.</t>
  </si>
  <si>
    <t>Nhà nước đã đầu tư vào hệ thống công nghệ thông tin, nâng cao khả năng giám sát và xử lý nghiêm các hành vi trốn thuế.</t>
  </si>
  <si>
    <t>Thủ tục khai báo thuế trở nên đơn giản hơn với việc giảm số bậc thuế từ 7 xuống còn 5, giúp người dân dễ dàng làm việc với cơ quan thuế hơn.</t>
  </si>
  <si>
    <t>Bậc thuế mới đơn giản và dễ hiểu hơn so với trước đây, giúp tôi tính toán chính xác số thuế phải nộp mà không cần hỗ trợ từ bên ngoài.</t>
  </si>
  <si>
    <t>Tôi tin rằng Nhà nước sẽ thực thi chính sách một cách công bằng và khách quan, đảm bảo mọi người nộp thuế được đối xử bình đẳng.</t>
  </si>
  <si>
    <t>Mức giảm trừ gia cảnh và số bậc thuế mới làm giảm đáng kể số tiền thuế tôi phải đóng, cho thấy mức thuế này là công bằng với thu nhập của tôi.</t>
  </si>
  <si>
    <t>Số tiền thuế tôi đóng sẽ được sử dụng để cải thiện dịch vụ công, giúp ích cho cộng đồng và người dân.</t>
  </si>
  <si>
    <t>Nhà nước đã giải thích rõ ràng về mục tiêu của việc sửa đổi chính sách thuế, tăng thêm niềm tin vào quyết định này.</t>
  </si>
  <si>
    <t>Với các lợi ích và quyền lợi mà chính sách mới mang lại, tôi ủng hộ và sẽ tuân thủ.</t>
  </si>
  <si>
    <t>Quy trình khai báo và làm việc với cơ quan thuế đã đơn giản hơn so với trước đây, đặc biệt là sau khi giảm số bậc thuế. Điều này giúp thuận tiện cho người dân.</t>
  </si>
  <si>
    <t>Biểu thuế mới có ít bậc hơn nhưng vẫn giữ nguyên các mức thu nhập chịu thuế, nên việc tính toán và thực hiện thuế trở nên dễ dàng hơn.</t>
  </si>
  <si>
    <t>Nhà nước đã công bố rõ ràng về mục tiêu sửa đổi luật thuế, điều này khiến tôi tin rằng chính sách sẽ được thực thi công bằng cho mọi người nộp thuế.</t>
  </si>
  <si>
    <t>Với mức thu nhập hiện tại, giảm trừ gia cảnh và bậc thuế mới giúp tôi thấy việc đóng thuế là hợp lý. Tuy nhiên, vẫn có thể cần thêm minh bạch về sử dụng nguồn thu này.</t>
  </si>
  <si>
    <t>Nhà nước đã giải thích rõ mục đích của việc sửa đổi luật thuế, tôi tin rằng số tiền tôi đóng sẽ được sử dụng hiệu quả cho sự phát triển chung.</t>
  </si>
  <si>
    <t>Dù còn nghi ngờ về một số vấn đề quản lý tài chính của Nhà nước nhưng tôi thấy việc cải cách thuế lần này là cần thiết và đã có giải thích đầy đủ từ cơ quan chức năng.</t>
  </si>
  <si>
    <t>Tôi ủng hộ và tuân thủ chính sách mới vì nó giúp giảm gánh nặng tài chính cho người dân, đồng thời đơn giản hóa quy trình khai thuế.</t>
  </si>
  <si>
    <t>Thủ tục khai báo thuế trở nên đơn giản hơn, dễ dàng truy cập thông tin qua ứng dụng điện tử. Tuy nhiên vẫn cần thời gian để mọi người quen thuộc với quy trình mới.</t>
  </si>
  <si>
    <t>Các bậc thuế được đơn giản hóa và rõ ràng hơn, dễ dàng tính toán. Điều này làm giảm độ phức tạp so với trước đây.</t>
  </si>
  <si>
    <t>Người nộp thuế tin tưởng vào sự công bằng của hệ thống thuế mới, đặc biệt là mức giảm trừ gia cảnh và số bậc thuế được đơn giản hóa.</t>
  </si>
  <si>
    <t>Mức thuế mới được xem xét cẩn thận dựa trên thu nhập cá nhân. Với mức thu nhập của mình, việc đóng thuế theo phương án mới là hợp lý.</t>
  </si>
  <si>
    <t>Tiết kiệm được tiền thuế có thể giúp nâng cao chất lượng cuộc sống và các dịch vụ công như y tế, giáo dục sẽ cải thiện đáng kể.</t>
  </si>
  <si>
    <t>Nhà nước đã giải thích rõ ràng về mục tiêu của việc sửa đổi chính sách thuế. Tuy nhiên, vẫn cần nhiều thông tin hơn để hiểu rõ chi tiết.</t>
  </si>
  <si>
    <t>Chính sách mới mang lại lợi ích cho người dân như tôi, giúp giảm gánh nặng về tài chính và nâng cao chất lượng cuộc sống. Tôi sẽ ủng hộ và tuân thủ.</t>
  </si>
  <si>
    <t>Hiện nay, cơ quan thuế có nhiều công cụ để phát hiện gian lận như phần mềm quản lý thuế, hệ thống thông tin điện tử. Tuy nhiên, vẫn còn một số rủi ro về việc trốn thuế do không công khai minh bạch.</t>
  </si>
  <si>
    <t>Cơ quan thuế có khả năng và công nghệ để phát hiện gian lận, nhưng cần cải thiện hơn nữa trong việc truyền thông và minh bạch hóa quy trình xử lý</t>
  </si>
  <si>
    <t>So với trước đây, thủ tục khai thuế đơn giản hơn, không còn nhiều giấy tờ rườm rà. Tuy nhiên vẫn cần thêm thời gian để làm quen.</t>
  </si>
  <si>
    <t>Biểu thuế mới đơn giản và dễ hiểu hơn so với trước đây, giảm độ phức tạp cho người dân trong việc tính toán</t>
  </si>
  <si>
    <t>Tôi tin rằng cơ quan thuế sẽ công bằng trong việc thực thi luật pháp, tuy nhiên cần cải thiện về minh bạch và thông tin</t>
  </si>
  <si>
    <t>Thuế mới được giảm đáng kể so với trước đây giúp tôi cảm thấy công bằng hơn, đồng thời giúp cải thiện tài chính cá nhân</t>
  </si>
  <si>
    <t>Tôi tin rằng số tiền thuế tôi đóng sẽ được sử dụng hiệu quả cho các dịch vụ công, nhưng cần minh bạch hóa hơn về cách sử dụng nguồn thu</t>
  </si>
  <si>
    <t>Chính phủ đã giải thích rõ ràng về mục tiêu và lý do sửa đổi thuế, tuy nhiên vẫn còn một số điểm chưa rõ ràng</t>
  </si>
  <si>
    <t>Chính sách mới có lợi cho tôi về mặt tài chính nên tôi ủng hộ và tuân thủ, nhưng cần cải thiện thêm về minh bạch hóa quy trình quản lý thuế</t>
  </si>
  <si>
    <t>Hiện nay, cơ quan thuế có nhiều công cụ và nguồn lực để phát hiện hành vi gian lận hoặc trốn thuế. Tuy nhiên, vẫn còn nhiều yếu tố phụ thuộc vào việc thực thi.</t>
  </si>
  <si>
    <t>Nhà nước đã đầu tư vào công nghệ và nhân sự để cải thiện khả năng quản lý thuế, nhưng cần thời gian để hoàn thiện hệ thống.</t>
  </si>
  <si>
    <t>Quy trình khai báo thuế và tương tác với cơ quan thuế trở nên đơn giản hơn, giảm bớt sự phức tạp. Thuế được tính dựa trên thu nhập thực tế thay vì nhiều mức thuế suất.</t>
  </si>
  <si>
    <t>Các bậc thuế mới đơn giản và dễ hiểu hơn so với trước đây, giúp người dân dễ dàng nắm bắt và tuân thủ.</t>
  </si>
  <si>
    <t>Tôi tin rằng các quy định mới được thực hiện một cách công bằng cho tất cả mọi người. Điều này thể hiện qua việc tăng mức giảm trừ gia cảnh và đơn giản hóa biểu thuế.</t>
  </si>
  <si>
    <t>Thuế tôi phải đóng theo phương án mới là hợp lý, đặc biệt khi so với thu nhập của mình và những người cùng ngành nghề. Điều này tạo cảm giác công bằng trong việc đóng góp cho xã hội.</t>
  </si>
  <si>
    <t>Thuế đóng góp vào các dịch vụ công quan trọng như y tế, giáo dục và cơ sở hạ tầng, giúp cải thiện chất lượng cuộc sống của người dân. Điều này tạo niềm tin rằng việc đóng thuế có mục đích rõ ràng.</t>
  </si>
  <si>
    <t>Nhà nước đã công bố đầy đủ về lý do và mục tiêu của việc sửa đổi luật thuế, giúp tôi hiểu rõ hơn về quyết định này. Điều này tăng sự minh bạch và niềm tin vào chính sách.</t>
  </si>
  <si>
    <t>Trong tổng thể, chính sách mới tạo ra lợi ích cho người dân như tôi. Việc giảm thuế suất và đơn giản hóa quy trình khai báo thuế giúp tăng sự ủng hộ và tuân thủ.</t>
  </si>
  <si>
    <t>Dù không có nhiều thông tin về khả năng phát hiện, nhưng cải cách thuế đã giảm gánh nặng tài chính, tăng niềm tin.</t>
  </si>
  <si>
    <t>Công nghệ ngày càng phát triển, nên khả năng quản lý thuế của cơ quan thuế sẽ được nâng cao.</t>
  </si>
  <si>
    <t>Thuật ngữ và quy trình đơn giản hơn, việc khai báo thuế thuận tiện hơn nhiều so với trước đây.</t>
  </si>
  <si>
    <t>Ngưỡng chịu thuế và bậc thuế được đơn giản hóa, dễ hiểu và thực hiện hơn</t>
  </si>
  <si>
    <t>Thuế giảm đáng kể, tăng sự công bằng giữa các đối tượng nộp thuế.</t>
  </si>
  <si>
    <t>Mức thuế mới được đánh giá là phù hợp với thu nhập của tôi</t>
  </si>
  <si>
    <t>Thuế giảm giúp cải thiện chất lượng cuộc sống, tăng niềm tin vào việc sử dụng hiệu quả nguồn lực thuế.</t>
  </si>
  <si>
    <t>Những thay đổi này được giải thích rõ ràng, mục tiêu của cải cách thuế cũng minh bạch.</t>
  </si>
  <si>
    <t>Dựa trên các lợi ích từ chính sách mới, tôi ủng hộ và tuân thủ</t>
  </si>
  <si>
    <t>Dựa trên các quy định quản lý thuế hiện nay, tôi tin rằng hành vi gian lận hoặc trốn thuế sẽ bị phát hiện và xử lý nghiêm, bởi vì cơ quan thuế có nhiều công cụ và nguồn lực để kiểm soát.</t>
  </si>
  <si>
    <t>Nhà nước đã đầu tư đáng kể vào hệ thống công nghệ thông tin của các cơ quan thuế, do đó tôi tin rằng khả năng phát hiện và xử lý nghiêm các hành vi trốn thuế sẽ được đảm bảo.</t>
  </si>
  <si>
    <t>So với trước đây, quy trình khai báo thuế và làm việc với cơ quan thuế đã đơn giản hơn, do đó tôi thấy thuận tiện và nhanh chóng hơn.</t>
  </si>
  <si>
    <t>Phương án mới giảm số bậc thuế từ 7 xuống 5, điều này giúp cách tính thuế và các bậc thuế dễ hiểu và thực hiện hơn.</t>
  </si>
  <si>
    <t>Tôi tin rằng Nhà nước sẽ thực thi chính sách một cách công bằng, do giảm trừ gia cảnh tăng lên, tôi thấy mình được đối xử bình đẳng với người khác trong cùng hoàn cảnh.</t>
  </si>
  <si>
    <t>Theo phương án mới, số tiền thuế tôi phải đóng là hợp lý và công bằng so với thu nhập của tôi, do đó tôi tin rằng mức thuế này là công bằng.</t>
  </si>
  <si>
    <t>Ngoài việc giảm trừ gia cảnh tăng lên, tôi hy vọng số tiền thuế đóng sẽ được sử dụng hiệu quả cho các dịch vụ công, nhờ vậy tôi cảm thấy mình đã đóng góp đúng mức vào xã hội.</t>
  </si>
  <si>
    <t>Nhà nước đã giải thích rõ ràng về mục tiêu và lý do của việc sửa đổi thuế, điều này làm tăng niềm tin của tôi trong chính sách mới.</t>
  </si>
  <si>
    <t>Tính từ tính giảm trừ gia cảnh, tiết kiệm được tiền thuế, cùng với cách thức quản lý thuế đơn giản hơn đã giúp tôi ủng hộ và tuân thủ chính sách mới.</t>
  </si>
  <si>
    <t>Mặc dù luật thuế mới đã đơn giản hóa quy trình, nhưng tôi không chắc chắn về khả năng phát hiện trốn thuế của cơ quan thuế.</t>
  </si>
  <si>
    <t>Cơ quan thuế có công nghệ và nguồn lực để giám sát các giao dịch tài chính, tuy nhiên, việc thực thi cần thời gian để điều chỉnh.</t>
  </si>
  <si>
    <t>Quy trình khai thuế trở nên đơn giản hơn nhiều so với trước đây, đặc biệt là với mức giảm trừ gia cảnh cao hơn.</t>
  </si>
  <si>
    <t>Biểu thuế mới có ít bậc hơn và dễ hiểu hơn, giúp tôi tính toán nhanh chóng và chính xác hơn.</t>
  </si>
  <si>
    <t>Tôi tin rằng Nhà nước sẽ thực thi công bằng với mọi người nộp thuế, tuy nhiên cần thời gian để kiểm chứng.</t>
  </si>
  <si>
    <t>Thuế mới phù hợp hơn với thu nhập của tôi, giảm bớt gánh nặng và tạo cảm giác công bằng.</t>
  </si>
  <si>
    <t>Tiền thuế đóng góp vào dịch vụ công, giúp cải thiện hạ tầng và y tế, nhưng cần thời gian để thấy kết quả.</t>
  </si>
  <si>
    <t>Quyết định sửa đổi thuế đã được giải thích rõ ràng, mục tiêu là tăng cường công bằng trong việc đánh thuế.</t>
  </si>
  <si>
    <t>Tôi ủng hộ và tuân thủ chính sách mới vì nó đơn giản hơn và giảm bớt gánh nặng tài chính cho tôi.</t>
  </si>
  <si>
    <t>Dù các quy định quản lý thuế đã được cải tiến, nhưng tôi vẫn nghi ngờ khả năng phát hiện và xử lý trốn thuế do thiếu thông tin cá nhân của người dân.</t>
  </si>
  <si>
    <t>Cơ quan thuế có công nghệ hiện đại hơn trước nên khả năng phát hiện gian lận tăng, nhưng vẫn phụ thuộc vào nguồn cung cấp thông tin từ phía người dân.</t>
  </si>
  <si>
    <t>Thủ tục khai báo thuế trở nên đơn giản hơn, không cần nhiều giấy tờ và thời gian như trước đây.</t>
  </si>
  <si>
    <t>Biểu thuế mới đơn giản với ít bậc thuế hơn, dễ hiểu hơn so với trước đây.</t>
  </si>
  <si>
    <t>Tôi tin rằng Nhà nước sẽ thực hiện chính sách một cách công bằng và khách quan, nhưng vẫn lo ngại về khả năng kiểm soát gian lận.</t>
  </si>
  <si>
    <t>Thu nhập của tôi tăng lên do giảm trừ gia cảnh lớn hơn, nên mức thuế mới là hợp lý đối với thu nhập hiện tại của tôi.</t>
  </si>
  <si>
    <t>Tài chính nhà nước sẽ được sử dụng hiệu quả để cải thiện dịch vụ công, nhưng vẫn lo ngại về cách quản lý và phân bổ nguồn lực.</t>
  </si>
  <si>
    <t>Tôi đồng ý với mục tiêu cải cách thuế nhưng còn nghi ngờ về giải thích đầy đủ từ phía Nhà nước về các thay đổi này.</t>
  </si>
  <si>
    <t>Dù có nhiều ưu điểm, nhưng tôi vẫn giữ thái độ thận trọng và cần thêm thông tin rõ ràng trước khi ủng hộ hoàn toàn.</t>
  </si>
  <si>
    <t>Nhà nước đã đầu tư nhiều vào công nghệ và hệ thống quản lý thuế, nên việc phát hiện gian lận là khả thi. Tuy nhiên, vẫn còn một số rủi ro do nhân lực kiểm tra có thể không đủ.</t>
  </si>
  <si>
    <t>Cơ quan thuế đã và đang sử dụng công nghệ tiên tiến để phát hiện gian lận, nên khả năng xử lý nghiêm các hành vi trốn thuế là cao.</t>
  </si>
  <si>
    <t>Quy trình khai báo thuế trở nên đơn giản hơn với việc giảm bậc thuế và tăng mức giảm trừ. Điều này giúp tôi dễ dàng thực hiện.</t>
  </si>
  <si>
    <t>Biểu thuế mới có ít bậc hơn, dễ hiểu hơn so với trước đây. Tuy nhiên, vẫn còn một số điểm cần cải tiến để thuận tiện hơn nữa.</t>
  </si>
  <si>
    <t>Tôi tin rằng cơ quan thuế sẽ thực thi chính sách công bằng và khách quan đối với mọi người nộp thuế.</t>
  </si>
  <si>
    <t>Mức thuế mới được giảm đi đáng kể, do đó tôi thấy nó hợp lý hơn so với trước đây. Điều này tạo cảm giác công bằng cho tôi.</t>
  </si>
  <si>
    <t>Thuế của tôi sẽ được sử dụng để cải thiện dịch vụ công như y tế và đường xá, điều này tăng niềm tin vào việc đầu tư vào thuế của Nhà nước.</t>
  </si>
  <si>
    <t>Nhà nước đã giải thích rõ ràng về mục tiêu của chính sách mới thông qua các kênh truyền thông. Tuy nhiên, vẫn có một số điểm cần cải thiện trong cách truyền đạt.</t>
  </si>
  <si>
    <t>Tôi ủng hộ và tuân thủ chính sách mới do lợi ích tài chính và sự công bằng được tạo ra từ nó.</t>
  </si>
  <si>
    <t>Nếu cơ quan thuế có đủ khả năng và công nghệ, tôi sẽ tin rằng việc phát hiện gian lận hoặc trốn thuế là khả thi. Tuy nhiên, thực tế không phải lúc nào cũng như lý tưởng.</t>
  </si>
  <si>
    <t>Nhà nước có thể đã đầu tư vào công nghệ và nguồn lực để tăng cường quản lý thuế, nhưng tôi vẫn giữ thái độ thận trọng.</t>
  </si>
  <si>
    <t>So với trước đây, quy trình khai báo thuế trở nên đơn giản hơn. Các bước cần thực hiện đã được làm rõ và dễ theo dõi.</t>
  </si>
  <si>
    <t>Biểu thuế mới đơn giản hóa bậc thuế từ 7 xuống còn 5, giúp việc tính toán thu nhập chịu thuế trở nên dễ dàng hơn.</t>
  </si>
  <si>
    <t>Tôi tin rằng chính sách mới sẽ được thực thi công bằng đối với mọi người nộp thuế. Tuy nhiên, vẫn cần có sự giám sát chặt chẽ từ các bên liên quan để đảm bảo tính minh bạch.</t>
  </si>
  <si>
    <t>Nhìn chung, mức giảm trừ gia cảnh và biểu thuế mới giúp tôi tiết kiệm được một số tiền đáng kể, làm tăng cảm giác rằng mức thuế này là công bằng đối với thu nhập của mình.</t>
  </si>
  <si>
    <t>Tôi tin tưởng rằng số tiền thuế đóng sẽ được sử dụng hiệu quả để cải thiện các dịch vụ công. Tuy nhiên, việc công khai chi tiêu ngân sách vẫn cần được tăng cường.</t>
  </si>
  <si>
    <t>Nhà nước đã giải thích rõ ràng về mục đích và lý do của việc sửa đổi thuế lần này, giúp tôi hiểu rõ hơn về chính sách mới.</t>
  </si>
  <si>
    <t>Tính đến tất cả các yếu tố trên, tôi ủng hộ và tuân thủ chính sách mới. Mặc dù có một số lo ngại về quản lý thuế, nhưng lợi ích tài chính từ việc sửa đổi này đã thuyết phục.</t>
  </si>
  <si>
    <t>Tôi tin rằng Nhà nước sẽ thực thi chính sách công bằng cho mọi người dân, nhưng vẫn có sự bất đồng về cách áp dụng.</t>
  </si>
  <si>
    <t>Mức thuế mới đối với thu nhập của tôi là hợp lý, giảm gánh nặng tài chính và tăng cảm giác công bằng.</t>
  </si>
  <si>
    <t>Thuế đóng góp vào sự phát triển cơ sở hạ tầng và dịch vụ công, nhưng hiệu quả sử dụng nguồn lực còn cần cải thiện.</t>
  </si>
  <si>
    <t>Nhà nước đã giải thích rõ ràng về mục tiêu sửa đổi thuế, tuy nhiên vẫn có chỗ chưa minh bạch.</t>
  </si>
  <si>
    <t>Tôi ủng hộ chính sách mới vì nó giảm gánh nặng tài chính và tăng sự công bằng, đồng thời tuân thủ các nghĩa vụ taxonomic theo quy định.</t>
  </si>
  <si>
    <t>Các quy trình khai báo và làm việc với cơ quan thuế đã đơn giản hóa đáng kể, giảm bớt thời gian chờ đợi và thủ tục phức tạp.</t>
  </si>
  <si>
    <t>Phương án mới đơn giản hóa biểu thuế, dễ hiểu hơn và thuận tiện cho người dân trong việc tính toán và nộp thuế.</t>
  </si>
  <si>
    <t>Tôi tin rằng cơ quan thuế sẽ thực thi chính sách một cách khách quan, nhưng vẫn có sự nghi ngờ về các yếu tố như lợi ích nhóm và thông tin kín.</t>
  </si>
  <si>
    <t>Với mức giảm trừ gia cảnh cao hơn và số bậc thuế ít hơn, tôi thấy mình đóng góp công bằng hơn so với trước đây.</t>
  </si>
  <si>
    <t>Tôi tin rằng tiền thuế sẽ được sử dụng hiệu quả cho các dịch vụ công, nhưng vẫn có lo ngại về sự minh bạch trong việc phân bổ ngân sách.</t>
  </si>
  <si>
    <t>Những giải thích và thông báo từ cơ quan thuế đã rõ ràng hơn so với trước đây, tuy nhiên tôi vẫn mong muốn có thêm nhiều thông tin chi tiết về mục tiêu chính sách.</t>
  </si>
  <si>
    <t>Tôi ủng hộ chính sách mới vì nó đơn giản hóa quy trình và giảm gánh nặng thuế cho người dân. Tuy nhiên, việc cải thiện niềm tin và minh bạch vẫn cần được duy trì.</t>
  </si>
  <si>
    <t>Dù mức thuế giảm, tôi vẫn tin rằng cơ quan thuế có đủ khả năng phát hiện hành vi trốn thuế do các biện pháp quản lý được cải thiện.</t>
  </si>
  <si>
    <t>Nhà nước đã đầu tư vào công nghệ và nguồn lực để nâng cao hiệu quả quản lý, điều này làm giảm nguy cơ trốn thuế.</t>
  </si>
  <si>
    <t>Quy trình khai báo thuế nay đơn giản hơn, không cần nhiều giấy tờ rườm rà như trước nữa.</t>
  </si>
  <si>
    <t>Biểu thuế mới rõ ràng và dễ hiểu, giảm độ phức tạp cho người dân trong việc tính toán.</t>
  </si>
  <si>
    <t>Các quy định mới công bằng hơn đối với mọi người có thu nhập tương đương tôi.</t>
  </si>
  <si>
    <t>Thuế giảm và các mức miễn trừ gia cảnh tăng, điều này cho thấy chính sách mới là hợp lý.</t>
  </si>
  <si>
    <t>Tiền thuế tôi đóng sẽ được sử dụng hiệu quả để cải thiện dịch vụ công</t>
  </si>
  <si>
    <t>Thuế giảm và quy định đơn giản hơn, tôi ủng hộ và tuân thủ chính sách mới.</t>
  </si>
  <si>
    <t>Dù các quy định quản lý thuế đã được cải thiện, nhưng với số lượng người nộp thuế lớn và khả năng phát hiện hạn chế, tôi vẫn lo ngại về việc gian lận hoặc trốn thuế.</t>
  </si>
  <si>
    <t>Cơ quan thuế có công nghệ tiên tiến để xử lý dữ liệu, nhưng thực tế hiệu quả trong việc giám sát và phát hiện vi phạm còn phụ thuộc vào nhiều yếu tố khác.</t>
  </si>
  <si>
    <t>Quy trình khai báo thuế trở nên đơn giản hơn với giảm trừ gia cảnh lớn hơn. Tuy nhiên, quy trình làm việc vẫn cần cải thiện để nhanh chóng và thuận tiện hơn.</t>
  </si>
  <si>
    <t>Biểu thuế được đơn giản hóa từ 7 bậc xuống còn 5, dễ hiểu và thực hiện đơn giản hơn so với trước đây.</t>
  </si>
  <si>
    <t>Tôi tin Nhà nước sẽ công tâm trong việc thực thi chính sách mới, nhưng vẫn có lo ngại về sự khác biệt trong cách áp dụng giữa các cơ quan thuế địa phương.</t>
  </si>
  <si>
    <t>Với mức giảm trừ gia cảnh lớn hơn và số bậc thuế ít đi, tôi cảm thấy mình đóng thuế công bằng hơn so với trước đây.</t>
  </si>
  <si>
    <t>Tôi tin tưởng rằng số tiền thuế đóng sẽ được sử dụng hiệu quả để cải thiện dịch vụ công, nhưng việc này còn phụ thuộc vào cách quản lý ngân sách của Nhà nước.</t>
  </si>
  <si>
    <t>Nhà nước đã giải thích rõ ràng về mục tiêu và ý nghĩa của các thay đổi thuế, giúp tôi hiểu được giá trị của chính sách mới.</t>
  </si>
  <si>
    <t>Tôi ủng hộ và tuân thủ chính sách mới vì nó mang lại lợi ích tài chính và sự công bằng hơn cho người nộp thuế.</t>
  </si>
  <si>
    <t>Nhà nước đã cải thiện hệ thống quản lý thuế, tăng cường công nghệ giám sát, tuy nhiên việc phát hiện và xử lý gian lận hoặc trốn thuế vẫn còn hạn chế. Cơ quan thuế chưa có đủ nguồn lực để kiểm soát 100% các trường hợp.</t>
  </si>
  <si>
    <t>Cơ quan thuế đã cải thiện khả năng phát hiện và xử lý thông qua công nghệ, nhưng vẫn còn nhiều rủi ro về việc trốn thuế do thiếu nguồn lực kiểm soát rộng rãi.</t>
  </si>
  <si>
    <t>Quy trình khai thuế trở nên đơn giản hơn khi giảm bớt các bước và tăng mức giảm trừ gia cảnh, thuận lợi cho người dân thực hiện.</t>
  </si>
  <si>
    <t>Biểu thuế mới rõ ràng, dễ hiểu với số bậc thuế ít hơn, giúp giảm bớt sự phức tạp trong quá trình tính thuế.</t>
  </si>
  <si>
    <t>Tin tưởng Nhà nước sẽ thực thi chính sách một cách khách quan và công bằng, đặc biệt khi mức thuế mới được điều chỉnh phù hợp với thu nhập của tôi.</t>
  </si>
  <si>
    <t>Mức thuế mới công bằng đối với thu nhập hiện tại của tôi, giảm gánh nặng tài chính và mang lại sự hài lòng về mặt pháp lý.</t>
  </si>
  <si>
    <t>Thuế đóng góp vào việc cải thiện các dịch vụ công như y tế, giáo dục, cơ sở hạ tầng, nâng cao chất lượng cuộc sống cho cộng đồng.</t>
  </si>
  <si>
    <t>Nhà nước đã giải thích rõ ràng về mục tiêu và ý nghĩa của việc cải cách thuế, tạo niềm tin cho người dân.</t>
  </si>
  <si>
    <t>Tác động tài chính tích cực từ chính sách mới làm tăng sự ủng hộ và tuân thủ đối với quy định hiện tại.</t>
  </si>
  <si>
    <t>Dù quy định quản lý thuế hiện tại đã có nhiều cải tiến, nhưng việc phát hiện và xử lý gian lận vẫn còn khó khăn. Tuy nhiên, với các công nghệ hiện đại, khả năng phát hiện vi phạm đang được nâng cao.</t>
  </si>
  <si>
    <t>Nhà nước đã đầu tư vào hệ thống quản lý thuế, cải thiện khả năng theo dõi và xử lý vi phạm, giúp giảm tình trạng trốn thuế.</t>
  </si>
  <si>
    <t>Việc đơn giản hóa quy trình khai thuế và làm việc với cơ quan thuế đã tạo ra sự thuận tiện đáng kể cho người dân.</t>
  </si>
  <si>
    <t>Biểu thuế mới có ít bậc hơn, giúp người nộp thuế dễ dàng tính toán hơn. Tuy nhiên, mức thuế cao ở các bậc cuối vẫn khiến người dân cảm thấy phức tạp.</t>
  </si>
  <si>
    <t>Tôi tin rằng cơ quan thuế sẽ công bằng và khách quan trong việc thực thi chính sách mới, mặc dù vẫn còn một số lo ngại về sự công bằng của hệ thống.</t>
  </si>
  <si>
    <t>Nhìn chung, mức thuế mới phù hợp với thu nhập hiện tại của tôi. Việc tăng giảm trừ gia cảnh cũng giúp tiết kiệm chi phí đáng kể.</t>
  </si>
  <si>
    <t>Đồng ý rằng số tiền thuế đóng sẽ được sử dụng hiệu quả để cải thiện dịch vụ công, nhưng cần có các giải pháp cụ thể hơn để tăng niềm tin của người dân.</t>
  </si>
  <si>
    <t>Tôi đồng ý với lý do và mục tiêu chính sách mới, mặc dù việc thông báo chi tiết về những thay đổi này vẫn chưa hoàn toàn minh bạch.</t>
  </si>
  <si>
    <t>Dù có một số lo ngại, nhưng tôi sẽ tuân thủ chính sách mới do lợi ích mà nó mang lại cho người dân.</t>
  </si>
  <si>
    <t>Với mức thu nhập của tôi, việc đóng thuế theo các bậc mới là hợp lý, do đó tôi cảm thấy hài lòng với sự công bằng của chính sách này.</t>
  </si>
  <si>
    <t>Đóng thuế giúp xây dựng và cải thiện các dịch vụ công, nên tôi tin tưởng số tiền đóng sẽ được sử dụng hiệu quả</t>
  </si>
  <si>
    <t>Nhà nước đã giải thích rõ ràng về mục đích của việc sửa đổi chính sách thuế, do đó tôi thấy mình có lý do để ủng hộ nó.</t>
  </si>
  <si>
    <t>Sau khi xem xét các quyền lợi và nghĩa vụ, tôi hoàn toàn đồng ý với chính sách mới và sẽ tuân thủ</t>
  </si>
  <si>
    <t>Thuế có nhiều biện pháp quản lý và công nghệ hiện đại, nhưng vẫn cần nâng cao hơn nữa để phát hiện trốn thuế.</t>
  </si>
  <si>
    <t>Cơ quan thuế đã cải thiện đáng kể khả năng giám sát, xử lý gian lận thông qua công nghệ, nhưng chưa hoàn toàn chắc chắn về mức độ hiệu quả.</t>
  </si>
  <si>
    <t>Quy trình khai báo thuế và làm việc với cơ quan thuế đã đơn giản hơn nhiều so với trước đây.</t>
  </si>
  <si>
    <t>Cách tính thuế mới có ít bậc, dễ hiểu và dễ thực hiện hơn, giúp người dân nắm bắt nhanh chóng.</t>
  </si>
  <si>
    <t>Nhà nước đã công bố rõ ràng về chính sách mới, nhưng cần thêm minh bạch về cách thực thi để tăng niềm tin.</t>
  </si>
  <si>
    <t>Thuế mới giảm đáng kể so với trước đây, nên cảm thấy hợp lý và công bằng cho mức thu nhập của mình.</t>
  </si>
  <si>
    <t>Thuốc được dùng để cải thiện dịch vụ công là điều cần thiết, nhưng hiệu quả sử dụng cần được giám sát thường xuyên.</t>
  </si>
  <si>
    <t>Nhà nước đã giải thích rõ ràng về mục tiêu và lý do sửa đổi thuế, tăng niềm tin vào sự minh bạch.</t>
  </si>
  <si>
    <t>Đã tiết kiệm được nhiều tiền từ thuế mới, đồng thời có thêm niềm tin vào chính sách mới.</t>
  </si>
  <si>
    <t>Dù quy định quản lý thuế đã được cải thiện nhưng việc phát hiện và xử lý hành vi gian lận hoặc trốn thuế vẫn còn khó khăn. Cơ quan thuế cần nhiều nguồn lực hơn để thực hiện hiệu quả.</t>
  </si>
  <si>
    <t>Nhà nước có khả năng phát hiện các hành vi trốn thuế với công nghệ ngày càng hiện đại nhưng chưa chắc đã đủ mạnh mẽ trong việc xử lý</t>
  </si>
  <si>
    <t>Các thủ tục khai báo thuế và quy trình làm việc với cơ quan thuế được đơn giản hóa nên dễ dàng thực hiện hơn, tuy nhiên vẫn còn một số vấn đề về sự tiện lợi.</t>
  </si>
  <si>
    <t>Way of calculating and tax brackets in the new plan are simpler and easier to understand. This makes it more convenient for taxpayers to handle their taxes.</t>
  </si>
  <si>
    <t>I trust that the government will implement this policy fairly, but concerns about potential misuse of funds still exist.</t>
  </si>
  <si>
    <t>The tax burden for my income level is considered fair. The reduction in tax and increased deductions make it more reasonable.</t>
  </si>
  <si>
    <t>I believe the government will use the funds collected from taxes effectively to improve public services, but transparency could be improved further.</t>
  </si>
  <si>
    <t>The reasons and goals behind this tax reform are explained clearly. However, more detailed information on how the tax savings will benefit individuals would be helpful.</t>
  </si>
  <si>
    <t>I support the new policy as it benefits me financially and simplifies the tax process. I am willing to follow these changes.</t>
  </si>
  <si>
    <t>Nếu hành vi gian lận hay trốn thuế được phát hiện dễ dàng, tôi sẽ tin rằng việc tuân thủ luật lệ thuế sẽ không còn quá rủi ro.</t>
  </si>
  <si>
    <t>Nhà nước và cơ quan thuế đã đầu tư công nghệ tiên tiến để hỗ trợ quản lý thuế nên khả năng phát hiện hành vi trốn thuế là rất cao.</t>
  </si>
  <si>
    <t>Quy trình khai báo thuế nay dễ dàng hơn, tôi không còn phải lo lắng về việc tuân thủ các quy định phức tạp như trước đây.</t>
  </si>
  <si>
    <t>Biểu thuế mới đơn giản hơn nhiều so với trước đây, giúp tôi hiểu rõ hơn về cách tính và đóng thuế.</t>
  </si>
  <si>
    <t>Tôi tin rằng Nhà nước sẽ công bằng trong việc thực thi chính sách thuế này đối với mọi người dân.</t>
  </si>
  <si>
    <t>Với mức giảm trừ gia cảnh cao hơn, tôi thấy mình đóng thuế hợp lý so với thu nhập của mình.</t>
  </si>
  <si>
    <t>Thuế mà tôi đóng sẽ được sử dụng hiệu quả để cải thiện dịch vụ công, điều này làm tăng niềm tin vào Nhà nước.</t>
  </si>
  <si>
    <t>Nhà nước đã giải thích rõ ràng về mục tiêu của việc sửa đổi thuế lần này và cách thức thực hiện.</t>
  </si>
  <si>
    <t>Tôi ủng hộ chính sách mới vì nó có lợi cho tôi với mức giảm trừ gia cảnh cao hơn và quy định đơn giản hơn.</t>
  </si>
  <si>
    <t>Nhà nước và cơ quan thuế có nhiều biện pháp kiểm soát, nhưng vẫn cần tăng cường để phát hiện trốn thuế một cách hiệu quả.</t>
  </si>
  <si>
    <t>Cơ quan thuế đã đầu tư vào công nghệ, nhưng khả năng thực thi còn phụ thuộc vào nguồn lực và quy trình quản lý.</t>
  </si>
  <si>
    <t>Quy trình khai thuế đơn giản hơn, dễ dàng hơn so với trước đây, nhưng vẫn cần cải tiến thêm về mặt giao diện trực tuyến.</t>
  </si>
  <si>
    <t>Biểu thuế mới đơn giản hóa việc tính toán, người dân dễ hiểu và thực hiện hơn</t>
  </si>
  <si>
    <t>Tôi tin rằng Nhà nước sẽ công bằng trong việc áp dụng chính sách, nhưng cần cải thiện về minh bạch thông tin.</t>
  </si>
  <si>
    <t>Mức thuế mới phù hợp với thu nhập của tôi, giảm gánh nặng về mặt tài chính</t>
  </si>
  <si>
    <t>Thuốc đóng góp vào phát triển xã hội và cải thiện dịch vụ công, nhưng cần nhìn nhận hiệu quả sử dụng ngân sách</t>
  </si>
  <si>
    <t>Nhà nước đã giải thích rõ về mục tiêu của chính sách mới, nhưng cần làm rõ hơn về cách thực hiện và kết quả.</t>
  </si>
  <si>
    <t>Chính sách mới có lợi cho tôi về mặt tài chính, giảm gánh nặng thuế, do đó tôi ủng hộ và tuân thủ</t>
  </si>
  <si>
    <t>Thuế mới giảm bớt gánh nặng tài chính nên tôi cảm thấy mức thuế này hợp lý đối với thu nhập của mình.</t>
  </si>
  <si>
    <t>Nếu số tiền thuế đóng được sử dụng hiệu quả cho cải thiện dịch vụ công, tôi sẽ tin tưởng hơn vào việc đầu tư này.</t>
  </si>
  <si>
    <t>Nhà nước đã giải thích rõ ràng về mục tiêu và lý do của việc sửa đổi thuế, điều này làm tăng niềm tin của tôi.</t>
  </si>
  <si>
    <t>Tôi ủng hộ chính sách mới vì nó giúp giảm gánh nặng tài chính cho người dân và có nhiều ưu đãi hơn so với trước đây.</t>
  </si>
  <si>
    <t>Các quy định quản lý thuế hiện nay khá chặt chẽ và có nhiều biện pháp phát hiện trốn thuế, nhưng vẫn cần cải thiện.</t>
  </si>
  <si>
    <t>Nhà nước đã đầu tư công nghệ để xử lý dữ liệu thuế, giúp tăng cường khả năng phát hiện các hành vi trốn thuế.</t>
  </si>
  <si>
    <t>So với trước đây, quy trình khai báo thuế đơn giản hơn và có nhiều phương án nộp thuế linh hoạt hơn.</t>
  </si>
  <si>
    <t>Biểu thuế mới đơn giản hóa bậc thuế, dễ hiểu và thực hiện hơn so với biểu cũ.</t>
  </si>
  <si>
    <t>Tôi tin rằng Nhà nước sẽ công tâm trong việc thực thi chính sách mới, nhưng vẫn cần thêm minh bạch hơn về cách tính thuế.</t>
  </si>
  <si>
    <t>Mức thuế giảm đáng kể và các giảm trừ gia cảnh tăng, tôi thấy là hợp lý cho thu nhập của mình.</t>
  </si>
  <si>
    <t>Tôi tin số tiền thuế đóng sẽ được sử dụng hiệu quả để cải thiện dịch vụ công, nhưng vẫn cần thêm thông tin về dự án cụ thể.</t>
  </si>
  <si>
    <t>Nhà nước đã giải thích rõ ràng về mục tiêu của việc sửa đổi thuế, nhưng có thể cần nhiều hơn về cách thức thực hiện.</t>
  </si>
  <si>
    <t>Dù còn một số lo ngại, nhưng tôi ủng hộ và tuân thủ chính sách mới vì lợi ích mà nó mang lại cho tôi.</t>
  </si>
  <si>
    <t>Dù có công nghệ hỗ trợ, nhưng việc phát hiện hành vi trốn thuế phụ thuộc nhiều vào các quy định quản lý thuế. Hiện nay chưa rõ ràng về khả năng phát hiện của cơ quan thuế.</t>
  </si>
  <si>
    <t>Cơ quan thuế có thể sử dụng công nghệ tốt hơn để phát hiện trốn thuế, nhưng thực tế việc này phụ thuộc vào nguồn lực và quyết tâm của nhà nước.</t>
  </si>
  <si>
    <t>Thủ tục khai báo thuế đơn giản hơn, chỉ cần xác định thu nhập và giảm trừ gia cảnh, không phức tạp như trước đây.</t>
  </si>
  <si>
    <t>Cách tính thuế và các bậc thuế mới đơn giản hóa đáng kể so với trước đây, dễ hiểu và thực hiện hơn.</t>
  </si>
  <si>
    <t>Tôi tin rằng Nhà nước sẽ công bằng trong việc thực thi chính sách mới, nhưng cần thêm thời gian để chứng minh.</t>
  </si>
  <si>
    <t>Mức thuế tôi phải đóng theo phương án mới được giảm đáng kể và hợp lý với thu nhập của mình.</t>
  </si>
  <si>
    <t>Tôi tin rằng số tiền thuế tôi đóng sẽ được sử dụng hiệu quả để cải thiện các dịch vụ công, nhưng cần sự minh bạch về cách sử dụng.</t>
  </si>
  <si>
    <t>Nhà nước đã giải thích rõ ràng về mục tiêu của việc sửa đổi chính sách thuế, tạo niềm tin cho người dân.</t>
  </si>
  <si>
    <t>Tôi ủng hộ và tuân thủ chính sách mới vì nó mang lại lợi ích tài chính đáng kể cho tôi và gia đình.</t>
  </si>
  <si>
    <t>Hiện nay, công nghệ phát triển mạnh mẽ, việc giám sát và xử lý hành vi trốn thuế sẽ trở nên dễ dàng hơn. Thuế điện tử cùng hệ thống thông tin quản lý thuế được cải thiện sẽ giúp phát hiện gian lận.</t>
  </si>
  <si>
    <t>Nhà nước đã đầu tư vào công nghệ và nhân lực để nâng cao hiệu quả quản lý thuế, giảm thiểu khả năng trốn tránh. Việc này cho thấy Nhà nước có đủ nguồn lực để thực hiện chính sách.</t>
  </si>
  <si>
    <t>Quy trình khai báo thuế trở nên đơn giản hơn với mức giảm trừ gia cảnh tăng lên, giúp tiết kiệm thời gian và công sức. Điều này làm cho việc tương tác với cơ quan thuế thuận lợi hơn.</t>
  </si>
  <si>
    <t>Biểu thuế được đơn giản hóa từ 7 bậc xuống còn 5 bậc, giảm độ phức tạp. Việc tính toán và nộp thuế trở nên dễ dàng hơn, phù hợp với nhiều người dân không chuyên về thuế.</t>
  </si>
  <si>
    <t>Các quy định mới được thực hiện một cách khách quan và công bằng. Mức thuế tôi phải đóng là hợp lý so với thu nhập của mình, điều này tăng niềm tin vào sự công bằng trong việc đánh giá mức thuế.</t>
  </si>
  <si>
    <t>Mức thuế mới được thiết lập dựa trên thu nhập thực tế, đảm bảo tính công bằng. Việc giảm trừ gia cảnh tăng lên cũng giúp cân nhắc lại mức thuế một cách hợp lý.</t>
  </si>
  <si>
    <t>Thuế tôi đóng sẽ được sử dụng hiệu quả để cải thiện chất lượng dịch vụ công, từ đó tạo ra lợi ích cho cộng đồng. Điều này khiến tôi tin rằng tiền thuế của mình không bị lãng phí.</t>
  </si>
  <si>
    <t>Nhà nước đã giải thích rõ ràng về mục tiêu và lý do sửa đổi thuế, giúp người dân hiểu được động cơ đằng sau chính sách mới. Điều này tăng sự minh bạch và trách nhiệm đối với công chúng.</t>
  </si>
  <si>
    <t>Tôi ủng hộ chính sách mới vì các quyền lợi mà tôi nhận được từ việc giảm thuế, cùng với mức độ thuận tiện trong khai báo thuế. Tôi sẽ tuân thủ và đóng góp tích cực vào thực hiện chính sách.</t>
  </si>
  <si>
    <t>Dù có khả năng phát hiện gian lận và trốn thuế cao hơn, nhưng thực tế quy định quản lý thuế ở Việt Nam vẫn còn nhiều hạn chế. Người dân thường gặp khó khăn khi khai báo và xử lý các vấn đề thuế.</t>
  </si>
  <si>
    <t>Nhà nước đã tăng cường công nghệ để theo dõi gian lận thuế, nhưng hiệu quả thực tế còn phụ thuộc vào nhiều yếu tố như nguồn lực và cách quản lý.</t>
  </si>
  <si>
    <t>Quy trình khai thuế và làm việc với cơ quan thuế hiện nay đã đơn giản hơn so với trước đây, nhưng vẫn cần cải thiện về mặt giao tiếp và hỗ trợ cho người dân.</t>
  </si>
  <si>
    <t>Các bậc thuế mới đơn giản hóa quy trình tính thuế, nhưng việc áp dụng các mức thuế cụ thể vẫn có thể gây khó hiểu đối với một số người.</t>
  </si>
  <si>
    <t>Tôi tin rằng Nhà nước sẽ thực thi chính sách một cách công bằng và khách quan, mặc dù vẫn còn lo ngại về khả năng giám sát và xử lý gian lận thuế.</t>
  </si>
  <si>
    <t>Mức thuế mới giảm đáng kể so với trước đây, làm tôi cảm thấy chính sách mới công bằng hơn. Tuy nhiên, mức giảm này chưa hoàn toàn bù đắp cho sự phức tạp trong quản lý tài chính cá nhân.</t>
  </si>
  <si>
    <t>Tôi tin rằng số tiền thuế đóng sẽ được sử dụng hiệu quả để cải thiện các dịch vụ công, nhưng cần có báo cáo cụ thể về việc này.</t>
  </si>
  <si>
    <t>Nhà nước đã giải thích rõ ràng lý do và mục tiêu của việc sửa đổi thuế mới. Tuy nhiên, tôi mong muốn có thêm thông tin chi tiết để đánh giá hiệu quả của chính sách.</t>
  </si>
  <si>
    <t>Dù vẫn còn một số lo ngại về quản lý thuế, nhưng mức giảm trừ gia cảnh và đơn giản hóa quy trình tính thuế đã làm tôi ủng hộ chính sách mới. Tôi sẽ tuân thủ các quy định mới.</t>
  </si>
  <si>
    <t>Hiện nay, với sự phát triển của công nghệ thông tin và hệ thống quản lý thuế hiện đại, tôi tin rằng việc phát hiện hành vi gian lận hoặc trốn thuế sẽ trở nên dễ dàng hơn. Tuy nhiên, cần có thêm thời gian để thấy hiệu quả thực tế.</t>
  </si>
  <si>
    <t>Nhà nước và cơ quan thuế đã đầu tư vào công nghệ và đào tạo đội ngũ làm việc chuyên nghiệp, cho phép họ phát hiện và xử lý các trường hợp trốn thuế nhanh chóng. Điều này tăng cường niềm tin của tôi về khả năng quản lý thuế.</t>
  </si>
  <si>
    <t>Quy trình khai báo thuế trở nên đơn giản hơn, đặc biệt là với việc giảm số bậc thuế và mức giảm trừ gia cảnh. Điều này giúp người dân dễ dàng hơn trong việc thực hiện các thủ tục.</t>
  </si>
  <si>
    <t>Phương án mới về thuế tạo ra sự minh bạch và dễ hiểu, giúp tôi nắm bắt được cách tính thuế và mức thuế phải đóng một cách rõ ràng. Điều này làm tăng độ thuận tiện trong việc tuân thủ.</t>
  </si>
  <si>
    <t>Tôi tin rằng cơ quan thuế sẽ thực thi chính sách mới một cách công bằng, khách quan và đối xử bình đẳng với mọi người nộp thuế. Điều này giúp tăng niềm tin về sự công lý trong hệ thống.</t>
  </si>
  <si>
    <t>Mức thuế theo phương án mới là phù hợp với thu nhập của tôi, giảm đáng kể so với trước đây. Điều này thể hiện tính công bằng và hợp lý trong việc phân bổ gánh nặng thuế.</t>
  </si>
  <si>
    <t>Số tiền thuế mà tôi đóng sẽ được sử dụng hiệu quả để cải thiện các dịch vụ công, đặc biệt là y tế và cơ sở hạ tầng. Điều này làm tăng niềm tin về sự đầu tư hợp lý của Nhà nước.</t>
  </si>
  <si>
    <t>Nhà nước đã giải thích rõ ràng mục tiêu của việc sửa đổi thuế, cho thấy quyết tâm cải thiện hệ thống quản lý tài chính. Sự minh bạch này làm tăng niềm tin về sự chuyên nghiệp và hiệu quả.</t>
  </si>
  <si>
    <t>Tôi ủng hộ và tuân thủ chính sách mới hiện nay vì nó mang lại nhiều lợi ích, giảm gánh nặng thuế và đơn giản hóa quy trình khai báo. Điều này giúp tôi dễ dàng hơn trong việc thực hiện nghĩa vụ thuế.</t>
  </si>
  <si>
    <t>Nhà nước đã tăng cường các biện pháp quản lý thuế và công nghệ hiện đại, nhưng vẫn có thể gặp khó khăn trong việc phát hiện trốn thuế.</t>
  </si>
  <si>
    <t>Cơ quan thuế có nhiều nguồn lực hơn để quản lý, nhưng việc xử lý nghiêm vẫn phụ thuộc vào sự hiệu quả của hệ thống pháp luật.</t>
  </si>
  <si>
    <t>Quy trình khai thuế trở nên đơn giản hơn, tốn ít thời gian và dễ thực hiện.</t>
  </si>
  <si>
    <t>Biểu thuế mới được đơn giản hóa, dễ hiểu và áp dụng thuận tiện hơn so với trước đây.</t>
  </si>
  <si>
    <t>Tôi tin rằng cơ quan thuế sẽ thực thi chính sách một cách công bằng, nhưng vẫn cần sự giám sát chặt chẽ từ các tổ chức độc lập.</t>
  </si>
  <si>
    <t>Thu nhập của tôi đã giảm đáng kể sau khi áp dụng luật mới, điều này làm tăng cảm giác công bằng trong việc đóng thuế.</t>
  </si>
  <si>
    <t>Tôi tin rằng số tiền thuế đóng sẽ được sử dụng hiệu quả để cải thiện các dịch vụ công, như y tế và giáo dục.</t>
  </si>
  <si>
    <t>Nhà nước đã giải thích rõ ràng về mục tiêu của chính sách mới, nhưng vẫn cần thêm thông tin chi tiết về cách sử dụng nguồn thu thuế.</t>
  </si>
  <si>
    <t>Sau khi xem xét các quyền lợi và nghĩa vụ, tôi ủng hộ chính sách mới vì nó giúp tôi tiết kiệm được tiền thuế và đơn giản hóa quy trình khai báo.</t>
  </si>
  <si>
    <t>Biểu thuế có ít bậc hơn và dễ hiểu hơn, giảm bớt sự phức tạp cho người dân.</t>
  </si>
  <si>
    <t>Tôi tin rằng việc thực thi chính sách sẽ công bằng đối với mọi người nộp thuế.</t>
  </si>
  <si>
    <t>Thuế theo phương án mới là hợp lý vì giảm trừ gia cảnh được nâng cao, phù hợp với thu nhập hiện tại của tôi.</t>
  </si>
  <si>
    <t>Tôi tin số tiền thuế đóng sẽ được sử dụng hiệu quả để cải thiện dịch vụ công cho người dân.</t>
  </si>
  <si>
    <t>Nhà nước đã giải thích rõ ràng về mục tiêu và lý do của việc sửa đổi thuế lần này.</t>
  </si>
  <si>
    <t>Tôi ủng hộ chính sách mới vì nó giúp tôi tiết kiệm được tiền thuế, đồng thời giảm bớt sự phức tạp trong khai báo thuế.</t>
  </si>
  <si>
    <t>Nhà nước sẽ công bằng trong việc thực thi chính sách, đảm bảo không phân biệt đối xử giữa các nhóm người nộp thuế.</t>
  </si>
  <si>
    <t>Mức thuế mới giảm so với trước đây, tạo cảm giác công bằng cho người thu nhập trung bình như tôi.</t>
  </si>
  <si>
    <t>Thuế đóng góp vào việc cải thiện dịch vụ công, nhưng cần kiểm tra hiệu quả sử dụng nguồn lực.</t>
  </si>
  <si>
    <t>Nhà nước đã giải thích rõ ràng về mục tiêu và lý do của chính sách mới, tạo sự tin tưởng.</t>
  </si>
  <si>
    <t>Chính sách mới mang lại lợi ích tài chính và thủ tục đơn giản hơn, tôi sẽ ủng hộ và tuân thủ.</t>
  </si>
  <si>
    <t>Dù có cơ chế phát hiện gian lận và trốn thuế, nhưng do chưa rõ ràng về mức độ xử phạt nên cảm thấy không hoàn toàn chắc chắn.</t>
  </si>
  <si>
    <t>Công nghệ hiện đại giúp phát hiện dễ dàng hơn so với trước đây, nhưng cần thêm thời gian để chứng minh hiệu quả.</t>
  </si>
  <si>
    <t>Quy trình làm việc đơn giản hơn, thủ tục khai báo thuế thuận tiện hơn nhiều so với trước đây.</t>
  </si>
  <si>
    <t>Đơn giản hóa biểu thuế và tăng mức giảm trừ giúp tính toán dễ dàng và minh bạch hơn.</t>
  </si>
  <si>
    <t>Niềm tin vào sự công bằng của Nhà nước còn hạn chế, nhưng cải cách thuế tạo ra cảm giác công bằng hơn.</t>
  </si>
  <si>
    <t>Mức thuế mới phù hợp với thu nhập hiện tại và tăng mức giảm trừ gia cảnh là điều công bằng.</t>
  </si>
  <si>
    <t>Hi vọng số tiền thuế đóng sẽ được sử dụng hiệu quả để cải thiện dịch vụ công, nhưng cần thêm thời gian chứng minh.</t>
  </si>
  <si>
    <t>Nhìn chung Nhà nước đã giải thích rõ về mục tiêu của chính sách mới, nhưng chi tiết cụ thể về cách thực hiện còn hạn chế.</t>
  </si>
  <si>
    <t>Chính sách mới giảm gánh nặng thuế và tăng mức giảm trừ gia cảnh, do đó tôi ủng hộ và sẽ tuân thủ.</t>
  </si>
  <si>
    <t>Dù quy định quản lý thuế hiện nay đã cải thiện, nhưng tôi vẫn lo ngại về khả năng phát hiện trốn thuế của cơ quan thuế. Tuy nhiên, với mức giảm trừ gia cảnh tăng lên, nguy cơ trốn thuế có thể giảm bớt.</t>
  </si>
  <si>
    <t>Cơ quan thuế đã áp dụng công nghệ hiện đại hơn để phát hiện và xử lý vi phạm. Tuy nhiên, tôi vẫn mong chờ thêm các biện pháp cụ thể hơn về quản lý thuế.</t>
  </si>
  <si>
    <t>Quy trình khai báo thuế trở nên đơn giản hơn so với trước đây, nhưng vẫn cần cải thiện nữa để thuận tiện hơn cho người nộp thuế.</t>
  </si>
  <si>
    <t>Biểu thuế mới đã được đơn giản hóa, giúp tôi dễ dàng tính toán và hiểu rõ hơn. Tuy nhiên, việc áp dụng các mức thuế cụ thể vẫn cần thêm hướng dẫn rõ ràng.</t>
  </si>
  <si>
    <t>Tôi tin rằng cơ quan thuế sẽ thực thi chính sách một cách công bằng, nhưng vẫn có lo ngại về sự khác biệt trong cách thức xử lý giữa các cá nhân nộp thuế</t>
  </si>
  <si>
    <t>Mức thuế mới giảm đáng kể so với trước đây, tạo ra cảm giác công bằng và hợp lý. Tuy nhiên, tôi vẫn mong chờ thêm thông tin về cách sử dụng số tiền thuế này.</t>
  </si>
  <si>
    <t>Tôi tin rằng số tiền thuế đóng sẽ được sử dụng hiệu quả để cải thiện dịch vụ công, nhưng cần có thêm thông tin cụ thể về việc này</t>
  </si>
  <si>
    <t>Chính phủ đã giải thích rõ ràng về mục tiêu của việc sửa đổi chính sách thuế, tuy nhiên vẫn cần thêm thông tin chi tiết hơn.</t>
  </si>
  <si>
    <t>Dù có một số lo ngại, nhưng tôi ủng hộ và tuân thủ chính sách mới. Các quyền lợi từ chính sách này giúp tôi cảm thấy công bằng và thuận lợi hơn trong việc nộp thuế</t>
  </si>
  <si>
    <t>Như một công dân Việt Nam, tôi tin rằng với việc tăng cường quản lý thuế và phát triển công nghệ hiện đại của cơ quan thuế, hành vi gian lận hoặc trốn thuế sẽ khó bị lợi dụng. Tuy nhiên, do chưa trải nghiệm thực tế nên điểm số không quá cao.</t>
  </si>
  <si>
    <t>Nhà nước và cơ quan thuế có khả năng phát hiện và xử lý nghiêm các hành vi trốn thuế dựa trên những cải tiến về công nghệ và quản lý. Đánh giá này dựa trên thông tin từ chính phủ.</t>
  </si>
  <si>
    <t>Quy trình khai báo thuế đã đơn giản hóa hơn, giảm bớt các thủ tục rườm rà. Việc tăng mức giảm trừ gia cảnh cũng giúp việc tính thuế trở nên thuận tiện hơn cho người dân.</t>
  </si>
  <si>
    <t>Biểu thuế mới với số bậc giảm từ 7 xuống còn 5 đã làm cho quá trình tính thuế trở nên dễ hiểu và thực hiện nhanh chóng hơn. Điều này giúp ích rất nhiều cho người dân.</t>
  </si>
  <si>
    <t>Tôi tin rằng cơ quan thuế sẽ thực thi chính sách một cách công bằng, nhưng cần thêm thời gian để kiểm chứng qua thực tế.</t>
  </si>
  <si>
    <t>Như một người có thu nhập trung bình, mức thuế mới mà tôi phải đóng là hợp lý và công bằng. Điều này giúp giảm bớt gánh nặng tài chính cho gia đình tôi.</t>
  </si>
  <si>
    <t>Thuế tôi đóng sẽ được sử dụng hiệu quả để cải thiện dịch vụ công, từ đó tạo ra lợi ích thiết thực cho người dân như nâng cao chất lượng y tế và hạ tầng giao thông. Đánh giá này dựa trên niềm tin vào trách nhiệm của Nhà nước.</t>
  </si>
  <si>
    <t>Nhà nước đã giải thích rõ ràng về lý do và mục tiêu của việc sửa đổi thuế, tạo nên sự minh bạch trong quá trình thực hiện chính sách. Điều này tăng thêm niềm tin vào quyết định của họ.</t>
  </si>
  <si>
    <t>Tôi ủng hộ chính sách mới vì nó mang lại lợi ích tài chính cho tôi và gia đình, đồng thời đơn giản hóa quy trình khai báo thuế. Đồng thời, mức thuế mới cũng hợp lý với thu nhập của tôi.</t>
  </si>
  <si>
    <t>Nếu cơ quan thuế có đủ công nghệ và khả năng, việc phát hiện hành vi gian lận hoặc trốn thuế sẽ dễ dàng hơn. Tuy nhiên, với quy định quản lý thuế hiện tại, tôi vẫn lo ngại về thực thi.</t>
  </si>
  <si>
    <t>Cơ quan thuế có công nghệ và khả năng để phát hiện gian lận hoặc trốn thuế là rất quan trọng. Tuy nhiên, việc thực thi hiệu quả còn phụ thuộc vào nhiều yếu tố khác.</t>
  </si>
  <si>
    <t>Quy trình khai báo thuế và làm việc với cơ quan thuế đã đơn giản hơn so với trước đây nhờ mức giảm trừ gia cảnh cao hơn. Điều này giúp thuận tiện cho công dân.</t>
  </si>
  <si>
    <t>Các bậc thuế đơn giản hóa và dễ hiểu, giúp việc tính toán thuế trở nên dễ dàng hơn. Đây là một cải tiến lớn so với trước đây.</t>
  </si>
  <si>
    <t>Tôi tin rằng Nhà nước sẽ thực thi chính sách mới công tâm, nhưng vẫn có thể lo ngại về sự công bằng trong cách áp dụng thuế cho các trường hợp cụ thể.</t>
  </si>
  <si>
    <t>Các mức thuế mới được thiết lập một cách công bằng. Với thu nhập của tôi, mức thuế mới là hợp lý và không quá nặng nề.</t>
  </si>
  <si>
    <t>Tôi tin rằng số tiền thuế đóng sẽ được sử dụng hiệu quả để cải thiện dịch vụ công. Tuy nhiên, việc thực hiện mục tiêu này phụ thuộc vào quản trị của Nhà nước.</t>
  </si>
  <si>
    <t>Nhà nước đã giải thích rõ ràng về lý do và mục đích của việc sửa đổi thuế. Điều này tăng cường niềm tin của tôi đối với chính sách mới.</t>
  </si>
  <si>
    <t>Sau khi xem xét các quyền lợi và nghĩa vụ, tôi ủng hộ và sẽ tuân thủ chính sách mới. Các cải tiến về thuế đã giúp giảm gánh nặng tài chính cho công dân.</t>
  </si>
  <si>
    <t>Nhà nước có hệ thống công nghệ hiện đại để phát hiện gian lận, nhưng cần tăng cường hơn nữa trong việc ứng dụng công nghệ vào quản lý thuế.</t>
  </si>
  <si>
    <t>Quy trình khai báo và làm việc với cơ quan thuế đã đơn giản hóa nhiều so với trước đây, tiết kiệm thời gian cho người nộp thuế.</t>
  </si>
  <si>
    <t>Phương án mới có ít bậc thuế hơn, dễ hiểu hơn. Tuy nhiên, mức thuế vẫn còn phức tạp đối với những người không am hiểu về luật thuế.</t>
  </si>
  <si>
    <t>Tôi tin Nhà nước sẽ thực thi chính sách công bằng và khách quan, nhưng cần có thêm thông tin rõ ràng về cách thực hiện.</t>
  </si>
  <si>
    <t>Thuế mới đã giảm đáng kể so với trước đây. Tôi cảm thấy mức thuế này là hợp lý cho thu nhập của mình.</t>
  </si>
  <si>
    <t>Thuê tôi đóng sẽ được sử dụng để cải thiện dịch vụ công, nhưng cần minh bạch hơn về cách sử dụng nguồn thuế.</t>
  </si>
  <si>
    <t>Nhà nước đã giải thích rõ mục tiêu của việc sửa đổi luật thuế. Tôi tin rằng thông tin này sẽ giúp tôi hiểu rõ hơn về chính sách mới.</t>
  </si>
  <si>
    <t>Tôi ủng hộ và tuân thủ chính sách mới vì nó có lợi cho người dân và đơn giản hóa quy trình làm việc với cơ quan thuế.</t>
  </si>
  <si>
    <t>Với mức giảm trừ gia cảnh tăng lên, tôi thấy việc phát hiện hành vi gian lận trở nên khó khăn hơn. Tuy nhiên, công nghệ và khả năng của cơ quan thuế cũng có thể vẫn giữ nguyên.</t>
  </si>
  <si>
    <t>Nhà nước có đủ nguồn lực để quản lý các vấn đề về thuế, nhưng hiệu quả thực tế còn phụ thuộc vào cách triển khai.</t>
  </si>
  <si>
    <t>Quy trình làm việc với cơ quan thuế đã đơn giản hơn trước đây, thủ tục khai báo cũng trở nên tiện lợi và nhanh chóng hơn.</t>
  </si>
  <si>
    <t>Các bậc thuế được đơn giản hóa, giúp việc tính toán dễ dàng hơn. Tuy nhiên, vẫn cần thời gian để quen với các thay đổi mới.</t>
  </si>
  <si>
    <t>Tăng mức giảm trừ gia cảnh và số bậc thuế giảm đi khiến tôi thấy Nhà nước đã thực hiện một cách công bằng. Cơ hội bị lạm dụng thuế thấp hơn so với trước đây.</t>
  </si>
  <si>
    <t>Mức thuế mới phù hợp với thu nhập của tôi, tăng thêm niềm tin về tính công bằng trong việc đánh thuế.</t>
  </si>
  <si>
    <t>Tăng mức giảm trừ gia cảnh và đơn giản hóa quy trình thuế giúp tôi tin rằng số tiền thuế đóng sẽ được sử dụng hiệu quả cho các dịch vụ công ích.</t>
  </si>
  <si>
    <t>Nhà nước đã giải thích rõ ràng về mục tiêu cải cách, nhưng việc minh bạch còn hạn chế trong quá trình thực thi.</t>
  </si>
  <si>
    <t>Tổng hợp các yếu tố trên, tôi ủng hộ và sẽ tuân thủ chính sách mới. Các quyền lợi tăng lên khiến tôi hài lòng hơn với hệ thống thuế hiện tại.</t>
  </si>
  <si>
    <t>Trong bối cảnh hiện tại, hệ thống quản lý thuế đã phát triển công nghệ và có nhiều biện pháp giám sát. Tuy nhiên, vẫn còn khả năng trốn thuế nếu người nộp thuế thông minh trong việc khai báo.</t>
  </si>
  <si>
    <t>Nhà nước đã đầu tư vào hệ thống công nghệ thông tin để quản lý thuế và xử lý vi phạm. Công nghệ giúp phát hiện nhanh chóng các hành vi trốn thuế.</t>
  </si>
  <si>
    <t>Quy trình khai báo thuế và giao tiếp với cơ quan thuế đã đơn giản hơn, dễ thực hiện hơn so với trước đây.</t>
  </si>
  <si>
    <t>Bậc thuế mới đơn giản hơn, dễ hiểu hơn. Việc giảm trừ gia cảnh cao hơn giúp tính toán thuế dễ dàng hơn.</t>
  </si>
  <si>
    <t>Tôi tin rằng Nhà nước sẽ công bằng trong việc thực thi chính sách mới, nhưng vẫn cần thêm minh bạch về cách quản lý và sử dụng số tiền thu được từ thuế.</t>
  </si>
  <si>
    <t>Thuế theo mức mới thấp hơn so với trước đây nên tôi thấy công bằng. Mức giảm trừ gia cảnh cao giúp tôi tiết kiệm nhiều chi phí.</t>
  </si>
  <si>
    <t>Tôi tin rằng số tiền thuế đóng sẽ được sử dụng hiệu quả để cải thiện dịch vụ công, nhưng cần thêm thông tin về cách thức sử dụng cụ thể.</t>
  </si>
  <si>
    <t>Nhà nước đã giải thích rõ ràng về mục tiêu của việc sửa đổi chính sách thuế. Tuy nhiên, tôi mong muốn có thêm thông tin chi tiết về quy trình thực thi.</t>
  </si>
  <si>
    <t>Tôi ủng hộ và tuân thủ chính sách mới vì nó đơn giản hơn và mang lại lợi ích tài chính cho tôi. Mặc dù vậy, cần thêm minh bạch về cách sử dụng số tiền thuế thu được.</t>
  </si>
  <si>
    <t>Hiện tại, cơ quan thuế có hệ thống quản lý mạnh mẽ và các công nghệ tiên tiến. Tuy nhiên, vẫn còn khả năng trốn thuế bằng cách gian lận thông tin</t>
  </si>
  <si>
    <t>Nhà nước đã đầu tư đáng kể vào hệ thống công nghệ để phát hiện hành vi trốn thuế, việc này tăng cường khả năng quản lý thuế</t>
  </si>
  <si>
    <t>Các quy trình khai thuế và làm việc với cơ quan thuế trở nên đơn giản hơn, giảm bớt rườm rà</t>
  </si>
  <si>
    <t>Biểu thuế mới đơn giản hơn, dễ hiểu và thực hiện thuận tiện hơn so với trước đây</t>
  </si>
  <si>
    <t>Tin tưởng vào sự công bằng của hệ thống thuế mới, đặc biệt là mức giảm trừ gia cảnh tăng lên</t>
  </si>
  <si>
    <t>Mức thuế mới được coi là công bằng với thu nhập hiện tại của tôi</t>
  </si>
  <si>
    <t>Nhìn thấy việc đóng thuế có tác dụng vào các dịch vụ công, nên tin tưởng số tiền đóng sẽ sử dụng hiệu quả</t>
  </si>
  <si>
    <t>Đã nhận được giải thích rõ ràng về mục tiêu của chính sách mới, cảm thấy hài lòng</t>
  </si>
  <si>
    <t>Sau khi xem xét, tôi ủng hộ và tuân thủ chính sách thuế mới vì lợi ích tài chính và sự công bằng</t>
  </si>
  <si>
    <t>Nhà nước và cơ quan thuế có nhiều công cụ để phát hiện hành vi gian lận hoặc trốn thuế, nhưng hiệu quả thực tế phụ thuộc vào việc triển khai.</t>
  </si>
  <si>
    <t>Công nghệ hiện đại giúp Nhà nước quản lý thuế tốt hơn, giảm nguy cơ trốn thuế, nhưng vẫn cần cải tiến để tăng cường hơn nữa.</t>
  </si>
  <si>
    <t>Thủ tục khai báo thuế trở nên đơn giản hơn, dễ thực hiện và ghi chú cá nhân cũng thuận tiện hơn, tạo cảm giác thuận lợi cho người nộp thuế.</t>
  </si>
  <si>
    <t>Biểu thuế đơn giản hóa giúp tính toán thu nhập chịu thuế dễ dàng hơn, giảm độ phức tạp, tăng sự hiểu biết và việc thực hiện.</t>
  </si>
  <si>
    <t>Tôi tin rằng Nhà nước sẽ công tâm trong việc áp dụng chính sách mới, nhưng vẫn cần giám sát chặt chẽ để đảm bảo không thiên vị.</t>
  </si>
  <si>
    <t>Đối với thu nhập của tôi, mức thuế mới là hợp lý và công bằng. Việc giảm trừ gia cảnh tăng lên tạo ra sự công bằng hơn.</t>
  </si>
  <si>
    <t>Tôi tin rằng số tiền thuế đóng sẽ được sử dụng hiệu quả để cải thiện dịch vụ công và chất lượng cuộc sống của người dân.</t>
  </si>
  <si>
    <t>Nhà nước đã giải thích rõ ràng về mục tiêu của việc sửa đổi thuế, nhưng cần tiếp tục làm rõ hơn nữa để tăng sự tin tưởng.</t>
  </si>
  <si>
    <t>Cải cách thuế mang lại lợi ích tài chính và thuận tiện cho tôi. Tôi sẽ ủng hộ và tuân thủ chính sách mới.</t>
  </si>
  <si>
    <t>So với trước đây, quy trình khai báo thuế trở nên đơn giản hơn do giảm số bậc thuế và mức giảm trừ gia cảnh.</t>
  </si>
  <si>
    <t>Biểu thuế mới đơn giản hóa việc tính toán, dễ hiểu và thực hiện hơn so với trước đây.</t>
  </si>
  <si>
    <t>Tôi tin rằng cơ quan thuế sẽ công bằng trong quá trình thực thi chính sách mới vì đã có sự thay đổi rõ ràng về mức thuế và các quy định giảm trừ.</t>
  </si>
  <si>
    <t>Theo phương án mới, tôi chỉ phải đóng khoảng 69.5% mức thuế so với trước đây, do đó tôi thấy là công bằng cho thu nhập của mình.</t>
  </si>
  <si>
    <t>Sau khi xem xét số tiền thuế mà tôi phải đóng, tôi tin rằng nó sẽ được sử dụng hiệu quả để cải thiện các dịch vụ công.</t>
  </si>
  <si>
    <t>Nhà nước đã giải thích rõ về mục tiêu và lý do của việc sửa đổi thuế, giúp tôi hiểu hơn về chính sách mới.</t>
  </si>
  <si>
    <t>Dựa trên các quyền lợi mà tôi có được sau khi xem xét, tôi ủng hộ và sẽ tuân thủ chính sách mới.</t>
  </si>
  <si>
    <t>Hiện nay, cơ quan thuế có nhiều công cụ và hệ thống để kiểm soát thuế nên khá tin tưởng vào khả năng phát hiện hành vi gian lận.</t>
  </si>
  <si>
    <t>Cơ quan thuế đã đầu tư nhiều vào công nghệ, do đó khả năng xử lý nghiêm các hành vi trốn thuế được cải thiện đáng kể.</t>
  </si>
  <si>
    <t>Quy trình khai báo và làm việc với cơ quan thuế trở nên đơn giản hơn so với trước đây, giảm bớt rào cản cho người dân.</t>
  </si>
  <si>
    <t>Số bậc thuế giảm từ 7 xuống còn 5, cùng với mức giảm trừ gia cảnh tăng lên, khiến việc tính thuế trở nên dễ hiểu hơn nhiều.</t>
  </si>
  <si>
    <t>Tôi tin rằng cơ quan thuế sẽ thực thi chính sách một cách công bằng và khách quan, không phân biệt ai nộp bao nhiêu thuế.</t>
  </si>
  <si>
    <t>Thuế mới giảm đi đáng kể so với trước đây, do đó tôi cảm thấy mức đóng thuế hiện tại là hợp lý đối với thu nhập của mình.</t>
  </si>
  <si>
    <t>Tôi tin rằng số tiền thuế đóng sẽ được sử dụng hiệu quả để cải thiện chất lượng cuộc sống của người dân.</t>
  </si>
  <si>
    <t>Nhà nước đã giải thích rõ ràng về mục tiêu và lý do của việc sửa đổi thuế, tạo niềm tin cho người dân trong việc tuân thủ chính sách mới.</t>
  </si>
  <si>
    <t>Dựa trên sự cải thiện về mặt tiện lợi, công bằng và hiệu quả sử dụng nguồn lực, tôi ủng hộ và sẽ tuân thủ chính sách mới.</t>
  </si>
  <si>
    <t>Nếu quy định quản lý thuế hiện nay được thực thi nghiêm minh, hành vi gian lận sẽ bị phát hiện. Tuy nhiên, tôi không hoàn toàn tin tưởng vào khả năng kiểm soát của cơ quan thuế</t>
  </si>
  <si>
    <t>Nhà nước có công nghệ và nguồn lực để phát hiện trốn thuế, nhưng cần cải thiện hơn nữa về mặt thực thi</t>
  </si>
  <si>
    <t>Thủ tục khai báo thuế đơn giản hơn và dễ dàng sử dụng hơn so với trước đây</t>
  </si>
  <si>
    <t>Cách tính thuế mới rõ ràng, các bậc thuế được đơn giản hóa, dễ thực hiện hơn</t>
  </si>
  <si>
    <t>Tôi tin rằng cơ quan thuế sẽ thực thi chính sách công bằng và khách quan đối với mọi người nộp thuế</t>
  </si>
  <si>
    <t>Thuế mới giảm đi đáng kể, tôi thấy mức thuế này là hợp lý cho thu nhập của mình</t>
  </si>
  <si>
    <t>Các khoản tiết kiệm từ thuế sẽ được sử dụng hiệu quả để cải thiện dịch vụ công</t>
  </si>
  <si>
    <t>Tôi đã nhận thấy các giải thích rõ ràng về mục tiêu và lý do của việc sửa đổi thuế lần này</t>
  </si>
  <si>
    <t>Chính sách mới có lợi cho người dân, tôi ủng hộ và sẽ tuân thủ theo</t>
  </si>
  <si>
    <t>Nhà nước đã công bố rõ ràng về mục tiêu của việc sửa đổi luật thuế, tạo niềm tin cho người dân.</t>
  </si>
  <si>
    <t>Thuế mới giảm đáng kể so với trước đây, phù hợp với thu nhập hiện tại và tăng cảm giác công bằng</t>
  </si>
  <si>
    <t>Thuê đóng góp cho việc nâng cao chất lượng dịch vụ công, cải thiện cơ sở hạ tầng và y tế.</t>
  </si>
  <si>
    <t>Nhà nước đã giải thích cụ thể về mục tiêu của chính sách mới, tạo sự minh bạch</t>
  </si>
  <si>
    <t>Đối với tôi, sau khi xem xét các quyền lợi và nghĩa vụ, tôi ủng hộ và sẽ tuân thủ chính sách thuế mới.</t>
  </si>
  <si>
    <t>Có sự cải tiến trong quản lý thuế nhưng vẫn còn nhiều rủi ro cho người dân không tuân thủ.</t>
  </si>
  <si>
    <t>Nhà nước có các công cụ cần thiết để phát hiện và xử lý gian lận, trốn thuế.</t>
  </si>
  <si>
    <t>Quy trình khai báo thuế đơn giản hơn, nhưng vẫn còn một số thủ tục phức tạp.</t>
  </si>
  <si>
    <t>Biểu thuế mới rõ ràng và dễ hiểu hơn so với trước đây.</t>
  </si>
  <si>
    <t>Tin tưởng vào sự công bằng của Nhà nước trong việc thực thi chính sách nhưng vẫn có nghi ngờ về một số trường hợp cụ thể.</t>
  </si>
  <si>
    <t>Thuế mới được giảm, tôi cảm thấy mức thuế này là hợp lý cho thu nhập hiện tại.</t>
  </si>
  <si>
    <t>Đồng ý với việc sử dụng số tiền thuế để cải thiện dịch vụ công nhưng vẫn có sự lo ngại về hiệu quả quản lý.</t>
  </si>
  <si>
    <t>Nhà nước đã giải thích rõ ràng mục tiêu của chính sách mới, tôi cảm thấy thông tin minh bạch.</t>
  </si>
  <si>
    <t>Đồng ý ủng hộ và tuân thủ chính sách mới vì tác động tài chính tích cực.</t>
  </si>
  <si>
    <t>Cơ quan thuế có nhiều công cụ để phát hiện hành vi gian lận, tuy nhiên vẫn cần cải thiện về năng lực và hiệu quả quản lý.</t>
  </si>
  <si>
    <t>Nhà nước đã đầu tư vào công nghệ để hỗ trợ việc quản lý thuế, nhưng vẫn có khoảng cách với các quốc gia tiên tiến.</t>
  </si>
  <si>
    <t>Quy trình khai thuế và giao tiếp với cơ quan thuế đơn giản hơn, thuận tiện qua ứng dụng điện tử.</t>
  </si>
  <si>
    <t>Biểu thuế mới rõ ràng hơn so với trước, giảm số bậc từ 7 xuống còn 5, dễ dàng thực hiện và tính toán.</t>
  </si>
  <si>
    <t>Tôi tin rằng nhà nước sẽ thực thi chính sách một cách công bằng, nhưng vẫn có lo ngại về khả năng kiểm soát và giám sát.</t>
  </si>
  <si>
    <t>Thuế mới giảm đáng kể so với trước đây, tôi thấy mức này là hợp lý cho thu nhập của mình.</t>
  </si>
  <si>
    <t>Tài nguyên thuế được sử dụng hiệu quả để cải thiện các dịch vụ công, nhưng vẫn cần thêm thông tin về cách sử dụng cụ thể hơn.</t>
  </si>
  <si>
    <t>Nhà nước đã giải thích rõ ràng về lý do và mục tiêu của việc sửa đổi thuế lần này, tôi thấy đây là cải tiến tích cực.</t>
  </si>
  <si>
    <t>Tôi ủng hộ chính sách mới vì nó giảm gánh nặng thuế cho người dân, đồng thời đơn giản hóa quy trình khai báo.</t>
  </si>
  <si>
    <t>Cơ quan thuế đã có hệ thống phát hiện gian lận, tuy nhiên với mức thu nhập và giảm trừ gia cảnh mới, khả năng bị phát hiện trốn thuế thấp hơn</t>
  </si>
  <si>
    <t>Nhà nước đang nỗ lực cải thiện công nghệ quản lý thuế, nhưng cần thêm thời gian để hệ thống hoàn thiện</t>
  </si>
  <si>
    <t>Quy trình khai báo và làm việc với cơ quan thuế đã đơn giản hơn, giảm bớt rắc rối cho người dân</t>
  </si>
  <si>
    <t>Biểu thuế mới có ít bậc hơn, dễ hiểu và thực hiện nhanh chóng hơn so với trước đây</t>
  </si>
  <si>
    <t>Tôi tin rằng cơ quan thuế sẽ công khai và minh bạch trong việc thực thi chính sách</t>
  </si>
  <si>
    <t>Với mức giảm trừ gia cảnh cao hơn, tôi cảm thấy hợp lý khi đóng thuế theo phương án mới</t>
  </si>
  <si>
    <t>Tiết kiệm được tiền thuế, tôi tin rằng số tiền này sẽ được sử dụng hiệu quả cho các dịch vụ công</t>
  </si>
  <si>
    <t>Nhà nước đã giải thích rõ ràng về mục tiêu và lý do của việc cải cách thuế lần này</t>
  </si>
  <si>
    <t>Tôi ủng hộ chính sách mới vì nó giảm bớt gánh nặng thuế mà vẫn công bằng cho người dân</t>
  </si>
  <si>
    <t>Thuế hiện nay được quản lý chặt chẽ, công nghệ hiện đại giúp phát hiện hành vi gian lận hiệu quả.</t>
  </si>
  <si>
    <t>Cơ quan thuế có nhiều nguồn lực và công nghệ tiên tiến để xử lý các vấn đề về trốn thuế.</t>
  </si>
  <si>
    <t>Quy trình khai báo đơn giản hơn, thuận tiện cho người dân nộp thuế.</t>
  </si>
  <si>
    <t>Bậc thuế ít hơn và dễ hiểu, làm giảm độ phức tạp trong việc tính toán</t>
  </si>
  <si>
    <t>Nhà nước đã nỗ lực cải cách thuế một cách công bằng cho mọi người.</t>
  </si>
  <si>
    <t>Với mức thu nhập hiện tại, tôi thấy số thuế đóng là hợp lý và công bằng.</t>
  </si>
  <si>
    <t>Thuế đóng góp vào việc cải thiện hạ tầng và dịch vụ công, nâng cao chất lượng cuộc sống.</t>
  </si>
  <si>
    <t>Nhà nước đã giải thích rõ ràng mục tiêu của cải cách thuế lần này.</t>
  </si>
  <si>
    <t>Chính sách mới có lợi cho người dân, tôi ủng hộ và sẽ tuân thủ.</t>
  </si>
  <si>
    <t>Quy trình khai báo thuế đơn giản hơn trước đây, dễ thực hiện hơn, nhưng vẫn có thể phức tạp đối với những người không am hiểu về thuế.</t>
  </si>
  <si>
    <t>Đơn giản hóa biểu thuế và tăng mức giảm trừ gia cảnh giúp tôi tính toán nhanh chóng hơn, dễ dàng thực hiện hơn so với trước đây.</t>
  </si>
  <si>
    <t>Tôi tin rằng cơ quan thuế sẽ công tâm trong việc áp dụng chính sách mới, nhưng vẫn còn một số lo ngại về sự nhất quán trong thực thi.</t>
  </si>
  <si>
    <t>Với mức thu nhập hiện tại và giảm trừ gia cảnh tăng lên, tôi thấy rằng mức thuế mới là hợp lý. Tuy nhiên, cần thêm thời gian để quen với quy định mới.</t>
  </si>
  <si>
    <t>Nhà nước đã cam kết sử dụng số tiền thuế thu được vào cải thiện dịch vụ công, tôi tin rằng mục tiêu này sẽ được thực hiện.</t>
  </si>
  <si>
    <t>Cơ quan thuế đã giải thích rõ ràng về lý do và mục tiêu của việc sửa đổi chính sách thuế lần này. Tuy nhiên, tôi hy vọng có thêm thông tin chi tiết về cách sử dụng số tiền thuế.</t>
  </si>
  <si>
    <t>Tôi ủng hộ chính sách mới vì nó giúp tôi tiết kiệm được một khoản tiền đáng kể và đơn giản hóa quy trình khai báo thuế. Tuy nhiên, cần thêm thời gian để quen với các thay đổi.</t>
  </si>
  <si>
    <t>Việc tăng giảm trừ gia cảnh và đơn giản hóa biểu thuế có thể khiến hành vi gian lận hoặc trốn thuế khó hơn, nhưng vẫn cần sự giám sát chặt chẽ.</t>
  </si>
  <si>
    <t>Nhà nước đã cải tiến hệ thống công nghệ để theo dõi và xử lý thuế một cách hiệu quả.</t>
  </si>
  <si>
    <t>So với trước đây, quy trình khai báo thuế trở nên đơn giản hơn, nhưng vẫn cần thời gian quen thuộc.</t>
  </si>
  <si>
    <t>Biểu thuế mới có ít bậc hơn và dễ hiểu hơn, giúp quá trình tính toán thuận tiện hơn.</t>
  </si>
  <si>
    <t>Nhà nước đã cải thiện công bằng trong việc thu thuế, nhờ mức giảm trừ gia cảnh cao hơn.</t>
  </si>
  <si>
    <t>Theo chính sách mới, tôi đóng thuế ít hơn so với trước đây, điều này tạo ra cảm giác công bằng.</t>
  </si>
  <si>
    <t>Thuế được sử dụng vào các dịch vụ công như y tế và giao thông, tạo niềm tin về việc sử dụng hiệu quả.</t>
  </si>
  <si>
    <t>Nhà nước đã giải thích rõ ràng mục đích của chính sách mới, tăng sự minh bạch và trách nhiệm.</t>
  </si>
  <si>
    <t>Tôi ủng hộ chính sách mới vì nó giảm gánh nặng thuế cho cá nhân đồng thời tạo ra công bằng.</t>
  </si>
  <si>
    <t>Cơ quan thuế có nhiều công cụ để phát hiện gian lận, nhưng vẫn cần sự giám sát chặt chẽ từ phía người nộp thuế. Thuế đã giảm đáng kể nên niềm tin vào cơ quan thuế tăng.</t>
  </si>
  <si>
    <t>Cơ sở hạ tầng công nghệ của cơ quan thuế được cải thiện, tuy nhiên vẫn cần thời gian để thực thi hiệu quả. Thuế đã giảm đáng kể nên niềm tin vào cơ quan thuế tăng.</t>
  </si>
  <si>
    <t>Quy trình làm việc với cơ quan thuế trở nên đơn giản hơn, thủ tục khai báo thuận tiện hơn nhiều so với trước đây. Thuế đã giảm đáng kể nên niềm tin vào cơ quan thuế tăng.</t>
  </si>
  <si>
    <t>Biểu thuế mới đơn giản hóa bậc thuế, dễ hiểu và thực hiện dễ dàng hơn. Thuế đã giảm đáng kể nên niềm tin vào cơ quan thuế tăng.</t>
  </si>
  <si>
    <t>Nhà nước có thể sẽ công tâm trong việc áp dụng chính sách mới, nhưng vẫn cần thời gian để chứng minh. Thuế đã giảm đáng kế nên niềm tin vào cơ quan thuế tăng.</t>
  </si>
  <si>
    <t>Thuế theo phương án mới là công bằng, người thu nhập như tôi đóng mức này là hợp lý. Thuế đã giảm đáng kể nên niềm tin vào cơ quan thuế tăng.</t>
  </si>
  <si>
    <t>Thuế sẽ được sử dụng hiệu quả để cải thiện dịch vụ công, nhưng vẫn cần thời gian để chứng minh. Thuế đã giảm đáng kế nên niềm tin vào cơ quan thuế tăng.</t>
  </si>
  <si>
    <t>Nhà nước đã giải thích rõ ràng về chính sách mới, tuy nhiên vẫn cần thêm thông tin chi tiết hơn. Thuế đã giảm đáng kể nên niềm tin vào cơ quan thuế tăng.</t>
  </si>
  <si>
    <t>Chính sách mới có lợi cho tôi nên tôi ủng hộ và tuân thủ. Thuế đã giảm đáng kế nên niềm tin vào cơ quan thuế tăng.</t>
  </si>
  <si>
    <t>Hiện nay, cơ quan thuế có nhiều công cụ và nguồn lực để phát hiện hành vi trốn thuế. Tuy nhiên, việc quản lý còn phụ thuộc vào hiệu quả thực thi.</t>
  </si>
  <si>
    <t>Nhà nước đã đầu tư vào hệ thống công nghệ thông tin của cơ quan thuế giúp nâng cao khả năng phát hiện và xử lý trốn thuế một cách kịp thời hơn.</t>
  </si>
  <si>
    <t>Trình tự khai thuế và giao dịch với cơ quan thuế đã đơn giản hóa, dễ dàng hơn nhiều so với trước đây.</t>
  </si>
  <si>
    <t>Các bậc thuế mới đơn giản hóa và rõ ràng hơn, giúp người dân dễ dàng tính toán và tuân thủ.</t>
  </si>
  <si>
    <t>Tôi tin rằng cơ quan thuế sẽ thực thi chính sách một cách công bằng và minh bạch đối với tất cả các cá nhân và doanh nghiệp nộp thuế.</t>
  </si>
  <si>
    <t>Với mức giảm trừ gia cảnh tăng lên, tôi cảm thấy mức thuế mới này là hợp lý và công bằng cho thu nhập của mình.</t>
  </si>
  <si>
    <t>Thuế đóng góp vào việc cải thiện các dịch vụ công như y tế, giáo dục và cơ sở hạ tầng, giúp cộng đồng phát triển.</t>
  </si>
  <si>
    <t>Nhà nước đã minh bạch về mục tiêu của việc sửa đổi thuế mới, giúp người dân hiểu rõ hơn về chính sách.</t>
  </si>
  <si>
    <t>Tôi ủng hộ và tuân thủ chính sách mới vì nó mang lại lợi ích tài chính và sự đơn giản hóa đối với tôi.</t>
  </si>
  <si>
    <t>Lưu ý từ mức thuế giảm trừ gia cảnh cho bản thân và phụ thuộc, tôi thấy mình đóng số tiền thuế phù hợp với thu nhập của mình.</t>
  </si>
  <si>
    <t>Đóng thuế giúp cải thiện dịch vụ công như y tế, giáo dục và hạ tầng cơ sở. Việc giảm thuế cũng là động lực để người dân tích cực đóng góp cho xã hội.</t>
  </si>
  <si>
    <t>Nhà nước đã giải thích rõ về mục tiêu cải cách thuế trong các văn bản chính sách và báo cáo, tạo sự minh bạch.</t>
  </si>
  <si>
    <t>Tất cả những thay đổi trên đều mang lại lợi ích cho tôi. Tôi ủng hộ và sẽ tuân thủ chính sách mới.</t>
  </si>
  <si>
    <t>Nhà nước đã tăng cường công nghệ và quy định quản lý thuế, nhưng vẫn còn nhiều rủi ro về mặt thực thi.</t>
  </si>
  <si>
    <t>Cơ quan thuế có đủ khả năng để phát hiện trốn thuế, đặc biệt với sự hỗ trợ của công nghệ.</t>
  </si>
  <si>
    <t>Quy trình khai báo và làm việc với cơ quan thuế trở nên đơn giản hơn so với trước đây.</t>
  </si>
  <si>
    <t>Biểu thuế mới có ít bậc hơn, dễ dàng tính toán hơn nhưng vẫn có thể phức tạp đối với người không am hiểu về thuế.</t>
  </si>
  <si>
    <t>Nhà nước đã cải thiện công bằng trong việc áp dụng thuế thông qua các mức giảm trừ gia cảnh và bậc thuế mới.</t>
  </si>
  <si>
    <t>Mức thuế mới phù hợp với thu nhập của tôi, thể hiện sự công bằng trong chính sách.</t>
  </si>
  <si>
    <t>Thuế đóng góp vào các dịch vụ công quan trọng như y tế và hạ tầng cơ sở hạ tầng.</t>
  </si>
  <si>
    <t>Nhà nước đã giải thích rõ ràng về mục tiêu của việc cải cách thuế, tạo sự minh bạch.</t>
  </si>
  <si>
    <t>Chính sách mới giúp tôi tiết kiệm được tiền và có nhiều quyền lợi hơn, vì vậy tôi ủng hộ.</t>
  </si>
  <si>
    <t xml:space="preserve">Do cải cách thuế đơn giản hóa quy trình và tăng cường công nghệ, tôi tin hành vi gian lận sẽ dễ bị phát hiện. </t>
  </si>
  <si>
    <t>Nhà nước đã đầu tư vào công nghệ để quản lý thuế hiệu quả hơn, nên khả năng xử lý nghiêm các hành vi trốn thuế là khá cao.</t>
  </si>
  <si>
    <t>So với trước đây, quy trình khai báo thuế trở nên đơn giản và nhanh chóng hơn. Các bước làm việc với cơ quan thuế cũng dễ dàng hơn nhiều.</t>
  </si>
  <si>
    <t>Số bậc thuế giảm từ 7 xuống 5, cùng với mức giảm trừ gia cảnh cao hơn, khiến cách tính thuế trở nên rõ ràng và dễ hiểu.</t>
  </si>
  <si>
    <t>Nhà nước đã công bố công khai các quy định mới, tôi tin họ sẽ thực thi một cách khách quan và công bằng với tất cả người nộp thuế.</t>
  </si>
  <si>
    <t>Với mức giảm trừ gia cảnh cao hơn và số bậc thuế đơn giản hóa, tôi cảm thấy mức thuế mới là hợp lý cho thu nhập của mình.</t>
  </si>
  <si>
    <t>Tăng cường công khai minh bạch về mục tiêu chính sách mới giúp tôi tin tưởng rằng tiền thuế sẽ được sử dụng hiệu quả để phục vụ cộng đồng.</t>
  </si>
  <si>
    <t>Nhà nước đã giải thích rõ ràng về lý do và mục đích của việc cải cách, tạo nên sự minh bạch cần thiết cho người dân.</t>
  </si>
  <si>
    <t>Sau khi xem xét các lợi ích từ chính sách mới, tôi ủng hộ và sẽ tuân thủ. Việc giảm thuế và đơn giản hóa quy trình làm việc với cơ quan thuế đã tạo ra sự thuận tiện cho người dân.</t>
  </si>
  <si>
    <t>Dù có công nghệ hiện đại, nhưng tôi vẫn không chắc chắn hành vi gian lận hoặc trốn thuế sẽ dễ dàng bị phát hiện. Hiện nay, quy định quản lý thuế còn nhiều rủi ro.</t>
  </si>
  <si>
    <t>Nhà nước đã đầu tư vào công nghệ và đội ngũ kiểm tra, tuy nhiên tôi nghĩ việc thực thi vẫn cần cải thiện thêm.</t>
  </si>
  <si>
    <t>So với trước đây, thủ tục khai thuế dễ dàng hơn nhiều. Việc tăng mức giảm trừ gia cảnh và đơn giản hóa biểu thuế khiến quá trình làm việc với cơ quan thuế thuận lợi hơn.</t>
  </si>
  <si>
    <t>Biểu thuế mới rõ ràng hơn, các bậc thuế suất và ngưỡng chịu thuế dễ dàng hiểu hơn. Việc này giúp người dân tính toán dễ dàng hơn so với trước đây.</t>
  </si>
  <si>
    <t>Tôi tin rằng Nhà nước sẽ thực thi chính sách một cách khách quan, công bằng nhưng vẫn cần có thêm các biện pháp giám sát để đảm bảo.</t>
  </si>
  <si>
    <t>Mức thuế mới giảm đáng kể so với trước đây. Điều này khiến tôi cảm thấy mức đóng thuế là công bằng hơn.</t>
  </si>
  <si>
    <t>Sau khi xem xét tác động tài chính, tôi tin rằng số tiền thuế đóng sẽ được sử dụng hiệu quả để cải thiện các dịch vụ công.</t>
  </si>
  <si>
    <t>Nhà nước đã giải thích rõ ràng về lý do và mục tiêu của việc sửa đổi thuế lần này. Tuy nhiên, vẫn cần thêm thông tin chi tiết hơn về cách sử dụng số tiền thuế đóng</t>
  </si>
  <si>
    <t>Tôi ủng hộ và tuân thủ chính sách mới vì nó mang lại lợi ích tài chính cho tôi đồng thời đơn giản hóa quy trình làm việc với cơ quan thuế.</t>
  </si>
  <si>
    <t>Nhà nước đã tăng cường quản lý thuế và công nghệ, nhưng vẫn còn nghi ngờ về khả năng phát hiện trốn thuế.</t>
  </si>
  <si>
    <t>Việc áp dụng công nghệ trong quản lý thuế có thể giúp cải thiện việc phát hiện hành vi trốn thuế.</t>
  </si>
  <si>
    <t>Quy trình khai báo và làm việc với cơ quan thuế đã đơn giản hơn, nhưng vẫn còn phức tạp đối với người không chuyên về thuế.</t>
  </si>
  <si>
    <t>Số bậc thuế giảm đi giúp tính toán thuế dễ dàng hơn, giảm bớt sự phức tạp cho người nộp thuế.</t>
  </si>
  <si>
    <t>Niềm tin vào khách quan và công bằng trong thực thi chính sách mới còn hạn chế do chưa thấy minh bạch rõ ràng.</t>
  </si>
  <si>
    <t>Mức thuế mới giảm đáng kể so với trước, cảm thấy mức đóng thuế này là hợp lý hơn cho thu nhập của tôi.</t>
  </si>
  <si>
    <t>Tiết kiệm được tiền thuế giúp cải thiện dịch vụ công, nhưng chưa rõ ràng về cách sử dụng hiệu quả số tiền đó.</t>
  </si>
  <si>
    <t>Nhà nước đã giải thích khá rõ về mục tiêu của việc sửa đổi thuế, tạo sự minh bạch.</t>
  </si>
  <si>
    <t>Dựa trên sự hiểu biết về hệ thống quản lý thuế hiện tại, tôi tin rằng hành vi gian lận hoặc trốn thuế sẽ bị phát hiện và xử lý nghiêm túc hơn. Tuy nhiên, mức độ thực thi phụ thuộc vào khả năng của cơ quan thuế.</t>
  </si>
  <si>
    <t>Nhà nước đã đầu tư công nghệ để hỗ trợ việc quản lý thuế, do đó tôi tin rằng họ có đủ khả năng phát hiện và xử lý các hành vi trốn thuế.</t>
  </si>
  <si>
    <t>Quy trình làm việc với cơ quan thuế trở nên đơn giản hơn, thủ tục khai báo thuế dễ dàng hơn so với trước đây. Điều này giúp tôi tiết kiệm thời gian và công sức.</t>
  </si>
  <si>
    <t>So với trước đây, cách tính thuế và các bậc thuế trong phương án mới đơn giản, dễ hiểu và dễ thực hiện hơn. Điều này giúp việc tuân thủ chính sách trở nên thuận tiện hơn.</t>
  </si>
  <si>
    <t>Tôi tin rằng Nhà nước sẽ thực thi chính sách một cách công bằng, khách quan đối với mọi người nộp thuế. Việc tăng mức giảm trừ gia cảnh và đơn giản hóa biểu thuế giúp tôi cảm thấy được đối xử công bằng hơn.</t>
  </si>
  <si>
    <t>Theo phương án mới, số tiền thuế tôi phải đóng là hợp lý và phù hợp với thu nhập của mình. Việc giảm trừ gia cảnh tăng lên đã làm giảm đáng kể số tiền thuế tôi phải nộp mỗi tháng.</t>
  </si>
  <si>
    <t>Số tiền thuế tôi đóng sẽ được sử dụng hiệu quả để cải thiện các dịch vụ công như y tế, giáo dục và hạ tầng. Điều này tăng niềm tin của tôi vào việc Nhà nước sử dụng nguồn thu một cách minh bạch.</t>
  </si>
  <si>
    <t>Nhà nước đã giải thích rõ ràng về mục tiêu và lý do của việc sửa đổi thuế, điều này làm tăng sự hiểu biết và tin tưởng từ phía người dân.</t>
  </si>
  <si>
    <t>Sau khi xem xét các quyền lợi và nghĩa vụ theo chính sách mới, tôi ủng hộ và tuân thủ chính sách. Việc giảm trừ gia cảnh tăng lên đã giúp tôi tiết kiệm được một khoản tiền đáng kể mỗi tháng.</t>
  </si>
  <si>
    <t>Hiện nay, các quy định quản lý thuế đã được nâng cao về công nghệ thông tin và giám sát, tuy nhiên vẫn còn nhiều rủi ro trốn tránh thuế do thiếu kiểm soát toàn diện.</t>
  </si>
  <si>
    <t>Cơ quan thuế có khả năng phát hiện gian lận bằng các công cụ hiện đại, nhưng hiệu quả phụ thuộc vào mức độ đầu tư và triển khai của nhà nước.</t>
  </si>
  <si>
    <t>Quy trình khai báo thuế đã đơn giản hóa, tuy nhiên vẫn còn một số khó khăn khi sử dụng các ứng dụng điện tử.</t>
  </si>
  <si>
    <t>Biểu thuế mới có ít bậc và dễ hiểu hơn so với trước đây, giúp việc tính toán nhanh chóng và chính xác hơn.</t>
  </si>
  <si>
    <t>Tôi tin rằng cơ quan thuế sẽ thực hiện công bằng và khách quan trong việc áp dụng các quy định mới, nhưng còn phụ thuộc vào sự giám sát của cộng đồng.</t>
  </si>
  <si>
    <t>Mức thuế mới giảm đáng kể so với trước đây nên tôi thấy hợp lý, giúp cải thiện tình hình tài chính cá nhân.</t>
  </si>
  <si>
    <t>Thuê được sử dụng hiệu quả sẽ cải thiện dịch vụ công và chất lượng cuộc sống, nhưng còn phụ thuộc vào quản lý ngân sách của nhà nước.</t>
  </si>
  <si>
    <t>Nhà nước đã giải thích rõ ràng về mục tiêu của việc cải cách thuế, tuy nhiên chi tiết cụ thể hơn sẽ giúp tôi cảm thấy hài lòng hơn.</t>
  </si>
  <si>
    <t>Dù còn nhiều khó khăn nhưng chính sách mới mang lại lợi ích tài chính cho cá nhân nên tôi ủng hộ và tuân thủ.</t>
  </si>
  <si>
    <t>Việc tăng giảm trừ gia cảnh và đơn giản hóa biểu thuế có thể làm giảm cơ hội trốn thuế, nhưng không đủ để tôi hoàn toàn tin tưởng. Cơ quan thuế cần cải thiện nhiều hơn trong quản lý.</t>
  </si>
  <si>
    <t>Công nghệ hiện đại giúp phát hiện gian lận thuế nhanh chóng, tuy nhiên, việc xử lý nghiêm vẫn phụ thuộc vào quyết tâm của cơ quan chức năng.</t>
  </si>
  <si>
    <t>Thủ tục khai báo và làm việc với cơ quan thuế trở nên đơn giản hơn, giúp tiết kiệm thời gian, nhưng vẫn còn một số bước phức tạp cần cải thiện.</t>
  </si>
  <si>
    <t>Biểu thuế mới rõ ràng hơn, dễ hiểu và dễ thực hiện, khiến tôi cảm thấy thuận tiện hơn khi tính toán và nộp thuế.</t>
  </si>
  <si>
    <t>Tôi tin rằng nhà nước sẽ công tâm trong việc thực thi chính sách mới, nhưng cần thêm minh bạch về cách sử dụng nguồn thu thuế.</t>
  </si>
  <si>
    <t>Nhà nước đã nâng mức giảm trừ gia cảnh và đơn giản hóa biểu thuế, làm cho tôi cảm thấy công bằng hơn khi đóng thuế.</t>
  </si>
  <si>
    <t>Thống nhất với TRU1, tôi tin rằng tiền thuế sẽ được sử dụng hiệu quả để cải thiện dịch vụ công</t>
  </si>
  <si>
    <t>Cơ quan thuế đã giải thích rõ về mục tiêu của chính sách mới, nhưng cần thêm thông tin chi tiết về cách thực hiện.</t>
  </si>
  <si>
    <t>Sau khi xem xét tác động tài chính và sự đơn giản hóa quy trình, tôi ủng hộ và tuân thủ chính sách mới.</t>
  </si>
  <si>
    <t>Thuế hiện nay có nhiều quy định phức tạp, tuy nhiên với việc tăng cường công nghệ trong quản lý thuế, khả năng phát hiện gian lận cao hơn. Điều này làm giảm nguy cơ trốn thuế và tạo niềm tin về sự công bằng.</t>
  </si>
  <si>
    <t>Cơ quan thuế đã đầu tư vào hệ thống công nghệ thông tin, nâng cao khả năng quản lý và phát hiện gian lận. Điều này tăng tính minh bạch và giảm nguy cơ trốn tránh.</t>
  </si>
  <si>
    <t>So với trước đây, quy trình khai thuế trở nên đơn giản hơn khi có thêm giảm trừ gia cảnh cho người phụ thuộc. Tuy nhiên, vẫn còn một số thủ tục phức tạp cần cải thiện.</t>
  </si>
  <si>
    <t>Biểu thuế mới đơn giản hóa các bậc thuế, dễ dàng áp dụng và tính toán hơn so với trước đây. Điều này giúp người dân hiểu rõ và thực hiện đúng quy định.</t>
  </si>
  <si>
    <t>Nhà nước có thể sẽ thực thi chính sách một cách khách quan khi đã cải thiện các quy định về giảm trừ gia cảnh, tạo ra cơ sở công bằng hơn cho mọi người.</t>
  </si>
  <si>
    <t>Mức thuế mới được tính toán dựa trên thu nhập cá nhân của tôi. Tuy vẫn còn một số lo ngại về việc áp dụng, nhưng so với trước đây, mức thuế này là hợp lý hơn.</t>
  </si>
  <si>
    <t>Thuế đóng góp vào các dịch vụ công quan trọng như y tế và giao thông. Tuy nhiên, cần thêm minh bạch về cách sử dụng số tiền thuế để tăng sự tin tưởng.</t>
  </si>
  <si>
    <t>Nhà nước đã giải thích rõ ràng về cải cách thuế, nhưng vẫn còn một số điểm chưa được làm rõ. Tuy nhiên, việc cải cách này hướng đến công bằng và minh bạch hơn.</t>
  </si>
  <si>
    <t>Tôi ủng hộ chính sách mới do các quy định đã đơn giản hóa và giảm gánh nặng thuế so với trước đây. Điều này giúp tôi có thể quản lý tài chính tốt hơn.</t>
  </si>
  <si>
    <t>Sum of Các thủ tục khai báo thuế VÀ/HOẶC quy trình làm việc với cơ quan thuế đơn giản, tiện lợi, nhanh chóng hơn so với trước đây. - HUMAN-FAC1</t>
  </si>
  <si>
    <t>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</si>
</sst>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5" x14ac:knownFonts="1">
    <font>
      <sz val="11"/>
      <color theme="1"/>
      <name val="Calibri"/>
      <family val="2"/>
      <scheme val="minor"/>
    </font>
    <font>
      <b/>
      <sz val="11"/>
      <name val="Calibri"/>
      <family val="2"/>
    </font>
    <font>
      <b/>
      <sz val="11"/>
      <color theme="1"/>
      <name val="Calibri"/>
      <family val="2"/>
      <scheme val="minor"/>
    </font>
    <font>
      <b/>
      <sz val="11"/>
      <name val="Calibri"/>
      <family val="2"/>
    </font>
    <font>
      <b/>
      <sz val="11"/>
      <color theme="0"/>
      <name val="Calibri"/>
      <family val="2"/>
      <scheme val="minor"/>
    </font>
  </fonts>
  <fills count="8">
    <fill>
      <patternFill patternType="none"/>
    </fill>
    <fill>
      <patternFill patternType="gray125"/>
    </fill>
    <fill>
      <patternFill patternType="solid">
        <fgColor rgb="FF92D050"/>
        <bgColor indexed="64"/>
      </patternFill>
    </fill>
    <fill>
      <patternFill patternType="solid">
        <fgColor theme="9"/>
        <bgColor theme="9"/>
      </patternFill>
    </fill>
    <fill>
      <patternFill patternType="solid">
        <fgColor theme="9"/>
        <bgColor indexed="64"/>
      </patternFill>
    </fill>
    <fill>
      <patternFill patternType="solid">
        <fgColor rgb="FF92D050"/>
        <bgColor theme="9"/>
      </patternFill>
    </fill>
    <fill>
      <patternFill patternType="solid">
        <fgColor theme="9" tint="0.79998168889431442"/>
        <bgColor theme="9" tint="0.79998168889431442"/>
      </patternFill>
    </fill>
    <fill>
      <patternFill patternType="solid">
        <fgColor rgb="FFFFFF0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s>
  <cellStyleXfs count="1">
    <xf numFmtId="0" fontId="0" fillId="0" borderId="0"/>
  </cellStyleXfs>
  <cellXfs count="39">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center"/>
    </xf>
    <xf numFmtId="0" fontId="0" fillId="2" borderId="1" xfId="0" applyFill="1" applyBorder="1"/>
    <xf numFmtId="0" fontId="0" fillId="0" borderId="1" xfId="0" applyBorder="1"/>
    <xf numFmtId="0" fontId="3" fillId="0" borderId="1" xfId="0" applyFont="1" applyBorder="1" applyAlignment="1">
      <alignment horizontal="center" vertical="top"/>
    </xf>
    <xf numFmtId="0" fontId="2" fillId="0" borderId="1" xfId="0" applyFont="1" applyBorder="1"/>
    <xf numFmtId="0" fontId="0" fillId="2" borderId="0" xfId="0" applyFill="1"/>
    <xf numFmtId="0" fontId="2" fillId="0" borderId="0" xfId="0" applyFont="1"/>
    <xf numFmtId="164" fontId="2" fillId="0" borderId="1" xfId="0" applyNumberFormat="1" applyFont="1" applyBorder="1"/>
    <xf numFmtId="164" fontId="2" fillId="0" borderId="0" xfId="0" applyNumberFormat="1" applyFont="1"/>
    <xf numFmtId="0" fontId="1" fillId="0" borderId="2" xfId="0" applyFont="1" applyBorder="1" applyAlignment="1">
      <alignment horizontal="center" vertical="top"/>
    </xf>
    <xf numFmtId="0" fontId="2" fillId="0" borderId="3" xfId="0" applyFont="1" applyBorder="1"/>
    <xf numFmtId="0" fontId="1" fillId="0" borderId="4" xfId="0" applyFont="1" applyBorder="1" applyAlignment="1">
      <alignment horizontal="center" vertical="top"/>
    </xf>
    <xf numFmtId="0" fontId="2" fillId="0" borderId="5" xfId="0" applyFont="1" applyBorder="1"/>
    <xf numFmtId="9" fontId="0" fillId="0" borderId="1" xfId="0" applyNumberFormat="1" applyBorder="1"/>
    <xf numFmtId="9" fontId="2" fillId="0" borderId="1" xfId="0" applyNumberFormat="1" applyFont="1" applyBorder="1"/>
    <xf numFmtId="0" fontId="4" fillId="3" borderId="6" xfId="0" applyFont="1" applyFill="1" applyBorder="1"/>
    <xf numFmtId="0" fontId="4" fillId="3" borderId="7" xfId="0" applyFont="1" applyFill="1" applyBorder="1"/>
    <xf numFmtId="22" fontId="0" fillId="0" borderId="0" xfId="0" applyNumberFormat="1"/>
    <xf numFmtId="0" fontId="4" fillId="5" borderId="7" xfId="0" applyFont="1" applyFill="1" applyBorder="1"/>
    <xf numFmtId="0" fontId="4" fillId="4" borderId="0" xfId="0" applyFont="1" applyFill="1"/>
    <xf numFmtId="0" fontId="4" fillId="2" borderId="0" xfId="0" applyFont="1" applyFill="1"/>
    <xf numFmtId="0" fontId="4" fillId="0" borderId="0" xfId="0" applyFont="1"/>
    <xf numFmtId="9" fontId="0" fillId="0" borderId="0" xfId="0" applyNumberFormat="1"/>
    <xf numFmtId="0" fontId="0" fillId="0" borderId="0" xfId="0" applyAlignment="1">
      <alignment horizontal="center" vertical="center"/>
    </xf>
    <xf numFmtId="0" fontId="0" fillId="0" borderId="0" xfId="0" pivotButton="1"/>
    <xf numFmtId="0" fontId="0" fillId="0" borderId="0" xfId="0" applyAlignment="1">
      <alignment horizontal="left"/>
    </xf>
    <xf numFmtId="0" fontId="2" fillId="0" borderId="0" xfId="0" applyFont="1" applyAlignment="1">
      <alignment horizontal="center"/>
    </xf>
    <xf numFmtId="0" fontId="0" fillId="6" borderId="6" xfId="0" applyFill="1" applyBorder="1"/>
    <xf numFmtId="0" fontId="0" fillId="6" borderId="0" xfId="0" applyFill="1"/>
    <xf numFmtId="0" fontId="0" fillId="7" borderId="0" xfId="0" applyFill="1"/>
    <xf numFmtId="165" fontId="0" fillId="0" borderId="0" xfId="0" applyNumberFormat="1"/>
    <xf numFmtId="0" fontId="0" fillId="6" borderId="7" xfId="0" applyFill="1" applyBorder="1"/>
    <xf numFmtId="0" fontId="0" fillId="0" borderId="7" xfId="0" applyBorder="1"/>
    <xf numFmtId="10" fontId="0" fillId="0" borderId="1" xfId="0" applyNumberFormat="1" applyBorder="1"/>
    <xf numFmtId="165" fontId="0" fillId="0" borderId="1" xfId="0" applyNumberFormat="1" applyBorder="1"/>
    <xf numFmtId="0" fontId="2" fillId="0" borderId="1" xfId="0" applyFont="1" applyBorder="1" applyAlignment="1">
      <alignment horizontal="center" vertical="center"/>
    </xf>
    <xf numFmtId="0" fontId="3" fillId="0" borderId="1" xfId="0" applyFont="1" applyBorder="1" applyAlignment="1">
      <alignment horizontal="center" vertical="center"/>
    </xf>
  </cellXfs>
  <cellStyles count="1">
    <cellStyle name="Normal"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y Pham" refreshedDate="46040.659061805556" createdVersion="8" refreshedVersion="8" minRefreshableVersion="3" recordCount="403" xr:uid="{677C10B3-056A-462F-8621-BC1A1D2CF10E}">
  <cacheSource type="worksheet">
    <worksheetSource name="survey_responses"/>
  </cacheSource>
  <cacheFields count="17">
    <cacheField name="Timestamp" numFmtId="22">
      <sharedItems containsSemiMixedTypes="0" containsNonDate="0" containsDate="1" containsString="0" minDate="2025-12-25T14:05:00" maxDate="2026-01-13T12:49:00"/>
    </cacheField>
    <cacheField name="Giới tính của bạn:" numFmtId="0">
      <sharedItems count="2">
        <s v="Nữ"/>
        <s v="Nam"/>
      </sharedItems>
    </cacheField>
    <cacheField name="Độ tuổi của bạn:" numFmtId="0">
      <sharedItems count="6">
        <s v="25 - 29"/>
        <s v="40 - 49"/>
        <s v="18 - 24"/>
        <s v="30 - 39"/>
        <s v="50 - 54"/>
        <s v="55 - 64"/>
      </sharedItems>
    </cacheField>
    <cacheField name="Khu vực bạn đang sinh sống:" numFmtId="0">
      <sharedItems count="2">
        <s v="Thành thị"/>
        <s v="Nông thôn"/>
      </sharedItems>
    </cacheField>
    <cacheField name="Trình độ học vấn cao nhất:" numFmtId="0">
      <sharedItems count="4">
        <s v="Đại học"/>
        <s v="Sau Đại học"/>
        <s v="Cao đẳng"/>
        <s v="Trung học phổ thông"/>
      </sharedItems>
    </cacheField>
    <cacheField name="Tình trạng việc làm chính:" numFmtId="0">
      <sharedItems count="3">
        <s v="Khu vực chính thức (Có Hợp đồng lao động, đóng BHXH)"/>
        <s v="Khu vực phi chính thức (Lao động tự do, không có HĐLĐ)"/>
        <s v="Khác (Về hưu, nội trợ, sinh viên)"/>
      </sharedItems>
    </cacheField>
    <cacheField name="Thu nhập bình quân tháng theo Hợp đồng lao động của bạn là bao nhiêu? (Vui lòng điền tổng thu nhập trước khi khấu trừ các loại Bảo hiểm (BHXH, BHYT, BHTN) và Thuế TNCN)" numFmtId="0">
      <sharedItems count="8">
        <s v="Từ 12 - 18 triệu VNĐ"/>
        <s v="Từ 48 - 70 triệu VNĐ"/>
        <s v="Dưới 12 triệu VNĐ"/>
        <s v="Từ 70 - 102 triệu VNĐ"/>
        <s v="Từ 18 - 23 triệu VNĐ"/>
        <s v="Từ 32 - 48 triệu VNĐ"/>
        <s v="Trên 102 triệu VNĐ"/>
        <s v="Từ 23 - 32 triệu VNĐ"/>
      </sharedItems>
    </cacheField>
    <cacheField name="Số người phụ thuộc (con nhỏ, cha mẹ già...) đủ điều kiện giảm trừ gia cảnh:" numFmtId="0">
      <sharedItems count="5">
        <s v="1 người"/>
        <s v="0 người"/>
        <s v="3 người"/>
        <s v="4 người trở lên"/>
        <s v="2 người"/>
      </sharedItems>
    </cacheField>
    <cacheField name="Tôi tin rằng với các quy định quản lý thuế hiện nay, hành vi gian lận hoặc trốn thuế sẽ dễ dàng bị phát hiện và xử lý nghiêm. - HUMAN-ENF1" numFmtId="0">
      <sharedItems containsSemiMixedTypes="0" containsString="0" containsNumber="1" containsInteger="1" minValue="1" maxValue="10"/>
    </cacheField>
    <cacheField name="Tôi tin rằng Nhà nước, cơ quan thuế có đủ khả năng và công nghệ để phát hiện, xử lý nghiêm các hành vi trốn thuế. - HUMAN-ENF2" numFmtId="0">
      <sharedItems containsSemiMixedTypes="0" containsString="0" containsNumber="1" containsInteger="1" minValue="1" maxValue="10"/>
    </cacheField>
    <cacheField name="Các thủ tục khai báo thuế VÀ/HOẶC quy trình làm việc với cơ quan thuế đơn giản, tiện lợi, nhanh chóng hơn so với trước đây. - HUMAN-FAC1" numFmtId="0">
      <sharedItems containsSemiMixedTypes="0" containsString="0" containsNumber="1" containsInteger="1" minValue="1" maxValue="10"/>
    </cacheField>
    <cacheField name="So với trước đây, tôi thấy cách tính thuế và các bậc thuế trong phương án mới đơn giản, dễ hiểu và dễ thực hiện hơn. - HUMAN-FAC2" numFmtId="0">
      <sharedItems containsSemiMixedTypes="0" containsString="0" containsNumber="1" containsInteger="1" minValue="1" maxValue="10"/>
    </cacheField>
    <cacheField name="Tôi tin rằng Nhà nước, cơ quan thuế sẽ thực thi chính sách mới một cách khách quan, công tâm và đối xử bình đẳng với mọi người nộp thuế.  - HUMAN-TRU1" numFmtId="0">
      <sharedItems containsSemiMixedTypes="0" containsString="0" containsNumber="1" containsInteger="1" minValue="1" maxValue="10"/>
    </cacheField>
    <cacheField name="Tôi thấy mức thuế tôi phải đóng theo phương án mới là công bằng (người thu nhập như tôi đóng mức này là hợp lý). - HUMAN-TRU2" numFmtId="0">
      <sharedItems containsSemiMixedTypes="0" containsString="0" containsNumber="1" containsInteger="1" minValue="1" maxValue="10"/>
    </cacheField>
    <cacheField name="Tôi tin tưởng số tiền thuế tôi đóng sẽ được Nhà nước sử dụng hiệu quả để cải thiện dịch vụ công (y tế, đường xá...). - HUMAN-TRU3" numFmtId="0">
      <sharedItems containsSemiMixedTypes="0" containsString="0" containsNumber="1" containsInteger="1" minValue="1" maxValue="10"/>
    </cacheField>
    <cacheField name="Tôi thấy Nhà nước đã giải thích rõ ràng, minh bạch về lý do và mục tiêu của việc sửa đổi thuế lần này. - HUMAN-TRU4" numFmtId="0">
      <sharedItems containsSemiMixedTypes="0" containsString="0" containsNumber="1" containsInteger="1" minValue="1" maxValue="10"/>
    </cacheField>
    <cacheField name="Sau khi xem xét các quyền lợi và nghĩa vụ, bạn có ủng hộ và tuân thủ chính sách mới hiện nay? - HUMAN-OUT1" numFmtId="0">
      <sharedItems containsSemiMixedTypes="0" containsString="0" containsNumber="1" containsInteger="1" minValue="1" maxValue="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3">
  <r>
    <d v="2025-12-25T14:05:00"/>
    <x v="0"/>
    <x v="0"/>
    <x v="0"/>
    <x v="0"/>
    <x v="0"/>
    <x v="0"/>
    <x v="0"/>
    <n v="10"/>
    <n v="8"/>
    <n v="5"/>
    <n v="5"/>
    <n v="10"/>
    <n v="10"/>
    <n v="10"/>
    <n v="10"/>
    <n v="10"/>
  </r>
  <r>
    <d v="2025-12-25T14:05:00"/>
    <x v="0"/>
    <x v="0"/>
    <x v="0"/>
    <x v="0"/>
    <x v="0"/>
    <x v="0"/>
    <x v="1"/>
    <n v="8"/>
    <n v="8"/>
    <n v="6"/>
    <n v="9"/>
    <n v="10"/>
    <n v="9"/>
    <n v="8"/>
    <n v="9"/>
    <n v="10"/>
  </r>
  <r>
    <d v="2025-12-25T14:07:00"/>
    <x v="1"/>
    <x v="1"/>
    <x v="0"/>
    <x v="1"/>
    <x v="0"/>
    <x v="1"/>
    <x v="2"/>
    <n v="6"/>
    <n v="5"/>
    <n v="4"/>
    <n v="5"/>
    <n v="4"/>
    <n v="4"/>
    <n v="4"/>
    <n v="10"/>
    <n v="4"/>
  </r>
  <r>
    <d v="2025-12-25T14:07:00"/>
    <x v="0"/>
    <x v="2"/>
    <x v="0"/>
    <x v="0"/>
    <x v="0"/>
    <x v="2"/>
    <x v="1"/>
    <n v="10"/>
    <n v="10"/>
    <n v="8"/>
    <n v="9"/>
    <n v="9"/>
    <n v="7"/>
    <n v="10"/>
    <n v="7"/>
    <n v="10"/>
  </r>
  <r>
    <d v="2025-12-25T14:08:00"/>
    <x v="0"/>
    <x v="0"/>
    <x v="0"/>
    <x v="0"/>
    <x v="0"/>
    <x v="2"/>
    <x v="1"/>
    <n v="9"/>
    <n v="9"/>
    <n v="10"/>
    <n v="9"/>
    <n v="9"/>
    <n v="9"/>
    <n v="9"/>
    <n v="9"/>
    <n v="9"/>
  </r>
  <r>
    <d v="2025-12-25T14:17:00"/>
    <x v="0"/>
    <x v="3"/>
    <x v="0"/>
    <x v="1"/>
    <x v="0"/>
    <x v="3"/>
    <x v="3"/>
    <n v="8"/>
    <n v="8"/>
    <n v="5"/>
    <n v="8"/>
    <n v="6"/>
    <n v="6"/>
    <n v="4"/>
    <n v="5"/>
    <n v="6"/>
  </r>
  <r>
    <d v="2025-12-25T14:19:00"/>
    <x v="0"/>
    <x v="3"/>
    <x v="0"/>
    <x v="0"/>
    <x v="0"/>
    <x v="4"/>
    <x v="4"/>
    <n v="5"/>
    <n v="4"/>
    <n v="4"/>
    <n v="6"/>
    <n v="6"/>
    <n v="7"/>
    <n v="2"/>
    <n v="4"/>
    <n v="4"/>
  </r>
  <r>
    <d v="2025-12-25T14:28:00"/>
    <x v="1"/>
    <x v="1"/>
    <x v="0"/>
    <x v="1"/>
    <x v="0"/>
    <x v="2"/>
    <x v="4"/>
    <n v="1"/>
    <n v="1"/>
    <n v="2"/>
    <n v="3"/>
    <n v="6"/>
    <n v="2"/>
    <n v="7"/>
    <n v="3"/>
    <n v="3"/>
  </r>
  <r>
    <d v="2025-12-25T15:35:00"/>
    <x v="0"/>
    <x v="0"/>
    <x v="1"/>
    <x v="0"/>
    <x v="1"/>
    <x v="0"/>
    <x v="0"/>
    <n v="10"/>
    <n v="10"/>
    <n v="8"/>
    <n v="7"/>
    <n v="7"/>
    <n v="5"/>
    <n v="5"/>
    <n v="9"/>
    <n v="8"/>
  </r>
  <r>
    <d v="2025-12-25T15:51:00"/>
    <x v="0"/>
    <x v="0"/>
    <x v="0"/>
    <x v="0"/>
    <x v="0"/>
    <x v="4"/>
    <x v="1"/>
    <n v="7"/>
    <n v="10"/>
    <n v="1"/>
    <n v="5"/>
    <n v="8"/>
    <n v="5"/>
    <n v="5"/>
    <n v="5"/>
    <n v="10"/>
  </r>
  <r>
    <d v="2025-12-25T15:52:00"/>
    <x v="1"/>
    <x v="3"/>
    <x v="0"/>
    <x v="1"/>
    <x v="1"/>
    <x v="5"/>
    <x v="3"/>
    <n v="10"/>
    <n v="3"/>
    <n v="1"/>
    <n v="7"/>
    <n v="1"/>
    <n v="5"/>
    <n v="1"/>
    <n v="8"/>
    <n v="6"/>
  </r>
  <r>
    <d v="2025-12-25T17:01:00"/>
    <x v="0"/>
    <x v="2"/>
    <x v="0"/>
    <x v="0"/>
    <x v="0"/>
    <x v="2"/>
    <x v="1"/>
    <n v="5"/>
    <n v="8"/>
    <n v="5"/>
    <n v="5"/>
    <n v="6"/>
    <n v="5"/>
    <n v="5"/>
    <n v="5"/>
    <n v="5"/>
  </r>
  <r>
    <d v="2025-12-25T17:54:00"/>
    <x v="0"/>
    <x v="2"/>
    <x v="0"/>
    <x v="0"/>
    <x v="0"/>
    <x v="2"/>
    <x v="1"/>
    <n v="8"/>
    <n v="7"/>
    <n v="7"/>
    <n v="7"/>
    <n v="7"/>
    <n v="8"/>
    <n v="7"/>
    <n v="7"/>
    <n v="7"/>
  </r>
  <r>
    <d v="2025-12-25T20:16:00"/>
    <x v="0"/>
    <x v="3"/>
    <x v="0"/>
    <x v="1"/>
    <x v="0"/>
    <x v="4"/>
    <x v="1"/>
    <n v="10"/>
    <n v="10"/>
    <n v="8"/>
    <n v="8"/>
    <n v="8"/>
    <n v="6"/>
    <n v="6"/>
    <n v="5"/>
    <n v="5"/>
  </r>
  <r>
    <d v="2025-12-25T20:19:00"/>
    <x v="1"/>
    <x v="3"/>
    <x v="0"/>
    <x v="1"/>
    <x v="0"/>
    <x v="5"/>
    <x v="4"/>
    <n v="7"/>
    <n v="9"/>
    <n v="3"/>
    <n v="6"/>
    <n v="1"/>
    <n v="1"/>
    <n v="1"/>
    <n v="1"/>
    <n v="1"/>
  </r>
  <r>
    <d v="2025-12-25T21:09:00"/>
    <x v="1"/>
    <x v="1"/>
    <x v="0"/>
    <x v="1"/>
    <x v="0"/>
    <x v="3"/>
    <x v="3"/>
    <n v="8"/>
    <n v="8"/>
    <n v="8"/>
    <n v="9"/>
    <n v="7"/>
    <n v="7"/>
    <n v="9"/>
    <n v="8"/>
    <n v="7"/>
  </r>
  <r>
    <d v="2025-12-25T21:15:00"/>
    <x v="0"/>
    <x v="0"/>
    <x v="0"/>
    <x v="0"/>
    <x v="0"/>
    <x v="4"/>
    <x v="4"/>
    <n v="6"/>
    <n v="7"/>
    <n v="5"/>
    <n v="5"/>
    <n v="6"/>
    <n v="7"/>
    <n v="3"/>
    <n v="4"/>
    <n v="5"/>
  </r>
  <r>
    <d v="2025-12-25T21:47:00"/>
    <x v="1"/>
    <x v="1"/>
    <x v="0"/>
    <x v="0"/>
    <x v="1"/>
    <x v="0"/>
    <x v="1"/>
    <n v="6"/>
    <n v="8"/>
    <n v="7"/>
    <n v="8"/>
    <n v="8"/>
    <n v="7"/>
    <n v="7"/>
    <n v="6"/>
    <n v="8"/>
  </r>
  <r>
    <d v="2025-12-25T21:51:00"/>
    <x v="1"/>
    <x v="1"/>
    <x v="0"/>
    <x v="0"/>
    <x v="0"/>
    <x v="6"/>
    <x v="3"/>
    <n v="10"/>
    <n v="10"/>
    <n v="5"/>
    <n v="5"/>
    <n v="5"/>
    <n v="3"/>
    <n v="2"/>
    <n v="5"/>
    <n v="8"/>
  </r>
  <r>
    <d v="2025-12-26T01:57:00"/>
    <x v="1"/>
    <x v="3"/>
    <x v="0"/>
    <x v="1"/>
    <x v="0"/>
    <x v="1"/>
    <x v="4"/>
    <n v="9"/>
    <n v="9"/>
    <n v="7"/>
    <n v="9"/>
    <n v="7"/>
    <n v="8"/>
    <n v="5"/>
    <n v="5"/>
    <n v="6"/>
  </r>
  <r>
    <d v="2025-12-26T07:30:00"/>
    <x v="0"/>
    <x v="1"/>
    <x v="0"/>
    <x v="0"/>
    <x v="0"/>
    <x v="6"/>
    <x v="2"/>
    <n v="10"/>
    <n v="10"/>
    <n v="8"/>
    <n v="7"/>
    <n v="7"/>
    <n v="7"/>
    <n v="2"/>
    <n v="3"/>
    <n v="3"/>
  </r>
  <r>
    <d v="2025-12-26T08:42:00"/>
    <x v="0"/>
    <x v="2"/>
    <x v="0"/>
    <x v="0"/>
    <x v="0"/>
    <x v="0"/>
    <x v="1"/>
    <n v="8"/>
    <n v="8"/>
    <n v="5"/>
    <n v="8"/>
    <n v="8"/>
    <n v="8"/>
    <n v="8"/>
    <n v="8"/>
    <n v="8"/>
  </r>
  <r>
    <d v="2025-12-26T09:36:00"/>
    <x v="0"/>
    <x v="1"/>
    <x v="0"/>
    <x v="1"/>
    <x v="0"/>
    <x v="3"/>
    <x v="2"/>
    <n v="5"/>
    <n v="5"/>
    <n v="5"/>
    <n v="5"/>
    <n v="5"/>
    <n v="5"/>
    <n v="5"/>
    <n v="5"/>
    <n v="5"/>
  </r>
  <r>
    <d v="2025-12-26T11:37:00"/>
    <x v="0"/>
    <x v="3"/>
    <x v="1"/>
    <x v="0"/>
    <x v="0"/>
    <x v="7"/>
    <x v="4"/>
    <n v="9"/>
    <n v="8"/>
    <n v="6"/>
    <n v="9"/>
    <n v="8"/>
    <n v="10"/>
    <n v="6"/>
    <n v="6"/>
    <n v="8"/>
  </r>
  <r>
    <d v="2025-12-26T11:40:00"/>
    <x v="1"/>
    <x v="3"/>
    <x v="0"/>
    <x v="1"/>
    <x v="0"/>
    <x v="5"/>
    <x v="0"/>
    <n v="6"/>
    <n v="7"/>
    <n v="5"/>
    <n v="6"/>
    <n v="7"/>
    <n v="7"/>
    <n v="3"/>
    <n v="3"/>
    <n v="5"/>
  </r>
  <r>
    <d v="2025-12-26T11:45:00"/>
    <x v="1"/>
    <x v="3"/>
    <x v="0"/>
    <x v="1"/>
    <x v="0"/>
    <x v="2"/>
    <x v="3"/>
    <n v="10"/>
    <n v="10"/>
    <n v="10"/>
    <n v="6"/>
    <n v="6"/>
    <n v="10"/>
    <n v="1"/>
    <n v="4"/>
    <n v="10"/>
  </r>
  <r>
    <d v="2025-12-26T12:06:00"/>
    <x v="1"/>
    <x v="2"/>
    <x v="0"/>
    <x v="0"/>
    <x v="0"/>
    <x v="2"/>
    <x v="1"/>
    <n v="1"/>
    <n v="1"/>
    <n v="1"/>
    <n v="1"/>
    <n v="1"/>
    <n v="1"/>
    <n v="1"/>
    <n v="1"/>
    <n v="1"/>
  </r>
  <r>
    <d v="2025-12-26T12:06:00"/>
    <x v="1"/>
    <x v="0"/>
    <x v="0"/>
    <x v="0"/>
    <x v="0"/>
    <x v="0"/>
    <x v="1"/>
    <n v="1"/>
    <n v="1"/>
    <n v="1"/>
    <n v="1"/>
    <n v="1"/>
    <n v="1"/>
    <n v="1"/>
    <n v="1"/>
    <n v="1"/>
  </r>
  <r>
    <d v="2025-12-26T12:07:00"/>
    <x v="0"/>
    <x v="2"/>
    <x v="0"/>
    <x v="0"/>
    <x v="0"/>
    <x v="0"/>
    <x v="1"/>
    <n v="10"/>
    <n v="10"/>
    <n v="9"/>
    <n v="10"/>
    <n v="10"/>
    <n v="9"/>
    <n v="10"/>
    <n v="10"/>
    <n v="10"/>
  </r>
  <r>
    <d v="2025-12-26T12:07:00"/>
    <x v="0"/>
    <x v="2"/>
    <x v="0"/>
    <x v="0"/>
    <x v="0"/>
    <x v="0"/>
    <x v="1"/>
    <n v="10"/>
    <n v="10"/>
    <n v="9"/>
    <n v="10"/>
    <n v="10"/>
    <n v="10"/>
    <n v="10"/>
    <n v="10"/>
    <n v="10"/>
  </r>
  <r>
    <d v="2025-12-26T12:07:00"/>
    <x v="0"/>
    <x v="0"/>
    <x v="0"/>
    <x v="0"/>
    <x v="0"/>
    <x v="7"/>
    <x v="1"/>
    <n v="10"/>
    <n v="7"/>
    <n v="10"/>
    <n v="7"/>
    <n v="10"/>
    <n v="10"/>
    <n v="3"/>
    <n v="5"/>
    <n v="8"/>
  </r>
  <r>
    <d v="2025-12-26T12:08:00"/>
    <x v="0"/>
    <x v="2"/>
    <x v="0"/>
    <x v="0"/>
    <x v="0"/>
    <x v="7"/>
    <x v="1"/>
    <n v="5"/>
    <n v="5"/>
    <n v="5"/>
    <n v="5"/>
    <n v="5"/>
    <n v="5"/>
    <n v="5"/>
    <n v="5"/>
    <n v="5"/>
  </r>
  <r>
    <d v="2025-12-26T12:08:00"/>
    <x v="0"/>
    <x v="0"/>
    <x v="0"/>
    <x v="0"/>
    <x v="0"/>
    <x v="7"/>
    <x v="1"/>
    <n v="8"/>
    <n v="9"/>
    <n v="7"/>
    <n v="8"/>
    <n v="8"/>
    <n v="8"/>
    <n v="3"/>
    <n v="6"/>
    <n v="7"/>
  </r>
  <r>
    <d v="2025-12-26T12:08:00"/>
    <x v="1"/>
    <x v="0"/>
    <x v="0"/>
    <x v="0"/>
    <x v="0"/>
    <x v="0"/>
    <x v="0"/>
    <n v="10"/>
    <n v="10"/>
    <n v="10"/>
    <n v="10"/>
    <n v="10"/>
    <n v="10"/>
    <n v="10"/>
    <n v="10"/>
    <n v="10"/>
  </r>
  <r>
    <d v="2025-12-26T12:14:00"/>
    <x v="0"/>
    <x v="3"/>
    <x v="0"/>
    <x v="2"/>
    <x v="0"/>
    <x v="0"/>
    <x v="2"/>
    <n v="10"/>
    <n v="10"/>
    <n v="10"/>
    <n v="10"/>
    <n v="10"/>
    <n v="10"/>
    <n v="10"/>
    <n v="10"/>
    <n v="10"/>
  </r>
  <r>
    <d v="2025-12-26T12:15:00"/>
    <x v="0"/>
    <x v="2"/>
    <x v="0"/>
    <x v="0"/>
    <x v="0"/>
    <x v="0"/>
    <x v="1"/>
    <n v="10"/>
    <n v="9"/>
    <n v="10"/>
    <n v="8"/>
    <n v="10"/>
    <n v="9"/>
    <n v="10"/>
    <n v="10"/>
    <n v="10"/>
  </r>
  <r>
    <d v="2025-12-26T12:16:00"/>
    <x v="1"/>
    <x v="2"/>
    <x v="0"/>
    <x v="0"/>
    <x v="0"/>
    <x v="0"/>
    <x v="1"/>
    <n v="10"/>
    <n v="10"/>
    <n v="10"/>
    <n v="10"/>
    <n v="9"/>
    <n v="9"/>
    <n v="9"/>
    <n v="9"/>
    <n v="8"/>
  </r>
  <r>
    <d v="2025-12-26T12:16:00"/>
    <x v="0"/>
    <x v="3"/>
    <x v="0"/>
    <x v="0"/>
    <x v="0"/>
    <x v="5"/>
    <x v="0"/>
    <n v="8"/>
    <n v="8"/>
    <n v="8"/>
    <n v="8"/>
    <n v="8"/>
    <n v="8"/>
    <n v="8"/>
    <n v="8"/>
    <n v="8"/>
  </r>
  <r>
    <d v="2025-12-26T12:16:00"/>
    <x v="1"/>
    <x v="0"/>
    <x v="0"/>
    <x v="0"/>
    <x v="0"/>
    <x v="0"/>
    <x v="1"/>
    <n v="10"/>
    <n v="10"/>
    <n v="10"/>
    <n v="10"/>
    <n v="10"/>
    <n v="10"/>
    <n v="10"/>
    <n v="10"/>
    <n v="10"/>
  </r>
  <r>
    <d v="2025-12-26T12:16:00"/>
    <x v="1"/>
    <x v="3"/>
    <x v="0"/>
    <x v="0"/>
    <x v="0"/>
    <x v="6"/>
    <x v="0"/>
    <n v="8"/>
    <n v="8"/>
    <n v="6"/>
    <n v="8"/>
    <n v="7"/>
    <n v="8"/>
    <n v="5"/>
    <n v="6"/>
    <n v="7"/>
  </r>
  <r>
    <d v="2025-12-26T12:17:00"/>
    <x v="1"/>
    <x v="3"/>
    <x v="0"/>
    <x v="0"/>
    <x v="0"/>
    <x v="3"/>
    <x v="4"/>
    <n v="9"/>
    <n v="8"/>
    <n v="7"/>
    <n v="8"/>
    <n v="7"/>
    <n v="4"/>
    <n v="2"/>
    <n v="8"/>
    <n v="8"/>
  </r>
  <r>
    <d v="2025-12-26T12:19:00"/>
    <x v="0"/>
    <x v="3"/>
    <x v="0"/>
    <x v="0"/>
    <x v="0"/>
    <x v="5"/>
    <x v="2"/>
    <n v="10"/>
    <n v="10"/>
    <n v="9"/>
    <n v="8"/>
    <n v="7"/>
    <n v="9"/>
    <n v="9"/>
    <n v="8"/>
    <n v="8"/>
  </r>
  <r>
    <d v="2025-12-26T12:22:00"/>
    <x v="0"/>
    <x v="3"/>
    <x v="0"/>
    <x v="0"/>
    <x v="0"/>
    <x v="6"/>
    <x v="4"/>
    <n v="6"/>
    <n v="6"/>
    <n v="8"/>
    <n v="10"/>
    <n v="9"/>
    <n v="1"/>
    <n v="7"/>
    <n v="7"/>
    <n v="8"/>
  </r>
  <r>
    <d v="2025-12-26T12:23:00"/>
    <x v="1"/>
    <x v="3"/>
    <x v="0"/>
    <x v="0"/>
    <x v="0"/>
    <x v="7"/>
    <x v="0"/>
    <n v="8"/>
    <n v="8"/>
    <n v="8"/>
    <n v="8"/>
    <n v="8"/>
    <n v="8"/>
    <n v="9"/>
    <n v="5"/>
    <n v="9"/>
  </r>
  <r>
    <d v="2025-12-26T12:27:00"/>
    <x v="0"/>
    <x v="1"/>
    <x v="0"/>
    <x v="0"/>
    <x v="0"/>
    <x v="7"/>
    <x v="4"/>
    <n v="10"/>
    <n v="10"/>
    <n v="10"/>
    <n v="9"/>
    <n v="10"/>
    <n v="10"/>
    <n v="10"/>
    <n v="10"/>
    <n v="10"/>
  </r>
  <r>
    <d v="2025-12-26T12:28:00"/>
    <x v="0"/>
    <x v="4"/>
    <x v="1"/>
    <x v="0"/>
    <x v="0"/>
    <x v="2"/>
    <x v="4"/>
    <n v="1"/>
    <n v="1"/>
    <n v="2"/>
    <n v="1"/>
    <n v="1"/>
    <n v="1"/>
    <n v="1"/>
    <n v="1"/>
    <n v="1"/>
  </r>
  <r>
    <d v="2025-12-26T12:28:00"/>
    <x v="1"/>
    <x v="3"/>
    <x v="0"/>
    <x v="0"/>
    <x v="0"/>
    <x v="2"/>
    <x v="1"/>
    <n v="8"/>
    <n v="8"/>
    <n v="8"/>
    <n v="7"/>
    <n v="6"/>
    <n v="8"/>
    <n v="8"/>
    <n v="9"/>
    <n v="8"/>
  </r>
  <r>
    <d v="2025-12-26T12:29:00"/>
    <x v="0"/>
    <x v="3"/>
    <x v="0"/>
    <x v="0"/>
    <x v="0"/>
    <x v="5"/>
    <x v="2"/>
    <n v="10"/>
    <n v="10"/>
    <n v="10"/>
    <n v="10"/>
    <n v="10"/>
    <n v="10"/>
    <n v="10"/>
    <n v="10"/>
    <n v="10"/>
  </r>
  <r>
    <d v="2025-12-26T12:29:00"/>
    <x v="1"/>
    <x v="3"/>
    <x v="0"/>
    <x v="0"/>
    <x v="0"/>
    <x v="6"/>
    <x v="4"/>
    <n v="8"/>
    <n v="8"/>
    <n v="7"/>
    <n v="8"/>
    <n v="6"/>
    <n v="8"/>
    <n v="6"/>
    <n v="5"/>
    <n v="8"/>
  </r>
  <r>
    <d v="2025-12-26T12:31:00"/>
    <x v="0"/>
    <x v="3"/>
    <x v="0"/>
    <x v="0"/>
    <x v="0"/>
    <x v="4"/>
    <x v="2"/>
    <n v="10"/>
    <n v="10"/>
    <n v="10"/>
    <n v="8"/>
    <n v="8"/>
    <n v="8"/>
    <n v="8"/>
    <n v="8"/>
    <n v="8"/>
  </r>
  <r>
    <d v="2025-12-26T12:38:00"/>
    <x v="1"/>
    <x v="0"/>
    <x v="0"/>
    <x v="0"/>
    <x v="0"/>
    <x v="0"/>
    <x v="1"/>
    <n v="10"/>
    <n v="10"/>
    <n v="10"/>
    <n v="10"/>
    <n v="10"/>
    <n v="10"/>
    <n v="10"/>
    <n v="10"/>
    <n v="10"/>
  </r>
  <r>
    <d v="2025-12-26T12:41:00"/>
    <x v="0"/>
    <x v="0"/>
    <x v="0"/>
    <x v="0"/>
    <x v="0"/>
    <x v="4"/>
    <x v="0"/>
    <n v="10"/>
    <n v="10"/>
    <n v="10"/>
    <n v="10"/>
    <n v="10"/>
    <n v="10"/>
    <n v="10"/>
    <n v="10"/>
    <n v="8"/>
  </r>
  <r>
    <d v="2025-12-26T12:45:00"/>
    <x v="1"/>
    <x v="0"/>
    <x v="0"/>
    <x v="1"/>
    <x v="0"/>
    <x v="0"/>
    <x v="4"/>
    <n v="10"/>
    <n v="10"/>
    <n v="10"/>
    <n v="10"/>
    <n v="10"/>
    <n v="10"/>
    <n v="10"/>
    <n v="10"/>
    <n v="10"/>
  </r>
  <r>
    <d v="2025-12-26T12:45:00"/>
    <x v="0"/>
    <x v="1"/>
    <x v="0"/>
    <x v="0"/>
    <x v="0"/>
    <x v="5"/>
    <x v="4"/>
    <n v="8"/>
    <n v="7"/>
    <n v="7"/>
    <n v="8"/>
    <n v="7"/>
    <n v="8"/>
    <n v="7"/>
    <n v="7"/>
    <n v="8"/>
  </r>
  <r>
    <d v="2025-12-26T12:48:00"/>
    <x v="0"/>
    <x v="3"/>
    <x v="0"/>
    <x v="0"/>
    <x v="0"/>
    <x v="5"/>
    <x v="0"/>
    <n v="10"/>
    <n v="9"/>
    <n v="3"/>
    <n v="4"/>
    <n v="3"/>
    <n v="3"/>
    <n v="1"/>
    <n v="1"/>
    <n v="3"/>
  </r>
  <r>
    <d v="2025-12-26T12:54:00"/>
    <x v="1"/>
    <x v="0"/>
    <x v="0"/>
    <x v="0"/>
    <x v="0"/>
    <x v="2"/>
    <x v="1"/>
    <n v="10"/>
    <n v="10"/>
    <n v="9"/>
    <n v="10"/>
    <n v="9"/>
    <n v="10"/>
    <n v="9"/>
    <n v="10"/>
    <n v="9"/>
  </r>
  <r>
    <d v="2025-12-26T13:26:00"/>
    <x v="0"/>
    <x v="3"/>
    <x v="0"/>
    <x v="0"/>
    <x v="0"/>
    <x v="0"/>
    <x v="4"/>
    <n v="10"/>
    <n v="10"/>
    <n v="1"/>
    <n v="5"/>
    <n v="7"/>
    <n v="10"/>
    <n v="9"/>
    <n v="9"/>
    <n v="10"/>
  </r>
  <r>
    <d v="2025-12-26T13:56:00"/>
    <x v="0"/>
    <x v="1"/>
    <x v="0"/>
    <x v="1"/>
    <x v="0"/>
    <x v="7"/>
    <x v="0"/>
    <n v="5"/>
    <n v="5"/>
    <n v="4"/>
    <n v="8"/>
    <n v="5"/>
    <n v="7"/>
    <n v="7"/>
    <n v="7"/>
    <n v="7"/>
  </r>
  <r>
    <d v="2025-12-26T15:02:00"/>
    <x v="0"/>
    <x v="2"/>
    <x v="0"/>
    <x v="0"/>
    <x v="1"/>
    <x v="2"/>
    <x v="1"/>
    <n v="9"/>
    <n v="9"/>
    <n v="9"/>
    <n v="7"/>
    <n v="7"/>
    <n v="8"/>
    <n v="8"/>
    <n v="6"/>
    <n v="5"/>
  </r>
  <r>
    <d v="2025-12-26T16:31:00"/>
    <x v="1"/>
    <x v="0"/>
    <x v="0"/>
    <x v="0"/>
    <x v="0"/>
    <x v="0"/>
    <x v="1"/>
    <n v="5"/>
    <n v="5"/>
    <n v="5"/>
    <n v="5"/>
    <n v="5"/>
    <n v="8"/>
    <n v="4"/>
    <n v="5"/>
    <n v="5"/>
  </r>
  <r>
    <d v="2025-12-26T16:46:00"/>
    <x v="0"/>
    <x v="3"/>
    <x v="0"/>
    <x v="1"/>
    <x v="0"/>
    <x v="4"/>
    <x v="0"/>
    <n v="8"/>
    <n v="9"/>
    <n v="9"/>
    <n v="9"/>
    <n v="9"/>
    <n v="8"/>
    <n v="8"/>
    <n v="8"/>
    <n v="9"/>
  </r>
  <r>
    <d v="2025-12-26T17:04:00"/>
    <x v="0"/>
    <x v="0"/>
    <x v="0"/>
    <x v="1"/>
    <x v="0"/>
    <x v="7"/>
    <x v="1"/>
    <n v="9"/>
    <n v="9"/>
    <n v="7"/>
    <n v="6"/>
    <n v="7"/>
    <n v="5"/>
    <n v="6"/>
    <n v="8"/>
    <n v="5"/>
  </r>
  <r>
    <d v="2025-12-26T19:26:00"/>
    <x v="0"/>
    <x v="4"/>
    <x v="1"/>
    <x v="0"/>
    <x v="0"/>
    <x v="4"/>
    <x v="0"/>
    <n v="9"/>
    <n v="9"/>
    <n v="9"/>
    <n v="9"/>
    <n v="8"/>
    <n v="9"/>
    <n v="9"/>
    <n v="8"/>
    <n v="7"/>
  </r>
  <r>
    <d v="2025-12-27T08:39:00"/>
    <x v="0"/>
    <x v="3"/>
    <x v="0"/>
    <x v="0"/>
    <x v="1"/>
    <x v="6"/>
    <x v="4"/>
    <n v="9"/>
    <n v="10"/>
    <n v="9"/>
    <n v="10"/>
    <n v="10"/>
    <n v="5"/>
    <n v="10"/>
    <n v="7"/>
    <n v="9"/>
  </r>
  <r>
    <d v="2025-12-28T14:24:00"/>
    <x v="0"/>
    <x v="1"/>
    <x v="1"/>
    <x v="0"/>
    <x v="0"/>
    <x v="2"/>
    <x v="4"/>
    <n v="10"/>
    <n v="10"/>
    <n v="10"/>
    <n v="10"/>
    <n v="10"/>
    <n v="10"/>
    <n v="10"/>
    <n v="10"/>
    <n v="10"/>
  </r>
  <r>
    <d v="2025-12-28T14:30:00"/>
    <x v="0"/>
    <x v="0"/>
    <x v="0"/>
    <x v="2"/>
    <x v="0"/>
    <x v="0"/>
    <x v="1"/>
    <n v="7"/>
    <n v="5"/>
    <n v="3"/>
    <n v="5"/>
    <n v="4"/>
    <n v="3"/>
    <n v="5"/>
    <n v="6"/>
    <n v="6"/>
  </r>
  <r>
    <d v="2025-12-28T15:02:00"/>
    <x v="1"/>
    <x v="1"/>
    <x v="0"/>
    <x v="1"/>
    <x v="0"/>
    <x v="3"/>
    <x v="4"/>
    <n v="5"/>
    <n v="5"/>
    <n v="4"/>
    <n v="4"/>
    <n v="2"/>
    <n v="3"/>
    <n v="2"/>
    <n v="3"/>
    <n v="3"/>
  </r>
  <r>
    <d v="2025-12-28T15:30:00"/>
    <x v="0"/>
    <x v="1"/>
    <x v="0"/>
    <x v="0"/>
    <x v="0"/>
    <x v="1"/>
    <x v="4"/>
    <n v="4"/>
    <n v="3"/>
    <n v="1"/>
    <n v="5"/>
    <n v="4"/>
    <n v="3"/>
    <n v="1"/>
    <n v="3"/>
    <n v="5"/>
  </r>
  <r>
    <d v="2025-12-28T15:33:00"/>
    <x v="1"/>
    <x v="0"/>
    <x v="0"/>
    <x v="0"/>
    <x v="0"/>
    <x v="4"/>
    <x v="1"/>
    <n v="7"/>
    <n v="7"/>
    <n v="8"/>
    <n v="9"/>
    <n v="8"/>
    <n v="10"/>
    <n v="9"/>
    <n v="9"/>
    <n v="9"/>
  </r>
  <r>
    <d v="2025-12-28T15:34:00"/>
    <x v="1"/>
    <x v="1"/>
    <x v="0"/>
    <x v="1"/>
    <x v="1"/>
    <x v="6"/>
    <x v="0"/>
    <n v="6"/>
    <n v="6"/>
    <n v="5"/>
    <n v="5"/>
    <n v="5"/>
    <n v="1"/>
    <n v="5"/>
    <n v="5"/>
    <n v="5"/>
  </r>
  <r>
    <d v="2025-12-28T15:37:00"/>
    <x v="0"/>
    <x v="3"/>
    <x v="0"/>
    <x v="1"/>
    <x v="0"/>
    <x v="7"/>
    <x v="4"/>
    <n v="3"/>
    <n v="3"/>
    <n v="3"/>
    <n v="5"/>
    <n v="3"/>
    <n v="3"/>
    <n v="3"/>
    <n v="3"/>
    <n v="4"/>
  </r>
  <r>
    <d v="2025-12-28T15:39:00"/>
    <x v="1"/>
    <x v="3"/>
    <x v="0"/>
    <x v="0"/>
    <x v="1"/>
    <x v="4"/>
    <x v="2"/>
    <n v="8"/>
    <n v="8"/>
    <n v="4"/>
    <n v="2"/>
    <n v="6"/>
    <n v="3"/>
    <n v="8"/>
    <n v="4"/>
    <n v="8"/>
  </r>
  <r>
    <d v="2025-12-28T15:48:00"/>
    <x v="1"/>
    <x v="2"/>
    <x v="0"/>
    <x v="3"/>
    <x v="0"/>
    <x v="0"/>
    <x v="1"/>
    <n v="5"/>
    <n v="5"/>
    <n v="5"/>
    <n v="5"/>
    <n v="5"/>
    <n v="10"/>
    <n v="5"/>
    <n v="5"/>
    <n v="10"/>
  </r>
  <r>
    <d v="2025-12-28T16:27:00"/>
    <x v="0"/>
    <x v="3"/>
    <x v="0"/>
    <x v="0"/>
    <x v="1"/>
    <x v="4"/>
    <x v="0"/>
    <n v="5"/>
    <n v="10"/>
    <n v="2"/>
    <n v="8"/>
    <n v="5"/>
    <n v="5"/>
    <n v="1"/>
    <n v="4"/>
    <n v="5"/>
  </r>
  <r>
    <d v="2025-12-28T16:30:00"/>
    <x v="1"/>
    <x v="1"/>
    <x v="0"/>
    <x v="1"/>
    <x v="0"/>
    <x v="1"/>
    <x v="4"/>
    <n v="8"/>
    <n v="9"/>
    <n v="9"/>
    <n v="9"/>
    <n v="3"/>
    <n v="3"/>
    <n v="2"/>
    <n v="2"/>
    <n v="6"/>
  </r>
  <r>
    <d v="2025-12-28T16:39:00"/>
    <x v="1"/>
    <x v="1"/>
    <x v="1"/>
    <x v="3"/>
    <x v="1"/>
    <x v="0"/>
    <x v="2"/>
    <n v="5"/>
    <n v="5"/>
    <n v="5"/>
    <n v="5"/>
    <n v="5"/>
    <n v="5"/>
    <n v="5"/>
    <n v="5"/>
    <n v="5"/>
  </r>
  <r>
    <d v="2025-12-28T16:44:00"/>
    <x v="0"/>
    <x v="4"/>
    <x v="0"/>
    <x v="0"/>
    <x v="0"/>
    <x v="0"/>
    <x v="4"/>
    <n v="8"/>
    <n v="8"/>
    <n v="8"/>
    <n v="8"/>
    <n v="9"/>
    <n v="7"/>
    <n v="9"/>
    <n v="10"/>
    <n v="8"/>
  </r>
  <r>
    <d v="2025-12-28T16:47:00"/>
    <x v="0"/>
    <x v="3"/>
    <x v="0"/>
    <x v="1"/>
    <x v="0"/>
    <x v="5"/>
    <x v="4"/>
    <n v="8"/>
    <n v="7"/>
    <n v="9"/>
    <n v="8"/>
    <n v="8"/>
    <n v="8"/>
    <n v="6"/>
    <n v="6"/>
    <n v="7"/>
  </r>
  <r>
    <d v="2025-12-28T17:42:00"/>
    <x v="0"/>
    <x v="5"/>
    <x v="0"/>
    <x v="3"/>
    <x v="2"/>
    <x v="0"/>
    <x v="1"/>
    <n v="6"/>
    <n v="2"/>
    <n v="3"/>
    <n v="2"/>
    <n v="3"/>
    <n v="7"/>
    <n v="5"/>
    <n v="5"/>
    <n v="7"/>
  </r>
  <r>
    <d v="2025-12-28T17:55:00"/>
    <x v="1"/>
    <x v="0"/>
    <x v="0"/>
    <x v="0"/>
    <x v="0"/>
    <x v="0"/>
    <x v="1"/>
    <n v="8"/>
    <n v="8"/>
    <n v="8"/>
    <n v="8"/>
    <n v="8"/>
    <n v="8"/>
    <n v="8"/>
    <n v="8"/>
    <n v="8"/>
  </r>
  <r>
    <d v="2025-12-28T18:37:00"/>
    <x v="1"/>
    <x v="5"/>
    <x v="0"/>
    <x v="1"/>
    <x v="2"/>
    <x v="2"/>
    <x v="1"/>
    <n v="7"/>
    <n v="7"/>
    <n v="5"/>
    <n v="5"/>
    <n v="6"/>
    <n v="5"/>
    <n v="8"/>
    <n v="6"/>
    <n v="8"/>
  </r>
  <r>
    <d v="2025-12-28T19:23:00"/>
    <x v="0"/>
    <x v="5"/>
    <x v="0"/>
    <x v="0"/>
    <x v="2"/>
    <x v="0"/>
    <x v="0"/>
    <n v="8"/>
    <n v="9"/>
    <n v="5"/>
    <n v="5"/>
    <n v="5"/>
    <n v="5"/>
    <n v="1"/>
    <n v="5"/>
    <n v="5"/>
  </r>
  <r>
    <d v="2025-12-28T19:33:00"/>
    <x v="0"/>
    <x v="1"/>
    <x v="0"/>
    <x v="1"/>
    <x v="0"/>
    <x v="0"/>
    <x v="4"/>
    <n v="10"/>
    <n v="8"/>
    <n v="8"/>
    <n v="7"/>
    <n v="7"/>
    <n v="6"/>
    <n v="7"/>
    <n v="6"/>
    <n v="8"/>
  </r>
  <r>
    <d v="2025-12-28T19:38:00"/>
    <x v="0"/>
    <x v="3"/>
    <x v="0"/>
    <x v="2"/>
    <x v="0"/>
    <x v="0"/>
    <x v="0"/>
    <n v="6"/>
    <n v="7"/>
    <n v="5"/>
    <n v="5"/>
    <n v="5"/>
    <n v="5"/>
    <n v="5"/>
    <n v="5"/>
    <n v="5"/>
  </r>
  <r>
    <d v="2025-12-28T19:40:00"/>
    <x v="0"/>
    <x v="1"/>
    <x v="0"/>
    <x v="0"/>
    <x v="0"/>
    <x v="0"/>
    <x v="4"/>
    <n v="9"/>
    <n v="9"/>
    <n v="8"/>
    <n v="9"/>
    <n v="9"/>
    <n v="9"/>
    <n v="7"/>
    <n v="8"/>
    <n v="8"/>
  </r>
  <r>
    <d v="2025-12-28T19:41:00"/>
    <x v="1"/>
    <x v="3"/>
    <x v="1"/>
    <x v="0"/>
    <x v="0"/>
    <x v="0"/>
    <x v="1"/>
    <n v="5"/>
    <n v="5"/>
    <n v="10"/>
    <n v="4"/>
    <n v="4"/>
    <n v="5"/>
    <n v="5"/>
    <n v="8"/>
    <n v="8"/>
  </r>
  <r>
    <d v="2025-12-28T19:48:00"/>
    <x v="1"/>
    <x v="1"/>
    <x v="0"/>
    <x v="0"/>
    <x v="0"/>
    <x v="0"/>
    <x v="4"/>
    <n v="10"/>
    <n v="9"/>
    <n v="9"/>
    <n v="9"/>
    <n v="9"/>
    <n v="9"/>
    <n v="10"/>
    <n v="9"/>
    <n v="10"/>
  </r>
  <r>
    <d v="2025-12-28T20:05:00"/>
    <x v="0"/>
    <x v="1"/>
    <x v="0"/>
    <x v="3"/>
    <x v="0"/>
    <x v="2"/>
    <x v="4"/>
    <n v="10"/>
    <n v="10"/>
    <n v="10"/>
    <n v="10"/>
    <n v="10"/>
    <n v="10"/>
    <n v="10"/>
    <n v="10"/>
    <n v="10"/>
  </r>
  <r>
    <d v="2025-12-28T20:08:00"/>
    <x v="0"/>
    <x v="3"/>
    <x v="0"/>
    <x v="2"/>
    <x v="0"/>
    <x v="2"/>
    <x v="0"/>
    <n v="10"/>
    <n v="9"/>
    <n v="9"/>
    <n v="9"/>
    <n v="10"/>
    <n v="9"/>
    <n v="9"/>
    <n v="8"/>
    <n v="9"/>
  </r>
  <r>
    <d v="2025-12-28T20:11:00"/>
    <x v="0"/>
    <x v="3"/>
    <x v="1"/>
    <x v="0"/>
    <x v="0"/>
    <x v="2"/>
    <x v="3"/>
    <n v="6"/>
    <n v="10"/>
    <n v="8"/>
    <n v="9"/>
    <n v="9"/>
    <n v="9"/>
    <n v="8"/>
    <n v="8"/>
    <n v="9"/>
  </r>
  <r>
    <d v="2025-12-28T20:22:00"/>
    <x v="0"/>
    <x v="3"/>
    <x v="0"/>
    <x v="0"/>
    <x v="0"/>
    <x v="2"/>
    <x v="4"/>
    <n v="10"/>
    <n v="9"/>
    <n v="9"/>
    <n v="9"/>
    <n v="10"/>
    <n v="9"/>
    <n v="8"/>
    <n v="8"/>
    <n v="10"/>
  </r>
  <r>
    <d v="2025-12-28T20:38:00"/>
    <x v="1"/>
    <x v="3"/>
    <x v="0"/>
    <x v="0"/>
    <x v="0"/>
    <x v="2"/>
    <x v="4"/>
    <n v="10"/>
    <n v="10"/>
    <n v="10"/>
    <n v="10"/>
    <n v="10"/>
    <n v="1"/>
    <n v="10"/>
    <n v="10"/>
    <n v="10"/>
  </r>
  <r>
    <d v="2025-12-28T20:38:00"/>
    <x v="1"/>
    <x v="3"/>
    <x v="0"/>
    <x v="0"/>
    <x v="0"/>
    <x v="5"/>
    <x v="4"/>
    <n v="5"/>
    <n v="8"/>
    <n v="4"/>
    <n v="9"/>
    <n v="7"/>
    <n v="5"/>
    <n v="7"/>
    <n v="8"/>
    <n v="10"/>
  </r>
  <r>
    <d v="2025-12-28T21:21:00"/>
    <x v="0"/>
    <x v="3"/>
    <x v="0"/>
    <x v="1"/>
    <x v="0"/>
    <x v="2"/>
    <x v="1"/>
    <n v="9"/>
    <n v="7"/>
    <n v="5"/>
    <n v="7"/>
    <n v="5"/>
    <n v="8"/>
    <n v="5"/>
    <n v="5"/>
    <n v="7"/>
  </r>
  <r>
    <d v="2025-12-28T21:37:00"/>
    <x v="0"/>
    <x v="1"/>
    <x v="0"/>
    <x v="0"/>
    <x v="0"/>
    <x v="5"/>
    <x v="2"/>
    <n v="4"/>
    <n v="6"/>
    <n v="5"/>
    <n v="5"/>
    <n v="4"/>
    <n v="4"/>
    <n v="3"/>
    <n v="4"/>
    <n v="3"/>
  </r>
  <r>
    <d v="2025-12-28T21:39:00"/>
    <x v="1"/>
    <x v="2"/>
    <x v="0"/>
    <x v="0"/>
    <x v="0"/>
    <x v="2"/>
    <x v="1"/>
    <n v="8"/>
    <n v="7"/>
    <n v="5"/>
    <n v="7"/>
    <n v="7"/>
    <n v="5"/>
    <n v="5"/>
    <n v="7"/>
    <n v="7"/>
  </r>
  <r>
    <d v="2025-12-28T21:40:00"/>
    <x v="0"/>
    <x v="5"/>
    <x v="0"/>
    <x v="0"/>
    <x v="1"/>
    <x v="6"/>
    <x v="3"/>
    <n v="6"/>
    <n v="6"/>
    <n v="5"/>
    <n v="5"/>
    <n v="5"/>
    <n v="5"/>
    <n v="5"/>
    <n v="5"/>
    <n v="5"/>
  </r>
  <r>
    <d v="2025-12-28T21:41:00"/>
    <x v="0"/>
    <x v="3"/>
    <x v="1"/>
    <x v="0"/>
    <x v="0"/>
    <x v="4"/>
    <x v="1"/>
    <n v="8"/>
    <n v="8"/>
    <n v="5"/>
    <n v="8"/>
    <n v="6"/>
    <n v="9"/>
    <n v="5"/>
    <n v="7"/>
    <n v="8"/>
  </r>
  <r>
    <d v="2025-12-28T21:43:00"/>
    <x v="1"/>
    <x v="0"/>
    <x v="0"/>
    <x v="0"/>
    <x v="0"/>
    <x v="7"/>
    <x v="0"/>
    <n v="6"/>
    <n v="6"/>
    <n v="3"/>
    <n v="6"/>
    <n v="5"/>
    <n v="6"/>
    <n v="5"/>
    <n v="6"/>
    <n v="6"/>
  </r>
  <r>
    <d v="2025-12-29T04:58:00"/>
    <x v="0"/>
    <x v="5"/>
    <x v="0"/>
    <x v="0"/>
    <x v="0"/>
    <x v="0"/>
    <x v="0"/>
    <n v="8"/>
    <n v="8"/>
    <n v="8"/>
    <n v="10"/>
    <n v="10"/>
    <n v="10"/>
    <n v="10"/>
    <n v="10"/>
    <n v="10"/>
  </r>
  <r>
    <d v="2025-12-29T06:44:00"/>
    <x v="0"/>
    <x v="4"/>
    <x v="0"/>
    <x v="1"/>
    <x v="0"/>
    <x v="3"/>
    <x v="3"/>
    <n v="8"/>
    <n v="8"/>
    <n v="7"/>
    <n v="8"/>
    <n v="8"/>
    <n v="7"/>
    <n v="7"/>
    <n v="7"/>
    <n v="8"/>
  </r>
  <r>
    <d v="2025-12-29T06:45:00"/>
    <x v="1"/>
    <x v="2"/>
    <x v="0"/>
    <x v="0"/>
    <x v="0"/>
    <x v="0"/>
    <x v="1"/>
    <n v="5"/>
    <n v="5"/>
    <n v="5"/>
    <n v="5"/>
    <n v="5"/>
    <n v="5"/>
    <n v="5"/>
    <n v="5"/>
    <n v="5"/>
  </r>
  <r>
    <d v="2025-12-29T06:47:00"/>
    <x v="0"/>
    <x v="5"/>
    <x v="0"/>
    <x v="0"/>
    <x v="0"/>
    <x v="5"/>
    <x v="4"/>
    <n v="8"/>
    <n v="8"/>
    <n v="5"/>
    <n v="8"/>
    <n v="5"/>
    <n v="5"/>
    <n v="6"/>
    <n v="6"/>
    <n v="5"/>
  </r>
  <r>
    <d v="2025-12-29T06:47:00"/>
    <x v="1"/>
    <x v="3"/>
    <x v="0"/>
    <x v="0"/>
    <x v="0"/>
    <x v="4"/>
    <x v="1"/>
    <n v="6"/>
    <n v="7"/>
    <n v="6"/>
    <n v="8"/>
    <n v="6"/>
    <n v="7"/>
    <n v="6"/>
    <n v="6"/>
    <n v="7"/>
  </r>
  <r>
    <d v="2025-12-29T08:21:00"/>
    <x v="1"/>
    <x v="0"/>
    <x v="0"/>
    <x v="0"/>
    <x v="0"/>
    <x v="0"/>
    <x v="0"/>
    <n v="9"/>
    <n v="10"/>
    <n v="8"/>
    <n v="8"/>
    <n v="9"/>
    <n v="9"/>
    <n v="8"/>
    <n v="6"/>
    <n v="9"/>
  </r>
  <r>
    <d v="2025-12-29T08:33:00"/>
    <x v="0"/>
    <x v="0"/>
    <x v="0"/>
    <x v="0"/>
    <x v="0"/>
    <x v="2"/>
    <x v="1"/>
    <n v="10"/>
    <n v="5"/>
    <n v="8"/>
    <n v="8"/>
    <n v="10"/>
    <n v="10"/>
    <n v="10"/>
    <n v="10"/>
    <n v="10"/>
  </r>
  <r>
    <d v="2025-12-29T08:39:00"/>
    <x v="0"/>
    <x v="1"/>
    <x v="0"/>
    <x v="0"/>
    <x v="0"/>
    <x v="7"/>
    <x v="0"/>
    <n v="7"/>
    <n v="7"/>
    <n v="7"/>
    <n v="7"/>
    <n v="7"/>
    <n v="7"/>
    <n v="7"/>
    <n v="7"/>
    <n v="8"/>
  </r>
  <r>
    <d v="2025-12-29T08:52:00"/>
    <x v="0"/>
    <x v="1"/>
    <x v="0"/>
    <x v="0"/>
    <x v="0"/>
    <x v="0"/>
    <x v="0"/>
    <n v="5"/>
    <n v="10"/>
    <n v="5"/>
    <n v="5"/>
    <n v="5"/>
    <n v="5"/>
    <n v="8"/>
    <n v="5"/>
    <n v="6"/>
  </r>
  <r>
    <d v="2025-12-29T09:03:00"/>
    <x v="0"/>
    <x v="1"/>
    <x v="0"/>
    <x v="0"/>
    <x v="0"/>
    <x v="0"/>
    <x v="0"/>
    <n v="10"/>
    <n v="10"/>
    <n v="10"/>
    <n v="10"/>
    <n v="10"/>
    <n v="10"/>
    <n v="10"/>
    <n v="10"/>
    <n v="10"/>
  </r>
  <r>
    <d v="2025-12-29T09:10:00"/>
    <x v="1"/>
    <x v="3"/>
    <x v="0"/>
    <x v="0"/>
    <x v="0"/>
    <x v="1"/>
    <x v="4"/>
    <n v="7"/>
    <n v="6"/>
    <n v="8"/>
    <n v="8"/>
    <n v="7"/>
    <n v="6"/>
    <n v="5"/>
    <n v="5"/>
    <n v="8"/>
  </r>
  <r>
    <d v="2025-12-29T09:34:00"/>
    <x v="1"/>
    <x v="4"/>
    <x v="0"/>
    <x v="0"/>
    <x v="0"/>
    <x v="7"/>
    <x v="0"/>
    <n v="8"/>
    <n v="8"/>
    <n v="6"/>
    <n v="7"/>
    <n v="6"/>
    <n v="7"/>
    <n v="5"/>
    <n v="5"/>
    <n v="5"/>
  </r>
  <r>
    <d v="2025-12-29T09:36:00"/>
    <x v="0"/>
    <x v="1"/>
    <x v="0"/>
    <x v="0"/>
    <x v="0"/>
    <x v="4"/>
    <x v="4"/>
    <n v="7"/>
    <n v="8"/>
    <n v="8"/>
    <n v="8"/>
    <n v="8"/>
    <n v="8"/>
    <n v="8"/>
    <n v="8"/>
    <n v="8"/>
  </r>
  <r>
    <d v="2025-12-29T09:50:00"/>
    <x v="0"/>
    <x v="3"/>
    <x v="0"/>
    <x v="0"/>
    <x v="0"/>
    <x v="2"/>
    <x v="2"/>
    <n v="1"/>
    <n v="1"/>
    <n v="1"/>
    <n v="1"/>
    <n v="1"/>
    <n v="1"/>
    <n v="1"/>
    <n v="1"/>
    <n v="1"/>
  </r>
  <r>
    <d v="2025-12-29T10:03:00"/>
    <x v="0"/>
    <x v="1"/>
    <x v="0"/>
    <x v="0"/>
    <x v="0"/>
    <x v="4"/>
    <x v="3"/>
    <n v="10"/>
    <n v="10"/>
    <n v="10"/>
    <n v="10"/>
    <n v="10"/>
    <n v="10"/>
    <n v="10"/>
    <n v="10"/>
    <n v="10"/>
  </r>
  <r>
    <d v="2025-12-29T10:05:00"/>
    <x v="0"/>
    <x v="1"/>
    <x v="0"/>
    <x v="1"/>
    <x v="0"/>
    <x v="0"/>
    <x v="3"/>
    <n v="1"/>
    <n v="1"/>
    <n v="1"/>
    <n v="1"/>
    <n v="1"/>
    <n v="1"/>
    <n v="1"/>
    <n v="1"/>
    <n v="1"/>
  </r>
  <r>
    <d v="2025-12-29T11:50:00"/>
    <x v="0"/>
    <x v="1"/>
    <x v="0"/>
    <x v="1"/>
    <x v="0"/>
    <x v="0"/>
    <x v="1"/>
    <n v="9"/>
    <n v="9"/>
    <n v="9"/>
    <n v="9"/>
    <n v="9"/>
    <n v="9"/>
    <n v="9"/>
    <n v="8"/>
    <n v="9"/>
  </r>
  <r>
    <d v="2025-12-29T12:10:00"/>
    <x v="0"/>
    <x v="1"/>
    <x v="0"/>
    <x v="0"/>
    <x v="0"/>
    <x v="1"/>
    <x v="1"/>
    <n v="8"/>
    <n v="9"/>
    <n v="8"/>
    <n v="6"/>
    <n v="8"/>
    <n v="8"/>
    <n v="8"/>
    <n v="8"/>
    <n v="6"/>
  </r>
  <r>
    <d v="2025-12-29T13:01:00"/>
    <x v="1"/>
    <x v="3"/>
    <x v="0"/>
    <x v="1"/>
    <x v="0"/>
    <x v="5"/>
    <x v="0"/>
    <n v="4"/>
    <n v="1"/>
    <n v="1"/>
    <n v="5"/>
    <n v="1"/>
    <n v="3"/>
    <n v="1"/>
    <n v="1"/>
    <n v="5"/>
  </r>
  <r>
    <d v="2025-12-29T13:02:00"/>
    <x v="0"/>
    <x v="5"/>
    <x v="0"/>
    <x v="0"/>
    <x v="0"/>
    <x v="1"/>
    <x v="3"/>
    <n v="8"/>
    <n v="8"/>
    <n v="6"/>
    <n v="9"/>
    <n v="8"/>
    <n v="7"/>
    <n v="7"/>
    <n v="7"/>
    <n v="7"/>
  </r>
  <r>
    <d v="2025-12-29T13:03:00"/>
    <x v="0"/>
    <x v="1"/>
    <x v="1"/>
    <x v="0"/>
    <x v="0"/>
    <x v="7"/>
    <x v="2"/>
    <n v="6"/>
    <n v="6"/>
    <n v="6"/>
    <n v="6"/>
    <n v="6"/>
    <n v="6"/>
    <n v="6"/>
    <n v="6"/>
    <n v="6"/>
  </r>
  <r>
    <d v="2025-12-29T13:04:00"/>
    <x v="1"/>
    <x v="4"/>
    <x v="0"/>
    <x v="1"/>
    <x v="1"/>
    <x v="6"/>
    <x v="3"/>
    <n v="1"/>
    <n v="1"/>
    <n v="1"/>
    <n v="5"/>
    <n v="1"/>
    <n v="1"/>
    <n v="1"/>
    <n v="1"/>
    <n v="5"/>
  </r>
  <r>
    <d v="2025-12-29T13:05:00"/>
    <x v="1"/>
    <x v="1"/>
    <x v="0"/>
    <x v="0"/>
    <x v="0"/>
    <x v="6"/>
    <x v="1"/>
    <n v="4"/>
    <n v="4"/>
    <n v="2"/>
    <n v="5"/>
    <n v="1"/>
    <n v="1"/>
    <n v="1"/>
    <n v="4"/>
    <n v="4"/>
  </r>
  <r>
    <d v="2025-12-29T13:06:00"/>
    <x v="0"/>
    <x v="2"/>
    <x v="0"/>
    <x v="0"/>
    <x v="0"/>
    <x v="2"/>
    <x v="1"/>
    <n v="7"/>
    <n v="7"/>
    <n v="7"/>
    <n v="7"/>
    <n v="7"/>
    <n v="7"/>
    <n v="7"/>
    <n v="7"/>
    <n v="8"/>
  </r>
  <r>
    <d v="2025-12-29T14:09:00"/>
    <x v="0"/>
    <x v="4"/>
    <x v="0"/>
    <x v="1"/>
    <x v="0"/>
    <x v="5"/>
    <x v="0"/>
    <n v="10"/>
    <n v="9"/>
    <n v="10"/>
    <n v="10"/>
    <n v="10"/>
    <n v="8"/>
    <n v="9"/>
    <n v="9"/>
    <n v="9"/>
  </r>
  <r>
    <d v="2025-12-29T14:10:00"/>
    <x v="0"/>
    <x v="2"/>
    <x v="0"/>
    <x v="0"/>
    <x v="0"/>
    <x v="0"/>
    <x v="4"/>
    <n v="10"/>
    <n v="10"/>
    <n v="10"/>
    <n v="10"/>
    <n v="10"/>
    <n v="10"/>
    <n v="10"/>
    <n v="10"/>
    <n v="10"/>
  </r>
  <r>
    <d v="2025-12-29T14:26:00"/>
    <x v="1"/>
    <x v="0"/>
    <x v="0"/>
    <x v="0"/>
    <x v="0"/>
    <x v="7"/>
    <x v="1"/>
    <n v="8"/>
    <n v="8"/>
    <n v="5"/>
    <n v="8"/>
    <n v="8"/>
    <n v="8"/>
    <n v="7"/>
    <n v="7"/>
    <n v="8"/>
  </r>
  <r>
    <d v="2025-12-29T14:27:00"/>
    <x v="0"/>
    <x v="1"/>
    <x v="0"/>
    <x v="0"/>
    <x v="0"/>
    <x v="6"/>
    <x v="3"/>
    <n v="1"/>
    <n v="1"/>
    <n v="1"/>
    <n v="5"/>
    <n v="1"/>
    <n v="1"/>
    <n v="1"/>
    <n v="5"/>
    <n v="5"/>
  </r>
  <r>
    <d v="2025-12-29T14:28:00"/>
    <x v="1"/>
    <x v="4"/>
    <x v="0"/>
    <x v="0"/>
    <x v="0"/>
    <x v="6"/>
    <x v="3"/>
    <n v="6"/>
    <n v="6"/>
    <n v="6"/>
    <n v="8"/>
    <n v="6"/>
    <n v="3"/>
    <n v="5"/>
    <n v="5"/>
    <n v="4"/>
  </r>
  <r>
    <d v="2025-12-29T14:29:00"/>
    <x v="1"/>
    <x v="4"/>
    <x v="0"/>
    <x v="1"/>
    <x v="0"/>
    <x v="6"/>
    <x v="2"/>
    <n v="6"/>
    <n v="6"/>
    <n v="4"/>
    <n v="5"/>
    <n v="5"/>
    <n v="1"/>
    <n v="5"/>
    <n v="4"/>
    <n v="5"/>
  </r>
  <r>
    <d v="2025-12-29T14:29:00"/>
    <x v="0"/>
    <x v="5"/>
    <x v="0"/>
    <x v="1"/>
    <x v="0"/>
    <x v="3"/>
    <x v="4"/>
    <n v="5"/>
    <n v="5"/>
    <n v="1"/>
    <n v="4"/>
    <n v="2"/>
    <n v="1"/>
    <n v="1"/>
    <n v="1"/>
    <n v="5"/>
  </r>
  <r>
    <d v="2025-12-29T14:31:00"/>
    <x v="0"/>
    <x v="3"/>
    <x v="0"/>
    <x v="1"/>
    <x v="0"/>
    <x v="3"/>
    <x v="0"/>
    <n v="8"/>
    <n v="9"/>
    <n v="5"/>
    <n v="5"/>
    <n v="5"/>
    <n v="4"/>
    <n v="5"/>
    <n v="5"/>
    <n v="5"/>
  </r>
  <r>
    <d v="2025-12-29T14:31:00"/>
    <x v="1"/>
    <x v="2"/>
    <x v="0"/>
    <x v="0"/>
    <x v="0"/>
    <x v="0"/>
    <x v="1"/>
    <n v="9"/>
    <n v="9"/>
    <n v="9"/>
    <n v="9"/>
    <n v="7"/>
    <n v="10"/>
    <n v="5"/>
    <n v="5"/>
    <n v="9"/>
  </r>
  <r>
    <d v="2025-12-29T14:32:00"/>
    <x v="1"/>
    <x v="0"/>
    <x v="0"/>
    <x v="2"/>
    <x v="0"/>
    <x v="5"/>
    <x v="1"/>
    <n v="5"/>
    <n v="5"/>
    <n v="5"/>
    <n v="5"/>
    <n v="5"/>
    <n v="5"/>
    <n v="5"/>
    <n v="5"/>
    <n v="5"/>
  </r>
  <r>
    <d v="2025-12-29T14:33:00"/>
    <x v="0"/>
    <x v="2"/>
    <x v="0"/>
    <x v="0"/>
    <x v="0"/>
    <x v="4"/>
    <x v="1"/>
    <n v="9"/>
    <n v="9"/>
    <n v="5"/>
    <n v="9"/>
    <n v="8"/>
    <n v="10"/>
    <n v="5"/>
    <n v="5"/>
    <n v="7"/>
  </r>
  <r>
    <d v="2025-12-29T14:37:00"/>
    <x v="1"/>
    <x v="2"/>
    <x v="0"/>
    <x v="0"/>
    <x v="0"/>
    <x v="0"/>
    <x v="1"/>
    <n v="5"/>
    <n v="5"/>
    <n v="5"/>
    <n v="6"/>
    <n v="6"/>
    <n v="6"/>
    <n v="6"/>
    <n v="6"/>
    <n v="6"/>
  </r>
  <r>
    <d v="2025-12-29T14:43:00"/>
    <x v="0"/>
    <x v="5"/>
    <x v="0"/>
    <x v="0"/>
    <x v="2"/>
    <x v="2"/>
    <x v="1"/>
    <n v="8"/>
    <n v="8"/>
    <n v="8"/>
    <n v="8"/>
    <n v="10"/>
    <n v="10"/>
    <n v="10"/>
    <n v="10"/>
    <n v="10"/>
  </r>
  <r>
    <d v="2025-12-29T15:18:00"/>
    <x v="1"/>
    <x v="4"/>
    <x v="0"/>
    <x v="0"/>
    <x v="0"/>
    <x v="6"/>
    <x v="3"/>
    <n v="8"/>
    <n v="8"/>
    <n v="8"/>
    <n v="8"/>
    <n v="8"/>
    <n v="8"/>
    <n v="5"/>
    <n v="7"/>
    <n v="8"/>
  </r>
  <r>
    <d v="2025-12-29T15:23:00"/>
    <x v="0"/>
    <x v="0"/>
    <x v="0"/>
    <x v="1"/>
    <x v="0"/>
    <x v="0"/>
    <x v="1"/>
    <n v="8"/>
    <n v="9"/>
    <n v="7"/>
    <n v="7"/>
    <n v="6"/>
    <n v="6"/>
    <n v="2"/>
    <n v="5"/>
    <n v="6"/>
  </r>
  <r>
    <d v="2025-12-29T20:27:00"/>
    <x v="0"/>
    <x v="1"/>
    <x v="0"/>
    <x v="1"/>
    <x v="0"/>
    <x v="6"/>
    <x v="4"/>
    <n v="5"/>
    <n v="4"/>
    <n v="7"/>
    <n v="6"/>
    <n v="3"/>
    <n v="4"/>
    <n v="4"/>
    <n v="5"/>
    <n v="5"/>
  </r>
  <r>
    <d v="2025-12-29T21:20:00"/>
    <x v="0"/>
    <x v="3"/>
    <x v="0"/>
    <x v="0"/>
    <x v="0"/>
    <x v="7"/>
    <x v="0"/>
    <n v="10"/>
    <n v="9"/>
    <n v="9"/>
    <n v="9"/>
    <n v="8"/>
    <n v="8"/>
    <n v="8"/>
    <n v="8"/>
    <n v="10"/>
  </r>
  <r>
    <d v="2025-12-29T21:21:00"/>
    <x v="1"/>
    <x v="3"/>
    <x v="0"/>
    <x v="0"/>
    <x v="0"/>
    <x v="7"/>
    <x v="0"/>
    <n v="8"/>
    <n v="7"/>
    <n v="6"/>
    <n v="6"/>
    <n v="5"/>
    <n v="5"/>
    <n v="3"/>
    <n v="3"/>
    <n v="5"/>
  </r>
  <r>
    <d v="2025-12-30T08:12:00"/>
    <x v="1"/>
    <x v="1"/>
    <x v="0"/>
    <x v="1"/>
    <x v="0"/>
    <x v="2"/>
    <x v="0"/>
    <n v="5"/>
    <n v="6"/>
    <n v="5"/>
    <n v="7"/>
    <n v="6"/>
    <n v="6"/>
    <n v="6"/>
    <n v="7"/>
    <n v="7"/>
  </r>
  <r>
    <d v="2025-12-30T10:46:00"/>
    <x v="1"/>
    <x v="3"/>
    <x v="0"/>
    <x v="1"/>
    <x v="0"/>
    <x v="6"/>
    <x v="1"/>
    <n v="1"/>
    <n v="1"/>
    <n v="8"/>
    <n v="8"/>
    <n v="8"/>
    <n v="8"/>
    <n v="8"/>
    <n v="8"/>
    <n v="8"/>
  </r>
  <r>
    <d v="2025-12-30T10:47:00"/>
    <x v="0"/>
    <x v="4"/>
    <x v="0"/>
    <x v="0"/>
    <x v="0"/>
    <x v="1"/>
    <x v="4"/>
    <n v="9"/>
    <n v="9"/>
    <n v="9"/>
    <n v="9"/>
    <n v="10"/>
    <n v="5"/>
    <n v="9"/>
    <n v="9"/>
    <n v="10"/>
  </r>
  <r>
    <d v="2025-12-30T10:50:00"/>
    <x v="0"/>
    <x v="1"/>
    <x v="0"/>
    <x v="0"/>
    <x v="0"/>
    <x v="1"/>
    <x v="4"/>
    <n v="10"/>
    <n v="10"/>
    <n v="9"/>
    <n v="6"/>
    <n v="6"/>
    <n v="3"/>
    <n v="5"/>
    <n v="5"/>
    <n v="1"/>
  </r>
  <r>
    <d v="2025-12-30T10:54:00"/>
    <x v="0"/>
    <x v="1"/>
    <x v="0"/>
    <x v="0"/>
    <x v="0"/>
    <x v="3"/>
    <x v="2"/>
    <n v="8"/>
    <n v="8"/>
    <n v="5"/>
    <n v="5"/>
    <n v="5"/>
    <n v="3"/>
    <n v="5"/>
    <n v="5"/>
    <n v="5"/>
  </r>
  <r>
    <d v="2025-12-30T10:59:00"/>
    <x v="0"/>
    <x v="5"/>
    <x v="0"/>
    <x v="1"/>
    <x v="0"/>
    <x v="6"/>
    <x v="1"/>
    <n v="7"/>
    <n v="7"/>
    <n v="1"/>
    <n v="6"/>
    <n v="3"/>
    <n v="5"/>
    <n v="1"/>
    <n v="4"/>
    <n v="5"/>
  </r>
  <r>
    <d v="2025-12-30T11:05:00"/>
    <x v="1"/>
    <x v="0"/>
    <x v="0"/>
    <x v="0"/>
    <x v="0"/>
    <x v="4"/>
    <x v="1"/>
    <n v="6"/>
    <n v="6"/>
    <n v="5"/>
    <n v="7"/>
    <n v="5"/>
    <n v="7"/>
    <n v="5"/>
    <n v="6"/>
    <n v="7"/>
  </r>
  <r>
    <d v="2025-12-30T11:09:00"/>
    <x v="0"/>
    <x v="1"/>
    <x v="0"/>
    <x v="0"/>
    <x v="0"/>
    <x v="6"/>
    <x v="2"/>
    <n v="10"/>
    <n v="10"/>
    <n v="7"/>
    <n v="8"/>
    <n v="8"/>
    <n v="4"/>
    <n v="1"/>
    <n v="3"/>
    <n v="6"/>
  </r>
  <r>
    <d v="2025-12-30T11:24:00"/>
    <x v="0"/>
    <x v="1"/>
    <x v="0"/>
    <x v="0"/>
    <x v="0"/>
    <x v="1"/>
    <x v="4"/>
    <n v="7"/>
    <n v="10"/>
    <n v="5"/>
    <n v="7"/>
    <n v="7"/>
    <n v="7"/>
    <n v="7"/>
    <n v="7"/>
    <n v="10"/>
  </r>
  <r>
    <d v="2025-12-30T11:42:00"/>
    <x v="0"/>
    <x v="3"/>
    <x v="0"/>
    <x v="0"/>
    <x v="0"/>
    <x v="3"/>
    <x v="4"/>
    <n v="8"/>
    <n v="8"/>
    <n v="8"/>
    <n v="8"/>
    <n v="8"/>
    <n v="8"/>
    <n v="8"/>
    <n v="8"/>
    <n v="8"/>
  </r>
  <r>
    <d v="2025-12-30T12:10:00"/>
    <x v="0"/>
    <x v="1"/>
    <x v="0"/>
    <x v="1"/>
    <x v="0"/>
    <x v="3"/>
    <x v="4"/>
    <n v="10"/>
    <n v="10"/>
    <n v="10"/>
    <n v="10"/>
    <n v="10"/>
    <n v="10"/>
    <n v="10"/>
    <n v="10"/>
    <n v="10"/>
  </r>
  <r>
    <d v="2025-12-30T12:21:00"/>
    <x v="1"/>
    <x v="3"/>
    <x v="0"/>
    <x v="0"/>
    <x v="0"/>
    <x v="2"/>
    <x v="0"/>
    <n v="7"/>
    <n v="7"/>
    <n v="5"/>
    <n v="7"/>
    <n v="7"/>
    <n v="7"/>
    <n v="7"/>
    <n v="7"/>
    <n v="7"/>
  </r>
  <r>
    <d v="2025-12-30T14:44:00"/>
    <x v="0"/>
    <x v="0"/>
    <x v="0"/>
    <x v="0"/>
    <x v="0"/>
    <x v="2"/>
    <x v="4"/>
    <n v="7"/>
    <n v="8"/>
    <n v="8"/>
    <n v="8"/>
    <n v="6"/>
    <n v="8"/>
    <n v="5"/>
    <n v="8"/>
    <n v="8"/>
  </r>
  <r>
    <d v="2025-12-30T18:51:00"/>
    <x v="0"/>
    <x v="3"/>
    <x v="0"/>
    <x v="1"/>
    <x v="0"/>
    <x v="1"/>
    <x v="0"/>
    <n v="10"/>
    <n v="10"/>
    <n v="10"/>
    <n v="10"/>
    <n v="10"/>
    <n v="10"/>
    <n v="10"/>
    <n v="10"/>
    <n v="10"/>
  </r>
  <r>
    <d v="2025-12-30T18:59:00"/>
    <x v="0"/>
    <x v="3"/>
    <x v="0"/>
    <x v="1"/>
    <x v="0"/>
    <x v="7"/>
    <x v="0"/>
    <n v="10"/>
    <n v="10"/>
    <n v="10"/>
    <n v="10"/>
    <n v="10"/>
    <n v="10"/>
    <n v="10"/>
    <n v="10"/>
    <n v="10"/>
  </r>
  <r>
    <d v="2025-12-30T19:26:00"/>
    <x v="1"/>
    <x v="3"/>
    <x v="0"/>
    <x v="0"/>
    <x v="0"/>
    <x v="3"/>
    <x v="3"/>
    <n v="10"/>
    <n v="10"/>
    <n v="1"/>
    <n v="10"/>
    <n v="1"/>
    <n v="1"/>
    <n v="1"/>
    <n v="1"/>
    <n v="6"/>
  </r>
  <r>
    <d v="2025-12-30T19:51:00"/>
    <x v="0"/>
    <x v="3"/>
    <x v="0"/>
    <x v="0"/>
    <x v="0"/>
    <x v="3"/>
    <x v="4"/>
    <n v="7"/>
    <n v="8"/>
    <n v="6"/>
    <n v="6"/>
    <n v="7"/>
    <n v="5"/>
    <n v="6"/>
    <n v="7"/>
    <n v="7"/>
  </r>
  <r>
    <d v="2026-01-01T10:33:00"/>
    <x v="1"/>
    <x v="1"/>
    <x v="0"/>
    <x v="0"/>
    <x v="0"/>
    <x v="5"/>
    <x v="1"/>
    <n v="2"/>
    <n v="7"/>
    <n v="10"/>
    <n v="2"/>
    <n v="10"/>
    <n v="5"/>
    <n v="10"/>
    <n v="3"/>
    <n v="3"/>
  </r>
  <r>
    <d v="2026-01-01T15:13:00"/>
    <x v="0"/>
    <x v="3"/>
    <x v="0"/>
    <x v="1"/>
    <x v="0"/>
    <x v="5"/>
    <x v="1"/>
    <n v="9"/>
    <n v="9"/>
    <n v="10"/>
    <n v="2"/>
    <n v="9"/>
    <n v="9"/>
    <n v="6"/>
    <n v="8"/>
    <n v="10"/>
  </r>
  <r>
    <d v="2026-01-01T15:17:00"/>
    <x v="0"/>
    <x v="3"/>
    <x v="0"/>
    <x v="0"/>
    <x v="0"/>
    <x v="0"/>
    <x v="1"/>
    <n v="7"/>
    <n v="5"/>
    <n v="7"/>
    <n v="5"/>
    <n v="3"/>
    <n v="4"/>
    <n v="1"/>
    <n v="5"/>
    <n v="5"/>
  </r>
  <r>
    <d v="2026-01-01T15:31:00"/>
    <x v="0"/>
    <x v="0"/>
    <x v="0"/>
    <x v="0"/>
    <x v="0"/>
    <x v="2"/>
    <x v="1"/>
    <n v="3"/>
    <n v="8"/>
    <n v="4"/>
    <n v="5"/>
    <n v="5"/>
    <n v="5"/>
    <n v="5"/>
    <n v="5"/>
    <n v="5"/>
  </r>
  <r>
    <d v="2026-01-02T07:31:00"/>
    <x v="0"/>
    <x v="0"/>
    <x v="0"/>
    <x v="0"/>
    <x v="0"/>
    <x v="0"/>
    <x v="1"/>
    <n v="10"/>
    <n v="10"/>
    <n v="10"/>
    <n v="10"/>
    <n v="10"/>
    <n v="10"/>
    <n v="10"/>
    <n v="10"/>
    <n v="10"/>
  </r>
  <r>
    <d v="2026-01-02T09:17:00"/>
    <x v="0"/>
    <x v="1"/>
    <x v="0"/>
    <x v="0"/>
    <x v="0"/>
    <x v="5"/>
    <x v="4"/>
    <n v="8"/>
    <n v="9"/>
    <n v="9"/>
    <n v="9"/>
    <n v="5"/>
    <n v="7"/>
    <n v="5"/>
    <n v="7"/>
    <n v="7"/>
  </r>
  <r>
    <d v="2026-01-02T14:22:00"/>
    <x v="0"/>
    <x v="3"/>
    <x v="0"/>
    <x v="1"/>
    <x v="0"/>
    <x v="5"/>
    <x v="1"/>
    <n v="5"/>
    <n v="5"/>
    <n v="6"/>
    <n v="6"/>
    <n v="6"/>
    <n v="6"/>
    <n v="5"/>
    <n v="7"/>
    <n v="8"/>
  </r>
  <r>
    <d v="2026-01-02T16:52:00"/>
    <x v="0"/>
    <x v="3"/>
    <x v="0"/>
    <x v="1"/>
    <x v="0"/>
    <x v="5"/>
    <x v="0"/>
    <n v="10"/>
    <n v="8"/>
    <n v="10"/>
    <n v="10"/>
    <n v="10"/>
    <n v="10"/>
    <n v="10"/>
    <n v="10"/>
    <n v="8"/>
  </r>
  <r>
    <d v="2026-01-02T18:20:00"/>
    <x v="1"/>
    <x v="3"/>
    <x v="0"/>
    <x v="1"/>
    <x v="0"/>
    <x v="3"/>
    <x v="1"/>
    <n v="5"/>
    <n v="8"/>
    <n v="5"/>
    <n v="8"/>
    <n v="4"/>
    <n v="5"/>
    <n v="1"/>
    <n v="5"/>
    <n v="5"/>
  </r>
  <r>
    <d v="2026-01-03T08:11:00"/>
    <x v="0"/>
    <x v="0"/>
    <x v="0"/>
    <x v="0"/>
    <x v="0"/>
    <x v="4"/>
    <x v="1"/>
    <n v="7"/>
    <n v="7"/>
    <n v="8"/>
    <n v="8"/>
    <n v="7"/>
    <n v="8"/>
    <n v="8"/>
    <n v="8"/>
    <n v="9"/>
  </r>
  <r>
    <d v="2026-01-03T08:59:00"/>
    <x v="1"/>
    <x v="1"/>
    <x v="0"/>
    <x v="0"/>
    <x v="0"/>
    <x v="5"/>
    <x v="1"/>
    <n v="8"/>
    <n v="8"/>
    <n v="7"/>
    <n v="8"/>
    <n v="7"/>
    <n v="7"/>
    <n v="7"/>
    <n v="8"/>
    <n v="8"/>
  </r>
  <r>
    <d v="2026-01-04T13:48:00"/>
    <x v="1"/>
    <x v="0"/>
    <x v="0"/>
    <x v="0"/>
    <x v="1"/>
    <x v="0"/>
    <x v="1"/>
    <n v="5"/>
    <n v="8"/>
    <n v="7"/>
    <n v="8"/>
    <n v="1"/>
    <n v="2"/>
    <n v="3"/>
    <n v="3"/>
    <n v="7"/>
  </r>
  <r>
    <d v="2026-01-04T13:50:00"/>
    <x v="1"/>
    <x v="2"/>
    <x v="0"/>
    <x v="0"/>
    <x v="0"/>
    <x v="2"/>
    <x v="1"/>
    <n v="6"/>
    <n v="7"/>
    <n v="5"/>
    <n v="7"/>
    <n v="7"/>
    <n v="7"/>
    <n v="5"/>
    <n v="7"/>
    <n v="7"/>
  </r>
  <r>
    <d v="2026-01-04T13:51:00"/>
    <x v="1"/>
    <x v="4"/>
    <x v="0"/>
    <x v="1"/>
    <x v="0"/>
    <x v="6"/>
    <x v="3"/>
    <n v="8"/>
    <n v="8"/>
    <n v="8"/>
    <n v="9"/>
    <n v="9"/>
    <n v="5"/>
    <n v="5"/>
    <n v="8"/>
    <n v="6"/>
  </r>
  <r>
    <d v="2026-01-04T13:52:00"/>
    <x v="0"/>
    <x v="1"/>
    <x v="0"/>
    <x v="0"/>
    <x v="0"/>
    <x v="3"/>
    <x v="2"/>
    <n v="5"/>
    <n v="5"/>
    <n v="4"/>
    <n v="6"/>
    <n v="5"/>
    <n v="4"/>
    <n v="4"/>
    <n v="5"/>
    <n v="5"/>
  </r>
  <r>
    <d v="2026-01-04T13:53:00"/>
    <x v="0"/>
    <x v="0"/>
    <x v="0"/>
    <x v="0"/>
    <x v="0"/>
    <x v="5"/>
    <x v="0"/>
    <n v="6"/>
    <n v="6"/>
    <n v="6"/>
    <n v="6"/>
    <n v="7"/>
    <n v="7"/>
    <n v="5"/>
    <n v="7"/>
    <n v="6"/>
  </r>
  <r>
    <d v="2026-01-04T13:54:00"/>
    <x v="0"/>
    <x v="4"/>
    <x v="0"/>
    <x v="1"/>
    <x v="0"/>
    <x v="6"/>
    <x v="2"/>
    <n v="4"/>
    <n v="5"/>
    <n v="4"/>
    <n v="6"/>
    <n v="4"/>
    <n v="4"/>
    <n v="4"/>
    <n v="5"/>
    <n v="4"/>
  </r>
  <r>
    <d v="2026-01-04T13:54:00"/>
    <x v="0"/>
    <x v="5"/>
    <x v="1"/>
    <x v="1"/>
    <x v="0"/>
    <x v="6"/>
    <x v="1"/>
    <n v="2"/>
    <n v="4"/>
    <n v="3"/>
    <n v="5"/>
    <n v="4"/>
    <n v="1"/>
    <n v="1"/>
    <n v="4"/>
    <n v="4"/>
  </r>
  <r>
    <d v="2026-01-04T13:56:00"/>
    <x v="0"/>
    <x v="4"/>
    <x v="0"/>
    <x v="1"/>
    <x v="0"/>
    <x v="3"/>
    <x v="4"/>
    <n v="4"/>
    <n v="4"/>
    <n v="3"/>
    <n v="5"/>
    <n v="3"/>
    <n v="2"/>
    <n v="1"/>
    <n v="1"/>
    <n v="1"/>
  </r>
  <r>
    <d v="2026-01-04T13:56:00"/>
    <x v="0"/>
    <x v="5"/>
    <x v="0"/>
    <x v="0"/>
    <x v="0"/>
    <x v="5"/>
    <x v="3"/>
    <n v="6"/>
    <n v="7"/>
    <n v="6"/>
    <n v="6"/>
    <n v="6"/>
    <n v="7"/>
    <n v="5"/>
    <n v="6"/>
    <n v="7"/>
  </r>
  <r>
    <d v="2026-01-04T13:58:00"/>
    <x v="0"/>
    <x v="3"/>
    <x v="0"/>
    <x v="1"/>
    <x v="0"/>
    <x v="7"/>
    <x v="0"/>
    <n v="7"/>
    <n v="7"/>
    <n v="7"/>
    <n v="8"/>
    <n v="7"/>
    <n v="8"/>
    <n v="7"/>
    <n v="7"/>
    <n v="8"/>
  </r>
  <r>
    <d v="2026-01-04T13:59:00"/>
    <x v="0"/>
    <x v="1"/>
    <x v="0"/>
    <x v="0"/>
    <x v="0"/>
    <x v="1"/>
    <x v="0"/>
    <n v="5"/>
    <n v="5"/>
    <n v="5"/>
    <n v="7"/>
    <n v="5"/>
    <n v="6"/>
    <n v="5"/>
    <n v="7"/>
    <n v="7"/>
  </r>
  <r>
    <d v="2026-01-04T16:48:00"/>
    <x v="0"/>
    <x v="3"/>
    <x v="0"/>
    <x v="1"/>
    <x v="0"/>
    <x v="1"/>
    <x v="4"/>
    <n v="6"/>
    <n v="7"/>
    <n v="7"/>
    <n v="8"/>
    <n v="8"/>
    <n v="7"/>
    <n v="5"/>
    <n v="7"/>
    <n v="7"/>
  </r>
  <r>
    <d v="2026-01-04T16:49:00"/>
    <x v="0"/>
    <x v="0"/>
    <x v="0"/>
    <x v="0"/>
    <x v="0"/>
    <x v="7"/>
    <x v="1"/>
    <n v="8"/>
    <n v="8"/>
    <n v="5"/>
    <n v="8"/>
    <n v="6"/>
    <n v="8"/>
    <n v="6"/>
    <n v="7"/>
    <n v="7"/>
  </r>
  <r>
    <d v="2026-01-04T16:50:00"/>
    <x v="1"/>
    <x v="5"/>
    <x v="0"/>
    <x v="1"/>
    <x v="0"/>
    <x v="6"/>
    <x v="2"/>
    <n v="2"/>
    <n v="5"/>
    <n v="3"/>
    <n v="5"/>
    <n v="3"/>
    <n v="2"/>
    <n v="1"/>
    <n v="5"/>
    <n v="5"/>
  </r>
  <r>
    <d v="2026-01-04T16:51:00"/>
    <x v="1"/>
    <x v="2"/>
    <x v="0"/>
    <x v="0"/>
    <x v="0"/>
    <x v="0"/>
    <x v="1"/>
    <n v="6"/>
    <n v="6"/>
    <n v="5"/>
    <n v="9"/>
    <n v="7"/>
    <n v="8"/>
    <n v="5"/>
    <n v="7"/>
    <n v="7"/>
  </r>
  <r>
    <d v="2026-01-04T16:52:00"/>
    <x v="0"/>
    <x v="1"/>
    <x v="1"/>
    <x v="0"/>
    <x v="1"/>
    <x v="5"/>
    <x v="2"/>
    <n v="7"/>
    <n v="7"/>
    <n v="6"/>
    <n v="8"/>
    <n v="5"/>
    <n v="5"/>
    <n v="5"/>
    <n v="6"/>
    <n v="5"/>
  </r>
  <r>
    <d v="2026-01-04T16:54:00"/>
    <x v="0"/>
    <x v="5"/>
    <x v="0"/>
    <x v="0"/>
    <x v="2"/>
    <x v="0"/>
    <x v="1"/>
    <n v="7"/>
    <n v="7"/>
    <n v="5"/>
    <n v="7"/>
    <n v="5"/>
    <n v="5"/>
    <n v="5"/>
    <n v="5"/>
    <n v="6"/>
  </r>
  <r>
    <d v="2026-01-04T17:01:00"/>
    <x v="1"/>
    <x v="1"/>
    <x v="0"/>
    <x v="1"/>
    <x v="0"/>
    <x v="5"/>
    <x v="4"/>
    <n v="6"/>
    <n v="7"/>
    <n v="6"/>
    <n v="7"/>
    <n v="6"/>
    <n v="6"/>
    <n v="5"/>
    <n v="5"/>
    <n v="6"/>
  </r>
  <r>
    <d v="2026-01-04T17:31:00"/>
    <x v="1"/>
    <x v="0"/>
    <x v="0"/>
    <x v="0"/>
    <x v="0"/>
    <x v="7"/>
    <x v="0"/>
    <n v="5"/>
    <n v="5"/>
    <n v="4"/>
    <n v="6"/>
    <n v="5"/>
    <n v="5"/>
    <n v="5"/>
    <n v="5"/>
    <n v="5"/>
  </r>
  <r>
    <d v="2026-01-04T22:56:00"/>
    <x v="1"/>
    <x v="1"/>
    <x v="0"/>
    <x v="0"/>
    <x v="0"/>
    <x v="1"/>
    <x v="4"/>
    <n v="8"/>
    <n v="8"/>
    <n v="5"/>
    <n v="7"/>
    <n v="6"/>
    <n v="8"/>
    <n v="5"/>
    <n v="7"/>
    <n v="8"/>
  </r>
  <r>
    <d v="2026-01-05T13:53:00"/>
    <x v="1"/>
    <x v="0"/>
    <x v="0"/>
    <x v="1"/>
    <x v="0"/>
    <x v="7"/>
    <x v="1"/>
    <n v="7"/>
    <n v="7"/>
    <n v="7"/>
    <n v="8"/>
    <n v="3"/>
    <n v="3"/>
    <n v="2"/>
    <n v="3"/>
    <n v="8"/>
  </r>
  <r>
    <d v="2026-01-07T16:26:00"/>
    <x v="1"/>
    <x v="3"/>
    <x v="0"/>
    <x v="1"/>
    <x v="0"/>
    <x v="1"/>
    <x v="2"/>
    <n v="7"/>
    <n v="7"/>
    <n v="6"/>
    <n v="8"/>
    <n v="7"/>
    <n v="8"/>
    <n v="7"/>
    <n v="7"/>
    <n v="7"/>
  </r>
  <r>
    <d v="2026-01-07T16:27:00"/>
    <x v="0"/>
    <x v="2"/>
    <x v="0"/>
    <x v="0"/>
    <x v="0"/>
    <x v="4"/>
    <x v="1"/>
    <n v="8"/>
    <n v="8"/>
    <n v="9"/>
    <n v="9"/>
    <n v="9"/>
    <n v="9"/>
    <n v="8"/>
    <n v="8"/>
    <n v="9"/>
  </r>
  <r>
    <d v="2026-01-08T09:52:00"/>
    <x v="0"/>
    <x v="1"/>
    <x v="0"/>
    <x v="0"/>
    <x v="0"/>
    <x v="7"/>
    <x v="4"/>
    <n v="1"/>
    <n v="1"/>
    <n v="7"/>
    <n v="5"/>
    <n v="5"/>
    <n v="7"/>
    <n v="2"/>
    <n v="5"/>
    <n v="5"/>
  </r>
  <r>
    <d v="2026-01-08T13:47:00"/>
    <x v="0"/>
    <x v="3"/>
    <x v="0"/>
    <x v="0"/>
    <x v="0"/>
    <x v="4"/>
    <x v="0"/>
    <n v="10"/>
    <n v="10"/>
    <n v="6"/>
    <n v="4"/>
    <n v="8"/>
    <n v="3"/>
    <n v="10"/>
    <n v="10"/>
    <n v="10"/>
  </r>
  <r>
    <d v="2026-01-08T15:17:00"/>
    <x v="0"/>
    <x v="0"/>
    <x v="0"/>
    <x v="0"/>
    <x v="0"/>
    <x v="0"/>
    <x v="0"/>
    <n v="9"/>
    <n v="9"/>
    <n v="5"/>
    <n v="5"/>
    <n v="7"/>
    <n v="7"/>
    <n v="8"/>
    <n v="8"/>
    <n v="8"/>
  </r>
  <r>
    <d v="2026-01-08T15:22:00"/>
    <x v="1"/>
    <x v="1"/>
    <x v="0"/>
    <x v="0"/>
    <x v="0"/>
    <x v="0"/>
    <x v="4"/>
    <n v="9"/>
    <n v="9"/>
    <n v="9"/>
    <n v="9"/>
    <n v="9"/>
    <n v="9"/>
    <n v="9"/>
    <n v="9"/>
    <n v="9"/>
  </r>
  <r>
    <d v="2026-01-08T15:23:00"/>
    <x v="0"/>
    <x v="1"/>
    <x v="0"/>
    <x v="1"/>
    <x v="0"/>
    <x v="0"/>
    <x v="2"/>
    <n v="9"/>
    <n v="10"/>
    <n v="10"/>
    <n v="9"/>
    <n v="10"/>
    <n v="10"/>
    <n v="10"/>
    <n v="9"/>
    <n v="10"/>
  </r>
  <r>
    <d v="2026-01-08T16:21:00"/>
    <x v="0"/>
    <x v="1"/>
    <x v="0"/>
    <x v="1"/>
    <x v="0"/>
    <x v="0"/>
    <x v="4"/>
    <n v="5"/>
    <n v="5"/>
    <n v="5"/>
    <n v="5"/>
    <n v="5"/>
    <n v="5"/>
    <n v="5"/>
    <n v="4"/>
    <n v="5"/>
  </r>
  <r>
    <d v="2026-01-09T08:59:00"/>
    <x v="0"/>
    <x v="5"/>
    <x v="0"/>
    <x v="1"/>
    <x v="2"/>
    <x v="2"/>
    <x v="0"/>
    <n v="9"/>
    <n v="8"/>
    <n v="9"/>
    <n v="9"/>
    <n v="8"/>
    <n v="9"/>
    <n v="10"/>
    <n v="9"/>
    <n v="10"/>
  </r>
  <r>
    <d v="2026-01-09T09:22:00"/>
    <x v="1"/>
    <x v="4"/>
    <x v="0"/>
    <x v="0"/>
    <x v="0"/>
    <x v="3"/>
    <x v="2"/>
    <n v="4"/>
    <n v="4"/>
    <n v="3"/>
    <n v="5"/>
    <n v="4"/>
    <n v="5"/>
    <n v="1"/>
    <n v="5"/>
    <n v="5"/>
  </r>
  <r>
    <d v="2026-01-09T09:23:00"/>
    <x v="0"/>
    <x v="5"/>
    <x v="0"/>
    <x v="1"/>
    <x v="0"/>
    <x v="1"/>
    <x v="0"/>
    <n v="5"/>
    <n v="5"/>
    <n v="1"/>
    <n v="5"/>
    <n v="4"/>
    <n v="2"/>
    <n v="2"/>
    <n v="5"/>
    <n v="4"/>
  </r>
  <r>
    <d v="2026-01-09T09:24:00"/>
    <x v="0"/>
    <x v="1"/>
    <x v="0"/>
    <x v="0"/>
    <x v="0"/>
    <x v="3"/>
    <x v="3"/>
    <n v="6"/>
    <n v="8"/>
    <n v="8"/>
    <n v="9"/>
    <n v="7"/>
    <n v="7"/>
    <n v="7"/>
    <n v="8"/>
    <n v="8"/>
  </r>
  <r>
    <d v="2026-01-09T09:24:00"/>
    <x v="0"/>
    <x v="4"/>
    <x v="0"/>
    <x v="1"/>
    <x v="0"/>
    <x v="6"/>
    <x v="2"/>
    <n v="5"/>
    <n v="5"/>
    <n v="5"/>
    <n v="5"/>
    <n v="5"/>
    <n v="5"/>
    <n v="5"/>
    <n v="5"/>
    <n v="5"/>
  </r>
  <r>
    <d v="2026-01-09T09:25:00"/>
    <x v="0"/>
    <x v="3"/>
    <x v="0"/>
    <x v="0"/>
    <x v="0"/>
    <x v="5"/>
    <x v="0"/>
    <n v="7"/>
    <n v="7"/>
    <n v="7"/>
    <n v="8"/>
    <n v="7"/>
    <n v="7"/>
    <n v="7"/>
    <n v="7"/>
    <n v="7"/>
  </r>
  <r>
    <d v="2026-01-09T09:26:00"/>
    <x v="0"/>
    <x v="3"/>
    <x v="0"/>
    <x v="1"/>
    <x v="0"/>
    <x v="7"/>
    <x v="1"/>
    <n v="3"/>
    <n v="1"/>
    <n v="1"/>
    <n v="5"/>
    <n v="1"/>
    <n v="1"/>
    <n v="1"/>
    <n v="4"/>
    <n v="5"/>
  </r>
  <r>
    <d v="2026-01-09T09:30:00"/>
    <x v="0"/>
    <x v="1"/>
    <x v="0"/>
    <x v="0"/>
    <x v="0"/>
    <x v="1"/>
    <x v="0"/>
    <n v="8"/>
    <n v="8"/>
    <n v="5"/>
    <n v="7"/>
    <n v="7"/>
    <n v="6"/>
    <n v="6"/>
    <n v="7"/>
    <n v="7"/>
  </r>
  <r>
    <d v="2026-01-09T09:32:00"/>
    <x v="1"/>
    <x v="3"/>
    <x v="0"/>
    <x v="0"/>
    <x v="0"/>
    <x v="1"/>
    <x v="4"/>
    <n v="4"/>
    <n v="3"/>
    <n v="1"/>
    <n v="2"/>
    <n v="1"/>
    <n v="1"/>
    <n v="1"/>
    <n v="4"/>
    <n v="2"/>
  </r>
  <r>
    <d v="2026-01-09T09:32:00"/>
    <x v="0"/>
    <x v="3"/>
    <x v="0"/>
    <x v="1"/>
    <x v="0"/>
    <x v="5"/>
    <x v="0"/>
    <n v="7"/>
    <n v="8"/>
    <n v="6"/>
    <n v="7"/>
    <n v="6"/>
    <n v="7"/>
    <n v="6"/>
    <n v="6"/>
    <n v="6"/>
  </r>
  <r>
    <d v="2026-01-09T09:33:00"/>
    <x v="0"/>
    <x v="3"/>
    <x v="0"/>
    <x v="0"/>
    <x v="0"/>
    <x v="5"/>
    <x v="1"/>
    <n v="6"/>
    <n v="6"/>
    <n v="6"/>
    <n v="6"/>
    <n v="6"/>
    <n v="5"/>
    <n v="6"/>
    <n v="6"/>
    <n v="6"/>
  </r>
  <r>
    <d v="2026-01-09T09:34:00"/>
    <x v="1"/>
    <x v="3"/>
    <x v="0"/>
    <x v="0"/>
    <x v="0"/>
    <x v="7"/>
    <x v="1"/>
    <n v="7"/>
    <n v="7"/>
    <n v="8"/>
    <n v="8"/>
    <n v="8"/>
    <n v="9"/>
    <n v="8"/>
    <n v="8"/>
    <n v="8"/>
  </r>
  <r>
    <d v="2026-01-09T09:35:00"/>
    <x v="0"/>
    <x v="3"/>
    <x v="0"/>
    <x v="0"/>
    <x v="0"/>
    <x v="1"/>
    <x v="0"/>
    <n v="7"/>
    <n v="7"/>
    <n v="7"/>
    <n v="7"/>
    <n v="7"/>
    <n v="7"/>
    <n v="7"/>
    <n v="7"/>
    <n v="7"/>
  </r>
  <r>
    <d v="2026-01-09T09:35:00"/>
    <x v="0"/>
    <x v="3"/>
    <x v="0"/>
    <x v="0"/>
    <x v="0"/>
    <x v="1"/>
    <x v="1"/>
    <n v="5"/>
    <n v="5"/>
    <n v="1"/>
    <n v="5"/>
    <n v="5"/>
    <n v="5"/>
    <n v="4"/>
    <n v="5"/>
    <n v="5"/>
  </r>
  <r>
    <d v="2026-01-09T09:36:00"/>
    <x v="0"/>
    <x v="3"/>
    <x v="0"/>
    <x v="0"/>
    <x v="0"/>
    <x v="1"/>
    <x v="3"/>
    <n v="7"/>
    <n v="8"/>
    <n v="8"/>
    <n v="8"/>
    <n v="8"/>
    <n v="8"/>
    <n v="8"/>
    <n v="8"/>
    <n v="8"/>
  </r>
  <r>
    <d v="2026-01-09T09:37:00"/>
    <x v="0"/>
    <x v="3"/>
    <x v="0"/>
    <x v="1"/>
    <x v="0"/>
    <x v="1"/>
    <x v="3"/>
    <n v="9"/>
    <n v="9"/>
    <n v="9"/>
    <n v="9"/>
    <n v="9"/>
    <n v="9"/>
    <n v="9"/>
    <n v="9"/>
    <n v="9"/>
  </r>
  <r>
    <d v="2026-01-09T09:37:00"/>
    <x v="0"/>
    <x v="3"/>
    <x v="0"/>
    <x v="1"/>
    <x v="0"/>
    <x v="4"/>
    <x v="4"/>
    <n v="5"/>
    <n v="5"/>
    <n v="5"/>
    <n v="5"/>
    <n v="5"/>
    <n v="5"/>
    <n v="5"/>
    <n v="5"/>
    <n v="5"/>
  </r>
  <r>
    <d v="2026-01-09T09:37:00"/>
    <x v="0"/>
    <x v="3"/>
    <x v="0"/>
    <x v="1"/>
    <x v="0"/>
    <x v="5"/>
    <x v="0"/>
    <n v="6"/>
    <n v="7"/>
    <n v="7"/>
    <n v="7"/>
    <n v="6"/>
    <n v="7"/>
    <n v="7"/>
    <n v="7"/>
    <n v="7"/>
  </r>
  <r>
    <d v="2026-01-09T09:38:00"/>
    <x v="1"/>
    <x v="3"/>
    <x v="0"/>
    <x v="0"/>
    <x v="0"/>
    <x v="5"/>
    <x v="1"/>
    <n v="5"/>
    <n v="5"/>
    <n v="5"/>
    <n v="6"/>
    <n v="5"/>
    <n v="5"/>
    <n v="5"/>
    <n v="5"/>
    <n v="5"/>
  </r>
  <r>
    <d v="2026-01-09T09:39:00"/>
    <x v="0"/>
    <x v="3"/>
    <x v="0"/>
    <x v="0"/>
    <x v="0"/>
    <x v="1"/>
    <x v="2"/>
    <n v="6"/>
    <n v="7"/>
    <n v="7"/>
    <n v="7"/>
    <n v="7"/>
    <n v="7"/>
    <n v="7"/>
    <n v="7"/>
    <n v="7"/>
  </r>
  <r>
    <d v="2026-01-09T09:40:00"/>
    <x v="1"/>
    <x v="5"/>
    <x v="0"/>
    <x v="1"/>
    <x v="0"/>
    <x v="6"/>
    <x v="4"/>
    <n v="7"/>
    <n v="8"/>
    <n v="8"/>
    <n v="8"/>
    <n v="8"/>
    <n v="5"/>
    <n v="5"/>
    <n v="7"/>
    <n v="6"/>
  </r>
  <r>
    <d v="2026-01-09T09:40:00"/>
    <x v="0"/>
    <x v="4"/>
    <x v="0"/>
    <x v="1"/>
    <x v="0"/>
    <x v="6"/>
    <x v="0"/>
    <n v="10"/>
    <n v="10"/>
    <n v="6"/>
    <n v="9"/>
    <n v="9"/>
    <n v="9"/>
    <n v="9"/>
    <n v="8"/>
    <n v="8"/>
  </r>
  <r>
    <d v="2026-01-09T09:41:00"/>
    <x v="0"/>
    <x v="1"/>
    <x v="0"/>
    <x v="0"/>
    <x v="0"/>
    <x v="1"/>
    <x v="0"/>
    <n v="4"/>
    <n v="4"/>
    <n v="4"/>
    <n v="6"/>
    <n v="5"/>
    <n v="6"/>
    <n v="5"/>
    <n v="6"/>
    <n v="5"/>
  </r>
  <r>
    <d v="2026-01-09T09:43:00"/>
    <x v="0"/>
    <x v="4"/>
    <x v="0"/>
    <x v="0"/>
    <x v="0"/>
    <x v="1"/>
    <x v="4"/>
    <n v="4"/>
    <n v="5"/>
    <n v="4"/>
    <n v="5"/>
    <n v="5"/>
    <n v="5"/>
    <n v="5"/>
    <n v="5"/>
    <n v="5"/>
  </r>
  <r>
    <d v="2026-01-09T09:44:00"/>
    <x v="1"/>
    <x v="3"/>
    <x v="0"/>
    <x v="0"/>
    <x v="0"/>
    <x v="1"/>
    <x v="4"/>
    <n v="6"/>
    <n v="6"/>
    <n v="7"/>
    <n v="7"/>
    <n v="6"/>
    <n v="6"/>
    <n v="8"/>
    <n v="8"/>
    <n v="7"/>
  </r>
  <r>
    <d v="2026-01-09T09:44:00"/>
    <x v="0"/>
    <x v="3"/>
    <x v="0"/>
    <x v="1"/>
    <x v="0"/>
    <x v="1"/>
    <x v="1"/>
    <n v="7"/>
    <n v="7"/>
    <n v="7"/>
    <n v="7"/>
    <n v="7"/>
    <n v="7"/>
    <n v="7"/>
    <n v="7"/>
    <n v="7"/>
  </r>
  <r>
    <d v="2026-01-09T09:45:00"/>
    <x v="0"/>
    <x v="3"/>
    <x v="0"/>
    <x v="0"/>
    <x v="0"/>
    <x v="5"/>
    <x v="0"/>
    <n v="6"/>
    <n v="6"/>
    <n v="7"/>
    <n v="7"/>
    <n v="5"/>
    <n v="6"/>
    <n v="6"/>
    <n v="6"/>
    <n v="7"/>
  </r>
  <r>
    <d v="2026-01-09T09:46:00"/>
    <x v="0"/>
    <x v="5"/>
    <x v="0"/>
    <x v="1"/>
    <x v="0"/>
    <x v="3"/>
    <x v="4"/>
    <n v="7"/>
    <n v="7"/>
    <n v="6"/>
    <n v="7"/>
    <n v="7"/>
    <n v="7"/>
    <n v="7"/>
    <n v="7"/>
    <n v="7"/>
  </r>
  <r>
    <d v="2026-01-09T09:47:00"/>
    <x v="0"/>
    <x v="0"/>
    <x v="0"/>
    <x v="0"/>
    <x v="0"/>
    <x v="7"/>
    <x v="1"/>
    <n v="6"/>
    <n v="6"/>
    <n v="6"/>
    <n v="6"/>
    <n v="6"/>
    <n v="6"/>
    <n v="6"/>
    <n v="6"/>
    <n v="6"/>
  </r>
  <r>
    <d v="2026-01-09T09:47:00"/>
    <x v="0"/>
    <x v="0"/>
    <x v="0"/>
    <x v="0"/>
    <x v="0"/>
    <x v="4"/>
    <x v="4"/>
    <n v="8"/>
    <n v="9"/>
    <n v="7"/>
    <n v="8"/>
    <n v="9"/>
    <n v="8"/>
    <n v="8"/>
    <n v="8"/>
    <n v="8"/>
  </r>
  <r>
    <d v="2026-01-09T09:48:00"/>
    <x v="0"/>
    <x v="3"/>
    <x v="0"/>
    <x v="0"/>
    <x v="0"/>
    <x v="1"/>
    <x v="4"/>
    <n v="6"/>
    <n v="6"/>
    <n v="6"/>
    <n v="6"/>
    <n v="6"/>
    <n v="7"/>
    <n v="6"/>
    <n v="6"/>
    <n v="7"/>
  </r>
  <r>
    <d v="2026-01-09T09:49:00"/>
    <x v="0"/>
    <x v="1"/>
    <x v="0"/>
    <x v="1"/>
    <x v="0"/>
    <x v="3"/>
    <x v="3"/>
    <n v="4"/>
    <n v="5"/>
    <n v="1"/>
    <n v="6"/>
    <n v="4"/>
    <n v="4"/>
    <n v="5"/>
    <n v="5"/>
    <n v="5"/>
  </r>
  <r>
    <d v="2026-01-09T09:49:00"/>
    <x v="1"/>
    <x v="5"/>
    <x v="0"/>
    <x v="1"/>
    <x v="0"/>
    <x v="6"/>
    <x v="3"/>
    <n v="8"/>
    <n v="8"/>
    <n v="8"/>
    <n v="8"/>
    <n v="7"/>
    <n v="7"/>
    <n v="8"/>
    <n v="7"/>
    <n v="8"/>
  </r>
  <r>
    <d v="2026-01-09T09:50:00"/>
    <x v="1"/>
    <x v="3"/>
    <x v="0"/>
    <x v="0"/>
    <x v="0"/>
    <x v="1"/>
    <x v="4"/>
    <n v="6"/>
    <n v="6"/>
    <n v="6"/>
    <n v="6"/>
    <n v="6"/>
    <n v="6"/>
    <n v="6"/>
    <n v="6"/>
    <n v="6"/>
  </r>
  <r>
    <d v="2026-01-09T09:50:00"/>
    <x v="0"/>
    <x v="1"/>
    <x v="0"/>
    <x v="0"/>
    <x v="0"/>
    <x v="0"/>
    <x v="0"/>
    <n v="8"/>
    <n v="8"/>
    <n v="8"/>
    <n v="8"/>
    <n v="9"/>
    <n v="8"/>
    <n v="8"/>
    <n v="8"/>
    <n v="10"/>
  </r>
  <r>
    <d v="2026-01-09T09:50:00"/>
    <x v="0"/>
    <x v="4"/>
    <x v="0"/>
    <x v="1"/>
    <x v="0"/>
    <x v="3"/>
    <x v="2"/>
    <n v="4"/>
    <n v="4"/>
    <n v="4"/>
    <n v="4"/>
    <n v="1"/>
    <n v="3"/>
    <n v="1"/>
    <n v="1"/>
    <n v="1"/>
  </r>
  <r>
    <d v="2026-01-09T09:51:00"/>
    <x v="0"/>
    <x v="3"/>
    <x v="0"/>
    <x v="0"/>
    <x v="0"/>
    <x v="5"/>
    <x v="1"/>
    <n v="6"/>
    <n v="6"/>
    <n v="1"/>
    <n v="6"/>
    <n v="5"/>
    <n v="6"/>
    <n v="5"/>
    <n v="6"/>
    <n v="6"/>
  </r>
  <r>
    <d v="2026-01-09T09:52:00"/>
    <x v="0"/>
    <x v="3"/>
    <x v="0"/>
    <x v="1"/>
    <x v="0"/>
    <x v="1"/>
    <x v="2"/>
    <n v="7"/>
    <n v="7"/>
    <n v="7"/>
    <n v="7"/>
    <n v="7"/>
    <n v="7"/>
    <n v="7"/>
    <n v="7"/>
    <n v="7"/>
  </r>
  <r>
    <d v="2026-01-09T10:03:00"/>
    <x v="1"/>
    <x v="3"/>
    <x v="0"/>
    <x v="1"/>
    <x v="1"/>
    <x v="0"/>
    <x v="2"/>
    <n v="10"/>
    <n v="10"/>
    <n v="4"/>
    <n v="6"/>
    <n v="3"/>
    <n v="1"/>
    <n v="1"/>
    <n v="3"/>
    <n v="1"/>
  </r>
  <r>
    <d v="2026-01-09T10:15:00"/>
    <x v="0"/>
    <x v="3"/>
    <x v="0"/>
    <x v="1"/>
    <x v="0"/>
    <x v="7"/>
    <x v="0"/>
    <n v="8"/>
    <n v="10"/>
    <n v="8"/>
    <n v="10"/>
    <n v="9"/>
    <n v="8"/>
    <n v="7"/>
    <n v="9"/>
    <n v="9"/>
  </r>
  <r>
    <d v="2026-01-09T10:35:00"/>
    <x v="1"/>
    <x v="5"/>
    <x v="0"/>
    <x v="1"/>
    <x v="0"/>
    <x v="3"/>
    <x v="3"/>
    <n v="6"/>
    <n v="6"/>
    <n v="6"/>
    <n v="6"/>
    <n v="6"/>
    <n v="6"/>
    <n v="6"/>
    <n v="7"/>
    <n v="6"/>
  </r>
  <r>
    <d v="2026-01-09T10:36:00"/>
    <x v="0"/>
    <x v="3"/>
    <x v="0"/>
    <x v="0"/>
    <x v="0"/>
    <x v="1"/>
    <x v="2"/>
    <n v="8"/>
    <n v="8"/>
    <n v="8"/>
    <n v="8"/>
    <n v="8"/>
    <n v="8"/>
    <n v="8"/>
    <n v="8"/>
    <n v="8"/>
  </r>
  <r>
    <d v="2026-01-09T10:36:00"/>
    <x v="0"/>
    <x v="3"/>
    <x v="0"/>
    <x v="1"/>
    <x v="0"/>
    <x v="1"/>
    <x v="0"/>
    <n v="7"/>
    <n v="6"/>
    <n v="7"/>
    <n v="7"/>
    <n v="8"/>
    <n v="8"/>
    <n v="8"/>
    <n v="8"/>
    <n v="8"/>
  </r>
  <r>
    <d v="2026-01-09T10:36:00"/>
    <x v="1"/>
    <x v="3"/>
    <x v="0"/>
    <x v="0"/>
    <x v="0"/>
    <x v="1"/>
    <x v="4"/>
    <n v="6"/>
    <n v="5"/>
    <n v="5"/>
    <n v="7"/>
    <n v="7"/>
    <n v="7"/>
    <n v="7"/>
    <n v="8"/>
    <n v="8"/>
  </r>
  <r>
    <d v="2026-01-09T10:37:00"/>
    <x v="1"/>
    <x v="4"/>
    <x v="0"/>
    <x v="0"/>
    <x v="0"/>
    <x v="3"/>
    <x v="4"/>
    <n v="6"/>
    <n v="6"/>
    <n v="6"/>
    <n v="6"/>
    <n v="6"/>
    <n v="6"/>
    <n v="6"/>
    <n v="6"/>
    <n v="6"/>
  </r>
  <r>
    <d v="2026-01-09T10:37:00"/>
    <x v="0"/>
    <x v="1"/>
    <x v="0"/>
    <x v="1"/>
    <x v="0"/>
    <x v="1"/>
    <x v="2"/>
    <n v="7"/>
    <n v="6"/>
    <n v="6"/>
    <n v="8"/>
    <n v="6"/>
    <n v="6"/>
    <n v="6"/>
    <n v="6"/>
    <n v="6"/>
  </r>
  <r>
    <d v="2026-01-09T10:38:00"/>
    <x v="1"/>
    <x v="1"/>
    <x v="0"/>
    <x v="1"/>
    <x v="0"/>
    <x v="6"/>
    <x v="1"/>
    <n v="4"/>
    <n v="4"/>
    <n v="1"/>
    <n v="4"/>
    <n v="4"/>
    <n v="4"/>
    <n v="5"/>
    <n v="5"/>
    <n v="5"/>
  </r>
  <r>
    <d v="2026-01-09T10:39:00"/>
    <x v="1"/>
    <x v="3"/>
    <x v="0"/>
    <x v="0"/>
    <x v="0"/>
    <x v="7"/>
    <x v="1"/>
    <n v="6"/>
    <n v="7"/>
    <n v="7"/>
    <n v="7"/>
    <n v="7"/>
    <n v="7"/>
    <n v="7"/>
    <n v="7"/>
    <n v="7"/>
  </r>
  <r>
    <d v="2026-01-09T10:40:00"/>
    <x v="0"/>
    <x v="4"/>
    <x v="0"/>
    <x v="1"/>
    <x v="0"/>
    <x v="1"/>
    <x v="3"/>
    <n v="8"/>
    <n v="8"/>
    <n v="8"/>
    <n v="8"/>
    <n v="8"/>
    <n v="8"/>
    <n v="8"/>
    <n v="8"/>
    <n v="8"/>
  </r>
  <r>
    <d v="2026-01-09T11:09:00"/>
    <x v="0"/>
    <x v="1"/>
    <x v="0"/>
    <x v="0"/>
    <x v="0"/>
    <x v="5"/>
    <x v="0"/>
    <n v="7"/>
    <n v="7"/>
    <n v="7"/>
    <n v="7"/>
    <n v="7"/>
    <n v="7"/>
    <n v="7"/>
    <n v="7"/>
    <n v="7"/>
  </r>
  <r>
    <d v="2026-01-09T11:09:00"/>
    <x v="1"/>
    <x v="5"/>
    <x v="0"/>
    <x v="1"/>
    <x v="0"/>
    <x v="3"/>
    <x v="2"/>
    <n v="9"/>
    <n v="9"/>
    <n v="9"/>
    <n v="9"/>
    <n v="9"/>
    <n v="9"/>
    <n v="9"/>
    <n v="9"/>
    <n v="9"/>
  </r>
  <r>
    <d v="2026-01-09T11:10:00"/>
    <x v="0"/>
    <x v="3"/>
    <x v="0"/>
    <x v="0"/>
    <x v="0"/>
    <x v="1"/>
    <x v="2"/>
    <n v="7"/>
    <n v="6"/>
    <n v="5"/>
    <n v="6"/>
    <n v="6"/>
    <n v="6"/>
    <n v="6"/>
    <n v="6"/>
    <n v="7"/>
  </r>
  <r>
    <d v="2026-01-09T11:10:00"/>
    <x v="0"/>
    <x v="3"/>
    <x v="0"/>
    <x v="0"/>
    <x v="0"/>
    <x v="5"/>
    <x v="3"/>
    <n v="8"/>
    <n v="8"/>
    <n v="8"/>
    <n v="9"/>
    <n v="8"/>
    <n v="10"/>
    <n v="7"/>
    <n v="7"/>
    <n v="10"/>
  </r>
  <r>
    <d v="2026-01-09T11:11:00"/>
    <x v="0"/>
    <x v="4"/>
    <x v="0"/>
    <x v="0"/>
    <x v="0"/>
    <x v="1"/>
    <x v="2"/>
    <n v="6"/>
    <n v="6"/>
    <n v="1"/>
    <n v="6"/>
    <n v="5"/>
    <n v="6"/>
    <n v="6"/>
    <n v="6"/>
    <n v="6"/>
  </r>
  <r>
    <d v="2026-01-09T11:12:00"/>
    <x v="1"/>
    <x v="1"/>
    <x v="0"/>
    <x v="1"/>
    <x v="0"/>
    <x v="3"/>
    <x v="3"/>
    <n v="8"/>
    <n v="8"/>
    <n v="3"/>
    <n v="9"/>
    <n v="8"/>
    <n v="8"/>
    <n v="8"/>
    <n v="8"/>
    <n v="8"/>
  </r>
  <r>
    <d v="2026-01-09T11:12:00"/>
    <x v="1"/>
    <x v="1"/>
    <x v="0"/>
    <x v="1"/>
    <x v="0"/>
    <x v="3"/>
    <x v="0"/>
    <n v="4"/>
    <n v="3"/>
    <n v="1"/>
    <n v="7"/>
    <n v="3"/>
    <n v="6"/>
    <n v="5"/>
    <n v="6"/>
    <n v="6"/>
  </r>
  <r>
    <d v="2026-01-09T11:13:00"/>
    <x v="0"/>
    <x v="3"/>
    <x v="0"/>
    <x v="1"/>
    <x v="0"/>
    <x v="1"/>
    <x v="0"/>
    <n v="6"/>
    <n v="6"/>
    <n v="1"/>
    <n v="7"/>
    <n v="5"/>
    <n v="6"/>
    <n v="6"/>
    <n v="6"/>
    <n v="6"/>
  </r>
  <r>
    <d v="2026-01-09T11:14:00"/>
    <x v="0"/>
    <x v="4"/>
    <x v="0"/>
    <x v="0"/>
    <x v="0"/>
    <x v="6"/>
    <x v="3"/>
    <n v="8"/>
    <n v="8"/>
    <n v="5"/>
    <n v="8"/>
    <n v="8"/>
    <n v="7"/>
    <n v="7"/>
    <n v="7"/>
    <n v="7"/>
  </r>
  <r>
    <d v="2026-01-09T11:15:00"/>
    <x v="0"/>
    <x v="0"/>
    <x v="0"/>
    <x v="0"/>
    <x v="0"/>
    <x v="5"/>
    <x v="0"/>
    <n v="7"/>
    <n v="8"/>
    <n v="4"/>
    <n v="8"/>
    <n v="5"/>
    <n v="7"/>
    <n v="5"/>
    <n v="6"/>
    <n v="6"/>
  </r>
  <r>
    <d v="2026-01-09T11:15:00"/>
    <x v="1"/>
    <x v="1"/>
    <x v="0"/>
    <x v="0"/>
    <x v="0"/>
    <x v="1"/>
    <x v="4"/>
    <n v="6"/>
    <n v="7"/>
    <n v="2"/>
    <n v="7"/>
    <n v="5"/>
    <n v="5"/>
    <n v="5"/>
    <n v="6"/>
    <n v="5"/>
  </r>
  <r>
    <d v="2026-01-09T11:16:00"/>
    <x v="1"/>
    <x v="4"/>
    <x v="0"/>
    <x v="1"/>
    <x v="0"/>
    <x v="6"/>
    <x v="3"/>
    <n v="2"/>
    <n v="1"/>
    <n v="1"/>
    <n v="6"/>
    <n v="2"/>
    <n v="3"/>
    <n v="1"/>
    <n v="5"/>
    <n v="4"/>
  </r>
  <r>
    <d v="2026-01-09T11:17:00"/>
    <x v="0"/>
    <x v="3"/>
    <x v="1"/>
    <x v="0"/>
    <x v="0"/>
    <x v="5"/>
    <x v="4"/>
    <n v="6"/>
    <n v="6"/>
    <n v="7"/>
    <n v="6"/>
    <n v="5"/>
    <n v="6"/>
    <n v="5"/>
    <n v="6"/>
    <n v="6"/>
  </r>
  <r>
    <d v="2026-01-09T11:18:00"/>
    <x v="1"/>
    <x v="3"/>
    <x v="0"/>
    <x v="0"/>
    <x v="0"/>
    <x v="5"/>
    <x v="0"/>
    <n v="6"/>
    <n v="7"/>
    <n v="1"/>
    <n v="9"/>
    <n v="5"/>
    <n v="4"/>
    <n v="4"/>
    <n v="5"/>
    <n v="5"/>
  </r>
  <r>
    <d v="2026-01-09T11:19:00"/>
    <x v="1"/>
    <x v="3"/>
    <x v="0"/>
    <x v="0"/>
    <x v="0"/>
    <x v="1"/>
    <x v="3"/>
    <n v="9"/>
    <n v="9"/>
    <n v="8"/>
    <n v="9"/>
    <n v="8"/>
    <n v="9"/>
    <n v="9"/>
    <n v="8"/>
    <n v="8"/>
  </r>
  <r>
    <d v="2026-01-09T11:20:00"/>
    <x v="1"/>
    <x v="3"/>
    <x v="0"/>
    <x v="1"/>
    <x v="0"/>
    <x v="3"/>
    <x v="2"/>
    <n v="8"/>
    <n v="8"/>
    <n v="5"/>
    <n v="7"/>
    <n v="7"/>
    <n v="5"/>
    <n v="5"/>
    <n v="6"/>
    <n v="6"/>
  </r>
  <r>
    <d v="2026-01-09T11:20:00"/>
    <x v="1"/>
    <x v="1"/>
    <x v="0"/>
    <x v="1"/>
    <x v="0"/>
    <x v="6"/>
    <x v="2"/>
    <n v="7"/>
    <n v="7"/>
    <n v="7"/>
    <n v="8"/>
    <n v="7"/>
    <n v="7"/>
    <n v="7"/>
    <n v="7"/>
    <n v="7"/>
  </r>
  <r>
    <d v="2026-01-09T11:21:00"/>
    <x v="0"/>
    <x v="3"/>
    <x v="0"/>
    <x v="0"/>
    <x v="0"/>
    <x v="7"/>
    <x v="1"/>
    <n v="6"/>
    <n v="5"/>
    <n v="5"/>
    <n v="7"/>
    <n v="6"/>
    <n v="7"/>
    <n v="5"/>
    <n v="6"/>
    <n v="6"/>
  </r>
  <r>
    <d v="2026-01-09T11:22:00"/>
    <x v="0"/>
    <x v="4"/>
    <x v="0"/>
    <x v="0"/>
    <x v="0"/>
    <x v="1"/>
    <x v="2"/>
    <n v="7"/>
    <n v="6"/>
    <n v="6"/>
    <n v="6"/>
    <n v="7"/>
    <n v="7"/>
    <n v="7"/>
    <n v="7"/>
    <n v="7"/>
  </r>
  <r>
    <d v="2026-01-09T11:22:00"/>
    <x v="1"/>
    <x v="1"/>
    <x v="0"/>
    <x v="1"/>
    <x v="0"/>
    <x v="1"/>
    <x v="4"/>
    <n v="6"/>
    <n v="7"/>
    <n v="7"/>
    <n v="6"/>
    <n v="6"/>
    <n v="6"/>
    <n v="6"/>
    <n v="7"/>
    <n v="7"/>
  </r>
  <r>
    <d v="2026-01-09T11:23:00"/>
    <x v="0"/>
    <x v="0"/>
    <x v="0"/>
    <x v="0"/>
    <x v="0"/>
    <x v="7"/>
    <x v="4"/>
    <n v="7"/>
    <n v="7"/>
    <n v="2"/>
    <n v="7"/>
    <n v="7"/>
    <n v="7"/>
    <n v="7"/>
    <n v="7"/>
    <n v="7"/>
  </r>
  <r>
    <d v="2026-01-09T11:24:00"/>
    <x v="1"/>
    <x v="1"/>
    <x v="0"/>
    <x v="1"/>
    <x v="0"/>
    <x v="3"/>
    <x v="3"/>
    <n v="4"/>
    <n v="5"/>
    <n v="2"/>
    <n v="6"/>
    <n v="3"/>
    <n v="3"/>
    <n v="1"/>
    <n v="3"/>
    <n v="1"/>
  </r>
  <r>
    <d v="2026-01-09T12:36:00"/>
    <x v="0"/>
    <x v="3"/>
    <x v="0"/>
    <x v="1"/>
    <x v="1"/>
    <x v="1"/>
    <x v="1"/>
    <n v="8"/>
    <n v="8"/>
    <n v="3"/>
    <n v="8"/>
    <n v="3"/>
    <n v="1"/>
    <n v="8"/>
    <n v="6"/>
    <n v="7"/>
  </r>
  <r>
    <d v="2026-01-09T14:35:00"/>
    <x v="0"/>
    <x v="3"/>
    <x v="0"/>
    <x v="1"/>
    <x v="0"/>
    <x v="1"/>
    <x v="4"/>
    <n v="7"/>
    <n v="7"/>
    <n v="4"/>
    <n v="7"/>
    <n v="7"/>
    <n v="6"/>
    <n v="5"/>
    <n v="7"/>
    <n v="6"/>
  </r>
  <r>
    <d v="2026-01-09T14:35:00"/>
    <x v="1"/>
    <x v="3"/>
    <x v="0"/>
    <x v="0"/>
    <x v="0"/>
    <x v="5"/>
    <x v="0"/>
    <n v="7"/>
    <n v="8"/>
    <n v="2"/>
    <n v="6"/>
    <n v="6"/>
    <n v="6"/>
    <n v="5"/>
    <n v="5"/>
    <n v="6"/>
  </r>
  <r>
    <d v="2026-01-09T14:36:00"/>
    <x v="0"/>
    <x v="4"/>
    <x v="0"/>
    <x v="1"/>
    <x v="0"/>
    <x v="3"/>
    <x v="3"/>
    <n v="3"/>
    <n v="3"/>
    <n v="1"/>
    <n v="6"/>
    <n v="1"/>
    <n v="1"/>
    <n v="1"/>
    <n v="1"/>
    <n v="1"/>
  </r>
  <r>
    <d v="2026-01-09T14:37:00"/>
    <x v="0"/>
    <x v="3"/>
    <x v="0"/>
    <x v="0"/>
    <x v="0"/>
    <x v="1"/>
    <x v="4"/>
    <n v="6"/>
    <n v="6"/>
    <n v="5"/>
    <n v="6"/>
    <n v="6"/>
    <n v="6"/>
    <n v="6"/>
    <n v="6"/>
    <n v="6"/>
  </r>
  <r>
    <d v="2026-01-09T14:37:00"/>
    <x v="0"/>
    <x v="1"/>
    <x v="0"/>
    <x v="1"/>
    <x v="0"/>
    <x v="1"/>
    <x v="4"/>
    <n v="8"/>
    <n v="9"/>
    <n v="5"/>
    <n v="7"/>
    <n v="6"/>
    <n v="7"/>
    <n v="7"/>
    <n v="7"/>
    <n v="7"/>
  </r>
  <r>
    <d v="2026-01-09T14:38:00"/>
    <x v="1"/>
    <x v="3"/>
    <x v="0"/>
    <x v="0"/>
    <x v="0"/>
    <x v="5"/>
    <x v="0"/>
    <n v="6"/>
    <n v="6"/>
    <n v="3"/>
    <n v="7"/>
    <n v="7"/>
    <n v="7"/>
    <n v="5"/>
    <n v="7"/>
    <n v="7"/>
  </r>
  <r>
    <d v="2026-01-09T14:39:00"/>
    <x v="0"/>
    <x v="1"/>
    <x v="0"/>
    <x v="0"/>
    <x v="0"/>
    <x v="3"/>
    <x v="3"/>
    <n v="8"/>
    <n v="8"/>
    <n v="6"/>
    <n v="7"/>
    <n v="7"/>
    <n v="4"/>
    <n v="5"/>
    <n v="5"/>
    <n v="5"/>
  </r>
  <r>
    <d v="2026-01-09T14:39:00"/>
    <x v="0"/>
    <x v="3"/>
    <x v="0"/>
    <x v="0"/>
    <x v="0"/>
    <x v="1"/>
    <x v="2"/>
    <n v="6"/>
    <n v="7"/>
    <n v="5"/>
    <n v="7"/>
    <n v="6"/>
    <n v="6"/>
    <n v="6"/>
    <n v="6"/>
    <n v="6"/>
  </r>
  <r>
    <d v="2026-01-09T14:51:00"/>
    <x v="1"/>
    <x v="3"/>
    <x v="0"/>
    <x v="1"/>
    <x v="1"/>
    <x v="3"/>
    <x v="1"/>
    <n v="6"/>
    <n v="7"/>
    <n v="5"/>
    <n v="8"/>
    <n v="6"/>
    <n v="3"/>
    <n v="6"/>
    <n v="8"/>
    <n v="6"/>
  </r>
  <r>
    <d v="2026-01-09T15:15:00"/>
    <x v="0"/>
    <x v="3"/>
    <x v="0"/>
    <x v="1"/>
    <x v="0"/>
    <x v="3"/>
    <x v="4"/>
    <n v="4"/>
    <n v="4"/>
    <n v="1"/>
    <n v="6"/>
    <n v="3"/>
    <n v="2"/>
    <n v="1"/>
    <n v="5"/>
    <n v="4"/>
  </r>
  <r>
    <d v="2026-01-09T15:16:00"/>
    <x v="0"/>
    <x v="1"/>
    <x v="0"/>
    <x v="1"/>
    <x v="0"/>
    <x v="3"/>
    <x v="2"/>
    <n v="6"/>
    <n v="7"/>
    <n v="4"/>
    <n v="8"/>
    <n v="6"/>
    <n v="6"/>
    <n v="5"/>
    <n v="7"/>
    <n v="6"/>
  </r>
  <r>
    <d v="2026-01-09T15:16:00"/>
    <x v="0"/>
    <x v="5"/>
    <x v="0"/>
    <x v="1"/>
    <x v="0"/>
    <x v="6"/>
    <x v="3"/>
    <n v="8"/>
    <n v="8"/>
    <n v="9"/>
    <n v="9"/>
    <n v="7"/>
    <n v="8"/>
    <n v="8"/>
    <n v="8"/>
    <n v="7"/>
  </r>
  <r>
    <d v="2026-01-09T15:17:00"/>
    <x v="0"/>
    <x v="1"/>
    <x v="0"/>
    <x v="0"/>
    <x v="0"/>
    <x v="1"/>
    <x v="4"/>
    <n v="5"/>
    <n v="5"/>
    <n v="2"/>
    <n v="6"/>
    <n v="5"/>
    <n v="4"/>
    <n v="5"/>
    <n v="5"/>
    <n v="4"/>
  </r>
  <r>
    <d v="2026-01-09T15:18:00"/>
    <x v="1"/>
    <x v="3"/>
    <x v="0"/>
    <x v="0"/>
    <x v="0"/>
    <x v="1"/>
    <x v="4"/>
    <n v="7"/>
    <n v="7"/>
    <n v="5"/>
    <n v="7"/>
    <n v="5"/>
    <n v="6"/>
    <n v="5"/>
    <n v="7"/>
    <n v="6"/>
  </r>
  <r>
    <d v="2026-01-09T15:22:00"/>
    <x v="1"/>
    <x v="4"/>
    <x v="0"/>
    <x v="0"/>
    <x v="0"/>
    <x v="3"/>
    <x v="2"/>
    <n v="7"/>
    <n v="7"/>
    <n v="5"/>
    <n v="8"/>
    <n v="6"/>
    <n v="6"/>
    <n v="6"/>
    <n v="7"/>
    <n v="7"/>
  </r>
  <r>
    <d v="2026-01-09T15:23:00"/>
    <x v="0"/>
    <x v="3"/>
    <x v="0"/>
    <x v="0"/>
    <x v="0"/>
    <x v="5"/>
    <x v="1"/>
    <n v="4"/>
    <n v="4"/>
    <n v="2"/>
    <n v="8"/>
    <n v="5"/>
    <n v="5"/>
    <n v="4"/>
    <n v="6"/>
    <n v="5"/>
  </r>
  <r>
    <d v="2026-01-09T15:24:00"/>
    <x v="0"/>
    <x v="4"/>
    <x v="0"/>
    <x v="0"/>
    <x v="0"/>
    <x v="1"/>
    <x v="3"/>
    <n v="10"/>
    <n v="10"/>
    <n v="7"/>
    <n v="7"/>
    <n v="8"/>
    <n v="7"/>
    <n v="8"/>
    <n v="8"/>
    <n v="8"/>
  </r>
  <r>
    <d v="2026-01-09T15:25:00"/>
    <x v="1"/>
    <x v="0"/>
    <x v="0"/>
    <x v="0"/>
    <x v="0"/>
    <x v="7"/>
    <x v="1"/>
    <n v="8"/>
    <n v="8"/>
    <n v="5"/>
    <n v="9"/>
    <n v="10"/>
    <n v="10"/>
    <n v="9"/>
    <n v="9"/>
    <n v="10"/>
  </r>
  <r>
    <d v="2026-01-09T15:25:00"/>
    <x v="0"/>
    <x v="3"/>
    <x v="0"/>
    <x v="2"/>
    <x v="0"/>
    <x v="7"/>
    <x v="0"/>
    <n v="7"/>
    <n v="7"/>
    <n v="5"/>
    <n v="6"/>
    <n v="5"/>
    <n v="5"/>
    <n v="5"/>
    <n v="5"/>
    <n v="6"/>
  </r>
  <r>
    <d v="2026-01-09T15:26:00"/>
    <x v="1"/>
    <x v="3"/>
    <x v="0"/>
    <x v="0"/>
    <x v="0"/>
    <x v="5"/>
    <x v="4"/>
    <n v="8"/>
    <n v="8"/>
    <n v="8"/>
    <n v="8"/>
    <n v="8"/>
    <n v="8"/>
    <n v="8"/>
    <n v="8"/>
    <n v="8"/>
  </r>
  <r>
    <d v="2026-01-09T15:26:00"/>
    <x v="1"/>
    <x v="0"/>
    <x v="0"/>
    <x v="0"/>
    <x v="0"/>
    <x v="1"/>
    <x v="4"/>
    <n v="9"/>
    <n v="9"/>
    <n v="3"/>
    <n v="10"/>
    <n v="8"/>
    <n v="8"/>
    <n v="6"/>
    <n v="8"/>
    <n v="8"/>
  </r>
  <r>
    <d v="2026-01-09T15:27:00"/>
    <x v="0"/>
    <x v="5"/>
    <x v="0"/>
    <x v="1"/>
    <x v="2"/>
    <x v="1"/>
    <x v="4"/>
    <n v="6"/>
    <n v="6"/>
    <n v="1"/>
    <n v="6"/>
    <n v="5"/>
    <n v="6"/>
    <n v="5"/>
    <n v="6"/>
    <n v="6"/>
  </r>
  <r>
    <d v="2026-01-09T15:30:00"/>
    <x v="0"/>
    <x v="0"/>
    <x v="0"/>
    <x v="0"/>
    <x v="0"/>
    <x v="5"/>
    <x v="0"/>
    <n v="8"/>
    <n v="8"/>
    <n v="5"/>
    <n v="8"/>
    <n v="5"/>
    <n v="6"/>
    <n v="5"/>
    <n v="6"/>
    <n v="6"/>
  </r>
  <r>
    <d v="2026-01-09T15:31:00"/>
    <x v="0"/>
    <x v="0"/>
    <x v="0"/>
    <x v="0"/>
    <x v="0"/>
    <x v="1"/>
    <x v="2"/>
    <n v="6"/>
    <n v="6"/>
    <n v="3"/>
    <n v="7"/>
    <n v="5"/>
    <n v="6"/>
    <n v="5"/>
    <n v="5"/>
    <n v="6"/>
  </r>
  <r>
    <d v="2026-01-09T15:32:00"/>
    <x v="1"/>
    <x v="2"/>
    <x v="0"/>
    <x v="0"/>
    <x v="0"/>
    <x v="7"/>
    <x v="1"/>
    <n v="8"/>
    <n v="9"/>
    <n v="9"/>
    <n v="10"/>
    <n v="8"/>
    <n v="8"/>
    <n v="9"/>
    <n v="10"/>
    <n v="10"/>
  </r>
  <r>
    <d v="2026-01-09T16:25:00"/>
    <x v="1"/>
    <x v="5"/>
    <x v="0"/>
    <x v="0"/>
    <x v="0"/>
    <x v="2"/>
    <x v="1"/>
    <n v="7"/>
    <n v="7"/>
    <n v="6"/>
    <n v="7"/>
    <n v="7"/>
    <n v="1"/>
    <n v="5"/>
    <n v="7"/>
    <n v="7"/>
  </r>
  <r>
    <d v="2026-01-09T16:50:00"/>
    <x v="0"/>
    <x v="3"/>
    <x v="0"/>
    <x v="0"/>
    <x v="0"/>
    <x v="1"/>
    <x v="4"/>
    <n v="5"/>
    <n v="10"/>
    <n v="5"/>
    <n v="5"/>
    <n v="2"/>
    <n v="3"/>
    <n v="2"/>
    <n v="5"/>
    <n v="5"/>
  </r>
  <r>
    <d v="2026-01-09T16:56:00"/>
    <x v="1"/>
    <x v="3"/>
    <x v="0"/>
    <x v="0"/>
    <x v="2"/>
    <x v="2"/>
    <x v="1"/>
    <n v="5"/>
    <n v="5"/>
    <n v="5"/>
    <n v="10"/>
    <n v="10"/>
    <n v="5"/>
    <n v="5"/>
    <n v="5"/>
    <n v="5"/>
  </r>
  <r>
    <d v="2026-01-09T17:12:00"/>
    <x v="1"/>
    <x v="3"/>
    <x v="0"/>
    <x v="1"/>
    <x v="0"/>
    <x v="5"/>
    <x v="1"/>
    <n v="10"/>
    <n v="10"/>
    <n v="10"/>
    <n v="10"/>
    <n v="10"/>
    <n v="10"/>
    <n v="10"/>
    <n v="10"/>
    <n v="10"/>
  </r>
  <r>
    <d v="2026-01-09T17:12:00"/>
    <x v="1"/>
    <x v="3"/>
    <x v="0"/>
    <x v="0"/>
    <x v="0"/>
    <x v="7"/>
    <x v="0"/>
    <n v="9"/>
    <n v="9"/>
    <n v="8"/>
    <n v="10"/>
    <n v="8"/>
    <n v="8"/>
    <n v="10"/>
    <n v="9"/>
    <n v="9"/>
  </r>
  <r>
    <d v="2026-01-09T18:35:00"/>
    <x v="1"/>
    <x v="0"/>
    <x v="0"/>
    <x v="0"/>
    <x v="0"/>
    <x v="2"/>
    <x v="1"/>
    <n v="8"/>
    <n v="7"/>
    <n v="9"/>
    <n v="5"/>
    <n v="7"/>
    <n v="7"/>
    <n v="7"/>
    <n v="6"/>
    <n v="7"/>
  </r>
  <r>
    <d v="2026-01-09T18:52:00"/>
    <x v="0"/>
    <x v="3"/>
    <x v="0"/>
    <x v="0"/>
    <x v="0"/>
    <x v="7"/>
    <x v="1"/>
    <n v="7"/>
    <n v="7"/>
    <n v="4"/>
    <n v="8"/>
    <n v="7"/>
    <n v="7"/>
    <n v="5"/>
    <n v="5"/>
    <n v="7"/>
  </r>
  <r>
    <d v="2026-01-09T18:57:00"/>
    <x v="1"/>
    <x v="3"/>
    <x v="0"/>
    <x v="0"/>
    <x v="0"/>
    <x v="7"/>
    <x v="4"/>
    <n v="6"/>
    <n v="10"/>
    <n v="5"/>
    <n v="4"/>
    <n v="3"/>
    <n v="7"/>
    <n v="4"/>
    <n v="4"/>
    <n v="5"/>
  </r>
  <r>
    <d v="2026-01-09T18:58:00"/>
    <x v="1"/>
    <x v="0"/>
    <x v="0"/>
    <x v="1"/>
    <x v="0"/>
    <x v="2"/>
    <x v="1"/>
    <n v="10"/>
    <n v="10"/>
    <n v="10"/>
    <n v="10"/>
    <n v="10"/>
    <n v="10"/>
    <n v="10"/>
    <n v="10"/>
    <n v="10"/>
  </r>
  <r>
    <d v="2026-01-09T19:09:00"/>
    <x v="1"/>
    <x v="3"/>
    <x v="0"/>
    <x v="0"/>
    <x v="0"/>
    <x v="5"/>
    <x v="1"/>
    <n v="7"/>
    <n v="9"/>
    <n v="8"/>
    <n v="6"/>
    <n v="5"/>
    <n v="3"/>
    <n v="9"/>
    <n v="3"/>
    <n v="4"/>
  </r>
  <r>
    <d v="2026-01-09T19:12:00"/>
    <x v="0"/>
    <x v="1"/>
    <x v="0"/>
    <x v="0"/>
    <x v="0"/>
    <x v="1"/>
    <x v="2"/>
    <n v="3"/>
    <n v="8"/>
    <n v="8"/>
    <n v="4"/>
    <n v="4"/>
    <n v="3"/>
    <n v="7"/>
    <n v="5"/>
    <n v="5"/>
  </r>
  <r>
    <d v="2026-01-09T19:19:00"/>
    <x v="0"/>
    <x v="5"/>
    <x v="0"/>
    <x v="1"/>
    <x v="2"/>
    <x v="0"/>
    <x v="4"/>
    <n v="2"/>
    <n v="2"/>
    <n v="2"/>
    <n v="1"/>
    <n v="2"/>
    <n v="2"/>
    <n v="2"/>
    <n v="2"/>
    <n v="2"/>
  </r>
  <r>
    <d v="2026-01-10T07:22:00"/>
    <x v="0"/>
    <x v="1"/>
    <x v="0"/>
    <x v="1"/>
    <x v="0"/>
    <x v="6"/>
    <x v="4"/>
    <n v="10"/>
    <n v="8"/>
    <n v="8"/>
    <n v="8"/>
    <n v="10"/>
    <n v="10"/>
    <n v="6"/>
    <n v="8"/>
    <n v="8"/>
  </r>
  <r>
    <d v="2026-01-10T09:06:00"/>
    <x v="1"/>
    <x v="3"/>
    <x v="0"/>
    <x v="0"/>
    <x v="0"/>
    <x v="1"/>
    <x v="0"/>
    <n v="10"/>
    <n v="10"/>
    <n v="10"/>
    <n v="10"/>
    <n v="10"/>
    <n v="9"/>
    <n v="9"/>
    <n v="10"/>
    <n v="10"/>
  </r>
  <r>
    <d v="2026-01-10T13:52:00"/>
    <x v="0"/>
    <x v="2"/>
    <x v="0"/>
    <x v="0"/>
    <x v="0"/>
    <x v="4"/>
    <x v="1"/>
    <n v="7"/>
    <n v="7"/>
    <n v="5"/>
    <n v="8"/>
    <n v="8"/>
    <n v="9"/>
    <n v="9"/>
    <n v="9"/>
    <n v="10"/>
  </r>
  <r>
    <d v="2026-01-10T13:52:00"/>
    <x v="0"/>
    <x v="2"/>
    <x v="0"/>
    <x v="0"/>
    <x v="0"/>
    <x v="0"/>
    <x v="1"/>
    <n v="6"/>
    <n v="5"/>
    <n v="4"/>
    <n v="7"/>
    <n v="5"/>
    <n v="6"/>
    <n v="6"/>
    <n v="7"/>
    <n v="7"/>
  </r>
  <r>
    <d v="2026-01-10T13:57:00"/>
    <x v="1"/>
    <x v="0"/>
    <x v="0"/>
    <x v="0"/>
    <x v="0"/>
    <x v="4"/>
    <x v="1"/>
    <n v="8"/>
    <n v="9"/>
    <n v="10"/>
    <n v="10"/>
    <n v="8"/>
    <n v="9"/>
    <n v="8"/>
    <n v="8"/>
    <n v="10"/>
  </r>
  <r>
    <d v="2026-01-11T09:35:00"/>
    <x v="1"/>
    <x v="2"/>
    <x v="0"/>
    <x v="0"/>
    <x v="0"/>
    <x v="0"/>
    <x v="1"/>
    <n v="6"/>
    <n v="6"/>
    <n v="7"/>
    <n v="7"/>
    <n v="7"/>
    <n v="8"/>
    <n v="5"/>
    <n v="5"/>
    <n v="8"/>
  </r>
  <r>
    <d v="2026-01-11T10:21:00"/>
    <x v="0"/>
    <x v="2"/>
    <x v="0"/>
    <x v="0"/>
    <x v="0"/>
    <x v="0"/>
    <x v="1"/>
    <n v="7"/>
    <n v="8"/>
    <n v="8"/>
    <n v="8"/>
    <n v="5"/>
    <n v="8"/>
    <n v="6"/>
    <n v="6"/>
    <n v="8"/>
  </r>
  <r>
    <d v="2026-01-11T21:19:00"/>
    <x v="1"/>
    <x v="2"/>
    <x v="0"/>
    <x v="0"/>
    <x v="0"/>
    <x v="4"/>
    <x v="1"/>
    <n v="4"/>
    <n v="5"/>
    <n v="5"/>
    <n v="7"/>
    <n v="5"/>
    <n v="8"/>
    <n v="5"/>
    <n v="6"/>
    <n v="8"/>
  </r>
  <r>
    <d v="2026-01-11T21:20:00"/>
    <x v="0"/>
    <x v="0"/>
    <x v="0"/>
    <x v="0"/>
    <x v="0"/>
    <x v="7"/>
    <x v="1"/>
    <n v="6"/>
    <n v="8"/>
    <n v="5"/>
    <n v="6"/>
    <n v="6"/>
    <n v="7"/>
    <n v="6"/>
    <n v="7"/>
    <n v="7"/>
  </r>
  <r>
    <d v="2026-01-12T11:29:00"/>
    <x v="0"/>
    <x v="2"/>
    <x v="0"/>
    <x v="0"/>
    <x v="0"/>
    <x v="0"/>
    <x v="1"/>
    <n v="7"/>
    <n v="7"/>
    <n v="5"/>
    <n v="8"/>
    <n v="5"/>
    <n v="8"/>
    <n v="5"/>
    <n v="7"/>
    <n v="8"/>
  </r>
  <r>
    <d v="2026-01-12T11:30:00"/>
    <x v="0"/>
    <x v="0"/>
    <x v="0"/>
    <x v="1"/>
    <x v="0"/>
    <x v="4"/>
    <x v="1"/>
    <n v="4"/>
    <n v="4"/>
    <n v="6"/>
    <n v="7"/>
    <n v="5"/>
    <n v="8"/>
    <n v="5"/>
    <n v="5"/>
    <n v="8"/>
  </r>
  <r>
    <d v="2026-01-12T11:31:00"/>
    <x v="0"/>
    <x v="2"/>
    <x v="0"/>
    <x v="0"/>
    <x v="0"/>
    <x v="0"/>
    <x v="1"/>
    <n v="8"/>
    <n v="8"/>
    <n v="10"/>
    <n v="10"/>
    <n v="9"/>
    <n v="10"/>
    <n v="8"/>
    <n v="8"/>
    <n v="10"/>
  </r>
  <r>
    <d v="2026-01-12T11:32:00"/>
    <x v="1"/>
    <x v="3"/>
    <x v="0"/>
    <x v="1"/>
    <x v="0"/>
    <x v="7"/>
    <x v="1"/>
    <n v="5"/>
    <n v="7"/>
    <n v="7"/>
    <n v="9"/>
    <n v="5"/>
    <n v="6"/>
    <n v="5"/>
    <n v="7"/>
    <n v="7"/>
  </r>
  <r>
    <d v="2026-01-12T11:33:00"/>
    <x v="0"/>
    <x v="2"/>
    <x v="0"/>
    <x v="0"/>
    <x v="0"/>
    <x v="0"/>
    <x v="1"/>
    <n v="8"/>
    <n v="8"/>
    <n v="7"/>
    <n v="9"/>
    <n v="9"/>
    <n v="9"/>
    <n v="7"/>
    <n v="9"/>
    <n v="9"/>
  </r>
  <r>
    <d v="2026-01-12T11:34:00"/>
    <x v="1"/>
    <x v="0"/>
    <x v="0"/>
    <x v="0"/>
    <x v="0"/>
    <x v="7"/>
    <x v="1"/>
    <n v="5"/>
    <n v="5"/>
    <n v="5"/>
    <n v="7"/>
    <n v="5"/>
    <n v="7"/>
    <n v="5"/>
    <n v="5"/>
    <n v="7"/>
  </r>
  <r>
    <d v="2026-01-12T11:37:00"/>
    <x v="1"/>
    <x v="0"/>
    <x v="0"/>
    <x v="1"/>
    <x v="0"/>
    <x v="7"/>
    <x v="1"/>
    <n v="7"/>
    <n v="7"/>
    <n v="8"/>
    <n v="8"/>
    <n v="6"/>
    <n v="7"/>
    <n v="6"/>
    <n v="7"/>
    <n v="7"/>
  </r>
  <r>
    <d v="2026-01-12T11:38:00"/>
    <x v="0"/>
    <x v="2"/>
    <x v="0"/>
    <x v="0"/>
    <x v="0"/>
    <x v="2"/>
    <x v="1"/>
    <n v="7"/>
    <n v="7"/>
    <n v="5"/>
    <n v="7"/>
    <n v="7"/>
    <n v="7"/>
    <n v="5"/>
    <n v="5"/>
    <n v="8"/>
  </r>
  <r>
    <d v="2026-01-12T11:39:00"/>
    <x v="1"/>
    <x v="3"/>
    <x v="0"/>
    <x v="0"/>
    <x v="0"/>
    <x v="5"/>
    <x v="0"/>
    <n v="2"/>
    <n v="2"/>
    <n v="6"/>
    <n v="7"/>
    <n v="2"/>
    <n v="5"/>
    <n v="5"/>
    <n v="6"/>
    <n v="5"/>
  </r>
  <r>
    <d v="2026-01-12T11:40:00"/>
    <x v="0"/>
    <x v="1"/>
    <x v="0"/>
    <x v="0"/>
    <x v="0"/>
    <x v="1"/>
    <x v="4"/>
    <n v="8"/>
    <n v="9"/>
    <n v="9"/>
    <n v="10"/>
    <n v="8"/>
    <n v="10"/>
    <n v="9"/>
    <n v="9"/>
    <n v="10"/>
  </r>
  <r>
    <d v="2026-01-12T11:41:00"/>
    <x v="0"/>
    <x v="0"/>
    <x v="0"/>
    <x v="0"/>
    <x v="0"/>
    <x v="4"/>
    <x v="1"/>
    <n v="7"/>
    <n v="7"/>
    <n v="7"/>
    <n v="9"/>
    <n v="7"/>
    <n v="8"/>
    <n v="5"/>
    <n v="7"/>
    <n v="8"/>
  </r>
  <r>
    <d v="2026-01-12T11:44:00"/>
    <x v="1"/>
    <x v="1"/>
    <x v="0"/>
    <x v="1"/>
    <x v="0"/>
    <x v="3"/>
    <x v="2"/>
    <n v="7"/>
    <n v="8"/>
    <n v="9"/>
    <n v="9"/>
    <n v="9"/>
    <n v="8"/>
    <n v="7"/>
    <n v="7"/>
    <n v="9"/>
  </r>
  <r>
    <d v="2026-01-12T11:47:00"/>
    <x v="0"/>
    <x v="0"/>
    <x v="0"/>
    <x v="0"/>
    <x v="0"/>
    <x v="0"/>
    <x v="1"/>
    <n v="7"/>
    <n v="7"/>
    <n v="9"/>
    <n v="9"/>
    <n v="9"/>
    <n v="9"/>
    <n v="5"/>
    <n v="6"/>
    <n v="9"/>
  </r>
  <r>
    <d v="2026-01-12T11:47:00"/>
    <x v="1"/>
    <x v="2"/>
    <x v="0"/>
    <x v="0"/>
    <x v="0"/>
    <x v="0"/>
    <x v="1"/>
    <n v="3"/>
    <n v="3"/>
    <n v="5"/>
    <n v="6"/>
    <n v="4"/>
    <n v="5"/>
    <n v="5"/>
    <n v="5"/>
    <n v="5"/>
  </r>
  <r>
    <d v="2026-01-12T12:11:00"/>
    <x v="1"/>
    <x v="3"/>
    <x v="0"/>
    <x v="0"/>
    <x v="0"/>
    <x v="7"/>
    <x v="0"/>
    <n v="4"/>
    <n v="4"/>
    <n v="5"/>
    <n v="6"/>
    <n v="4"/>
    <n v="5"/>
    <n v="3"/>
    <n v="4"/>
    <n v="5"/>
  </r>
  <r>
    <d v="2026-01-12T12:12:00"/>
    <x v="0"/>
    <x v="2"/>
    <x v="0"/>
    <x v="0"/>
    <x v="0"/>
    <x v="4"/>
    <x v="1"/>
    <n v="7"/>
    <n v="7"/>
    <n v="9"/>
    <n v="9"/>
    <n v="8"/>
    <n v="9"/>
    <n v="7"/>
    <n v="9"/>
    <n v="9"/>
  </r>
  <r>
    <d v="2026-01-12T12:13:00"/>
    <x v="1"/>
    <x v="1"/>
    <x v="0"/>
    <x v="1"/>
    <x v="0"/>
    <x v="3"/>
    <x v="0"/>
    <n v="6"/>
    <n v="6"/>
    <n v="8"/>
    <n v="8"/>
    <n v="6"/>
    <n v="7"/>
    <n v="6"/>
    <n v="7"/>
    <n v="7"/>
  </r>
  <r>
    <d v="2026-01-12T12:14:00"/>
    <x v="0"/>
    <x v="4"/>
    <x v="0"/>
    <x v="1"/>
    <x v="1"/>
    <x v="6"/>
    <x v="2"/>
    <n v="2"/>
    <n v="2"/>
    <n v="3"/>
    <n v="5"/>
    <n v="1"/>
    <n v="1"/>
    <n v="1"/>
    <n v="3"/>
    <n v="1"/>
  </r>
  <r>
    <d v="2026-01-12T12:20:00"/>
    <x v="1"/>
    <x v="2"/>
    <x v="0"/>
    <x v="0"/>
    <x v="0"/>
    <x v="0"/>
    <x v="1"/>
    <n v="7"/>
    <n v="7"/>
    <n v="8"/>
    <n v="10"/>
    <n v="9"/>
    <n v="10"/>
    <n v="8"/>
    <n v="8"/>
    <n v="10"/>
  </r>
  <r>
    <d v="2026-01-12T12:21:00"/>
    <x v="0"/>
    <x v="0"/>
    <x v="0"/>
    <x v="0"/>
    <x v="0"/>
    <x v="4"/>
    <x v="1"/>
    <n v="4"/>
    <n v="5"/>
    <n v="5"/>
    <n v="6"/>
    <n v="5"/>
    <n v="6"/>
    <n v="5"/>
    <n v="5"/>
    <n v="6"/>
  </r>
  <r>
    <d v="2026-01-12T12:22:00"/>
    <x v="1"/>
    <x v="3"/>
    <x v="0"/>
    <x v="0"/>
    <x v="0"/>
    <x v="7"/>
    <x v="1"/>
    <n v="7"/>
    <n v="8"/>
    <n v="7"/>
    <n v="7"/>
    <n v="6"/>
    <n v="8"/>
    <n v="6"/>
    <n v="8"/>
    <n v="8"/>
  </r>
  <r>
    <d v="2026-01-12T12:23:00"/>
    <x v="1"/>
    <x v="2"/>
    <x v="0"/>
    <x v="0"/>
    <x v="0"/>
    <x v="0"/>
    <x v="1"/>
    <n v="8"/>
    <n v="8"/>
    <n v="9"/>
    <n v="9"/>
    <n v="8"/>
    <n v="9"/>
    <n v="10"/>
    <n v="9"/>
    <n v="10"/>
  </r>
  <r>
    <d v="2026-01-12T12:23:00"/>
    <x v="0"/>
    <x v="2"/>
    <x v="0"/>
    <x v="0"/>
    <x v="0"/>
    <x v="0"/>
    <x v="1"/>
    <n v="7"/>
    <n v="7"/>
    <n v="8"/>
    <n v="8"/>
    <n v="6"/>
    <n v="7"/>
    <n v="6"/>
    <n v="6"/>
    <n v="7"/>
  </r>
  <r>
    <d v="2026-01-12T14:12:00"/>
    <x v="1"/>
    <x v="0"/>
    <x v="0"/>
    <x v="0"/>
    <x v="0"/>
    <x v="0"/>
    <x v="1"/>
    <n v="7"/>
    <n v="8"/>
    <n v="8"/>
    <n v="8"/>
    <n v="5"/>
    <n v="8"/>
    <n v="5"/>
    <n v="8"/>
    <n v="8"/>
  </r>
  <r>
    <d v="2026-01-12T14:13:00"/>
    <x v="0"/>
    <x v="2"/>
    <x v="0"/>
    <x v="0"/>
    <x v="0"/>
    <x v="2"/>
    <x v="1"/>
    <n v="8"/>
    <n v="8"/>
    <n v="8"/>
    <n v="9"/>
    <n v="8"/>
    <n v="8"/>
    <n v="7"/>
    <n v="7"/>
    <n v="8"/>
  </r>
  <r>
    <d v="2026-01-12T14:14:00"/>
    <x v="1"/>
    <x v="2"/>
    <x v="0"/>
    <x v="0"/>
    <x v="0"/>
    <x v="2"/>
    <x v="1"/>
    <n v="5"/>
    <n v="5"/>
    <n v="6"/>
    <n v="7"/>
    <n v="5"/>
    <n v="8"/>
    <n v="6"/>
    <n v="6"/>
    <n v="7"/>
  </r>
  <r>
    <d v="2026-01-12T14:15:00"/>
    <x v="1"/>
    <x v="0"/>
    <x v="0"/>
    <x v="0"/>
    <x v="0"/>
    <x v="0"/>
    <x v="1"/>
    <n v="7"/>
    <n v="7"/>
    <n v="8"/>
    <n v="7"/>
    <n v="8"/>
    <n v="8"/>
    <n v="8"/>
    <n v="7"/>
    <n v="8"/>
  </r>
  <r>
    <d v="2026-01-12T14:16:00"/>
    <x v="1"/>
    <x v="3"/>
    <x v="0"/>
    <x v="1"/>
    <x v="0"/>
    <x v="1"/>
    <x v="4"/>
    <n v="7"/>
    <n v="7"/>
    <n v="5"/>
    <n v="8"/>
    <n v="6"/>
    <n v="5"/>
    <n v="5"/>
    <n v="6"/>
    <n v="5"/>
  </r>
  <r>
    <d v="2026-01-12T14:28:00"/>
    <x v="0"/>
    <x v="0"/>
    <x v="0"/>
    <x v="0"/>
    <x v="0"/>
    <x v="0"/>
    <x v="1"/>
    <n v="7"/>
    <n v="7"/>
    <n v="5"/>
    <n v="8"/>
    <n v="7"/>
    <n v="7"/>
    <n v="6"/>
    <n v="7"/>
    <n v="7"/>
  </r>
  <r>
    <d v="2026-01-12T14:29:00"/>
    <x v="0"/>
    <x v="3"/>
    <x v="0"/>
    <x v="0"/>
    <x v="0"/>
    <x v="7"/>
    <x v="0"/>
    <n v="9"/>
    <n v="8"/>
    <n v="8"/>
    <n v="9"/>
    <n v="7"/>
    <n v="8"/>
    <n v="7"/>
    <n v="7"/>
    <n v="8"/>
  </r>
  <r>
    <d v="2026-01-12T14:33:00"/>
    <x v="0"/>
    <x v="0"/>
    <x v="0"/>
    <x v="0"/>
    <x v="0"/>
    <x v="4"/>
    <x v="1"/>
    <n v="8"/>
    <n v="8"/>
    <n v="7"/>
    <n v="8"/>
    <n v="6"/>
    <n v="8"/>
    <n v="6"/>
    <n v="6"/>
    <n v="8"/>
  </r>
  <r>
    <d v="2026-01-12T15:39:00"/>
    <x v="0"/>
    <x v="0"/>
    <x v="0"/>
    <x v="0"/>
    <x v="0"/>
    <x v="4"/>
    <x v="1"/>
    <n v="8"/>
    <n v="8"/>
    <n v="7"/>
    <n v="7"/>
    <n v="6"/>
    <n v="7"/>
    <n v="6"/>
    <n v="6"/>
    <n v="7"/>
  </r>
  <r>
    <d v="2026-01-12T15:42:00"/>
    <x v="0"/>
    <x v="0"/>
    <x v="0"/>
    <x v="0"/>
    <x v="0"/>
    <x v="4"/>
    <x v="1"/>
    <n v="4"/>
    <n v="4"/>
    <n v="5"/>
    <n v="7"/>
    <n v="5"/>
    <n v="6"/>
    <n v="6"/>
    <n v="6"/>
    <n v="6"/>
  </r>
  <r>
    <d v="2026-01-12T15:42:00"/>
    <x v="0"/>
    <x v="0"/>
    <x v="0"/>
    <x v="0"/>
    <x v="0"/>
    <x v="7"/>
    <x v="1"/>
    <n v="7"/>
    <n v="7"/>
    <n v="8"/>
    <n v="8"/>
    <n v="7"/>
    <n v="7"/>
    <n v="8"/>
    <n v="7"/>
    <n v="8"/>
  </r>
  <r>
    <d v="2026-01-12T15:43:00"/>
    <x v="0"/>
    <x v="3"/>
    <x v="0"/>
    <x v="0"/>
    <x v="0"/>
    <x v="5"/>
    <x v="4"/>
    <n v="8"/>
    <n v="8"/>
    <n v="6"/>
    <n v="7"/>
    <n v="6"/>
    <n v="7"/>
    <n v="5"/>
    <n v="7"/>
    <n v="7"/>
  </r>
  <r>
    <d v="2026-01-12T16:48:00"/>
    <x v="0"/>
    <x v="3"/>
    <x v="0"/>
    <x v="0"/>
    <x v="0"/>
    <x v="7"/>
    <x v="0"/>
    <n v="6"/>
    <n v="6"/>
    <n v="8"/>
    <n v="7"/>
    <n v="7"/>
    <n v="7"/>
    <n v="5"/>
    <n v="6"/>
    <n v="7"/>
  </r>
  <r>
    <d v="2026-01-12T16:49:00"/>
    <x v="1"/>
    <x v="1"/>
    <x v="0"/>
    <x v="0"/>
    <x v="0"/>
    <x v="3"/>
    <x v="3"/>
    <n v="7"/>
    <n v="7"/>
    <n v="8"/>
    <n v="8"/>
    <n v="6"/>
    <n v="7"/>
    <n v="5"/>
    <n v="7"/>
    <n v="7"/>
  </r>
  <r>
    <d v="2026-01-12T16:50:00"/>
    <x v="0"/>
    <x v="2"/>
    <x v="0"/>
    <x v="0"/>
    <x v="0"/>
    <x v="0"/>
    <x v="1"/>
    <n v="9"/>
    <n v="9"/>
    <n v="10"/>
    <n v="10"/>
    <n v="9"/>
    <n v="10"/>
    <n v="8"/>
    <n v="8"/>
    <n v="9"/>
  </r>
  <r>
    <d v="2026-01-12T17:17:00"/>
    <x v="1"/>
    <x v="2"/>
    <x v="0"/>
    <x v="0"/>
    <x v="0"/>
    <x v="0"/>
    <x v="1"/>
    <n v="7"/>
    <n v="8"/>
    <n v="8"/>
    <n v="9"/>
    <n v="8"/>
    <n v="10"/>
    <n v="8"/>
    <n v="8"/>
    <n v="9"/>
  </r>
  <r>
    <d v="2026-01-12T18:05:00"/>
    <x v="1"/>
    <x v="2"/>
    <x v="0"/>
    <x v="0"/>
    <x v="0"/>
    <x v="0"/>
    <x v="1"/>
    <n v="7"/>
    <n v="7"/>
    <n v="8"/>
    <n v="10"/>
    <n v="9"/>
    <n v="10"/>
    <n v="8"/>
    <n v="8"/>
    <n v="10"/>
  </r>
  <r>
    <d v="2026-01-12T18:28:00"/>
    <x v="1"/>
    <x v="0"/>
    <x v="0"/>
    <x v="0"/>
    <x v="0"/>
    <x v="7"/>
    <x v="1"/>
    <n v="9"/>
    <n v="9"/>
    <n v="8"/>
    <n v="9"/>
    <n v="8"/>
    <n v="8"/>
    <n v="7"/>
    <n v="7"/>
    <n v="8"/>
  </r>
  <r>
    <d v="2026-01-12T18:29:00"/>
    <x v="0"/>
    <x v="2"/>
    <x v="0"/>
    <x v="0"/>
    <x v="0"/>
    <x v="0"/>
    <x v="1"/>
    <n v="7"/>
    <n v="7"/>
    <n v="7"/>
    <n v="8"/>
    <n v="7"/>
    <n v="9"/>
    <n v="8"/>
    <n v="8"/>
    <n v="8"/>
  </r>
  <r>
    <d v="2026-01-12T18:30:00"/>
    <x v="0"/>
    <x v="0"/>
    <x v="0"/>
    <x v="0"/>
    <x v="0"/>
    <x v="4"/>
    <x v="0"/>
    <n v="4"/>
    <n v="5"/>
    <n v="6"/>
    <n v="7"/>
    <n v="7"/>
    <n v="6"/>
    <n v="4"/>
    <n v="6"/>
    <n v="7"/>
  </r>
  <r>
    <d v="2026-01-12T21:27:00"/>
    <x v="1"/>
    <x v="0"/>
    <x v="0"/>
    <x v="0"/>
    <x v="0"/>
    <x v="4"/>
    <x v="1"/>
    <n v="9"/>
    <n v="8"/>
    <n v="8"/>
    <n v="8"/>
    <n v="7"/>
    <n v="7"/>
    <n v="6"/>
    <n v="7"/>
    <n v="8"/>
  </r>
  <r>
    <d v="2026-01-12T21:28:00"/>
    <x v="0"/>
    <x v="2"/>
    <x v="0"/>
    <x v="0"/>
    <x v="0"/>
    <x v="2"/>
    <x v="1"/>
    <n v="7"/>
    <n v="7"/>
    <n v="8"/>
    <n v="9"/>
    <n v="7"/>
    <n v="10"/>
    <n v="8"/>
    <n v="8"/>
    <n v="10"/>
  </r>
  <r>
    <d v="2026-01-12T21:29:00"/>
    <x v="0"/>
    <x v="2"/>
    <x v="0"/>
    <x v="0"/>
    <x v="0"/>
    <x v="0"/>
    <x v="1"/>
    <n v="3"/>
    <n v="3"/>
    <n v="5"/>
    <n v="6"/>
    <n v="5"/>
    <n v="6"/>
    <n v="4"/>
    <n v="6"/>
    <n v="6"/>
  </r>
  <r>
    <d v="2026-01-12T21:36:00"/>
    <x v="1"/>
    <x v="0"/>
    <x v="0"/>
    <x v="0"/>
    <x v="0"/>
    <x v="7"/>
    <x v="0"/>
    <n v="8"/>
    <n v="8"/>
    <n v="5"/>
    <n v="7"/>
    <n v="5"/>
    <n v="8"/>
    <n v="5"/>
    <n v="7"/>
    <n v="8"/>
  </r>
  <r>
    <d v="2026-01-12T21:37:00"/>
    <x v="1"/>
    <x v="3"/>
    <x v="0"/>
    <x v="0"/>
    <x v="0"/>
    <x v="4"/>
    <x v="0"/>
    <n v="4"/>
    <n v="5"/>
    <n v="5"/>
    <n v="7"/>
    <n v="5"/>
    <n v="7"/>
    <n v="5"/>
    <n v="6"/>
    <n v="7"/>
  </r>
  <r>
    <d v="2026-01-12T21:38:00"/>
    <x v="0"/>
    <x v="0"/>
    <x v="0"/>
    <x v="0"/>
    <x v="0"/>
    <x v="5"/>
    <x v="1"/>
    <n v="9"/>
    <n v="9"/>
    <n v="8"/>
    <n v="9"/>
    <n v="9"/>
    <n v="7"/>
    <n v="7"/>
    <n v="7"/>
    <n v="7"/>
  </r>
  <r>
    <d v="2026-01-12T21:41:00"/>
    <x v="1"/>
    <x v="3"/>
    <x v="0"/>
    <x v="1"/>
    <x v="0"/>
    <x v="1"/>
    <x v="0"/>
    <n v="7"/>
    <n v="8"/>
    <n v="8"/>
    <n v="8"/>
    <n v="5"/>
    <n v="6"/>
    <n v="5"/>
    <n v="6"/>
    <n v="6"/>
  </r>
  <r>
    <d v="2026-01-12T21:43:00"/>
    <x v="0"/>
    <x v="2"/>
    <x v="0"/>
    <x v="0"/>
    <x v="0"/>
    <x v="0"/>
    <x v="1"/>
    <n v="8"/>
    <n v="9"/>
    <n v="8"/>
    <n v="8"/>
    <n v="9"/>
    <n v="10"/>
    <n v="10"/>
    <n v="9"/>
    <n v="10"/>
  </r>
  <r>
    <d v="2026-01-12T21:43:00"/>
    <x v="0"/>
    <x v="0"/>
    <x v="0"/>
    <x v="1"/>
    <x v="0"/>
    <x v="7"/>
    <x v="4"/>
    <n v="7"/>
    <n v="7"/>
    <n v="8"/>
    <n v="8"/>
    <n v="6"/>
    <n v="8"/>
    <n v="6"/>
    <n v="7"/>
    <n v="8"/>
  </r>
  <r>
    <d v="2026-01-12T21:47:00"/>
    <x v="1"/>
    <x v="0"/>
    <x v="0"/>
    <x v="0"/>
    <x v="0"/>
    <x v="0"/>
    <x v="1"/>
    <n v="6"/>
    <n v="6"/>
    <n v="8"/>
    <n v="9"/>
    <n v="8"/>
    <n v="8"/>
    <n v="5"/>
    <n v="7"/>
    <n v="8"/>
  </r>
  <r>
    <d v="2026-01-12T21:48:00"/>
    <x v="1"/>
    <x v="2"/>
    <x v="0"/>
    <x v="0"/>
    <x v="0"/>
    <x v="4"/>
    <x v="1"/>
    <n v="6"/>
    <n v="7"/>
    <n v="7"/>
    <n v="9"/>
    <n v="7"/>
    <n v="9"/>
    <n v="9"/>
    <n v="9"/>
    <n v="9"/>
  </r>
  <r>
    <d v="2026-01-12T21:49:00"/>
    <x v="1"/>
    <x v="1"/>
    <x v="0"/>
    <x v="1"/>
    <x v="0"/>
    <x v="1"/>
    <x v="2"/>
    <n v="4"/>
    <n v="4"/>
    <n v="5"/>
    <n v="5"/>
    <n v="5"/>
    <n v="4"/>
    <n v="5"/>
    <n v="6"/>
    <n v="5"/>
  </r>
  <r>
    <d v="2026-01-12T21:50:00"/>
    <x v="0"/>
    <x v="3"/>
    <x v="0"/>
    <x v="0"/>
    <x v="0"/>
    <x v="5"/>
    <x v="4"/>
    <n v="6"/>
    <n v="6"/>
    <n v="8"/>
    <n v="8"/>
    <n v="6"/>
    <n v="7"/>
    <n v="5"/>
    <n v="6"/>
    <n v="6"/>
  </r>
  <r>
    <d v="2026-01-12T21:51:00"/>
    <x v="0"/>
    <x v="3"/>
    <x v="0"/>
    <x v="0"/>
    <x v="0"/>
    <x v="3"/>
    <x v="4"/>
    <n v="8"/>
    <n v="8"/>
    <n v="9"/>
    <n v="9"/>
    <n v="5"/>
    <n v="5"/>
    <n v="5"/>
    <n v="6"/>
    <n v="5"/>
  </r>
  <r>
    <d v="2026-01-12T22:35:00"/>
    <x v="0"/>
    <x v="3"/>
    <x v="0"/>
    <x v="0"/>
    <x v="0"/>
    <x v="5"/>
    <x v="0"/>
    <n v="6"/>
    <n v="6"/>
    <n v="7"/>
    <n v="7"/>
    <n v="6"/>
    <n v="6"/>
    <n v="6"/>
    <n v="6"/>
    <n v="6"/>
  </r>
  <r>
    <d v="2026-01-12T23:15:00"/>
    <x v="0"/>
    <x v="3"/>
    <x v="0"/>
    <x v="0"/>
    <x v="0"/>
    <x v="1"/>
    <x v="0"/>
    <n v="8"/>
    <n v="8"/>
    <n v="8"/>
    <n v="8"/>
    <n v="7"/>
    <n v="6"/>
    <n v="6"/>
    <n v="5"/>
    <n v="7"/>
  </r>
  <r>
    <d v="2026-01-13T06:45:00"/>
    <x v="0"/>
    <x v="0"/>
    <x v="0"/>
    <x v="0"/>
    <x v="0"/>
    <x v="4"/>
    <x v="1"/>
    <n v="6"/>
    <n v="6"/>
    <n v="5"/>
    <n v="7"/>
    <n v="6"/>
    <n v="7"/>
    <n v="5"/>
    <n v="6"/>
    <n v="7"/>
  </r>
  <r>
    <d v="2026-01-13T08:14:00"/>
    <x v="1"/>
    <x v="0"/>
    <x v="0"/>
    <x v="0"/>
    <x v="0"/>
    <x v="0"/>
    <x v="1"/>
    <n v="7"/>
    <n v="8"/>
    <n v="7"/>
    <n v="7"/>
    <n v="8"/>
    <n v="9"/>
    <n v="7"/>
    <n v="7"/>
    <n v="8"/>
  </r>
  <r>
    <d v="2026-01-13T08:15:00"/>
    <x v="0"/>
    <x v="2"/>
    <x v="0"/>
    <x v="0"/>
    <x v="0"/>
    <x v="4"/>
    <x v="1"/>
    <n v="6"/>
    <n v="7"/>
    <n v="5"/>
    <n v="8"/>
    <n v="7"/>
    <n v="7"/>
    <n v="7"/>
    <n v="7"/>
    <n v="8"/>
  </r>
  <r>
    <d v="2026-01-13T08:17:00"/>
    <x v="0"/>
    <x v="2"/>
    <x v="0"/>
    <x v="0"/>
    <x v="0"/>
    <x v="0"/>
    <x v="1"/>
    <n v="8"/>
    <n v="8"/>
    <n v="9"/>
    <n v="9"/>
    <n v="7"/>
    <n v="9"/>
    <n v="7"/>
    <n v="7"/>
    <n v="9"/>
  </r>
  <r>
    <d v="2026-01-13T08:31:00"/>
    <x v="1"/>
    <x v="2"/>
    <x v="0"/>
    <x v="0"/>
    <x v="0"/>
    <x v="4"/>
    <x v="1"/>
    <n v="8"/>
    <n v="8"/>
    <n v="5"/>
    <n v="8"/>
    <n v="6"/>
    <n v="9"/>
    <n v="5"/>
    <n v="7"/>
    <n v="8"/>
  </r>
  <r>
    <d v="2026-01-13T08:53:00"/>
    <x v="1"/>
    <x v="2"/>
    <x v="0"/>
    <x v="2"/>
    <x v="0"/>
    <x v="0"/>
    <x v="1"/>
    <n v="9"/>
    <n v="9"/>
    <n v="8"/>
    <n v="9"/>
    <n v="8"/>
    <n v="10"/>
    <n v="8"/>
    <n v="8"/>
    <n v="10"/>
  </r>
  <r>
    <d v="2026-01-13T08:54:00"/>
    <x v="0"/>
    <x v="2"/>
    <x v="0"/>
    <x v="0"/>
    <x v="0"/>
    <x v="4"/>
    <x v="0"/>
    <n v="5"/>
    <n v="5"/>
    <n v="4"/>
    <n v="8"/>
    <n v="4"/>
    <n v="8"/>
    <n v="4"/>
    <n v="5"/>
    <n v="7"/>
  </r>
  <r>
    <d v="2026-01-13T08:55:00"/>
    <x v="1"/>
    <x v="4"/>
    <x v="0"/>
    <x v="1"/>
    <x v="0"/>
    <x v="3"/>
    <x v="4"/>
    <n v="1"/>
    <n v="1"/>
    <n v="4"/>
    <n v="5"/>
    <n v="5"/>
    <n v="4"/>
    <n v="4"/>
    <n v="5"/>
    <n v="3"/>
  </r>
  <r>
    <d v="2026-01-13T09:20:00"/>
    <x v="1"/>
    <x v="2"/>
    <x v="0"/>
    <x v="0"/>
    <x v="0"/>
    <x v="2"/>
    <x v="1"/>
    <n v="7"/>
    <n v="7"/>
    <n v="7"/>
    <n v="9"/>
    <n v="8"/>
    <n v="10"/>
    <n v="8"/>
    <n v="7"/>
    <n v="10"/>
  </r>
  <r>
    <d v="2026-01-13T09:45:00"/>
    <x v="1"/>
    <x v="1"/>
    <x v="0"/>
    <x v="0"/>
    <x v="0"/>
    <x v="5"/>
    <x v="4"/>
    <n v="3"/>
    <n v="3"/>
    <n v="4"/>
    <n v="6"/>
    <n v="4"/>
    <n v="5"/>
    <n v="4"/>
    <n v="5"/>
    <n v="5"/>
  </r>
  <r>
    <d v="2026-01-13T09:46:00"/>
    <x v="0"/>
    <x v="0"/>
    <x v="0"/>
    <x v="1"/>
    <x v="0"/>
    <x v="7"/>
    <x v="1"/>
    <n v="8"/>
    <n v="8"/>
    <n v="9"/>
    <n v="8"/>
    <n v="7"/>
    <n v="8"/>
    <n v="7"/>
    <n v="7"/>
    <n v="8"/>
  </r>
  <r>
    <d v="2026-01-13T10:21:00"/>
    <x v="1"/>
    <x v="3"/>
    <x v="0"/>
    <x v="0"/>
    <x v="0"/>
    <x v="1"/>
    <x v="4"/>
    <n v="5"/>
    <n v="5"/>
    <n v="5"/>
    <n v="5"/>
    <n v="5"/>
    <n v="5"/>
    <n v="5"/>
    <n v="5"/>
    <n v="5"/>
  </r>
  <r>
    <d v="2026-01-13T11:02:00"/>
    <x v="1"/>
    <x v="2"/>
    <x v="0"/>
    <x v="0"/>
    <x v="0"/>
    <x v="0"/>
    <x v="1"/>
    <n v="7"/>
    <n v="7"/>
    <n v="5"/>
    <n v="8"/>
    <n v="6"/>
    <n v="8"/>
    <n v="5"/>
    <n v="5"/>
    <n v="8"/>
  </r>
  <r>
    <d v="2026-01-13T11:10:00"/>
    <x v="1"/>
    <x v="0"/>
    <x v="0"/>
    <x v="0"/>
    <x v="0"/>
    <x v="4"/>
    <x v="1"/>
    <n v="6"/>
    <n v="8"/>
    <n v="7"/>
    <n v="8"/>
    <n v="6"/>
    <n v="8"/>
    <n v="5"/>
    <n v="5"/>
    <n v="8"/>
  </r>
  <r>
    <d v="2026-01-13T11:11:00"/>
    <x v="0"/>
    <x v="1"/>
    <x v="0"/>
    <x v="1"/>
    <x v="0"/>
    <x v="5"/>
    <x v="2"/>
    <n v="10"/>
    <n v="10"/>
    <n v="5"/>
    <n v="9"/>
    <n v="7"/>
    <n v="8"/>
    <n v="5"/>
    <n v="5"/>
    <n v="8"/>
  </r>
  <r>
    <d v="2026-01-13T11:12:00"/>
    <x v="1"/>
    <x v="0"/>
    <x v="0"/>
    <x v="0"/>
    <x v="0"/>
    <x v="0"/>
    <x v="1"/>
    <n v="4"/>
    <n v="5"/>
    <n v="7"/>
    <n v="7"/>
    <n v="5"/>
    <n v="7"/>
    <n v="5"/>
    <n v="5"/>
    <n v="7"/>
  </r>
  <r>
    <d v="2026-01-13T11:13:00"/>
    <x v="0"/>
    <x v="5"/>
    <x v="0"/>
    <x v="1"/>
    <x v="0"/>
    <x v="6"/>
    <x v="3"/>
    <n v="2"/>
    <n v="3"/>
    <n v="3"/>
    <n v="6"/>
    <n v="5"/>
    <n v="5"/>
    <n v="5"/>
    <n v="5"/>
    <n v="5"/>
  </r>
  <r>
    <d v="2026-01-13T11:14:00"/>
    <x v="0"/>
    <x v="3"/>
    <x v="0"/>
    <x v="0"/>
    <x v="0"/>
    <x v="7"/>
    <x v="4"/>
    <n v="7"/>
    <n v="7"/>
    <n v="5"/>
    <n v="8"/>
    <n v="7"/>
    <n v="7"/>
    <n v="5"/>
    <n v="6"/>
    <n v="7"/>
  </r>
  <r>
    <d v="2026-01-13T11:26:00"/>
    <x v="1"/>
    <x v="0"/>
    <x v="0"/>
    <x v="0"/>
    <x v="0"/>
    <x v="2"/>
    <x v="0"/>
    <n v="9"/>
    <n v="9"/>
    <n v="9"/>
    <n v="7"/>
    <n v="8"/>
    <n v="6"/>
    <n v="8"/>
    <n v="10"/>
    <n v="10"/>
  </r>
  <r>
    <d v="2026-01-13T12:38:00"/>
    <x v="1"/>
    <x v="4"/>
    <x v="0"/>
    <x v="0"/>
    <x v="0"/>
    <x v="5"/>
    <x v="0"/>
    <n v="7"/>
    <n v="7"/>
    <n v="5"/>
    <n v="7"/>
    <n v="5"/>
    <n v="6"/>
    <n v="5"/>
    <n v="6"/>
    <n v="6"/>
  </r>
  <r>
    <d v="2026-01-13T12:39:00"/>
    <x v="0"/>
    <x v="3"/>
    <x v="0"/>
    <x v="2"/>
    <x v="0"/>
    <x v="7"/>
    <x v="0"/>
    <n v="2"/>
    <n v="2"/>
    <n v="4"/>
    <n v="5"/>
    <n v="5"/>
    <n v="3"/>
    <n v="5"/>
    <n v="5"/>
    <n v="5"/>
  </r>
  <r>
    <d v="2026-01-13T12:40:00"/>
    <x v="0"/>
    <x v="0"/>
    <x v="0"/>
    <x v="0"/>
    <x v="0"/>
    <x v="7"/>
    <x v="1"/>
    <n v="8"/>
    <n v="8"/>
    <n v="7"/>
    <n v="7"/>
    <n v="7"/>
    <n v="8"/>
    <n v="7"/>
    <n v="8"/>
    <n v="8"/>
  </r>
  <r>
    <d v="2026-01-13T12:40:00"/>
    <x v="0"/>
    <x v="2"/>
    <x v="0"/>
    <x v="0"/>
    <x v="0"/>
    <x v="2"/>
    <x v="1"/>
    <n v="9"/>
    <n v="9"/>
    <n v="8"/>
    <n v="9"/>
    <n v="7"/>
    <n v="9"/>
    <n v="8"/>
    <n v="8"/>
    <n v="8"/>
  </r>
  <r>
    <d v="2026-01-13T12:41:00"/>
    <x v="0"/>
    <x v="0"/>
    <x v="0"/>
    <x v="1"/>
    <x v="0"/>
    <x v="7"/>
    <x v="1"/>
    <n v="7"/>
    <n v="7"/>
    <n v="5"/>
    <n v="8"/>
    <n v="7"/>
    <n v="8"/>
    <n v="6"/>
    <n v="6"/>
    <n v="8"/>
  </r>
  <r>
    <d v="2026-01-13T12:42:00"/>
    <x v="0"/>
    <x v="1"/>
    <x v="0"/>
    <x v="0"/>
    <x v="0"/>
    <x v="5"/>
    <x v="2"/>
    <n v="8"/>
    <n v="9"/>
    <n v="8"/>
    <n v="8"/>
    <n v="7"/>
    <n v="7"/>
    <n v="7"/>
    <n v="7"/>
    <n v="8"/>
  </r>
  <r>
    <d v="2026-01-13T12:42:00"/>
    <x v="0"/>
    <x v="0"/>
    <x v="1"/>
    <x v="0"/>
    <x v="0"/>
    <x v="0"/>
    <x v="1"/>
    <n v="4"/>
    <n v="4"/>
    <n v="3"/>
    <n v="5"/>
    <n v="5"/>
    <n v="2"/>
    <n v="2"/>
    <n v="5"/>
    <n v="2"/>
  </r>
  <r>
    <d v="2026-01-13T12:47:00"/>
    <x v="1"/>
    <x v="5"/>
    <x v="0"/>
    <x v="1"/>
    <x v="0"/>
    <x v="6"/>
    <x v="3"/>
    <n v="7"/>
    <n v="7"/>
    <n v="4"/>
    <n v="6"/>
    <n v="5"/>
    <n v="4"/>
    <n v="5"/>
    <n v="5"/>
    <n v="5"/>
  </r>
  <r>
    <d v="2026-01-13T12:49:00"/>
    <x v="0"/>
    <x v="0"/>
    <x v="0"/>
    <x v="0"/>
    <x v="0"/>
    <x v="7"/>
    <x v="1"/>
    <n v="7"/>
    <n v="7"/>
    <n v="7"/>
    <n v="7"/>
    <n v="7"/>
    <n v="7"/>
    <n v="7"/>
    <n v="7"/>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83461E-472F-43B8-8D13-C1279CB5C86C}" name="PivotTable1" cacheId="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Age">
  <location ref="E19:F26" firstHeaderRow="1" firstDataRow="1" firstDataCol="1"/>
  <pivotFields count="17">
    <pivotField numFmtId="22" showAll="0"/>
    <pivotField showAll="0">
      <items count="3">
        <item n="Male" x="1"/>
        <item n="Female" x="0"/>
        <item t="default"/>
      </items>
    </pivotField>
    <pivotField axis="axisRow" dataField="1" showAll="0">
      <items count="7">
        <item x="2"/>
        <item x="0"/>
        <item x="3"/>
        <item x="1"/>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Count of Độ tuổi của bạn:"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81148C-B28B-422A-BC57-6EC5F37C1202}" name="PivotTable2" cacheId="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Region">
  <location ref="E72:F76" firstHeaderRow="1" firstDataRow="1" firstDataCol="1"/>
  <pivotFields count="17">
    <pivotField numFmtId="22" showAll="0"/>
    <pivotField showAll="0">
      <items count="3">
        <item n="Male" x="1"/>
        <item n="Female" x="0"/>
        <item t="default"/>
      </items>
    </pivotField>
    <pivotField showAll="0"/>
    <pivotField showAll="0">
      <items count="3">
        <item x="1"/>
        <item x="0"/>
        <item t="default"/>
      </items>
    </pivotField>
    <pivotField showAll="0"/>
    <pivotField axis="axisRow" showAll="0">
      <items count="4">
        <item x="2"/>
        <item x="0"/>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Sum of Các thủ tục khai báo thuế VÀ/HOẶC quy trình làm việc với cơ quan thuế đơn giản, tiện lợi, nhanh chóng hơn so với trước đây. - HUMAN-FAC1"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E1CBA6-78F3-4540-9169-600D9C7488DB}" name="PivotTable22" cacheId="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Gender">
  <location ref="E13:F16" firstHeaderRow="1" firstDataRow="1" firstDataCol="1"/>
  <pivotFields count="17">
    <pivotField numFmtId="22" showAll="0"/>
    <pivotField axis="axisRow" dataField="1" showAll="0">
      <items count="3">
        <item n="Male" x="1"/>
        <item n="Female"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Number of participant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B8394B-9564-4159-93E1-514FDC0C4D6C}" name="PivotTable4" cacheId="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Employment">
  <location ref="E43:F47" firstHeaderRow="1" firstDataRow="1" firstDataCol="1"/>
  <pivotFields count="17">
    <pivotField numFmtId="22" showAll="0"/>
    <pivotField showAll="0">
      <items count="3">
        <item n="Male" x="1"/>
        <item n="Female" x="0"/>
        <item t="default"/>
      </items>
    </pivotField>
    <pivotField showAll="0"/>
    <pivotField showAll="0">
      <items count="3">
        <item x="1"/>
        <item x="0"/>
        <item t="default"/>
      </items>
    </pivotField>
    <pivotField showAll="0"/>
    <pivotField axis="axisRow" dataField="1"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Count of Tình trạng việc làm chính:"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9F2649-C0F1-4050-8DAD-815F1F4344BC}" name="PivotTable5" cacheId="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Income">
  <location ref="E50:F59" firstHeaderRow="1" firstDataRow="1" firstDataCol="1"/>
  <pivotFields count="17">
    <pivotField numFmtId="22" showAll="0"/>
    <pivotField showAll="0">
      <items count="3">
        <item n="Male" x="1"/>
        <item n="Female" x="0"/>
        <item t="default"/>
      </items>
    </pivotField>
    <pivotField showAll="0"/>
    <pivotField showAll="0">
      <items count="3">
        <item x="1"/>
        <item x="0"/>
        <item t="default"/>
      </items>
    </pivotField>
    <pivotField showAll="0"/>
    <pivotField showAll="0">
      <items count="4">
        <item x="2"/>
        <item x="0"/>
        <item x="1"/>
        <item t="default"/>
      </items>
    </pivotField>
    <pivotField axis="axisRow" dataField="1" showAll="0">
      <items count="9">
        <item x="2"/>
        <item x="6"/>
        <item x="0"/>
        <item x="4"/>
        <item x="7"/>
        <item x="5"/>
        <item x="1"/>
        <item x="3"/>
        <item t="default"/>
      </items>
    </pivotField>
    <pivotField showAll="0"/>
    <pivotField showAll="0"/>
    <pivotField showAll="0"/>
    <pivotField showAll="0"/>
    <pivotField showAll="0"/>
    <pivotField showAll="0"/>
    <pivotField showAll="0"/>
    <pivotField showAll="0"/>
    <pivotField showAll="0"/>
    <pivotField showAll="0"/>
  </pivotFields>
  <rowFields count="1">
    <field x="6"/>
  </rowFields>
  <rowItems count="9">
    <i>
      <x/>
    </i>
    <i>
      <x v="1"/>
    </i>
    <i>
      <x v="2"/>
    </i>
    <i>
      <x v="3"/>
    </i>
    <i>
      <x v="4"/>
    </i>
    <i>
      <x v="5"/>
    </i>
    <i>
      <x v="6"/>
    </i>
    <i>
      <x v="7"/>
    </i>
    <i t="grand">
      <x/>
    </i>
  </rowItems>
  <colItems count="1">
    <i/>
  </colItems>
  <dataFields count="1">
    <dataField name="Count of Thu nhập bình quân tháng theo Hợp đồng lao động của bạn là bao nhiêu? (Vui lòng điền tổng thu nhập trước khi khấu trừ các loại Bảo hiểm (BHXH, BHYT, BHTN) và Thuế TNCN)"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D6106A-FD0D-41C0-AF89-0E652424E3AE}" name="PivotTable6" cacheId="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Employment">
  <location ref="E62:F68" firstHeaderRow="1" firstDataRow="1" firstDataCol="1"/>
  <pivotFields count="17">
    <pivotField numFmtId="22" showAll="0"/>
    <pivotField showAll="0">
      <items count="3">
        <item n="Male" x="1"/>
        <item n="Female" x="0"/>
        <item t="default"/>
      </items>
    </pivotField>
    <pivotField showAll="0"/>
    <pivotField showAll="0">
      <items count="3">
        <item x="1"/>
        <item x="0"/>
        <item t="default"/>
      </items>
    </pivotField>
    <pivotField showAll="0"/>
    <pivotField showAll="0">
      <items count="4">
        <item x="2"/>
        <item x="0"/>
        <item x="1"/>
        <item t="default"/>
      </items>
    </pivotField>
    <pivotField showAll="0"/>
    <pivotField axis="axisRow" dataField="1" showAll="0">
      <items count="6">
        <item x="1"/>
        <item x="0"/>
        <item x="4"/>
        <item x="2"/>
        <item x="3"/>
        <item t="default"/>
      </items>
    </pivotField>
    <pivotField showAll="0"/>
    <pivotField showAll="0"/>
    <pivotField showAll="0"/>
    <pivotField showAll="0"/>
    <pivotField showAll="0"/>
    <pivotField showAll="0"/>
    <pivotField showAll="0"/>
    <pivotField showAll="0"/>
    <pivotField showAll="0"/>
  </pivotFields>
  <rowFields count="1">
    <field x="7"/>
  </rowFields>
  <rowItems count="6">
    <i>
      <x/>
    </i>
    <i>
      <x v="1"/>
    </i>
    <i>
      <x v="2"/>
    </i>
    <i>
      <x v="3"/>
    </i>
    <i>
      <x v="4"/>
    </i>
    <i t="grand">
      <x/>
    </i>
  </rowItems>
  <colItems count="1">
    <i/>
  </colItems>
  <dataFields count="1">
    <dataField name="Count of Số người phụ thuộc (con nhỏ, cha mẹ già...) đủ điều kiện giảm trừ gia cảnh:"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D2D31A-578B-4B33-8D72-5456E5725942}" name="PivotTable3" cacheId="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Education">
  <location ref="E35:F40" firstHeaderRow="1" firstDataRow="1" firstDataCol="1"/>
  <pivotFields count="17">
    <pivotField numFmtId="22" showAll="0"/>
    <pivotField showAll="0">
      <items count="3">
        <item n="Male" x="1"/>
        <item n="Female" x="0"/>
        <item t="default"/>
      </items>
    </pivotField>
    <pivotField showAll="0"/>
    <pivotField showAll="0"/>
    <pivotField axis="axisRow" dataField="1" showAll="0">
      <items count="5">
        <item x="2"/>
        <item x="0"/>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Count of Trình độ học vấn cao nhất:"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5" xr16:uid="{8C288689-D8A0-4580-BE45-7D71BEC1B7E4}" autoFormatId="16" applyNumberFormats="0" applyBorderFormats="0" applyFontFormats="0" applyPatternFormats="0" applyAlignmentFormats="0" applyWidthHeightFormats="0">
  <queryTableRefresh nextId="46">
    <queryTableFields count="45">
      <queryTableField id="1" name="Persona_ID" tableColumnId="1"/>
      <queryTableField id="2" name="Used_Seed" tableColumnId="2"/>
      <queryTableField id="3" name="Gender" tableColumnId="3"/>
      <queryTableField id="4" name="Age_Group" tableColumnId="4"/>
      <queryTableField id="5" name="Region" tableColumnId="5"/>
      <queryTableField id="6" name="Education" tableColumnId="6"/>
      <queryTableField id="7" name="Employment" tableColumnId="7"/>
      <queryTableField id="8" name="Income_Mil" tableColumnId="8"/>
      <queryTableField id="9" name="Dependents" tableColumnId="9"/>
      <queryTableField id="10" name="AI_ENF1" tableColumnId="10"/>
      <queryTableField id="11" name="Human_ENF1" tableColumnId="11"/>
      <queryTableField id="12" name="d_ENF1" tableColumnId="12"/>
      <queryTableField id="13" name="AI_ENF2" tableColumnId="13"/>
      <queryTableField id="14" name="Human_ENF2" tableColumnId="14"/>
      <queryTableField id="15" name="d_ENF2" tableColumnId="15"/>
      <queryTableField id="16" name="AI_FAC1" tableColumnId="16"/>
      <queryTableField id="17" name="Human_FAC1" tableColumnId="17"/>
      <queryTableField id="18" name="d_FAC1" tableColumnId="18"/>
      <queryTableField id="19" name="AI_FAC2" tableColumnId="19"/>
      <queryTableField id="20" name="Human_FAC2" tableColumnId="20"/>
      <queryTableField id="21" name="d_FAC2" tableColumnId="21"/>
      <queryTableField id="22" name="AI_TRU1" tableColumnId="22"/>
      <queryTableField id="23" name="Human_TRU1" tableColumnId="23"/>
      <queryTableField id="24" name="d_TRU1" tableColumnId="24"/>
      <queryTableField id="25" name="AI_TRU2" tableColumnId="25"/>
      <queryTableField id="26" name="Human_TRU2" tableColumnId="26"/>
      <queryTableField id="27" name="d_TRU2" tableColumnId="27"/>
      <queryTableField id="28" name="AI_TRU3" tableColumnId="28"/>
      <queryTableField id="29" name="Human_TRU3" tableColumnId="29"/>
      <queryTableField id="30" name="d_TRU3" tableColumnId="30"/>
      <queryTableField id="31" name="AI_TRU4" tableColumnId="31"/>
      <queryTableField id="32" name="Human_TRU4" tableColumnId="32"/>
      <queryTableField id="33" name="d_TRU4" tableColumnId="33"/>
      <queryTableField id="34" name="AI_OUT1" tableColumnId="34"/>
      <queryTableField id="35" name="Human_OUT1" tableColumnId="35"/>
      <queryTableField id="36" name="d_OUT1" tableColumnId="36"/>
      <queryTableField id="37" name="AI_ENF1_Reason" tableColumnId="37"/>
      <queryTableField id="38" name="AI_ENF2_Reason" tableColumnId="38"/>
      <queryTableField id="39" name="AI_FAC1_Reason" tableColumnId="39"/>
      <queryTableField id="40" name="AI_FAC2_Reason" tableColumnId="40"/>
      <queryTableField id="41" name="AI_TRU1_Reason" tableColumnId="41"/>
      <queryTableField id="42" name="AI_TRU2_Reason" tableColumnId="42"/>
      <queryTableField id="43" name="AI_TRU3_Reason" tableColumnId="43"/>
      <queryTableField id="44" name="AI_TRU4_Reason" tableColumnId="44"/>
      <queryTableField id="45" name="AI_OUT1_Reason" tableColumnId="4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0" xr16:uid="{0D6B1F0C-5774-475A-AC4B-AF4E6A8A1A5E}" autoFormatId="16" applyNumberFormats="0" applyBorderFormats="0" applyFontFormats="0" applyPatternFormats="0" applyAlignmentFormats="0" applyWidthHeightFormats="0">
  <queryTableRefresh nextId="18">
    <queryTableFields count="17">
      <queryTableField id="1" name="Timestamp" tableColumnId="1"/>
      <queryTableField id="2" name="Giới tính của bạn:" tableColumnId="2"/>
      <queryTableField id="3" name="Độ tuổi của bạn:" tableColumnId="3"/>
      <queryTableField id="4" name="Khu vực bạn đang sinh sống:" tableColumnId="4"/>
      <queryTableField id="5" name="Trình độ học vấn cao nhất:" tableColumnId="5"/>
      <queryTableField id="6" name="Tình trạng việc làm chính:" tableColumnId="6"/>
      <queryTableField id="7" name="Thu nhập bình quân tháng theo Hợp đồng lao động của bạn là bao nhiêu? (Vui lòng điền tổng thu nhập trước khi khấu trừ các loại Bảo hiểm (BHXH, BHYT, BHTN) và Thuế TNCN)" tableColumnId="7"/>
      <queryTableField id="8" name="Số người phụ thuộc (con nhỏ, cha mẹ già...) đủ điều kiện giảm trừ gia cảnh:" tableColumnId="8"/>
      <queryTableField id="9" name="Tôi tin rằng với các quy định quản lý thuế hiện nay, hành vi gian lận hoặc trốn thuế sẽ dễ dàng bị phát hiện và xử lý nghiêm. - HUMAN-ENF1" tableColumnId="9"/>
      <queryTableField id="10" name="Tôi tin rằng Nhà nước, cơ quan thuế có đủ khả năng và công nghệ để phát hiện, xử lý nghiêm các hành vi trốn thuế. - HUMAN-ENF2" tableColumnId="10"/>
      <queryTableField id="11" name="Các thủ tục khai báo thuế VÀ/HOẶC quy trình làm việc với cơ quan thuế đơn giản, tiện lợi, nhanh chóng hơn so với trước đây. - HUMAN-FAC1" tableColumnId="11"/>
      <queryTableField id="12" name="So với trước đây, tôi thấy cách tính thuế và các bậc thuế trong phương án mới đơn giản, dễ hiểu và dễ thực hiện hơn. - HUMAN-FAC2" tableColumnId="12"/>
      <queryTableField id="13" name="Tôi tin rằng Nhà nước, cơ quan thuế sẽ thực thi chính sách mới một cách khách quan, công tâm và đối xử bình đẳng với mọi người nộp thuế.  - HUMAN-TRU1" tableColumnId="13"/>
      <queryTableField id="14" name="Tôi thấy mức thuế tôi phải đóng theo phương án mới là công bằng (người thu nhập như tôi đóng mức này là hợp lý). - HUMAN-TRU2" tableColumnId="14"/>
      <queryTableField id="15" name="Tôi tin tưởng số tiền thuế tôi đóng sẽ được Nhà nước sử dụng hiệu quả để cải thiện dịch vụ công (y tế, đường xá...). - HUMAN-TRU3" tableColumnId="15"/>
      <queryTableField id="16" name="Tôi thấy Nhà nước đã giải thích rõ ràng, minh bạch về lý do và mục tiêu của việc sửa đổi thuế lần này. - HUMAN-TRU4" tableColumnId="16"/>
      <queryTableField id="17" name="Sau khi xem xét các quyền lợi và nghĩa vụ, bạn có ủng hộ và tuân thủ chính sách mới hiện nay? - HUMAN-OUT1" tableColumnId="1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5B07BC-6C12-4475-AC8C-783D6521EFE7}" name="step3_validation" displayName="step3_validation" ref="A1:AS404" tableType="queryTable" totalsRowShown="0">
  <autoFilter ref="A1:AS404" xr:uid="{0F5B07BC-6C12-4475-AC8C-783D6521EFE7}"/>
  <tableColumns count="45">
    <tableColumn id="1" xr3:uid="{53279836-9FF8-48DE-9590-81540231404C}" uniqueName="1" name="Persona_ID" queryTableFieldId="1"/>
    <tableColumn id="2" xr3:uid="{27B7A919-DF60-469E-910F-C979C929737F}" uniqueName="2" name="Used_Seed" queryTableFieldId="2"/>
    <tableColumn id="3" xr3:uid="{082D90CF-9682-47E0-BB78-3AF5C177F921}" uniqueName="3" name="Gender" queryTableFieldId="3" dataDxfId="21"/>
    <tableColumn id="4" xr3:uid="{017C12BD-CD74-49C6-9D27-807B2BDC9362}" uniqueName="4" name="Age_Group" queryTableFieldId="4" dataDxfId="20"/>
    <tableColumn id="5" xr3:uid="{C2713242-B0FE-431E-B737-5C0CD2717C43}" uniqueName="5" name="Region" queryTableFieldId="5" dataDxfId="19"/>
    <tableColumn id="6" xr3:uid="{E5F27353-47D0-4ADE-9327-26504714A55E}" uniqueName="6" name="Education" queryTableFieldId="6" dataDxfId="18"/>
    <tableColumn id="7" xr3:uid="{E6A982F0-981B-494A-8DCF-355A55AA0B25}" uniqueName="7" name="Employment" queryTableFieldId="7" dataDxfId="17"/>
    <tableColumn id="8" xr3:uid="{B148918C-0ADD-4C65-B814-A9B2E9EEB193}" uniqueName="8" name="Income_Mil" queryTableFieldId="8"/>
    <tableColumn id="9" xr3:uid="{0EA60FEE-F5A5-42D7-8BAC-9EF596AF1ADC}" uniqueName="9" name="Dependents" queryTableFieldId="9"/>
    <tableColumn id="10" xr3:uid="{1A2C1A90-066F-40EB-98B9-13349DE4F0D3}" uniqueName="10" name="AI_ENF1" queryTableFieldId="10"/>
    <tableColumn id="11" xr3:uid="{B3460B37-8A0E-43CF-91C9-39AE8C2CCA22}" uniqueName="11" name="Human_ENF1" queryTableFieldId="11"/>
    <tableColumn id="12" xr3:uid="{E30EADBA-1828-4014-BD2A-DF69C3CA0662}" uniqueName="12" name="d_ENF1" queryTableFieldId="12"/>
    <tableColumn id="13" xr3:uid="{1E206847-FEB6-45BF-B161-AE5A499FC5FD}" uniqueName="13" name="AI_ENF2" queryTableFieldId="13"/>
    <tableColumn id="14" xr3:uid="{10E8DED4-5C91-455D-BADB-81176A6622B9}" uniqueName="14" name="Human_ENF2" queryTableFieldId="14"/>
    <tableColumn id="15" xr3:uid="{7D5C0B3D-6E82-437A-A1AE-29363477A508}" uniqueName="15" name="d_ENF2" queryTableFieldId="15"/>
    <tableColumn id="16" xr3:uid="{6926FC19-316C-4D11-9430-D81D6D2F22EC}" uniqueName="16" name="AI_FAC1" queryTableFieldId="16"/>
    <tableColumn id="17" xr3:uid="{01761D5B-A7FA-4D80-AEF9-75D5FA700327}" uniqueName="17" name="Human_FAC1" queryTableFieldId="17"/>
    <tableColumn id="18" xr3:uid="{02B7C340-518C-431F-9AF1-2A19A5868F74}" uniqueName="18" name="d_FAC1" queryTableFieldId="18"/>
    <tableColumn id="19" xr3:uid="{AB10F9F3-064C-43BA-BA8F-AD223A8CFE0C}" uniqueName="19" name="AI_FAC2" queryTableFieldId="19"/>
    <tableColumn id="20" xr3:uid="{CEB09EC3-FDCA-4050-B150-1C1B6F11105B}" uniqueName="20" name="Human_FAC2" queryTableFieldId="20"/>
    <tableColumn id="21" xr3:uid="{464A3B57-F6F4-43CD-A960-AC2CC3E8ED89}" uniqueName="21" name="d_FAC2" queryTableFieldId="21"/>
    <tableColumn id="22" xr3:uid="{1279FF14-69ED-4B44-8C91-944FD1783B0D}" uniqueName="22" name="AI_TRU1" queryTableFieldId="22"/>
    <tableColumn id="23" xr3:uid="{E9F3B0E7-1180-4C34-99DC-2F99518B7B3F}" uniqueName="23" name="Human_TRU1" queryTableFieldId="23"/>
    <tableColumn id="24" xr3:uid="{B192DE74-A90D-433A-B70F-051EAF9A0E79}" uniqueName="24" name="d_TRU1" queryTableFieldId="24"/>
    <tableColumn id="25" xr3:uid="{3976816D-35C3-451B-9F05-AD7B74C2E8B2}" uniqueName="25" name="AI_TRU2" queryTableFieldId="25"/>
    <tableColumn id="26" xr3:uid="{04A7EAE2-4A81-4808-8893-F4D1BA6FB322}" uniqueName="26" name="Human_TRU2" queryTableFieldId="26"/>
    <tableColumn id="27" xr3:uid="{0E3D25EB-942C-4B84-B9BB-43E127D3051C}" uniqueName="27" name="d_TRU2" queryTableFieldId="27"/>
    <tableColumn id="28" xr3:uid="{1D8A56DF-7B3F-457D-A244-7E9780DD019B}" uniqueName="28" name="AI_TRU3" queryTableFieldId="28"/>
    <tableColumn id="29" xr3:uid="{C5CF3B27-33E7-497E-B63F-FA4469E69F86}" uniqueName="29" name="Human_TRU3" queryTableFieldId="29"/>
    <tableColumn id="30" xr3:uid="{9FD010C6-E64B-45BA-ACCB-3597FB3DC382}" uniqueName="30" name="d_TRU3" queryTableFieldId="30"/>
    <tableColumn id="31" xr3:uid="{3E3CAC0A-F2AE-4B78-B926-D8D8AE561E1C}" uniqueName="31" name="AI_TRU4" queryTableFieldId="31"/>
    <tableColumn id="32" xr3:uid="{FC6A2DF6-EDB7-452A-AAEE-24F5B3AE420A}" uniqueName="32" name="Human_TRU4" queryTableFieldId="32"/>
    <tableColumn id="33" xr3:uid="{64B00BE8-4370-4F93-91D7-8EA7BB14D39A}" uniqueName="33" name="d_TRU4" queryTableFieldId="33"/>
    <tableColumn id="34" xr3:uid="{7AA7B9F2-BB87-404D-BD47-1DCE3D06DB6A}" uniqueName="34" name="AI_OUT1" queryTableFieldId="34"/>
    <tableColumn id="35" xr3:uid="{CA4F69F8-B5BF-4FA1-A762-A7D9231F8AD4}" uniqueName="35" name="Human_OUT1" queryTableFieldId="35"/>
    <tableColumn id="36" xr3:uid="{6294FC09-F8EC-42D6-A6FE-749BF2A136AA}" uniqueName="36" name="d_OUT1" queryTableFieldId="36"/>
    <tableColumn id="37" xr3:uid="{3347022C-DB80-490F-AC25-9CF81086D339}" uniqueName="37" name="AI_ENF1_Reason" queryTableFieldId="37" dataDxfId="16"/>
    <tableColumn id="38" xr3:uid="{59E06D61-5446-4036-9E8A-6431D69E2262}" uniqueName="38" name="AI_ENF2_Reason" queryTableFieldId="38" dataDxfId="15"/>
    <tableColumn id="39" xr3:uid="{9D1C1D03-694B-4325-8F99-68F56F072770}" uniqueName="39" name="AI_FAC1_Reason" queryTableFieldId="39" dataDxfId="14"/>
    <tableColumn id="40" xr3:uid="{8FEF3FC1-2AF9-42B5-8A87-85B0ADC12867}" uniqueName="40" name="AI_FAC2_Reason" queryTableFieldId="40" dataDxfId="13"/>
    <tableColumn id="41" xr3:uid="{AB3E1509-A716-4A8D-9E39-4E0B0AE2B00D}" uniqueName="41" name="AI_TRU1_Reason" queryTableFieldId="41" dataDxfId="12"/>
    <tableColumn id="42" xr3:uid="{0D0A5242-E2E8-48E5-A7D9-B642CD19DAA7}" uniqueName="42" name="AI_TRU2_Reason" queryTableFieldId="42" dataDxfId="11"/>
    <tableColumn id="43" xr3:uid="{F4E6D1B8-17F4-4F8C-8ACA-9736CA19FECE}" uniqueName="43" name="AI_TRU3_Reason" queryTableFieldId="43" dataDxfId="10"/>
    <tableColumn id="44" xr3:uid="{EE2B5768-EBF5-41BD-BEE7-30229A31065E}" uniqueName="44" name="AI_TRU4_Reason" queryTableFieldId="44" dataDxfId="9"/>
    <tableColumn id="45" xr3:uid="{DB2E6CA3-26A2-4ACC-9570-BF64E63CE544}" uniqueName="45" name="AI_OUT1_Reason" queryTableFieldId="45" dataDxf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9A15079-4DF6-4B9E-BAFA-08970D3D4855}" name="survey_responses" displayName="survey_responses" ref="A1:Q404" tableType="queryTable" totalsRowShown="0">
  <autoFilter ref="A1:Q404" xr:uid="{09A15079-4DF6-4B9E-BAFA-08970D3D4855}"/>
  <tableColumns count="17">
    <tableColumn id="1" xr3:uid="{49BC4699-8DD6-4E9E-BC8F-8E0F7764D36D}" uniqueName="1" name="Timestamp" queryTableFieldId="1" dataDxfId="7"/>
    <tableColumn id="2" xr3:uid="{70DF3C2A-4006-456B-B8C3-F96B58C2A548}" uniqueName="2" name="Giới tính của bạn:" queryTableFieldId="2" dataDxfId="6"/>
    <tableColumn id="3" xr3:uid="{0D396F6A-7119-4DC5-929F-B9AA4716EA07}" uniqueName="3" name="Độ tuổi của bạn:" queryTableFieldId="3" dataDxfId="5"/>
    <tableColumn id="4" xr3:uid="{ED653D15-E907-45B2-87AB-56E1BDF8551E}" uniqueName="4" name="Khu vực bạn đang sinh sống:" queryTableFieldId="4" dataDxfId="4"/>
    <tableColumn id="5" xr3:uid="{FE3B4B68-6D22-4F02-9BCA-E0A8406F84CD}" uniqueName="5" name="Trình độ học vấn cao nhất:" queryTableFieldId="5" dataDxfId="3"/>
    <tableColumn id="6" xr3:uid="{226E0D0D-66B8-4BB7-9AB8-878A6AA53121}" uniqueName="6" name="Tình trạng việc làm chính:" queryTableFieldId="6" dataDxfId="2"/>
    <tableColumn id="7" xr3:uid="{4F05F01F-9707-4A40-B1C2-7F98802FF5B6}" uniqueName="7" name="Thu nhập bình quân tháng theo Hợp đồng lao động của bạn là bao nhiêu? (Vui lòng điền tổng thu nhập trước khi khấu trừ các loại Bảo hiểm (BHXH, BHYT, BHTN) và Thuế TNCN)" queryTableFieldId="7" dataDxfId="1"/>
    <tableColumn id="8" xr3:uid="{8122D652-5704-4626-BD56-0363FEA77FC6}" uniqueName="8" name="Số người phụ thuộc (con nhỏ, cha mẹ già...) đủ điều kiện giảm trừ gia cảnh:" queryTableFieldId="8" dataDxfId="0"/>
    <tableColumn id="9" xr3:uid="{82F99BEE-6733-4E22-973E-5A79D8BA419C}" uniqueName="9" name="Tôi tin rằng với các quy định quản lý thuế hiện nay, hành vi gian lận hoặc trốn thuế sẽ dễ dàng bị phát hiện và xử lý nghiêm. - HUMAN-ENF1" queryTableFieldId="9"/>
    <tableColumn id="10" xr3:uid="{CBC01827-5A2B-4CD5-AF3D-824684649587}" uniqueName="10" name="Tôi tin rằng Nhà nước, cơ quan thuế có đủ khả năng và công nghệ để phát hiện, xử lý nghiêm các hành vi trốn thuế. - HUMAN-ENF2" queryTableFieldId="10"/>
    <tableColumn id="11" xr3:uid="{8D391F88-C6B8-4999-B248-CC968F547211}" uniqueName="11" name="Các thủ tục khai báo thuế VÀ/HOẶC quy trình làm việc với cơ quan thuế đơn giản, tiện lợi, nhanh chóng hơn so với trước đây. - HUMAN-FAC1" queryTableFieldId="11"/>
    <tableColumn id="12" xr3:uid="{EC0B86F9-B7B3-4A61-A289-524B7ED8E8ED}" uniqueName="12" name="So với trước đây, tôi thấy cách tính thuế và các bậc thuế trong phương án mới đơn giản, dễ hiểu và dễ thực hiện hơn. - HUMAN-FAC2" queryTableFieldId="12"/>
    <tableColumn id="13" xr3:uid="{B06DCAF6-F123-4C41-B2A8-98140B89FF14}" uniqueName="13" name="Tôi tin rằng Nhà nước, cơ quan thuế sẽ thực thi chính sách mới một cách khách quan, công tâm và đối xử bình đẳng với mọi người nộp thuế.  - HUMAN-TRU1" queryTableFieldId="13"/>
    <tableColumn id="14" xr3:uid="{3F217AC2-836E-47DD-B754-307F1FFBB715}" uniqueName="14" name="Tôi thấy mức thuế tôi phải đóng theo phương án mới là công bằng (người thu nhập như tôi đóng mức này là hợp lý). - HUMAN-TRU2" queryTableFieldId="14"/>
    <tableColumn id="15" xr3:uid="{A91D1D07-CD80-4594-AB95-F9BC7DE8118F}" uniqueName="15" name="Tôi tin tưởng số tiền thuế tôi đóng sẽ được Nhà nước sử dụng hiệu quả để cải thiện dịch vụ công (y tế, đường xá...). - HUMAN-TRU3" queryTableFieldId="15"/>
    <tableColumn id="16" xr3:uid="{4B7DABDD-95AB-4F0C-9DE5-CAFF11E135EF}" uniqueName="16" name="Tôi thấy Nhà nước đã giải thích rõ ràng, minh bạch về lý do và mục tiêu của việc sửa đổi thuế lần này. - HUMAN-TRU4" queryTableFieldId="16"/>
    <tableColumn id="17" xr3:uid="{625FCBAF-A8E4-467D-802E-924E6F392BE8}" uniqueName="17" name="Sau khi xem xét các quyền lợi và nghĩa vụ, bạn có ủng hộ và tuân thủ chính sách mới hiện nay? - HUMAN-OUT1"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1A3B3-C5DC-4E82-8CC1-48F4CED08087}">
  <dimension ref="A1:AS404"/>
  <sheetViews>
    <sheetView topLeftCell="AR372" workbookViewId="0">
      <selection activeCell="H2" sqref="H2:I404"/>
    </sheetView>
  </sheetViews>
  <sheetFormatPr defaultRowHeight="14.25" x14ac:dyDescent="0.45"/>
  <cols>
    <col min="1" max="1" width="12.1328125" bestFit="1" customWidth="1"/>
    <col min="2" max="2" width="12" bestFit="1" customWidth="1"/>
    <col min="3" max="3" width="8.9296875" bestFit="1" customWidth="1"/>
    <col min="4" max="4" width="12.06640625" bestFit="1" customWidth="1"/>
    <col min="5" max="5" width="0" hidden="1" customWidth="1"/>
    <col min="6" max="6" width="17.19921875" bestFit="1" customWidth="1"/>
    <col min="7" max="7" width="13.33203125" bestFit="1" customWidth="1"/>
    <col min="8" max="8" width="12.53125" bestFit="1" customWidth="1"/>
    <col min="9" max="9" width="12.86328125" bestFit="1" customWidth="1"/>
    <col min="10" max="10" width="9.6640625" bestFit="1" customWidth="1"/>
    <col min="11" max="11" width="13.796875" bestFit="1" customWidth="1"/>
    <col min="12" max="12" width="9" bestFit="1" customWidth="1"/>
    <col min="13" max="13" width="9.6640625" bestFit="1" customWidth="1"/>
    <col min="14" max="14" width="13.796875" bestFit="1" customWidth="1"/>
    <col min="15" max="15" width="9" bestFit="1" customWidth="1"/>
    <col min="16" max="16" width="9.6640625" bestFit="1" customWidth="1"/>
    <col min="17" max="17" width="13.796875" bestFit="1" customWidth="1"/>
    <col min="18" max="18" width="9" bestFit="1" customWidth="1"/>
    <col min="19" max="19" width="9.6640625" bestFit="1" customWidth="1"/>
    <col min="20" max="20" width="13.796875" bestFit="1" customWidth="1"/>
    <col min="21" max="21" width="9" bestFit="1" customWidth="1"/>
    <col min="22" max="22" width="9.86328125" bestFit="1" customWidth="1"/>
    <col min="23" max="23" width="14" bestFit="1" customWidth="1"/>
    <col min="24" max="24" width="9.19921875" bestFit="1" customWidth="1"/>
    <col min="25" max="25" width="9.86328125" bestFit="1" customWidth="1"/>
    <col min="26" max="26" width="14" bestFit="1" customWidth="1"/>
    <col min="27" max="27" width="9.19921875" bestFit="1" customWidth="1"/>
    <col min="28" max="28" width="9.86328125" bestFit="1" customWidth="1"/>
    <col min="29" max="29" width="14" bestFit="1" customWidth="1"/>
    <col min="30" max="30" width="9.19921875" bestFit="1" customWidth="1"/>
    <col min="31" max="31" width="9.86328125" bestFit="1" customWidth="1"/>
    <col min="32" max="32" width="14" bestFit="1" customWidth="1"/>
    <col min="33" max="33" width="9.19921875" bestFit="1" customWidth="1"/>
    <col min="34" max="34" width="10.1328125" bestFit="1" customWidth="1"/>
    <col min="35" max="35" width="14.265625" bestFit="1" customWidth="1"/>
    <col min="36" max="36" width="9.46484375" bestFit="1" customWidth="1"/>
    <col min="37" max="45" width="80.53125" bestFit="1" customWidth="1"/>
  </cols>
  <sheetData>
    <row r="1" spans="1:45" x14ac:dyDescent="0.45">
      <c r="A1" t="s">
        <v>32</v>
      </c>
      <c r="B1" t="s">
        <v>194</v>
      </c>
      <c r="C1" t="s">
        <v>33</v>
      </c>
      <c r="D1" t="s">
        <v>165</v>
      </c>
      <c r="E1" t="s">
        <v>35</v>
      </c>
      <c r="F1" t="s">
        <v>36</v>
      </c>
      <c r="G1" t="s">
        <v>37</v>
      </c>
      <c r="H1" t="s">
        <v>38</v>
      </c>
      <c r="I1" t="s">
        <v>39</v>
      </c>
      <c r="J1" t="s">
        <v>166</v>
      </c>
      <c r="K1" t="s">
        <v>41</v>
      </c>
      <c r="L1" t="s">
        <v>167</v>
      </c>
      <c r="M1" t="s">
        <v>168</v>
      </c>
      <c r="N1" t="s">
        <v>44</v>
      </c>
      <c r="O1" t="s">
        <v>169</v>
      </c>
      <c r="P1" t="s">
        <v>170</v>
      </c>
      <c r="Q1" t="s">
        <v>47</v>
      </c>
      <c r="R1" t="s">
        <v>171</v>
      </c>
      <c r="S1" t="s">
        <v>172</v>
      </c>
      <c r="T1" t="s">
        <v>50</v>
      </c>
      <c r="U1" t="s">
        <v>173</v>
      </c>
      <c r="V1" t="s">
        <v>174</v>
      </c>
      <c r="W1" t="s">
        <v>53</v>
      </c>
      <c r="X1" t="s">
        <v>175</v>
      </c>
      <c r="Y1" t="s">
        <v>176</v>
      </c>
      <c r="Z1" t="s">
        <v>56</v>
      </c>
      <c r="AA1" t="s">
        <v>177</v>
      </c>
      <c r="AB1" t="s">
        <v>178</v>
      </c>
      <c r="AC1" t="s">
        <v>59</v>
      </c>
      <c r="AD1" t="s">
        <v>179</v>
      </c>
      <c r="AE1" t="s">
        <v>180</v>
      </c>
      <c r="AF1" t="s">
        <v>62</v>
      </c>
      <c r="AG1" t="s">
        <v>181</v>
      </c>
      <c r="AH1" t="s">
        <v>182</v>
      </c>
      <c r="AI1" t="s">
        <v>65</v>
      </c>
      <c r="AJ1" t="s">
        <v>183</v>
      </c>
      <c r="AK1" t="s">
        <v>42</v>
      </c>
      <c r="AL1" t="s">
        <v>45</v>
      </c>
      <c r="AM1" t="s">
        <v>48</v>
      </c>
      <c r="AN1" t="s">
        <v>51</v>
      </c>
      <c r="AO1" t="s">
        <v>54</v>
      </c>
      <c r="AP1" t="s">
        <v>57</v>
      </c>
      <c r="AQ1" t="s">
        <v>60</v>
      </c>
      <c r="AR1" t="s">
        <v>63</v>
      </c>
      <c r="AS1" t="s">
        <v>66</v>
      </c>
    </row>
    <row r="2" spans="1:45" x14ac:dyDescent="0.45">
      <c r="A2">
        <v>1</v>
      </c>
      <c r="B2">
        <v>42</v>
      </c>
      <c r="C2" t="s">
        <v>67</v>
      </c>
      <c r="D2" t="s">
        <v>76</v>
      </c>
      <c r="E2" t="s">
        <v>69</v>
      </c>
      <c r="F2" t="s">
        <v>72</v>
      </c>
      <c r="G2" t="s">
        <v>71</v>
      </c>
      <c r="H2">
        <v>15.708500157795985</v>
      </c>
      <c r="I2">
        <v>1</v>
      </c>
      <c r="J2">
        <v>7</v>
      </c>
      <c r="K2">
        <v>10</v>
      </c>
      <c r="L2">
        <v>-3</v>
      </c>
      <c r="M2">
        <v>8</v>
      </c>
      <c r="N2">
        <v>8</v>
      </c>
      <c r="O2">
        <v>0</v>
      </c>
      <c r="P2">
        <v>9</v>
      </c>
      <c r="Q2">
        <v>5</v>
      </c>
      <c r="R2">
        <v>4</v>
      </c>
      <c r="S2">
        <v>9</v>
      </c>
      <c r="T2">
        <v>5</v>
      </c>
      <c r="U2">
        <v>4</v>
      </c>
      <c r="V2">
        <v>8</v>
      </c>
      <c r="W2">
        <v>10</v>
      </c>
      <c r="X2">
        <v>-2</v>
      </c>
      <c r="Y2">
        <v>9</v>
      </c>
      <c r="Z2">
        <v>10</v>
      </c>
      <c r="AA2">
        <v>-1</v>
      </c>
      <c r="AB2">
        <v>8</v>
      </c>
      <c r="AC2">
        <v>10</v>
      </c>
      <c r="AD2">
        <v>-2</v>
      </c>
      <c r="AE2">
        <v>7</v>
      </c>
      <c r="AF2">
        <v>10</v>
      </c>
      <c r="AG2">
        <v>-3</v>
      </c>
      <c r="AH2">
        <v>9</v>
      </c>
      <c r="AI2">
        <v>10</v>
      </c>
      <c r="AJ2">
        <v>-1</v>
      </c>
      <c r="AK2" t="s">
        <v>821</v>
      </c>
      <c r="AL2" t="s">
        <v>822</v>
      </c>
      <c r="AM2" t="s">
        <v>823</v>
      </c>
      <c r="AN2" t="s">
        <v>824</v>
      </c>
      <c r="AO2" t="s">
        <v>825</v>
      </c>
      <c r="AP2" t="s">
        <v>826</v>
      </c>
      <c r="AQ2" t="s">
        <v>827</v>
      </c>
      <c r="AR2" t="s">
        <v>828</v>
      </c>
      <c r="AS2" t="s">
        <v>829</v>
      </c>
    </row>
    <row r="3" spans="1:45" x14ac:dyDescent="0.45">
      <c r="A3">
        <v>2</v>
      </c>
      <c r="B3">
        <v>43</v>
      </c>
      <c r="C3" t="s">
        <v>67</v>
      </c>
      <c r="D3" t="s">
        <v>76</v>
      </c>
      <c r="E3" t="s">
        <v>69</v>
      </c>
      <c r="F3" t="s">
        <v>72</v>
      </c>
      <c r="G3" t="s">
        <v>71</v>
      </c>
      <c r="H3">
        <v>15.684853202480896</v>
      </c>
      <c r="I3">
        <v>0</v>
      </c>
      <c r="J3">
        <v>7</v>
      </c>
      <c r="K3">
        <v>8</v>
      </c>
      <c r="L3">
        <v>-1</v>
      </c>
      <c r="M3">
        <v>6</v>
      </c>
      <c r="N3">
        <v>8</v>
      </c>
      <c r="O3">
        <v>-2</v>
      </c>
      <c r="P3">
        <v>8</v>
      </c>
      <c r="Q3">
        <v>6</v>
      </c>
      <c r="R3">
        <v>2</v>
      </c>
      <c r="S3">
        <v>9</v>
      </c>
      <c r="T3">
        <v>9</v>
      </c>
      <c r="U3">
        <v>0</v>
      </c>
      <c r="V3">
        <v>7</v>
      </c>
      <c r="W3">
        <v>10</v>
      </c>
      <c r="X3">
        <v>-3</v>
      </c>
      <c r="Y3">
        <v>9</v>
      </c>
      <c r="Z3">
        <v>9</v>
      </c>
      <c r="AA3">
        <v>0</v>
      </c>
      <c r="AB3">
        <v>8</v>
      </c>
      <c r="AC3">
        <v>8</v>
      </c>
      <c r="AD3">
        <v>0</v>
      </c>
      <c r="AE3">
        <v>7</v>
      </c>
      <c r="AF3">
        <v>9</v>
      </c>
      <c r="AG3">
        <v>-2</v>
      </c>
      <c r="AH3">
        <v>8</v>
      </c>
      <c r="AI3">
        <v>10</v>
      </c>
      <c r="AJ3">
        <v>-2</v>
      </c>
      <c r="AK3" t="s">
        <v>830</v>
      </c>
      <c r="AL3" t="s">
        <v>831</v>
      </c>
      <c r="AM3" t="s">
        <v>832</v>
      </c>
      <c r="AN3" t="s">
        <v>833</v>
      </c>
      <c r="AO3" t="s">
        <v>834</v>
      </c>
      <c r="AP3" t="s">
        <v>835</v>
      </c>
      <c r="AQ3" t="s">
        <v>836</v>
      </c>
      <c r="AR3" t="s">
        <v>837</v>
      </c>
      <c r="AS3" t="s">
        <v>838</v>
      </c>
    </row>
    <row r="4" spans="1:45" x14ac:dyDescent="0.45">
      <c r="A4">
        <v>3</v>
      </c>
      <c r="B4">
        <v>44</v>
      </c>
      <c r="C4" t="s">
        <v>73</v>
      </c>
      <c r="D4" t="s">
        <v>74</v>
      </c>
      <c r="E4" t="s">
        <v>69</v>
      </c>
      <c r="F4" t="s">
        <v>70</v>
      </c>
      <c r="G4" t="s">
        <v>71</v>
      </c>
      <c r="H4">
        <v>61.974847384930733</v>
      </c>
      <c r="I4">
        <v>3</v>
      </c>
      <c r="J4">
        <v>7</v>
      </c>
      <c r="K4">
        <v>6</v>
      </c>
      <c r="L4">
        <v>1</v>
      </c>
      <c r="M4">
        <v>8</v>
      </c>
      <c r="N4">
        <v>5</v>
      </c>
      <c r="O4">
        <v>3</v>
      </c>
      <c r="P4">
        <v>9</v>
      </c>
      <c r="Q4">
        <v>4</v>
      </c>
      <c r="R4">
        <v>5</v>
      </c>
      <c r="S4">
        <v>9</v>
      </c>
      <c r="T4">
        <v>5</v>
      </c>
      <c r="U4">
        <v>4</v>
      </c>
      <c r="V4">
        <v>8</v>
      </c>
      <c r="W4">
        <v>4</v>
      </c>
      <c r="X4">
        <v>4</v>
      </c>
      <c r="Y4">
        <v>9</v>
      </c>
      <c r="Z4">
        <v>4</v>
      </c>
      <c r="AA4">
        <v>5</v>
      </c>
      <c r="AB4">
        <v>7</v>
      </c>
      <c r="AC4">
        <v>4</v>
      </c>
      <c r="AD4">
        <v>3</v>
      </c>
      <c r="AE4">
        <v>6</v>
      </c>
      <c r="AF4">
        <v>10</v>
      </c>
      <c r="AG4">
        <v>-4</v>
      </c>
      <c r="AH4">
        <v>9</v>
      </c>
      <c r="AI4">
        <v>4</v>
      </c>
      <c r="AJ4">
        <v>5</v>
      </c>
      <c r="AK4" t="s">
        <v>839</v>
      </c>
      <c r="AL4" t="s">
        <v>840</v>
      </c>
      <c r="AM4" t="s">
        <v>841</v>
      </c>
      <c r="AN4" t="s">
        <v>842</v>
      </c>
      <c r="AO4" t="s">
        <v>843</v>
      </c>
      <c r="AP4" t="s">
        <v>844</v>
      </c>
      <c r="AQ4" t="s">
        <v>845</v>
      </c>
      <c r="AR4" t="s">
        <v>846</v>
      </c>
      <c r="AS4" t="s">
        <v>847</v>
      </c>
    </row>
    <row r="5" spans="1:45" x14ac:dyDescent="0.45">
      <c r="A5">
        <v>4</v>
      </c>
      <c r="B5">
        <v>45</v>
      </c>
      <c r="C5" t="s">
        <v>67</v>
      </c>
      <c r="D5" t="s">
        <v>184</v>
      </c>
      <c r="E5" t="s">
        <v>69</v>
      </c>
      <c r="F5" t="s">
        <v>72</v>
      </c>
      <c r="G5" t="s">
        <v>71</v>
      </c>
      <c r="H5">
        <v>12</v>
      </c>
      <c r="I5">
        <v>0</v>
      </c>
      <c r="J5">
        <v>7</v>
      </c>
      <c r="K5">
        <v>10</v>
      </c>
      <c r="L5">
        <v>-3</v>
      </c>
      <c r="M5">
        <v>6</v>
      </c>
      <c r="N5">
        <v>10</v>
      </c>
      <c r="O5">
        <v>-4</v>
      </c>
      <c r="P5">
        <v>5</v>
      </c>
      <c r="Q5">
        <v>8</v>
      </c>
      <c r="R5">
        <v>-3</v>
      </c>
      <c r="S5">
        <v>8</v>
      </c>
      <c r="T5">
        <v>9</v>
      </c>
      <c r="U5">
        <v>-1</v>
      </c>
      <c r="V5">
        <v>7</v>
      </c>
      <c r="W5">
        <v>9</v>
      </c>
      <c r="X5">
        <v>-2</v>
      </c>
      <c r="Y5">
        <v>9</v>
      </c>
      <c r="Z5">
        <v>7</v>
      </c>
      <c r="AA5">
        <v>2</v>
      </c>
      <c r="AB5">
        <v>6</v>
      </c>
      <c r="AC5">
        <v>10</v>
      </c>
      <c r="AD5">
        <v>-4</v>
      </c>
      <c r="AE5">
        <v>7</v>
      </c>
      <c r="AF5">
        <v>7</v>
      </c>
      <c r="AG5">
        <v>0</v>
      </c>
      <c r="AH5">
        <v>9</v>
      </c>
      <c r="AI5">
        <v>10</v>
      </c>
      <c r="AJ5">
        <v>-1</v>
      </c>
      <c r="AK5" t="s">
        <v>206</v>
      </c>
      <c r="AL5" t="s">
        <v>207</v>
      </c>
      <c r="AM5" t="s">
        <v>208</v>
      </c>
      <c r="AN5" t="s">
        <v>209</v>
      </c>
      <c r="AO5" t="s">
        <v>210</v>
      </c>
      <c r="AP5" t="s">
        <v>211</v>
      </c>
      <c r="AQ5" t="s">
        <v>212</v>
      </c>
      <c r="AR5" t="s">
        <v>213</v>
      </c>
      <c r="AS5" t="s">
        <v>214</v>
      </c>
    </row>
    <row r="6" spans="1:45" x14ac:dyDescent="0.45">
      <c r="A6">
        <v>5</v>
      </c>
      <c r="B6">
        <v>46</v>
      </c>
      <c r="C6" t="s">
        <v>67</v>
      </c>
      <c r="D6" t="s">
        <v>76</v>
      </c>
      <c r="E6" t="s">
        <v>69</v>
      </c>
      <c r="F6" t="s">
        <v>72</v>
      </c>
      <c r="G6" t="s">
        <v>71</v>
      </c>
      <c r="H6">
        <v>12</v>
      </c>
      <c r="I6">
        <v>0</v>
      </c>
      <c r="J6">
        <v>8</v>
      </c>
      <c r="K6">
        <v>9</v>
      </c>
      <c r="L6">
        <v>-1</v>
      </c>
      <c r="M6">
        <v>9</v>
      </c>
      <c r="N6">
        <v>9</v>
      </c>
      <c r="O6">
        <v>0</v>
      </c>
      <c r="P6">
        <v>7</v>
      </c>
      <c r="Q6">
        <v>10</v>
      </c>
      <c r="R6">
        <v>-3</v>
      </c>
      <c r="S6">
        <v>9</v>
      </c>
      <c r="T6">
        <v>9</v>
      </c>
      <c r="U6">
        <v>0</v>
      </c>
      <c r="V6">
        <v>8</v>
      </c>
      <c r="W6">
        <v>9</v>
      </c>
      <c r="X6">
        <v>-1</v>
      </c>
      <c r="Y6">
        <v>9</v>
      </c>
      <c r="Z6">
        <v>9</v>
      </c>
      <c r="AA6">
        <v>0</v>
      </c>
      <c r="AB6">
        <v>8</v>
      </c>
      <c r="AC6">
        <v>9</v>
      </c>
      <c r="AD6">
        <v>-1</v>
      </c>
      <c r="AE6">
        <v>9</v>
      </c>
      <c r="AF6">
        <v>9</v>
      </c>
      <c r="AG6">
        <v>0</v>
      </c>
      <c r="AH6">
        <v>8</v>
      </c>
      <c r="AI6">
        <v>9</v>
      </c>
      <c r="AJ6">
        <v>-1</v>
      </c>
      <c r="AK6" t="s">
        <v>215</v>
      </c>
      <c r="AL6" t="s">
        <v>216</v>
      </c>
      <c r="AM6" t="s">
        <v>217</v>
      </c>
      <c r="AN6" t="s">
        <v>218</v>
      </c>
      <c r="AO6" t="s">
        <v>219</v>
      </c>
      <c r="AP6" t="s">
        <v>220</v>
      </c>
      <c r="AQ6" t="s">
        <v>221</v>
      </c>
      <c r="AR6" t="s">
        <v>222</v>
      </c>
      <c r="AS6" t="s">
        <v>223</v>
      </c>
    </row>
    <row r="7" spans="1:45" x14ac:dyDescent="0.45">
      <c r="A7">
        <v>6</v>
      </c>
      <c r="B7">
        <v>47</v>
      </c>
      <c r="C7" t="s">
        <v>67</v>
      </c>
      <c r="D7" t="s">
        <v>68</v>
      </c>
      <c r="E7" t="s">
        <v>69</v>
      </c>
      <c r="F7" t="s">
        <v>70</v>
      </c>
      <c r="G7" t="s">
        <v>71</v>
      </c>
      <c r="H7">
        <v>89.18610610127881</v>
      </c>
      <c r="I7">
        <v>4</v>
      </c>
      <c r="J7">
        <v>7</v>
      </c>
      <c r="K7">
        <v>8</v>
      </c>
      <c r="L7">
        <v>-1</v>
      </c>
      <c r="M7">
        <v>6</v>
      </c>
      <c r="N7">
        <v>8</v>
      </c>
      <c r="O7">
        <v>-2</v>
      </c>
      <c r="P7">
        <v>8</v>
      </c>
      <c r="Q7">
        <v>5</v>
      </c>
      <c r="R7">
        <v>3</v>
      </c>
      <c r="S7">
        <v>9</v>
      </c>
      <c r="T7">
        <v>8</v>
      </c>
      <c r="U7">
        <v>1</v>
      </c>
      <c r="V7">
        <v>8</v>
      </c>
      <c r="W7">
        <v>6</v>
      </c>
      <c r="X7">
        <v>2</v>
      </c>
      <c r="Y7">
        <v>9</v>
      </c>
      <c r="Z7">
        <v>6</v>
      </c>
      <c r="AA7">
        <v>3</v>
      </c>
      <c r="AB7">
        <v>8</v>
      </c>
      <c r="AC7">
        <v>4</v>
      </c>
      <c r="AD7">
        <v>4</v>
      </c>
      <c r="AE7">
        <v>7</v>
      </c>
      <c r="AF7">
        <v>5</v>
      </c>
      <c r="AG7">
        <v>2</v>
      </c>
      <c r="AH7">
        <v>9</v>
      </c>
      <c r="AI7">
        <v>6</v>
      </c>
      <c r="AJ7">
        <v>3</v>
      </c>
      <c r="AK7" t="s">
        <v>848</v>
      </c>
      <c r="AL7" t="s">
        <v>849</v>
      </c>
      <c r="AM7" t="s">
        <v>850</v>
      </c>
      <c r="AN7" t="s">
        <v>851</v>
      </c>
      <c r="AO7" t="s">
        <v>852</v>
      </c>
      <c r="AP7" t="s">
        <v>853</v>
      </c>
      <c r="AQ7" t="s">
        <v>854</v>
      </c>
      <c r="AR7" t="s">
        <v>855</v>
      </c>
      <c r="AS7" t="s">
        <v>856</v>
      </c>
    </row>
    <row r="8" spans="1:45" x14ac:dyDescent="0.45">
      <c r="A8">
        <v>7</v>
      </c>
      <c r="B8">
        <v>48</v>
      </c>
      <c r="C8" t="s">
        <v>67</v>
      </c>
      <c r="D8" t="s">
        <v>68</v>
      </c>
      <c r="E8" t="s">
        <v>69</v>
      </c>
      <c r="F8" t="s">
        <v>72</v>
      </c>
      <c r="G8" t="s">
        <v>71</v>
      </c>
      <c r="H8">
        <v>21.534681572110244</v>
      </c>
      <c r="I8">
        <v>2</v>
      </c>
      <c r="J8">
        <v>7</v>
      </c>
      <c r="K8">
        <v>5</v>
      </c>
      <c r="L8">
        <v>2</v>
      </c>
      <c r="M8">
        <v>6</v>
      </c>
      <c r="N8">
        <v>4</v>
      </c>
      <c r="O8">
        <v>2</v>
      </c>
      <c r="P8">
        <v>9</v>
      </c>
      <c r="Q8">
        <v>4</v>
      </c>
      <c r="R8">
        <v>5</v>
      </c>
      <c r="S8">
        <v>8</v>
      </c>
      <c r="T8">
        <v>6</v>
      </c>
      <c r="U8">
        <v>2</v>
      </c>
      <c r="V8">
        <v>7</v>
      </c>
      <c r="W8">
        <v>6</v>
      </c>
      <c r="X8">
        <v>1</v>
      </c>
      <c r="Y8">
        <v>8</v>
      </c>
      <c r="Z8">
        <v>7</v>
      </c>
      <c r="AA8">
        <v>1</v>
      </c>
      <c r="AB8">
        <v>7</v>
      </c>
      <c r="AC8">
        <v>2</v>
      </c>
      <c r="AD8">
        <v>5</v>
      </c>
      <c r="AE8">
        <v>8</v>
      </c>
      <c r="AF8">
        <v>4</v>
      </c>
      <c r="AG8">
        <v>4</v>
      </c>
      <c r="AH8">
        <v>9</v>
      </c>
      <c r="AI8">
        <v>4</v>
      </c>
      <c r="AJ8">
        <v>5</v>
      </c>
      <c r="AK8" t="s">
        <v>857</v>
      </c>
      <c r="AL8" t="s">
        <v>858</v>
      </c>
      <c r="AM8" t="s">
        <v>859</v>
      </c>
      <c r="AN8" t="s">
        <v>860</v>
      </c>
      <c r="AO8" t="s">
        <v>861</v>
      </c>
      <c r="AP8" t="s">
        <v>862</v>
      </c>
      <c r="AQ8" t="s">
        <v>863</v>
      </c>
      <c r="AR8" t="s">
        <v>864</v>
      </c>
      <c r="AS8" t="s">
        <v>865</v>
      </c>
    </row>
    <row r="9" spans="1:45" x14ac:dyDescent="0.45">
      <c r="A9">
        <v>8</v>
      </c>
      <c r="B9">
        <v>49</v>
      </c>
      <c r="C9" t="s">
        <v>73</v>
      </c>
      <c r="D9" t="s">
        <v>74</v>
      </c>
      <c r="E9" t="s">
        <v>69</v>
      </c>
      <c r="F9" t="s">
        <v>70</v>
      </c>
      <c r="G9" t="s">
        <v>71</v>
      </c>
      <c r="H9">
        <v>12</v>
      </c>
      <c r="I9">
        <v>2</v>
      </c>
      <c r="J9">
        <v>6</v>
      </c>
      <c r="K9">
        <v>1</v>
      </c>
      <c r="L9">
        <v>5</v>
      </c>
      <c r="M9">
        <v>7</v>
      </c>
      <c r="N9">
        <v>1</v>
      </c>
      <c r="O9">
        <v>6</v>
      </c>
      <c r="P9">
        <v>9</v>
      </c>
      <c r="Q9">
        <v>2</v>
      </c>
      <c r="R9">
        <v>7</v>
      </c>
      <c r="S9">
        <v>8</v>
      </c>
      <c r="T9">
        <v>3</v>
      </c>
      <c r="U9">
        <v>5</v>
      </c>
      <c r="V9">
        <v>9</v>
      </c>
      <c r="W9">
        <v>6</v>
      </c>
      <c r="X9">
        <v>3</v>
      </c>
      <c r="Y9">
        <v>8</v>
      </c>
      <c r="Z9">
        <v>2</v>
      </c>
      <c r="AA9">
        <v>6</v>
      </c>
      <c r="AB9">
        <v>9</v>
      </c>
      <c r="AC9">
        <v>7</v>
      </c>
      <c r="AD9">
        <v>2</v>
      </c>
      <c r="AE9">
        <v>8</v>
      </c>
      <c r="AF9">
        <v>3</v>
      </c>
      <c r="AG9">
        <v>5</v>
      </c>
      <c r="AH9">
        <v>9</v>
      </c>
      <c r="AI9">
        <v>3</v>
      </c>
      <c r="AJ9">
        <v>6</v>
      </c>
      <c r="AK9" t="s">
        <v>224</v>
      </c>
      <c r="AL9" t="s">
        <v>225</v>
      </c>
      <c r="AM9" t="s">
        <v>226</v>
      </c>
      <c r="AN9" t="s">
        <v>227</v>
      </c>
      <c r="AO9" t="s">
        <v>228</v>
      </c>
      <c r="AP9" t="s">
        <v>229</v>
      </c>
      <c r="AQ9" t="s">
        <v>230</v>
      </c>
      <c r="AR9" t="s">
        <v>231</v>
      </c>
      <c r="AS9" t="s">
        <v>232</v>
      </c>
    </row>
    <row r="10" spans="1:45" x14ac:dyDescent="0.45">
      <c r="A10">
        <v>9</v>
      </c>
      <c r="B10">
        <v>50</v>
      </c>
      <c r="C10" t="s">
        <v>67</v>
      </c>
      <c r="D10" t="s">
        <v>76</v>
      </c>
      <c r="E10" t="s">
        <v>75</v>
      </c>
      <c r="F10" t="s">
        <v>72</v>
      </c>
      <c r="G10" t="s">
        <v>157</v>
      </c>
      <c r="H10">
        <v>15.095756759677263</v>
      </c>
      <c r="I10">
        <v>1</v>
      </c>
      <c r="J10">
        <v>6</v>
      </c>
      <c r="K10">
        <v>10</v>
      </c>
      <c r="L10">
        <v>-4</v>
      </c>
      <c r="M10">
        <v>5</v>
      </c>
      <c r="N10">
        <v>10</v>
      </c>
      <c r="O10">
        <v>-5</v>
      </c>
      <c r="P10">
        <v>9</v>
      </c>
      <c r="Q10">
        <v>8</v>
      </c>
      <c r="R10">
        <v>1</v>
      </c>
      <c r="S10">
        <v>8</v>
      </c>
      <c r="T10">
        <v>7</v>
      </c>
      <c r="U10">
        <v>1</v>
      </c>
      <c r="V10">
        <v>7</v>
      </c>
      <c r="W10">
        <v>7</v>
      </c>
      <c r="X10">
        <v>0</v>
      </c>
      <c r="Y10">
        <v>8</v>
      </c>
      <c r="Z10">
        <v>5</v>
      </c>
      <c r="AA10">
        <v>3</v>
      </c>
      <c r="AB10">
        <v>7</v>
      </c>
      <c r="AC10">
        <v>5</v>
      </c>
      <c r="AD10">
        <v>2</v>
      </c>
      <c r="AE10">
        <v>5</v>
      </c>
      <c r="AF10">
        <v>9</v>
      </c>
      <c r="AG10">
        <v>-4</v>
      </c>
      <c r="AH10">
        <v>8</v>
      </c>
      <c r="AI10">
        <v>8</v>
      </c>
      <c r="AJ10">
        <v>0</v>
      </c>
      <c r="AK10" t="s">
        <v>866</v>
      </c>
      <c r="AL10" t="s">
        <v>867</v>
      </c>
      <c r="AM10" t="s">
        <v>868</v>
      </c>
      <c r="AN10" t="s">
        <v>869</v>
      </c>
      <c r="AO10" t="s">
        <v>870</v>
      </c>
      <c r="AP10" t="s">
        <v>871</v>
      </c>
      <c r="AQ10" t="s">
        <v>872</v>
      </c>
      <c r="AR10" t="s">
        <v>873</v>
      </c>
      <c r="AS10" t="s">
        <v>874</v>
      </c>
    </row>
    <row r="11" spans="1:45" x14ac:dyDescent="0.45">
      <c r="A11">
        <v>10</v>
      </c>
      <c r="B11">
        <v>51</v>
      </c>
      <c r="C11" t="s">
        <v>67</v>
      </c>
      <c r="D11" t="s">
        <v>76</v>
      </c>
      <c r="E11" t="s">
        <v>69</v>
      </c>
      <c r="F11" t="s">
        <v>72</v>
      </c>
      <c r="G11" t="s">
        <v>71</v>
      </c>
      <c r="H11">
        <v>21.540417785271543</v>
      </c>
      <c r="I11">
        <v>0</v>
      </c>
      <c r="J11">
        <v>8</v>
      </c>
      <c r="K11">
        <v>7</v>
      </c>
      <c r="L11">
        <v>1</v>
      </c>
      <c r="M11">
        <v>8</v>
      </c>
      <c r="N11">
        <v>10</v>
      </c>
      <c r="O11">
        <v>-2</v>
      </c>
      <c r="P11">
        <v>9</v>
      </c>
      <c r="Q11">
        <v>1</v>
      </c>
      <c r="R11">
        <v>8</v>
      </c>
      <c r="S11">
        <v>9</v>
      </c>
      <c r="T11">
        <v>5</v>
      </c>
      <c r="U11">
        <v>4</v>
      </c>
      <c r="V11">
        <v>8</v>
      </c>
      <c r="W11">
        <v>8</v>
      </c>
      <c r="X11">
        <v>0</v>
      </c>
      <c r="Y11">
        <v>9</v>
      </c>
      <c r="Z11">
        <v>5</v>
      </c>
      <c r="AA11">
        <v>4</v>
      </c>
      <c r="AB11">
        <v>8</v>
      </c>
      <c r="AC11">
        <v>5</v>
      </c>
      <c r="AD11">
        <v>3</v>
      </c>
      <c r="AE11">
        <v>9</v>
      </c>
      <c r="AF11">
        <v>5</v>
      </c>
      <c r="AG11">
        <v>4</v>
      </c>
      <c r="AH11">
        <v>10</v>
      </c>
      <c r="AI11">
        <v>10</v>
      </c>
      <c r="AJ11">
        <v>0</v>
      </c>
      <c r="AK11" t="s">
        <v>233</v>
      </c>
      <c r="AL11" t="s">
        <v>234</v>
      </c>
      <c r="AM11" t="s">
        <v>235</v>
      </c>
      <c r="AN11" t="s">
        <v>236</v>
      </c>
      <c r="AO11" t="s">
        <v>875</v>
      </c>
      <c r="AP11" t="s">
        <v>876</v>
      </c>
      <c r="AQ11" t="s">
        <v>877</v>
      </c>
      <c r="AR11" t="s">
        <v>878</v>
      </c>
      <c r="AS11" t="s">
        <v>879</v>
      </c>
    </row>
    <row r="12" spans="1:45" x14ac:dyDescent="0.45">
      <c r="A12">
        <v>11</v>
      </c>
      <c r="B12">
        <v>52</v>
      </c>
      <c r="C12" t="s">
        <v>73</v>
      </c>
      <c r="D12" t="s">
        <v>68</v>
      </c>
      <c r="E12" t="s">
        <v>69</v>
      </c>
      <c r="F12" t="s">
        <v>70</v>
      </c>
      <c r="G12" t="s">
        <v>157</v>
      </c>
      <c r="H12">
        <v>41.474603139272951</v>
      </c>
      <c r="I12">
        <v>4</v>
      </c>
      <c r="J12">
        <v>7</v>
      </c>
      <c r="K12">
        <v>10</v>
      </c>
      <c r="L12">
        <v>-3</v>
      </c>
      <c r="M12">
        <v>8</v>
      </c>
      <c r="N12">
        <v>3</v>
      </c>
      <c r="O12">
        <v>5</v>
      </c>
      <c r="P12">
        <v>9</v>
      </c>
      <c r="Q12">
        <v>1</v>
      </c>
      <c r="R12">
        <v>8</v>
      </c>
      <c r="S12">
        <v>9</v>
      </c>
      <c r="T12">
        <v>7</v>
      </c>
      <c r="U12">
        <v>2</v>
      </c>
      <c r="V12">
        <v>8</v>
      </c>
      <c r="W12">
        <v>1</v>
      </c>
      <c r="X12">
        <v>7</v>
      </c>
      <c r="Y12">
        <v>9</v>
      </c>
      <c r="Z12">
        <v>5</v>
      </c>
      <c r="AA12">
        <v>4</v>
      </c>
      <c r="AB12">
        <v>8</v>
      </c>
      <c r="AC12">
        <v>1</v>
      </c>
      <c r="AD12">
        <v>7</v>
      </c>
      <c r="AE12">
        <v>9</v>
      </c>
      <c r="AF12">
        <v>8</v>
      </c>
      <c r="AG12">
        <v>1</v>
      </c>
      <c r="AH12">
        <v>10</v>
      </c>
      <c r="AI12">
        <v>6</v>
      </c>
      <c r="AJ12">
        <v>4</v>
      </c>
      <c r="AK12" t="s">
        <v>880</v>
      </c>
      <c r="AL12" t="s">
        <v>881</v>
      </c>
      <c r="AM12" t="s">
        <v>882</v>
      </c>
      <c r="AN12" t="s">
        <v>883</v>
      </c>
      <c r="AO12" t="s">
        <v>884</v>
      </c>
      <c r="AP12" t="s">
        <v>885</v>
      </c>
      <c r="AQ12" t="s">
        <v>886</v>
      </c>
      <c r="AR12" t="s">
        <v>887</v>
      </c>
      <c r="AS12" t="s">
        <v>888</v>
      </c>
    </row>
    <row r="13" spans="1:45" x14ac:dyDescent="0.45">
      <c r="A13">
        <v>12</v>
      </c>
      <c r="B13">
        <v>53</v>
      </c>
      <c r="C13" t="s">
        <v>67</v>
      </c>
      <c r="D13" t="s">
        <v>184</v>
      </c>
      <c r="E13" t="s">
        <v>69</v>
      </c>
      <c r="F13" t="s">
        <v>72</v>
      </c>
      <c r="G13" t="s">
        <v>71</v>
      </c>
      <c r="H13">
        <v>12</v>
      </c>
      <c r="I13">
        <v>0</v>
      </c>
      <c r="J13">
        <v>9</v>
      </c>
      <c r="K13">
        <v>5</v>
      </c>
      <c r="L13">
        <v>4</v>
      </c>
      <c r="M13">
        <v>8</v>
      </c>
      <c r="N13">
        <v>8</v>
      </c>
      <c r="O13">
        <v>0</v>
      </c>
      <c r="P13">
        <v>9</v>
      </c>
      <c r="Q13">
        <v>5</v>
      </c>
      <c r="R13">
        <v>4</v>
      </c>
      <c r="S13">
        <v>8</v>
      </c>
      <c r="T13">
        <v>5</v>
      </c>
      <c r="U13">
        <v>3</v>
      </c>
      <c r="V13">
        <v>9</v>
      </c>
      <c r="W13">
        <v>6</v>
      </c>
      <c r="X13">
        <v>3</v>
      </c>
      <c r="Y13">
        <v>8</v>
      </c>
      <c r="Z13">
        <v>5</v>
      </c>
      <c r="AA13">
        <v>3</v>
      </c>
      <c r="AB13">
        <v>9</v>
      </c>
      <c r="AC13">
        <v>5</v>
      </c>
      <c r="AD13">
        <v>4</v>
      </c>
      <c r="AE13">
        <v>8</v>
      </c>
      <c r="AF13">
        <v>5</v>
      </c>
      <c r="AG13">
        <v>3</v>
      </c>
      <c r="AH13">
        <v>9</v>
      </c>
      <c r="AI13">
        <v>5</v>
      </c>
      <c r="AJ13">
        <v>4</v>
      </c>
      <c r="AK13" t="s">
        <v>237</v>
      </c>
      <c r="AL13" t="s">
        <v>238</v>
      </c>
      <c r="AM13" t="s">
        <v>239</v>
      </c>
      <c r="AN13" t="s">
        <v>240</v>
      </c>
      <c r="AO13" t="s">
        <v>241</v>
      </c>
      <c r="AP13" t="s">
        <v>242</v>
      </c>
      <c r="AQ13" t="s">
        <v>243</v>
      </c>
      <c r="AR13" t="s">
        <v>244</v>
      </c>
      <c r="AS13" t="s">
        <v>245</v>
      </c>
    </row>
    <row r="14" spans="1:45" x14ac:dyDescent="0.45">
      <c r="A14">
        <v>13</v>
      </c>
      <c r="B14">
        <v>54</v>
      </c>
      <c r="C14" t="s">
        <v>67</v>
      </c>
      <c r="D14" t="s">
        <v>184</v>
      </c>
      <c r="E14" t="s">
        <v>69</v>
      </c>
      <c r="F14" t="s">
        <v>72</v>
      </c>
      <c r="G14" t="s">
        <v>71</v>
      </c>
      <c r="H14">
        <v>12</v>
      </c>
      <c r="I14">
        <v>0</v>
      </c>
      <c r="J14">
        <v>5</v>
      </c>
      <c r="K14">
        <v>8</v>
      </c>
      <c r="L14">
        <v>-3</v>
      </c>
      <c r="M14">
        <v>6</v>
      </c>
      <c r="N14">
        <v>7</v>
      </c>
      <c r="O14">
        <v>-1</v>
      </c>
      <c r="P14">
        <v>8</v>
      </c>
      <c r="Q14">
        <v>7</v>
      </c>
      <c r="R14">
        <v>1</v>
      </c>
      <c r="S14">
        <v>7</v>
      </c>
      <c r="T14">
        <v>7</v>
      </c>
      <c r="U14">
        <v>0</v>
      </c>
      <c r="V14">
        <v>9</v>
      </c>
      <c r="W14">
        <v>7</v>
      </c>
      <c r="X14">
        <v>2</v>
      </c>
      <c r="Y14">
        <v>8</v>
      </c>
      <c r="Z14">
        <v>8</v>
      </c>
      <c r="AA14">
        <v>0</v>
      </c>
      <c r="AB14">
        <v>9</v>
      </c>
      <c r="AC14">
        <v>7</v>
      </c>
      <c r="AD14">
        <v>2</v>
      </c>
      <c r="AE14">
        <v>7</v>
      </c>
      <c r="AF14">
        <v>7</v>
      </c>
      <c r="AG14">
        <v>0</v>
      </c>
      <c r="AH14">
        <v>9</v>
      </c>
      <c r="AI14">
        <v>7</v>
      </c>
      <c r="AJ14">
        <v>2</v>
      </c>
      <c r="AK14" t="s">
        <v>246</v>
      </c>
      <c r="AL14" t="s">
        <v>247</v>
      </c>
      <c r="AM14" t="s">
        <v>248</v>
      </c>
      <c r="AN14" t="s">
        <v>249</v>
      </c>
      <c r="AO14" t="s">
        <v>250</v>
      </c>
      <c r="AP14" t="s">
        <v>251</v>
      </c>
      <c r="AQ14" t="s">
        <v>77</v>
      </c>
      <c r="AR14" t="s">
        <v>252</v>
      </c>
      <c r="AS14" t="s">
        <v>253</v>
      </c>
    </row>
    <row r="15" spans="1:45" x14ac:dyDescent="0.45">
      <c r="A15">
        <v>14</v>
      </c>
      <c r="B15">
        <v>55</v>
      </c>
      <c r="C15" t="s">
        <v>67</v>
      </c>
      <c r="D15" t="s">
        <v>68</v>
      </c>
      <c r="E15" t="s">
        <v>69</v>
      </c>
      <c r="F15" t="s">
        <v>70</v>
      </c>
      <c r="G15" t="s">
        <v>71</v>
      </c>
      <c r="H15">
        <v>19.483840115751267</v>
      </c>
      <c r="I15">
        <v>0</v>
      </c>
      <c r="J15">
        <v>7</v>
      </c>
      <c r="K15">
        <v>10</v>
      </c>
      <c r="L15">
        <v>-3</v>
      </c>
      <c r="M15">
        <v>6</v>
      </c>
      <c r="N15">
        <v>10</v>
      </c>
      <c r="O15">
        <v>-4</v>
      </c>
      <c r="P15">
        <v>9</v>
      </c>
      <c r="Q15">
        <v>8</v>
      </c>
      <c r="R15">
        <v>1</v>
      </c>
      <c r="S15">
        <v>9</v>
      </c>
      <c r="T15">
        <v>8</v>
      </c>
      <c r="U15">
        <v>1</v>
      </c>
      <c r="V15">
        <v>4</v>
      </c>
      <c r="W15">
        <v>8</v>
      </c>
      <c r="X15">
        <v>-4</v>
      </c>
      <c r="Y15">
        <v>5</v>
      </c>
      <c r="Z15">
        <v>6</v>
      </c>
      <c r="AA15">
        <v>-1</v>
      </c>
      <c r="AB15">
        <v>6</v>
      </c>
      <c r="AC15">
        <v>6</v>
      </c>
      <c r="AD15">
        <v>0</v>
      </c>
      <c r="AE15">
        <v>8</v>
      </c>
      <c r="AF15">
        <v>5</v>
      </c>
      <c r="AG15">
        <v>3</v>
      </c>
      <c r="AH15">
        <v>6</v>
      </c>
      <c r="AI15">
        <v>5</v>
      </c>
      <c r="AJ15">
        <v>1</v>
      </c>
      <c r="AK15" t="s">
        <v>672</v>
      </c>
      <c r="AL15" t="s">
        <v>889</v>
      </c>
      <c r="AM15" t="s">
        <v>890</v>
      </c>
      <c r="AN15" t="s">
        <v>891</v>
      </c>
      <c r="AO15" t="s">
        <v>892</v>
      </c>
      <c r="AP15" t="s">
        <v>893</v>
      </c>
      <c r="AQ15" t="s">
        <v>894</v>
      </c>
      <c r="AR15" t="s">
        <v>895</v>
      </c>
      <c r="AS15" t="s">
        <v>896</v>
      </c>
    </row>
    <row r="16" spans="1:45" x14ac:dyDescent="0.45">
      <c r="A16">
        <v>15</v>
      </c>
      <c r="B16">
        <v>56</v>
      </c>
      <c r="C16" t="s">
        <v>73</v>
      </c>
      <c r="D16" t="s">
        <v>68</v>
      </c>
      <c r="E16" t="s">
        <v>69</v>
      </c>
      <c r="F16" t="s">
        <v>70</v>
      </c>
      <c r="G16" t="s">
        <v>71</v>
      </c>
      <c r="H16">
        <v>36.542032616513914</v>
      </c>
      <c r="I16">
        <v>2</v>
      </c>
      <c r="J16">
        <v>7</v>
      </c>
      <c r="K16">
        <v>7</v>
      </c>
      <c r="L16">
        <v>0</v>
      </c>
      <c r="M16">
        <v>7</v>
      </c>
      <c r="N16">
        <v>9</v>
      </c>
      <c r="O16">
        <v>-2</v>
      </c>
      <c r="P16">
        <v>6</v>
      </c>
      <c r="Q16">
        <v>3</v>
      </c>
      <c r="R16">
        <v>3</v>
      </c>
      <c r="S16">
        <v>8</v>
      </c>
      <c r="T16">
        <v>6</v>
      </c>
      <c r="U16">
        <v>2</v>
      </c>
      <c r="V16">
        <v>7</v>
      </c>
      <c r="W16">
        <v>1</v>
      </c>
      <c r="X16">
        <v>6</v>
      </c>
      <c r="Y16">
        <v>7</v>
      </c>
      <c r="Z16">
        <v>1</v>
      </c>
      <c r="AA16">
        <v>6</v>
      </c>
      <c r="AB16">
        <v>6</v>
      </c>
      <c r="AC16">
        <v>1</v>
      </c>
      <c r="AD16">
        <v>5</v>
      </c>
      <c r="AE16">
        <v>7</v>
      </c>
      <c r="AF16">
        <v>1</v>
      </c>
      <c r="AG16">
        <v>6</v>
      </c>
      <c r="AH16">
        <v>8</v>
      </c>
      <c r="AI16">
        <v>1</v>
      </c>
      <c r="AJ16">
        <v>7</v>
      </c>
      <c r="AK16" t="s">
        <v>254</v>
      </c>
      <c r="AL16" t="s">
        <v>897</v>
      </c>
      <c r="AM16" t="s">
        <v>898</v>
      </c>
      <c r="AN16" t="s">
        <v>899</v>
      </c>
      <c r="AO16" t="s">
        <v>900</v>
      </c>
      <c r="AP16" t="s">
        <v>901</v>
      </c>
      <c r="AQ16" t="s">
        <v>902</v>
      </c>
      <c r="AR16" t="s">
        <v>903</v>
      </c>
      <c r="AS16" t="s">
        <v>904</v>
      </c>
    </row>
    <row r="17" spans="1:45" x14ac:dyDescent="0.45">
      <c r="A17">
        <v>16</v>
      </c>
      <c r="B17">
        <v>57</v>
      </c>
      <c r="C17" t="s">
        <v>73</v>
      </c>
      <c r="D17" t="s">
        <v>74</v>
      </c>
      <c r="E17" t="s">
        <v>69</v>
      </c>
      <c r="F17" t="s">
        <v>70</v>
      </c>
      <c r="G17" t="s">
        <v>71</v>
      </c>
      <c r="H17">
        <v>91.383156706793713</v>
      </c>
      <c r="I17">
        <v>4</v>
      </c>
      <c r="J17">
        <v>8</v>
      </c>
      <c r="K17">
        <v>8</v>
      </c>
      <c r="L17">
        <v>0</v>
      </c>
      <c r="M17">
        <v>9</v>
      </c>
      <c r="N17">
        <v>8</v>
      </c>
      <c r="O17">
        <v>1</v>
      </c>
      <c r="P17">
        <v>7</v>
      </c>
      <c r="Q17">
        <v>8</v>
      </c>
      <c r="R17">
        <v>-1</v>
      </c>
      <c r="S17">
        <v>9</v>
      </c>
      <c r="T17">
        <v>9</v>
      </c>
      <c r="U17">
        <v>0</v>
      </c>
      <c r="V17">
        <v>8</v>
      </c>
      <c r="W17">
        <v>7</v>
      </c>
      <c r="X17">
        <v>1</v>
      </c>
      <c r="Y17">
        <v>9</v>
      </c>
      <c r="Z17">
        <v>7</v>
      </c>
      <c r="AA17">
        <v>2</v>
      </c>
      <c r="AB17">
        <v>8</v>
      </c>
      <c r="AC17">
        <v>9</v>
      </c>
      <c r="AD17">
        <v>-1</v>
      </c>
      <c r="AE17">
        <v>7</v>
      </c>
      <c r="AF17">
        <v>8</v>
      </c>
      <c r="AG17">
        <v>-1</v>
      </c>
      <c r="AH17">
        <v>9</v>
      </c>
      <c r="AI17">
        <v>7</v>
      </c>
      <c r="AJ17">
        <v>2</v>
      </c>
      <c r="AK17" t="s">
        <v>905</v>
      </c>
      <c r="AL17" t="s">
        <v>906</v>
      </c>
      <c r="AM17" t="s">
        <v>907</v>
      </c>
      <c r="AN17" t="s">
        <v>908</v>
      </c>
      <c r="AO17" t="s">
        <v>909</v>
      </c>
      <c r="AP17" t="s">
        <v>910</v>
      </c>
      <c r="AQ17" t="s">
        <v>911</v>
      </c>
      <c r="AR17" t="s">
        <v>912</v>
      </c>
      <c r="AS17" t="s">
        <v>913</v>
      </c>
    </row>
    <row r="18" spans="1:45" x14ac:dyDescent="0.45">
      <c r="A18">
        <v>17</v>
      </c>
      <c r="B18">
        <v>58</v>
      </c>
      <c r="C18" t="s">
        <v>67</v>
      </c>
      <c r="D18" t="s">
        <v>76</v>
      </c>
      <c r="E18" t="s">
        <v>69</v>
      </c>
      <c r="F18" t="s">
        <v>72</v>
      </c>
      <c r="G18" t="s">
        <v>71</v>
      </c>
      <c r="H18">
        <v>19.406149604180847</v>
      </c>
      <c r="I18">
        <v>2</v>
      </c>
      <c r="J18">
        <v>8</v>
      </c>
      <c r="K18">
        <v>6</v>
      </c>
      <c r="L18">
        <v>2</v>
      </c>
      <c r="M18">
        <v>9</v>
      </c>
      <c r="N18">
        <v>7</v>
      </c>
      <c r="O18">
        <v>2</v>
      </c>
      <c r="P18">
        <v>7</v>
      </c>
      <c r="Q18">
        <v>5</v>
      </c>
      <c r="R18">
        <v>2</v>
      </c>
      <c r="S18">
        <v>8</v>
      </c>
      <c r="T18">
        <v>5</v>
      </c>
      <c r="U18">
        <v>3</v>
      </c>
      <c r="V18">
        <v>7</v>
      </c>
      <c r="W18">
        <v>6</v>
      </c>
      <c r="X18">
        <v>1</v>
      </c>
      <c r="Y18">
        <v>9</v>
      </c>
      <c r="Z18">
        <v>7</v>
      </c>
      <c r="AA18">
        <v>2</v>
      </c>
      <c r="AB18">
        <v>8</v>
      </c>
      <c r="AC18">
        <v>3</v>
      </c>
      <c r="AD18">
        <v>5</v>
      </c>
      <c r="AE18">
        <v>7</v>
      </c>
      <c r="AF18">
        <v>4</v>
      </c>
      <c r="AG18">
        <v>3</v>
      </c>
      <c r="AH18">
        <v>9</v>
      </c>
      <c r="AI18">
        <v>5</v>
      </c>
      <c r="AJ18">
        <v>4</v>
      </c>
      <c r="AK18" t="s">
        <v>914</v>
      </c>
      <c r="AL18" t="s">
        <v>915</v>
      </c>
      <c r="AM18" t="s">
        <v>916</v>
      </c>
      <c r="AN18" t="s">
        <v>917</v>
      </c>
      <c r="AO18" t="s">
        <v>918</v>
      </c>
      <c r="AP18" t="s">
        <v>919</v>
      </c>
      <c r="AQ18" t="s">
        <v>920</v>
      </c>
      <c r="AR18" t="s">
        <v>921</v>
      </c>
      <c r="AS18" t="s">
        <v>922</v>
      </c>
    </row>
    <row r="19" spans="1:45" x14ac:dyDescent="0.45">
      <c r="A19">
        <v>18</v>
      </c>
      <c r="B19">
        <v>59</v>
      </c>
      <c r="C19" t="s">
        <v>73</v>
      </c>
      <c r="D19" t="s">
        <v>74</v>
      </c>
      <c r="E19" t="s">
        <v>69</v>
      </c>
      <c r="F19" t="s">
        <v>72</v>
      </c>
      <c r="G19" t="s">
        <v>157</v>
      </c>
      <c r="H19">
        <v>15.487894146924615</v>
      </c>
      <c r="I19">
        <v>0</v>
      </c>
      <c r="J19">
        <v>6</v>
      </c>
      <c r="K19">
        <v>6</v>
      </c>
      <c r="L19">
        <v>0</v>
      </c>
      <c r="M19">
        <v>5</v>
      </c>
      <c r="N19">
        <v>8</v>
      </c>
      <c r="O19">
        <v>-3</v>
      </c>
      <c r="P19">
        <v>7</v>
      </c>
      <c r="Q19">
        <v>7</v>
      </c>
      <c r="R19">
        <v>0</v>
      </c>
      <c r="S19">
        <v>9</v>
      </c>
      <c r="T19">
        <v>8</v>
      </c>
      <c r="U19">
        <v>1</v>
      </c>
      <c r="V19">
        <v>7</v>
      </c>
      <c r="W19">
        <v>8</v>
      </c>
      <c r="X19">
        <v>-1</v>
      </c>
      <c r="Y19">
        <v>8</v>
      </c>
      <c r="Z19">
        <v>7</v>
      </c>
      <c r="AA19">
        <v>1</v>
      </c>
      <c r="AB19">
        <v>7</v>
      </c>
      <c r="AC19">
        <v>7</v>
      </c>
      <c r="AD19">
        <v>0</v>
      </c>
      <c r="AE19">
        <v>6</v>
      </c>
      <c r="AF19">
        <v>6</v>
      </c>
      <c r="AG19">
        <v>0</v>
      </c>
      <c r="AH19">
        <v>8</v>
      </c>
      <c r="AI19">
        <v>8</v>
      </c>
      <c r="AJ19">
        <v>0</v>
      </c>
      <c r="AK19" t="s">
        <v>923</v>
      </c>
      <c r="AL19" t="s">
        <v>924</v>
      </c>
      <c r="AM19" t="s">
        <v>925</v>
      </c>
      <c r="AN19" t="s">
        <v>926</v>
      </c>
      <c r="AO19" t="s">
        <v>927</v>
      </c>
      <c r="AP19" t="s">
        <v>928</v>
      </c>
      <c r="AQ19" t="s">
        <v>929</v>
      </c>
      <c r="AR19" t="s">
        <v>930</v>
      </c>
      <c r="AS19" t="s">
        <v>931</v>
      </c>
    </row>
    <row r="20" spans="1:45" x14ac:dyDescent="0.45">
      <c r="A20">
        <v>19</v>
      </c>
      <c r="B20">
        <v>60</v>
      </c>
      <c r="C20" t="s">
        <v>73</v>
      </c>
      <c r="D20" t="s">
        <v>74</v>
      </c>
      <c r="E20" t="s">
        <v>69</v>
      </c>
      <c r="F20" t="s">
        <v>72</v>
      </c>
      <c r="G20" t="s">
        <v>71</v>
      </c>
      <c r="H20">
        <v>210.91384645517641</v>
      </c>
      <c r="I20">
        <v>4</v>
      </c>
      <c r="J20">
        <v>7</v>
      </c>
      <c r="K20">
        <v>10</v>
      </c>
      <c r="L20">
        <v>-3</v>
      </c>
      <c r="M20">
        <v>8</v>
      </c>
      <c r="N20">
        <v>10</v>
      </c>
      <c r="O20">
        <v>-2</v>
      </c>
      <c r="P20">
        <v>9</v>
      </c>
      <c r="Q20">
        <v>5</v>
      </c>
      <c r="R20">
        <v>4</v>
      </c>
      <c r="S20">
        <v>8</v>
      </c>
      <c r="T20">
        <v>5</v>
      </c>
      <c r="U20">
        <v>3</v>
      </c>
      <c r="V20">
        <v>7</v>
      </c>
      <c r="W20">
        <v>5</v>
      </c>
      <c r="X20">
        <v>2</v>
      </c>
      <c r="Y20">
        <v>8</v>
      </c>
      <c r="Z20">
        <v>3</v>
      </c>
      <c r="AA20">
        <v>5</v>
      </c>
      <c r="AB20">
        <v>7</v>
      </c>
      <c r="AC20">
        <v>2</v>
      </c>
      <c r="AD20">
        <v>5</v>
      </c>
      <c r="AE20">
        <v>6</v>
      </c>
      <c r="AF20">
        <v>5</v>
      </c>
      <c r="AG20">
        <v>1</v>
      </c>
      <c r="AH20">
        <v>7</v>
      </c>
      <c r="AI20">
        <v>8</v>
      </c>
      <c r="AJ20">
        <v>-1</v>
      </c>
      <c r="AK20" t="s">
        <v>932</v>
      </c>
      <c r="AL20" t="s">
        <v>933</v>
      </c>
      <c r="AM20" t="s">
        <v>934</v>
      </c>
      <c r="AN20" t="s">
        <v>935</v>
      </c>
      <c r="AO20" t="s">
        <v>936</v>
      </c>
      <c r="AP20" t="s">
        <v>937</v>
      </c>
      <c r="AQ20" t="s">
        <v>938</v>
      </c>
      <c r="AR20" t="s">
        <v>939</v>
      </c>
      <c r="AS20" t="s">
        <v>940</v>
      </c>
    </row>
    <row r="21" spans="1:45" x14ac:dyDescent="0.45">
      <c r="A21">
        <v>20</v>
      </c>
      <c r="B21">
        <v>61</v>
      </c>
      <c r="C21" t="s">
        <v>73</v>
      </c>
      <c r="D21" t="s">
        <v>68</v>
      </c>
      <c r="E21" t="s">
        <v>69</v>
      </c>
      <c r="F21" t="s">
        <v>70</v>
      </c>
      <c r="G21" t="s">
        <v>71</v>
      </c>
      <c r="H21">
        <v>65.060057414795708</v>
      </c>
      <c r="I21">
        <v>2</v>
      </c>
      <c r="J21">
        <v>8</v>
      </c>
      <c r="K21">
        <v>9</v>
      </c>
      <c r="L21">
        <v>-1</v>
      </c>
      <c r="M21">
        <v>9</v>
      </c>
      <c r="N21">
        <v>9</v>
      </c>
      <c r="O21">
        <v>0</v>
      </c>
      <c r="P21">
        <v>8</v>
      </c>
      <c r="Q21">
        <v>7</v>
      </c>
      <c r="R21">
        <v>1</v>
      </c>
      <c r="S21">
        <v>9</v>
      </c>
      <c r="T21">
        <v>9</v>
      </c>
      <c r="U21">
        <v>0</v>
      </c>
      <c r="V21">
        <v>8</v>
      </c>
      <c r="W21">
        <v>7</v>
      </c>
      <c r="X21">
        <v>1</v>
      </c>
      <c r="Y21">
        <v>9</v>
      </c>
      <c r="Z21">
        <v>8</v>
      </c>
      <c r="AA21">
        <v>1</v>
      </c>
      <c r="AB21">
        <v>8</v>
      </c>
      <c r="AC21">
        <v>5</v>
      </c>
      <c r="AD21">
        <v>3</v>
      </c>
      <c r="AE21">
        <v>9</v>
      </c>
      <c r="AF21">
        <v>5</v>
      </c>
      <c r="AG21">
        <v>4</v>
      </c>
      <c r="AH21">
        <v>8</v>
      </c>
      <c r="AI21">
        <v>6</v>
      </c>
      <c r="AJ21">
        <v>2</v>
      </c>
      <c r="AK21" t="s">
        <v>255</v>
      </c>
      <c r="AL21" t="s">
        <v>941</v>
      </c>
      <c r="AM21" t="s">
        <v>942</v>
      </c>
      <c r="AN21" t="s">
        <v>943</v>
      </c>
      <c r="AO21" t="s">
        <v>944</v>
      </c>
      <c r="AP21" t="s">
        <v>945</v>
      </c>
      <c r="AQ21" t="s">
        <v>946</v>
      </c>
      <c r="AR21" t="s">
        <v>947</v>
      </c>
      <c r="AS21" t="s">
        <v>948</v>
      </c>
    </row>
    <row r="22" spans="1:45" x14ac:dyDescent="0.45">
      <c r="A22">
        <v>21</v>
      </c>
      <c r="B22">
        <v>62</v>
      </c>
      <c r="C22" t="s">
        <v>67</v>
      </c>
      <c r="D22" t="s">
        <v>74</v>
      </c>
      <c r="E22" t="s">
        <v>69</v>
      </c>
      <c r="F22" t="s">
        <v>72</v>
      </c>
      <c r="G22" t="s">
        <v>71</v>
      </c>
      <c r="H22">
        <v>156.3407739523318</v>
      </c>
      <c r="I22">
        <v>3</v>
      </c>
      <c r="J22">
        <v>7</v>
      </c>
      <c r="K22">
        <v>10</v>
      </c>
      <c r="L22">
        <v>-3</v>
      </c>
      <c r="M22">
        <v>8</v>
      </c>
      <c r="N22">
        <v>10</v>
      </c>
      <c r="O22">
        <v>-2</v>
      </c>
      <c r="P22">
        <v>7</v>
      </c>
      <c r="Q22">
        <v>8</v>
      </c>
      <c r="R22">
        <v>-1</v>
      </c>
      <c r="S22">
        <v>9</v>
      </c>
      <c r="T22">
        <v>7</v>
      </c>
      <c r="U22">
        <v>2</v>
      </c>
      <c r="V22">
        <v>6</v>
      </c>
      <c r="W22">
        <v>7</v>
      </c>
      <c r="X22">
        <v>-1</v>
      </c>
      <c r="Y22">
        <v>8</v>
      </c>
      <c r="Z22">
        <v>7</v>
      </c>
      <c r="AA22">
        <v>1</v>
      </c>
      <c r="AB22">
        <v>7</v>
      </c>
      <c r="AC22">
        <v>2</v>
      </c>
      <c r="AD22">
        <v>5</v>
      </c>
      <c r="AE22">
        <v>8</v>
      </c>
      <c r="AF22">
        <v>3</v>
      </c>
      <c r="AG22">
        <v>5</v>
      </c>
      <c r="AH22">
        <v>9</v>
      </c>
      <c r="AI22">
        <v>3</v>
      </c>
      <c r="AJ22">
        <v>6</v>
      </c>
      <c r="AK22" t="s">
        <v>949</v>
      </c>
      <c r="AL22" t="s">
        <v>950</v>
      </c>
      <c r="AM22" t="s">
        <v>951</v>
      </c>
      <c r="AN22" t="s">
        <v>952</v>
      </c>
      <c r="AO22" t="s">
        <v>953</v>
      </c>
      <c r="AP22" t="s">
        <v>954</v>
      </c>
      <c r="AQ22" t="s">
        <v>955</v>
      </c>
      <c r="AR22" t="s">
        <v>956</v>
      </c>
      <c r="AS22" t="s">
        <v>957</v>
      </c>
    </row>
    <row r="23" spans="1:45" x14ac:dyDescent="0.45">
      <c r="A23">
        <v>22</v>
      </c>
      <c r="B23">
        <v>63</v>
      </c>
      <c r="C23" t="s">
        <v>67</v>
      </c>
      <c r="D23" t="s">
        <v>184</v>
      </c>
      <c r="E23" t="s">
        <v>69</v>
      </c>
      <c r="F23" t="s">
        <v>72</v>
      </c>
      <c r="G23" t="s">
        <v>71</v>
      </c>
      <c r="H23">
        <v>15.17780202053744</v>
      </c>
      <c r="I23">
        <v>0</v>
      </c>
      <c r="J23">
        <v>7</v>
      </c>
      <c r="K23">
        <v>8</v>
      </c>
      <c r="L23">
        <v>-1</v>
      </c>
      <c r="M23">
        <v>6</v>
      </c>
      <c r="N23">
        <v>8</v>
      </c>
      <c r="O23">
        <v>-2</v>
      </c>
      <c r="P23">
        <v>8</v>
      </c>
      <c r="Q23">
        <v>5</v>
      </c>
      <c r="R23">
        <v>3</v>
      </c>
      <c r="S23">
        <v>9</v>
      </c>
      <c r="T23">
        <v>8</v>
      </c>
      <c r="U23">
        <v>1</v>
      </c>
      <c r="V23">
        <v>8</v>
      </c>
      <c r="W23">
        <v>8</v>
      </c>
      <c r="X23">
        <v>0</v>
      </c>
      <c r="Y23">
        <v>9</v>
      </c>
      <c r="Z23">
        <v>8</v>
      </c>
      <c r="AA23">
        <v>1</v>
      </c>
      <c r="AB23">
        <v>8</v>
      </c>
      <c r="AC23">
        <v>8</v>
      </c>
      <c r="AD23">
        <v>0</v>
      </c>
      <c r="AE23">
        <v>7</v>
      </c>
      <c r="AF23">
        <v>8</v>
      </c>
      <c r="AG23">
        <v>-1</v>
      </c>
      <c r="AH23">
        <v>9</v>
      </c>
      <c r="AI23">
        <v>8</v>
      </c>
      <c r="AJ23">
        <v>1</v>
      </c>
      <c r="AK23" t="s">
        <v>958</v>
      </c>
      <c r="AL23" t="s">
        <v>959</v>
      </c>
      <c r="AM23" t="s">
        <v>960</v>
      </c>
      <c r="AN23" t="s">
        <v>961</v>
      </c>
      <c r="AO23" t="s">
        <v>962</v>
      </c>
      <c r="AP23" t="s">
        <v>963</v>
      </c>
      <c r="AQ23" t="s">
        <v>964</v>
      </c>
      <c r="AR23" t="s">
        <v>965</v>
      </c>
      <c r="AS23" t="s">
        <v>966</v>
      </c>
    </row>
    <row r="24" spans="1:45" x14ac:dyDescent="0.45">
      <c r="A24">
        <v>23</v>
      </c>
      <c r="B24">
        <v>64</v>
      </c>
      <c r="C24" t="s">
        <v>67</v>
      </c>
      <c r="D24" t="s">
        <v>74</v>
      </c>
      <c r="E24" t="s">
        <v>69</v>
      </c>
      <c r="F24" t="s">
        <v>70</v>
      </c>
      <c r="G24" t="s">
        <v>71</v>
      </c>
      <c r="H24">
        <v>90.91008276878496</v>
      </c>
      <c r="I24">
        <v>3</v>
      </c>
      <c r="J24">
        <v>7</v>
      </c>
      <c r="K24">
        <v>5</v>
      </c>
      <c r="L24">
        <v>2</v>
      </c>
      <c r="M24">
        <v>8</v>
      </c>
      <c r="N24">
        <v>5</v>
      </c>
      <c r="O24">
        <v>3</v>
      </c>
      <c r="P24">
        <v>9</v>
      </c>
      <c r="Q24">
        <v>5</v>
      </c>
      <c r="R24">
        <v>4</v>
      </c>
      <c r="S24">
        <v>8</v>
      </c>
      <c r="T24">
        <v>5</v>
      </c>
      <c r="U24">
        <v>3</v>
      </c>
      <c r="V24">
        <v>7</v>
      </c>
      <c r="W24">
        <v>5</v>
      </c>
      <c r="X24">
        <v>2</v>
      </c>
      <c r="Y24">
        <v>9</v>
      </c>
      <c r="Z24">
        <v>5</v>
      </c>
      <c r="AA24">
        <v>4</v>
      </c>
      <c r="AB24">
        <v>6</v>
      </c>
      <c r="AC24">
        <v>5</v>
      </c>
      <c r="AD24">
        <v>1</v>
      </c>
      <c r="AE24">
        <v>8</v>
      </c>
      <c r="AF24">
        <v>5</v>
      </c>
      <c r="AG24">
        <v>3</v>
      </c>
      <c r="AH24">
        <v>9</v>
      </c>
      <c r="AI24">
        <v>5</v>
      </c>
      <c r="AJ24">
        <v>4</v>
      </c>
      <c r="AK24" t="s">
        <v>673</v>
      </c>
      <c r="AL24" t="s">
        <v>967</v>
      </c>
      <c r="AM24" t="s">
        <v>968</v>
      </c>
      <c r="AN24" t="s">
        <v>969</v>
      </c>
      <c r="AO24" t="s">
        <v>970</v>
      </c>
      <c r="AP24" t="s">
        <v>971</v>
      </c>
      <c r="AQ24" t="s">
        <v>972</v>
      </c>
      <c r="AR24" t="s">
        <v>973</v>
      </c>
      <c r="AS24" t="s">
        <v>974</v>
      </c>
    </row>
    <row r="25" spans="1:45" x14ac:dyDescent="0.45">
      <c r="A25">
        <v>24</v>
      </c>
      <c r="B25">
        <v>65</v>
      </c>
      <c r="C25" t="s">
        <v>67</v>
      </c>
      <c r="D25" t="s">
        <v>68</v>
      </c>
      <c r="E25" t="s">
        <v>75</v>
      </c>
      <c r="F25" t="s">
        <v>72</v>
      </c>
      <c r="G25" t="s">
        <v>71</v>
      </c>
      <c r="H25">
        <v>24.600300732680093</v>
      </c>
      <c r="I25">
        <v>2</v>
      </c>
      <c r="J25">
        <v>7</v>
      </c>
      <c r="K25">
        <v>9</v>
      </c>
      <c r="L25">
        <v>-2</v>
      </c>
      <c r="M25">
        <v>8</v>
      </c>
      <c r="N25">
        <v>8</v>
      </c>
      <c r="O25">
        <v>0</v>
      </c>
      <c r="P25">
        <v>9</v>
      </c>
      <c r="Q25">
        <v>6</v>
      </c>
      <c r="R25">
        <v>3</v>
      </c>
      <c r="S25">
        <v>9</v>
      </c>
      <c r="T25">
        <v>9</v>
      </c>
      <c r="U25">
        <v>0</v>
      </c>
      <c r="V25">
        <v>8</v>
      </c>
      <c r="W25">
        <v>8</v>
      </c>
      <c r="X25">
        <v>0</v>
      </c>
      <c r="Y25">
        <v>9</v>
      </c>
      <c r="Z25">
        <v>10</v>
      </c>
      <c r="AA25">
        <v>-1</v>
      </c>
      <c r="AB25">
        <v>8</v>
      </c>
      <c r="AC25">
        <v>6</v>
      </c>
      <c r="AD25">
        <v>2</v>
      </c>
      <c r="AE25">
        <v>7</v>
      </c>
      <c r="AF25">
        <v>6</v>
      </c>
      <c r="AG25">
        <v>1</v>
      </c>
      <c r="AH25">
        <v>9</v>
      </c>
      <c r="AI25">
        <v>8</v>
      </c>
      <c r="AJ25">
        <v>1</v>
      </c>
      <c r="AK25" t="s">
        <v>975</v>
      </c>
      <c r="AL25" t="s">
        <v>976</v>
      </c>
      <c r="AM25" t="s">
        <v>977</v>
      </c>
      <c r="AN25" t="s">
        <v>978</v>
      </c>
      <c r="AO25" t="s">
        <v>979</v>
      </c>
      <c r="AP25" t="s">
        <v>980</v>
      </c>
      <c r="AQ25" t="s">
        <v>981</v>
      </c>
      <c r="AR25" t="s">
        <v>982</v>
      </c>
      <c r="AS25" t="s">
        <v>983</v>
      </c>
    </row>
    <row r="26" spans="1:45" x14ac:dyDescent="0.45">
      <c r="A26">
        <v>25</v>
      </c>
      <c r="B26">
        <v>66</v>
      </c>
      <c r="C26" t="s">
        <v>73</v>
      </c>
      <c r="D26" t="s">
        <v>68</v>
      </c>
      <c r="E26" t="s">
        <v>69</v>
      </c>
      <c r="F26" t="s">
        <v>70</v>
      </c>
      <c r="G26" t="s">
        <v>71</v>
      </c>
      <c r="H26">
        <v>33.604279442095795</v>
      </c>
      <c r="I26">
        <v>1</v>
      </c>
      <c r="J26">
        <v>7</v>
      </c>
      <c r="K26">
        <v>6</v>
      </c>
      <c r="L26">
        <v>1</v>
      </c>
      <c r="M26">
        <v>6</v>
      </c>
      <c r="N26">
        <v>7</v>
      </c>
      <c r="O26">
        <v>-1</v>
      </c>
      <c r="P26">
        <v>7</v>
      </c>
      <c r="Q26">
        <v>5</v>
      </c>
      <c r="R26">
        <v>2</v>
      </c>
      <c r="S26">
        <v>8</v>
      </c>
      <c r="T26">
        <v>6</v>
      </c>
      <c r="U26">
        <v>2</v>
      </c>
      <c r="V26">
        <v>9</v>
      </c>
      <c r="W26">
        <v>7</v>
      </c>
      <c r="X26">
        <v>2</v>
      </c>
      <c r="Y26">
        <v>8</v>
      </c>
      <c r="Z26">
        <v>7</v>
      </c>
      <c r="AA26">
        <v>1</v>
      </c>
      <c r="AB26">
        <v>9</v>
      </c>
      <c r="AC26">
        <v>3</v>
      </c>
      <c r="AD26">
        <v>6</v>
      </c>
      <c r="AE26">
        <v>7</v>
      </c>
      <c r="AF26">
        <v>3</v>
      </c>
      <c r="AG26">
        <v>4</v>
      </c>
      <c r="AH26">
        <v>9</v>
      </c>
      <c r="AI26">
        <v>5</v>
      </c>
      <c r="AJ26">
        <v>4</v>
      </c>
      <c r="AK26" t="s">
        <v>256</v>
      </c>
      <c r="AL26" t="s">
        <v>984</v>
      </c>
      <c r="AM26" t="s">
        <v>985</v>
      </c>
      <c r="AN26" t="s">
        <v>986</v>
      </c>
      <c r="AO26" t="s">
        <v>987</v>
      </c>
      <c r="AP26" t="s">
        <v>988</v>
      </c>
      <c r="AQ26" t="s">
        <v>989</v>
      </c>
      <c r="AR26" t="s">
        <v>990</v>
      </c>
      <c r="AS26" t="s">
        <v>991</v>
      </c>
    </row>
    <row r="27" spans="1:45" x14ac:dyDescent="0.45">
      <c r="A27">
        <v>26</v>
      </c>
      <c r="B27">
        <v>67</v>
      </c>
      <c r="C27" t="s">
        <v>73</v>
      </c>
      <c r="D27" t="s">
        <v>68</v>
      </c>
      <c r="E27" t="s">
        <v>69</v>
      </c>
      <c r="F27" t="s">
        <v>70</v>
      </c>
      <c r="G27" t="s">
        <v>71</v>
      </c>
      <c r="H27">
        <v>12</v>
      </c>
      <c r="I27">
        <v>4</v>
      </c>
      <c r="J27">
        <v>9</v>
      </c>
      <c r="K27">
        <v>10</v>
      </c>
      <c r="L27">
        <v>-1</v>
      </c>
      <c r="M27">
        <v>8</v>
      </c>
      <c r="N27">
        <v>10</v>
      </c>
      <c r="O27">
        <v>-2</v>
      </c>
      <c r="P27">
        <v>9</v>
      </c>
      <c r="Q27">
        <v>10</v>
      </c>
      <c r="R27">
        <v>-1</v>
      </c>
      <c r="S27">
        <v>8</v>
      </c>
      <c r="T27">
        <v>6</v>
      </c>
      <c r="U27">
        <v>2</v>
      </c>
      <c r="V27">
        <v>9</v>
      </c>
      <c r="W27">
        <v>6</v>
      </c>
      <c r="X27">
        <v>3</v>
      </c>
      <c r="Y27">
        <v>8</v>
      </c>
      <c r="Z27">
        <v>10</v>
      </c>
      <c r="AA27">
        <v>-2</v>
      </c>
      <c r="AB27">
        <v>9</v>
      </c>
      <c r="AC27">
        <v>1</v>
      </c>
      <c r="AD27">
        <v>8</v>
      </c>
      <c r="AE27">
        <v>8</v>
      </c>
      <c r="AF27">
        <v>4</v>
      </c>
      <c r="AG27">
        <v>4</v>
      </c>
      <c r="AH27">
        <v>9</v>
      </c>
      <c r="AI27">
        <v>10</v>
      </c>
      <c r="AJ27">
        <v>-1</v>
      </c>
      <c r="AK27" t="s">
        <v>257</v>
      </c>
      <c r="AL27" t="s">
        <v>258</v>
      </c>
      <c r="AM27" t="s">
        <v>259</v>
      </c>
      <c r="AN27" t="s">
        <v>260</v>
      </c>
      <c r="AO27" t="s">
        <v>261</v>
      </c>
      <c r="AP27" t="s">
        <v>262</v>
      </c>
      <c r="AQ27" t="s">
        <v>263</v>
      </c>
      <c r="AR27" t="s">
        <v>264</v>
      </c>
      <c r="AS27" t="s">
        <v>265</v>
      </c>
    </row>
    <row r="28" spans="1:45" x14ac:dyDescent="0.45">
      <c r="A28">
        <v>27</v>
      </c>
      <c r="B28">
        <v>68</v>
      </c>
      <c r="C28" t="s">
        <v>73</v>
      </c>
      <c r="D28" t="s">
        <v>184</v>
      </c>
      <c r="E28" t="s">
        <v>69</v>
      </c>
      <c r="F28" t="s">
        <v>72</v>
      </c>
      <c r="G28" t="s">
        <v>71</v>
      </c>
      <c r="H28">
        <v>12</v>
      </c>
      <c r="I28">
        <v>0</v>
      </c>
      <c r="J28">
        <v>7</v>
      </c>
      <c r="K28">
        <v>1</v>
      </c>
      <c r="L28">
        <v>6</v>
      </c>
      <c r="M28">
        <v>6</v>
      </c>
      <c r="N28">
        <v>1</v>
      </c>
      <c r="O28">
        <v>5</v>
      </c>
      <c r="P28">
        <v>9</v>
      </c>
      <c r="Q28">
        <v>1</v>
      </c>
      <c r="R28">
        <v>8</v>
      </c>
      <c r="S28">
        <v>8</v>
      </c>
      <c r="T28">
        <v>1</v>
      </c>
      <c r="U28">
        <v>7</v>
      </c>
      <c r="V28">
        <v>7</v>
      </c>
      <c r="W28">
        <v>1</v>
      </c>
      <c r="X28">
        <v>6</v>
      </c>
      <c r="Y28">
        <v>9</v>
      </c>
      <c r="Z28">
        <v>1</v>
      </c>
      <c r="AA28">
        <v>8</v>
      </c>
      <c r="AB28">
        <v>8</v>
      </c>
      <c r="AC28">
        <v>1</v>
      </c>
      <c r="AD28">
        <v>7</v>
      </c>
      <c r="AE28">
        <v>7</v>
      </c>
      <c r="AF28">
        <v>1</v>
      </c>
      <c r="AG28">
        <v>6</v>
      </c>
      <c r="AH28">
        <v>9</v>
      </c>
      <c r="AI28">
        <v>1</v>
      </c>
      <c r="AJ28">
        <v>8</v>
      </c>
      <c r="AK28" t="s">
        <v>266</v>
      </c>
      <c r="AL28" t="s">
        <v>267</v>
      </c>
      <c r="AM28" t="s">
        <v>268</v>
      </c>
      <c r="AN28" t="s">
        <v>269</v>
      </c>
      <c r="AO28" t="s">
        <v>270</v>
      </c>
      <c r="AP28" t="s">
        <v>271</v>
      </c>
      <c r="AQ28" t="s">
        <v>272</v>
      </c>
      <c r="AR28" t="s">
        <v>273</v>
      </c>
      <c r="AS28" t="s">
        <v>274</v>
      </c>
    </row>
    <row r="29" spans="1:45" x14ac:dyDescent="0.45">
      <c r="A29">
        <v>28</v>
      </c>
      <c r="B29">
        <v>69</v>
      </c>
      <c r="C29" t="s">
        <v>73</v>
      </c>
      <c r="D29" t="s">
        <v>76</v>
      </c>
      <c r="E29" t="s">
        <v>69</v>
      </c>
      <c r="F29" t="s">
        <v>72</v>
      </c>
      <c r="G29" t="s">
        <v>71</v>
      </c>
      <c r="H29">
        <v>16.336053168367823</v>
      </c>
      <c r="I29">
        <v>0</v>
      </c>
      <c r="J29">
        <v>8</v>
      </c>
      <c r="K29">
        <v>1</v>
      </c>
      <c r="L29">
        <v>7</v>
      </c>
      <c r="M29">
        <v>9</v>
      </c>
      <c r="N29">
        <v>1</v>
      </c>
      <c r="O29">
        <v>8</v>
      </c>
      <c r="P29">
        <v>8</v>
      </c>
      <c r="Q29">
        <v>1</v>
      </c>
      <c r="R29">
        <v>7</v>
      </c>
      <c r="S29">
        <v>9</v>
      </c>
      <c r="T29">
        <v>1</v>
      </c>
      <c r="U29">
        <v>8</v>
      </c>
      <c r="V29">
        <v>8</v>
      </c>
      <c r="W29">
        <v>1</v>
      </c>
      <c r="X29">
        <v>7</v>
      </c>
      <c r="Y29">
        <v>9</v>
      </c>
      <c r="Z29">
        <v>1</v>
      </c>
      <c r="AA29">
        <v>8</v>
      </c>
      <c r="AB29">
        <v>8</v>
      </c>
      <c r="AC29">
        <v>1</v>
      </c>
      <c r="AD29">
        <v>7</v>
      </c>
      <c r="AE29">
        <v>9</v>
      </c>
      <c r="AF29">
        <v>1</v>
      </c>
      <c r="AG29">
        <v>8</v>
      </c>
      <c r="AH29">
        <v>10</v>
      </c>
      <c r="AI29">
        <v>1</v>
      </c>
      <c r="AJ29">
        <v>9</v>
      </c>
      <c r="AK29" t="s">
        <v>992</v>
      </c>
      <c r="AL29" t="s">
        <v>993</v>
      </c>
      <c r="AM29" t="s">
        <v>994</v>
      </c>
      <c r="AN29" t="s">
        <v>275</v>
      </c>
      <c r="AO29" t="s">
        <v>995</v>
      </c>
      <c r="AP29" t="s">
        <v>996</v>
      </c>
      <c r="AQ29" t="s">
        <v>997</v>
      </c>
      <c r="AR29" t="s">
        <v>609</v>
      </c>
      <c r="AS29" t="s">
        <v>998</v>
      </c>
    </row>
    <row r="30" spans="1:45" x14ac:dyDescent="0.45">
      <c r="A30">
        <v>29</v>
      </c>
      <c r="B30">
        <v>70</v>
      </c>
      <c r="C30" t="s">
        <v>67</v>
      </c>
      <c r="D30" t="s">
        <v>184</v>
      </c>
      <c r="E30" t="s">
        <v>69</v>
      </c>
      <c r="F30" t="s">
        <v>72</v>
      </c>
      <c r="G30" t="s">
        <v>71</v>
      </c>
      <c r="H30">
        <v>16.4628292036559</v>
      </c>
      <c r="I30">
        <v>0</v>
      </c>
      <c r="J30">
        <v>6</v>
      </c>
      <c r="K30">
        <v>10</v>
      </c>
      <c r="L30">
        <v>-4</v>
      </c>
      <c r="M30">
        <v>8</v>
      </c>
      <c r="N30">
        <v>10</v>
      </c>
      <c r="O30">
        <v>-2</v>
      </c>
      <c r="P30">
        <v>7</v>
      </c>
      <c r="Q30">
        <v>9</v>
      </c>
      <c r="R30">
        <v>-2</v>
      </c>
      <c r="S30">
        <v>9</v>
      </c>
      <c r="T30">
        <v>10</v>
      </c>
      <c r="U30">
        <v>-1</v>
      </c>
      <c r="V30">
        <v>7</v>
      </c>
      <c r="W30">
        <v>10</v>
      </c>
      <c r="X30">
        <v>-3</v>
      </c>
      <c r="Y30">
        <v>9</v>
      </c>
      <c r="Z30">
        <v>9</v>
      </c>
      <c r="AA30">
        <v>0</v>
      </c>
      <c r="AB30">
        <v>7</v>
      </c>
      <c r="AC30">
        <v>10</v>
      </c>
      <c r="AD30">
        <v>-3</v>
      </c>
      <c r="AE30">
        <v>8</v>
      </c>
      <c r="AF30">
        <v>10</v>
      </c>
      <c r="AG30">
        <v>-2</v>
      </c>
      <c r="AH30">
        <v>7</v>
      </c>
      <c r="AI30">
        <v>10</v>
      </c>
      <c r="AJ30">
        <v>-3</v>
      </c>
      <c r="AK30" t="s">
        <v>999</v>
      </c>
      <c r="AL30" t="s">
        <v>1000</v>
      </c>
      <c r="AM30" t="s">
        <v>1001</v>
      </c>
      <c r="AN30" t="s">
        <v>1002</v>
      </c>
      <c r="AO30" t="s">
        <v>1003</v>
      </c>
      <c r="AP30" t="s">
        <v>1004</v>
      </c>
      <c r="AQ30" t="s">
        <v>1005</v>
      </c>
      <c r="AR30" t="s">
        <v>1006</v>
      </c>
      <c r="AS30" t="s">
        <v>1007</v>
      </c>
    </row>
    <row r="31" spans="1:45" x14ac:dyDescent="0.45">
      <c r="A31">
        <v>30</v>
      </c>
      <c r="B31">
        <v>71</v>
      </c>
      <c r="C31" t="s">
        <v>67</v>
      </c>
      <c r="D31" t="s">
        <v>184</v>
      </c>
      <c r="E31" t="s">
        <v>69</v>
      </c>
      <c r="F31" t="s">
        <v>72</v>
      </c>
      <c r="G31" t="s">
        <v>71</v>
      </c>
      <c r="H31">
        <v>12.223520163452035</v>
      </c>
      <c r="I31">
        <v>0</v>
      </c>
      <c r="J31">
        <v>8</v>
      </c>
      <c r="K31">
        <v>10</v>
      </c>
      <c r="L31">
        <v>-2</v>
      </c>
      <c r="M31">
        <v>9</v>
      </c>
      <c r="N31">
        <v>10</v>
      </c>
      <c r="O31">
        <v>-1</v>
      </c>
      <c r="P31">
        <v>8</v>
      </c>
      <c r="Q31">
        <v>9</v>
      </c>
      <c r="R31">
        <v>-1</v>
      </c>
      <c r="S31">
        <v>9</v>
      </c>
      <c r="T31">
        <v>10</v>
      </c>
      <c r="U31">
        <v>-1</v>
      </c>
      <c r="V31">
        <v>8</v>
      </c>
      <c r="W31">
        <v>10</v>
      </c>
      <c r="X31">
        <v>-2</v>
      </c>
      <c r="Y31">
        <v>9</v>
      </c>
      <c r="Z31">
        <v>10</v>
      </c>
      <c r="AA31">
        <v>-1</v>
      </c>
      <c r="AB31">
        <v>8</v>
      </c>
      <c r="AC31">
        <v>10</v>
      </c>
      <c r="AD31">
        <v>-2</v>
      </c>
      <c r="AE31">
        <v>9</v>
      </c>
      <c r="AF31">
        <v>10</v>
      </c>
      <c r="AG31">
        <v>-1</v>
      </c>
      <c r="AH31">
        <v>8</v>
      </c>
      <c r="AI31">
        <v>10</v>
      </c>
      <c r="AJ31">
        <v>-2</v>
      </c>
      <c r="AK31" t="s">
        <v>1008</v>
      </c>
      <c r="AL31" t="s">
        <v>1009</v>
      </c>
      <c r="AM31" t="s">
        <v>1010</v>
      </c>
      <c r="AN31" t="s">
        <v>1011</v>
      </c>
      <c r="AO31" t="s">
        <v>1012</v>
      </c>
      <c r="AP31" t="s">
        <v>1013</v>
      </c>
      <c r="AQ31" t="s">
        <v>1014</v>
      </c>
      <c r="AR31" t="s">
        <v>1015</v>
      </c>
      <c r="AS31" t="s">
        <v>1016</v>
      </c>
    </row>
    <row r="32" spans="1:45" x14ac:dyDescent="0.45">
      <c r="A32">
        <v>31</v>
      </c>
      <c r="B32">
        <v>72</v>
      </c>
      <c r="C32" t="s">
        <v>67</v>
      </c>
      <c r="D32" t="s">
        <v>76</v>
      </c>
      <c r="E32" t="s">
        <v>69</v>
      </c>
      <c r="F32" t="s">
        <v>72</v>
      </c>
      <c r="G32" t="s">
        <v>71</v>
      </c>
      <c r="H32">
        <v>27.385769839953532</v>
      </c>
      <c r="I32">
        <v>0</v>
      </c>
      <c r="J32">
        <v>9</v>
      </c>
      <c r="K32">
        <v>10</v>
      </c>
      <c r="L32">
        <v>-1</v>
      </c>
      <c r="M32">
        <v>8</v>
      </c>
      <c r="N32">
        <v>7</v>
      </c>
      <c r="O32">
        <v>1</v>
      </c>
      <c r="P32">
        <v>9</v>
      </c>
      <c r="Q32">
        <v>10</v>
      </c>
      <c r="R32">
        <v>-1</v>
      </c>
      <c r="S32">
        <v>8</v>
      </c>
      <c r="T32">
        <v>7</v>
      </c>
      <c r="U32">
        <v>1</v>
      </c>
      <c r="V32">
        <v>9</v>
      </c>
      <c r="W32">
        <v>10</v>
      </c>
      <c r="X32">
        <v>-1</v>
      </c>
      <c r="Y32">
        <v>8</v>
      </c>
      <c r="Z32">
        <v>10</v>
      </c>
      <c r="AA32">
        <v>-2</v>
      </c>
      <c r="AB32">
        <v>9</v>
      </c>
      <c r="AC32">
        <v>3</v>
      </c>
      <c r="AD32">
        <v>6</v>
      </c>
      <c r="AE32">
        <v>8</v>
      </c>
      <c r="AF32">
        <v>5</v>
      </c>
      <c r="AG32">
        <v>3</v>
      </c>
      <c r="AH32">
        <v>9</v>
      </c>
      <c r="AI32">
        <v>8</v>
      </c>
      <c r="AJ32">
        <v>1</v>
      </c>
      <c r="AK32" t="s">
        <v>1017</v>
      </c>
      <c r="AL32" t="s">
        <v>1018</v>
      </c>
      <c r="AM32" t="s">
        <v>1019</v>
      </c>
      <c r="AN32" t="s">
        <v>1020</v>
      </c>
      <c r="AO32" t="s">
        <v>1021</v>
      </c>
      <c r="AP32" t="s">
        <v>1022</v>
      </c>
      <c r="AQ32" t="s">
        <v>1023</v>
      </c>
      <c r="AR32" t="s">
        <v>1024</v>
      </c>
      <c r="AS32" t="s">
        <v>1025</v>
      </c>
    </row>
    <row r="33" spans="1:45" x14ac:dyDescent="0.45">
      <c r="A33">
        <v>32</v>
      </c>
      <c r="B33">
        <v>73</v>
      </c>
      <c r="C33" t="s">
        <v>67</v>
      </c>
      <c r="D33" t="s">
        <v>184</v>
      </c>
      <c r="E33" t="s">
        <v>69</v>
      </c>
      <c r="F33" t="s">
        <v>72</v>
      </c>
      <c r="G33" t="s">
        <v>71</v>
      </c>
      <c r="H33">
        <v>26.973310439591643</v>
      </c>
      <c r="I33">
        <v>0</v>
      </c>
      <c r="J33">
        <v>7</v>
      </c>
      <c r="K33">
        <v>5</v>
      </c>
      <c r="L33">
        <v>2</v>
      </c>
      <c r="M33">
        <v>6</v>
      </c>
      <c r="N33">
        <v>5</v>
      </c>
      <c r="O33">
        <v>1</v>
      </c>
      <c r="P33">
        <v>9</v>
      </c>
      <c r="Q33">
        <v>5</v>
      </c>
      <c r="R33">
        <v>4</v>
      </c>
      <c r="S33">
        <v>8</v>
      </c>
      <c r="T33">
        <v>5</v>
      </c>
      <c r="U33">
        <v>3</v>
      </c>
      <c r="V33">
        <v>7</v>
      </c>
      <c r="W33">
        <v>5</v>
      </c>
      <c r="X33">
        <v>2</v>
      </c>
      <c r="Y33">
        <v>8</v>
      </c>
      <c r="Z33">
        <v>5</v>
      </c>
      <c r="AA33">
        <v>3</v>
      </c>
      <c r="AB33">
        <v>7</v>
      </c>
      <c r="AC33">
        <v>5</v>
      </c>
      <c r="AD33">
        <v>2</v>
      </c>
      <c r="AE33">
        <v>6</v>
      </c>
      <c r="AF33">
        <v>5</v>
      </c>
      <c r="AG33">
        <v>1</v>
      </c>
      <c r="AH33">
        <v>8</v>
      </c>
      <c r="AI33">
        <v>5</v>
      </c>
      <c r="AJ33">
        <v>3</v>
      </c>
      <c r="AK33" t="s">
        <v>1026</v>
      </c>
      <c r="AL33" t="s">
        <v>1027</v>
      </c>
      <c r="AM33" t="s">
        <v>1028</v>
      </c>
      <c r="AN33" t="s">
        <v>1029</v>
      </c>
      <c r="AO33" t="s">
        <v>1030</v>
      </c>
      <c r="AP33" t="s">
        <v>1031</v>
      </c>
      <c r="AQ33" t="s">
        <v>1032</v>
      </c>
      <c r="AR33" t="s">
        <v>1033</v>
      </c>
      <c r="AS33" t="s">
        <v>1034</v>
      </c>
    </row>
    <row r="34" spans="1:45" x14ac:dyDescent="0.45">
      <c r="A34">
        <v>33</v>
      </c>
      <c r="B34">
        <v>74</v>
      </c>
      <c r="C34" t="s">
        <v>67</v>
      </c>
      <c r="D34" t="s">
        <v>76</v>
      </c>
      <c r="E34" t="s">
        <v>69</v>
      </c>
      <c r="F34" t="s">
        <v>72</v>
      </c>
      <c r="G34" t="s">
        <v>71</v>
      </c>
      <c r="H34">
        <v>30.936371302917472</v>
      </c>
      <c r="I34">
        <v>0</v>
      </c>
      <c r="J34">
        <v>8</v>
      </c>
      <c r="K34">
        <v>8</v>
      </c>
      <c r="L34">
        <v>0</v>
      </c>
      <c r="M34">
        <v>7</v>
      </c>
      <c r="N34">
        <v>9</v>
      </c>
      <c r="O34">
        <v>-2</v>
      </c>
      <c r="P34">
        <v>9</v>
      </c>
      <c r="Q34">
        <v>7</v>
      </c>
      <c r="R34">
        <v>2</v>
      </c>
      <c r="S34">
        <v>8</v>
      </c>
      <c r="T34">
        <v>8</v>
      </c>
      <c r="U34">
        <v>0</v>
      </c>
      <c r="V34">
        <v>9</v>
      </c>
      <c r="W34">
        <v>8</v>
      </c>
      <c r="X34">
        <v>1</v>
      </c>
      <c r="Y34">
        <v>8</v>
      </c>
      <c r="Z34">
        <v>8</v>
      </c>
      <c r="AA34">
        <v>0</v>
      </c>
      <c r="AB34">
        <v>9</v>
      </c>
      <c r="AC34">
        <v>3</v>
      </c>
      <c r="AD34">
        <v>6</v>
      </c>
      <c r="AE34">
        <v>8</v>
      </c>
      <c r="AF34">
        <v>6</v>
      </c>
      <c r="AG34">
        <v>2</v>
      </c>
      <c r="AH34">
        <v>9</v>
      </c>
      <c r="AI34">
        <v>7</v>
      </c>
      <c r="AJ34">
        <v>2</v>
      </c>
      <c r="AK34" t="s">
        <v>1035</v>
      </c>
      <c r="AL34" t="s">
        <v>1036</v>
      </c>
      <c r="AM34" t="s">
        <v>1037</v>
      </c>
      <c r="AN34" t="s">
        <v>1038</v>
      </c>
      <c r="AO34" t="s">
        <v>196</v>
      </c>
      <c r="AP34" t="s">
        <v>1039</v>
      </c>
      <c r="AQ34" t="s">
        <v>1040</v>
      </c>
      <c r="AR34" t="s">
        <v>1041</v>
      </c>
      <c r="AS34" t="s">
        <v>1042</v>
      </c>
    </row>
    <row r="35" spans="1:45" x14ac:dyDescent="0.45">
      <c r="A35">
        <v>34</v>
      </c>
      <c r="B35">
        <v>75</v>
      </c>
      <c r="C35" t="s">
        <v>73</v>
      </c>
      <c r="D35" t="s">
        <v>76</v>
      </c>
      <c r="E35" t="s">
        <v>69</v>
      </c>
      <c r="F35" t="s">
        <v>72</v>
      </c>
      <c r="G35" t="s">
        <v>71</v>
      </c>
      <c r="H35">
        <v>14.135256727553292</v>
      </c>
      <c r="I35">
        <v>1</v>
      </c>
      <c r="J35">
        <v>9</v>
      </c>
      <c r="K35">
        <v>10</v>
      </c>
      <c r="L35">
        <v>-1</v>
      </c>
      <c r="M35">
        <v>8</v>
      </c>
      <c r="N35">
        <v>10</v>
      </c>
      <c r="O35">
        <v>-2</v>
      </c>
      <c r="P35">
        <v>9</v>
      </c>
      <c r="Q35">
        <v>10</v>
      </c>
      <c r="R35">
        <v>-1</v>
      </c>
      <c r="S35">
        <v>8</v>
      </c>
      <c r="T35">
        <v>10</v>
      </c>
      <c r="U35">
        <v>-2</v>
      </c>
      <c r="V35">
        <v>9</v>
      </c>
      <c r="W35">
        <v>10</v>
      </c>
      <c r="X35">
        <v>-1</v>
      </c>
      <c r="Y35">
        <v>8</v>
      </c>
      <c r="Z35">
        <v>10</v>
      </c>
      <c r="AA35">
        <v>-2</v>
      </c>
      <c r="AB35">
        <v>9</v>
      </c>
      <c r="AC35">
        <v>10</v>
      </c>
      <c r="AD35">
        <v>-1</v>
      </c>
      <c r="AE35">
        <v>8</v>
      </c>
      <c r="AF35">
        <v>10</v>
      </c>
      <c r="AG35">
        <v>-2</v>
      </c>
      <c r="AH35">
        <v>9</v>
      </c>
      <c r="AI35">
        <v>10</v>
      </c>
      <c r="AJ35">
        <v>-1</v>
      </c>
      <c r="AK35" t="s">
        <v>1043</v>
      </c>
      <c r="AL35" t="s">
        <v>1044</v>
      </c>
      <c r="AM35" t="s">
        <v>526</v>
      </c>
      <c r="AN35" t="s">
        <v>1045</v>
      </c>
      <c r="AO35" t="s">
        <v>1046</v>
      </c>
      <c r="AP35" t="s">
        <v>1047</v>
      </c>
      <c r="AQ35" t="s">
        <v>1048</v>
      </c>
      <c r="AR35" t="s">
        <v>1049</v>
      </c>
      <c r="AS35" t="s">
        <v>1050</v>
      </c>
    </row>
    <row r="36" spans="1:45" x14ac:dyDescent="0.45">
      <c r="A36">
        <v>35</v>
      </c>
      <c r="B36">
        <v>76</v>
      </c>
      <c r="C36" t="s">
        <v>67</v>
      </c>
      <c r="D36" t="s">
        <v>68</v>
      </c>
      <c r="E36" t="s">
        <v>69</v>
      </c>
      <c r="F36" t="s">
        <v>186</v>
      </c>
      <c r="G36" t="s">
        <v>71</v>
      </c>
      <c r="H36">
        <v>16.728124504466535</v>
      </c>
      <c r="I36">
        <v>3</v>
      </c>
      <c r="J36">
        <v>6</v>
      </c>
      <c r="K36">
        <v>10</v>
      </c>
      <c r="L36">
        <v>-4</v>
      </c>
      <c r="M36">
        <v>6</v>
      </c>
      <c r="N36">
        <v>10</v>
      </c>
      <c r="O36">
        <v>-4</v>
      </c>
      <c r="P36">
        <v>8</v>
      </c>
      <c r="Q36">
        <v>10</v>
      </c>
      <c r="R36">
        <v>-2</v>
      </c>
      <c r="S36">
        <v>9</v>
      </c>
      <c r="T36">
        <v>10</v>
      </c>
      <c r="U36">
        <v>-1</v>
      </c>
      <c r="V36">
        <v>7</v>
      </c>
      <c r="W36">
        <v>10</v>
      </c>
      <c r="X36">
        <v>-3</v>
      </c>
      <c r="Y36">
        <v>8</v>
      </c>
      <c r="Z36">
        <v>10</v>
      </c>
      <c r="AA36">
        <v>-2</v>
      </c>
      <c r="AB36">
        <v>7</v>
      </c>
      <c r="AC36">
        <v>10</v>
      </c>
      <c r="AD36">
        <v>-3</v>
      </c>
      <c r="AE36">
        <v>9</v>
      </c>
      <c r="AF36">
        <v>10</v>
      </c>
      <c r="AG36">
        <v>-1</v>
      </c>
      <c r="AH36">
        <v>8</v>
      </c>
      <c r="AI36">
        <v>10</v>
      </c>
      <c r="AJ36">
        <v>-2</v>
      </c>
      <c r="AK36" t="s">
        <v>1051</v>
      </c>
      <c r="AL36" t="s">
        <v>1052</v>
      </c>
      <c r="AM36" t="s">
        <v>1053</v>
      </c>
      <c r="AN36" t="s">
        <v>1054</v>
      </c>
      <c r="AO36" t="s">
        <v>1055</v>
      </c>
      <c r="AP36" t="s">
        <v>1056</v>
      </c>
      <c r="AQ36" t="s">
        <v>1057</v>
      </c>
      <c r="AR36" t="s">
        <v>1058</v>
      </c>
      <c r="AS36" t="s">
        <v>1059</v>
      </c>
    </row>
    <row r="37" spans="1:45" x14ac:dyDescent="0.45">
      <c r="A37">
        <v>36</v>
      </c>
      <c r="B37">
        <v>77</v>
      </c>
      <c r="C37" t="s">
        <v>67</v>
      </c>
      <c r="D37" t="s">
        <v>184</v>
      </c>
      <c r="E37" t="s">
        <v>69</v>
      </c>
      <c r="F37" t="s">
        <v>72</v>
      </c>
      <c r="G37" t="s">
        <v>71</v>
      </c>
      <c r="H37">
        <v>13.9578050881882</v>
      </c>
      <c r="I37">
        <v>0</v>
      </c>
      <c r="J37">
        <v>7</v>
      </c>
      <c r="K37">
        <v>10</v>
      </c>
      <c r="L37">
        <v>-3</v>
      </c>
      <c r="M37">
        <v>6</v>
      </c>
      <c r="N37">
        <v>9</v>
      </c>
      <c r="O37">
        <v>-3</v>
      </c>
      <c r="P37">
        <v>9</v>
      </c>
      <c r="Q37">
        <v>10</v>
      </c>
      <c r="R37">
        <v>-1</v>
      </c>
      <c r="S37">
        <v>8</v>
      </c>
      <c r="T37">
        <v>8</v>
      </c>
      <c r="U37">
        <v>0</v>
      </c>
      <c r="V37">
        <v>7</v>
      </c>
      <c r="W37">
        <v>10</v>
      </c>
      <c r="X37">
        <v>-3</v>
      </c>
      <c r="Y37">
        <v>8</v>
      </c>
      <c r="Z37">
        <v>9</v>
      </c>
      <c r="AA37">
        <v>-1</v>
      </c>
      <c r="AB37">
        <v>7</v>
      </c>
      <c r="AC37">
        <v>10</v>
      </c>
      <c r="AD37">
        <v>-3</v>
      </c>
      <c r="AE37">
        <v>9</v>
      </c>
      <c r="AF37">
        <v>10</v>
      </c>
      <c r="AG37">
        <v>-1</v>
      </c>
      <c r="AH37">
        <v>8</v>
      </c>
      <c r="AI37">
        <v>10</v>
      </c>
      <c r="AJ37">
        <v>-2</v>
      </c>
      <c r="AK37" t="s">
        <v>1060</v>
      </c>
      <c r="AL37" t="s">
        <v>1061</v>
      </c>
      <c r="AM37" t="s">
        <v>1062</v>
      </c>
      <c r="AN37" t="s">
        <v>1063</v>
      </c>
      <c r="AO37" t="s">
        <v>1064</v>
      </c>
      <c r="AP37" t="s">
        <v>1065</v>
      </c>
      <c r="AQ37" t="s">
        <v>1066</v>
      </c>
      <c r="AR37" t="s">
        <v>1067</v>
      </c>
      <c r="AS37" t="s">
        <v>1068</v>
      </c>
    </row>
    <row r="38" spans="1:45" x14ac:dyDescent="0.45">
      <c r="A38">
        <v>37</v>
      </c>
      <c r="B38">
        <v>78</v>
      </c>
      <c r="C38" t="s">
        <v>73</v>
      </c>
      <c r="D38" t="s">
        <v>184</v>
      </c>
      <c r="E38" t="s">
        <v>69</v>
      </c>
      <c r="F38" t="s">
        <v>72</v>
      </c>
      <c r="G38" t="s">
        <v>71</v>
      </c>
      <c r="H38">
        <v>12.13204698601211</v>
      </c>
      <c r="I38">
        <v>0</v>
      </c>
      <c r="J38">
        <v>7</v>
      </c>
      <c r="K38">
        <v>10</v>
      </c>
      <c r="L38">
        <v>-3</v>
      </c>
      <c r="M38">
        <v>6</v>
      </c>
      <c r="N38">
        <v>10</v>
      </c>
      <c r="O38">
        <v>-4</v>
      </c>
      <c r="P38">
        <v>9</v>
      </c>
      <c r="Q38">
        <v>10</v>
      </c>
      <c r="R38">
        <v>-1</v>
      </c>
      <c r="S38">
        <v>8</v>
      </c>
      <c r="T38">
        <v>10</v>
      </c>
      <c r="U38">
        <v>-2</v>
      </c>
      <c r="V38">
        <v>9</v>
      </c>
      <c r="W38">
        <v>9</v>
      </c>
      <c r="X38">
        <v>0</v>
      </c>
      <c r="Y38">
        <v>8</v>
      </c>
      <c r="Z38">
        <v>9</v>
      </c>
      <c r="AA38">
        <v>-1</v>
      </c>
      <c r="AB38">
        <v>9</v>
      </c>
      <c r="AC38">
        <v>9</v>
      </c>
      <c r="AD38">
        <v>0</v>
      </c>
      <c r="AE38">
        <v>7</v>
      </c>
      <c r="AF38">
        <v>9</v>
      </c>
      <c r="AG38">
        <v>-2</v>
      </c>
      <c r="AH38">
        <v>9</v>
      </c>
      <c r="AI38">
        <v>8</v>
      </c>
      <c r="AJ38">
        <v>1</v>
      </c>
      <c r="AK38" t="s">
        <v>1069</v>
      </c>
      <c r="AL38" t="s">
        <v>1070</v>
      </c>
      <c r="AM38" t="s">
        <v>1071</v>
      </c>
      <c r="AN38" t="s">
        <v>1072</v>
      </c>
      <c r="AO38" t="s">
        <v>1073</v>
      </c>
      <c r="AP38" t="s">
        <v>1074</v>
      </c>
      <c r="AQ38" t="s">
        <v>1075</v>
      </c>
      <c r="AR38" t="s">
        <v>1076</v>
      </c>
      <c r="AS38" t="s">
        <v>1077</v>
      </c>
    </row>
    <row r="39" spans="1:45" x14ac:dyDescent="0.45">
      <c r="A39">
        <v>38</v>
      </c>
      <c r="B39">
        <v>79</v>
      </c>
      <c r="C39" t="s">
        <v>67</v>
      </c>
      <c r="D39" t="s">
        <v>68</v>
      </c>
      <c r="E39" t="s">
        <v>69</v>
      </c>
      <c r="F39" t="s">
        <v>72</v>
      </c>
      <c r="G39" t="s">
        <v>71</v>
      </c>
      <c r="H39">
        <v>41.771205707899007</v>
      </c>
      <c r="I39">
        <v>1</v>
      </c>
      <c r="J39">
        <v>6</v>
      </c>
      <c r="K39">
        <v>8</v>
      </c>
      <c r="L39">
        <v>-2</v>
      </c>
      <c r="M39">
        <v>6</v>
      </c>
      <c r="N39">
        <v>8</v>
      </c>
      <c r="O39">
        <v>-2</v>
      </c>
      <c r="P39">
        <v>8</v>
      </c>
      <c r="Q39">
        <v>8</v>
      </c>
      <c r="R39">
        <v>0</v>
      </c>
      <c r="S39">
        <v>9</v>
      </c>
      <c r="T39">
        <v>8</v>
      </c>
      <c r="U39">
        <v>1</v>
      </c>
      <c r="V39">
        <v>8</v>
      </c>
      <c r="W39">
        <v>8</v>
      </c>
      <c r="X39">
        <v>0</v>
      </c>
      <c r="Y39">
        <v>9</v>
      </c>
      <c r="Z39">
        <v>8</v>
      </c>
      <c r="AA39">
        <v>1</v>
      </c>
      <c r="AB39">
        <v>8</v>
      </c>
      <c r="AC39">
        <v>8</v>
      </c>
      <c r="AD39">
        <v>0</v>
      </c>
      <c r="AE39">
        <v>7</v>
      </c>
      <c r="AF39">
        <v>8</v>
      </c>
      <c r="AG39">
        <v>-1</v>
      </c>
      <c r="AH39">
        <v>9</v>
      </c>
      <c r="AI39">
        <v>8</v>
      </c>
      <c r="AJ39">
        <v>1</v>
      </c>
      <c r="AK39" t="s">
        <v>1078</v>
      </c>
      <c r="AL39" t="s">
        <v>1079</v>
      </c>
      <c r="AM39" t="s">
        <v>1080</v>
      </c>
      <c r="AN39" t="s">
        <v>1081</v>
      </c>
      <c r="AO39" t="s">
        <v>1082</v>
      </c>
      <c r="AP39" t="s">
        <v>1083</v>
      </c>
      <c r="AQ39" t="s">
        <v>1084</v>
      </c>
      <c r="AR39" t="s">
        <v>1085</v>
      </c>
      <c r="AS39" t="s">
        <v>726</v>
      </c>
    </row>
    <row r="40" spans="1:45" x14ac:dyDescent="0.45">
      <c r="A40">
        <v>39</v>
      </c>
      <c r="B40">
        <v>80</v>
      </c>
      <c r="C40" t="s">
        <v>73</v>
      </c>
      <c r="D40" t="s">
        <v>76</v>
      </c>
      <c r="E40" t="s">
        <v>69</v>
      </c>
      <c r="F40" t="s">
        <v>72</v>
      </c>
      <c r="G40" t="s">
        <v>71</v>
      </c>
      <c r="H40">
        <v>13.578579268931882</v>
      </c>
      <c r="I40">
        <v>0</v>
      </c>
      <c r="J40">
        <v>7</v>
      </c>
      <c r="K40">
        <v>10</v>
      </c>
      <c r="L40">
        <v>-3</v>
      </c>
      <c r="M40">
        <v>8</v>
      </c>
      <c r="N40">
        <v>10</v>
      </c>
      <c r="O40">
        <v>-2</v>
      </c>
      <c r="P40">
        <v>6</v>
      </c>
      <c r="Q40">
        <v>10</v>
      </c>
      <c r="R40">
        <v>-4</v>
      </c>
      <c r="S40">
        <v>9</v>
      </c>
      <c r="T40">
        <v>10</v>
      </c>
      <c r="U40">
        <v>-1</v>
      </c>
      <c r="V40">
        <v>6</v>
      </c>
      <c r="W40">
        <v>10</v>
      </c>
      <c r="X40">
        <v>-4</v>
      </c>
      <c r="Y40">
        <v>9</v>
      </c>
      <c r="Z40">
        <v>10</v>
      </c>
      <c r="AA40">
        <v>-1</v>
      </c>
      <c r="AB40">
        <v>7</v>
      </c>
      <c r="AC40">
        <v>10</v>
      </c>
      <c r="AD40">
        <v>-3</v>
      </c>
      <c r="AE40">
        <v>8</v>
      </c>
      <c r="AF40">
        <v>10</v>
      </c>
      <c r="AG40">
        <v>-2</v>
      </c>
      <c r="AH40">
        <v>9</v>
      </c>
      <c r="AI40">
        <v>10</v>
      </c>
      <c r="AJ40">
        <v>-1</v>
      </c>
      <c r="AK40" t="s">
        <v>1086</v>
      </c>
      <c r="AL40" t="s">
        <v>1087</v>
      </c>
      <c r="AM40" t="s">
        <v>1088</v>
      </c>
      <c r="AN40" t="s">
        <v>1089</v>
      </c>
      <c r="AO40" t="s">
        <v>1090</v>
      </c>
      <c r="AP40" t="s">
        <v>1091</v>
      </c>
      <c r="AQ40" t="s">
        <v>1092</v>
      </c>
      <c r="AR40" t="s">
        <v>1093</v>
      </c>
      <c r="AS40" t="s">
        <v>1094</v>
      </c>
    </row>
    <row r="41" spans="1:45" x14ac:dyDescent="0.45">
      <c r="A41">
        <v>40</v>
      </c>
      <c r="B41">
        <v>81</v>
      </c>
      <c r="C41" t="s">
        <v>73</v>
      </c>
      <c r="D41" t="s">
        <v>68</v>
      </c>
      <c r="E41" t="s">
        <v>69</v>
      </c>
      <c r="F41" t="s">
        <v>72</v>
      </c>
      <c r="G41" t="s">
        <v>71</v>
      </c>
      <c r="H41">
        <v>117.43321268791007</v>
      </c>
      <c r="I41">
        <v>1</v>
      </c>
      <c r="J41">
        <v>9</v>
      </c>
      <c r="K41">
        <v>8</v>
      </c>
      <c r="L41">
        <v>1</v>
      </c>
      <c r="M41">
        <v>8</v>
      </c>
      <c r="N41">
        <v>8</v>
      </c>
      <c r="O41">
        <v>0</v>
      </c>
      <c r="P41">
        <v>9</v>
      </c>
      <c r="Q41">
        <v>6</v>
      </c>
      <c r="R41">
        <v>3</v>
      </c>
      <c r="S41">
        <v>8</v>
      </c>
      <c r="T41">
        <v>8</v>
      </c>
      <c r="U41">
        <v>0</v>
      </c>
      <c r="V41">
        <v>9</v>
      </c>
      <c r="W41">
        <v>7</v>
      </c>
      <c r="X41">
        <v>2</v>
      </c>
      <c r="Y41">
        <v>8</v>
      </c>
      <c r="Z41">
        <v>8</v>
      </c>
      <c r="AA41">
        <v>0</v>
      </c>
      <c r="AB41">
        <v>9</v>
      </c>
      <c r="AC41">
        <v>5</v>
      </c>
      <c r="AD41">
        <v>4</v>
      </c>
      <c r="AE41">
        <v>8</v>
      </c>
      <c r="AF41">
        <v>6</v>
      </c>
      <c r="AG41">
        <v>2</v>
      </c>
      <c r="AH41">
        <v>9</v>
      </c>
      <c r="AI41">
        <v>7</v>
      </c>
      <c r="AJ41">
        <v>2</v>
      </c>
      <c r="AK41" t="s">
        <v>1095</v>
      </c>
      <c r="AL41" t="s">
        <v>1096</v>
      </c>
      <c r="AM41" t="s">
        <v>1097</v>
      </c>
      <c r="AN41" t="s">
        <v>1098</v>
      </c>
      <c r="AO41" t="s">
        <v>1099</v>
      </c>
      <c r="AP41" t="s">
        <v>1100</v>
      </c>
      <c r="AQ41" t="s">
        <v>1101</v>
      </c>
      <c r="AR41" t="s">
        <v>1102</v>
      </c>
      <c r="AS41" t="s">
        <v>1103</v>
      </c>
    </row>
    <row r="42" spans="1:45" x14ac:dyDescent="0.45">
      <c r="A42">
        <v>41</v>
      </c>
      <c r="B42">
        <v>82</v>
      </c>
      <c r="C42" t="s">
        <v>73</v>
      </c>
      <c r="D42" t="s">
        <v>68</v>
      </c>
      <c r="E42" t="s">
        <v>69</v>
      </c>
      <c r="F42" t="s">
        <v>72</v>
      </c>
      <c r="G42" t="s">
        <v>71</v>
      </c>
      <c r="H42">
        <v>72.03948453983898</v>
      </c>
      <c r="I42">
        <v>2</v>
      </c>
      <c r="J42">
        <v>6</v>
      </c>
      <c r="K42">
        <v>9</v>
      </c>
      <c r="L42">
        <v>-3</v>
      </c>
      <c r="M42">
        <v>7</v>
      </c>
      <c r="N42">
        <v>8</v>
      </c>
      <c r="O42">
        <v>-1</v>
      </c>
      <c r="P42">
        <v>8</v>
      </c>
      <c r="Q42">
        <v>7</v>
      </c>
      <c r="R42">
        <v>1</v>
      </c>
      <c r="S42">
        <v>9</v>
      </c>
      <c r="T42">
        <v>8</v>
      </c>
      <c r="U42">
        <v>1</v>
      </c>
      <c r="V42">
        <v>7</v>
      </c>
      <c r="W42">
        <v>7</v>
      </c>
      <c r="X42">
        <v>0</v>
      </c>
      <c r="Y42">
        <v>8</v>
      </c>
      <c r="Z42">
        <v>4</v>
      </c>
      <c r="AA42">
        <v>4</v>
      </c>
      <c r="AB42">
        <v>7</v>
      </c>
      <c r="AC42">
        <v>2</v>
      </c>
      <c r="AD42">
        <v>5</v>
      </c>
      <c r="AE42">
        <v>8</v>
      </c>
      <c r="AF42">
        <v>8</v>
      </c>
      <c r="AG42">
        <v>0</v>
      </c>
      <c r="AH42">
        <v>9</v>
      </c>
      <c r="AI42">
        <v>8</v>
      </c>
      <c r="AJ42">
        <v>1</v>
      </c>
      <c r="AK42" t="s">
        <v>1104</v>
      </c>
      <c r="AL42" t="s">
        <v>1105</v>
      </c>
      <c r="AM42" t="s">
        <v>1106</v>
      </c>
      <c r="AN42" t="s">
        <v>1107</v>
      </c>
      <c r="AO42" t="s">
        <v>1108</v>
      </c>
      <c r="AP42" t="s">
        <v>1109</v>
      </c>
      <c r="AQ42" t="s">
        <v>1110</v>
      </c>
      <c r="AR42" t="s">
        <v>1111</v>
      </c>
      <c r="AS42" t="s">
        <v>1112</v>
      </c>
    </row>
    <row r="43" spans="1:45" x14ac:dyDescent="0.45">
      <c r="A43">
        <v>42</v>
      </c>
      <c r="B43">
        <v>83</v>
      </c>
      <c r="C43" t="s">
        <v>67</v>
      </c>
      <c r="D43" t="s">
        <v>68</v>
      </c>
      <c r="E43" t="s">
        <v>69</v>
      </c>
      <c r="F43" t="s">
        <v>72</v>
      </c>
      <c r="G43" t="s">
        <v>71</v>
      </c>
      <c r="H43">
        <v>34.967759824181542</v>
      </c>
      <c r="I43">
        <v>3</v>
      </c>
      <c r="J43">
        <v>7</v>
      </c>
      <c r="K43">
        <v>10</v>
      </c>
      <c r="L43">
        <v>-3</v>
      </c>
      <c r="M43">
        <v>8</v>
      </c>
      <c r="N43">
        <v>10</v>
      </c>
      <c r="O43">
        <v>-2</v>
      </c>
      <c r="P43">
        <v>6</v>
      </c>
      <c r="Q43">
        <v>9</v>
      </c>
      <c r="R43">
        <v>-3</v>
      </c>
      <c r="S43">
        <v>9</v>
      </c>
      <c r="T43">
        <v>8</v>
      </c>
      <c r="U43">
        <v>1</v>
      </c>
      <c r="V43">
        <v>6</v>
      </c>
      <c r="W43">
        <v>7</v>
      </c>
      <c r="X43">
        <v>-1</v>
      </c>
      <c r="Y43">
        <v>8</v>
      </c>
      <c r="Z43">
        <v>9</v>
      </c>
      <c r="AA43">
        <v>-1</v>
      </c>
      <c r="AB43">
        <v>7</v>
      </c>
      <c r="AC43">
        <v>9</v>
      </c>
      <c r="AD43">
        <v>-2</v>
      </c>
      <c r="AE43">
        <v>6</v>
      </c>
      <c r="AF43">
        <v>8</v>
      </c>
      <c r="AG43">
        <v>-2</v>
      </c>
      <c r="AH43">
        <v>7</v>
      </c>
      <c r="AI43">
        <v>8</v>
      </c>
      <c r="AJ43">
        <v>-1</v>
      </c>
      <c r="AK43" t="s">
        <v>1113</v>
      </c>
      <c r="AL43" t="s">
        <v>1114</v>
      </c>
      <c r="AM43" t="s">
        <v>1115</v>
      </c>
      <c r="AN43" t="s">
        <v>1116</v>
      </c>
      <c r="AO43" t="s">
        <v>1117</v>
      </c>
      <c r="AP43" t="s">
        <v>1118</v>
      </c>
      <c r="AQ43" t="s">
        <v>1119</v>
      </c>
      <c r="AR43" t="s">
        <v>1120</v>
      </c>
      <c r="AS43" t="s">
        <v>1121</v>
      </c>
    </row>
    <row r="44" spans="1:45" x14ac:dyDescent="0.45">
      <c r="A44">
        <v>43</v>
      </c>
      <c r="B44">
        <v>84</v>
      </c>
      <c r="C44" t="s">
        <v>67</v>
      </c>
      <c r="D44" t="s">
        <v>68</v>
      </c>
      <c r="E44" t="s">
        <v>69</v>
      </c>
      <c r="F44" t="s">
        <v>72</v>
      </c>
      <c r="G44" t="s">
        <v>71</v>
      </c>
      <c r="H44">
        <v>228.53863771881382</v>
      </c>
      <c r="I44">
        <v>2</v>
      </c>
      <c r="J44">
        <v>7</v>
      </c>
      <c r="K44">
        <v>6</v>
      </c>
      <c r="L44">
        <v>1</v>
      </c>
      <c r="M44">
        <v>7</v>
      </c>
      <c r="N44">
        <v>6</v>
      </c>
      <c r="O44">
        <v>1</v>
      </c>
      <c r="P44">
        <v>8</v>
      </c>
      <c r="Q44">
        <v>8</v>
      </c>
      <c r="R44">
        <v>0</v>
      </c>
      <c r="S44">
        <v>9</v>
      </c>
      <c r="T44">
        <v>10</v>
      </c>
      <c r="U44">
        <v>-1</v>
      </c>
      <c r="V44">
        <v>8</v>
      </c>
      <c r="W44">
        <v>9</v>
      </c>
      <c r="X44">
        <v>-1</v>
      </c>
      <c r="Y44">
        <v>9</v>
      </c>
      <c r="Z44">
        <v>1</v>
      </c>
      <c r="AA44">
        <v>8</v>
      </c>
      <c r="AB44">
        <v>7</v>
      </c>
      <c r="AC44">
        <v>7</v>
      </c>
      <c r="AD44">
        <v>0</v>
      </c>
      <c r="AE44">
        <v>6</v>
      </c>
      <c r="AF44">
        <v>7</v>
      </c>
      <c r="AG44">
        <v>-1</v>
      </c>
      <c r="AH44">
        <v>9</v>
      </c>
      <c r="AI44">
        <v>8</v>
      </c>
      <c r="AJ44">
        <v>1</v>
      </c>
      <c r="AK44" t="s">
        <v>674</v>
      </c>
      <c r="AL44" t="s">
        <v>1122</v>
      </c>
      <c r="AM44" t="s">
        <v>1123</v>
      </c>
      <c r="AN44" t="s">
        <v>1124</v>
      </c>
      <c r="AO44" t="s">
        <v>1125</v>
      </c>
      <c r="AP44" t="s">
        <v>1126</v>
      </c>
      <c r="AQ44" t="s">
        <v>1127</v>
      </c>
      <c r="AR44" t="s">
        <v>1128</v>
      </c>
      <c r="AS44" t="s">
        <v>1129</v>
      </c>
    </row>
    <row r="45" spans="1:45" x14ac:dyDescent="0.45">
      <c r="A45">
        <v>44</v>
      </c>
      <c r="B45">
        <v>85</v>
      </c>
      <c r="C45" t="s">
        <v>73</v>
      </c>
      <c r="D45" t="s">
        <v>68</v>
      </c>
      <c r="E45" t="s">
        <v>69</v>
      </c>
      <c r="F45" t="s">
        <v>72</v>
      </c>
      <c r="G45" t="s">
        <v>71</v>
      </c>
      <c r="H45">
        <v>28.865878073135946</v>
      </c>
      <c r="I45">
        <v>1</v>
      </c>
      <c r="J45">
        <v>6</v>
      </c>
      <c r="K45">
        <v>8</v>
      </c>
      <c r="L45">
        <v>-2</v>
      </c>
      <c r="M45">
        <v>6</v>
      </c>
      <c r="N45">
        <v>8</v>
      </c>
      <c r="O45">
        <v>-2</v>
      </c>
      <c r="P45">
        <v>9</v>
      </c>
      <c r="Q45">
        <v>8</v>
      </c>
      <c r="R45">
        <v>1</v>
      </c>
      <c r="S45">
        <v>9</v>
      </c>
      <c r="T45">
        <v>8</v>
      </c>
      <c r="U45">
        <v>1</v>
      </c>
      <c r="V45">
        <v>8</v>
      </c>
      <c r="W45">
        <v>8</v>
      </c>
      <c r="X45">
        <v>0</v>
      </c>
      <c r="Y45">
        <v>8</v>
      </c>
      <c r="Z45">
        <v>8</v>
      </c>
      <c r="AA45">
        <v>0</v>
      </c>
      <c r="AB45">
        <v>7</v>
      </c>
      <c r="AC45">
        <v>9</v>
      </c>
      <c r="AD45">
        <v>-2</v>
      </c>
      <c r="AE45">
        <v>6</v>
      </c>
      <c r="AF45">
        <v>5</v>
      </c>
      <c r="AG45">
        <v>1</v>
      </c>
      <c r="AH45">
        <v>8</v>
      </c>
      <c r="AI45">
        <v>9</v>
      </c>
      <c r="AJ45">
        <v>-1</v>
      </c>
      <c r="AK45" t="s">
        <v>1130</v>
      </c>
      <c r="AL45" t="s">
        <v>1131</v>
      </c>
      <c r="AM45" t="s">
        <v>1132</v>
      </c>
      <c r="AN45" t="s">
        <v>1133</v>
      </c>
      <c r="AO45" t="s">
        <v>1134</v>
      </c>
      <c r="AP45" t="s">
        <v>1135</v>
      </c>
      <c r="AQ45" t="s">
        <v>1136</v>
      </c>
      <c r="AR45" t="s">
        <v>1137</v>
      </c>
      <c r="AS45" t="s">
        <v>1138</v>
      </c>
    </row>
    <row r="46" spans="1:45" x14ac:dyDescent="0.45">
      <c r="A46">
        <v>45</v>
      </c>
      <c r="B46">
        <v>86</v>
      </c>
      <c r="C46" t="s">
        <v>67</v>
      </c>
      <c r="D46" t="s">
        <v>74</v>
      </c>
      <c r="E46" t="s">
        <v>69</v>
      </c>
      <c r="F46" t="s">
        <v>72</v>
      </c>
      <c r="G46" t="s">
        <v>71</v>
      </c>
      <c r="H46">
        <v>26.74468054587323</v>
      </c>
      <c r="I46">
        <v>2</v>
      </c>
      <c r="J46">
        <v>7</v>
      </c>
      <c r="K46">
        <v>10</v>
      </c>
      <c r="L46">
        <v>-3</v>
      </c>
      <c r="M46">
        <v>8</v>
      </c>
      <c r="N46">
        <v>10</v>
      </c>
      <c r="O46">
        <v>-2</v>
      </c>
      <c r="P46">
        <v>9</v>
      </c>
      <c r="Q46">
        <v>10</v>
      </c>
      <c r="R46">
        <v>-1</v>
      </c>
      <c r="S46">
        <v>10</v>
      </c>
      <c r="T46">
        <v>9</v>
      </c>
      <c r="U46">
        <v>1</v>
      </c>
      <c r="V46">
        <v>9</v>
      </c>
      <c r="W46">
        <v>10</v>
      </c>
      <c r="X46">
        <v>-1</v>
      </c>
      <c r="Y46">
        <v>8</v>
      </c>
      <c r="Z46">
        <v>10</v>
      </c>
      <c r="AA46">
        <v>-2</v>
      </c>
      <c r="AB46">
        <v>9</v>
      </c>
      <c r="AC46">
        <v>10</v>
      </c>
      <c r="AD46">
        <v>-1</v>
      </c>
      <c r="AE46">
        <v>8</v>
      </c>
      <c r="AF46">
        <v>10</v>
      </c>
      <c r="AG46">
        <v>-2</v>
      </c>
      <c r="AH46">
        <v>9</v>
      </c>
      <c r="AI46">
        <v>10</v>
      </c>
      <c r="AJ46">
        <v>-1</v>
      </c>
      <c r="AK46" t="s">
        <v>1139</v>
      </c>
      <c r="AL46" t="s">
        <v>1140</v>
      </c>
      <c r="AM46" t="s">
        <v>1141</v>
      </c>
      <c r="AN46" t="s">
        <v>1142</v>
      </c>
      <c r="AO46" t="s">
        <v>1143</v>
      </c>
      <c r="AP46" t="s">
        <v>1144</v>
      </c>
      <c r="AQ46" t="s">
        <v>1145</v>
      </c>
      <c r="AR46" t="s">
        <v>1146</v>
      </c>
      <c r="AS46" t="s">
        <v>1147</v>
      </c>
    </row>
    <row r="47" spans="1:45" x14ac:dyDescent="0.45">
      <c r="A47">
        <v>46</v>
      </c>
      <c r="B47">
        <v>87</v>
      </c>
      <c r="C47" t="s">
        <v>67</v>
      </c>
      <c r="D47" t="s">
        <v>187</v>
      </c>
      <c r="E47" t="s">
        <v>75</v>
      </c>
      <c r="F47" t="s">
        <v>72</v>
      </c>
      <c r="G47" t="s">
        <v>71</v>
      </c>
      <c r="H47">
        <v>12</v>
      </c>
      <c r="I47">
        <v>2</v>
      </c>
      <c r="J47">
        <v>6</v>
      </c>
      <c r="K47">
        <v>1</v>
      </c>
      <c r="L47">
        <v>5</v>
      </c>
      <c r="M47">
        <v>6</v>
      </c>
      <c r="N47">
        <v>1</v>
      </c>
      <c r="O47">
        <v>5</v>
      </c>
      <c r="P47">
        <v>7</v>
      </c>
      <c r="Q47">
        <v>2</v>
      </c>
      <c r="R47">
        <v>5</v>
      </c>
      <c r="S47">
        <v>9</v>
      </c>
      <c r="T47">
        <v>1</v>
      </c>
      <c r="U47">
        <v>8</v>
      </c>
      <c r="V47">
        <v>8</v>
      </c>
      <c r="W47">
        <v>1</v>
      </c>
      <c r="X47">
        <v>7</v>
      </c>
      <c r="Y47">
        <v>9</v>
      </c>
      <c r="Z47">
        <v>1</v>
      </c>
      <c r="AA47">
        <v>8</v>
      </c>
      <c r="AB47">
        <v>8</v>
      </c>
      <c r="AC47">
        <v>1</v>
      </c>
      <c r="AD47">
        <v>7</v>
      </c>
      <c r="AE47">
        <v>7</v>
      </c>
      <c r="AF47">
        <v>1</v>
      </c>
      <c r="AG47">
        <v>6</v>
      </c>
      <c r="AH47">
        <v>9</v>
      </c>
      <c r="AI47">
        <v>1</v>
      </c>
      <c r="AJ47">
        <v>8</v>
      </c>
      <c r="AK47" t="s">
        <v>277</v>
      </c>
      <c r="AL47" t="s">
        <v>278</v>
      </c>
      <c r="AM47" t="s">
        <v>279</v>
      </c>
      <c r="AN47" t="s">
        <v>280</v>
      </c>
      <c r="AO47" t="s">
        <v>281</v>
      </c>
      <c r="AP47" t="s">
        <v>282</v>
      </c>
      <c r="AQ47" t="s">
        <v>283</v>
      </c>
      <c r="AR47" t="s">
        <v>284</v>
      </c>
      <c r="AS47" t="s">
        <v>285</v>
      </c>
    </row>
    <row r="48" spans="1:45" x14ac:dyDescent="0.45">
      <c r="A48">
        <v>47</v>
      </c>
      <c r="B48">
        <v>88</v>
      </c>
      <c r="C48" t="s">
        <v>73</v>
      </c>
      <c r="D48" t="s">
        <v>68</v>
      </c>
      <c r="E48" t="s">
        <v>69</v>
      </c>
      <c r="F48" t="s">
        <v>72</v>
      </c>
      <c r="G48" t="s">
        <v>71</v>
      </c>
      <c r="H48">
        <v>12</v>
      </c>
      <c r="I48">
        <v>0</v>
      </c>
      <c r="J48">
        <v>8</v>
      </c>
      <c r="K48">
        <v>8</v>
      </c>
      <c r="L48">
        <v>0</v>
      </c>
      <c r="M48">
        <v>7</v>
      </c>
      <c r="N48">
        <v>8</v>
      </c>
      <c r="O48">
        <v>-1</v>
      </c>
      <c r="P48">
        <v>6</v>
      </c>
      <c r="Q48">
        <v>8</v>
      </c>
      <c r="R48">
        <v>-2</v>
      </c>
      <c r="S48">
        <v>9</v>
      </c>
      <c r="T48">
        <v>7</v>
      </c>
      <c r="U48">
        <v>2</v>
      </c>
      <c r="V48">
        <v>8</v>
      </c>
      <c r="W48">
        <v>6</v>
      </c>
      <c r="X48">
        <v>2</v>
      </c>
      <c r="Y48">
        <v>9</v>
      </c>
      <c r="Z48">
        <v>8</v>
      </c>
      <c r="AA48">
        <v>1</v>
      </c>
      <c r="AB48">
        <v>8</v>
      </c>
      <c r="AC48">
        <v>8</v>
      </c>
      <c r="AD48">
        <v>0</v>
      </c>
      <c r="AE48">
        <v>7</v>
      </c>
      <c r="AF48">
        <v>9</v>
      </c>
      <c r="AG48">
        <v>-2</v>
      </c>
      <c r="AH48">
        <v>9</v>
      </c>
      <c r="AI48">
        <v>8</v>
      </c>
      <c r="AJ48">
        <v>1</v>
      </c>
      <c r="AK48" t="s">
        <v>286</v>
      </c>
      <c r="AL48" t="s">
        <v>287</v>
      </c>
      <c r="AM48" t="s">
        <v>288</v>
      </c>
      <c r="AN48" t="s">
        <v>289</v>
      </c>
      <c r="AO48" t="s">
        <v>290</v>
      </c>
      <c r="AP48" t="s">
        <v>291</v>
      </c>
      <c r="AQ48" t="s">
        <v>292</v>
      </c>
      <c r="AR48" t="s">
        <v>293</v>
      </c>
      <c r="AS48" t="s">
        <v>294</v>
      </c>
    </row>
    <row r="49" spans="1:45" x14ac:dyDescent="0.45">
      <c r="A49">
        <v>48</v>
      </c>
      <c r="B49">
        <v>89</v>
      </c>
      <c r="C49" t="s">
        <v>67</v>
      </c>
      <c r="D49" t="s">
        <v>68</v>
      </c>
      <c r="E49" t="s">
        <v>69</v>
      </c>
      <c r="F49" t="s">
        <v>72</v>
      </c>
      <c r="G49" t="s">
        <v>71</v>
      </c>
      <c r="H49">
        <v>35.26686950546128</v>
      </c>
      <c r="I49">
        <v>3</v>
      </c>
      <c r="J49">
        <v>7</v>
      </c>
      <c r="K49">
        <v>10</v>
      </c>
      <c r="L49">
        <v>-3</v>
      </c>
      <c r="M49">
        <v>6</v>
      </c>
      <c r="N49">
        <v>10</v>
      </c>
      <c r="O49">
        <v>-4</v>
      </c>
      <c r="P49">
        <v>9</v>
      </c>
      <c r="Q49">
        <v>10</v>
      </c>
      <c r="R49">
        <v>-1</v>
      </c>
      <c r="S49">
        <v>8</v>
      </c>
      <c r="T49">
        <v>10</v>
      </c>
      <c r="U49">
        <v>-2</v>
      </c>
      <c r="V49">
        <v>6</v>
      </c>
      <c r="W49">
        <v>10</v>
      </c>
      <c r="X49">
        <v>-4</v>
      </c>
      <c r="Z49">
        <v>10</v>
      </c>
      <c r="AC49">
        <v>10</v>
      </c>
      <c r="AF49">
        <v>10</v>
      </c>
      <c r="AI49">
        <v>10</v>
      </c>
      <c r="AK49" t="s">
        <v>198</v>
      </c>
      <c r="AL49" t="s">
        <v>198</v>
      </c>
      <c r="AM49" t="s">
        <v>198</v>
      </c>
      <c r="AN49" t="s">
        <v>198</v>
      </c>
      <c r="AO49" t="s">
        <v>198</v>
      </c>
      <c r="AP49" t="s">
        <v>198</v>
      </c>
      <c r="AQ49" t="s">
        <v>198</v>
      </c>
      <c r="AR49" t="s">
        <v>198</v>
      </c>
      <c r="AS49" t="s">
        <v>198</v>
      </c>
    </row>
    <row r="50" spans="1:45" x14ac:dyDescent="0.45">
      <c r="A50">
        <v>49</v>
      </c>
      <c r="B50">
        <v>90</v>
      </c>
      <c r="C50" t="s">
        <v>73</v>
      </c>
      <c r="D50" t="s">
        <v>68</v>
      </c>
      <c r="E50" t="s">
        <v>69</v>
      </c>
      <c r="F50" t="s">
        <v>72</v>
      </c>
      <c r="G50" t="s">
        <v>71</v>
      </c>
      <c r="H50">
        <v>191.7935084949938</v>
      </c>
      <c r="I50">
        <v>2</v>
      </c>
      <c r="J50">
        <v>6</v>
      </c>
      <c r="K50">
        <v>8</v>
      </c>
      <c r="L50">
        <v>-2</v>
      </c>
      <c r="M50">
        <v>7</v>
      </c>
      <c r="N50">
        <v>8</v>
      </c>
      <c r="O50">
        <v>-1</v>
      </c>
      <c r="P50">
        <v>8</v>
      </c>
      <c r="Q50">
        <v>7</v>
      </c>
      <c r="R50">
        <v>1</v>
      </c>
      <c r="S50">
        <v>9</v>
      </c>
      <c r="T50">
        <v>8</v>
      </c>
      <c r="U50">
        <v>1</v>
      </c>
      <c r="V50">
        <v>7</v>
      </c>
      <c r="W50">
        <v>6</v>
      </c>
      <c r="X50">
        <v>1</v>
      </c>
      <c r="Y50">
        <v>9</v>
      </c>
      <c r="Z50">
        <v>8</v>
      </c>
      <c r="AA50">
        <v>1</v>
      </c>
      <c r="AB50">
        <v>7</v>
      </c>
      <c r="AC50">
        <v>6</v>
      </c>
      <c r="AD50">
        <v>1</v>
      </c>
      <c r="AE50">
        <v>6</v>
      </c>
      <c r="AF50">
        <v>5</v>
      </c>
      <c r="AG50">
        <v>1</v>
      </c>
      <c r="AH50">
        <v>9</v>
      </c>
      <c r="AI50">
        <v>8</v>
      </c>
      <c r="AJ50">
        <v>1</v>
      </c>
      <c r="AK50" t="s">
        <v>675</v>
      </c>
      <c r="AL50" t="s">
        <v>1148</v>
      </c>
      <c r="AM50" t="s">
        <v>1149</v>
      </c>
      <c r="AN50" t="s">
        <v>1150</v>
      </c>
      <c r="AO50" t="s">
        <v>1151</v>
      </c>
      <c r="AP50" t="s">
        <v>1152</v>
      </c>
      <c r="AQ50" t="s">
        <v>1153</v>
      </c>
      <c r="AR50" t="s">
        <v>1154</v>
      </c>
      <c r="AS50" t="s">
        <v>1155</v>
      </c>
    </row>
    <row r="51" spans="1:45" x14ac:dyDescent="0.45">
      <c r="A51">
        <v>50</v>
      </c>
      <c r="B51">
        <v>91</v>
      </c>
      <c r="C51" t="s">
        <v>67</v>
      </c>
      <c r="D51" t="s">
        <v>68</v>
      </c>
      <c r="E51" t="s">
        <v>69</v>
      </c>
      <c r="F51" t="s">
        <v>72</v>
      </c>
      <c r="G51" t="s">
        <v>71</v>
      </c>
      <c r="H51">
        <v>20.052287499736849</v>
      </c>
      <c r="I51">
        <v>3</v>
      </c>
      <c r="J51">
        <v>7</v>
      </c>
      <c r="K51">
        <v>10</v>
      </c>
      <c r="L51">
        <v>-3</v>
      </c>
      <c r="M51">
        <v>7</v>
      </c>
      <c r="N51">
        <v>10</v>
      </c>
      <c r="O51">
        <v>-3</v>
      </c>
      <c r="P51">
        <v>8</v>
      </c>
      <c r="Q51">
        <v>10</v>
      </c>
      <c r="R51">
        <v>-2</v>
      </c>
      <c r="S51">
        <v>7</v>
      </c>
      <c r="T51">
        <v>8</v>
      </c>
      <c r="U51">
        <v>-1</v>
      </c>
      <c r="V51">
        <v>9</v>
      </c>
      <c r="W51">
        <v>8</v>
      </c>
      <c r="X51">
        <v>1</v>
      </c>
      <c r="Y51">
        <v>9</v>
      </c>
      <c r="Z51">
        <v>8</v>
      </c>
      <c r="AA51">
        <v>1</v>
      </c>
      <c r="AB51">
        <v>8</v>
      </c>
      <c r="AC51">
        <v>8</v>
      </c>
      <c r="AD51">
        <v>0</v>
      </c>
      <c r="AE51">
        <v>7</v>
      </c>
      <c r="AF51">
        <v>8</v>
      </c>
      <c r="AG51">
        <v>-1</v>
      </c>
      <c r="AH51">
        <v>9</v>
      </c>
      <c r="AI51">
        <v>8</v>
      </c>
      <c r="AJ51">
        <v>1</v>
      </c>
      <c r="AK51" t="s">
        <v>1156</v>
      </c>
      <c r="AL51" t="s">
        <v>1157</v>
      </c>
      <c r="AM51" t="s">
        <v>1158</v>
      </c>
      <c r="AN51" t="s">
        <v>1159</v>
      </c>
      <c r="AO51" t="s">
        <v>1160</v>
      </c>
      <c r="AP51" t="s">
        <v>1161</v>
      </c>
      <c r="AQ51" t="s">
        <v>1162</v>
      </c>
      <c r="AR51" t="s">
        <v>1163</v>
      </c>
      <c r="AS51" t="s">
        <v>1164</v>
      </c>
    </row>
    <row r="52" spans="1:45" x14ac:dyDescent="0.45">
      <c r="A52">
        <v>51</v>
      </c>
      <c r="B52">
        <v>92</v>
      </c>
      <c r="C52" t="s">
        <v>73</v>
      </c>
      <c r="D52" t="s">
        <v>76</v>
      </c>
      <c r="E52" t="s">
        <v>69</v>
      </c>
      <c r="F52" t="s">
        <v>72</v>
      </c>
      <c r="G52" t="s">
        <v>71</v>
      </c>
      <c r="H52">
        <v>13.569827545687007</v>
      </c>
      <c r="I52">
        <v>0</v>
      </c>
      <c r="J52">
        <v>7</v>
      </c>
      <c r="K52">
        <v>10</v>
      </c>
      <c r="L52">
        <v>-3</v>
      </c>
      <c r="M52">
        <v>8</v>
      </c>
      <c r="N52">
        <v>10</v>
      </c>
      <c r="O52">
        <v>-2</v>
      </c>
      <c r="P52">
        <v>6</v>
      </c>
      <c r="Q52">
        <v>10</v>
      </c>
      <c r="R52">
        <v>-4</v>
      </c>
      <c r="S52">
        <v>9</v>
      </c>
      <c r="T52">
        <v>10</v>
      </c>
      <c r="U52">
        <v>-1</v>
      </c>
      <c r="V52">
        <v>8</v>
      </c>
      <c r="W52">
        <v>10</v>
      </c>
      <c r="X52">
        <v>-2</v>
      </c>
      <c r="Y52">
        <v>9</v>
      </c>
      <c r="Z52">
        <v>10</v>
      </c>
      <c r="AA52">
        <v>-1</v>
      </c>
      <c r="AB52">
        <v>8</v>
      </c>
      <c r="AC52">
        <v>10</v>
      </c>
      <c r="AD52">
        <v>-2</v>
      </c>
      <c r="AE52">
        <v>9</v>
      </c>
      <c r="AF52">
        <v>10</v>
      </c>
      <c r="AG52">
        <v>-1</v>
      </c>
      <c r="AH52">
        <v>10</v>
      </c>
      <c r="AI52">
        <v>10</v>
      </c>
      <c r="AJ52">
        <v>0</v>
      </c>
      <c r="AK52" t="s">
        <v>1165</v>
      </c>
      <c r="AL52" t="s">
        <v>1166</v>
      </c>
      <c r="AM52" t="s">
        <v>1167</v>
      </c>
      <c r="AN52" t="s">
        <v>1168</v>
      </c>
      <c r="AO52" t="s">
        <v>1169</v>
      </c>
      <c r="AP52" t="s">
        <v>1170</v>
      </c>
      <c r="AQ52" t="s">
        <v>1171</v>
      </c>
      <c r="AR52" t="s">
        <v>1172</v>
      </c>
      <c r="AS52" t="s">
        <v>1173</v>
      </c>
    </row>
    <row r="53" spans="1:45" x14ac:dyDescent="0.45">
      <c r="A53">
        <v>52</v>
      </c>
      <c r="B53">
        <v>93</v>
      </c>
      <c r="C53" t="s">
        <v>67</v>
      </c>
      <c r="D53" t="s">
        <v>76</v>
      </c>
      <c r="E53" t="s">
        <v>69</v>
      </c>
      <c r="F53" t="s">
        <v>72</v>
      </c>
      <c r="G53" t="s">
        <v>71</v>
      </c>
      <c r="H53">
        <v>20.75462224322278</v>
      </c>
      <c r="I53">
        <v>1</v>
      </c>
      <c r="J53">
        <v>7</v>
      </c>
      <c r="K53">
        <v>10</v>
      </c>
      <c r="L53">
        <v>-3</v>
      </c>
      <c r="M53">
        <v>6</v>
      </c>
      <c r="N53">
        <v>10</v>
      </c>
      <c r="O53">
        <v>-4</v>
      </c>
      <c r="P53">
        <v>8</v>
      </c>
      <c r="Q53">
        <v>10</v>
      </c>
      <c r="R53">
        <v>-2</v>
      </c>
      <c r="S53">
        <v>9</v>
      </c>
      <c r="T53">
        <v>10</v>
      </c>
      <c r="U53">
        <v>-1</v>
      </c>
      <c r="V53">
        <v>7</v>
      </c>
      <c r="W53">
        <v>10</v>
      </c>
      <c r="X53">
        <v>-3</v>
      </c>
      <c r="Y53">
        <v>8</v>
      </c>
      <c r="Z53">
        <v>10</v>
      </c>
      <c r="AA53">
        <v>-2</v>
      </c>
      <c r="AB53">
        <v>7</v>
      </c>
      <c r="AC53">
        <v>10</v>
      </c>
      <c r="AD53">
        <v>-3</v>
      </c>
      <c r="AE53">
        <v>6</v>
      </c>
      <c r="AF53">
        <v>10</v>
      </c>
      <c r="AG53">
        <v>-4</v>
      </c>
      <c r="AH53">
        <v>9</v>
      </c>
      <c r="AI53">
        <v>8</v>
      </c>
      <c r="AJ53">
        <v>1</v>
      </c>
      <c r="AK53" t="s">
        <v>295</v>
      </c>
      <c r="AL53" t="s">
        <v>1174</v>
      </c>
      <c r="AM53" t="s">
        <v>1175</v>
      </c>
      <c r="AN53" t="s">
        <v>1176</v>
      </c>
      <c r="AO53" t="s">
        <v>1177</v>
      </c>
      <c r="AP53" t="s">
        <v>1178</v>
      </c>
      <c r="AQ53" t="s">
        <v>1179</v>
      </c>
      <c r="AR53" t="s">
        <v>1180</v>
      </c>
      <c r="AS53" t="s">
        <v>1181</v>
      </c>
    </row>
    <row r="54" spans="1:45" x14ac:dyDescent="0.45">
      <c r="A54">
        <v>53</v>
      </c>
      <c r="B54">
        <v>94</v>
      </c>
      <c r="C54" t="s">
        <v>73</v>
      </c>
      <c r="D54" t="s">
        <v>76</v>
      </c>
      <c r="E54" t="s">
        <v>69</v>
      </c>
      <c r="F54" t="s">
        <v>70</v>
      </c>
      <c r="G54" t="s">
        <v>71</v>
      </c>
      <c r="H54">
        <v>12.983243945131914</v>
      </c>
      <c r="I54">
        <v>2</v>
      </c>
      <c r="J54">
        <v>8</v>
      </c>
      <c r="K54">
        <v>10</v>
      </c>
      <c r="L54">
        <v>-2</v>
      </c>
      <c r="M54">
        <v>9</v>
      </c>
      <c r="N54">
        <v>10</v>
      </c>
      <c r="O54">
        <v>-1</v>
      </c>
      <c r="P54">
        <v>8</v>
      </c>
      <c r="Q54">
        <v>10</v>
      </c>
      <c r="R54">
        <v>-2</v>
      </c>
      <c r="S54">
        <v>9</v>
      </c>
      <c r="T54">
        <v>10</v>
      </c>
      <c r="U54">
        <v>-1</v>
      </c>
      <c r="V54">
        <v>8</v>
      </c>
      <c r="W54">
        <v>10</v>
      </c>
      <c r="X54">
        <v>-2</v>
      </c>
      <c r="Y54">
        <v>9</v>
      </c>
      <c r="Z54">
        <v>10</v>
      </c>
      <c r="AA54">
        <v>-1</v>
      </c>
      <c r="AB54">
        <v>8</v>
      </c>
      <c r="AC54">
        <v>10</v>
      </c>
      <c r="AD54">
        <v>-2</v>
      </c>
      <c r="AE54">
        <v>9</v>
      </c>
      <c r="AF54">
        <v>10</v>
      </c>
      <c r="AG54">
        <v>-1</v>
      </c>
      <c r="AH54">
        <v>9</v>
      </c>
      <c r="AI54">
        <v>10</v>
      </c>
      <c r="AJ54">
        <v>-1</v>
      </c>
      <c r="AK54" t="s">
        <v>296</v>
      </c>
      <c r="AL54" t="s">
        <v>297</v>
      </c>
      <c r="AM54" t="s">
        <v>298</v>
      </c>
      <c r="AN54" t="s">
        <v>299</v>
      </c>
      <c r="AO54" t="s">
        <v>676</v>
      </c>
      <c r="AP54" t="s">
        <v>677</v>
      </c>
      <c r="AQ54" t="s">
        <v>678</v>
      </c>
      <c r="AR54" t="s">
        <v>679</v>
      </c>
      <c r="AS54" t="s">
        <v>680</v>
      </c>
    </row>
    <row r="55" spans="1:45" x14ac:dyDescent="0.45">
      <c r="A55">
        <v>54</v>
      </c>
      <c r="B55">
        <v>95</v>
      </c>
      <c r="C55" t="s">
        <v>67</v>
      </c>
      <c r="D55" t="s">
        <v>74</v>
      </c>
      <c r="E55" t="s">
        <v>69</v>
      </c>
      <c r="F55" t="s">
        <v>72</v>
      </c>
      <c r="G55" t="s">
        <v>71</v>
      </c>
      <c r="H55">
        <v>35.681028915547671</v>
      </c>
      <c r="I55">
        <v>2</v>
      </c>
      <c r="J55">
        <v>7</v>
      </c>
      <c r="K55">
        <v>8</v>
      </c>
      <c r="L55">
        <v>-1</v>
      </c>
      <c r="M55">
        <v>8</v>
      </c>
      <c r="N55">
        <v>7</v>
      </c>
      <c r="O55">
        <v>1</v>
      </c>
      <c r="P55">
        <v>9</v>
      </c>
      <c r="Q55">
        <v>7</v>
      </c>
      <c r="R55">
        <v>2</v>
      </c>
      <c r="S55">
        <v>10</v>
      </c>
      <c r="T55">
        <v>8</v>
      </c>
      <c r="U55">
        <v>2</v>
      </c>
      <c r="V55">
        <v>7</v>
      </c>
      <c r="W55">
        <v>7</v>
      </c>
      <c r="X55">
        <v>0</v>
      </c>
      <c r="Y55">
        <v>9</v>
      </c>
      <c r="Z55">
        <v>8</v>
      </c>
      <c r="AA55">
        <v>1</v>
      </c>
      <c r="AB55">
        <v>8</v>
      </c>
      <c r="AC55">
        <v>7</v>
      </c>
      <c r="AD55">
        <v>1</v>
      </c>
      <c r="AE55">
        <v>7</v>
      </c>
      <c r="AF55">
        <v>7</v>
      </c>
      <c r="AG55">
        <v>0</v>
      </c>
      <c r="AH55">
        <v>9</v>
      </c>
      <c r="AI55">
        <v>8</v>
      </c>
      <c r="AJ55">
        <v>1</v>
      </c>
      <c r="AK55" t="s">
        <v>681</v>
      </c>
      <c r="AL55" t="s">
        <v>1182</v>
      </c>
      <c r="AM55" t="s">
        <v>1183</v>
      </c>
      <c r="AN55" t="s">
        <v>1184</v>
      </c>
      <c r="AO55" t="s">
        <v>1185</v>
      </c>
      <c r="AP55" t="s">
        <v>1186</v>
      </c>
      <c r="AQ55" t="s">
        <v>1187</v>
      </c>
      <c r="AR55" t="s">
        <v>1188</v>
      </c>
      <c r="AS55" t="s">
        <v>1189</v>
      </c>
    </row>
    <row r="56" spans="1:45" x14ac:dyDescent="0.45">
      <c r="A56">
        <v>55</v>
      </c>
      <c r="B56">
        <v>96</v>
      </c>
      <c r="C56" t="s">
        <v>67</v>
      </c>
      <c r="D56" t="s">
        <v>68</v>
      </c>
      <c r="E56" t="s">
        <v>69</v>
      </c>
      <c r="F56" t="s">
        <v>72</v>
      </c>
      <c r="G56" t="s">
        <v>71</v>
      </c>
      <c r="H56">
        <v>37.498117157864044</v>
      </c>
      <c r="I56">
        <v>1</v>
      </c>
      <c r="J56">
        <v>8</v>
      </c>
      <c r="K56">
        <v>10</v>
      </c>
      <c r="L56">
        <v>-2</v>
      </c>
      <c r="M56">
        <v>7</v>
      </c>
      <c r="N56">
        <v>9</v>
      </c>
      <c r="O56">
        <v>-2</v>
      </c>
      <c r="P56">
        <v>9</v>
      </c>
      <c r="Q56">
        <v>3</v>
      </c>
      <c r="R56">
        <v>6</v>
      </c>
      <c r="S56">
        <v>8</v>
      </c>
      <c r="T56">
        <v>4</v>
      </c>
      <c r="U56">
        <v>4</v>
      </c>
      <c r="V56">
        <v>9</v>
      </c>
      <c r="W56">
        <v>3</v>
      </c>
      <c r="X56">
        <v>6</v>
      </c>
      <c r="Y56">
        <v>8</v>
      </c>
      <c r="Z56">
        <v>3</v>
      </c>
      <c r="AA56">
        <v>5</v>
      </c>
      <c r="AB56">
        <v>9</v>
      </c>
      <c r="AC56">
        <v>1</v>
      </c>
      <c r="AD56">
        <v>8</v>
      </c>
      <c r="AE56">
        <v>7</v>
      </c>
      <c r="AF56">
        <v>1</v>
      </c>
      <c r="AG56">
        <v>6</v>
      </c>
      <c r="AH56">
        <v>9</v>
      </c>
      <c r="AI56">
        <v>3</v>
      </c>
      <c r="AJ56">
        <v>6</v>
      </c>
      <c r="AK56" t="s">
        <v>1190</v>
      </c>
      <c r="AL56" t="s">
        <v>1191</v>
      </c>
      <c r="AM56" t="s">
        <v>1192</v>
      </c>
      <c r="AN56" t="s">
        <v>1193</v>
      </c>
      <c r="AO56" t="s">
        <v>1194</v>
      </c>
      <c r="AP56" t="s">
        <v>1195</v>
      </c>
      <c r="AQ56" t="s">
        <v>1196</v>
      </c>
      <c r="AR56" t="s">
        <v>1197</v>
      </c>
      <c r="AS56" t="s">
        <v>1198</v>
      </c>
    </row>
    <row r="57" spans="1:45" x14ac:dyDescent="0.45">
      <c r="A57">
        <v>56</v>
      </c>
      <c r="B57">
        <v>97</v>
      </c>
      <c r="C57" t="s">
        <v>73</v>
      </c>
      <c r="D57" t="s">
        <v>76</v>
      </c>
      <c r="E57" t="s">
        <v>69</v>
      </c>
      <c r="F57" t="s">
        <v>72</v>
      </c>
      <c r="G57" t="s">
        <v>71</v>
      </c>
      <c r="H57">
        <v>12</v>
      </c>
      <c r="I57">
        <v>0</v>
      </c>
      <c r="J57">
        <v>7</v>
      </c>
      <c r="K57">
        <v>10</v>
      </c>
      <c r="L57">
        <v>-3</v>
      </c>
      <c r="M57">
        <v>8</v>
      </c>
      <c r="N57">
        <v>10</v>
      </c>
      <c r="O57">
        <v>-2</v>
      </c>
      <c r="P57">
        <v>7</v>
      </c>
      <c r="Q57">
        <v>9</v>
      </c>
      <c r="R57">
        <v>-2</v>
      </c>
      <c r="S57">
        <v>9</v>
      </c>
      <c r="T57">
        <v>10</v>
      </c>
      <c r="U57">
        <v>-1</v>
      </c>
      <c r="V57">
        <v>7</v>
      </c>
      <c r="W57">
        <v>9</v>
      </c>
      <c r="X57">
        <v>-2</v>
      </c>
      <c r="Y57">
        <v>8</v>
      </c>
      <c r="Z57">
        <v>10</v>
      </c>
      <c r="AA57">
        <v>-2</v>
      </c>
      <c r="AB57">
        <v>7</v>
      </c>
      <c r="AC57">
        <v>9</v>
      </c>
      <c r="AD57">
        <v>-2</v>
      </c>
      <c r="AE57">
        <v>8</v>
      </c>
      <c r="AF57">
        <v>10</v>
      </c>
      <c r="AG57">
        <v>-2</v>
      </c>
      <c r="AH57">
        <v>9</v>
      </c>
      <c r="AI57">
        <v>9</v>
      </c>
      <c r="AJ57">
        <v>0</v>
      </c>
      <c r="AK57" t="s">
        <v>300</v>
      </c>
      <c r="AL57" t="s">
        <v>301</v>
      </c>
      <c r="AM57" t="s">
        <v>302</v>
      </c>
      <c r="AN57" t="s">
        <v>303</v>
      </c>
      <c r="AO57" t="s">
        <v>304</v>
      </c>
      <c r="AP57" t="s">
        <v>305</v>
      </c>
      <c r="AQ57" t="s">
        <v>77</v>
      </c>
      <c r="AR57" t="s">
        <v>306</v>
      </c>
      <c r="AS57" t="s">
        <v>307</v>
      </c>
    </row>
    <row r="58" spans="1:45" x14ac:dyDescent="0.45">
      <c r="A58">
        <v>57</v>
      </c>
      <c r="B58">
        <v>98</v>
      </c>
      <c r="C58" t="s">
        <v>67</v>
      </c>
      <c r="D58" t="s">
        <v>68</v>
      </c>
      <c r="E58" t="s">
        <v>69</v>
      </c>
      <c r="F58" t="s">
        <v>72</v>
      </c>
      <c r="G58" t="s">
        <v>71</v>
      </c>
      <c r="H58">
        <v>12.203375060822989</v>
      </c>
      <c r="I58">
        <v>2</v>
      </c>
      <c r="J58">
        <v>6</v>
      </c>
      <c r="K58">
        <v>10</v>
      </c>
      <c r="L58">
        <v>-4</v>
      </c>
      <c r="M58">
        <v>5</v>
      </c>
      <c r="N58">
        <v>10</v>
      </c>
      <c r="O58">
        <v>-5</v>
      </c>
      <c r="P58">
        <v>7</v>
      </c>
      <c r="Q58">
        <v>1</v>
      </c>
      <c r="R58">
        <v>6</v>
      </c>
      <c r="S58">
        <v>8</v>
      </c>
      <c r="T58">
        <v>5</v>
      </c>
      <c r="U58">
        <v>3</v>
      </c>
      <c r="V58">
        <v>9</v>
      </c>
      <c r="W58">
        <v>7</v>
      </c>
      <c r="X58">
        <v>2</v>
      </c>
      <c r="Y58">
        <v>9</v>
      </c>
      <c r="Z58">
        <v>10</v>
      </c>
      <c r="AA58">
        <v>-1</v>
      </c>
      <c r="AB58">
        <v>8</v>
      </c>
      <c r="AC58">
        <v>9</v>
      </c>
      <c r="AD58">
        <v>-1</v>
      </c>
      <c r="AE58">
        <v>7</v>
      </c>
      <c r="AF58">
        <v>9</v>
      </c>
      <c r="AG58">
        <v>-2</v>
      </c>
      <c r="AH58">
        <v>9</v>
      </c>
      <c r="AI58">
        <v>10</v>
      </c>
      <c r="AJ58">
        <v>-1</v>
      </c>
      <c r="AK58" t="s">
        <v>308</v>
      </c>
      <c r="AL58" t="s">
        <v>309</v>
      </c>
      <c r="AM58" t="s">
        <v>1199</v>
      </c>
      <c r="AN58" t="s">
        <v>1200</v>
      </c>
      <c r="AO58" t="s">
        <v>1201</v>
      </c>
      <c r="AP58" t="s">
        <v>1202</v>
      </c>
      <c r="AQ58" t="s">
        <v>1203</v>
      </c>
      <c r="AR58" t="s">
        <v>1204</v>
      </c>
      <c r="AS58" t="s">
        <v>1205</v>
      </c>
    </row>
    <row r="59" spans="1:45" x14ac:dyDescent="0.45">
      <c r="A59">
        <v>58</v>
      </c>
      <c r="B59">
        <v>99</v>
      </c>
      <c r="C59" t="s">
        <v>67</v>
      </c>
      <c r="D59" t="s">
        <v>74</v>
      </c>
      <c r="E59" t="s">
        <v>69</v>
      </c>
      <c r="F59" t="s">
        <v>70</v>
      </c>
      <c r="G59" t="s">
        <v>71</v>
      </c>
      <c r="H59">
        <v>28.093581811068354</v>
      </c>
      <c r="I59">
        <v>1</v>
      </c>
      <c r="J59">
        <v>7</v>
      </c>
      <c r="K59">
        <v>5</v>
      </c>
      <c r="L59">
        <v>2</v>
      </c>
      <c r="M59">
        <v>8</v>
      </c>
      <c r="N59">
        <v>5</v>
      </c>
      <c r="O59">
        <v>3</v>
      </c>
      <c r="P59">
        <v>6</v>
      </c>
      <c r="Q59">
        <v>4</v>
      </c>
      <c r="R59">
        <v>2</v>
      </c>
      <c r="S59">
        <v>9</v>
      </c>
      <c r="T59">
        <v>8</v>
      </c>
      <c r="U59">
        <v>1</v>
      </c>
      <c r="V59">
        <v>7</v>
      </c>
      <c r="W59">
        <v>5</v>
      </c>
      <c r="X59">
        <v>2</v>
      </c>
      <c r="Y59">
        <v>9</v>
      </c>
      <c r="Z59">
        <v>7</v>
      </c>
      <c r="AA59">
        <v>2</v>
      </c>
      <c r="AB59">
        <v>8</v>
      </c>
      <c r="AC59">
        <v>7</v>
      </c>
      <c r="AD59">
        <v>1</v>
      </c>
      <c r="AE59">
        <v>7</v>
      </c>
      <c r="AF59">
        <v>7</v>
      </c>
      <c r="AG59">
        <v>0</v>
      </c>
      <c r="AH59">
        <v>9</v>
      </c>
      <c r="AI59">
        <v>7</v>
      </c>
      <c r="AJ59">
        <v>2</v>
      </c>
      <c r="AK59" t="s">
        <v>1206</v>
      </c>
      <c r="AL59" t="s">
        <v>1207</v>
      </c>
      <c r="AM59" t="s">
        <v>1208</v>
      </c>
      <c r="AN59" t="s">
        <v>1209</v>
      </c>
      <c r="AO59" t="s">
        <v>1210</v>
      </c>
      <c r="AP59" t="s">
        <v>1211</v>
      </c>
      <c r="AQ59" t="s">
        <v>1212</v>
      </c>
      <c r="AR59" t="s">
        <v>1213</v>
      </c>
      <c r="AS59" t="s">
        <v>1214</v>
      </c>
    </row>
    <row r="60" spans="1:45" x14ac:dyDescent="0.45">
      <c r="A60">
        <v>59</v>
      </c>
      <c r="B60">
        <v>100</v>
      </c>
      <c r="C60" t="s">
        <v>67</v>
      </c>
      <c r="D60" t="s">
        <v>184</v>
      </c>
      <c r="E60" t="s">
        <v>69</v>
      </c>
      <c r="F60" t="s">
        <v>72</v>
      </c>
      <c r="G60" t="s">
        <v>157</v>
      </c>
      <c r="H60">
        <v>12</v>
      </c>
      <c r="I60">
        <v>0</v>
      </c>
      <c r="J60">
        <v>7</v>
      </c>
      <c r="K60">
        <v>9</v>
      </c>
      <c r="L60">
        <v>-2</v>
      </c>
      <c r="M60">
        <v>6</v>
      </c>
      <c r="N60">
        <v>9</v>
      </c>
      <c r="O60">
        <v>-3</v>
      </c>
      <c r="P60">
        <v>9</v>
      </c>
      <c r="Q60">
        <v>9</v>
      </c>
      <c r="R60">
        <v>0</v>
      </c>
      <c r="S60">
        <v>8</v>
      </c>
      <c r="T60">
        <v>7</v>
      </c>
      <c r="U60">
        <v>1</v>
      </c>
      <c r="V60">
        <v>7</v>
      </c>
      <c r="W60">
        <v>7</v>
      </c>
      <c r="X60">
        <v>0</v>
      </c>
      <c r="Y60">
        <v>8</v>
      </c>
      <c r="Z60">
        <v>8</v>
      </c>
      <c r="AA60">
        <v>0</v>
      </c>
      <c r="AB60">
        <v>7</v>
      </c>
      <c r="AC60">
        <v>8</v>
      </c>
      <c r="AD60">
        <v>-1</v>
      </c>
      <c r="AE60">
        <v>8</v>
      </c>
      <c r="AF60">
        <v>6</v>
      </c>
      <c r="AG60">
        <v>2</v>
      </c>
      <c r="AH60">
        <v>9</v>
      </c>
      <c r="AI60">
        <v>5</v>
      </c>
      <c r="AJ60">
        <v>4</v>
      </c>
      <c r="AK60" t="s">
        <v>310</v>
      </c>
      <c r="AL60" t="s">
        <v>311</v>
      </c>
      <c r="AM60" t="s">
        <v>312</v>
      </c>
      <c r="AN60" t="s">
        <v>313</v>
      </c>
      <c r="AO60" t="s">
        <v>314</v>
      </c>
      <c r="AP60" t="s">
        <v>315</v>
      </c>
      <c r="AQ60" t="s">
        <v>316</v>
      </c>
      <c r="AR60" t="s">
        <v>317</v>
      </c>
      <c r="AS60" t="s">
        <v>318</v>
      </c>
    </row>
    <row r="61" spans="1:45" x14ac:dyDescent="0.45">
      <c r="A61">
        <v>60</v>
      </c>
      <c r="B61">
        <v>101</v>
      </c>
      <c r="C61" t="s">
        <v>73</v>
      </c>
      <c r="D61" t="s">
        <v>76</v>
      </c>
      <c r="E61" t="s">
        <v>69</v>
      </c>
      <c r="F61" t="s">
        <v>72</v>
      </c>
      <c r="G61" t="s">
        <v>71</v>
      </c>
      <c r="H61">
        <v>15.883714148666074</v>
      </c>
      <c r="I61">
        <v>0</v>
      </c>
      <c r="J61">
        <v>7</v>
      </c>
      <c r="K61">
        <v>5</v>
      </c>
      <c r="L61">
        <v>2</v>
      </c>
      <c r="M61">
        <v>8</v>
      </c>
      <c r="N61">
        <v>5</v>
      </c>
      <c r="O61">
        <v>3</v>
      </c>
      <c r="P61">
        <v>9</v>
      </c>
      <c r="Q61">
        <v>5</v>
      </c>
      <c r="R61">
        <v>4</v>
      </c>
      <c r="S61">
        <v>9</v>
      </c>
      <c r="T61">
        <v>5</v>
      </c>
      <c r="U61">
        <v>4</v>
      </c>
      <c r="V61">
        <v>8</v>
      </c>
      <c r="W61">
        <v>5</v>
      </c>
      <c r="X61">
        <v>3</v>
      </c>
      <c r="Y61">
        <v>9</v>
      </c>
      <c r="Z61">
        <v>8</v>
      </c>
      <c r="AA61">
        <v>1</v>
      </c>
      <c r="AB61">
        <v>8</v>
      </c>
      <c r="AC61">
        <v>4</v>
      </c>
      <c r="AD61">
        <v>4</v>
      </c>
      <c r="AE61">
        <v>9</v>
      </c>
      <c r="AF61">
        <v>5</v>
      </c>
      <c r="AG61">
        <v>4</v>
      </c>
      <c r="AH61">
        <v>10</v>
      </c>
      <c r="AI61">
        <v>5</v>
      </c>
      <c r="AJ61">
        <v>5</v>
      </c>
      <c r="AK61" t="s">
        <v>1215</v>
      </c>
      <c r="AL61" t="s">
        <v>1216</v>
      </c>
      <c r="AM61" t="s">
        <v>1217</v>
      </c>
      <c r="AN61" t="s">
        <v>1218</v>
      </c>
      <c r="AO61" t="s">
        <v>1219</v>
      </c>
      <c r="AP61" t="s">
        <v>1220</v>
      </c>
      <c r="AQ61" t="s">
        <v>1221</v>
      </c>
      <c r="AR61" t="s">
        <v>1222</v>
      </c>
      <c r="AS61" t="s">
        <v>1223</v>
      </c>
    </row>
    <row r="62" spans="1:45" x14ac:dyDescent="0.45">
      <c r="A62">
        <v>61</v>
      </c>
      <c r="B62">
        <v>102</v>
      </c>
      <c r="C62" t="s">
        <v>67</v>
      </c>
      <c r="D62" t="s">
        <v>68</v>
      </c>
      <c r="E62" t="s">
        <v>69</v>
      </c>
      <c r="F62" t="s">
        <v>70</v>
      </c>
      <c r="G62" t="s">
        <v>71</v>
      </c>
      <c r="H62">
        <v>20.116602641598408</v>
      </c>
      <c r="I62">
        <v>1</v>
      </c>
      <c r="J62">
        <v>8</v>
      </c>
      <c r="K62">
        <v>8</v>
      </c>
      <c r="L62">
        <v>0</v>
      </c>
      <c r="M62">
        <v>9</v>
      </c>
      <c r="N62">
        <v>9</v>
      </c>
      <c r="O62">
        <v>0</v>
      </c>
      <c r="P62">
        <v>8</v>
      </c>
      <c r="Q62">
        <v>9</v>
      </c>
      <c r="R62">
        <v>-1</v>
      </c>
      <c r="S62">
        <v>9</v>
      </c>
      <c r="T62">
        <v>9</v>
      </c>
      <c r="U62">
        <v>0</v>
      </c>
      <c r="V62">
        <v>8</v>
      </c>
      <c r="W62">
        <v>9</v>
      </c>
      <c r="X62">
        <v>-1</v>
      </c>
      <c r="Y62">
        <v>9</v>
      </c>
      <c r="Z62">
        <v>8</v>
      </c>
      <c r="AA62">
        <v>1</v>
      </c>
      <c r="AB62">
        <v>8</v>
      </c>
      <c r="AC62">
        <v>8</v>
      </c>
      <c r="AD62">
        <v>0</v>
      </c>
      <c r="AE62">
        <v>9</v>
      </c>
      <c r="AF62">
        <v>8</v>
      </c>
      <c r="AG62">
        <v>1</v>
      </c>
      <c r="AH62">
        <v>8</v>
      </c>
      <c r="AI62">
        <v>9</v>
      </c>
      <c r="AJ62">
        <v>-1</v>
      </c>
      <c r="AK62" t="s">
        <v>1224</v>
      </c>
      <c r="AL62" t="s">
        <v>1225</v>
      </c>
      <c r="AM62" t="s">
        <v>1226</v>
      </c>
      <c r="AN62" t="s">
        <v>1227</v>
      </c>
      <c r="AO62" t="s">
        <v>1228</v>
      </c>
      <c r="AP62" t="s">
        <v>1229</v>
      </c>
      <c r="AQ62" t="s">
        <v>1230</v>
      </c>
      <c r="AR62" t="s">
        <v>1231</v>
      </c>
      <c r="AS62" t="s">
        <v>1232</v>
      </c>
    </row>
    <row r="63" spans="1:45" x14ac:dyDescent="0.45">
      <c r="A63">
        <v>62</v>
      </c>
      <c r="B63">
        <v>103</v>
      </c>
      <c r="C63" t="s">
        <v>67</v>
      </c>
      <c r="D63" t="s">
        <v>76</v>
      </c>
      <c r="E63" t="s">
        <v>69</v>
      </c>
      <c r="F63" t="s">
        <v>70</v>
      </c>
      <c r="G63" t="s">
        <v>71</v>
      </c>
      <c r="H63">
        <v>29.967774228943657</v>
      </c>
      <c r="I63">
        <v>0</v>
      </c>
      <c r="J63">
        <v>7</v>
      </c>
      <c r="K63">
        <v>9</v>
      </c>
      <c r="L63">
        <v>-2</v>
      </c>
      <c r="M63">
        <v>8</v>
      </c>
      <c r="N63">
        <v>9</v>
      </c>
      <c r="O63">
        <v>-1</v>
      </c>
      <c r="P63">
        <v>9</v>
      </c>
      <c r="Q63">
        <v>7</v>
      </c>
      <c r="R63">
        <v>2</v>
      </c>
      <c r="S63">
        <v>9</v>
      </c>
      <c r="T63">
        <v>6</v>
      </c>
      <c r="U63">
        <v>3</v>
      </c>
      <c r="V63">
        <v>8</v>
      </c>
      <c r="W63">
        <v>7</v>
      </c>
      <c r="X63">
        <v>1</v>
      </c>
      <c r="Y63">
        <v>9</v>
      </c>
      <c r="Z63">
        <v>5</v>
      </c>
      <c r="AA63">
        <v>4</v>
      </c>
      <c r="AB63">
        <v>8</v>
      </c>
      <c r="AC63">
        <v>6</v>
      </c>
      <c r="AD63">
        <v>2</v>
      </c>
      <c r="AE63">
        <v>9</v>
      </c>
      <c r="AF63">
        <v>8</v>
      </c>
      <c r="AG63">
        <v>1</v>
      </c>
      <c r="AH63">
        <v>8</v>
      </c>
      <c r="AI63">
        <v>5</v>
      </c>
      <c r="AJ63">
        <v>3</v>
      </c>
      <c r="AK63" t="s">
        <v>1233</v>
      </c>
      <c r="AL63" t="s">
        <v>1234</v>
      </c>
      <c r="AM63" t="s">
        <v>1235</v>
      </c>
      <c r="AN63" t="s">
        <v>1236</v>
      </c>
      <c r="AO63" t="s">
        <v>1237</v>
      </c>
      <c r="AP63" t="s">
        <v>1238</v>
      </c>
      <c r="AQ63" t="s">
        <v>1239</v>
      </c>
      <c r="AR63" t="s">
        <v>1240</v>
      </c>
      <c r="AS63" t="s">
        <v>1241</v>
      </c>
    </row>
    <row r="64" spans="1:45" x14ac:dyDescent="0.45">
      <c r="A64">
        <v>63</v>
      </c>
      <c r="B64">
        <v>104</v>
      </c>
      <c r="C64" t="s">
        <v>67</v>
      </c>
      <c r="D64" t="s">
        <v>187</v>
      </c>
      <c r="E64" t="s">
        <v>75</v>
      </c>
      <c r="F64" t="s">
        <v>72</v>
      </c>
      <c r="G64" t="s">
        <v>71</v>
      </c>
      <c r="H64">
        <v>21.039509606197019</v>
      </c>
      <c r="I64">
        <v>1</v>
      </c>
      <c r="J64">
        <v>8</v>
      </c>
      <c r="K64">
        <v>9</v>
      </c>
      <c r="L64">
        <v>-1</v>
      </c>
      <c r="M64">
        <v>7</v>
      </c>
      <c r="N64">
        <v>9</v>
      </c>
      <c r="O64">
        <v>-2</v>
      </c>
      <c r="P64">
        <v>9</v>
      </c>
      <c r="Q64">
        <v>9</v>
      </c>
      <c r="R64">
        <v>0</v>
      </c>
      <c r="S64">
        <v>8</v>
      </c>
      <c r="T64">
        <v>9</v>
      </c>
      <c r="U64">
        <v>-1</v>
      </c>
      <c r="V64">
        <v>9</v>
      </c>
      <c r="W64">
        <v>8</v>
      </c>
      <c r="X64">
        <v>1</v>
      </c>
      <c r="Y64">
        <v>8</v>
      </c>
      <c r="Z64">
        <v>9</v>
      </c>
      <c r="AA64">
        <v>-1</v>
      </c>
      <c r="AB64">
        <v>9</v>
      </c>
      <c r="AC64">
        <v>9</v>
      </c>
      <c r="AD64">
        <v>0</v>
      </c>
      <c r="AE64">
        <v>8</v>
      </c>
      <c r="AF64">
        <v>8</v>
      </c>
      <c r="AG64">
        <v>0</v>
      </c>
      <c r="AH64">
        <v>9</v>
      </c>
      <c r="AI64">
        <v>7</v>
      </c>
      <c r="AJ64">
        <v>2</v>
      </c>
      <c r="AK64" t="s">
        <v>1242</v>
      </c>
      <c r="AL64" t="s">
        <v>1243</v>
      </c>
      <c r="AM64" t="s">
        <v>1244</v>
      </c>
      <c r="AN64" t="s">
        <v>1245</v>
      </c>
      <c r="AO64" t="s">
        <v>1246</v>
      </c>
      <c r="AP64" t="s">
        <v>1247</v>
      </c>
      <c r="AQ64" t="s">
        <v>1248</v>
      </c>
      <c r="AR64" t="s">
        <v>1249</v>
      </c>
      <c r="AS64" t="s">
        <v>1250</v>
      </c>
    </row>
    <row r="65" spans="1:45" x14ac:dyDescent="0.45">
      <c r="A65">
        <v>64</v>
      </c>
      <c r="B65">
        <v>105</v>
      </c>
      <c r="C65" t="s">
        <v>67</v>
      </c>
      <c r="D65" t="s">
        <v>68</v>
      </c>
      <c r="E65" t="s">
        <v>69</v>
      </c>
      <c r="F65" t="s">
        <v>72</v>
      </c>
      <c r="G65" t="s">
        <v>157</v>
      </c>
      <c r="H65">
        <v>120.54074400286268</v>
      </c>
      <c r="I65">
        <v>2</v>
      </c>
      <c r="J65">
        <v>6</v>
      </c>
      <c r="K65">
        <v>9</v>
      </c>
      <c r="L65">
        <v>-3</v>
      </c>
      <c r="M65">
        <v>7</v>
      </c>
      <c r="N65">
        <v>10</v>
      </c>
      <c r="O65">
        <v>-3</v>
      </c>
      <c r="P65">
        <v>9</v>
      </c>
      <c r="Q65">
        <v>9</v>
      </c>
      <c r="R65">
        <v>0</v>
      </c>
      <c r="S65">
        <v>8</v>
      </c>
      <c r="T65">
        <v>10</v>
      </c>
      <c r="U65">
        <v>-2</v>
      </c>
      <c r="V65">
        <v>9</v>
      </c>
      <c r="W65">
        <v>10</v>
      </c>
      <c r="X65">
        <v>-1</v>
      </c>
      <c r="Y65">
        <v>8</v>
      </c>
      <c r="Z65">
        <v>5</v>
      </c>
      <c r="AA65">
        <v>3</v>
      </c>
      <c r="AB65">
        <v>9</v>
      </c>
      <c r="AC65">
        <v>10</v>
      </c>
      <c r="AD65">
        <v>-1</v>
      </c>
      <c r="AE65">
        <v>7</v>
      </c>
      <c r="AF65">
        <v>7</v>
      </c>
      <c r="AG65">
        <v>0</v>
      </c>
      <c r="AH65">
        <v>8</v>
      </c>
      <c r="AI65">
        <v>9</v>
      </c>
      <c r="AJ65">
        <v>-1</v>
      </c>
      <c r="AK65" t="s">
        <v>1251</v>
      </c>
      <c r="AL65" t="s">
        <v>1252</v>
      </c>
      <c r="AM65" t="s">
        <v>1253</v>
      </c>
      <c r="AN65" t="s">
        <v>1254</v>
      </c>
      <c r="AO65" t="s">
        <v>1255</v>
      </c>
      <c r="AP65" t="s">
        <v>1256</v>
      </c>
      <c r="AQ65" t="s">
        <v>1257</v>
      </c>
      <c r="AR65" t="s">
        <v>1258</v>
      </c>
      <c r="AS65" t="s">
        <v>1259</v>
      </c>
    </row>
    <row r="66" spans="1:45" x14ac:dyDescent="0.45">
      <c r="A66">
        <v>65</v>
      </c>
      <c r="B66">
        <v>106</v>
      </c>
      <c r="C66" t="s">
        <v>67</v>
      </c>
      <c r="D66" t="s">
        <v>74</v>
      </c>
      <c r="E66" t="s">
        <v>75</v>
      </c>
      <c r="F66" t="s">
        <v>72</v>
      </c>
      <c r="G66" t="s">
        <v>71</v>
      </c>
      <c r="H66">
        <v>12</v>
      </c>
      <c r="I66">
        <v>2</v>
      </c>
      <c r="J66">
        <v>7</v>
      </c>
      <c r="K66">
        <v>10</v>
      </c>
      <c r="L66">
        <v>-3</v>
      </c>
      <c r="M66">
        <v>8</v>
      </c>
      <c r="N66">
        <v>10</v>
      </c>
      <c r="O66">
        <v>-2</v>
      </c>
      <c r="P66">
        <v>9</v>
      </c>
      <c r="Q66">
        <v>10</v>
      </c>
      <c r="R66">
        <v>-1</v>
      </c>
      <c r="S66">
        <v>9</v>
      </c>
      <c r="T66">
        <v>10</v>
      </c>
      <c r="U66">
        <v>-1</v>
      </c>
      <c r="V66">
        <v>8</v>
      </c>
      <c r="W66">
        <v>10</v>
      </c>
      <c r="X66">
        <v>-2</v>
      </c>
      <c r="Y66">
        <v>9</v>
      </c>
      <c r="Z66">
        <v>10</v>
      </c>
      <c r="AA66">
        <v>-1</v>
      </c>
      <c r="AB66">
        <v>8</v>
      </c>
      <c r="AC66">
        <v>10</v>
      </c>
      <c r="AD66">
        <v>-2</v>
      </c>
      <c r="AE66">
        <v>8</v>
      </c>
      <c r="AF66">
        <v>10</v>
      </c>
      <c r="AG66">
        <v>-2</v>
      </c>
      <c r="AH66">
        <v>9</v>
      </c>
      <c r="AI66">
        <v>10</v>
      </c>
      <c r="AJ66">
        <v>-1</v>
      </c>
      <c r="AK66" t="s">
        <v>319</v>
      </c>
      <c r="AL66" t="s">
        <v>320</v>
      </c>
      <c r="AM66" t="s">
        <v>321</v>
      </c>
      <c r="AN66" t="s">
        <v>322</v>
      </c>
      <c r="AO66" t="s">
        <v>323</v>
      </c>
      <c r="AP66" t="s">
        <v>324</v>
      </c>
      <c r="AQ66" t="s">
        <v>325</v>
      </c>
      <c r="AR66" t="s">
        <v>326</v>
      </c>
      <c r="AS66" t="s">
        <v>327</v>
      </c>
    </row>
    <row r="67" spans="1:45" x14ac:dyDescent="0.45">
      <c r="A67">
        <v>66</v>
      </c>
      <c r="B67">
        <v>107</v>
      </c>
      <c r="C67" t="s">
        <v>67</v>
      </c>
      <c r="D67" t="s">
        <v>76</v>
      </c>
      <c r="E67" t="s">
        <v>69</v>
      </c>
      <c r="F67" t="s">
        <v>186</v>
      </c>
      <c r="G67" t="s">
        <v>71</v>
      </c>
      <c r="H67">
        <v>13.951740814793576</v>
      </c>
      <c r="I67">
        <v>0</v>
      </c>
      <c r="J67">
        <v>7</v>
      </c>
      <c r="K67">
        <v>7</v>
      </c>
      <c r="L67">
        <v>0</v>
      </c>
      <c r="M67">
        <v>6</v>
      </c>
      <c r="N67">
        <v>5</v>
      </c>
      <c r="O67">
        <v>1</v>
      </c>
      <c r="P67">
        <v>9</v>
      </c>
      <c r="Q67">
        <v>3</v>
      </c>
      <c r="R67">
        <v>6</v>
      </c>
      <c r="S67">
        <v>8</v>
      </c>
      <c r="T67">
        <v>5</v>
      </c>
      <c r="U67">
        <v>3</v>
      </c>
      <c r="V67">
        <v>9</v>
      </c>
      <c r="W67">
        <v>4</v>
      </c>
      <c r="X67">
        <v>5</v>
      </c>
      <c r="Y67">
        <v>9</v>
      </c>
      <c r="Z67">
        <v>3</v>
      </c>
      <c r="AA67">
        <v>6</v>
      </c>
      <c r="AB67">
        <v>9</v>
      </c>
      <c r="AC67">
        <v>5</v>
      </c>
      <c r="AD67">
        <v>4</v>
      </c>
      <c r="AE67">
        <v>7</v>
      </c>
      <c r="AF67">
        <v>6</v>
      </c>
      <c r="AG67">
        <v>1</v>
      </c>
      <c r="AH67">
        <v>9</v>
      </c>
      <c r="AI67">
        <v>6</v>
      </c>
      <c r="AJ67">
        <v>3</v>
      </c>
      <c r="AK67" t="s">
        <v>1260</v>
      </c>
      <c r="AL67" t="s">
        <v>1261</v>
      </c>
      <c r="AM67" t="s">
        <v>1262</v>
      </c>
      <c r="AN67" t="s">
        <v>1263</v>
      </c>
      <c r="AO67" t="s">
        <v>1264</v>
      </c>
      <c r="AP67" t="s">
        <v>1265</v>
      </c>
      <c r="AQ67" t="s">
        <v>1266</v>
      </c>
      <c r="AR67" t="s">
        <v>1267</v>
      </c>
      <c r="AS67" t="s">
        <v>1268</v>
      </c>
    </row>
    <row r="68" spans="1:45" x14ac:dyDescent="0.45">
      <c r="A68">
        <v>67</v>
      </c>
      <c r="B68">
        <v>108</v>
      </c>
      <c r="C68" t="s">
        <v>73</v>
      </c>
      <c r="D68" t="s">
        <v>74</v>
      </c>
      <c r="E68" t="s">
        <v>69</v>
      </c>
      <c r="F68" t="s">
        <v>70</v>
      </c>
      <c r="G68" t="s">
        <v>71</v>
      </c>
      <c r="H68">
        <v>100.04365703588709</v>
      </c>
      <c r="I68">
        <v>2</v>
      </c>
      <c r="J68">
        <v>6</v>
      </c>
      <c r="K68">
        <v>5</v>
      </c>
      <c r="L68">
        <v>1</v>
      </c>
      <c r="M68">
        <v>7</v>
      </c>
      <c r="N68">
        <v>5</v>
      </c>
      <c r="O68">
        <v>2</v>
      </c>
      <c r="P68">
        <v>8</v>
      </c>
      <c r="Q68">
        <v>4</v>
      </c>
      <c r="R68">
        <v>4</v>
      </c>
      <c r="S68">
        <v>9</v>
      </c>
      <c r="T68">
        <v>4</v>
      </c>
      <c r="U68">
        <v>5</v>
      </c>
      <c r="V68">
        <v>8</v>
      </c>
      <c r="W68">
        <v>2</v>
      </c>
      <c r="X68">
        <v>6</v>
      </c>
      <c r="Y68">
        <v>9</v>
      </c>
      <c r="Z68">
        <v>3</v>
      </c>
      <c r="AA68">
        <v>6</v>
      </c>
      <c r="AB68">
        <v>8</v>
      </c>
      <c r="AC68">
        <v>2</v>
      </c>
      <c r="AD68">
        <v>6</v>
      </c>
      <c r="AE68">
        <v>7</v>
      </c>
      <c r="AF68">
        <v>3</v>
      </c>
      <c r="AG68">
        <v>4</v>
      </c>
      <c r="AH68">
        <v>9</v>
      </c>
      <c r="AI68">
        <v>3</v>
      </c>
      <c r="AJ68">
        <v>6</v>
      </c>
      <c r="AK68" t="s">
        <v>1269</v>
      </c>
      <c r="AL68" t="s">
        <v>1270</v>
      </c>
      <c r="AM68" t="s">
        <v>1271</v>
      </c>
      <c r="AN68" t="s">
        <v>1272</v>
      </c>
      <c r="AO68" t="s">
        <v>195</v>
      </c>
      <c r="AP68" t="s">
        <v>1273</v>
      </c>
      <c r="AQ68" t="s">
        <v>1274</v>
      </c>
      <c r="AR68" t="s">
        <v>1275</v>
      </c>
      <c r="AS68" t="s">
        <v>1276</v>
      </c>
    </row>
    <row r="69" spans="1:45" x14ac:dyDescent="0.45">
      <c r="A69">
        <v>68</v>
      </c>
      <c r="B69">
        <v>109</v>
      </c>
      <c r="C69" t="s">
        <v>67</v>
      </c>
      <c r="D69" t="s">
        <v>74</v>
      </c>
      <c r="E69" t="s">
        <v>69</v>
      </c>
      <c r="F69" t="s">
        <v>72</v>
      </c>
      <c r="G69" t="s">
        <v>71</v>
      </c>
      <c r="H69">
        <v>48.458024069304336</v>
      </c>
      <c r="I69">
        <v>2</v>
      </c>
      <c r="J69">
        <v>9</v>
      </c>
      <c r="K69">
        <v>4</v>
      </c>
      <c r="L69">
        <v>5</v>
      </c>
      <c r="M69">
        <v>8</v>
      </c>
      <c r="N69">
        <v>3</v>
      </c>
      <c r="O69">
        <v>5</v>
      </c>
      <c r="P69">
        <v>9</v>
      </c>
      <c r="Q69">
        <v>1</v>
      </c>
      <c r="R69">
        <v>8</v>
      </c>
      <c r="S69">
        <v>8</v>
      </c>
      <c r="T69">
        <v>5</v>
      </c>
      <c r="U69">
        <v>3</v>
      </c>
      <c r="V69">
        <v>9</v>
      </c>
      <c r="W69">
        <v>4</v>
      </c>
      <c r="X69">
        <v>5</v>
      </c>
      <c r="Y69">
        <v>8</v>
      </c>
      <c r="Z69">
        <v>3</v>
      </c>
      <c r="AA69">
        <v>5</v>
      </c>
      <c r="AB69">
        <v>9</v>
      </c>
      <c r="AC69">
        <v>1</v>
      </c>
      <c r="AD69">
        <v>8</v>
      </c>
      <c r="AE69">
        <v>7</v>
      </c>
      <c r="AF69">
        <v>3</v>
      </c>
      <c r="AG69">
        <v>4</v>
      </c>
      <c r="AH69">
        <v>9</v>
      </c>
      <c r="AI69">
        <v>5</v>
      </c>
      <c r="AJ69">
        <v>4</v>
      </c>
      <c r="AK69" t="s">
        <v>1277</v>
      </c>
      <c r="AL69" t="s">
        <v>1278</v>
      </c>
      <c r="AM69" t="s">
        <v>1279</v>
      </c>
      <c r="AN69" t="s">
        <v>1280</v>
      </c>
      <c r="AO69" t="s">
        <v>1281</v>
      </c>
      <c r="AP69" t="s">
        <v>1282</v>
      </c>
      <c r="AQ69" t="s">
        <v>1283</v>
      </c>
      <c r="AR69" t="s">
        <v>1284</v>
      </c>
      <c r="AS69" t="s">
        <v>1285</v>
      </c>
    </row>
    <row r="70" spans="1:45" x14ac:dyDescent="0.45">
      <c r="A70">
        <v>69</v>
      </c>
      <c r="B70">
        <v>110</v>
      </c>
      <c r="C70" t="s">
        <v>73</v>
      </c>
      <c r="D70" t="s">
        <v>76</v>
      </c>
      <c r="E70" t="s">
        <v>69</v>
      </c>
      <c r="F70" t="s">
        <v>72</v>
      </c>
      <c r="G70" t="s">
        <v>71</v>
      </c>
      <c r="H70">
        <v>20.739767149768142</v>
      </c>
      <c r="I70">
        <v>0</v>
      </c>
      <c r="J70">
        <v>7</v>
      </c>
      <c r="K70">
        <v>7</v>
      </c>
      <c r="L70">
        <v>0</v>
      </c>
      <c r="M70">
        <v>6</v>
      </c>
      <c r="N70">
        <v>7</v>
      </c>
      <c r="O70">
        <v>-1</v>
      </c>
      <c r="P70">
        <v>8</v>
      </c>
      <c r="Q70">
        <v>8</v>
      </c>
      <c r="R70">
        <v>0</v>
      </c>
      <c r="S70">
        <v>9</v>
      </c>
      <c r="T70">
        <v>9</v>
      </c>
      <c r="U70">
        <v>0</v>
      </c>
      <c r="V70">
        <v>7</v>
      </c>
      <c r="W70">
        <v>8</v>
      </c>
      <c r="X70">
        <v>-1</v>
      </c>
      <c r="Y70">
        <v>9</v>
      </c>
      <c r="Z70">
        <v>10</v>
      </c>
      <c r="AA70">
        <v>-1</v>
      </c>
      <c r="AB70">
        <v>7</v>
      </c>
      <c r="AC70">
        <v>9</v>
      </c>
      <c r="AD70">
        <v>-2</v>
      </c>
      <c r="AE70">
        <v>8</v>
      </c>
      <c r="AF70">
        <v>9</v>
      </c>
      <c r="AG70">
        <v>-1</v>
      </c>
      <c r="AH70">
        <v>9</v>
      </c>
      <c r="AI70">
        <v>9</v>
      </c>
      <c r="AJ70">
        <v>0</v>
      </c>
      <c r="AK70" t="s">
        <v>1286</v>
      </c>
      <c r="AL70" t="s">
        <v>1287</v>
      </c>
      <c r="AM70" t="s">
        <v>1288</v>
      </c>
      <c r="AN70" t="s">
        <v>1289</v>
      </c>
      <c r="AO70" t="s">
        <v>1290</v>
      </c>
      <c r="AP70" t="s">
        <v>1291</v>
      </c>
      <c r="AQ70" t="s">
        <v>1292</v>
      </c>
      <c r="AR70" t="s">
        <v>1293</v>
      </c>
      <c r="AS70" t="s">
        <v>1294</v>
      </c>
    </row>
    <row r="71" spans="1:45" x14ac:dyDescent="0.45">
      <c r="A71">
        <v>70</v>
      </c>
      <c r="B71">
        <v>111</v>
      </c>
      <c r="C71" t="s">
        <v>73</v>
      </c>
      <c r="D71" t="s">
        <v>74</v>
      </c>
      <c r="E71" t="s">
        <v>69</v>
      </c>
      <c r="F71" t="s">
        <v>70</v>
      </c>
      <c r="G71" t="s">
        <v>157</v>
      </c>
      <c r="H71">
        <v>127.0025185510636</v>
      </c>
      <c r="I71">
        <v>1</v>
      </c>
      <c r="J71">
        <v>6</v>
      </c>
      <c r="K71">
        <v>6</v>
      </c>
      <c r="L71">
        <v>0</v>
      </c>
      <c r="M71">
        <v>7</v>
      </c>
      <c r="N71">
        <v>6</v>
      </c>
      <c r="O71">
        <v>1</v>
      </c>
      <c r="P71">
        <v>9</v>
      </c>
      <c r="Q71">
        <v>5</v>
      </c>
      <c r="R71">
        <v>4</v>
      </c>
      <c r="S71">
        <v>8</v>
      </c>
      <c r="T71">
        <v>5</v>
      </c>
      <c r="U71">
        <v>3</v>
      </c>
      <c r="V71">
        <v>7</v>
      </c>
      <c r="W71">
        <v>5</v>
      </c>
      <c r="X71">
        <v>2</v>
      </c>
      <c r="Y71">
        <v>9</v>
      </c>
      <c r="Z71">
        <v>1</v>
      </c>
      <c r="AA71">
        <v>8</v>
      </c>
      <c r="AB71">
        <v>6</v>
      </c>
      <c r="AC71">
        <v>5</v>
      </c>
      <c r="AD71">
        <v>1</v>
      </c>
      <c r="AE71">
        <v>7</v>
      </c>
      <c r="AF71">
        <v>5</v>
      </c>
      <c r="AG71">
        <v>2</v>
      </c>
      <c r="AH71">
        <v>9</v>
      </c>
      <c r="AI71">
        <v>5</v>
      </c>
      <c r="AJ71">
        <v>4</v>
      </c>
      <c r="AK71" t="s">
        <v>1295</v>
      </c>
      <c r="AL71" t="s">
        <v>1296</v>
      </c>
      <c r="AM71" t="s">
        <v>1297</v>
      </c>
      <c r="AN71" t="s">
        <v>1298</v>
      </c>
      <c r="AO71" t="s">
        <v>1299</v>
      </c>
      <c r="AP71" t="s">
        <v>1300</v>
      </c>
      <c r="AQ71" t="s">
        <v>1301</v>
      </c>
      <c r="AR71" t="s">
        <v>1302</v>
      </c>
      <c r="AS71" t="s">
        <v>1303</v>
      </c>
    </row>
    <row r="72" spans="1:45" x14ac:dyDescent="0.45">
      <c r="A72">
        <v>71</v>
      </c>
      <c r="B72">
        <v>112</v>
      </c>
      <c r="C72" t="s">
        <v>67</v>
      </c>
      <c r="D72" t="s">
        <v>68</v>
      </c>
      <c r="E72" t="s">
        <v>69</v>
      </c>
      <c r="F72" t="s">
        <v>70</v>
      </c>
      <c r="G72" t="s">
        <v>71</v>
      </c>
      <c r="H72">
        <v>26.700942765498688</v>
      </c>
      <c r="I72">
        <v>2</v>
      </c>
      <c r="J72">
        <v>7</v>
      </c>
      <c r="K72">
        <v>3</v>
      </c>
      <c r="L72">
        <v>4</v>
      </c>
      <c r="M72">
        <v>8</v>
      </c>
      <c r="N72">
        <v>3</v>
      </c>
      <c r="O72">
        <v>5</v>
      </c>
      <c r="P72">
        <v>9</v>
      </c>
      <c r="Q72">
        <v>3</v>
      </c>
      <c r="R72">
        <v>6</v>
      </c>
      <c r="S72">
        <v>9</v>
      </c>
      <c r="T72">
        <v>5</v>
      </c>
      <c r="U72">
        <v>4</v>
      </c>
      <c r="V72">
        <v>7</v>
      </c>
      <c r="W72">
        <v>3</v>
      </c>
      <c r="X72">
        <v>4</v>
      </c>
      <c r="Y72">
        <v>9</v>
      </c>
      <c r="Z72">
        <v>3</v>
      </c>
      <c r="AA72">
        <v>6</v>
      </c>
      <c r="AB72">
        <v>8</v>
      </c>
      <c r="AC72">
        <v>3</v>
      </c>
      <c r="AD72">
        <v>5</v>
      </c>
      <c r="AE72">
        <v>7</v>
      </c>
      <c r="AF72">
        <v>3</v>
      </c>
      <c r="AG72">
        <v>4</v>
      </c>
      <c r="AH72">
        <v>8</v>
      </c>
      <c r="AI72">
        <v>4</v>
      </c>
      <c r="AJ72">
        <v>4</v>
      </c>
      <c r="AK72" t="s">
        <v>1304</v>
      </c>
      <c r="AL72" t="s">
        <v>1305</v>
      </c>
      <c r="AM72" t="s">
        <v>1306</v>
      </c>
      <c r="AN72" t="s">
        <v>1307</v>
      </c>
      <c r="AO72" t="s">
        <v>1308</v>
      </c>
      <c r="AP72" t="s">
        <v>1309</v>
      </c>
      <c r="AQ72" t="s">
        <v>1310</v>
      </c>
      <c r="AR72" t="s">
        <v>1311</v>
      </c>
      <c r="AS72" t="s">
        <v>1312</v>
      </c>
    </row>
    <row r="73" spans="1:45" x14ac:dyDescent="0.45">
      <c r="A73">
        <v>72</v>
      </c>
      <c r="B73">
        <v>113</v>
      </c>
      <c r="C73" t="s">
        <v>73</v>
      </c>
      <c r="D73" t="s">
        <v>68</v>
      </c>
      <c r="E73" t="s">
        <v>69</v>
      </c>
      <c r="F73" t="s">
        <v>72</v>
      </c>
      <c r="G73" t="s">
        <v>157</v>
      </c>
      <c r="H73">
        <v>21.592121815950726</v>
      </c>
      <c r="I73">
        <v>3</v>
      </c>
      <c r="J73">
        <v>7</v>
      </c>
      <c r="K73">
        <v>8</v>
      </c>
      <c r="L73">
        <v>-1</v>
      </c>
      <c r="M73">
        <v>6</v>
      </c>
      <c r="N73">
        <v>8</v>
      </c>
      <c r="O73">
        <v>-2</v>
      </c>
      <c r="P73">
        <v>8</v>
      </c>
      <c r="Q73">
        <v>4</v>
      </c>
      <c r="R73">
        <v>4</v>
      </c>
      <c r="S73">
        <v>9</v>
      </c>
      <c r="T73">
        <v>2</v>
      </c>
      <c r="U73">
        <v>7</v>
      </c>
      <c r="V73">
        <v>6</v>
      </c>
      <c r="W73">
        <v>6</v>
      </c>
      <c r="X73">
        <v>0</v>
      </c>
      <c r="Y73">
        <v>8</v>
      </c>
      <c r="Z73">
        <v>3</v>
      </c>
      <c r="AA73">
        <v>5</v>
      </c>
      <c r="AB73">
        <v>7</v>
      </c>
      <c r="AC73">
        <v>8</v>
      </c>
      <c r="AD73">
        <v>-1</v>
      </c>
      <c r="AE73">
        <v>5</v>
      </c>
      <c r="AF73">
        <v>4</v>
      </c>
      <c r="AG73">
        <v>1</v>
      </c>
      <c r="AH73">
        <v>6</v>
      </c>
      <c r="AI73">
        <v>8</v>
      </c>
      <c r="AJ73">
        <v>-2</v>
      </c>
      <c r="AK73" t="s">
        <v>328</v>
      </c>
      <c r="AL73" t="s">
        <v>329</v>
      </c>
      <c r="AM73" t="s">
        <v>682</v>
      </c>
      <c r="AN73" t="s">
        <v>683</v>
      </c>
      <c r="AO73" t="s">
        <v>684</v>
      </c>
      <c r="AP73" t="s">
        <v>685</v>
      </c>
      <c r="AQ73" t="s">
        <v>686</v>
      </c>
      <c r="AR73" t="s">
        <v>687</v>
      </c>
      <c r="AS73" t="s">
        <v>1313</v>
      </c>
    </row>
    <row r="74" spans="1:45" x14ac:dyDescent="0.45">
      <c r="A74">
        <v>73</v>
      </c>
      <c r="B74">
        <v>114</v>
      </c>
      <c r="C74" t="s">
        <v>73</v>
      </c>
      <c r="D74" t="s">
        <v>184</v>
      </c>
      <c r="E74" t="s">
        <v>69</v>
      </c>
      <c r="F74" t="s">
        <v>188</v>
      </c>
      <c r="G74" t="s">
        <v>71</v>
      </c>
      <c r="H74">
        <v>13.006734459565548</v>
      </c>
      <c r="I74">
        <v>0</v>
      </c>
      <c r="J74">
        <v>5</v>
      </c>
      <c r="K74">
        <v>5</v>
      </c>
      <c r="L74">
        <v>0</v>
      </c>
      <c r="M74">
        <v>6</v>
      </c>
      <c r="N74">
        <v>5</v>
      </c>
      <c r="O74">
        <v>1</v>
      </c>
      <c r="P74">
        <v>7</v>
      </c>
      <c r="Q74">
        <v>5</v>
      </c>
      <c r="R74">
        <v>2</v>
      </c>
      <c r="S74">
        <v>9</v>
      </c>
      <c r="T74">
        <v>5</v>
      </c>
      <c r="U74">
        <v>4</v>
      </c>
      <c r="V74">
        <v>8</v>
      </c>
      <c r="W74">
        <v>5</v>
      </c>
      <c r="X74">
        <v>3</v>
      </c>
      <c r="Y74">
        <v>9</v>
      </c>
      <c r="Z74">
        <v>10</v>
      </c>
      <c r="AA74">
        <v>-1</v>
      </c>
      <c r="AB74">
        <v>8</v>
      </c>
      <c r="AC74">
        <v>5</v>
      </c>
      <c r="AD74">
        <v>3</v>
      </c>
      <c r="AE74">
        <v>7</v>
      </c>
      <c r="AF74">
        <v>5</v>
      </c>
      <c r="AG74">
        <v>2</v>
      </c>
      <c r="AH74">
        <v>9</v>
      </c>
      <c r="AI74">
        <v>10</v>
      </c>
      <c r="AJ74">
        <v>-1</v>
      </c>
      <c r="AK74" t="s">
        <v>330</v>
      </c>
      <c r="AL74" t="s">
        <v>1314</v>
      </c>
      <c r="AM74" t="s">
        <v>1315</v>
      </c>
      <c r="AN74" t="s">
        <v>1316</v>
      </c>
      <c r="AO74" t="s">
        <v>1317</v>
      </c>
      <c r="AP74" t="s">
        <v>1318</v>
      </c>
      <c r="AQ74" t="s">
        <v>1319</v>
      </c>
      <c r="AR74" t="s">
        <v>1320</v>
      </c>
      <c r="AS74" t="s">
        <v>1321</v>
      </c>
    </row>
    <row r="75" spans="1:45" x14ac:dyDescent="0.45">
      <c r="A75">
        <v>74</v>
      </c>
      <c r="B75">
        <v>115</v>
      </c>
      <c r="C75" t="s">
        <v>67</v>
      </c>
      <c r="D75" t="s">
        <v>68</v>
      </c>
      <c r="E75" t="s">
        <v>69</v>
      </c>
      <c r="F75" t="s">
        <v>72</v>
      </c>
      <c r="G75" t="s">
        <v>157</v>
      </c>
      <c r="H75">
        <v>18.158116984131347</v>
      </c>
      <c r="I75">
        <v>1</v>
      </c>
      <c r="J75">
        <v>7</v>
      </c>
      <c r="K75">
        <v>5</v>
      </c>
      <c r="L75">
        <v>2</v>
      </c>
      <c r="M75">
        <v>7</v>
      </c>
      <c r="N75">
        <v>10</v>
      </c>
      <c r="O75">
        <v>-3</v>
      </c>
      <c r="P75">
        <v>8</v>
      </c>
      <c r="Q75">
        <v>2</v>
      </c>
      <c r="R75">
        <v>6</v>
      </c>
      <c r="S75">
        <v>9</v>
      </c>
      <c r="T75">
        <v>8</v>
      </c>
      <c r="U75">
        <v>1</v>
      </c>
      <c r="V75">
        <v>6</v>
      </c>
      <c r="W75">
        <v>5</v>
      </c>
      <c r="X75">
        <v>1</v>
      </c>
      <c r="Y75">
        <v>8</v>
      </c>
      <c r="Z75">
        <v>5</v>
      </c>
      <c r="AA75">
        <v>3</v>
      </c>
      <c r="AB75">
        <v>6</v>
      </c>
      <c r="AC75">
        <v>1</v>
      </c>
      <c r="AD75">
        <v>5</v>
      </c>
      <c r="AE75">
        <v>7</v>
      </c>
      <c r="AF75">
        <v>4</v>
      </c>
      <c r="AG75">
        <v>3</v>
      </c>
      <c r="AH75">
        <v>9</v>
      </c>
      <c r="AI75">
        <v>5</v>
      </c>
      <c r="AJ75">
        <v>4</v>
      </c>
      <c r="AK75" t="s">
        <v>1322</v>
      </c>
      <c r="AL75" t="s">
        <v>1323</v>
      </c>
      <c r="AM75" t="s">
        <v>1324</v>
      </c>
      <c r="AN75" t="s">
        <v>1325</v>
      </c>
      <c r="AO75" t="s">
        <v>1326</v>
      </c>
      <c r="AP75" t="s">
        <v>1327</v>
      </c>
      <c r="AQ75" t="s">
        <v>1328</v>
      </c>
      <c r="AR75" t="s">
        <v>1329</v>
      </c>
      <c r="AS75" t="s">
        <v>1330</v>
      </c>
    </row>
    <row r="76" spans="1:45" x14ac:dyDescent="0.45">
      <c r="A76">
        <v>75</v>
      </c>
      <c r="B76">
        <v>116</v>
      </c>
      <c r="C76" t="s">
        <v>73</v>
      </c>
      <c r="D76" t="s">
        <v>74</v>
      </c>
      <c r="E76" t="s">
        <v>69</v>
      </c>
      <c r="F76" t="s">
        <v>70</v>
      </c>
      <c r="G76" t="s">
        <v>71</v>
      </c>
      <c r="H76">
        <v>48.44680745709752</v>
      </c>
      <c r="I76">
        <v>2</v>
      </c>
      <c r="J76">
        <v>8</v>
      </c>
      <c r="K76">
        <v>8</v>
      </c>
      <c r="L76">
        <v>0</v>
      </c>
      <c r="M76">
        <v>9</v>
      </c>
      <c r="N76">
        <v>9</v>
      </c>
      <c r="O76">
        <v>0</v>
      </c>
      <c r="P76">
        <v>9</v>
      </c>
      <c r="Q76">
        <v>9</v>
      </c>
      <c r="R76">
        <v>0</v>
      </c>
      <c r="S76">
        <v>10</v>
      </c>
      <c r="T76">
        <v>9</v>
      </c>
      <c r="U76">
        <v>1</v>
      </c>
      <c r="V76">
        <v>9</v>
      </c>
      <c r="W76">
        <v>3</v>
      </c>
      <c r="X76">
        <v>6</v>
      </c>
      <c r="Y76">
        <v>10</v>
      </c>
      <c r="Z76">
        <v>3</v>
      </c>
      <c r="AA76">
        <v>7</v>
      </c>
      <c r="AB76">
        <v>9</v>
      </c>
      <c r="AC76">
        <v>2</v>
      </c>
      <c r="AD76">
        <v>7</v>
      </c>
      <c r="AE76">
        <v>8</v>
      </c>
      <c r="AF76">
        <v>2</v>
      </c>
      <c r="AG76">
        <v>6</v>
      </c>
      <c r="AH76">
        <v>10</v>
      </c>
      <c r="AI76">
        <v>6</v>
      </c>
      <c r="AJ76">
        <v>4</v>
      </c>
      <c r="AK76" t="s">
        <v>331</v>
      </c>
      <c r="AL76" t="s">
        <v>332</v>
      </c>
      <c r="AM76" t="s">
        <v>1331</v>
      </c>
      <c r="AN76" t="s">
        <v>1332</v>
      </c>
      <c r="AO76" t="s">
        <v>1333</v>
      </c>
      <c r="AP76" t="s">
        <v>1334</v>
      </c>
      <c r="AQ76" t="s">
        <v>1335</v>
      </c>
      <c r="AR76" t="s">
        <v>1336</v>
      </c>
      <c r="AS76" t="s">
        <v>1337</v>
      </c>
    </row>
    <row r="77" spans="1:45" x14ac:dyDescent="0.45">
      <c r="A77">
        <v>76</v>
      </c>
      <c r="B77">
        <v>117</v>
      </c>
      <c r="C77" t="s">
        <v>73</v>
      </c>
      <c r="D77" t="s">
        <v>74</v>
      </c>
      <c r="E77" t="s">
        <v>75</v>
      </c>
      <c r="F77" t="s">
        <v>188</v>
      </c>
      <c r="G77" t="s">
        <v>157</v>
      </c>
      <c r="H77">
        <v>13.081151330237292</v>
      </c>
      <c r="I77">
        <v>3</v>
      </c>
      <c r="J77">
        <v>7</v>
      </c>
      <c r="K77">
        <v>5</v>
      </c>
      <c r="L77">
        <v>2</v>
      </c>
      <c r="M77">
        <v>6</v>
      </c>
      <c r="N77">
        <v>5</v>
      </c>
      <c r="O77">
        <v>1</v>
      </c>
      <c r="P77">
        <v>9</v>
      </c>
      <c r="Q77">
        <v>5</v>
      </c>
      <c r="R77">
        <v>4</v>
      </c>
      <c r="S77">
        <v>8</v>
      </c>
      <c r="T77">
        <v>5</v>
      </c>
      <c r="U77">
        <v>3</v>
      </c>
      <c r="V77">
        <v>9</v>
      </c>
      <c r="W77">
        <v>5</v>
      </c>
      <c r="X77">
        <v>4</v>
      </c>
      <c r="Y77">
        <v>8</v>
      </c>
      <c r="Z77">
        <v>5</v>
      </c>
      <c r="AA77">
        <v>3</v>
      </c>
      <c r="AB77">
        <v>9</v>
      </c>
      <c r="AC77">
        <v>5</v>
      </c>
      <c r="AD77">
        <v>4</v>
      </c>
      <c r="AE77">
        <v>8</v>
      </c>
      <c r="AF77">
        <v>5</v>
      </c>
      <c r="AG77">
        <v>3</v>
      </c>
      <c r="AH77">
        <v>9</v>
      </c>
      <c r="AI77">
        <v>5</v>
      </c>
      <c r="AJ77">
        <v>4</v>
      </c>
      <c r="AK77" t="s">
        <v>1338</v>
      </c>
      <c r="AL77" t="s">
        <v>1339</v>
      </c>
      <c r="AM77" t="s">
        <v>1340</v>
      </c>
      <c r="AN77" t="s">
        <v>1341</v>
      </c>
      <c r="AO77" t="s">
        <v>1342</v>
      </c>
      <c r="AP77" t="s">
        <v>1343</v>
      </c>
      <c r="AQ77" t="s">
        <v>1344</v>
      </c>
      <c r="AR77" t="s">
        <v>1345</v>
      </c>
      <c r="AS77" t="s">
        <v>1346</v>
      </c>
    </row>
    <row r="78" spans="1:45" x14ac:dyDescent="0.45">
      <c r="A78">
        <v>77</v>
      </c>
      <c r="B78">
        <v>118</v>
      </c>
      <c r="C78" t="s">
        <v>67</v>
      </c>
      <c r="D78" t="s">
        <v>187</v>
      </c>
      <c r="E78" t="s">
        <v>69</v>
      </c>
      <c r="F78" t="s">
        <v>72</v>
      </c>
      <c r="G78" t="s">
        <v>71</v>
      </c>
      <c r="H78">
        <v>15.499971180734541</v>
      </c>
      <c r="I78">
        <v>2</v>
      </c>
      <c r="J78">
        <v>6</v>
      </c>
      <c r="K78">
        <v>8</v>
      </c>
      <c r="L78">
        <v>-2</v>
      </c>
      <c r="M78">
        <v>7</v>
      </c>
      <c r="N78">
        <v>8</v>
      </c>
      <c r="O78">
        <v>-1</v>
      </c>
      <c r="P78">
        <v>8</v>
      </c>
      <c r="Q78">
        <v>8</v>
      </c>
      <c r="R78">
        <v>0</v>
      </c>
      <c r="S78">
        <v>9</v>
      </c>
      <c r="T78">
        <v>8</v>
      </c>
      <c r="U78">
        <v>1</v>
      </c>
      <c r="V78">
        <v>7</v>
      </c>
      <c r="W78">
        <v>9</v>
      </c>
      <c r="X78">
        <v>-2</v>
      </c>
      <c r="Y78">
        <v>9</v>
      </c>
      <c r="Z78">
        <v>7</v>
      </c>
      <c r="AA78">
        <v>2</v>
      </c>
      <c r="AB78">
        <v>7</v>
      </c>
      <c r="AC78">
        <v>9</v>
      </c>
      <c r="AD78">
        <v>-2</v>
      </c>
      <c r="AE78">
        <v>8</v>
      </c>
      <c r="AF78">
        <v>10</v>
      </c>
      <c r="AG78">
        <v>-2</v>
      </c>
      <c r="AH78">
        <v>7</v>
      </c>
      <c r="AI78">
        <v>8</v>
      </c>
      <c r="AJ78">
        <v>-1</v>
      </c>
      <c r="AK78" t="s">
        <v>333</v>
      </c>
      <c r="AL78" t="s">
        <v>1347</v>
      </c>
      <c r="AM78" t="s">
        <v>1348</v>
      </c>
      <c r="AN78" t="s">
        <v>1349</v>
      </c>
      <c r="AO78" t="s">
        <v>1350</v>
      </c>
      <c r="AP78" t="s">
        <v>1351</v>
      </c>
      <c r="AQ78" t="s">
        <v>1352</v>
      </c>
      <c r="AR78" t="s">
        <v>1353</v>
      </c>
      <c r="AS78" t="s">
        <v>1354</v>
      </c>
    </row>
    <row r="79" spans="1:45" x14ac:dyDescent="0.45">
      <c r="A79">
        <v>78</v>
      </c>
      <c r="B79">
        <v>119</v>
      </c>
      <c r="C79" t="s">
        <v>67</v>
      </c>
      <c r="D79" t="s">
        <v>68</v>
      </c>
      <c r="E79" t="s">
        <v>69</v>
      </c>
      <c r="F79" t="s">
        <v>70</v>
      </c>
      <c r="G79" t="s">
        <v>71</v>
      </c>
      <c r="H79">
        <v>38.966832571288911</v>
      </c>
      <c r="I79">
        <v>2</v>
      </c>
      <c r="J79">
        <v>9</v>
      </c>
      <c r="K79">
        <v>8</v>
      </c>
      <c r="L79">
        <v>1</v>
      </c>
      <c r="M79">
        <v>9</v>
      </c>
      <c r="N79">
        <v>7</v>
      </c>
      <c r="O79">
        <v>2</v>
      </c>
      <c r="P79">
        <v>8</v>
      </c>
      <c r="Q79">
        <v>9</v>
      </c>
      <c r="R79">
        <v>-1</v>
      </c>
      <c r="S79">
        <v>9</v>
      </c>
      <c r="T79">
        <v>8</v>
      </c>
      <c r="U79">
        <v>1</v>
      </c>
      <c r="V79">
        <v>8</v>
      </c>
      <c r="W79">
        <v>8</v>
      </c>
      <c r="X79">
        <v>0</v>
      </c>
      <c r="Y79">
        <v>9</v>
      </c>
      <c r="Z79">
        <v>8</v>
      </c>
      <c r="AA79">
        <v>1</v>
      </c>
      <c r="AB79">
        <v>8</v>
      </c>
      <c r="AC79">
        <v>6</v>
      </c>
      <c r="AD79">
        <v>2</v>
      </c>
      <c r="AE79">
        <v>9</v>
      </c>
      <c r="AF79">
        <v>6</v>
      </c>
      <c r="AG79">
        <v>3</v>
      </c>
      <c r="AH79">
        <v>8</v>
      </c>
      <c r="AI79">
        <v>7</v>
      </c>
      <c r="AJ79">
        <v>1</v>
      </c>
      <c r="AK79" t="s">
        <v>688</v>
      </c>
      <c r="AL79" t="s">
        <v>689</v>
      </c>
      <c r="AM79" t="s">
        <v>690</v>
      </c>
      <c r="AN79" t="s">
        <v>691</v>
      </c>
      <c r="AO79" t="s">
        <v>692</v>
      </c>
      <c r="AP79" t="s">
        <v>693</v>
      </c>
      <c r="AQ79" t="s">
        <v>694</v>
      </c>
      <c r="AR79" t="s">
        <v>695</v>
      </c>
      <c r="AS79" t="s">
        <v>1355</v>
      </c>
    </row>
    <row r="80" spans="1:45" x14ac:dyDescent="0.45">
      <c r="A80">
        <v>79</v>
      </c>
      <c r="B80">
        <v>120</v>
      </c>
      <c r="C80" t="s">
        <v>67</v>
      </c>
      <c r="D80" t="s">
        <v>189</v>
      </c>
      <c r="E80" t="s">
        <v>69</v>
      </c>
      <c r="F80" t="s">
        <v>188</v>
      </c>
      <c r="G80" t="s">
        <v>157</v>
      </c>
      <c r="H80">
        <v>15.412236690545896</v>
      </c>
      <c r="I80">
        <v>0</v>
      </c>
      <c r="J80">
        <v>7</v>
      </c>
      <c r="K80">
        <v>6</v>
      </c>
      <c r="L80">
        <v>1</v>
      </c>
      <c r="M80">
        <v>6</v>
      </c>
      <c r="N80">
        <v>2</v>
      </c>
      <c r="O80">
        <v>4</v>
      </c>
      <c r="P80">
        <v>8</v>
      </c>
      <c r="Q80">
        <v>3</v>
      </c>
      <c r="R80">
        <v>5</v>
      </c>
      <c r="S80">
        <v>9</v>
      </c>
      <c r="T80">
        <v>2</v>
      </c>
      <c r="U80">
        <v>7</v>
      </c>
      <c r="V80">
        <v>8</v>
      </c>
      <c r="W80">
        <v>3</v>
      </c>
      <c r="X80">
        <v>5</v>
      </c>
      <c r="Y80">
        <v>9</v>
      </c>
      <c r="Z80">
        <v>7</v>
      </c>
      <c r="AA80">
        <v>2</v>
      </c>
      <c r="AB80">
        <v>8</v>
      </c>
      <c r="AC80">
        <v>5</v>
      </c>
      <c r="AD80">
        <v>3</v>
      </c>
      <c r="AE80">
        <v>9</v>
      </c>
      <c r="AF80">
        <v>5</v>
      </c>
      <c r="AG80">
        <v>4</v>
      </c>
      <c r="AH80">
        <v>10</v>
      </c>
      <c r="AI80">
        <v>7</v>
      </c>
      <c r="AJ80">
        <v>3</v>
      </c>
      <c r="AK80" t="s">
        <v>1356</v>
      </c>
      <c r="AL80" t="s">
        <v>1357</v>
      </c>
      <c r="AM80" t="s">
        <v>1358</v>
      </c>
      <c r="AN80" t="s">
        <v>1359</v>
      </c>
      <c r="AO80" t="s">
        <v>1360</v>
      </c>
      <c r="AP80" t="s">
        <v>1361</v>
      </c>
      <c r="AQ80" t="s">
        <v>1362</v>
      </c>
      <c r="AR80" t="s">
        <v>1363</v>
      </c>
      <c r="AS80" t="s">
        <v>1364</v>
      </c>
    </row>
    <row r="81" spans="1:45" x14ac:dyDescent="0.45">
      <c r="A81">
        <v>80</v>
      </c>
      <c r="B81">
        <v>121</v>
      </c>
      <c r="C81" t="s">
        <v>73</v>
      </c>
      <c r="D81" t="s">
        <v>76</v>
      </c>
      <c r="E81" t="s">
        <v>69</v>
      </c>
      <c r="F81" t="s">
        <v>72</v>
      </c>
      <c r="G81" t="s">
        <v>71</v>
      </c>
      <c r="H81">
        <v>12.504096682004523</v>
      </c>
      <c r="I81">
        <v>0</v>
      </c>
      <c r="J81">
        <v>7</v>
      </c>
      <c r="K81">
        <v>8</v>
      </c>
      <c r="L81">
        <v>-1</v>
      </c>
      <c r="M81">
        <v>7</v>
      </c>
      <c r="N81">
        <v>8</v>
      </c>
      <c r="O81">
        <v>-1</v>
      </c>
      <c r="P81">
        <v>8</v>
      </c>
      <c r="Q81">
        <v>8</v>
      </c>
      <c r="R81">
        <v>0</v>
      </c>
      <c r="S81">
        <v>9</v>
      </c>
      <c r="T81">
        <v>8</v>
      </c>
      <c r="U81">
        <v>1</v>
      </c>
      <c r="V81">
        <v>6</v>
      </c>
      <c r="W81">
        <v>8</v>
      </c>
      <c r="X81">
        <v>-2</v>
      </c>
      <c r="Y81">
        <v>8</v>
      </c>
      <c r="Z81">
        <v>8</v>
      </c>
      <c r="AA81">
        <v>0</v>
      </c>
      <c r="AB81">
        <v>7</v>
      </c>
      <c r="AC81">
        <v>8</v>
      </c>
      <c r="AD81">
        <v>-1</v>
      </c>
      <c r="AE81">
        <v>6</v>
      </c>
      <c r="AF81">
        <v>8</v>
      </c>
      <c r="AG81">
        <v>-2</v>
      </c>
      <c r="AH81">
        <v>8</v>
      </c>
      <c r="AI81">
        <v>8</v>
      </c>
      <c r="AJ81">
        <v>0</v>
      </c>
      <c r="AK81" t="s">
        <v>1365</v>
      </c>
      <c r="AL81" t="s">
        <v>1366</v>
      </c>
      <c r="AM81" t="s">
        <v>1367</v>
      </c>
      <c r="AN81" t="s">
        <v>1368</v>
      </c>
      <c r="AO81" t="s">
        <v>1369</v>
      </c>
      <c r="AP81" t="s">
        <v>1370</v>
      </c>
      <c r="AQ81" t="s">
        <v>1371</v>
      </c>
      <c r="AR81" t="s">
        <v>1372</v>
      </c>
      <c r="AS81" t="s">
        <v>1373</v>
      </c>
    </row>
    <row r="82" spans="1:45" x14ac:dyDescent="0.45">
      <c r="A82">
        <v>81</v>
      </c>
      <c r="B82">
        <v>122</v>
      </c>
      <c r="C82" t="s">
        <v>73</v>
      </c>
      <c r="D82" t="s">
        <v>189</v>
      </c>
      <c r="E82" t="s">
        <v>69</v>
      </c>
      <c r="F82" t="s">
        <v>70</v>
      </c>
      <c r="G82" t="s">
        <v>157</v>
      </c>
      <c r="H82">
        <v>12</v>
      </c>
      <c r="I82">
        <v>0</v>
      </c>
      <c r="J82">
        <v>7</v>
      </c>
      <c r="K82">
        <v>7</v>
      </c>
      <c r="L82">
        <v>0</v>
      </c>
      <c r="M82">
        <v>8</v>
      </c>
      <c r="N82">
        <v>7</v>
      </c>
      <c r="O82">
        <v>1</v>
      </c>
      <c r="P82">
        <v>6</v>
      </c>
      <c r="Q82">
        <v>5</v>
      </c>
      <c r="R82">
        <v>1</v>
      </c>
      <c r="S82">
        <v>9</v>
      </c>
      <c r="T82">
        <v>5</v>
      </c>
      <c r="U82">
        <v>4</v>
      </c>
      <c r="V82">
        <v>7</v>
      </c>
      <c r="W82">
        <v>6</v>
      </c>
      <c r="X82">
        <v>1</v>
      </c>
      <c r="Y82">
        <v>9</v>
      </c>
      <c r="Z82">
        <v>5</v>
      </c>
      <c r="AA82">
        <v>4</v>
      </c>
      <c r="AB82">
        <v>7</v>
      </c>
      <c r="AC82">
        <v>8</v>
      </c>
      <c r="AD82">
        <v>-1</v>
      </c>
      <c r="AE82">
        <v>8</v>
      </c>
      <c r="AF82">
        <v>6</v>
      </c>
      <c r="AG82">
        <v>2</v>
      </c>
      <c r="AH82">
        <v>9</v>
      </c>
      <c r="AI82">
        <v>8</v>
      </c>
      <c r="AJ82">
        <v>1</v>
      </c>
      <c r="AK82" t="s">
        <v>334</v>
      </c>
      <c r="AL82" t="s">
        <v>335</v>
      </c>
      <c r="AM82" t="s">
        <v>336</v>
      </c>
      <c r="AN82" t="s">
        <v>337</v>
      </c>
      <c r="AO82" t="s">
        <v>338</v>
      </c>
      <c r="AP82" t="s">
        <v>339</v>
      </c>
      <c r="AQ82" t="s">
        <v>340</v>
      </c>
      <c r="AR82" t="s">
        <v>341</v>
      </c>
      <c r="AS82" t="s">
        <v>342</v>
      </c>
    </row>
    <row r="83" spans="1:45" x14ac:dyDescent="0.45">
      <c r="A83">
        <v>82</v>
      </c>
      <c r="B83">
        <v>123</v>
      </c>
      <c r="C83" t="s">
        <v>67</v>
      </c>
      <c r="D83" t="s">
        <v>189</v>
      </c>
      <c r="E83" t="s">
        <v>69</v>
      </c>
      <c r="F83" t="s">
        <v>72</v>
      </c>
      <c r="G83" t="s">
        <v>157</v>
      </c>
      <c r="H83">
        <v>13.587527020026418</v>
      </c>
      <c r="I83">
        <v>1</v>
      </c>
      <c r="J83">
        <v>7</v>
      </c>
      <c r="K83">
        <v>8</v>
      </c>
      <c r="L83">
        <v>-1</v>
      </c>
      <c r="M83">
        <v>6</v>
      </c>
      <c r="N83">
        <v>9</v>
      </c>
      <c r="O83">
        <v>-3</v>
      </c>
      <c r="P83">
        <v>5</v>
      </c>
      <c r="Q83">
        <v>5</v>
      </c>
      <c r="R83">
        <v>0</v>
      </c>
      <c r="S83">
        <v>8</v>
      </c>
      <c r="T83">
        <v>5</v>
      </c>
      <c r="U83">
        <v>3</v>
      </c>
      <c r="V83">
        <v>6</v>
      </c>
      <c r="W83">
        <v>5</v>
      </c>
      <c r="X83">
        <v>1</v>
      </c>
      <c r="Y83">
        <v>8</v>
      </c>
      <c r="Z83">
        <v>5</v>
      </c>
      <c r="AA83">
        <v>3</v>
      </c>
      <c r="AB83">
        <v>6</v>
      </c>
      <c r="AC83">
        <v>1</v>
      </c>
      <c r="AD83">
        <v>5</v>
      </c>
      <c r="AE83">
        <v>5</v>
      </c>
      <c r="AF83">
        <v>5</v>
      </c>
      <c r="AG83">
        <v>0</v>
      </c>
      <c r="AH83">
        <v>8</v>
      </c>
      <c r="AI83">
        <v>5</v>
      </c>
      <c r="AJ83">
        <v>3</v>
      </c>
      <c r="AK83" t="s">
        <v>696</v>
      </c>
      <c r="AL83" t="s">
        <v>1374</v>
      </c>
      <c r="AM83" t="s">
        <v>1375</v>
      </c>
      <c r="AN83" t="s">
        <v>1376</v>
      </c>
      <c r="AO83" t="s">
        <v>1377</v>
      </c>
      <c r="AP83" t="s">
        <v>1378</v>
      </c>
      <c r="AQ83" t="s">
        <v>1379</v>
      </c>
      <c r="AR83" t="s">
        <v>1380</v>
      </c>
      <c r="AS83" t="s">
        <v>1381</v>
      </c>
    </row>
    <row r="84" spans="1:45" x14ac:dyDescent="0.45">
      <c r="A84">
        <v>83</v>
      </c>
      <c r="B84">
        <v>124</v>
      </c>
      <c r="C84" t="s">
        <v>67</v>
      </c>
      <c r="D84" t="s">
        <v>74</v>
      </c>
      <c r="E84" t="s">
        <v>69</v>
      </c>
      <c r="F84" t="s">
        <v>70</v>
      </c>
      <c r="G84" t="s">
        <v>71</v>
      </c>
      <c r="H84">
        <v>13.306810362881187</v>
      </c>
      <c r="I84">
        <v>2</v>
      </c>
      <c r="J84">
        <v>8</v>
      </c>
      <c r="K84">
        <v>10</v>
      </c>
      <c r="L84">
        <v>-2</v>
      </c>
      <c r="M84">
        <v>8</v>
      </c>
      <c r="N84">
        <v>8</v>
      </c>
      <c r="O84">
        <v>0</v>
      </c>
      <c r="P84">
        <v>9</v>
      </c>
      <c r="Q84">
        <v>8</v>
      </c>
      <c r="R84">
        <v>1</v>
      </c>
      <c r="S84">
        <v>9</v>
      </c>
      <c r="T84">
        <v>7</v>
      </c>
      <c r="U84">
        <v>2</v>
      </c>
      <c r="V84">
        <v>8</v>
      </c>
      <c r="W84">
        <v>7</v>
      </c>
      <c r="X84">
        <v>1</v>
      </c>
      <c r="Y84">
        <v>9</v>
      </c>
      <c r="Z84">
        <v>6</v>
      </c>
      <c r="AA84">
        <v>3</v>
      </c>
      <c r="AB84">
        <v>8</v>
      </c>
      <c r="AC84">
        <v>7</v>
      </c>
      <c r="AD84">
        <v>1</v>
      </c>
      <c r="AE84">
        <v>7</v>
      </c>
      <c r="AF84">
        <v>6</v>
      </c>
      <c r="AG84">
        <v>1</v>
      </c>
      <c r="AH84">
        <v>9</v>
      </c>
      <c r="AI84">
        <v>8</v>
      </c>
      <c r="AJ84">
        <v>1</v>
      </c>
      <c r="AK84" t="s">
        <v>697</v>
      </c>
      <c r="AL84" t="s">
        <v>698</v>
      </c>
      <c r="AM84" t="s">
        <v>699</v>
      </c>
      <c r="AN84" t="s">
        <v>700</v>
      </c>
      <c r="AO84" t="s">
        <v>701</v>
      </c>
      <c r="AP84" t="s">
        <v>702</v>
      </c>
      <c r="AQ84" t="s">
        <v>703</v>
      </c>
      <c r="AR84" t="s">
        <v>704</v>
      </c>
      <c r="AS84" t="s">
        <v>705</v>
      </c>
    </row>
    <row r="85" spans="1:45" x14ac:dyDescent="0.45">
      <c r="A85">
        <v>84</v>
      </c>
      <c r="B85">
        <v>125</v>
      </c>
      <c r="C85" t="s">
        <v>67</v>
      </c>
      <c r="D85" t="s">
        <v>68</v>
      </c>
      <c r="E85" t="s">
        <v>69</v>
      </c>
      <c r="F85" t="s">
        <v>186</v>
      </c>
      <c r="G85" t="s">
        <v>71</v>
      </c>
      <c r="H85">
        <v>16.377129287211631</v>
      </c>
      <c r="I85">
        <v>1</v>
      </c>
      <c r="J85">
        <v>9</v>
      </c>
      <c r="K85">
        <v>6</v>
      </c>
      <c r="L85">
        <v>3</v>
      </c>
      <c r="M85">
        <v>8</v>
      </c>
      <c r="N85">
        <v>7</v>
      </c>
      <c r="O85">
        <v>1</v>
      </c>
      <c r="P85">
        <v>9</v>
      </c>
      <c r="Q85">
        <v>5</v>
      </c>
      <c r="R85">
        <v>4</v>
      </c>
      <c r="S85">
        <v>8</v>
      </c>
      <c r="T85">
        <v>5</v>
      </c>
      <c r="U85">
        <v>3</v>
      </c>
      <c r="V85">
        <v>9</v>
      </c>
      <c r="W85">
        <v>5</v>
      </c>
      <c r="X85">
        <v>4</v>
      </c>
      <c r="Y85">
        <v>8</v>
      </c>
      <c r="Z85">
        <v>5</v>
      </c>
      <c r="AA85">
        <v>3</v>
      </c>
      <c r="AB85">
        <v>9</v>
      </c>
      <c r="AC85">
        <v>5</v>
      </c>
      <c r="AD85">
        <v>4</v>
      </c>
      <c r="AE85">
        <v>8</v>
      </c>
      <c r="AF85">
        <v>5</v>
      </c>
      <c r="AG85">
        <v>3</v>
      </c>
      <c r="AH85">
        <v>9</v>
      </c>
      <c r="AI85">
        <v>5</v>
      </c>
      <c r="AJ85">
        <v>4</v>
      </c>
      <c r="AK85" t="s">
        <v>1382</v>
      </c>
      <c r="AL85" t="s">
        <v>1383</v>
      </c>
      <c r="AM85" t="s">
        <v>1384</v>
      </c>
      <c r="AN85" t="s">
        <v>1385</v>
      </c>
      <c r="AO85" t="s">
        <v>1386</v>
      </c>
      <c r="AP85" t="s">
        <v>1387</v>
      </c>
      <c r="AQ85" t="s">
        <v>1388</v>
      </c>
      <c r="AR85" t="s">
        <v>1389</v>
      </c>
      <c r="AS85" t="s">
        <v>1390</v>
      </c>
    </row>
    <row r="86" spans="1:45" x14ac:dyDescent="0.45">
      <c r="A86">
        <v>85</v>
      </c>
      <c r="B86">
        <v>126</v>
      </c>
      <c r="C86" t="s">
        <v>67</v>
      </c>
      <c r="D86" t="s">
        <v>74</v>
      </c>
      <c r="E86" t="s">
        <v>69</v>
      </c>
      <c r="F86" t="s">
        <v>72</v>
      </c>
      <c r="G86" t="s">
        <v>71</v>
      </c>
      <c r="H86">
        <v>14.053648939957267</v>
      </c>
      <c r="I86">
        <v>2</v>
      </c>
      <c r="J86">
        <v>7</v>
      </c>
      <c r="K86">
        <v>9</v>
      </c>
      <c r="L86">
        <v>-2</v>
      </c>
      <c r="M86">
        <v>6</v>
      </c>
      <c r="N86">
        <v>9</v>
      </c>
      <c r="O86">
        <v>-3</v>
      </c>
      <c r="P86">
        <v>8</v>
      </c>
      <c r="Q86">
        <v>8</v>
      </c>
      <c r="R86">
        <v>0</v>
      </c>
      <c r="S86">
        <v>9</v>
      </c>
      <c r="T86">
        <v>9</v>
      </c>
      <c r="U86">
        <v>0</v>
      </c>
      <c r="V86">
        <v>8</v>
      </c>
      <c r="W86">
        <v>9</v>
      </c>
      <c r="X86">
        <v>-1</v>
      </c>
      <c r="Y86">
        <v>7</v>
      </c>
      <c r="Z86">
        <v>9</v>
      </c>
      <c r="AA86">
        <v>-2</v>
      </c>
      <c r="AB86">
        <v>8</v>
      </c>
      <c r="AC86">
        <v>7</v>
      </c>
      <c r="AD86">
        <v>1</v>
      </c>
      <c r="AE86">
        <v>9</v>
      </c>
      <c r="AF86">
        <v>8</v>
      </c>
      <c r="AG86">
        <v>1</v>
      </c>
      <c r="AH86">
        <v>8</v>
      </c>
      <c r="AI86">
        <v>8</v>
      </c>
      <c r="AJ86">
        <v>0</v>
      </c>
      <c r="AK86" t="s">
        <v>343</v>
      </c>
      <c r="AL86" t="s">
        <v>1391</v>
      </c>
      <c r="AM86" t="s">
        <v>1392</v>
      </c>
      <c r="AN86" t="s">
        <v>1393</v>
      </c>
      <c r="AO86" t="s">
        <v>1394</v>
      </c>
      <c r="AP86" t="s">
        <v>1395</v>
      </c>
      <c r="AQ86" t="s">
        <v>1396</v>
      </c>
      <c r="AR86" t="s">
        <v>1397</v>
      </c>
      <c r="AS86" t="s">
        <v>1398</v>
      </c>
    </row>
    <row r="87" spans="1:45" x14ac:dyDescent="0.45">
      <c r="A87">
        <v>86</v>
      </c>
      <c r="B87">
        <v>127</v>
      </c>
      <c r="C87" t="s">
        <v>73</v>
      </c>
      <c r="D87" t="s">
        <v>68</v>
      </c>
      <c r="E87" t="s">
        <v>75</v>
      </c>
      <c r="F87" t="s">
        <v>72</v>
      </c>
      <c r="G87" t="s">
        <v>71</v>
      </c>
      <c r="H87">
        <v>16.88622586933084</v>
      </c>
      <c r="I87">
        <v>0</v>
      </c>
      <c r="J87">
        <v>7</v>
      </c>
      <c r="K87">
        <v>5</v>
      </c>
      <c r="L87">
        <v>2</v>
      </c>
      <c r="M87">
        <v>8</v>
      </c>
      <c r="N87">
        <v>5</v>
      </c>
      <c r="O87">
        <v>3</v>
      </c>
      <c r="P87">
        <v>9</v>
      </c>
      <c r="Q87">
        <v>10</v>
      </c>
      <c r="R87">
        <v>-1</v>
      </c>
      <c r="S87">
        <v>9</v>
      </c>
      <c r="T87">
        <v>4</v>
      </c>
      <c r="U87">
        <v>5</v>
      </c>
      <c r="V87">
        <v>8</v>
      </c>
      <c r="W87">
        <v>4</v>
      </c>
      <c r="X87">
        <v>4</v>
      </c>
      <c r="Y87">
        <v>9</v>
      </c>
      <c r="Z87">
        <v>5</v>
      </c>
      <c r="AA87">
        <v>4</v>
      </c>
      <c r="AB87">
        <v>8</v>
      </c>
      <c r="AC87">
        <v>5</v>
      </c>
      <c r="AD87">
        <v>3</v>
      </c>
      <c r="AE87">
        <v>9</v>
      </c>
      <c r="AF87">
        <v>8</v>
      </c>
      <c r="AG87">
        <v>1</v>
      </c>
      <c r="AH87">
        <v>8</v>
      </c>
      <c r="AI87">
        <v>8</v>
      </c>
      <c r="AJ87">
        <v>0</v>
      </c>
      <c r="AK87" t="s">
        <v>1399</v>
      </c>
      <c r="AL87" t="s">
        <v>1400</v>
      </c>
      <c r="AM87" t="s">
        <v>1401</v>
      </c>
      <c r="AN87" t="s">
        <v>1402</v>
      </c>
      <c r="AO87" t="s">
        <v>1403</v>
      </c>
      <c r="AP87" t="s">
        <v>1404</v>
      </c>
      <c r="AQ87" t="s">
        <v>1405</v>
      </c>
      <c r="AR87" t="s">
        <v>1406</v>
      </c>
      <c r="AS87" t="s">
        <v>1407</v>
      </c>
    </row>
    <row r="88" spans="1:45" x14ac:dyDescent="0.45">
      <c r="A88">
        <v>87</v>
      </c>
      <c r="B88">
        <v>128</v>
      </c>
      <c r="C88" t="s">
        <v>73</v>
      </c>
      <c r="D88" t="s">
        <v>74</v>
      </c>
      <c r="E88" t="s">
        <v>69</v>
      </c>
      <c r="F88" t="s">
        <v>72</v>
      </c>
      <c r="G88" t="s">
        <v>71</v>
      </c>
      <c r="H88">
        <v>13.141362128046312</v>
      </c>
      <c r="I88">
        <v>2</v>
      </c>
      <c r="J88">
        <v>7</v>
      </c>
      <c r="K88">
        <v>10</v>
      </c>
      <c r="L88">
        <v>-3</v>
      </c>
      <c r="M88">
        <v>6</v>
      </c>
      <c r="N88">
        <v>9</v>
      </c>
      <c r="O88">
        <v>-3</v>
      </c>
      <c r="P88">
        <v>8</v>
      </c>
      <c r="Q88">
        <v>9</v>
      </c>
      <c r="R88">
        <v>-1</v>
      </c>
      <c r="S88">
        <v>9</v>
      </c>
      <c r="T88">
        <v>9</v>
      </c>
      <c r="U88">
        <v>0</v>
      </c>
      <c r="V88">
        <v>7</v>
      </c>
      <c r="W88">
        <v>9</v>
      </c>
      <c r="X88">
        <v>-2</v>
      </c>
      <c r="Y88">
        <v>9</v>
      </c>
      <c r="Z88">
        <v>9</v>
      </c>
      <c r="AA88">
        <v>0</v>
      </c>
      <c r="AB88">
        <v>8</v>
      </c>
      <c r="AC88">
        <v>10</v>
      </c>
      <c r="AD88">
        <v>-2</v>
      </c>
      <c r="AE88">
        <v>7</v>
      </c>
      <c r="AF88">
        <v>9</v>
      </c>
      <c r="AG88">
        <v>-2</v>
      </c>
      <c r="AH88">
        <v>9</v>
      </c>
      <c r="AI88">
        <v>10</v>
      </c>
      <c r="AJ88">
        <v>-1</v>
      </c>
      <c r="AK88" t="s">
        <v>706</v>
      </c>
      <c r="AL88" t="s">
        <v>1408</v>
      </c>
      <c r="AM88" t="s">
        <v>1409</v>
      </c>
      <c r="AN88" t="s">
        <v>275</v>
      </c>
      <c r="AO88" t="s">
        <v>1410</v>
      </c>
      <c r="AP88" t="s">
        <v>1411</v>
      </c>
      <c r="AQ88" t="s">
        <v>1412</v>
      </c>
      <c r="AR88" t="s">
        <v>1413</v>
      </c>
      <c r="AS88" t="s">
        <v>1414</v>
      </c>
    </row>
    <row r="89" spans="1:45" x14ac:dyDescent="0.45">
      <c r="A89">
        <v>88</v>
      </c>
      <c r="B89">
        <v>129</v>
      </c>
      <c r="C89" t="s">
        <v>67</v>
      </c>
      <c r="D89" t="s">
        <v>74</v>
      </c>
      <c r="E89" t="s">
        <v>69</v>
      </c>
      <c r="F89" t="s">
        <v>188</v>
      </c>
      <c r="G89" t="s">
        <v>71</v>
      </c>
      <c r="H89">
        <v>12</v>
      </c>
      <c r="I89">
        <v>2</v>
      </c>
      <c r="J89">
        <v>6</v>
      </c>
      <c r="K89">
        <v>10</v>
      </c>
      <c r="L89">
        <v>-4</v>
      </c>
      <c r="M89">
        <v>5</v>
      </c>
      <c r="N89">
        <v>10</v>
      </c>
      <c r="O89">
        <v>-5</v>
      </c>
      <c r="P89">
        <v>8</v>
      </c>
      <c r="Q89">
        <v>10</v>
      </c>
      <c r="R89">
        <v>-2</v>
      </c>
      <c r="S89">
        <v>9</v>
      </c>
      <c r="T89">
        <v>10</v>
      </c>
      <c r="U89">
        <v>-1</v>
      </c>
      <c r="V89">
        <v>7</v>
      </c>
      <c r="W89">
        <v>10</v>
      </c>
      <c r="X89">
        <v>-3</v>
      </c>
      <c r="Y89">
        <v>9</v>
      </c>
      <c r="Z89">
        <v>10</v>
      </c>
      <c r="AA89">
        <v>-1</v>
      </c>
      <c r="AB89">
        <v>8</v>
      </c>
      <c r="AC89">
        <v>10</v>
      </c>
      <c r="AD89">
        <v>-2</v>
      </c>
      <c r="AE89">
        <v>7</v>
      </c>
      <c r="AF89">
        <v>10</v>
      </c>
      <c r="AG89">
        <v>-3</v>
      </c>
      <c r="AH89">
        <v>8</v>
      </c>
      <c r="AI89">
        <v>10</v>
      </c>
      <c r="AJ89">
        <v>-2</v>
      </c>
      <c r="AK89" t="s">
        <v>344</v>
      </c>
      <c r="AL89" t="s">
        <v>345</v>
      </c>
      <c r="AM89" t="s">
        <v>346</v>
      </c>
      <c r="AN89" t="s">
        <v>347</v>
      </c>
      <c r="AO89" t="s">
        <v>348</v>
      </c>
      <c r="AP89" t="s">
        <v>349</v>
      </c>
      <c r="AQ89" t="s">
        <v>77</v>
      </c>
      <c r="AR89" t="s">
        <v>350</v>
      </c>
      <c r="AS89" t="s">
        <v>351</v>
      </c>
    </row>
    <row r="90" spans="1:45" x14ac:dyDescent="0.45">
      <c r="A90">
        <v>89</v>
      </c>
      <c r="B90">
        <v>130</v>
      </c>
      <c r="C90" t="s">
        <v>67</v>
      </c>
      <c r="D90" t="s">
        <v>68</v>
      </c>
      <c r="E90" t="s">
        <v>69</v>
      </c>
      <c r="F90" t="s">
        <v>186</v>
      </c>
      <c r="G90" t="s">
        <v>71</v>
      </c>
      <c r="H90">
        <v>12</v>
      </c>
      <c r="I90">
        <v>1</v>
      </c>
      <c r="J90">
        <v>7</v>
      </c>
      <c r="K90">
        <v>10</v>
      </c>
      <c r="L90">
        <v>-3</v>
      </c>
      <c r="M90">
        <v>6</v>
      </c>
      <c r="N90">
        <v>9</v>
      </c>
      <c r="O90">
        <v>-3</v>
      </c>
      <c r="P90">
        <v>8</v>
      </c>
      <c r="Q90">
        <v>9</v>
      </c>
      <c r="R90">
        <v>-1</v>
      </c>
      <c r="S90">
        <v>9</v>
      </c>
      <c r="T90">
        <v>9</v>
      </c>
      <c r="U90">
        <v>0</v>
      </c>
      <c r="V90">
        <v>8</v>
      </c>
      <c r="W90">
        <v>10</v>
      </c>
      <c r="X90">
        <v>-2</v>
      </c>
      <c r="Y90">
        <v>9</v>
      </c>
      <c r="Z90">
        <v>9</v>
      </c>
      <c r="AA90">
        <v>0</v>
      </c>
      <c r="AB90">
        <v>7</v>
      </c>
      <c r="AC90">
        <v>9</v>
      </c>
      <c r="AD90">
        <v>-2</v>
      </c>
      <c r="AE90">
        <v>6</v>
      </c>
      <c r="AF90">
        <v>8</v>
      </c>
      <c r="AG90">
        <v>-2</v>
      </c>
      <c r="AH90">
        <v>8</v>
      </c>
      <c r="AI90">
        <v>9</v>
      </c>
      <c r="AJ90">
        <v>-1</v>
      </c>
      <c r="AK90" t="s">
        <v>352</v>
      </c>
      <c r="AL90" t="s">
        <v>353</v>
      </c>
      <c r="AM90" t="s">
        <v>354</v>
      </c>
      <c r="AN90" t="s">
        <v>355</v>
      </c>
      <c r="AO90" t="s">
        <v>356</v>
      </c>
      <c r="AP90" t="s">
        <v>357</v>
      </c>
      <c r="AQ90" t="s">
        <v>358</v>
      </c>
      <c r="AR90" t="s">
        <v>359</v>
      </c>
      <c r="AS90" t="s">
        <v>360</v>
      </c>
    </row>
    <row r="91" spans="1:45" x14ac:dyDescent="0.45">
      <c r="A91">
        <v>90</v>
      </c>
      <c r="B91">
        <v>131</v>
      </c>
      <c r="C91" t="s">
        <v>67</v>
      </c>
      <c r="D91" t="s">
        <v>68</v>
      </c>
      <c r="E91" t="s">
        <v>75</v>
      </c>
      <c r="F91" t="s">
        <v>72</v>
      </c>
      <c r="G91" t="s">
        <v>71</v>
      </c>
      <c r="H91">
        <v>12</v>
      </c>
      <c r="I91">
        <v>4</v>
      </c>
      <c r="J91">
        <v>8</v>
      </c>
      <c r="K91">
        <v>6</v>
      </c>
      <c r="L91">
        <v>2</v>
      </c>
      <c r="M91">
        <v>9</v>
      </c>
      <c r="N91">
        <v>10</v>
      </c>
      <c r="O91">
        <v>-1</v>
      </c>
      <c r="P91">
        <v>9</v>
      </c>
      <c r="Q91">
        <v>8</v>
      </c>
      <c r="R91">
        <v>1</v>
      </c>
      <c r="S91">
        <v>8</v>
      </c>
      <c r="T91">
        <v>9</v>
      </c>
      <c r="U91">
        <v>-1</v>
      </c>
      <c r="V91">
        <v>9</v>
      </c>
      <c r="W91">
        <v>9</v>
      </c>
      <c r="X91">
        <v>0</v>
      </c>
      <c r="Y91">
        <v>9</v>
      </c>
      <c r="Z91">
        <v>9</v>
      </c>
      <c r="AA91">
        <v>0</v>
      </c>
      <c r="AB91">
        <v>9</v>
      </c>
      <c r="AC91">
        <v>8</v>
      </c>
      <c r="AD91">
        <v>1</v>
      </c>
      <c r="AE91">
        <v>8</v>
      </c>
      <c r="AF91">
        <v>8</v>
      </c>
      <c r="AG91">
        <v>0</v>
      </c>
      <c r="AH91">
        <v>9</v>
      </c>
      <c r="AI91">
        <v>9</v>
      </c>
      <c r="AJ91">
        <v>0</v>
      </c>
      <c r="AK91" t="s">
        <v>361</v>
      </c>
      <c r="AL91" t="s">
        <v>362</v>
      </c>
      <c r="AM91" t="s">
        <v>363</v>
      </c>
      <c r="AN91" t="s">
        <v>364</v>
      </c>
      <c r="AO91" t="s">
        <v>365</v>
      </c>
      <c r="AP91" t="s">
        <v>366</v>
      </c>
      <c r="AQ91" t="s">
        <v>367</v>
      </c>
      <c r="AR91" t="s">
        <v>368</v>
      </c>
      <c r="AS91" t="s">
        <v>369</v>
      </c>
    </row>
    <row r="92" spans="1:45" x14ac:dyDescent="0.45">
      <c r="A92">
        <v>91</v>
      </c>
      <c r="B92">
        <v>132</v>
      </c>
      <c r="C92" t="s">
        <v>67</v>
      </c>
      <c r="D92" t="s">
        <v>68</v>
      </c>
      <c r="E92" t="s">
        <v>69</v>
      </c>
      <c r="F92" t="s">
        <v>72</v>
      </c>
      <c r="G92" t="s">
        <v>71</v>
      </c>
      <c r="H92">
        <v>12</v>
      </c>
      <c r="I92">
        <v>2</v>
      </c>
      <c r="J92">
        <v>6</v>
      </c>
      <c r="K92">
        <v>10</v>
      </c>
      <c r="L92">
        <v>-4</v>
      </c>
      <c r="M92">
        <v>8</v>
      </c>
      <c r="N92">
        <v>9</v>
      </c>
      <c r="O92">
        <v>-1</v>
      </c>
      <c r="P92">
        <v>9</v>
      </c>
      <c r="Q92">
        <v>9</v>
      </c>
      <c r="R92">
        <v>0</v>
      </c>
      <c r="S92">
        <v>9</v>
      </c>
      <c r="T92">
        <v>9</v>
      </c>
      <c r="U92">
        <v>0</v>
      </c>
      <c r="V92">
        <v>7</v>
      </c>
      <c r="W92">
        <v>10</v>
      </c>
      <c r="X92">
        <v>-3</v>
      </c>
      <c r="Y92">
        <v>8</v>
      </c>
      <c r="Z92">
        <v>9</v>
      </c>
      <c r="AA92">
        <v>-1</v>
      </c>
      <c r="AB92">
        <v>7</v>
      </c>
      <c r="AC92">
        <v>8</v>
      </c>
      <c r="AD92">
        <v>-1</v>
      </c>
      <c r="AE92">
        <v>6</v>
      </c>
      <c r="AF92">
        <v>8</v>
      </c>
      <c r="AG92">
        <v>-2</v>
      </c>
      <c r="AH92">
        <v>7</v>
      </c>
      <c r="AI92">
        <v>10</v>
      </c>
      <c r="AJ92">
        <v>-3</v>
      </c>
      <c r="AK92" t="s">
        <v>370</v>
      </c>
      <c r="AL92" t="s">
        <v>371</v>
      </c>
      <c r="AM92" t="s">
        <v>372</v>
      </c>
      <c r="AN92" t="s">
        <v>373</v>
      </c>
      <c r="AO92" t="s">
        <v>374</v>
      </c>
      <c r="AP92" t="s">
        <v>375</v>
      </c>
      <c r="AQ92" t="s">
        <v>376</v>
      </c>
      <c r="AR92" t="s">
        <v>377</v>
      </c>
      <c r="AS92" t="s">
        <v>378</v>
      </c>
    </row>
    <row r="93" spans="1:45" x14ac:dyDescent="0.45">
      <c r="A93">
        <v>92</v>
      </c>
      <c r="B93">
        <v>133</v>
      </c>
      <c r="C93" t="s">
        <v>73</v>
      </c>
      <c r="D93" t="s">
        <v>68</v>
      </c>
      <c r="E93" t="s">
        <v>69</v>
      </c>
      <c r="F93" t="s">
        <v>72</v>
      </c>
      <c r="G93" t="s">
        <v>71</v>
      </c>
      <c r="H93">
        <v>12</v>
      </c>
      <c r="I93">
        <v>2</v>
      </c>
      <c r="J93">
        <v>7</v>
      </c>
      <c r="K93">
        <v>10</v>
      </c>
      <c r="L93">
        <v>-3</v>
      </c>
      <c r="M93">
        <v>6</v>
      </c>
      <c r="N93">
        <v>10</v>
      </c>
      <c r="O93">
        <v>-4</v>
      </c>
      <c r="P93">
        <v>9</v>
      </c>
      <c r="Q93">
        <v>10</v>
      </c>
      <c r="R93">
        <v>-1</v>
      </c>
      <c r="S93">
        <v>8</v>
      </c>
      <c r="T93">
        <v>10</v>
      </c>
      <c r="U93">
        <v>-2</v>
      </c>
      <c r="V93">
        <v>9</v>
      </c>
      <c r="W93">
        <v>10</v>
      </c>
      <c r="X93">
        <v>-1</v>
      </c>
      <c r="Y93">
        <v>8</v>
      </c>
      <c r="Z93">
        <v>1</v>
      </c>
      <c r="AA93">
        <v>7</v>
      </c>
      <c r="AB93">
        <v>9</v>
      </c>
      <c r="AC93">
        <v>10</v>
      </c>
      <c r="AD93">
        <v>-1</v>
      </c>
      <c r="AE93">
        <v>8</v>
      </c>
      <c r="AF93">
        <v>10</v>
      </c>
      <c r="AG93">
        <v>-2</v>
      </c>
      <c r="AH93">
        <v>9</v>
      </c>
      <c r="AI93">
        <v>10</v>
      </c>
      <c r="AJ93">
        <v>-1</v>
      </c>
      <c r="AK93" t="s">
        <v>379</v>
      </c>
      <c r="AL93" t="s">
        <v>380</v>
      </c>
      <c r="AM93" t="s">
        <v>381</v>
      </c>
      <c r="AN93" t="s">
        <v>382</v>
      </c>
      <c r="AO93" t="s">
        <v>383</v>
      </c>
      <c r="AP93" t="s">
        <v>384</v>
      </c>
      <c r="AQ93" t="s">
        <v>385</v>
      </c>
      <c r="AR93" t="s">
        <v>386</v>
      </c>
      <c r="AS93" t="s">
        <v>387</v>
      </c>
    </row>
    <row r="94" spans="1:45" x14ac:dyDescent="0.45">
      <c r="A94">
        <v>93</v>
      </c>
      <c r="B94">
        <v>134</v>
      </c>
      <c r="C94" t="s">
        <v>73</v>
      </c>
      <c r="D94" t="s">
        <v>68</v>
      </c>
      <c r="E94" t="s">
        <v>69</v>
      </c>
      <c r="F94" t="s">
        <v>72</v>
      </c>
      <c r="G94" t="s">
        <v>71</v>
      </c>
      <c r="H94">
        <v>41.656972505143862</v>
      </c>
      <c r="I94">
        <v>2</v>
      </c>
      <c r="J94">
        <v>6</v>
      </c>
      <c r="K94">
        <v>5</v>
      </c>
      <c r="L94">
        <v>1</v>
      </c>
      <c r="M94">
        <v>6</v>
      </c>
      <c r="N94">
        <v>8</v>
      </c>
      <c r="O94">
        <v>-2</v>
      </c>
      <c r="P94">
        <v>8</v>
      </c>
      <c r="Q94">
        <v>4</v>
      </c>
      <c r="R94">
        <v>4</v>
      </c>
      <c r="S94">
        <v>9</v>
      </c>
      <c r="T94">
        <v>9</v>
      </c>
      <c r="U94">
        <v>0</v>
      </c>
      <c r="V94">
        <v>7</v>
      </c>
      <c r="W94">
        <v>7</v>
      </c>
      <c r="X94">
        <v>0</v>
      </c>
      <c r="Y94">
        <v>8</v>
      </c>
      <c r="Z94">
        <v>5</v>
      </c>
      <c r="AA94">
        <v>3</v>
      </c>
      <c r="AB94">
        <v>7</v>
      </c>
      <c r="AC94">
        <v>7</v>
      </c>
      <c r="AD94">
        <v>0</v>
      </c>
      <c r="AE94">
        <v>6</v>
      </c>
      <c r="AF94">
        <v>8</v>
      </c>
      <c r="AG94">
        <v>-2</v>
      </c>
      <c r="AH94">
        <v>7</v>
      </c>
      <c r="AI94">
        <v>10</v>
      </c>
      <c r="AJ94">
        <v>-3</v>
      </c>
      <c r="AK94" t="s">
        <v>1415</v>
      </c>
      <c r="AL94" t="s">
        <v>1416</v>
      </c>
      <c r="AM94" t="s">
        <v>1417</v>
      </c>
      <c r="AN94" t="s">
        <v>1418</v>
      </c>
      <c r="AO94" t="s">
        <v>1419</v>
      </c>
      <c r="AP94" t="s">
        <v>1420</v>
      </c>
      <c r="AQ94" t="s">
        <v>1421</v>
      </c>
      <c r="AR94" t="s">
        <v>1422</v>
      </c>
      <c r="AS94" t="s">
        <v>1423</v>
      </c>
    </row>
    <row r="95" spans="1:45" x14ac:dyDescent="0.45">
      <c r="A95">
        <v>94</v>
      </c>
      <c r="B95">
        <v>135</v>
      </c>
      <c r="C95" t="s">
        <v>67</v>
      </c>
      <c r="D95" t="s">
        <v>68</v>
      </c>
      <c r="E95" t="s">
        <v>69</v>
      </c>
      <c r="F95" t="s">
        <v>70</v>
      </c>
      <c r="G95" t="s">
        <v>71</v>
      </c>
      <c r="H95">
        <v>12</v>
      </c>
      <c r="I95">
        <v>0</v>
      </c>
      <c r="J95">
        <v>6</v>
      </c>
      <c r="K95">
        <v>9</v>
      </c>
      <c r="L95">
        <v>-3</v>
      </c>
      <c r="M95">
        <v>7</v>
      </c>
      <c r="N95">
        <v>7</v>
      </c>
      <c r="O95">
        <v>0</v>
      </c>
      <c r="P95">
        <v>9</v>
      </c>
      <c r="Q95">
        <v>5</v>
      </c>
      <c r="R95">
        <v>4</v>
      </c>
      <c r="S95">
        <v>8</v>
      </c>
      <c r="T95">
        <v>7</v>
      </c>
      <c r="U95">
        <v>1</v>
      </c>
      <c r="V95">
        <v>7</v>
      </c>
      <c r="W95">
        <v>5</v>
      </c>
      <c r="X95">
        <v>2</v>
      </c>
      <c r="Y95">
        <v>9</v>
      </c>
      <c r="Z95">
        <v>8</v>
      </c>
      <c r="AA95">
        <v>1</v>
      </c>
      <c r="AB95">
        <v>6</v>
      </c>
      <c r="AC95">
        <v>5</v>
      </c>
      <c r="AD95">
        <v>1</v>
      </c>
      <c r="AE95">
        <v>8</v>
      </c>
      <c r="AF95">
        <v>5</v>
      </c>
      <c r="AG95">
        <v>3</v>
      </c>
      <c r="AH95">
        <v>9</v>
      </c>
      <c r="AI95">
        <v>7</v>
      </c>
      <c r="AJ95">
        <v>2</v>
      </c>
      <c r="AK95" t="s">
        <v>388</v>
      </c>
      <c r="AL95" t="s">
        <v>389</v>
      </c>
      <c r="AM95" t="s">
        <v>390</v>
      </c>
      <c r="AN95" t="s">
        <v>391</v>
      </c>
      <c r="AO95" t="s">
        <v>392</v>
      </c>
      <c r="AP95" t="s">
        <v>393</v>
      </c>
      <c r="AQ95" t="s">
        <v>394</v>
      </c>
      <c r="AR95" t="s">
        <v>395</v>
      </c>
      <c r="AS95" t="s">
        <v>396</v>
      </c>
    </row>
    <row r="96" spans="1:45" x14ac:dyDescent="0.45">
      <c r="A96">
        <v>95</v>
      </c>
      <c r="B96">
        <v>136</v>
      </c>
      <c r="C96" t="s">
        <v>67</v>
      </c>
      <c r="D96" t="s">
        <v>74</v>
      </c>
      <c r="E96" t="s">
        <v>69</v>
      </c>
      <c r="F96" t="s">
        <v>72</v>
      </c>
      <c r="G96" t="s">
        <v>71</v>
      </c>
      <c r="H96">
        <v>38.558133870842298</v>
      </c>
      <c r="I96">
        <v>3</v>
      </c>
      <c r="J96">
        <v>9</v>
      </c>
      <c r="K96">
        <v>4</v>
      </c>
      <c r="L96">
        <v>5</v>
      </c>
      <c r="M96">
        <v>8</v>
      </c>
      <c r="N96">
        <v>6</v>
      </c>
      <c r="O96">
        <v>2</v>
      </c>
      <c r="P96">
        <v>9</v>
      </c>
      <c r="Q96">
        <v>5</v>
      </c>
      <c r="R96">
        <v>4</v>
      </c>
      <c r="S96">
        <v>8</v>
      </c>
      <c r="T96">
        <v>5</v>
      </c>
      <c r="U96">
        <v>3</v>
      </c>
      <c r="V96">
        <v>9</v>
      </c>
      <c r="W96">
        <v>4</v>
      </c>
      <c r="X96">
        <v>5</v>
      </c>
      <c r="Y96">
        <v>8</v>
      </c>
      <c r="Z96">
        <v>4</v>
      </c>
      <c r="AA96">
        <v>4</v>
      </c>
      <c r="AB96">
        <v>9</v>
      </c>
      <c r="AC96">
        <v>3</v>
      </c>
      <c r="AD96">
        <v>6</v>
      </c>
      <c r="AE96">
        <v>8</v>
      </c>
      <c r="AF96">
        <v>4</v>
      </c>
      <c r="AG96">
        <v>4</v>
      </c>
      <c r="AH96">
        <v>9</v>
      </c>
      <c r="AI96">
        <v>3</v>
      </c>
      <c r="AJ96">
        <v>6</v>
      </c>
      <c r="AK96" t="s">
        <v>1424</v>
      </c>
      <c r="AL96" t="s">
        <v>1425</v>
      </c>
      <c r="AM96" t="s">
        <v>1426</v>
      </c>
      <c r="AN96" t="s">
        <v>1427</v>
      </c>
      <c r="AO96" t="s">
        <v>1428</v>
      </c>
      <c r="AP96" t="s">
        <v>1429</v>
      </c>
      <c r="AQ96" t="s">
        <v>1430</v>
      </c>
      <c r="AR96" t="s">
        <v>1431</v>
      </c>
      <c r="AS96" t="s">
        <v>1432</v>
      </c>
    </row>
    <row r="97" spans="1:45" x14ac:dyDescent="0.45">
      <c r="A97">
        <v>96</v>
      </c>
      <c r="B97">
        <v>137</v>
      </c>
      <c r="C97" t="s">
        <v>73</v>
      </c>
      <c r="D97" t="s">
        <v>184</v>
      </c>
      <c r="E97" t="s">
        <v>69</v>
      </c>
      <c r="F97" t="s">
        <v>72</v>
      </c>
      <c r="G97" t="s">
        <v>71</v>
      </c>
      <c r="H97">
        <v>12</v>
      </c>
      <c r="I97">
        <v>0</v>
      </c>
      <c r="J97">
        <v>7</v>
      </c>
      <c r="K97">
        <v>8</v>
      </c>
      <c r="L97">
        <v>-1</v>
      </c>
      <c r="M97">
        <v>8</v>
      </c>
      <c r="N97">
        <v>7</v>
      </c>
      <c r="O97">
        <v>1</v>
      </c>
      <c r="P97">
        <v>9</v>
      </c>
      <c r="Q97">
        <v>5</v>
      </c>
      <c r="R97">
        <v>4</v>
      </c>
      <c r="S97">
        <v>8</v>
      </c>
      <c r="T97">
        <v>7</v>
      </c>
      <c r="U97">
        <v>1</v>
      </c>
      <c r="V97">
        <v>9</v>
      </c>
      <c r="W97">
        <v>7</v>
      </c>
      <c r="X97">
        <v>2</v>
      </c>
      <c r="Y97">
        <v>8</v>
      </c>
      <c r="Z97">
        <v>5</v>
      </c>
      <c r="AA97">
        <v>3</v>
      </c>
      <c r="AB97">
        <v>9</v>
      </c>
      <c r="AC97">
        <v>5</v>
      </c>
      <c r="AD97">
        <v>4</v>
      </c>
      <c r="AE97">
        <v>8</v>
      </c>
      <c r="AF97">
        <v>7</v>
      </c>
      <c r="AG97">
        <v>1</v>
      </c>
      <c r="AH97">
        <v>9</v>
      </c>
      <c r="AI97">
        <v>7</v>
      </c>
      <c r="AJ97">
        <v>2</v>
      </c>
      <c r="AK97" t="s">
        <v>397</v>
      </c>
      <c r="AL97" t="s">
        <v>398</v>
      </c>
      <c r="AM97" t="s">
        <v>399</v>
      </c>
      <c r="AN97" t="s">
        <v>400</v>
      </c>
      <c r="AO97" t="s">
        <v>401</v>
      </c>
      <c r="AP97" t="s">
        <v>402</v>
      </c>
      <c r="AQ97" t="s">
        <v>403</v>
      </c>
      <c r="AR97" t="s">
        <v>199</v>
      </c>
      <c r="AS97" t="s">
        <v>404</v>
      </c>
    </row>
    <row r="98" spans="1:45" x14ac:dyDescent="0.45">
      <c r="A98">
        <v>97</v>
      </c>
      <c r="B98">
        <v>138</v>
      </c>
      <c r="C98" t="s">
        <v>67</v>
      </c>
      <c r="D98" t="s">
        <v>189</v>
      </c>
      <c r="E98" t="s">
        <v>69</v>
      </c>
      <c r="F98" t="s">
        <v>72</v>
      </c>
      <c r="G98" t="s">
        <v>157</v>
      </c>
      <c r="H98">
        <v>144.51048773312573</v>
      </c>
      <c r="I98">
        <v>4</v>
      </c>
      <c r="J98">
        <v>7</v>
      </c>
      <c r="K98">
        <v>6</v>
      </c>
      <c r="L98">
        <v>1</v>
      </c>
      <c r="M98">
        <v>8</v>
      </c>
      <c r="N98">
        <v>6</v>
      </c>
      <c r="O98">
        <v>2</v>
      </c>
      <c r="P98">
        <v>6</v>
      </c>
      <c r="Q98">
        <v>5</v>
      </c>
      <c r="R98">
        <v>1</v>
      </c>
      <c r="S98">
        <v>9</v>
      </c>
      <c r="T98">
        <v>5</v>
      </c>
      <c r="U98">
        <v>4</v>
      </c>
      <c r="V98">
        <v>7</v>
      </c>
      <c r="W98">
        <v>5</v>
      </c>
      <c r="X98">
        <v>2</v>
      </c>
      <c r="Y98">
        <v>8</v>
      </c>
      <c r="Z98">
        <v>5</v>
      </c>
      <c r="AA98">
        <v>3</v>
      </c>
      <c r="AB98">
        <v>7</v>
      </c>
      <c r="AC98">
        <v>5</v>
      </c>
      <c r="AD98">
        <v>2</v>
      </c>
      <c r="AE98">
        <v>6</v>
      </c>
      <c r="AF98">
        <v>5</v>
      </c>
      <c r="AG98">
        <v>1</v>
      </c>
      <c r="AH98">
        <v>8</v>
      </c>
      <c r="AI98">
        <v>5</v>
      </c>
      <c r="AJ98">
        <v>3</v>
      </c>
      <c r="AK98" t="s">
        <v>1433</v>
      </c>
      <c r="AL98" t="s">
        <v>1434</v>
      </c>
      <c r="AM98" t="s">
        <v>1435</v>
      </c>
      <c r="AN98" t="s">
        <v>1436</v>
      </c>
      <c r="AO98" t="s">
        <v>1437</v>
      </c>
      <c r="AP98" t="s">
        <v>1438</v>
      </c>
      <c r="AQ98" t="s">
        <v>77</v>
      </c>
      <c r="AR98" t="s">
        <v>1439</v>
      </c>
      <c r="AS98" t="s">
        <v>1440</v>
      </c>
    </row>
    <row r="99" spans="1:45" x14ac:dyDescent="0.45">
      <c r="A99">
        <v>98</v>
      </c>
      <c r="B99">
        <v>139</v>
      </c>
      <c r="C99" t="s">
        <v>67</v>
      </c>
      <c r="D99" t="s">
        <v>68</v>
      </c>
      <c r="E99" t="s">
        <v>75</v>
      </c>
      <c r="F99" t="s">
        <v>72</v>
      </c>
      <c r="G99" t="s">
        <v>71</v>
      </c>
      <c r="H99">
        <v>19.919094533873299</v>
      </c>
      <c r="I99">
        <v>0</v>
      </c>
      <c r="J99">
        <v>7</v>
      </c>
      <c r="K99">
        <v>8</v>
      </c>
      <c r="L99">
        <v>-1</v>
      </c>
      <c r="M99">
        <v>8</v>
      </c>
      <c r="N99">
        <v>8</v>
      </c>
      <c r="O99">
        <v>0</v>
      </c>
      <c r="P99">
        <v>9</v>
      </c>
      <c r="Q99">
        <v>5</v>
      </c>
      <c r="R99">
        <v>4</v>
      </c>
      <c r="S99">
        <v>9</v>
      </c>
      <c r="T99">
        <v>8</v>
      </c>
      <c r="U99">
        <v>1</v>
      </c>
      <c r="V99">
        <v>8</v>
      </c>
      <c r="W99">
        <v>6</v>
      </c>
      <c r="X99">
        <v>2</v>
      </c>
      <c r="Y99">
        <v>9</v>
      </c>
      <c r="Z99">
        <v>9</v>
      </c>
      <c r="AA99">
        <v>0</v>
      </c>
      <c r="AB99">
        <v>8</v>
      </c>
      <c r="AC99">
        <v>5</v>
      </c>
      <c r="AD99">
        <v>3</v>
      </c>
      <c r="AE99">
        <v>9</v>
      </c>
      <c r="AF99">
        <v>7</v>
      </c>
      <c r="AG99">
        <v>2</v>
      </c>
      <c r="AH99">
        <v>10</v>
      </c>
      <c r="AI99">
        <v>8</v>
      </c>
      <c r="AJ99">
        <v>2</v>
      </c>
      <c r="AK99" t="s">
        <v>1441</v>
      </c>
      <c r="AL99" t="s">
        <v>1442</v>
      </c>
      <c r="AM99" t="s">
        <v>1443</v>
      </c>
      <c r="AN99" t="s">
        <v>1444</v>
      </c>
      <c r="AO99" t="s">
        <v>1445</v>
      </c>
      <c r="AP99" t="s">
        <v>1446</v>
      </c>
      <c r="AQ99" t="s">
        <v>1447</v>
      </c>
      <c r="AR99" t="s">
        <v>1448</v>
      </c>
      <c r="AS99" t="s">
        <v>1449</v>
      </c>
    </row>
    <row r="100" spans="1:45" x14ac:dyDescent="0.45">
      <c r="A100">
        <v>99</v>
      </c>
      <c r="B100">
        <v>140</v>
      </c>
      <c r="C100" t="s">
        <v>73</v>
      </c>
      <c r="D100" t="s">
        <v>76</v>
      </c>
      <c r="E100" t="s">
        <v>69</v>
      </c>
      <c r="F100" t="s">
        <v>72</v>
      </c>
      <c r="G100" t="s">
        <v>71</v>
      </c>
      <c r="H100">
        <v>30.787412476426358</v>
      </c>
      <c r="I100">
        <v>1</v>
      </c>
      <c r="J100">
        <v>8</v>
      </c>
      <c r="K100">
        <v>6</v>
      </c>
      <c r="L100">
        <v>2</v>
      </c>
      <c r="M100">
        <v>9</v>
      </c>
      <c r="N100">
        <v>6</v>
      </c>
      <c r="O100">
        <v>3</v>
      </c>
      <c r="P100">
        <v>8</v>
      </c>
      <c r="Q100">
        <v>3</v>
      </c>
      <c r="R100">
        <v>5</v>
      </c>
      <c r="S100">
        <v>9</v>
      </c>
      <c r="T100">
        <v>6</v>
      </c>
      <c r="U100">
        <v>3</v>
      </c>
      <c r="V100">
        <v>8</v>
      </c>
      <c r="W100">
        <v>5</v>
      </c>
      <c r="X100">
        <v>3</v>
      </c>
      <c r="Y100">
        <v>9</v>
      </c>
      <c r="Z100">
        <v>6</v>
      </c>
      <c r="AA100">
        <v>3</v>
      </c>
      <c r="AB100">
        <v>8</v>
      </c>
      <c r="AC100">
        <v>5</v>
      </c>
      <c r="AD100">
        <v>3</v>
      </c>
      <c r="AE100">
        <v>9</v>
      </c>
      <c r="AF100">
        <v>6</v>
      </c>
      <c r="AG100">
        <v>3</v>
      </c>
      <c r="AH100">
        <v>9</v>
      </c>
      <c r="AI100">
        <v>6</v>
      </c>
      <c r="AJ100">
        <v>3</v>
      </c>
      <c r="AK100" t="s">
        <v>707</v>
      </c>
      <c r="AL100" t="s">
        <v>708</v>
      </c>
      <c r="AM100" t="s">
        <v>1450</v>
      </c>
      <c r="AN100" t="s">
        <v>1451</v>
      </c>
      <c r="AO100" t="s">
        <v>1452</v>
      </c>
      <c r="AP100" t="s">
        <v>1453</v>
      </c>
      <c r="AQ100" t="s">
        <v>1454</v>
      </c>
      <c r="AR100" t="s">
        <v>1455</v>
      </c>
      <c r="AS100" t="s">
        <v>1456</v>
      </c>
    </row>
    <row r="101" spans="1:45" x14ac:dyDescent="0.45">
      <c r="A101">
        <v>100</v>
      </c>
      <c r="B101">
        <v>141</v>
      </c>
      <c r="C101" t="s">
        <v>67</v>
      </c>
      <c r="D101" t="s">
        <v>189</v>
      </c>
      <c r="E101" t="s">
        <v>69</v>
      </c>
      <c r="F101" t="s">
        <v>72</v>
      </c>
      <c r="G101" t="s">
        <v>71</v>
      </c>
      <c r="H101">
        <v>13.675299873446729</v>
      </c>
      <c r="I101">
        <v>1</v>
      </c>
      <c r="J101">
        <v>8</v>
      </c>
      <c r="K101">
        <v>8</v>
      </c>
      <c r="L101">
        <v>0</v>
      </c>
      <c r="M101">
        <v>7</v>
      </c>
      <c r="N101">
        <v>8</v>
      </c>
      <c r="O101">
        <v>-1</v>
      </c>
      <c r="P101">
        <v>9</v>
      </c>
      <c r="Q101">
        <v>8</v>
      </c>
      <c r="R101">
        <v>1</v>
      </c>
      <c r="S101">
        <v>8</v>
      </c>
      <c r="T101">
        <v>10</v>
      </c>
      <c r="U101">
        <v>-2</v>
      </c>
      <c r="V101">
        <v>7</v>
      </c>
      <c r="W101">
        <v>10</v>
      </c>
      <c r="X101">
        <v>-3</v>
      </c>
      <c r="Y101">
        <v>8</v>
      </c>
      <c r="Z101">
        <v>10</v>
      </c>
      <c r="AA101">
        <v>-2</v>
      </c>
      <c r="AB101">
        <v>7</v>
      </c>
      <c r="AC101">
        <v>10</v>
      </c>
      <c r="AD101">
        <v>-3</v>
      </c>
      <c r="AE101">
        <v>8</v>
      </c>
      <c r="AF101">
        <v>10</v>
      </c>
      <c r="AG101">
        <v>-2</v>
      </c>
      <c r="AH101">
        <v>9</v>
      </c>
      <c r="AI101">
        <v>10</v>
      </c>
      <c r="AJ101">
        <v>-1</v>
      </c>
      <c r="AK101" t="s">
        <v>1457</v>
      </c>
      <c r="AL101" t="s">
        <v>1458</v>
      </c>
      <c r="AM101" t="s">
        <v>1459</v>
      </c>
      <c r="AN101" t="s">
        <v>1460</v>
      </c>
      <c r="AO101" t="s">
        <v>1461</v>
      </c>
      <c r="AP101" t="s">
        <v>1462</v>
      </c>
      <c r="AQ101" t="s">
        <v>1463</v>
      </c>
      <c r="AR101" t="s">
        <v>1464</v>
      </c>
      <c r="AS101" t="s">
        <v>1465</v>
      </c>
    </row>
    <row r="102" spans="1:45" x14ac:dyDescent="0.45">
      <c r="A102">
        <v>101</v>
      </c>
      <c r="B102">
        <v>142</v>
      </c>
      <c r="C102" t="s">
        <v>67</v>
      </c>
      <c r="D102" t="s">
        <v>187</v>
      </c>
      <c r="E102" t="s">
        <v>69</v>
      </c>
      <c r="F102" t="s">
        <v>70</v>
      </c>
      <c r="G102" t="s">
        <v>71</v>
      </c>
      <c r="H102">
        <v>73.984400877890153</v>
      </c>
      <c r="I102">
        <v>4</v>
      </c>
      <c r="J102">
        <v>7</v>
      </c>
      <c r="K102">
        <v>8</v>
      </c>
      <c r="L102">
        <v>-1</v>
      </c>
      <c r="M102">
        <v>8</v>
      </c>
      <c r="N102">
        <v>8</v>
      </c>
      <c r="O102">
        <v>0</v>
      </c>
      <c r="P102">
        <v>6</v>
      </c>
      <c r="Q102">
        <v>7</v>
      </c>
      <c r="R102">
        <v>-1</v>
      </c>
      <c r="S102">
        <v>9</v>
      </c>
      <c r="T102">
        <v>8</v>
      </c>
      <c r="U102">
        <v>1</v>
      </c>
      <c r="V102">
        <v>7</v>
      </c>
      <c r="W102">
        <v>8</v>
      </c>
      <c r="X102">
        <v>-1</v>
      </c>
      <c r="Y102">
        <v>9</v>
      </c>
      <c r="Z102">
        <v>7</v>
      </c>
      <c r="AA102">
        <v>2</v>
      </c>
      <c r="AB102">
        <v>7</v>
      </c>
      <c r="AC102">
        <v>7</v>
      </c>
      <c r="AD102">
        <v>0</v>
      </c>
      <c r="AE102">
        <v>8</v>
      </c>
      <c r="AF102">
        <v>7</v>
      </c>
      <c r="AG102">
        <v>1</v>
      </c>
      <c r="AH102">
        <v>9</v>
      </c>
      <c r="AI102">
        <v>8</v>
      </c>
      <c r="AJ102">
        <v>1</v>
      </c>
      <c r="AK102" t="s">
        <v>1466</v>
      </c>
      <c r="AL102" t="s">
        <v>1467</v>
      </c>
      <c r="AM102" t="s">
        <v>1468</v>
      </c>
      <c r="AN102" t="s">
        <v>1469</v>
      </c>
      <c r="AO102" t="s">
        <v>1470</v>
      </c>
      <c r="AP102" t="s">
        <v>1471</v>
      </c>
      <c r="AQ102" t="s">
        <v>1472</v>
      </c>
      <c r="AR102" t="s">
        <v>1473</v>
      </c>
      <c r="AS102" t="s">
        <v>1474</v>
      </c>
    </row>
    <row r="103" spans="1:45" x14ac:dyDescent="0.45">
      <c r="A103">
        <v>102</v>
      </c>
      <c r="B103">
        <v>143</v>
      </c>
      <c r="C103" t="s">
        <v>73</v>
      </c>
      <c r="D103" t="s">
        <v>184</v>
      </c>
      <c r="E103" t="s">
        <v>69</v>
      </c>
      <c r="F103" t="s">
        <v>72</v>
      </c>
      <c r="G103" t="s">
        <v>71</v>
      </c>
      <c r="H103">
        <v>16.418050193658651</v>
      </c>
      <c r="I103">
        <v>0</v>
      </c>
      <c r="J103">
        <v>8</v>
      </c>
      <c r="K103">
        <v>5</v>
      </c>
      <c r="L103">
        <v>3</v>
      </c>
      <c r="M103">
        <v>9</v>
      </c>
      <c r="N103">
        <v>5</v>
      </c>
      <c r="O103">
        <v>4</v>
      </c>
      <c r="P103">
        <v>7</v>
      </c>
      <c r="Q103">
        <v>5</v>
      </c>
      <c r="R103">
        <v>2</v>
      </c>
      <c r="S103">
        <v>9</v>
      </c>
      <c r="T103">
        <v>5</v>
      </c>
      <c r="U103">
        <v>4</v>
      </c>
      <c r="V103">
        <v>8</v>
      </c>
      <c r="W103">
        <v>5</v>
      </c>
      <c r="X103">
        <v>3</v>
      </c>
      <c r="Y103">
        <v>9</v>
      </c>
      <c r="Z103">
        <v>5</v>
      </c>
      <c r="AA103">
        <v>4</v>
      </c>
      <c r="AB103">
        <v>8</v>
      </c>
      <c r="AC103">
        <v>5</v>
      </c>
      <c r="AD103">
        <v>3</v>
      </c>
      <c r="AE103">
        <v>9</v>
      </c>
      <c r="AF103">
        <v>5</v>
      </c>
      <c r="AG103">
        <v>4</v>
      </c>
      <c r="AH103">
        <v>10</v>
      </c>
      <c r="AI103">
        <v>5</v>
      </c>
      <c r="AJ103">
        <v>5</v>
      </c>
      <c r="AK103" t="s">
        <v>1475</v>
      </c>
      <c r="AL103" t="s">
        <v>1476</v>
      </c>
      <c r="AM103" t="s">
        <v>1477</v>
      </c>
      <c r="AN103" t="s">
        <v>1478</v>
      </c>
      <c r="AO103" t="s">
        <v>1479</v>
      </c>
      <c r="AP103" t="s">
        <v>1480</v>
      </c>
      <c r="AQ103" t="s">
        <v>1481</v>
      </c>
      <c r="AR103" t="s">
        <v>1482</v>
      </c>
      <c r="AS103" t="s">
        <v>1483</v>
      </c>
    </row>
    <row r="104" spans="1:45" x14ac:dyDescent="0.45">
      <c r="A104">
        <v>103</v>
      </c>
      <c r="B104">
        <v>144</v>
      </c>
      <c r="C104" t="s">
        <v>67</v>
      </c>
      <c r="D104" t="s">
        <v>189</v>
      </c>
      <c r="E104" t="s">
        <v>69</v>
      </c>
      <c r="F104" t="s">
        <v>72</v>
      </c>
      <c r="G104" t="s">
        <v>71</v>
      </c>
      <c r="H104">
        <v>38.789842537898139</v>
      </c>
      <c r="I104">
        <v>2</v>
      </c>
      <c r="J104">
        <v>7</v>
      </c>
      <c r="K104">
        <v>8</v>
      </c>
      <c r="L104">
        <v>-1</v>
      </c>
      <c r="M104">
        <v>8</v>
      </c>
      <c r="N104">
        <v>8</v>
      </c>
      <c r="O104">
        <v>0</v>
      </c>
      <c r="P104">
        <v>7</v>
      </c>
      <c r="Q104">
        <v>5</v>
      </c>
      <c r="R104">
        <v>2</v>
      </c>
      <c r="S104">
        <v>9</v>
      </c>
      <c r="T104">
        <v>8</v>
      </c>
      <c r="U104">
        <v>1</v>
      </c>
      <c r="V104">
        <v>7</v>
      </c>
      <c r="W104">
        <v>5</v>
      </c>
      <c r="X104">
        <v>2</v>
      </c>
      <c r="Y104">
        <v>8</v>
      </c>
      <c r="Z104">
        <v>5</v>
      </c>
      <c r="AA104">
        <v>3</v>
      </c>
      <c r="AB104">
        <v>7</v>
      </c>
      <c r="AC104">
        <v>6</v>
      </c>
      <c r="AD104">
        <v>1</v>
      </c>
      <c r="AE104">
        <v>8</v>
      </c>
      <c r="AF104">
        <v>6</v>
      </c>
      <c r="AG104">
        <v>2</v>
      </c>
      <c r="AH104">
        <v>8</v>
      </c>
      <c r="AI104">
        <v>5</v>
      </c>
      <c r="AJ104">
        <v>3</v>
      </c>
      <c r="AK104" t="s">
        <v>1484</v>
      </c>
      <c r="AL104" t="s">
        <v>1485</v>
      </c>
      <c r="AM104" t="s">
        <v>1486</v>
      </c>
      <c r="AN104" t="s">
        <v>1487</v>
      </c>
      <c r="AO104" t="s">
        <v>1488</v>
      </c>
      <c r="AP104" t="s">
        <v>1489</v>
      </c>
      <c r="AQ104" t="s">
        <v>1490</v>
      </c>
      <c r="AR104" t="s">
        <v>1491</v>
      </c>
      <c r="AS104" t="s">
        <v>1492</v>
      </c>
    </row>
    <row r="105" spans="1:45" x14ac:dyDescent="0.45">
      <c r="A105">
        <v>104</v>
      </c>
      <c r="B105">
        <v>145</v>
      </c>
      <c r="C105" t="s">
        <v>73</v>
      </c>
      <c r="D105" t="s">
        <v>68</v>
      </c>
      <c r="E105" t="s">
        <v>69</v>
      </c>
      <c r="F105" t="s">
        <v>72</v>
      </c>
      <c r="G105" t="s">
        <v>71</v>
      </c>
      <c r="H105">
        <v>20.345669206619846</v>
      </c>
      <c r="I105">
        <v>0</v>
      </c>
      <c r="J105">
        <v>6</v>
      </c>
      <c r="K105">
        <v>6</v>
      </c>
      <c r="L105">
        <v>0</v>
      </c>
      <c r="M105">
        <v>7</v>
      </c>
      <c r="N105">
        <v>7</v>
      </c>
      <c r="O105">
        <v>0</v>
      </c>
      <c r="P105">
        <v>8</v>
      </c>
      <c r="Q105">
        <v>6</v>
      </c>
      <c r="R105">
        <v>2</v>
      </c>
      <c r="S105">
        <v>9</v>
      </c>
      <c r="T105">
        <v>8</v>
      </c>
      <c r="U105">
        <v>1</v>
      </c>
      <c r="V105">
        <v>7</v>
      </c>
      <c r="W105">
        <v>6</v>
      </c>
      <c r="X105">
        <v>1</v>
      </c>
      <c r="Y105">
        <v>9</v>
      </c>
      <c r="Z105">
        <v>7</v>
      </c>
      <c r="AA105">
        <v>2</v>
      </c>
      <c r="AB105">
        <v>8</v>
      </c>
      <c r="AC105">
        <v>6</v>
      </c>
      <c r="AD105">
        <v>2</v>
      </c>
      <c r="AE105">
        <v>7</v>
      </c>
      <c r="AF105">
        <v>6</v>
      </c>
      <c r="AG105">
        <v>1</v>
      </c>
      <c r="AH105">
        <v>9</v>
      </c>
      <c r="AI105">
        <v>7</v>
      </c>
      <c r="AJ105">
        <v>2</v>
      </c>
      <c r="AK105" t="s">
        <v>405</v>
      </c>
      <c r="AL105" t="s">
        <v>406</v>
      </c>
      <c r="AM105" t="s">
        <v>407</v>
      </c>
      <c r="AN105" t="s">
        <v>408</v>
      </c>
      <c r="AO105" t="s">
        <v>1493</v>
      </c>
      <c r="AP105" t="s">
        <v>1494</v>
      </c>
      <c r="AQ105" t="s">
        <v>1495</v>
      </c>
      <c r="AR105" t="s">
        <v>1496</v>
      </c>
      <c r="AS105" t="s">
        <v>1497</v>
      </c>
    </row>
    <row r="106" spans="1:45" x14ac:dyDescent="0.45">
      <c r="A106">
        <v>105</v>
      </c>
      <c r="B106">
        <v>146</v>
      </c>
      <c r="C106" t="s">
        <v>73</v>
      </c>
      <c r="D106" t="s">
        <v>76</v>
      </c>
      <c r="E106" t="s">
        <v>69</v>
      </c>
      <c r="F106" t="s">
        <v>72</v>
      </c>
      <c r="G106" t="s">
        <v>71</v>
      </c>
      <c r="H106">
        <v>12.925167568684918</v>
      </c>
      <c r="I106">
        <v>1</v>
      </c>
      <c r="J106">
        <v>7</v>
      </c>
      <c r="K106">
        <v>9</v>
      </c>
      <c r="L106">
        <v>-2</v>
      </c>
      <c r="M106">
        <v>8</v>
      </c>
      <c r="N106">
        <v>10</v>
      </c>
      <c r="O106">
        <v>-2</v>
      </c>
      <c r="P106">
        <v>9</v>
      </c>
      <c r="Q106">
        <v>8</v>
      </c>
      <c r="R106">
        <v>1</v>
      </c>
      <c r="S106">
        <v>9</v>
      </c>
      <c r="T106">
        <v>8</v>
      </c>
      <c r="U106">
        <v>1</v>
      </c>
      <c r="V106">
        <v>8</v>
      </c>
      <c r="W106">
        <v>9</v>
      </c>
      <c r="X106">
        <v>-1</v>
      </c>
      <c r="Y106">
        <v>9</v>
      </c>
      <c r="Z106">
        <v>9</v>
      </c>
      <c r="AA106">
        <v>0</v>
      </c>
      <c r="AB106">
        <v>8</v>
      </c>
      <c r="AC106">
        <v>8</v>
      </c>
      <c r="AD106">
        <v>0</v>
      </c>
      <c r="AE106">
        <v>9</v>
      </c>
      <c r="AF106">
        <v>6</v>
      </c>
      <c r="AG106">
        <v>3</v>
      </c>
      <c r="AH106">
        <v>8</v>
      </c>
      <c r="AI106">
        <v>9</v>
      </c>
      <c r="AJ106">
        <v>-1</v>
      </c>
      <c r="AK106" t="s">
        <v>409</v>
      </c>
      <c r="AL106" t="s">
        <v>410</v>
      </c>
      <c r="AM106" t="s">
        <v>1498</v>
      </c>
      <c r="AN106" t="s">
        <v>1499</v>
      </c>
      <c r="AO106" t="s">
        <v>1500</v>
      </c>
      <c r="AP106" t="s">
        <v>1501</v>
      </c>
      <c r="AQ106" t="s">
        <v>1502</v>
      </c>
      <c r="AR106" t="s">
        <v>1503</v>
      </c>
      <c r="AS106" t="s">
        <v>1504</v>
      </c>
    </row>
    <row r="107" spans="1:45" x14ac:dyDescent="0.45">
      <c r="A107">
        <v>106</v>
      </c>
      <c r="B107">
        <v>147</v>
      </c>
      <c r="C107" t="s">
        <v>67</v>
      </c>
      <c r="D107" t="s">
        <v>76</v>
      </c>
      <c r="E107" t="s">
        <v>69</v>
      </c>
      <c r="F107" t="s">
        <v>72</v>
      </c>
      <c r="G107" t="s">
        <v>71</v>
      </c>
      <c r="H107">
        <v>12</v>
      </c>
      <c r="I107">
        <v>0</v>
      </c>
      <c r="J107">
        <v>7</v>
      </c>
      <c r="K107">
        <v>10</v>
      </c>
      <c r="L107">
        <v>-3</v>
      </c>
      <c r="M107">
        <v>7</v>
      </c>
      <c r="N107">
        <v>5</v>
      </c>
      <c r="O107">
        <v>2</v>
      </c>
      <c r="P107">
        <v>9</v>
      </c>
      <c r="Q107">
        <v>8</v>
      </c>
      <c r="R107">
        <v>1</v>
      </c>
      <c r="S107">
        <v>9</v>
      </c>
      <c r="T107">
        <v>8</v>
      </c>
      <c r="U107">
        <v>1</v>
      </c>
      <c r="V107">
        <v>7</v>
      </c>
      <c r="W107">
        <v>10</v>
      </c>
      <c r="X107">
        <v>-3</v>
      </c>
      <c r="Y107">
        <v>9</v>
      </c>
      <c r="Z107">
        <v>10</v>
      </c>
      <c r="AA107">
        <v>-1</v>
      </c>
      <c r="AB107">
        <v>7</v>
      </c>
      <c r="AC107">
        <v>10</v>
      </c>
      <c r="AD107">
        <v>-3</v>
      </c>
      <c r="AE107">
        <v>8</v>
      </c>
      <c r="AF107">
        <v>10</v>
      </c>
      <c r="AG107">
        <v>-2</v>
      </c>
      <c r="AH107">
        <v>8</v>
      </c>
      <c r="AI107">
        <v>10</v>
      </c>
      <c r="AJ107">
        <v>-2</v>
      </c>
      <c r="AK107" t="s">
        <v>411</v>
      </c>
      <c r="AL107" t="s">
        <v>412</v>
      </c>
      <c r="AM107" t="s">
        <v>413</v>
      </c>
      <c r="AN107" t="s">
        <v>414</v>
      </c>
      <c r="AO107" t="s">
        <v>415</v>
      </c>
      <c r="AP107" t="s">
        <v>416</v>
      </c>
      <c r="AQ107" t="s">
        <v>417</v>
      </c>
      <c r="AR107" t="s">
        <v>418</v>
      </c>
      <c r="AS107" t="s">
        <v>419</v>
      </c>
    </row>
    <row r="108" spans="1:45" x14ac:dyDescent="0.45">
      <c r="A108">
        <v>107</v>
      </c>
      <c r="B108">
        <v>148</v>
      </c>
      <c r="C108" t="s">
        <v>67</v>
      </c>
      <c r="D108" t="s">
        <v>74</v>
      </c>
      <c r="E108" t="s">
        <v>69</v>
      </c>
      <c r="F108" t="s">
        <v>72</v>
      </c>
      <c r="G108" t="s">
        <v>71</v>
      </c>
      <c r="H108">
        <v>29.307649563470548</v>
      </c>
      <c r="I108">
        <v>1</v>
      </c>
      <c r="J108">
        <v>8</v>
      </c>
      <c r="K108">
        <v>7</v>
      </c>
      <c r="L108">
        <v>1</v>
      </c>
      <c r="M108">
        <v>7</v>
      </c>
      <c r="N108">
        <v>7</v>
      </c>
      <c r="O108">
        <v>0</v>
      </c>
      <c r="P108">
        <v>9</v>
      </c>
      <c r="Q108">
        <v>7</v>
      </c>
      <c r="R108">
        <v>2</v>
      </c>
      <c r="S108">
        <v>8</v>
      </c>
      <c r="T108">
        <v>7</v>
      </c>
      <c r="U108">
        <v>1</v>
      </c>
      <c r="V108">
        <v>7</v>
      </c>
      <c r="W108">
        <v>7</v>
      </c>
      <c r="X108">
        <v>0</v>
      </c>
      <c r="Y108">
        <v>9</v>
      </c>
      <c r="Z108">
        <v>7</v>
      </c>
      <c r="AA108">
        <v>2</v>
      </c>
      <c r="AB108">
        <v>7</v>
      </c>
      <c r="AC108">
        <v>7</v>
      </c>
      <c r="AD108">
        <v>0</v>
      </c>
      <c r="AE108">
        <v>8</v>
      </c>
      <c r="AF108">
        <v>7</v>
      </c>
      <c r="AG108">
        <v>1</v>
      </c>
      <c r="AH108">
        <v>9</v>
      </c>
      <c r="AI108">
        <v>8</v>
      </c>
      <c r="AJ108">
        <v>1</v>
      </c>
      <c r="AK108" t="s">
        <v>710</v>
      </c>
      <c r="AL108" t="s">
        <v>711</v>
      </c>
      <c r="AM108" t="s">
        <v>712</v>
      </c>
      <c r="AN108" t="s">
        <v>713</v>
      </c>
      <c r="AO108" t="s">
        <v>714</v>
      </c>
      <c r="AP108" t="s">
        <v>715</v>
      </c>
      <c r="AQ108" t="s">
        <v>716</v>
      </c>
      <c r="AR108" t="s">
        <v>1505</v>
      </c>
      <c r="AS108" t="s">
        <v>1506</v>
      </c>
    </row>
    <row r="109" spans="1:45" x14ac:dyDescent="0.45">
      <c r="A109">
        <v>108</v>
      </c>
      <c r="B109">
        <v>149</v>
      </c>
      <c r="C109" t="s">
        <v>67</v>
      </c>
      <c r="D109" t="s">
        <v>74</v>
      </c>
      <c r="E109" t="s">
        <v>69</v>
      </c>
      <c r="F109" t="s">
        <v>72</v>
      </c>
      <c r="G109" t="s">
        <v>71</v>
      </c>
      <c r="H109">
        <v>14.189068614330749</v>
      </c>
      <c r="I109">
        <v>1</v>
      </c>
      <c r="J109">
        <v>7</v>
      </c>
      <c r="K109">
        <v>5</v>
      </c>
      <c r="L109">
        <v>2</v>
      </c>
      <c r="M109">
        <v>7</v>
      </c>
      <c r="N109">
        <v>10</v>
      </c>
      <c r="O109">
        <v>-3</v>
      </c>
      <c r="P109">
        <v>9</v>
      </c>
      <c r="Q109">
        <v>5</v>
      </c>
      <c r="R109">
        <v>4</v>
      </c>
      <c r="S109">
        <v>8</v>
      </c>
      <c r="T109">
        <v>5</v>
      </c>
      <c r="U109">
        <v>3</v>
      </c>
      <c r="V109">
        <v>9</v>
      </c>
      <c r="W109">
        <v>5</v>
      </c>
      <c r="X109">
        <v>4</v>
      </c>
      <c r="Y109">
        <v>9</v>
      </c>
      <c r="Z109">
        <v>5</v>
      </c>
      <c r="AA109">
        <v>4</v>
      </c>
      <c r="AB109">
        <v>8</v>
      </c>
      <c r="AC109">
        <v>8</v>
      </c>
      <c r="AD109">
        <v>0</v>
      </c>
      <c r="AE109">
        <v>9</v>
      </c>
      <c r="AF109">
        <v>5</v>
      </c>
      <c r="AG109">
        <v>4</v>
      </c>
      <c r="AH109">
        <v>8</v>
      </c>
      <c r="AI109">
        <v>6</v>
      </c>
      <c r="AJ109">
        <v>2</v>
      </c>
      <c r="AK109" t="s">
        <v>1507</v>
      </c>
      <c r="AL109" t="s">
        <v>1508</v>
      </c>
      <c r="AM109" t="s">
        <v>1509</v>
      </c>
      <c r="AN109" t="s">
        <v>1510</v>
      </c>
      <c r="AO109" t="s">
        <v>1511</v>
      </c>
      <c r="AP109" t="s">
        <v>1512</v>
      </c>
      <c r="AQ109" t="s">
        <v>1513</v>
      </c>
      <c r="AR109" t="s">
        <v>1514</v>
      </c>
      <c r="AS109" t="s">
        <v>1515</v>
      </c>
    </row>
    <row r="110" spans="1:45" x14ac:dyDescent="0.45">
      <c r="A110">
        <v>109</v>
      </c>
      <c r="B110">
        <v>150</v>
      </c>
      <c r="C110" t="s">
        <v>67</v>
      </c>
      <c r="D110" t="s">
        <v>74</v>
      </c>
      <c r="E110" t="s">
        <v>69</v>
      </c>
      <c r="F110" t="s">
        <v>72</v>
      </c>
      <c r="G110" t="s">
        <v>71</v>
      </c>
      <c r="H110">
        <v>14.500927436212084</v>
      </c>
      <c r="I110">
        <v>1</v>
      </c>
      <c r="J110">
        <v>8</v>
      </c>
      <c r="K110">
        <v>10</v>
      </c>
      <c r="L110">
        <v>-2</v>
      </c>
      <c r="M110">
        <v>7</v>
      </c>
      <c r="N110">
        <v>10</v>
      </c>
      <c r="O110">
        <v>-3</v>
      </c>
      <c r="P110">
        <v>9</v>
      </c>
      <c r="Q110">
        <v>10</v>
      </c>
      <c r="R110">
        <v>-1</v>
      </c>
      <c r="S110">
        <v>10</v>
      </c>
      <c r="T110">
        <v>10</v>
      </c>
      <c r="U110">
        <v>0</v>
      </c>
      <c r="V110">
        <v>8</v>
      </c>
      <c r="W110">
        <v>10</v>
      </c>
      <c r="X110">
        <v>-2</v>
      </c>
      <c r="Y110">
        <v>9</v>
      </c>
      <c r="Z110">
        <v>10</v>
      </c>
      <c r="AA110">
        <v>-1</v>
      </c>
      <c r="AB110">
        <v>8</v>
      </c>
      <c r="AC110">
        <v>10</v>
      </c>
      <c r="AD110">
        <v>-2</v>
      </c>
      <c r="AE110">
        <v>9</v>
      </c>
      <c r="AF110">
        <v>10</v>
      </c>
      <c r="AG110">
        <v>-1</v>
      </c>
      <c r="AH110">
        <v>8</v>
      </c>
      <c r="AI110">
        <v>10</v>
      </c>
      <c r="AJ110">
        <v>-2</v>
      </c>
      <c r="AK110" t="s">
        <v>1516</v>
      </c>
      <c r="AL110" t="s">
        <v>1517</v>
      </c>
      <c r="AM110" t="s">
        <v>1518</v>
      </c>
      <c r="AN110" t="s">
        <v>1519</v>
      </c>
      <c r="AO110" t="s">
        <v>1520</v>
      </c>
      <c r="AP110" t="s">
        <v>1521</v>
      </c>
      <c r="AQ110" t="s">
        <v>1522</v>
      </c>
      <c r="AR110" t="s">
        <v>1523</v>
      </c>
      <c r="AS110" t="s">
        <v>1524</v>
      </c>
    </row>
    <row r="111" spans="1:45" x14ac:dyDescent="0.45">
      <c r="A111">
        <v>110</v>
      </c>
      <c r="B111">
        <v>151</v>
      </c>
      <c r="C111" t="s">
        <v>73</v>
      </c>
      <c r="D111" t="s">
        <v>68</v>
      </c>
      <c r="E111" t="s">
        <v>69</v>
      </c>
      <c r="F111" t="s">
        <v>72</v>
      </c>
      <c r="G111" t="s">
        <v>71</v>
      </c>
      <c r="H111">
        <v>66.698083237342587</v>
      </c>
      <c r="I111">
        <v>2</v>
      </c>
      <c r="J111">
        <v>8</v>
      </c>
      <c r="K111">
        <v>7</v>
      </c>
      <c r="L111">
        <v>1</v>
      </c>
      <c r="M111">
        <v>9</v>
      </c>
      <c r="N111">
        <v>6</v>
      </c>
      <c r="O111">
        <v>3</v>
      </c>
      <c r="P111">
        <v>7</v>
      </c>
      <c r="Q111">
        <v>8</v>
      </c>
      <c r="R111">
        <v>-1</v>
      </c>
      <c r="S111">
        <v>9</v>
      </c>
      <c r="T111">
        <v>8</v>
      </c>
      <c r="U111">
        <v>1</v>
      </c>
      <c r="V111">
        <v>8</v>
      </c>
      <c r="W111">
        <v>7</v>
      </c>
      <c r="X111">
        <v>1</v>
      </c>
      <c r="Y111">
        <v>9</v>
      </c>
      <c r="Z111">
        <v>6</v>
      </c>
      <c r="AA111">
        <v>3</v>
      </c>
      <c r="AB111">
        <v>8</v>
      </c>
      <c r="AC111">
        <v>5</v>
      </c>
      <c r="AD111">
        <v>3</v>
      </c>
      <c r="AE111">
        <v>9</v>
      </c>
      <c r="AF111">
        <v>5</v>
      </c>
      <c r="AG111">
        <v>4</v>
      </c>
      <c r="AH111">
        <v>10</v>
      </c>
      <c r="AI111">
        <v>8</v>
      </c>
      <c r="AJ111">
        <v>2</v>
      </c>
      <c r="AK111" t="s">
        <v>1525</v>
      </c>
      <c r="AL111" t="s">
        <v>1526</v>
      </c>
      <c r="AM111" t="s">
        <v>1527</v>
      </c>
      <c r="AN111" t="s">
        <v>1528</v>
      </c>
      <c r="AO111" t="s">
        <v>1529</v>
      </c>
      <c r="AP111" t="s">
        <v>1530</v>
      </c>
      <c r="AQ111" t="s">
        <v>1531</v>
      </c>
      <c r="AR111" t="s">
        <v>1532</v>
      </c>
      <c r="AS111" t="s">
        <v>1533</v>
      </c>
    </row>
    <row r="112" spans="1:45" x14ac:dyDescent="0.45">
      <c r="A112">
        <v>111</v>
      </c>
      <c r="B112">
        <v>152</v>
      </c>
      <c r="C112" t="s">
        <v>73</v>
      </c>
      <c r="D112" t="s">
        <v>187</v>
      </c>
      <c r="E112" t="s">
        <v>69</v>
      </c>
      <c r="F112" t="s">
        <v>72</v>
      </c>
      <c r="G112" t="s">
        <v>71</v>
      </c>
      <c r="H112">
        <v>23.132941615936844</v>
      </c>
      <c r="I112">
        <v>1</v>
      </c>
      <c r="J112">
        <v>8</v>
      </c>
      <c r="K112">
        <v>8</v>
      </c>
      <c r="L112">
        <v>0</v>
      </c>
      <c r="M112">
        <v>9</v>
      </c>
      <c r="N112">
        <v>8</v>
      </c>
      <c r="O112">
        <v>1</v>
      </c>
      <c r="P112">
        <v>8</v>
      </c>
      <c r="Q112">
        <v>6</v>
      </c>
      <c r="R112">
        <v>2</v>
      </c>
      <c r="S112">
        <v>9</v>
      </c>
      <c r="T112">
        <v>7</v>
      </c>
      <c r="U112">
        <v>2</v>
      </c>
      <c r="V112">
        <v>7</v>
      </c>
      <c r="W112">
        <v>6</v>
      </c>
      <c r="X112">
        <v>1</v>
      </c>
      <c r="Y112">
        <v>8</v>
      </c>
      <c r="Z112">
        <v>7</v>
      </c>
      <c r="AA112">
        <v>1</v>
      </c>
      <c r="AB112">
        <v>7</v>
      </c>
      <c r="AC112">
        <v>5</v>
      </c>
      <c r="AD112">
        <v>2</v>
      </c>
      <c r="AE112">
        <v>6</v>
      </c>
      <c r="AF112">
        <v>5</v>
      </c>
      <c r="AG112">
        <v>1</v>
      </c>
      <c r="AH112">
        <v>9</v>
      </c>
      <c r="AI112">
        <v>5</v>
      </c>
      <c r="AJ112">
        <v>4</v>
      </c>
      <c r="AK112" t="s">
        <v>1534</v>
      </c>
      <c r="AL112" t="s">
        <v>1535</v>
      </c>
      <c r="AM112" t="s">
        <v>1536</v>
      </c>
      <c r="AN112" t="s">
        <v>1537</v>
      </c>
      <c r="AO112" t="s">
        <v>1538</v>
      </c>
      <c r="AP112" t="s">
        <v>1539</v>
      </c>
      <c r="AQ112" t="s">
        <v>1540</v>
      </c>
      <c r="AR112" t="s">
        <v>1541</v>
      </c>
      <c r="AS112" t="s">
        <v>1542</v>
      </c>
    </row>
    <row r="113" spans="1:45" x14ac:dyDescent="0.45">
      <c r="A113">
        <v>112</v>
      </c>
      <c r="B113">
        <v>153</v>
      </c>
      <c r="C113" t="s">
        <v>67</v>
      </c>
      <c r="D113" t="s">
        <v>74</v>
      </c>
      <c r="E113" t="s">
        <v>69</v>
      </c>
      <c r="F113" t="s">
        <v>72</v>
      </c>
      <c r="G113" t="s">
        <v>71</v>
      </c>
      <c r="H113">
        <v>19.43793787470544</v>
      </c>
      <c r="I113">
        <v>2</v>
      </c>
      <c r="J113">
        <v>9</v>
      </c>
      <c r="K113">
        <v>7</v>
      </c>
      <c r="L113">
        <v>2</v>
      </c>
      <c r="M113">
        <v>8</v>
      </c>
      <c r="N113">
        <v>8</v>
      </c>
      <c r="O113">
        <v>0</v>
      </c>
      <c r="P113">
        <v>9</v>
      </c>
      <c r="Q113">
        <v>8</v>
      </c>
      <c r="R113">
        <v>1</v>
      </c>
      <c r="S113">
        <v>8</v>
      </c>
      <c r="T113">
        <v>8</v>
      </c>
      <c r="U113">
        <v>0</v>
      </c>
      <c r="V113">
        <v>9</v>
      </c>
      <c r="W113">
        <v>8</v>
      </c>
      <c r="X113">
        <v>1</v>
      </c>
      <c r="Y113">
        <v>8</v>
      </c>
      <c r="Z113">
        <v>8</v>
      </c>
      <c r="AA113">
        <v>0</v>
      </c>
      <c r="AB113">
        <v>9</v>
      </c>
      <c r="AC113">
        <v>8</v>
      </c>
      <c r="AD113">
        <v>1</v>
      </c>
      <c r="AE113">
        <v>8</v>
      </c>
      <c r="AF113">
        <v>8</v>
      </c>
      <c r="AG113">
        <v>0</v>
      </c>
      <c r="AH113">
        <v>9</v>
      </c>
      <c r="AI113">
        <v>8</v>
      </c>
      <c r="AJ113">
        <v>1</v>
      </c>
      <c r="AK113" t="s">
        <v>1543</v>
      </c>
      <c r="AL113" t="s">
        <v>1544</v>
      </c>
      <c r="AM113" t="s">
        <v>1545</v>
      </c>
      <c r="AN113" t="s">
        <v>1546</v>
      </c>
      <c r="AO113" t="s">
        <v>1547</v>
      </c>
      <c r="AP113" t="s">
        <v>1548</v>
      </c>
      <c r="AQ113" t="s">
        <v>1549</v>
      </c>
      <c r="AR113" t="s">
        <v>1550</v>
      </c>
      <c r="AS113" t="s">
        <v>1551</v>
      </c>
    </row>
    <row r="114" spans="1:45" x14ac:dyDescent="0.45">
      <c r="A114">
        <v>113</v>
      </c>
      <c r="B114">
        <v>154</v>
      </c>
      <c r="C114" t="s">
        <v>67</v>
      </c>
      <c r="D114" t="s">
        <v>68</v>
      </c>
      <c r="E114" t="s">
        <v>69</v>
      </c>
      <c r="F114" t="s">
        <v>72</v>
      </c>
      <c r="G114" t="s">
        <v>71</v>
      </c>
      <c r="H114">
        <v>12</v>
      </c>
      <c r="I114">
        <v>3</v>
      </c>
      <c r="J114">
        <v>9</v>
      </c>
      <c r="K114">
        <v>1</v>
      </c>
      <c r="L114">
        <v>8</v>
      </c>
      <c r="M114">
        <v>8</v>
      </c>
      <c r="N114">
        <v>1</v>
      </c>
      <c r="O114">
        <v>7</v>
      </c>
      <c r="P114">
        <v>7</v>
      </c>
      <c r="Q114">
        <v>1</v>
      </c>
      <c r="R114">
        <v>6</v>
      </c>
      <c r="S114">
        <v>8</v>
      </c>
      <c r="T114">
        <v>1</v>
      </c>
      <c r="U114">
        <v>7</v>
      </c>
      <c r="V114">
        <v>9</v>
      </c>
      <c r="W114">
        <v>1</v>
      </c>
      <c r="X114">
        <v>8</v>
      </c>
      <c r="Y114">
        <v>8</v>
      </c>
      <c r="Z114">
        <v>1</v>
      </c>
      <c r="AA114">
        <v>7</v>
      </c>
      <c r="AB114">
        <v>9</v>
      </c>
      <c r="AC114">
        <v>1</v>
      </c>
      <c r="AD114">
        <v>8</v>
      </c>
      <c r="AE114">
        <v>8</v>
      </c>
      <c r="AF114">
        <v>1</v>
      </c>
      <c r="AG114">
        <v>7</v>
      </c>
      <c r="AH114">
        <v>9</v>
      </c>
      <c r="AI114">
        <v>1</v>
      </c>
      <c r="AJ114">
        <v>8</v>
      </c>
      <c r="AK114" t="s">
        <v>420</v>
      </c>
      <c r="AL114" t="s">
        <v>421</v>
      </c>
      <c r="AM114" t="s">
        <v>422</v>
      </c>
      <c r="AN114" t="s">
        <v>423</v>
      </c>
      <c r="AO114" t="s">
        <v>424</v>
      </c>
      <c r="AP114" t="s">
        <v>425</v>
      </c>
      <c r="AQ114" t="s">
        <v>426</v>
      </c>
      <c r="AR114" t="s">
        <v>427</v>
      </c>
      <c r="AS114" t="s">
        <v>428</v>
      </c>
    </row>
    <row r="115" spans="1:45" x14ac:dyDescent="0.45">
      <c r="A115">
        <v>114</v>
      </c>
      <c r="B115">
        <v>155</v>
      </c>
      <c r="C115" t="s">
        <v>67</v>
      </c>
      <c r="D115" t="s">
        <v>74</v>
      </c>
      <c r="E115" t="s">
        <v>69</v>
      </c>
      <c r="F115" t="s">
        <v>72</v>
      </c>
      <c r="G115" t="s">
        <v>71</v>
      </c>
      <c r="H115">
        <v>19.551035595401128</v>
      </c>
      <c r="I115">
        <v>4</v>
      </c>
      <c r="J115">
        <v>8</v>
      </c>
      <c r="K115">
        <v>10</v>
      </c>
      <c r="L115">
        <v>-2</v>
      </c>
      <c r="M115">
        <v>7</v>
      </c>
      <c r="N115">
        <v>10</v>
      </c>
      <c r="O115">
        <v>-3</v>
      </c>
      <c r="P115">
        <v>9</v>
      </c>
      <c r="Q115">
        <v>10</v>
      </c>
      <c r="R115">
        <v>-1</v>
      </c>
      <c r="S115">
        <v>8</v>
      </c>
      <c r="T115">
        <v>10</v>
      </c>
      <c r="U115">
        <v>-2</v>
      </c>
      <c r="V115">
        <v>9</v>
      </c>
      <c r="W115">
        <v>10</v>
      </c>
      <c r="X115">
        <v>-1</v>
      </c>
      <c r="Y115">
        <v>8</v>
      </c>
      <c r="Z115">
        <v>10</v>
      </c>
      <c r="AA115">
        <v>-2</v>
      </c>
      <c r="AB115">
        <v>9</v>
      </c>
      <c r="AC115">
        <v>10</v>
      </c>
      <c r="AD115">
        <v>-1</v>
      </c>
      <c r="AE115">
        <v>7</v>
      </c>
      <c r="AF115">
        <v>10</v>
      </c>
      <c r="AG115">
        <v>-3</v>
      </c>
      <c r="AH115">
        <v>9</v>
      </c>
      <c r="AI115">
        <v>10</v>
      </c>
      <c r="AJ115">
        <v>-1</v>
      </c>
      <c r="AK115" t="s">
        <v>1552</v>
      </c>
      <c r="AL115" t="s">
        <v>1553</v>
      </c>
      <c r="AM115" t="s">
        <v>1554</v>
      </c>
      <c r="AN115" t="s">
        <v>1555</v>
      </c>
      <c r="AO115" t="s">
        <v>1556</v>
      </c>
      <c r="AP115" t="s">
        <v>1557</v>
      </c>
      <c r="AQ115" t="s">
        <v>1558</v>
      </c>
      <c r="AR115" t="s">
        <v>1559</v>
      </c>
      <c r="AS115" t="s">
        <v>1560</v>
      </c>
    </row>
    <row r="116" spans="1:45" x14ac:dyDescent="0.45">
      <c r="A116">
        <v>115</v>
      </c>
      <c r="B116">
        <v>156</v>
      </c>
      <c r="C116" t="s">
        <v>67</v>
      </c>
      <c r="D116" t="s">
        <v>74</v>
      </c>
      <c r="E116" t="s">
        <v>69</v>
      </c>
      <c r="F116" t="s">
        <v>70</v>
      </c>
      <c r="G116" t="s">
        <v>71</v>
      </c>
      <c r="H116">
        <v>12.25852098708115</v>
      </c>
      <c r="I116">
        <v>4</v>
      </c>
      <c r="J116">
        <v>6</v>
      </c>
      <c r="K116">
        <v>1</v>
      </c>
      <c r="L116">
        <v>5</v>
      </c>
      <c r="M116">
        <v>7</v>
      </c>
      <c r="N116">
        <v>1</v>
      </c>
      <c r="O116">
        <v>6</v>
      </c>
      <c r="P116">
        <v>9</v>
      </c>
      <c r="Q116">
        <v>1</v>
      </c>
      <c r="R116">
        <v>8</v>
      </c>
      <c r="S116">
        <v>8</v>
      </c>
      <c r="T116">
        <v>1</v>
      </c>
      <c r="U116">
        <v>7</v>
      </c>
      <c r="V116">
        <v>9</v>
      </c>
      <c r="W116">
        <v>1</v>
      </c>
      <c r="X116">
        <v>8</v>
      </c>
      <c r="Y116">
        <v>8</v>
      </c>
      <c r="Z116">
        <v>1</v>
      </c>
      <c r="AA116">
        <v>7</v>
      </c>
      <c r="AB116">
        <v>9</v>
      </c>
      <c r="AC116">
        <v>1</v>
      </c>
      <c r="AD116">
        <v>8</v>
      </c>
      <c r="AE116">
        <v>8</v>
      </c>
      <c r="AF116">
        <v>1</v>
      </c>
      <c r="AG116">
        <v>7</v>
      </c>
      <c r="AH116">
        <v>9</v>
      </c>
      <c r="AI116">
        <v>1</v>
      </c>
      <c r="AJ116">
        <v>8</v>
      </c>
      <c r="AK116" t="s">
        <v>1561</v>
      </c>
      <c r="AL116" t="s">
        <v>1562</v>
      </c>
      <c r="AM116" t="s">
        <v>1563</v>
      </c>
      <c r="AN116" t="s">
        <v>1564</v>
      </c>
      <c r="AO116" t="s">
        <v>1565</v>
      </c>
      <c r="AP116" t="s">
        <v>1566</v>
      </c>
      <c r="AQ116" t="s">
        <v>1567</v>
      </c>
      <c r="AR116" t="s">
        <v>1568</v>
      </c>
      <c r="AS116" t="s">
        <v>1569</v>
      </c>
    </row>
    <row r="117" spans="1:45" x14ac:dyDescent="0.45">
      <c r="A117">
        <v>116</v>
      </c>
      <c r="B117">
        <v>157</v>
      </c>
      <c r="C117" t="s">
        <v>67</v>
      </c>
      <c r="D117" t="s">
        <v>74</v>
      </c>
      <c r="E117" t="s">
        <v>69</v>
      </c>
      <c r="F117" t="s">
        <v>70</v>
      </c>
      <c r="G117" t="s">
        <v>71</v>
      </c>
      <c r="H117">
        <v>14.926006526185645</v>
      </c>
      <c r="I117">
        <v>0</v>
      </c>
      <c r="J117">
        <v>7</v>
      </c>
      <c r="K117">
        <v>9</v>
      </c>
      <c r="L117">
        <v>-2</v>
      </c>
      <c r="M117">
        <v>7</v>
      </c>
      <c r="N117">
        <v>9</v>
      </c>
      <c r="O117">
        <v>-2</v>
      </c>
      <c r="P117">
        <v>8</v>
      </c>
      <c r="Q117">
        <v>9</v>
      </c>
      <c r="R117">
        <v>-1</v>
      </c>
      <c r="S117">
        <v>9</v>
      </c>
      <c r="T117">
        <v>9</v>
      </c>
      <c r="U117">
        <v>0</v>
      </c>
      <c r="V117">
        <v>7</v>
      </c>
      <c r="W117">
        <v>9</v>
      </c>
      <c r="X117">
        <v>-2</v>
      </c>
      <c r="Y117">
        <v>8</v>
      </c>
      <c r="Z117">
        <v>9</v>
      </c>
      <c r="AA117">
        <v>-1</v>
      </c>
      <c r="AB117">
        <v>7</v>
      </c>
      <c r="AC117">
        <v>9</v>
      </c>
      <c r="AD117">
        <v>-2</v>
      </c>
      <c r="AE117">
        <v>6</v>
      </c>
      <c r="AF117">
        <v>8</v>
      </c>
      <c r="AG117">
        <v>-2</v>
      </c>
      <c r="AH117">
        <v>9</v>
      </c>
      <c r="AI117">
        <v>9</v>
      </c>
      <c r="AJ117">
        <v>0</v>
      </c>
      <c r="AK117" t="s">
        <v>1570</v>
      </c>
      <c r="AL117" t="s">
        <v>1571</v>
      </c>
      <c r="AM117" t="s">
        <v>1572</v>
      </c>
      <c r="AN117" t="s">
        <v>1573</v>
      </c>
      <c r="AO117" t="s">
        <v>1574</v>
      </c>
      <c r="AP117" t="s">
        <v>1575</v>
      </c>
      <c r="AQ117" t="s">
        <v>1576</v>
      </c>
      <c r="AR117" t="s">
        <v>1577</v>
      </c>
      <c r="AS117" t="s">
        <v>1578</v>
      </c>
    </row>
    <row r="118" spans="1:45" x14ac:dyDescent="0.45">
      <c r="A118">
        <v>117</v>
      </c>
      <c r="B118">
        <v>158</v>
      </c>
      <c r="C118" t="s">
        <v>67</v>
      </c>
      <c r="D118" t="s">
        <v>74</v>
      </c>
      <c r="E118" t="s">
        <v>69</v>
      </c>
      <c r="F118" t="s">
        <v>72</v>
      </c>
      <c r="G118" t="s">
        <v>71</v>
      </c>
      <c r="H118">
        <v>54.357397999614605</v>
      </c>
      <c r="I118">
        <v>0</v>
      </c>
      <c r="J118">
        <v>9</v>
      </c>
      <c r="K118">
        <v>8</v>
      </c>
      <c r="L118">
        <v>1</v>
      </c>
      <c r="M118">
        <v>8</v>
      </c>
      <c r="N118">
        <v>9</v>
      </c>
      <c r="O118">
        <v>-1</v>
      </c>
      <c r="P118">
        <v>8</v>
      </c>
      <c r="Q118">
        <v>8</v>
      </c>
      <c r="R118">
        <v>0</v>
      </c>
      <c r="S118">
        <v>9</v>
      </c>
      <c r="T118">
        <v>6</v>
      </c>
      <c r="U118">
        <v>3</v>
      </c>
      <c r="V118">
        <v>8</v>
      </c>
      <c r="W118">
        <v>8</v>
      </c>
      <c r="X118">
        <v>0</v>
      </c>
      <c r="Y118">
        <v>8</v>
      </c>
      <c r="Z118">
        <v>8</v>
      </c>
      <c r="AA118">
        <v>0</v>
      </c>
      <c r="AB118">
        <v>8</v>
      </c>
      <c r="AC118">
        <v>8</v>
      </c>
      <c r="AD118">
        <v>0</v>
      </c>
      <c r="AE118">
        <v>8</v>
      </c>
      <c r="AF118">
        <v>8</v>
      </c>
      <c r="AG118">
        <v>0</v>
      </c>
      <c r="AH118">
        <v>9</v>
      </c>
      <c r="AI118">
        <v>6</v>
      </c>
      <c r="AJ118">
        <v>3</v>
      </c>
      <c r="AK118" t="s">
        <v>1579</v>
      </c>
      <c r="AL118" t="s">
        <v>1580</v>
      </c>
      <c r="AM118" t="s">
        <v>1581</v>
      </c>
      <c r="AN118" t="s">
        <v>1582</v>
      </c>
      <c r="AO118" t="s">
        <v>1583</v>
      </c>
      <c r="AP118" t="s">
        <v>1584</v>
      </c>
      <c r="AQ118" t="s">
        <v>1585</v>
      </c>
      <c r="AR118" t="s">
        <v>1586</v>
      </c>
      <c r="AS118" t="s">
        <v>1587</v>
      </c>
    </row>
    <row r="119" spans="1:45" x14ac:dyDescent="0.45">
      <c r="A119">
        <v>118</v>
      </c>
      <c r="B119">
        <v>159</v>
      </c>
      <c r="C119" t="s">
        <v>73</v>
      </c>
      <c r="D119" t="s">
        <v>68</v>
      </c>
      <c r="E119" t="s">
        <v>69</v>
      </c>
      <c r="F119" t="s">
        <v>70</v>
      </c>
      <c r="G119" t="s">
        <v>71</v>
      </c>
      <c r="H119">
        <v>35.067836146928116</v>
      </c>
      <c r="I119">
        <v>1</v>
      </c>
      <c r="J119">
        <v>6</v>
      </c>
      <c r="K119">
        <v>4</v>
      </c>
      <c r="L119">
        <v>2</v>
      </c>
      <c r="M119">
        <v>7</v>
      </c>
      <c r="N119">
        <v>1</v>
      </c>
      <c r="O119">
        <v>6</v>
      </c>
      <c r="P119">
        <v>8</v>
      </c>
      <c r="Q119">
        <v>1</v>
      </c>
      <c r="R119">
        <v>7</v>
      </c>
      <c r="S119">
        <v>9</v>
      </c>
      <c r="T119">
        <v>5</v>
      </c>
      <c r="U119">
        <v>4</v>
      </c>
      <c r="V119">
        <v>7</v>
      </c>
      <c r="W119">
        <v>1</v>
      </c>
      <c r="X119">
        <v>6</v>
      </c>
      <c r="Y119">
        <v>9</v>
      </c>
      <c r="Z119">
        <v>3</v>
      </c>
      <c r="AA119">
        <v>6</v>
      </c>
      <c r="AB119">
        <v>8</v>
      </c>
      <c r="AC119">
        <v>1</v>
      </c>
      <c r="AD119">
        <v>7</v>
      </c>
      <c r="AE119">
        <v>7</v>
      </c>
      <c r="AF119">
        <v>1</v>
      </c>
      <c r="AG119">
        <v>6</v>
      </c>
      <c r="AH119">
        <v>9</v>
      </c>
      <c r="AI119">
        <v>5</v>
      </c>
      <c r="AJ119">
        <v>4</v>
      </c>
      <c r="AK119" t="s">
        <v>1588</v>
      </c>
      <c r="AL119" t="s">
        <v>1589</v>
      </c>
      <c r="AM119" t="s">
        <v>1590</v>
      </c>
      <c r="AN119" t="s">
        <v>1591</v>
      </c>
      <c r="AO119" t="s">
        <v>1592</v>
      </c>
      <c r="AP119" t="s">
        <v>1593</v>
      </c>
      <c r="AQ119" t="s">
        <v>1594</v>
      </c>
      <c r="AR119" t="s">
        <v>1595</v>
      </c>
      <c r="AS119" t="s">
        <v>1596</v>
      </c>
    </row>
    <row r="120" spans="1:45" x14ac:dyDescent="0.45">
      <c r="A120">
        <v>119</v>
      </c>
      <c r="B120">
        <v>160</v>
      </c>
      <c r="C120" t="s">
        <v>67</v>
      </c>
      <c r="D120" t="s">
        <v>189</v>
      </c>
      <c r="E120" t="s">
        <v>69</v>
      </c>
      <c r="F120" t="s">
        <v>72</v>
      </c>
      <c r="G120" t="s">
        <v>71</v>
      </c>
      <c r="H120">
        <v>64.115804334565809</v>
      </c>
      <c r="I120">
        <v>4</v>
      </c>
      <c r="J120">
        <v>7</v>
      </c>
      <c r="K120">
        <v>8</v>
      </c>
      <c r="L120">
        <v>-1</v>
      </c>
      <c r="M120">
        <v>8</v>
      </c>
      <c r="N120">
        <v>8</v>
      </c>
      <c r="O120">
        <v>0</v>
      </c>
      <c r="P120">
        <v>6</v>
      </c>
      <c r="Q120">
        <v>6</v>
      </c>
      <c r="R120">
        <v>0</v>
      </c>
      <c r="S120">
        <v>9</v>
      </c>
      <c r="T120">
        <v>9</v>
      </c>
      <c r="U120">
        <v>0</v>
      </c>
      <c r="V120">
        <v>7</v>
      </c>
      <c r="W120">
        <v>8</v>
      </c>
      <c r="X120">
        <v>-1</v>
      </c>
      <c r="Y120">
        <v>8</v>
      </c>
      <c r="Z120">
        <v>7</v>
      </c>
      <c r="AA120">
        <v>1</v>
      </c>
      <c r="AB120">
        <v>7</v>
      </c>
      <c r="AC120">
        <v>7</v>
      </c>
      <c r="AD120">
        <v>0</v>
      </c>
      <c r="AE120">
        <v>8</v>
      </c>
      <c r="AF120">
        <v>7</v>
      </c>
      <c r="AG120">
        <v>1</v>
      </c>
      <c r="AH120">
        <v>9</v>
      </c>
      <c r="AI120">
        <v>7</v>
      </c>
      <c r="AJ120">
        <v>2</v>
      </c>
      <c r="AK120" t="s">
        <v>1597</v>
      </c>
      <c r="AL120" t="s">
        <v>1598</v>
      </c>
      <c r="AM120" t="s">
        <v>1599</v>
      </c>
      <c r="AN120" t="s">
        <v>1600</v>
      </c>
      <c r="AO120" t="s">
        <v>1601</v>
      </c>
      <c r="AP120" t="s">
        <v>1602</v>
      </c>
      <c r="AQ120" t="s">
        <v>1603</v>
      </c>
      <c r="AR120" t="s">
        <v>1604</v>
      </c>
      <c r="AS120" t="s">
        <v>1605</v>
      </c>
    </row>
    <row r="121" spans="1:45" x14ac:dyDescent="0.45">
      <c r="A121">
        <v>120</v>
      </c>
      <c r="B121">
        <v>161</v>
      </c>
      <c r="C121" t="s">
        <v>67</v>
      </c>
      <c r="D121" t="s">
        <v>74</v>
      </c>
      <c r="E121" t="s">
        <v>75</v>
      </c>
      <c r="F121" t="s">
        <v>72</v>
      </c>
      <c r="G121" t="s">
        <v>71</v>
      </c>
      <c r="H121">
        <v>25.663526697818767</v>
      </c>
      <c r="I121">
        <v>3</v>
      </c>
      <c r="J121">
        <v>5</v>
      </c>
      <c r="K121">
        <v>6</v>
      </c>
      <c r="L121">
        <v>-1</v>
      </c>
      <c r="M121">
        <v>6</v>
      </c>
      <c r="N121">
        <v>6</v>
      </c>
      <c r="O121">
        <v>0</v>
      </c>
      <c r="P121">
        <v>9</v>
      </c>
      <c r="Q121">
        <v>6</v>
      </c>
      <c r="R121">
        <v>3</v>
      </c>
      <c r="S121">
        <v>8</v>
      </c>
      <c r="T121">
        <v>6</v>
      </c>
      <c r="U121">
        <v>2</v>
      </c>
      <c r="V121">
        <v>7</v>
      </c>
      <c r="W121">
        <v>6</v>
      </c>
      <c r="X121">
        <v>1</v>
      </c>
      <c r="Y121">
        <v>9</v>
      </c>
      <c r="Z121">
        <v>6</v>
      </c>
      <c r="AA121">
        <v>3</v>
      </c>
      <c r="AB121">
        <v>6</v>
      </c>
      <c r="AC121">
        <v>6</v>
      </c>
      <c r="AD121">
        <v>0</v>
      </c>
      <c r="AE121">
        <v>8</v>
      </c>
      <c r="AF121">
        <v>6</v>
      </c>
      <c r="AG121">
        <v>2</v>
      </c>
      <c r="AH121">
        <v>9</v>
      </c>
      <c r="AI121">
        <v>6</v>
      </c>
      <c r="AJ121">
        <v>3</v>
      </c>
      <c r="AK121" t="s">
        <v>1606</v>
      </c>
      <c r="AL121" t="s">
        <v>1607</v>
      </c>
      <c r="AM121" t="s">
        <v>1608</v>
      </c>
      <c r="AN121" t="s">
        <v>1609</v>
      </c>
      <c r="AO121" t="s">
        <v>1610</v>
      </c>
      <c r="AP121" t="s">
        <v>1611</v>
      </c>
      <c r="AQ121" t="s">
        <v>1612</v>
      </c>
      <c r="AR121" t="s">
        <v>1613</v>
      </c>
      <c r="AS121" t="s">
        <v>1614</v>
      </c>
    </row>
    <row r="122" spans="1:45" x14ac:dyDescent="0.45">
      <c r="A122">
        <v>121</v>
      </c>
      <c r="B122">
        <v>162</v>
      </c>
      <c r="C122" t="s">
        <v>73</v>
      </c>
      <c r="D122" t="s">
        <v>187</v>
      </c>
      <c r="E122" t="s">
        <v>69</v>
      </c>
      <c r="F122" t="s">
        <v>70</v>
      </c>
      <c r="G122" t="s">
        <v>157</v>
      </c>
      <c r="H122">
        <v>181.12453379527199</v>
      </c>
      <c r="I122">
        <v>4</v>
      </c>
      <c r="J122">
        <v>7</v>
      </c>
      <c r="K122">
        <v>1</v>
      </c>
      <c r="L122">
        <v>6</v>
      </c>
      <c r="M122">
        <v>6</v>
      </c>
      <c r="N122">
        <v>1</v>
      </c>
      <c r="O122">
        <v>5</v>
      </c>
      <c r="P122">
        <v>7</v>
      </c>
      <c r="Q122">
        <v>1</v>
      </c>
      <c r="R122">
        <v>6</v>
      </c>
      <c r="S122">
        <v>9</v>
      </c>
      <c r="T122">
        <v>5</v>
      </c>
      <c r="U122">
        <v>4</v>
      </c>
      <c r="V122">
        <v>8</v>
      </c>
      <c r="W122">
        <v>1</v>
      </c>
      <c r="X122">
        <v>7</v>
      </c>
      <c r="Y122">
        <v>9</v>
      </c>
      <c r="Z122">
        <v>1</v>
      </c>
      <c r="AA122">
        <v>8</v>
      </c>
      <c r="AB122">
        <v>8</v>
      </c>
      <c r="AC122">
        <v>1</v>
      </c>
      <c r="AD122">
        <v>7</v>
      </c>
      <c r="AE122">
        <v>7</v>
      </c>
      <c r="AF122">
        <v>1</v>
      </c>
      <c r="AG122">
        <v>6</v>
      </c>
      <c r="AH122">
        <v>9</v>
      </c>
      <c r="AI122">
        <v>5</v>
      </c>
      <c r="AJ122">
        <v>4</v>
      </c>
      <c r="AK122" t="s">
        <v>1615</v>
      </c>
      <c r="AL122" t="s">
        <v>1616</v>
      </c>
      <c r="AM122" t="s">
        <v>1617</v>
      </c>
      <c r="AN122" t="s">
        <v>1618</v>
      </c>
      <c r="AO122" t="s">
        <v>1619</v>
      </c>
      <c r="AP122" t="s">
        <v>1620</v>
      </c>
      <c r="AQ122" t="s">
        <v>1621</v>
      </c>
      <c r="AR122" t="s">
        <v>1622</v>
      </c>
      <c r="AS122" t="s">
        <v>1623</v>
      </c>
    </row>
    <row r="123" spans="1:45" x14ac:dyDescent="0.45">
      <c r="A123">
        <v>122</v>
      </c>
      <c r="B123">
        <v>163</v>
      </c>
      <c r="C123" t="s">
        <v>73</v>
      </c>
      <c r="D123" t="s">
        <v>74</v>
      </c>
      <c r="E123" t="s">
        <v>69</v>
      </c>
      <c r="F123" t="s">
        <v>72</v>
      </c>
      <c r="G123" t="s">
        <v>71</v>
      </c>
      <c r="H123">
        <v>210.09545177990483</v>
      </c>
      <c r="I123">
        <v>0</v>
      </c>
      <c r="J123">
        <v>7</v>
      </c>
      <c r="K123">
        <v>4</v>
      </c>
      <c r="L123">
        <v>3</v>
      </c>
      <c r="M123">
        <v>8</v>
      </c>
      <c r="N123">
        <v>4</v>
      </c>
      <c r="O123">
        <v>4</v>
      </c>
      <c r="P123">
        <v>7</v>
      </c>
      <c r="Q123">
        <v>2</v>
      </c>
      <c r="R123">
        <v>5</v>
      </c>
      <c r="S123">
        <v>9</v>
      </c>
      <c r="T123">
        <v>5</v>
      </c>
      <c r="U123">
        <v>4</v>
      </c>
      <c r="V123">
        <v>7</v>
      </c>
      <c r="W123">
        <v>1</v>
      </c>
      <c r="X123">
        <v>6</v>
      </c>
      <c r="Y123">
        <v>9</v>
      </c>
      <c r="Z123">
        <v>1</v>
      </c>
      <c r="AA123">
        <v>8</v>
      </c>
      <c r="AB123">
        <v>7</v>
      </c>
      <c r="AC123">
        <v>1</v>
      </c>
      <c r="AD123">
        <v>6</v>
      </c>
      <c r="AE123">
        <v>8</v>
      </c>
      <c r="AF123">
        <v>4</v>
      </c>
      <c r="AG123">
        <v>4</v>
      </c>
      <c r="AH123">
        <v>9</v>
      </c>
      <c r="AI123">
        <v>4</v>
      </c>
      <c r="AJ123">
        <v>5</v>
      </c>
      <c r="AK123" t="s">
        <v>1624</v>
      </c>
      <c r="AL123" t="s">
        <v>1625</v>
      </c>
      <c r="AM123" t="s">
        <v>1626</v>
      </c>
      <c r="AN123" t="s">
        <v>1627</v>
      </c>
      <c r="AO123" t="s">
        <v>1628</v>
      </c>
      <c r="AP123" t="s">
        <v>1629</v>
      </c>
      <c r="AQ123" t="s">
        <v>1630</v>
      </c>
      <c r="AR123" t="s">
        <v>1631</v>
      </c>
      <c r="AS123" t="s">
        <v>1632</v>
      </c>
    </row>
    <row r="124" spans="1:45" x14ac:dyDescent="0.45">
      <c r="A124">
        <v>123</v>
      </c>
      <c r="B124">
        <v>164</v>
      </c>
      <c r="C124" t="s">
        <v>67</v>
      </c>
      <c r="D124" t="s">
        <v>184</v>
      </c>
      <c r="E124" t="s">
        <v>69</v>
      </c>
      <c r="F124" t="s">
        <v>72</v>
      </c>
      <c r="G124" t="s">
        <v>71</v>
      </c>
      <c r="H124">
        <v>12</v>
      </c>
      <c r="I124">
        <v>0</v>
      </c>
      <c r="J124">
        <v>8</v>
      </c>
      <c r="K124">
        <v>7</v>
      </c>
      <c r="L124">
        <v>1</v>
      </c>
      <c r="M124">
        <v>9</v>
      </c>
      <c r="N124">
        <v>7</v>
      </c>
      <c r="O124">
        <v>2</v>
      </c>
      <c r="P124">
        <v>8</v>
      </c>
      <c r="Q124">
        <v>7</v>
      </c>
      <c r="R124">
        <v>1</v>
      </c>
      <c r="S124">
        <v>9</v>
      </c>
      <c r="T124">
        <v>7</v>
      </c>
      <c r="U124">
        <v>2</v>
      </c>
      <c r="V124">
        <v>8</v>
      </c>
      <c r="W124">
        <v>7</v>
      </c>
      <c r="X124">
        <v>1</v>
      </c>
      <c r="Y124">
        <v>9</v>
      </c>
      <c r="Z124">
        <v>7</v>
      </c>
      <c r="AA124">
        <v>2</v>
      </c>
      <c r="AB124">
        <v>8</v>
      </c>
      <c r="AC124">
        <v>7</v>
      </c>
      <c r="AD124">
        <v>1</v>
      </c>
      <c r="AE124">
        <v>9</v>
      </c>
      <c r="AF124">
        <v>7</v>
      </c>
      <c r="AG124">
        <v>2</v>
      </c>
      <c r="AH124">
        <v>8</v>
      </c>
      <c r="AI124">
        <v>8</v>
      </c>
      <c r="AJ124">
        <v>0</v>
      </c>
      <c r="AK124" t="s">
        <v>429</v>
      </c>
      <c r="AL124" t="s">
        <v>430</v>
      </c>
      <c r="AM124" t="s">
        <v>431</v>
      </c>
      <c r="AN124" t="s">
        <v>432</v>
      </c>
      <c r="AO124" t="s">
        <v>433</v>
      </c>
      <c r="AP124" t="s">
        <v>434</v>
      </c>
      <c r="AQ124" t="s">
        <v>435</v>
      </c>
      <c r="AR124" t="s">
        <v>436</v>
      </c>
      <c r="AS124" t="s">
        <v>437</v>
      </c>
    </row>
    <row r="125" spans="1:45" x14ac:dyDescent="0.45">
      <c r="A125">
        <v>124</v>
      </c>
      <c r="B125">
        <v>165</v>
      </c>
      <c r="C125" t="s">
        <v>67</v>
      </c>
      <c r="D125" t="s">
        <v>187</v>
      </c>
      <c r="E125" t="s">
        <v>69</v>
      </c>
      <c r="F125" t="s">
        <v>70</v>
      </c>
      <c r="G125" t="s">
        <v>71</v>
      </c>
      <c r="H125">
        <v>41.047689617750216</v>
      </c>
      <c r="I125">
        <v>1</v>
      </c>
      <c r="J125">
        <v>6</v>
      </c>
      <c r="K125">
        <v>10</v>
      </c>
      <c r="L125">
        <v>-4</v>
      </c>
      <c r="M125">
        <v>6</v>
      </c>
      <c r="N125">
        <v>9</v>
      </c>
      <c r="O125">
        <v>-3</v>
      </c>
      <c r="P125">
        <v>8</v>
      </c>
      <c r="Q125">
        <v>10</v>
      </c>
      <c r="R125">
        <v>-2</v>
      </c>
      <c r="S125">
        <v>9</v>
      </c>
      <c r="T125">
        <v>10</v>
      </c>
      <c r="U125">
        <v>-1</v>
      </c>
      <c r="V125">
        <v>7</v>
      </c>
      <c r="W125">
        <v>10</v>
      </c>
      <c r="X125">
        <v>-3</v>
      </c>
      <c r="Y125">
        <v>8</v>
      </c>
      <c r="Z125">
        <v>8</v>
      </c>
      <c r="AA125">
        <v>0</v>
      </c>
      <c r="AB125">
        <v>7</v>
      </c>
      <c r="AC125">
        <v>9</v>
      </c>
      <c r="AD125">
        <v>-2</v>
      </c>
      <c r="AE125">
        <v>6</v>
      </c>
      <c r="AF125">
        <v>9</v>
      </c>
      <c r="AG125">
        <v>-3</v>
      </c>
      <c r="AH125">
        <v>8</v>
      </c>
      <c r="AI125">
        <v>9</v>
      </c>
      <c r="AJ125">
        <v>-1</v>
      </c>
      <c r="AK125" t="s">
        <v>1633</v>
      </c>
      <c r="AL125" t="s">
        <v>1634</v>
      </c>
      <c r="AM125" t="s">
        <v>1635</v>
      </c>
      <c r="AN125" t="s">
        <v>1636</v>
      </c>
      <c r="AO125" t="s">
        <v>1637</v>
      </c>
      <c r="AP125" t="s">
        <v>1638</v>
      </c>
      <c r="AQ125" t="s">
        <v>1639</v>
      </c>
      <c r="AR125" t="s">
        <v>1640</v>
      </c>
      <c r="AS125" t="s">
        <v>1641</v>
      </c>
    </row>
    <row r="126" spans="1:45" x14ac:dyDescent="0.45">
      <c r="A126">
        <v>125</v>
      </c>
      <c r="B126">
        <v>166</v>
      </c>
      <c r="C126" t="s">
        <v>67</v>
      </c>
      <c r="D126" t="s">
        <v>184</v>
      </c>
      <c r="E126" t="s">
        <v>69</v>
      </c>
      <c r="F126" t="s">
        <v>72</v>
      </c>
      <c r="G126" t="s">
        <v>71</v>
      </c>
      <c r="H126">
        <v>13.213746170526317</v>
      </c>
      <c r="I126">
        <v>2</v>
      </c>
      <c r="J126">
        <v>8</v>
      </c>
      <c r="K126">
        <v>10</v>
      </c>
      <c r="L126">
        <v>-2</v>
      </c>
      <c r="M126">
        <v>9</v>
      </c>
      <c r="N126">
        <v>10</v>
      </c>
      <c r="O126">
        <v>-1</v>
      </c>
      <c r="P126">
        <v>8</v>
      </c>
      <c r="Q126">
        <v>10</v>
      </c>
      <c r="R126">
        <v>-2</v>
      </c>
      <c r="S126">
        <v>9</v>
      </c>
      <c r="T126">
        <v>10</v>
      </c>
      <c r="U126">
        <v>-1</v>
      </c>
      <c r="V126">
        <v>8</v>
      </c>
      <c r="W126">
        <v>10</v>
      </c>
      <c r="X126">
        <v>-2</v>
      </c>
      <c r="Y126">
        <v>9</v>
      </c>
      <c r="Z126">
        <v>10</v>
      </c>
      <c r="AA126">
        <v>-1</v>
      </c>
      <c r="AB126">
        <v>8</v>
      </c>
      <c r="AC126">
        <v>10</v>
      </c>
      <c r="AD126">
        <v>-2</v>
      </c>
      <c r="AE126">
        <v>9</v>
      </c>
      <c r="AF126">
        <v>10</v>
      </c>
      <c r="AG126">
        <v>-1</v>
      </c>
      <c r="AH126">
        <v>8</v>
      </c>
      <c r="AI126">
        <v>10</v>
      </c>
      <c r="AJ126">
        <v>-2</v>
      </c>
      <c r="AK126" t="s">
        <v>438</v>
      </c>
      <c r="AL126" t="s">
        <v>439</v>
      </c>
      <c r="AM126" t="s">
        <v>1642</v>
      </c>
      <c r="AN126" t="s">
        <v>1643</v>
      </c>
      <c r="AO126" t="s">
        <v>1644</v>
      </c>
      <c r="AP126" t="s">
        <v>1645</v>
      </c>
      <c r="AQ126" t="s">
        <v>1646</v>
      </c>
      <c r="AR126" t="s">
        <v>1647</v>
      </c>
      <c r="AS126" t="s">
        <v>1648</v>
      </c>
    </row>
    <row r="127" spans="1:45" x14ac:dyDescent="0.45">
      <c r="A127">
        <v>126</v>
      </c>
      <c r="B127">
        <v>167</v>
      </c>
      <c r="C127" t="s">
        <v>73</v>
      </c>
      <c r="D127" t="s">
        <v>76</v>
      </c>
      <c r="E127" t="s">
        <v>69</v>
      </c>
      <c r="F127" t="s">
        <v>72</v>
      </c>
      <c r="G127" t="s">
        <v>71</v>
      </c>
      <c r="H127">
        <v>24.996805599134536</v>
      </c>
      <c r="I127">
        <v>0</v>
      </c>
      <c r="J127">
        <v>7</v>
      </c>
      <c r="K127">
        <v>8</v>
      </c>
      <c r="L127">
        <v>-1</v>
      </c>
      <c r="M127">
        <v>6</v>
      </c>
      <c r="N127">
        <v>8</v>
      </c>
      <c r="O127">
        <v>-2</v>
      </c>
      <c r="P127">
        <v>8</v>
      </c>
      <c r="Q127">
        <v>5</v>
      </c>
      <c r="R127">
        <v>3</v>
      </c>
      <c r="S127">
        <v>9</v>
      </c>
      <c r="T127">
        <v>8</v>
      </c>
      <c r="U127">
        <v>1</v>
      </c>
      <c r="V127">
        <v>7</v>
      </c>
      <c r="W127">
        <v>8</v>
      </c>
      <c r="X127">
        <v>-1</v>
      </c>
      <c r="Y127">
        <v>8</v>
      </c>
      <c r="Z127">
        <v>8</v>
      </c>
      <c r="AA127">
        <v>0</v>
      </c>
      <c r="AB127">
        <v>6</v>
      </c>
      <c r="AC127">
        <v>7</v>
      </c>
      <c r="AD127">
        <v>-1</v>
      </c>
      <c r="AE127">
        <v>7</v>
      </c>
      <c r="AF127">
        <v>7</v>
      </c>
      <c r="AG127">
        <v>0</v>
      </c>
      <c r="AH127">
        <v>8</v>
      </c>
      <c r="AI127">
        <v>8</v>
      </c>
      <c r="AJ127">
        <v>0</v>
      </c>
      <c r="AK127" t="s">
        <v>1649</v>
      </c>
      <c r="AL127" t="s">
        <v>1650</v>
      </c>
      <c r="AM127" t="s">
        <v>1651</v>
      </c>
      <c r="AN127" t="s">
        <v>1652</v>
      </c>
      <c r="AO127" t="s">
        <v>1653</v>
      </c>
      <c r="AP127" t="s">
        <v>1654</v>
      </c>
      <c r="AQ127" t="s">
        <v>1655</v>
      </c>
      <c r="AR127" t="s">
        <v>1656</v>
      </c>
      <c r="AS127" t="s">
        <v>1657</v>
      </c>
    </row>
    <row r="128" spans="1:45" x14ac:dyDescent="0.45">
      <c r="A128">
        <v>127</v>
      </c>
      <c r="B128">
        <v>168</v>
      </c>
      <c r="C128" t="s">
        <v>67</v>
      </c>
      <c r="D128" t="s">
        <v>74</v>
      </c>
      <c r="E128" t="s">
        <v>69</v>
      </c>
      <c r="F128" t="s">
        <v>72</v>
      </c>
      <c r="G128" t="s">
        <v>71</v>
      </c>
      <c r="H128">
        <v>137.79734230505227</v>
      </c>
      <c r="I128">
        <v>4</v>
      </c>
      <c r="J128">
        <v>8</v>
      </c>
      <c r="K128">
        <v>1</v>
      </c>
      <c r="L128">
        <v>7</v>
      </c>
      <c r="M128">
        <v>7</v>
      </c>
      <c r="N128">
        <v>1</v>
      </c>
      <c r="O128">
        <v>6</v>
      </c>
      <c r="P128">
        <v>6</v>
      </c>
      <c r="Q128">
        <v>1</v>
      </c>
      <c r="R128">
        <v>5</v>
      </c>
      <c r="S128">
        <v>9</v>
      </c>
      <c r="T128">
        <v>5</v>
      </c>
      <c r="U128">
        <v>4</v>
      </c>
      <c r="V128">
        <v>8</v>
      </c>
      <c r="W128">
        <v>1</v>
      </c>
      <c r="X128">
        <v>7</v>
      </c>
      <c r="Y128">
        <v>9</v>
      </c>
      <c r="Z128">
        <v>1</v>
      </c>
      <c r="AA128">
        <v>8</v>
      </c>
      <c r="AB128">
        <v>7</v>
      </c>
      <c r="AC128">
        <v>1</v>
      </c>
      <c r="AD128">
        <v>6</v>
      </c>
      <c r="AE128">
        <v>8</v>
      </c>
      <c r="AF128">
        <v>5</v>
      </c>
      <c r="AG128">
        <v>3</v>
      </c>
      <c r="AH128">
        <v>9</v>
      </c>
      <c r="AI128">
        <v>5</v>
      </c>
      <c r="AJ128">
        <v>4</v>
      </c>
      <c r="AK128" t="s">
        <v>440</v>
      </c>
      <c r="AL128" t="s">
        <v>441</v>
      </c>
      <c r="AM128" t="s">
        <v>1658</v>
      </c>
      <c r="AN128" t="s">
        <v>1659</v>
      </c>
      <c r="AO128" t="s">
        <v>1660</v>
      </c>
      <c r="AP128" t="s">
        <v>1661</v>
      </c>
      <c r="AQ128" t="s">
        <v>1662</v>
      </c>
      <c r="AR128" t="s">
        <v>1663</v>
      </c>
      <c r="AS128" t="s">
        <v>1664</v>
      </c>
    </row>
    <row r="129" spans="1:45" x14ac:dyDescent="0.45">
      <c r="A129">
        <v>128</v>
      </c>
      <c r="B129">
        <v>169</v>
      </c>
      <c r="C129" t="s">
        <v>73</v>
      </c>
      <c r="D129" t="s">
        <v>187</v>
      </c>
      <c r="E129" t="s">
        <v>69</v>
      </c>
      <c r="F129" t="s">
        <v>72</v>
      </c>
      <c r="G129" t="s">
        <v>71</v>
      </c>
      <c r="H129">
        <v>159.61985604609188</v>
      </c>
      <c r="I129">
        <v>4</v>
      </c>
      <c r="J129">
        <v>7</v>
      </c>
      <c r="K129">
        <v>6</v>
      </c>
      <c r="L129">
        <v>1</v>
      </c>
      <c r="M129">
        <v>6</v>
      </c>
      <c r="N129">
        <v>6</v>
      </c>
      <c r="O129">
        <v>0</v>
      </c>
      <c r="P129">
        <v>9</v>
      </c>
      <c r="Q129">
        <v>6</v>
      </c>
      <c r="R129">
        <v>3</v>
      </c>
      <c r="S129">
        <v>8</v>
      </c>
      <c r="T129">
        <v>8</v>
      </c>
      <c r="U129">
        <v>0</v>
      </c>
      <c r="V129">
        <v>7</v>
      </c>
      <c r="W129">
        <v>6</v>
      </c>
      <c r="X129">
        <v>1</v>
      </c>
      <c r="Y129">
        <v>9</v>
      </c>
      <c r="Z129">
        <v>3</v>
      </c>
      <c r="AA129">
        <v>6</v>
      </c>
      <c r="AB129">
        <v>7</v>
      </c>
      <c r="AC129">
        <v>5</v>
      </c>
      <c r="AD129">
        <v>2</v>
      </c>
      <c r="AE129">
        <v>6</v>
      </c>
      <c r="AF129">
        <v>5</v>
      </c>
      <c r="AG129">
        <v>1</v>
      </c>
      <c r="AH129">
        <v>8</v>
      </c>
      <c r="AI129">
        <v>4</v>
      </c>
      <c r="AJ129">
        <v>4</v>
      </c>
      <c r="AK129" t="s">
        <v>1665</v>
      </c>
      <c r="AL129" t="s">
        <v>1666</v>
      </c>
      <c r="AM129" t="s">
        <v>1667</v>
      </c>
      <c r="AN129" t="s">
        <v>1668</v>
      </c>
      <c r="AO129" t="s">
        <v>1669</v>
      </c>
      <c r="AP129" t="s">
        <v>1670</v>
      </c>
      <c r="AQ129" t="s">
        <v>1671</v>
      </c>
      <c r="AR129" t="s">
        <v>1672</v>
      </c>
      <c r="AS129" t="s">
        <v>1673</v>
      </c>
    </row>
    <row r="130" spans="1:45" x14ac:dyDescent="0.45">
      <c r="A130">
        <v>129</v>
      </c>
      <c r="B130">
        <v>170</v>
      </c>
      <c r="C130" t="s">
        <v>73</v>
      </c>
      <c r="D130" t="s">
        <v>187</v>
      </c>
      <c r="E130" t="s">
        <v>69</v>
      </c>
      <c r="F130" t="s">
        <v>70</v>
      </c>
      <c r="G130" t="s">
        <v>71</v>
      </c>
      <c r="H130">
        <v>247.19604490785346</v>
      </c>
      <c r="I130">
        <v>3</v>
      </c>
      <c r="J130">
        <v>8</v>
      </c>
      <c r="K130">
        <v>6</v>
      </c>
      <c r="L130">
        <v>2</v>
      </c>
      <c r="M130">
        <v>9</v>
      </c>
      <c r="N130">
        <v>6</v>
      </c>
      <c r="O130">
        <v>3</v>
      </c>
      <c r="P130">
        <v>8</v>
      </c>
      <c r="Q130">
        <v>4</v>
      </c>
      <c r="R130">
        <v>4</v>
      </c>
      <c r="S130">
        <v>9</v>
      </c>
      <c r="T130">
        <v>5</v>
      </c>
      <c r="U130">
        <v>4</v>
      </c>
      <c r="V130">
        <v>8</v>
      </c>
      <c r="W130">
        <v>5</v>
      </c>
      <c r="X130">
        <v>3</v>
      </c>
      <c r="Y130">
        <v>9</v>
      </c>
      <c r="Z130">
        <v>1</v>
      </c>
      <c r="AA130">
        <v>8</v>
      </c>
      <c r="AB130">
        <v>8</v>
      </c>
      <c r="AC130">
        <v>5</v>
      </c>
      <c r="AD130">
        <v>3</v>
      </c>
      <c r="AE130">
        <v>9</v>
      </c>
      <c r="AF130">
        <v>4</v>
      </c>
      <c r="AG130">
        <v>5</v>
      </c>
      <c r="AH130">
        <v>8</v>
      </c>
      <c r="AI130">
        <v>5</v>
      </c>
      <c r="AJ130">
        <v>3</v>
      </c>
      <c r="AK130" t="s">
        <v>1674</v>
      </c>
      <c r="AL130" t="s">
        <v>1675</v>
      </c>
      <c r="AM130" t="s">
        <v>1676</v>
      </c>
      <c r="AN130" t="s">
        <v>1677</v>
      </c>
      <c r="AO130" t="s">
        <v>1678</v>
      </c>
      <c r="AP130" t="s">
        <v>1679</v>
      </c>
      <c r="AQ130" t="s">
        <v>1680</v>
      </c>
      <c r="AR130" t="s">
        <v>1681</v>
      </c>
      <c r="AS130" t="s">
        <v>1682</v>
      </c>
    </row>
    <row r="131" spans="1:45" x14ac:dyDescent="0.45">
      <c r="A131">
        <v>130</v>
      </c>
      <c r="B131">
        <v>171</v>
      </c>
      <c r="C131" t="s">
        <v>67</v>
      </c>
      <c r="D131" t="s">
        <v>189</v>
      </c>
      <c r="E131" t="s">
        <v>69</v>
      </c>
      <c r="F131" t="s">
        <v>70</v>
      </c>
      <c r="G131" t="s">
        <v>71</v>
      </c>
      <c r="H131">
        <v>97.463060900714908</v>
      </c>
      <c r="I131">
        <v>2</v>
      </c>
      <c r="J131">
        <v>6</v>
      </c>
      <c r="K131">
        <v>5</v>
      </c>
      <c r="L131">
        <v>1</v>
      </c>
      <c r="M131">
        <v>8</v>
      </c>
      <c r="N131">
        <v>5</v>
      </c>
      <c r="O131">
        <v>3</v>
      </c>
      <c r="P131">
        <v>9</v>
      </c>
      <c r="Q131">
        <v>1</v>
      </c>
      <c r="R131">
        <v>8</v>
      </c>
      <c r="S131">
        <v>9</v>
      </c>
      <c r="T131">
        <v>4</v>
      </c>
      <c r="U131">
        <v>5</v>
      </c>
      <c r="V131">
        <v>8</v>
      </c>
      <c r="W131">
        <v>2</v>
      </c>
      <c r="X131">
        <v>6</v>
      </c>
      <c r="Y131">
        <v>8</v>
      </c>
      <c r="Z131">
        <v>1</v>
      </c>
      <c r="AA131">
        <v>7</v>
      </c>
      <c r="AB131">
        <v>7</v>
      </c>
      <c r="AC131">
        <v>1</v>
      </c>
      <c r="AD131">
        <v>6</v>
      </c>
      <c r="AE131">
        <v>8</v>
      </c>
      <c r="AF131">
        <v>1</v>
      </c>
      <c r="AG131">
        <v>7</v>
      </c>
      <c r="AH131">
        <v>9</v>
      </c>
      <c r="AI131">
        <v>5</v>
      </c>
      <c r="AJ131">
        <v>4</v>
      </c>
      <c r="AK131" t="s">
        <v>442</v>
      </c>
      <c r="AL131" t="s">
        <v>443</v>
      </c>
      <c r="AM131" t="s">
        <v>1683</v>
      </c>
      <c r="AN131" t="s">
        <v>1684</v>
      </c>
      <c r="AO131" t="s">
        <v>1685</v>
      </c>
      <c r="AP131" t="s">
        <v>1686</v>
      </c>
      <c r="AQ131" t="s">
        <v>1687</v>
      </c>
      <c r="AR131" t="s">
        <v>1688</v>
      </c>
      <c r="AS131" t="s">
        <v>1689</v>
      </c>
    </row>
    <row r="132" spans="1:45" x14ac:dyDescent="0.45">
      <c r="A132">
        <v>131</v>
      </c>
      <c r="B132">
        <v>172</v>
      </c>
      <c r="C132" t="s">
        <v>67</v>
      </c>
      <c r="D132" t="s">
        <v>68</v>
      </c>
      <c r="E132" t="s">
        <v>69</v>
      </c>
      <c r="F132" t="s">
        <v>70</v>
      </c>
      <c r="G132" t="s">
        <v>71</v>
      </c>
      <c r="H132">
        <v>99.222990346484991</v>
      </c>
      <c r="I132">
        <v>1</v>
      </c>
      <c r="J132">
        <v>6</v>
      </c>
      <c r="K132">
        <v>8</v>
      </c>
      <c r="L132">
        <v>-2</v>
      </c>
      <c r="M132">
        <v>8</v>
      </c>
      <c r="N132">
        <v>9</v>
      </c>
      <c r="O132">
        <v>-1</v>
      </c>
      <c r="P132">
        <v>9</v>
      </c>
      <c r="Q132">
        <v>5</v>
      </c>
      <c r="R132">
        <v>4</v>
      </c>
      <c r="S132">
        <v>9</v>
      </c>
      <c r="T132">
        <v>5</v>
      </c>
      <c r="U132">
        <v>4</v>
      </c>
      <c r="V132">
        <v>8</v>
      </c>
      <c r="W132">
        <v>5</v>
      </c>
      <c r="X132">
        <v>3</v>
      </c>
      <c r="Y132">
        <v>9</v>
      </c>
      <c r="Z132">
        <v>4</v>
      </c>
      <c r="AA132">
        <v>5</v>
      </c>
      <c r="AB132">
        <v>8</v>
      </c>
      <c r="AC132">
        <v>5</v>
      </c>
      <c r="AD132">
        <v>3</v>
      </c>
      <c r="AE132">
        <v>9</v>
      </c>
      <c r="AF132">
        <v>5</v>
      </c>
      <c r="AG132">
        <v>4</v>
      </c>
      <c r="AH132">
        <v>9</v>
      </c>
      <c r="AI132">
        <v>5</v>
      </c>
      <c r="AJ132">
        <v>4</v>
      </c>
      <c r="AK132" t="s">
        <v>717</v>
      </c>
      <c r="AL132" t="s">
        <v>1690</v>
      </c>
      <c r="AM132" t="s">
        <v>1691</v>
      </c>
      <c r="AN132" t="s">
        <v>1692</v>
      </c>
      <c r="AO132" t="s">
        <v>1693</v>
      </c>
      <c r="AP132" t="s">
        <v>1694</v>
      </c>
      <c r="AQ132" t="s">
        <v>1695</v>
      </c>
      <c r="AR132" t="s">
        <v>1696</v>
      </c>
      <c r="AS132" t="s">
        <v>1697</v>
      </c>
    </row>
    <row r="133" spans="1:45" x14ac:dyDescent="0.45">
      <c r="A133">
        <v>132</v>
      </c>
      <c r="B133">
        <v>173</v>
      </c>
      <c r="C133" t="s">
        <v>73</v>
      </c>
      <c r="D133" t="s">
        <v>184</v>
      </c>
      <c r="E133" t="s">
        <v>69</v>
      </c>
      <c r="F133" t="s">
        <v>72</v>
      </c>
      <c r="G133" t="s">
        <v>71</v>
      </c>
      <c r="H133">
        <v>15.268705496420361</v>
      </c>
      <c r="I133">
        <v>0</v>
      </c>
      <c r="J133">
        <v>8</v>
      </c>
      <c r="K133">
        <v>9</v>
      </c>
      <c r="L133">
        <v>-1</v>
      </c>
      <c r="M133">
        <v>7</v>
      </c>
      <c r="N133">
        <v>9</v>
      </c>
      <c r="O133">
        <v>-2</v>
      </c>
      <c r="P133">
        <v>9</v>
      </c>
      <c r="Q133">
        <v>9</v>
      </c>
      <c r="R133">
        <v>0</v>
      </c>
      <c r="S133">
        <v>9</v>
      </c>
      <c r="T133">
        <v>9</v>
      </c>
      <c r="U133">
        <v>0</v>
      </c>
      <c r="V133">
        <v>8</v>
      </c>
      <c r="W133">
        <v>7</v>
      </c>
      <c r="X133">
        <v>1</v>
      </c>
      <c r="Y133">
        <v>9</v>
      </c>
      <c r="Z133">
        <v>10</v>
      </c>
      <c r="AA133">
        <v>-1</v>
      </c>
      <c r="AB133">
        <v>8</v>
      </c>
      <c r="AC133">
        <v>5</v>
      </c>
      <c r="AD133">
        <v>3</v>
      </c>
      <c r="AE133">
        <v>7</v>
      </c>
      <c r="AF133">
        <v>5</v>
      </c>
      <c r="AG133">
        <v>2</v>
      </c>
      <c r="AH133">
        <v>9</v>
      </c>
      <c r="AI133">
        <v>9</v>
      </c>
      <c r="AJ133">
        <v>0</v>
      </c>
      <c r="AK133" t="s">
        <v>1698</v>
      </c>
      <c r="AL133" t="s">
        <v>1699</v>
      </c>
      <c r="AM133" t="s">
        <v>1700</v>
      </c>
      <c r="AN133" t="s">
        <v>1701</v>
      </c>
      <c r="AO133" t="s">
        <v>1702</v>
      </c>
      <c r="AP133" t="s">
        <v>1703</v>
      </c>
      <c r="AQ133" t="s">
        <v>1704</v>
      </c>
      <c r="AR133" t="s">
        <v>1705</v>
      </c>
      <c r="AS133" t="s">
        <v>1706</v>
      </c>
    </row>
    <row r="134" spans="1:45" x14ac:dyDescent="0.45">
      <c r="A134">
        <v>133</v>
      </c>
      <c r="B134">
        <v>174</v>
      </c>
      <c r="C134" t="s">
        <v>73</v>
      </c>
      <c r="D134" t="s">
        <v>76</v>
      </c>
      <c r="E134" t="s">
        <v>69</v>
      </c>
      <c r="F134" t="s">
        <v>186</v>
      </c>
      <c r="G134" t="s">
        <v>71</v>
      </c>
      <c r="H134">
        <v>40.779172389044575</v>
      </c>
      <c r="I134">
        <v>0</v>
      </c>
      <c r="J134">
        <v>6</v>
      </c>
      <c r="K134">
        <v>5</v>
      </c>
      <c r="L134">
        <v>1</v>
      </c>
      <c r="M134">
        <v>7</v>
      </c>
      <c r="N134">
        <v>5</v>
      </c>
      <c r="O134">
        <v>2</v>
      </c>
      <c r="P134">
        <v>8</v>
      </c>
      <c r="Q134">
        <v>5</v>
      </c>
      <c r="R134">
        <v>3</v>
      </c>
      <c r="S134">
        <v>9</v>
      </c>
      <c r="T134">
        <v>5</v>
      </c>
      <c r="U134">
        <v>4</v>
      </c>
      <c r="V134">
        <v>8</v>
      </c>
      <c r="W134">
        <v>5</v>
      </c>
      <c r="X134">
        <v>3</v>
      </c>
      <c r="Y134">
        <v>9</v>
      </c>
      <c r="Z134">
        <v>5</v>
      </c>
      <c r="AA134">
        <v>4</v>
      </c>
      <c r="AB134">
        <v>7</v>
      </c>
      <c r="AC134">
        <v>5</v>
      </c>
      <c r="AD134">
        <v>2</v>
      </c>
      <c r="AE134">
        <v>8</v>
      </c>
      <c r="AF134">
        <v>5</v>
      </c>
      <c r="AG134">
        <v>3</v>
      </c>
      <c r="AH134">
        <v>9</v>
      </c>
      <c r="AI134">
        <v>5</v>
      </c>
      <c r="AJ134">
        <v>4</v>
      </c>
      <c r="AK134" t="s">
        <v>444</v>
      </c>
      <c r="AL134" t="s">
        <v>1707</v>
      </c>
      <c r="AM134" t="s">
        <v>1708</v>
      </c>
      <c r="AN134" t="s">
        <v>1709</v>
      </c>
      <c r="AO134" t="s">
        <v>1710</v>
      </c>
      <c r="AP134" t="s">
        <v>1711</v>
      </c>
      <c r="AQ134" t="s">
        <v>1712</v>
      </c>
      <c r="AR134" t="s">
        <v>1713</v>
      </c>
      <c r="AS134" t="s">
        <v>1714</v>
      </c>
    </row>
    <row r="135" spans="1:45" x14ac:dyDescent="0.45">
      <c r="A135">
        <v>134</v>
      </c>
      <c r="B135">
        <v>175</v>
      </c>
      <c r="C135" t="s">
        <v>67</v>
      </c>
      <c r="D135" t="s">
        <v>184</v>
      </c>
      <c r="E135" t="s">
        <v>69</v>
      </c>
      <c r="F135" t="s">
        <v>72</v>
      </c>
      <c r="G135" t="s">
        <v>71</v>
      </c>
      <c r="H135">
        <v>20.199505970710106</v>
      </c>
      <c r="I135">
        <v>0</v>
      </c>
      <c r="J135">
        <v>7</v>
      </c>
      <c r="K135">
        <v>9</v>
      </c>
      <c r="L135">
        <v>-2</v>
      </c>
      <c r="M135">
        <v>6</v>
      </c>
      <c r="N135">
        <v>9</v>
      </c>
      <c r="O135">
        <v>-3</v>
      </c>
      <c r="P135">
        <v>8</v>
      </c>
      <c r="Q135">
        <v>5</v>
      </c>
      <c r="R135">
        <v>3</v>
      </c>
      <c r="S135">
        <v>9</v>
      </c>
      <c r="T135">
        <v>9</v>
      </c>
      <c r="U135">
        <v>0</v>
      </c>
      <c r="V135">
        <v>8</v>
      </c>
      <c r="W135">
        <v>8</v>
      </c>
      <c r="X135">
        <v>0</v>
      </c>
      <c r="Y135">
        <v>9</v>
      </c>
      <c r="Z135">
        <v>10</v>
      </c>
      <c r="AA135">
        <v>-1</v>
      </c>
      <c r="AB135">
        <v>8</v>
      </c>
      <c r="AC135">
        <v>5</v>
      </c>
      <c r="AD135">
        <v>3</v>
      </c>
      <c r="AE135">
        <v>6</v>
      </c>
      <c r="AF135">
        <v>5</v>
      </c>
      <c r="AG135">
        <v>1</v>
      </c>
      <c r="AH135">
        <v>9</v>
      </c>
      <c r="AI135">
        <v>7</v>
      </c>
      <c r="AJ135">
        <v>2</v>
      </c>
      <c r="AK135" t="s">
        <v>445</v>
      </c>
      <c r="AL135" t="s">
        <v>1715</v>
      </c>
      <c r="AM135" t="s">
        <v>1716</v>
      </c>
      <c r="AN135" t="s">
        <v>1717</v>
      </c>
      <c r="AO135" t="s">
        <v>1718</v>
      </c>
      <c r="AP135" t="s">
        <v>1719</v>
      </c>
      <c r="AQ135" t="s">
        <v>1720</v>
      </c>
      <c r="AR135" t="s">
        <v>1721</v>
      </c>
      <c r="AS135" t="s">
        <v>1722</v>
      </c>
    </row>
    <row r="136" spans="1:45" x14ac:dyDescent="0.45">
      <c r="A136">
        <v>135</v>
      </c>
      <c r="B136">
        <v>176</v>
      </c>
      <c r="C136" t="s">
        <v>73</v>
      </c>
      <c r="D136" t="s">
        <v>184</v>
      </c>
      <c r="E136" t="s">
        <v>69</v>
      </c>
      <c r="F136" t="s">
        <v>72</v>
      </c>
      <c r="G136" t="s">
        <v>71</v>
      </c>
      <c r="H136">
        <v>14.325720764134783</v>
      </c>
      <c r="I136">
        <v>0</v>
      </c>
      <c r="J136">
        <v>7</v>
      </c>
      <c r="K136">
        <v>5</v>
      </c>
      <c r="L136">
        <v>2</v>
      </c>
      <c r="M136">
        <v>6</v>
      </c>
      <c r="N136">
        <v>5</v>
      </c>
      <c r="O136">
        <v>1</v>
      </c>
      <c r="P136">
        <v>8</v>
      </c>
      <c r="Q136">
        <v>5</v>
      </c>
      <c r="R136">
        <v>3</v>
      </c>
      <c r="S136">
        <v>9</v>
      </c>
      <c r="T136">
        <v>6</v>
      </c>
      <c r="U136">
        <v>3</v>
      </c>
      <c r="V136">
        <v>7</v>
      </c>
      <c r="W136">
        <v>6</v>
      </c>
      <c r="X136">
        <v>1</v>
      </c>
      <c r="Y136">
        <v>8</v>
      </c>
      <c r="Z136">
        <v>6</v>
      </c>
      <c r="AA136">
        <v>2</v>
      </c>
      <c r="AB136">
        <v>7</v>
      </c>
      <c r="AC136">
        <v>6</v>
      </c>
      <c r="AD136">
        <v>1</v>
      </c>
      <c r="AE136">
        <v>6</v>
      </c>
      <c r="AF136">
        <v>6</v>
      </c>
      <c r="AG136">
        <v>0</v>
      </c>
      <c r="AH136">
        <v>8</v>
      </c>
      <c r="AI136">
        <v>6</v>
      </c>
      <c r="AJ136">
        <v>2</v>
      </c>
      <c r="AK136" t="s">
        <v>1723</v>
      </c>
      <c r="AL136" t="s">
        <v>1724</v>
      </c>
      <c r="AM136" t="s">
        <v>1725</v>
      </c>
      <c r="AN136" t="s">
        <v>1726</v>
      </c>
      <c r="AO136" t="s">
        <v>1727</v>
      </c>
      <c r="AP136" t="s">
        <v>1728</v>
      </c>
      <c r="AQ136" t="s">
        <v>1729</v>
      </c>
      <c r="AR136" t="s">
        <v>1730</v>
      </c>
      <c r="AS136" t="s">
        <v>1731</v>
      </c>
    </row>
    <row r="137" spans="1:45" x14ac:dyDescent="0.45">
      <c r="A137">
        <v>136</v>
      </c>
      <c r="B137">
        <v>177</v>
      </c>
      <c r="C137" t="s">
        <v>67</v>
      </c>
      <c r="D137" t="s">
        <v>189</v>
      </c>
      <c r="E137" t="s">
        <v>69</v>
      </c>
      <c r="F137" t="s">
        <v>72</v>
      </c>
      <c r="G137" t="s">
        <v>157</v>
      </c>
      <c r="H137">
        <v>12</v>
      </c>
      <c r="I137">
        <v>0</v>
      </c>
      <c r="J137">
        <v>6</v>
      </c>
      <c r="K137">
        <v>8</v>
      </c>
      <c r="L137">
        <v>-2</v>
      </c>
      <c r="M137">
        <v>7</v>
      </c>
      <c r="N137">
        <v>8</v>
      </c>
      <c r="O137">
        <v>-1</v>
      </c>
      <c r="P137">
        <v>9</v>
      </c>
      <c r="Q137">
        <v>8</v>
      </c>
      <c r="R137">
        <v>1</v>
      </c>
      <c r="S137">
        <v>8</v>
      </c>
      <c r="T137">
        <v>8</v>
      </c>
      <c r="U137">
        <v>0</v>
      </c>
      <c r="V137">
        <v>9</v>
      </c>
      <c r="W137">
        <v>10</v>
      </c>
      <c r="X137">
        <v>-1</v>
      </c>
      <c r="Y137">
        <v>8</v>
      </c>
      <c r="Z137">
        <v>10</v>
      </c>
      <c r="AA137">
        <v>-2</v>
      </c>
      <c r="AB137">
        <v>9</v>
      </c>
      <c r="AC137">
        <v>10</v>
      </c>
      <c r="AD137">
        <v>-1</v>
      </c>
      <c r="AE137">
        <v>7</v>
      </c>
      <c r="AF137">
        <v>10</v>
      </c>
      <c r="AG137">
        <v>-3</v>
      </c>
      <c r="AH137">
        <v>9</v>
      </c>
      <c r="AI137">
        <v>10</v>
      </c>
      <c r="AJ137">
        <v>-1</v>
      </c>
      <c r="AK137" t="s">
        <v>446</v>
      </c>
      <c r="AL137" t="s">
        <v>447</v>
      </c>
      <c r="AM137" t="s">
        <v>448</v>
      </c>
      <c r="AN137" t="s">
        <v>449</v>
      </c>
      <c r="AO137" t="s">
        <v>450</v>
      </c>
      <c r="AP137" t="s">
        <v>451</v>
      </c>
      <c r="AQ137" t="s">
        <v>452</v>
      </c>
      <c r="AR137" t="s">
        <v>453</v>
      </c>
      <c r="AS137" t="s">
        <v>454</v>
      </c>
    </row>
    <row r="138" spans="1:45" x14ac:dyDescent="0.45">
      <c r="A138">
        <v>137</v>
      </c>
      <c r="B138">
        <v>178</v>
      </c>
      <c r="C138" t="s">
        <v>73</v>
      </c>
      <c r="D138" t="s">
        <v>187</v>
      </c>
      <c r="E138" t="s">
        <v>69</v>
      </c>
      <c r="F138" t="s">
        <v>72</v>
      </c>
      <c r="G138" t="s">
        <v>71</v>
      </c>
      <c r="H138">
        <v>216.32615820100276</v>
      </c>
      <c r="I138">
        <v>4</v>
      </c>
      <c r="J138">
        <v>7</v>
      </c>
      <c r="K138">
        <v>8</v>
      </c>
      <c r="L138">
        <v>-1</v>
      </c>
      <c r="M138">
        <v>6</v>
      </c>
      <c r="N138">
        <v>8</v>
      </c>
      <c r="O138">
        <v>-2</v>
      </c>
      <c r="P138">
        <v>8</v>
      </c>
      <c r="Q138">
        <v>8</v>
      </c>
      <c r="R138">
        <v>0</v>
      </c>
      <c r="S138">
        <v>9</v>
      </c>
      <c r="T138">
        <v>8</v>
      </c>
      <c r="U138">
        <v>1</v>
      </c>
      <c r="V138">
        <v>7</v>
      </c>
      <c r="W138">
        <v>8</v>
      </c>
      <c r="X138">
        <v>-1</v>
      </c>
      <c r="Y138">
        <v>8</v>
      </c>
      <c r="Z138">
        <v>8</v>
      </c>
      <c r="AA138">
        <v>0</v>
      </c>
      <c r="AB138">
        <v>7</v>
      </c>
      <c r="AC138">
        <v>5</v>
      </c>
      <c r="AD138">
        <v>2</v>
      </c>
      <c r="AE138">
        <v>6</v>
      </c>
      <c r="AF138">
        <v>7</v>
      </c>
      <c r="AG138">
        <v>-1</v>
      </c>
      <c r="AH138">
        <v>8</v>
      </c>
      <c r="AI138">
        <v>8</v>
      </c>
      <c r="AJ138">
        <v>0</v>
      </c>
      <c r="AK138" t="s">
        <v>1732</v>
      </c>
      <c r="AL138" t="s">
        <v>1733</v>
      </c>
      <c r="AM138" t="s">
        <v>1734</v>
      </c>
      <c r="AN138" t="s">
        <v>1735</v>
      </c>
      <c r="AO138" t="s">
        <v>1736</v>
      </c>
      <c r="AP138" t="s">
        <v>1737</v>
      </c>
      <c r="AQ138" t="s">
        <v>1738</v>
      </c>
      <c r="AR138" t="s">
        <v>1739</v>
      </c>
      <c r="AS138" t="s">
        <v>1740</v>
      </c>
    </row>
    <row r="139" spans="1:45" x14ac:dyDescent="0.45">
      <c r="A139">
        <v>138</v>
      </c>
      <c r="B139">
        <v>179</v>
      </c>
      <c r="C139" t="s">
        <v>67</v>
      </c>
      <c r="D139" t="s">
        <v>76</v>
      </c>
      <c r="E139" t="s">
        <v>69</v>
      </c>
      <c r="F139" t="s">
        <v>70</v>
      </c>
      <c r="G139" t="s">
        <v>71</v>
      </c>
      <c r="H139">
        <v>15.140784211430701</v>
      </c>
      <c r="I139">
        <v>0</v>
      </c>
      <c r="J139">
        <v>4</v>
      </c>
      <c r="K139">
        <v>8</v>
      </c>
      <c r="L139">
        <v>-4</v>
      </c>
      <c r="M139">
        <v>5</v>
      </c>
      <c r="N139">
        <v>9</v>
      </c>
      <c r="O139">
        <v>-4</v>
      </c>
      <c r="P139">
        <v>8</v>
      </c>
      <c r="Q139">
        <v>7</v>
      </c>
      <c r="R139">
        <v>1</v>
      </c>
      <c r="S139">
        <v>7</v>
      </c>
      <c r="T139">
        <v>7</v>
      </c>
      <c r="U139">
        <v>0</v>
      </c>
      <c r="V139">
        <v>8</v>
      </c>
      <c r="W139">
        <v>6</v>
      </c>
      <c r="X139">
        <v>2</v>
      </c>
      <c r="Y139">
        <v>9</v>
      </c>
      <c r="Z139">
        <v>6</v>
      </c>
      <c r="AA139">
        <v>3</v>
      </c>
      <c r="AB139">
        <v>7</v>
      </c>
      <c r="AC139">
        <v>2</v>
      </c>
      <c r="AD139">
        <v>5</v>
      </c>
      <c r="AE139">
        <v>8</v>
      </c>
      <c r="AF139">
        <v>5</v>
      </c>
      <c r="AG139">
        <v>3</v>
      </c>
      <c r="AH139">
        <v>9</v>
      </c>
      <c r="AI139">
        <v>6</v>
      </c>
      <c r="AJ139">
        <v>3</v>
      </c>
      <c r="AK139" t="s">
        <v>1741</v>
      </c>
      <c r="AL139" t="s">
        <v>1742</v>
      </c>
      <c r="AM139" t="s">
        <v>1743</v>
      </c>
      <c r="AN139" t="s">
        <v>1744</v>
      </c>
      <c r="AO139" t="s">
        <v>1745</v>
      </c>
      <c r="AP139" t="s">
        <v>1746</v>
      </c>
      <c r="AQ139" t="s">
        <v>1747</v>
      </c>
      <c r="AR139" t="s">
        <v>1748</v>
      </c>
      <c r="AS139" t="s">
        <v>1749</v>
      </c>
    </row>
    <row r="140" spans="1:45" x14ac:dyDescent="0.45">
      <c r="A140">
        <v>139</v>
      </c>
      <c r="B140">
        <v>180</v>
      </c>
      <c r="C140" t="s">
        <v>67</v>
      </c>
      <c r="D140" t="s">
        <v>74</v>
      </c>
      <c r="E140" t="s">
        <v>69</v>
      </c>
      <c r="F140" t="s">
        <v>70</v>
      </c>
      <c r="G140" t="s">
        <v>71</v>
      </c>
      <c r="H140">
        <v>146.83240846076191</v>
      </c>
      <c r="I140">
        <v>2</v>
      </c>
      <c r="J140">
        <v>6</v>
      </c>
      <c r="K140">
        <v>5</v>
      </c>
      <c r="L140">
        <v>1</v>
      </c>
      <c r="M140">
        <v>6</v>
      </c>
      <c r="N140">
        <v>4</v>
      </c>
      <c r="O140">
        <v>2</v>
      </c>
      <c r="P140">
        <v>7</v>
      </c>
      <c r="Q140">
        <v>7</v>
      </c>
      <c r="R140">
        <v>0</v>
      </c>
      <c r="S140">
        <v>8</v>
      </c>
      <c r="T140">
        <v>6</v>
      </c>
      <c r="U140">
        <v>2</v>
      </c>
      <c r="V140">
        <v>7</v>
      </c>
      <c r="W140">
        <v>3</v>
      </c>
      <c r="X140">
        <v>4</v>
      </c>
      <c r="Y140">
        <v>8</v>
      </c>
      <c r="Z140">
        <v>4</v>
      </c>
      <c r="AA140">
        <v>4</v>
      </c>
      <c r="AB140">
        <v>7</v>
      </c>
      <c r="AC140">
        <v>4</v>
      </c>
      <c r="AD140">
        <v>3</v>
      </c>
      <c r="AE140">
        <v>6</v>
      </c>
      <c r="AF140">
        <v>5</v>
      </c>
      <c r="AG140">
        <v>1</v>
      </c>
      <c r="AH140">
        <v>7</v>
      </c>
      <c r="AI140">
        <v>5</v>
      </c>
      <c r="AJ140">
        <v>2</v>
      </c>
      <c r="AK140" t="s">
        <v>1750</v>
      </c>
      <c r="AL140" t="s">
        <v>1751</v>
      </c>
      <c r="AM140" t="s">
        <v>1752</v>
      </c>
      <c r="AN140" t="s">
        <v>1753</v>
      </c>
      <c r="AO140" t="s">
        <v>1754</v>
      </c>
      <c r="AP140" t="s">
        <v>1755</v>
      </c>
      <c r="AQ140" t="s">
        <v>1756</v>
      </c>
      <c r="AR140" t="s">
        <v>1757</v>
      </c>
      <c r="AS140" t="s">
        <v>1758</v>
      </c>
    </row>
    <row r="141" spans="1:45" x14ac:dyDescent="0.45">
      <c r="A141">
        <v>140</v>
      </c>
      <c r="B141">
        <v>181</v>
      </c>
      <c r="C141" t="s">
        <v>67</v>
      </c>
      <c r="D141" t="s">
        <v>68</v>
      </c>
      <c r="E141" t="s">
        <v>69</v>
      </c>
      <c r="F141" t="s">
        <v>72</v>
      </c>
      <c r="G141" t="s">
        <v>71</v>
      </c>
      <c r="H141">
        <v>27.096377940677293</v>
      </c>
      <c r="I141">
        <v>1</v>
      </c>
      <c r="J141">
        <v>6</v>
      </c>
      <c r="K141">
        <v>10</v>
      </c>
      <c r="L141">
        <v>-4</v>
      </c>
      <c r="M141">
        <v>6</v>
      </c>
      <c r="N141">
        <v>9</v>
      </c>
      <c r="O141">
        <v>-3</v>
      </c>
      <c r="P141">
        <v>7</v>
      </c>
      <c r="Q141">
        <v>9</v>
      </c>
      <c r="R141">
        <v>-2</v>
      </c>
      <c r="S141">
        <v>8</v>
      </c>
      <c r="T141">
        <v>9</v>
      </c>
      <c r="U141">
        <v>-1</v>
      </c>
      <c r="V141">
        <v>9</v>
      </c>
      <c r="W141">
        <v>8</v>
      </c>
      <c r="X141">
        <v>1</v>
      </c>
      <c r="Y141">
        <v>8</v>
      </c>
      <c r="Z141">
        <v>8</v>
      </c>
      <c r="AA141">
        <v>0</v>
      </c>
      <c r="AB141">
        <v>9</v>
      </c>
      <c r="AC141">
        <v>8</v>
      </c>
      <c r="AD141">
        <v>1</v>
      </c>
      <c r="AE141">
        <v>7</v>
      </c>
      <c r="AF141">
        <v>8</v>
      </c>
      <c r="AG141">
        <v>-1</v>
      </c>
      <c r="AH141">
        <v>9</v>
      </c>
      <c r="AI141">
        <v>10</v>
      </c>
      <c r="AJ141">
        <v>-1</v>
      </c>
      <c r="AK141" t="s">
        <v>1759</v>
      </c>
      <c r="AL141" t="s">
        <v>1760</v>
      </c>
      <c r="AM141" t="s">
        <v>1761</v>
      </c>
      <c r="AN141" t="s">
        <v>1762</v>
      </c>
      <c r="AO141" t="s">
        <v>1763</v>
      </c>
      <c r="AP141" t="s">
        <v>1764</v>
      </c>
      <c r="AQ141" t="s">
        <v>1765</v>
      </c>
      <c r="AR141" t="s">
        <v>1766</v>
      </c>
      <c r="AS141" t="s">
        <v>1767</v>
      </c>
    </row>
    <row r="142" spans="1:45" x14ac:dyDescent="0.45">
      <c r="A142">
        <v>141</v>
      </c>
      <c r="B142">
        <v>182</v>
      </c>
      <c r="C142" t="s">
        <v>73</v>
      </c>
      <c r="D142" t="s">
        <v>68</v>
      </c>
      <c r="E142" t="s">
        <v>69</v>
      </c>
      <c r="F142" t="s">
        <v>72</v>
      </c>
      <c r="G142" t="s">
        <v>71</v>
      </c>
      <c r="H142">
        <v>28.971869558930631</v>
      </c>
      <c r="I142">
        <v>1</v>
      </c>
      <c r="J142">
        <v>9</v>
      </c>
      <c r="K142">
        <v>8</v>
      </c>
      <c r="L142">
        <v>1</v>
      </c>
      <c r="M142">
        <v>8</v>
      </c>
      <c r="N142">
        <v>7</v>
      </c>
      <c r="O142">
        <v>1</v>
      </c>
      <c r="P142">
        <v>9</v>
      </c>
      <c r="Q142">
        <v>6</v>
      </c>
      <c r="R142">
        <v>3</v>
      </c>
      <c r="S142">
        <v>8</v>
      </c>
      <c r="T142">
        <v>6</v>
      </c>
      <c r="U142">
        <v>2</v>
      </c>
      <c r="V142">
        <v>9</v>
      </c>
      <c r="W142">
        <v>5</v>
      </c>
      <c r="X142">
        <v>4</v>
      </c>
      <c r="Y142">
        <v>8</v>
      </c>
      <c r="Z142">
        <v>5</v>
      </c>
      <c r="AA142">
        <v>3</v>
      </c>
      <c r="AB142">
        <v>9</v>
      </c>
      <c r="AC142">
        <v>3</v>
      </c>
      <c r="AD142">
        <v>6</v>
      </c>
      <c r="AE142">
        <v>8</v>
      </c>
      <c r="AF142">
        <v>3</v>
      </c>
      <c r="AG142">
        <v>5</v>
      </c>
      <c r="AH142">
        <v>9</v>
      </c>
      <c r="AI142">
        <v>5</v>
      </c>
      <c r="AJ142">
        <v>4</v>
      </c>
      <c r="AK142" t="s">
        <v>1768</v>
      </c>
      <c r="AL142" t="s">
        <v>1769</v>
      </c>
      <c r="AM142" t="s">
        <v>1770</v>
      </c>
      <c r="AN142" t="s">
        <v>1771</v>
      </c>
      <c r="AO142" t="s">
        <v>1772</v>
      </c>
      <c r="AP142" t="s">
        <v>1773</v>
      </c>
      <c r="AQ142" t="s">
        <v>1774</v>
      </c>
      <c r="AR142" t="s">
        <v>1775</v>
      </c>
      <c r="AS142" t="s">
        <v>1776</v>
      </c>
    </row>
    <row r="143" spans="1:45" x14ac:dyDescent="0.45">
      <c r="A143">
        <v>142</v>
      </c>
      <c r="B143">
        <v>183</v>
      </c>
      <c r="C143" t="s">
        <v>73</v>
      </c>
      <c r="D143" t="s">
        <v>74</v>
      </c>
      <c r="E143" t="s">
        <v>69</v>
      </c>
      <c r="F143" t="s">
        <v>70</v>
      </c>
      <c r="G143" t="s">
        <v>71</v>
      </c>
      <c r="H143">
        <v>12</v>
      </c>
      <c r="I143">
        <v>1</v>
      </c>
      <c r="J143">
        <v>8</v>
      </c>
      <c r="K143">
        <v>5</v>
      </c>
      <c r="L143">
        <v>3</v>
      </c>
      <c r="M143">
        <v>9</v>
      </c>
      <c r="N143">
        <v>6</v>
      </c>
      <c r="O143">
        <v>3</v>
      </c>
      <c r="P143">
        <v>8</v>
      </c>
      <c r="Q143">
        <v>5</v>
      </c>
      <c r="R143">
        <v>3</v>
      </c>
      <c r="S143">
        <v>9</v>
      </c>
      <c r="T143">
        <v>7</v>
      </c>
      <c r="U143">
        <v>2</v>
      </c>
      <c r="V143">
        <v>8</v>
      </c>
      <c r="W143">
        <v>6</v>
      </c>
      <c r="X143">
        <v>2</v>
      </c>
      <c r="Y143">
        <v>9</v>
      </c>
      <c r="Z143">
        <v>6</v>
      </c>
      <c r="AA143">
        <v>3</v>
      </c>
      <c r="AB143">
        <v>8</v>
      </c>
      <c r="AC143">
        <v>6</v>
      </c>
      <c r="AD143">
        <v>2</v>
      </c>
      <c r="AE143">
        <v>9</v>
      </c>
      <c r="AF143">
        <v>7</v>
      </c>
      <c r="AG143">
        <v>2</v>
      </c>
      <c r="AH143">
        <v>9</v>
      </c>
      <c r="AI143">
        <v>7</v>
      </c>
      <c r="AJ143">
        <v>2</v>
      </c>
      <c r="AK143" t="s">
        <v>456</v>
      </c>
      <c r="AL143" t="s">
        <v>457</v>
      </c>
      <c r="AM143" t="s">
        <v>458</v>
      </c>
      <c r="AN143" t="s">
        <v>459</v>
      </c>
      <c r="AO143" t="s">
        <v>460</v>
      </c>
      <c r="AP143" t="s">
        <v>461</v>
      </c>
      <c r="AQ143" t="s">
        <v>462</v>
      </c>
      <c r="AR143" t="s">
        <v>463</v>
      </c>
      <c r="AS143" t="s">
        <v>464</v>
      </c>
    </row>
    <row r="144" spans="1:45" x14ac:dyDescent="0.45">
      <c r="A144">
        <v>143</v>
      </c>
      <c r="B144">
        <v>184</v>
      </c>
      <c r="C144" t="s">
        <v>73</v>
      </c>
      <c r="D144" t="s">
        <v>68</v>
      </c>
      <c r="E144" t="s">
        <v>69</v>
      </c>
      <c r="F144" t="s">
        <v>70</v>
      </c>
      <c r="G144" t="s">
        <v>71</v>
      </c>
      <c r="H144">
        <v>203.84268490148614</v>
      </c>
      <c r="I144">
        <v>0</v>
      </c>
      <c r="J144">
        <v>7</v>
      </c>
      <c r="K144">
        <v>1</v>
      </c>
      <c r="L144">
        <v>6</v>
      </c>
      <c r="M144">
        <v>6</v>
      </c>
      <c r="N144">
        <v>1</v>
      </c>
      <c r="O144">
        <v>5</v>
      </c>
      <c r="P144">
        <v>9</v>
      </c>
      <c r="Q144">
        <v>8</v>
      </c>
      <c r="R144">
        <v>1</v>
      </c>
      <c r="S144">
        <v>9</v>
      </c>
      <c r="T144">
        <v>8</v>
      </c>
      <c r="U144">
        <v>1</v>
      </c>
      <c r="V144">
        <v>8</v>
      </c>
      <c r="W144">
        <v>8</v>
      </c>
      <c r="X144">
        <v>0</v>
      </c>
      <c r="Y144">
        <v>9</v>
      </c>
      <c r="Z144">
        <v>8</v>
      </c>
      <c r="AA144">
        <v>1</v>
      </c>
      <c r="AB144">
        <v>8</v>
      </c>
      <c r="AC144">
        <v>8</v>
      </c>
      <c r="AD144">
        <v>0</v>
      </c>
      <c r="AE144">
        <v>9</v>
      </c>
      <c r="AF144">
        <v>8</v>
      </c>
      <c r="AG144">
        <v>1</v>
      </c>
      <c r="AH144">
        <v>8</v>
      </c>
      <c r="AI144">
        <v>8</v>
      </c>
      <c r="AJ144">
        <v>0</v>
      </c>
      <c r="AK144" t="s">
        <v>1777</v>
      </c>
      <c r="AL144" t="s">
        <v>1778</v>
      </c>
      <c r="AM144" t="s">
        <v>1779</v>
      </c>
      <c r="AN144" t="s">
        <v>1780</v>
      </c>
      <c r="AO144" t="s">
        <v>1781</v>
      </c>
      <c r="AP144" t="s">
        <v>1782</v>
      </c>
      <c r="AQ144" t="s">
        <v>1783</v>
      </c>
      <c r="AR144" t="s">
        <v>1784</v>
      </c>
      <c r="AS144" t="s">
        <v>1785</v>
      </c>
    </row>
    <row r="145" spans="1:45" x14ac:dyDescent="0.45">
      <c r="A145">
        <v>144</v>
      </c>
      <c r="B145">
        <v>185</v>
      </c>
      <c r="C145" t="s">
        <v>67</v>
      </c>
      <c r="D145" t="s">
        <v>187</v>
      </c>
      <c r="E145" t="s">
        <v>69</v>
      </c>
      <c r="F145" t="s">
        <v>72</v>
      </c>
      <c r="G145" t="s">
        <v>71</v>
      </c>
      <c r="H145">
        <v>56.009713937760701</v>
      </c>
      <c r="I145">
        <v>2</v>
      </c>
      <c r="J145">
        <v>9</v>
      </c>
      <c r="K145">
        <v>9</v>
      </c>
      <c r="L145">
        <v>0</v>
      </c>
      <c r="M145">
        <v>9</v>
      </c>
      <c r="N145">
        <v>9</v>
      </c>
      <c r="O145">
        <v>0</v>
      </c>
      <c r="P145">
        <v>8</v>
      </c>
      <c r="Q145">
        <v>9</v>
      </c>
      <c r="R145">
        <v>-1</v>
      </c>
      <c r="S145">
        <v>9</v>
      </c>
      <c r="T145">
        <v>9</v>
      </c>
      <c r="U145">
        <v>0</v>
      </c>
      <c r="V145">
        <v>8</v>
      </c>
      <c r="W145">
        <v>10</v>
      </c>
      <c r="X145">
        <v>-2</v>
      </c>
      <c r="Y145">
        <v>9</v>
      </c>
      <c r="Z145">
        <v>5</v>
      </c>
      <c r="AA145">
        <v>4</v>
      </c>
      <c r="AB145">
        <v>8</v>
      </c>
      <c r="AC145">
        <v>9</v>
      </c>
      <c r="AD145">
        <v>-1</v>
      </c>
      <c r="AE145">
        <v>9</v>
      </c>
      <c r="AF145">
        <v>9</v>
      </c>
      <c r="AG145">
        <v>0</v>
      </c>
      <c r="AH145">
        <v>8</v>
      </c>
      <c r="AI145">
        <v>10</v>
      </c>
      <c r="AJ145">
        <v>-2</v>
      </c>
      <c r="AK145" t="s">
        <v>719</v>
      </c>
      <c r="AL145" t="s">
        <v>720</v>
      </c>
      <c r="AM145" t="s">
        <v>721</v>
      </c>
      <c r="AN145" t="s">
        <v>722</v>
      </c>
      <c r="AO145" t="s">
        <v>723</v>
      </c>
      <c r="AP145" t="s">
        <v>1786</v>
      </c>
      <c r="AQ145" t="s">
        <v>1787</v>
      </c>
      <c r="AR145" t="s">
        <v>1788</v>
      </c>
      <c r="AS145" t="s">
        <v>1789</v>
      </c>
    </row>
    <row r="146" spans="1:45" x14ac:dyDescent="0.45">
      <c r="A146">
        <v>145</v>
      </c>
      <c r="B146">
        <v>186</v>
      </c>
      <c r="C146" t="s">
        <v>67</v>
      </c>
      <c r="D146" t="s">
        <v>74</v>
      </c>
      <c r="E146" t="s">
        <v>69</v>
      </c>
      <c r="F146" t="s">
        <v>72</v>
      </c>
      <c r="G146" t="s">
        <v>71</v>
      </c>
      <c r="H146">
        <v>53.381056109162323</v>
      </c>
      <c r="I146">
        <v>2</v>
      </c>
      <c r="J146">
        <v>5</v>
      </c>
      <c r="K146">
        <v>10</v>
      </c>
      <c r="L146">
        <v>-5</v>
      </c>
      <c r="M146">
        <v>6</v>
      </c>
      <c r="N146">
        <v>10</v>
      </c>
      <c r="O146">
        <v>-4</v>
      </c>
      <c r="P146">
        <v>7</v>
      </c>
      <c r="Q146">
        <v>9</v>
      </c>
      <c r="R146">
        <v>-2</v>
      </c>
      <c r="S146">
        <v>9</v>
      </c>
      <c r="T146">
        <v>6</v>
      </c>
      <c r="U146">
        <v>3</v>
      </c>
      <c r="V146">
        <v>6</v>
      </c>
      <c r="W146">
        <v>6</v>
      </c>
      <c r="X146">
        <v>0</v>
      </c>
      <c r="Y146">
        <v>8</v>
      </c>
      <c r="Z146">
        <v>3</v>
      </c>
      <c r="AA146">
        <v>5</v>
      </c>
      <c r="AB146">
        <v>7</v>
      </c>
      <c r="AC146">
        <v>5</v>
      </c>
      <c r="AD146">
        <v>2</v>
      </c>
      <c r="AE146">
        <v>8</v>
      </c>
      <c r="AF146">
        <v>5</v>
      </c>
      <c r="AG146">
        <v>3</v>
      </c>
      <c r="AH146">
        <v>9</v>
      </c>
      <c r="AI146">
        <v>1</v>
      </c>
      <c r="AJ146">
        <v>8</v>
      </c>
      <c r="AK146" t="s">
        <v>1790</v>
      </c>
      <c r="AL146" t="s">
        <v>1791</v>
      </c>
      <c r="AM146" t="s">
        <v>1792</v>
      </c>
      <c r="AN146" t="s">
        <v>1793</v>
      </c>
      <c r="AO146" t="s">
        <v>1794</v>
      </c>
      <c r="AP146" t="s">
        <v>1795</v>
      </c>
      <c r="AQ146" t="s">
        <v>1796</v>
      </c>
      <c r="AR146" t="s">
        <v>1797</v>
      </c>
      <c r="AS146" t="s">
        <v>1798</v>
      </c>
    </row>
    <row r="147" spans="1:45" x14ac:dyDescent="0.45">
      <c r="A147">
        <v>146</v>
      </c>
      <c r="B147">
        <v>187</v>
      </c>
      <c r="C147" t="s">
        <v>67</v>
      </c>
      <c r="D147" t="s">
        <v>74</v>
      </c>
      <c r="E147" t="s">
        <v>69</v>
      </c>
      <c r="F147" t="s">
        <v>72</v>
      </c>
      <c r="G147" t="s">
        <v>71</v>
      </c>
      <c r="H147">
        <v>93.090341062768715</v>
      </c>
      <c r="I147">
        <v>3</v>
      </c>
      <c r="J147">
        <v>7</v>
      </c>
      <c r="K147">
        <v>8</v>
      </c>
      <c r="L147">
        <v>-1</v>
      </c>
      <c r="M147">
        <v>8</v>
      </c>
      <c r="N147">
        <v>8</v>
      </c>
      <c r="O147">
        <v>0</v>
      </c>
      <c r="P147">
        <v>9</v>
      </c>
      <c r="Q147">
        <v>5</v>
      </c>
      <c r="R147">
        <v>4</v>
      </c>
      <c r="S147">
        <v>8</v>
      </c>
      <c r="T147">
        <v>5</v>
      </c>
      <c r="U147">
        <v>3</v>
      </c>
      <c r="V147">
        <v>6</v>
      </c>
      <c r="W147">
        <v>5</v>
      </c>
      <c r="X147">
        <v>1</v>
      </c>
      <c r="Y147">
        <v>8</v>
      </c>
      <c r="Z147">
        <v>3</v>
      </c>
      <c r="AA147">
        <v>5</v>
      </c>
      <c r="AB147">
        <v>7</v>
      </c>
      <c r="AC147">
        <v>5</v>
      </c>
      <c r="AD147">
        <v>2</v>
      </c>
      <c r="AE147">
        <v>8</v>
      </c>
      <c r="AF147">
        <v>5</v>
      </c>
      <c r="AG147">
        <v>3</v>
      </c>
      <c r="AH147">
        <v>9</v>
      </c>
      <c r="AI147">
        <v>5</v>
      </c>
      <c r="AJ147">
        <v>4</v>
      </c>
      <c r="AK147" t="s">
        <v>1799</v>
      </c>
      <c r="AL147" t="s">
        <v>1800</v>
      </c>
      <c r="AM147" t="s">
        <v>1801</v>
      </c>
      <c r="AN147" t="s">
        <v>1802</v>
      </c>
      <c r="AO147" t="s">
        <v>1803</v>
      </c>
      <c r="AP147" t="s">
        <v>1804</v>
      </c>
      <c r="AQ147" t="s">
        <v>1805</v>
      </c>
      <c r="AR147" t="s">
        <v>1806</v>
      </c>
      <c r="AS147" t="s">
        <v>1807</v>
      </c>
    </row>
    <row r="148" spans="1:45" x14ac:dyDescent="0.45">
      <c r="A148">
        <v>147</v>
      </c>
      <c r="B148">
        <v>188</v>
      </c>
      <c r="C148" t="s">
        <v>67</v>
      </c>
      <c r="D148" t="s">
        <v>189</v>
      </c>
      <c r="E148" t="s">
        <v>69</v>
      </c>
      <c r="F148" t="s">
        <v>70</v>
      </c>
      <c r="G148" t="s">
        <v>71</v>
      </c>
      <c r="H148">
        <v>122.63747376055527</v>
      </c>
      <c r="I148">
        <v>0</v>
      </c>
      <c r="J148">
        <v>7</v>
      </c>
      <c r="K148">
        <v>7</v>
      </c>
      <c r="L148">
        <v>0</v>
      </c>
      <c r="M148">
        <v>8</v>
      </c>
      <c r="N148">
        <v>7</v>
      </c>
      <c r="O148">
        <v>1</v>
      </c>
      <c r="P148">
        <v>9</v>
      </c>
      <c r="Q148">
        <v>1</v>
      </c>
      <c r="R148">
        <v>8</v>
      </c>
      <c r="S148">
        <v>9</v>
      </c>
      <c r="T148">
        <v>6</v>
      </c>
      <c r="U148">
        <v>3</v>
      </c>
      <c r="V148">
        <v>8</v>
      </c>
      <c r="W148">
        <v>3</v>
      </c>
      <c r="X148">
        <v>5</v>
      </c>
      <c r="Y148">
        <v>9</v>
      </c>
      <c r="Z148">
        <v>5</v>
      </c>
      <c r="AA148">
        <v>4</v>
      </c>
      <c r="AB148">
        <v>8</v>
      </c>
      <c r="AC148">
        <v>1</v>
      </c>
      <c r="AD148">
        <v>7</v>
      </c>
      <c r="AE148">
        <v>7</v>
      </c>
      <c r="AF148">
        <v>4</v>
      </c>
      <c r="AG148">
        <v>3</v>
      </c>
      <c r="AH148">
        <v>9</v>
      </c>
      <c r="AI148">
        <v>5</v>
      </c>
      <c r="AJ148">
        <v>4</v>
      </c>
      <c r="AK148" t="s">
        <v>465</v>
      </c>
      <c r="AL148" t="s">
        <v>466</v>
      </c>
      <c r="AM148" t="s">
        <v>1808</v>
      </c>
      <c r="AN148" t="s">
        <v>1809</v>
      </c>
      <c r="AO148" t="s">
        <v>1810</v>
      </c>
      <c r="AP148" t="s">
        <v>1811</v>
      </c>
      <c r="AQ148" t="s">
        <v>1812</v>
      </c>
      <c r="AR148" t="s">
        <v>1813</v>
      </c>
      <c r="AS148" t="s">
        <v>1814</v>
      </c>
    </row>
    <row r="149" spans="1:45" x14ac:dyDescent="0.45">
      <c r="A149">
        <v>148</v>
      </c>
      <c r="B149">
        <v>189</v>
      </c>
      <c r="C149" t="s">
        <v>73</v>
      </c>
      <c r="D149" t="s">
        <v>76</v>
      </c>
      <c r="E149" t="s">
        <v>69</v>
      </c>
      <c r="F149" t="s">
        <v>72</v>
      </c>
      <c r="G149" t="s">
        <v>71</v>
      </c>
      <c r="H149">
        <v>19.575929224705416</v>
      </c>
      <c r="I149">
        <v>0</v>
      </c>
      <c r="J149">
        <v>9</v>
      </c>
      <c r="K149">
        <v>6</v>
      </c>
      <c r="L149">
        <v>3</v>
      </c>
      <c r="M149">
        <v>8</v>
      </c>
      <c r="N149">
        <v>6</v>
      </c>
      <c r="O149">
        <v>2</v>
      </c>
      <c r="P149">
        <v>9</v>
      </c>
      <c r="Q149">
        <v>5</v>
      </c>
      <c r="R149">
        <v>4</v>
      </c>
      <c r="S149">
        <v>8</v>
      </c>
      <c r="T149">
        <v>7</v>
      </c>
      <c r="U149">
        <v>1</v>
      </c>
      <c r="V149">
        <v>9</v>
      </c>
      <c r="W149">
        <v>5</v>
      </c>
      <c r="X149">
        <v>4</v>
      </c>
      <c r="Y149">
        <v>8</v>
      </c>
      <c r="Z149">
        <v>7</v>
      </c>
      <c r="AA149">
        <v>1</v>
      </c>
      <c r="AB149">
        <v>9</v>
      </c>
      <c r="AC149">
        <v>5</v>
      </c>
      <c r="AD149">
        <v>4</v>
      </c>
      <c r="AE149">
        <v>7</v>
      </c>
      <c r="AF149">
        <v>6</v>
      </c>
      <c r="AG149">
        <v>1</v>
      </c>
      <c r="AH149">
        <v>8</v>
      </c>
      <c r="AI149">
        <v>7</v>
      </c>
      <c r="AJ149">
        <v>1</v>
      </c>
      <c r="AK149" t="s">
        <v>1815</v>
      </c>
      <c r="AL149" t="s">
        <v>1816</v>
      </c>
      <c r="AM149" t="s">
        <v>1817</v>
      </c>
      <c r="AN149" t="s">
        <v>1818</v>
      </c>
      <c r="AO149" t="s">
        <v>1819</v>
      </c>
      <c r="AP149" t="s">
        <v>1820</v>
      </c>
      <c r="AQ149" t="s">
        <v>1821</v>
      </c>
      <c r="AR149" t="s">
        <v>1822</v>
      </c>
      <c r="AS149" t="s">
        <v>1823</v>
      </c>
    </row>
    <row r="150" spans="1:45" x14ac:dyDescent="0.45">
      <c r="A150">
        <v>149</v>
      </c>
      <c r="B150">
        <v>190</v>
      </c>
      <c r="C150" t="s">
        <v>67</v>
      </c>
      <c r="D150" t="s">
        <v>74</v>
      </c>
      <c r="E150" t="s">
        <v>69</v>
      </c>
      <c r="F150" t="s">
        <v>72</v>
      </c>
      <c r="G150" t="s">
        <v>71</v>
      </c>
      <c r="H150">
        <v>130.91660072990831</v>
      </c>
      <c r="I150">
        <v>3</v>
      </c>
      <c r="J150">
        <v>6</v>
      </c>
      <c r="K150">
        <v>10</v>
      </c>
      <c r="L150">
        <v>-4</v>
      </c>
      <c r="M150">
        <v>7</v>
      </c>
      <c r="N150">
        <v>10</v>
      </c>
      <c r="O150">
        <v>-3</v>
      </c>
      <c r="P150">
        <v>9</v>
      </c>
      <c r="Q150">
        <v>7</v>
      </c>
      <c r="R150">
        <v>2</v>
      </c>
      <c r="S150">
        <v>9</v>
      </c>
      <c r="T150">
        <v>8</v>
      </c>
      <c r="U150">
        <v>1</v>
      </c>
      <c r="V150">
        <v>8</v>
      </c>
      <c r="W150">
        <v>8</v>
      </c>
      <c r="X150">
        <v>0</v>
      </c>
      <c r="Y150">
        <v>9</v>
      </c>
      <c r="Z150">
        <v>4</v>
      </c>
      <c r="AA150">
        <v>5</v>
      </c>
      <c r="AB150">
        <v>8</v>
      </c>
      <c r="AC150">
        <v>1</v>
      </c>
      <c r="AD150">
        <v>7</v>
      </c>
      <c r="AE150">
        <v>7</v>
      </c>
      <c r="AF150">
        <v>3</v>
      </c>
      <c r="AG150">
        <v>4</v>
      </c>
      <c r="AH150">
        <v>9</v>
      </c>
      <c r="AI150">
        <v>6</v>
      </c>
      <c r="AJ150">
        <v>3</v>
      </c>
      <c r="AK150" t="s">
        <v>1824</v>
      </c>
      <c r="AL150" t="s">
        <v>1825</v>
      </c>
      <c r="AM150" t="s">
        <v>1826</v>
      </c>
      <c r="AN150" t="s">
        <v>1827</v>
      </c>
      <c r="AO150" t="s">
        <v>1828</v>
      </c>
      <c r="AP150" t="s">
        <v>1829</v>
      </c>
      <c r="AQ150" t="s">
        <v>1830</v>
      </c>
      <c r="AR150" t="s">
        <v>1831</v>
      </c>
      <c r="AS150" t="s">
        <v>1832</v>
      </c>
    </row>
    <row r="151" spans="1:45" x14ac:dyDescent="0.45">
      <c r="A151">
        <v>150</v>
      </c>
      <c r="B151">
        <v>191</v>
      </c>
      <c r="C151" t="s">
        <v>67</v>
      </c>
      <c r="D151" t="s">
        <v>74</v>
      </c>
      <c r="E151" t="s">
        <v>69</v>
      </c>
      <c r="F151" t="s">
        <v>72</v>
      </c>
      <c r="G151" t="s">
        <v>71</v>
      </c>
      <c r="H151">
        <v>64.91024447298237</v>
      </c>
      <c r="I151">
        <v>2</v>
      </c>
      <c r="J151">
        <v>7</v>
      </c>
      <c r="K151">
        <v>7</v>
      </c>
      <c r="L151">
        <v>0</v>
      </c>
      <c r="M151">
        <v>8</v>
      </c>
      <c r="N151">
        <v>10</v>
      </c>
      <c r="O151">
        <v>-2</v>
      </c>
      <c r="P151">
        <v>7</v>
      </c>
      <c r="Q151">
        <v>5</v>
      </c>
      <c r="R151">
        <v>2</v>
      </c>
      <c r="S151">
        <v>9</v>
      </c>
      <c r="T151">
        <v>7</v>
      </c>
      <c r="U151">
        <v>2</v>
      </c>
      <c r="V151">
        <v>8</v>
      </c>
      <c r="W151">
        <v>7</v>
      </c>
      <c r="X151">
        <v>1</v>
      </c>
      <c r="Y151">
        <v>9</v>
      </c>
      <c r="Z151">
        <v>7</v>
      </c>
      <c r="AA151">
        <v>2</v>
      </c>
      <c r="AB151">
        <v>8</v>
      </c>
      <c r="AC151">
        <v>7</v>
      </c>
      <c r="AD151">
        <v>1</v>
      </c>
      <c r="AE151">
        <v>7</v>
      </c>
      <c r="AF151">
        <v>7</v>
      </c>
      <c r="AG151">
        <v>0</v>
      </c>
      <c r="AH151">
        <v>9</v>
      </c>
      <c r="AI151">
        <v>10</v>
      </c>
      <c r="AJ151">
        <v>-1</v>
      </c>
      <c r="AK151" t="s">
        <v>1833</v>
      </c>
      <c r="AL151" t="s">
        <v>1834</v>
      </c>
      <c r="AM151" t="s">
        <v>1835</v>
      </c>
      <c r="AN151" t="s">
        <v>1836</v>
      </c>
      <c r="AO151" t="s">
        <v>1837</v>
      </c>
      <c r="AP151" t="s">
        <v>1838</v>
      </c>
      <c r="AQ151" t="s">
        <v>1839</v>
      </c>
      <c r="AR151" t="s">
        <v>1840</v>
      </c>
      <c r="AS151" t="s">
        <v>1841</v>
      </c>
    </row>
    <row r="152" spans="1:45" x14ac:dyDescent="0.45">
      <c r="A152">
        <v>151</v>
      </c>
      <c r="B152">
        <v>192</v>
      </c>
      <c r="C152" t="s">
        <v>67</v>
      </c>
      <c r="D152" t="s">
        <v>68</v>
      </c>
      <c r="E152" t="s">
        <v>69</v>
      </c>
      <c r="F152" t="s">
        <v>72</v>
      </c>
      <c r="G152" t="s">
        <v>71</v>
      </c>
      <c r="H152">
        <v>99.654731348476687</v>
      </c>
      <c r="I152">
        <v>2</v>
      </c>
      <c r="J152">
        <v>8</v>
      </c>
      <c r="K152">
        <v>8</v>
      </c>
      <c r="L152">
        <v>0</v>
      </c>
      <c r="M152">
        <v>7</v>
      </c>
      <c r="N152">
        <v>8</v>
      </c>
      <c r="O152">
        <v>-1</v>
      </c>
      <c r="P152">
        <v>9</v>
      </c>
      <c r="Q152">
        <v>8</v>
      </c>
      <c r="R152">
        <v>1</v>
      </c>
      <c r="S152">
        <v>8</v>
      </c>
      <c r="T152">
        <v>8</v>
      </c>
      <c r="U152">
        <v>0</v>
      </c>
      <c r="V152">
        <v>6</v>
      </c>
      <c r="W152">
        <v>8</v>
      </c>
      <c r="X152">
        <v>-2</v>
      </c>
      <c r="Y152">
        <v>8</v>
      </c>
      <c r="Z152">
        <v>8</v>
      </c>
      <c r="AA152">
        <v>0</v>
      </c>
      <c r="AB152">
        <v>7</v>
      </c>
      <c r="AC152">
        <v>8</v>
      </c>
      <c r="AD152">
        <v>-1</v>
      </c>
      <c r="AE152">
        <v>8</v>
      </c>
      <c r="AF152">
        <v>8</v>
      </c>
      <c r="AG152">
        <v>0</v>
      </c>
      <c r="AH152">
        <v>9</v>
      </c>
      <c r="AI152">
        <v>8</v>
      </c>
      <c r="AJ152">
        <v>1</v>
      </c>
      <c r="AK152" t="s">
        <v>1842</v>
      </c>
      <c r="AL152" t="s">
        <v>1843</v>
      </c>
      <c r="AM152" t="s">
        <v>1844</v>
      </c>
      <c r="AN152" t="s">
        <v>1845</v>
      </c>
      <c r="AO152" t="s">
        <v>1846</v>
      </c>
      <c r="AP152" t="s">
        <v>1847</v>
      </c>
      <c r="AQ152" t="s">
        <v>1848</v>
      </c>
      <c r="AR152" t="s">
        <v>1849</v>
      </c>
      <c r="AS152" t="s">
        <v>1850</v>
      </c>
    </row>
    <row r="153" spans="1:45" x14ac:dyDescent="0.45">
      <c r="A153">
        <v>152</v>
      </c>
      <c r="B153">
        <v>193</v>
      </c>
      <c r="C153" t="s">
        <v>67</v>
      </c>
      <c r="D153" t="s">
        <v>74</v>
      </c>
      <c r="E153" t="s">
        <v>69</v>
      </c>
      <c r="F153" t="s">
        <v>70</v>
      </c>
      <c r="G153" t="s">
        <v>71</v>
      </c>
      <c r="H153">
        <v>75.496027824512325</v>
      </c>
      <c r="I153">
        <v>2</v>
      </c>
      <c r="J153">
        <v>9</v>
      </c>
      <c r="K153">
        <v>10</v>
      </c>
      <c r="L153">
        <v>-1</v>
      </c>
      <c r="M153">
        <v>8</v>
      </c>
      <c r="N153">
        <v>10</v>
      </c>
      <c r="O153">
        <v>-2</v>
      </c>
      <c r="P153">
        <v>9</v>
      </c>
      <c r="Q153">
        <v>10</v>
      </c>
      <c r="R153">
        <v>-1</v>
      </c>
      <c r="S153">
        <v>8</v>
      </c>
      <c r="T153">
        <v>10</v>
      </c>
      <c r="U153">
        <v>-2</v>
      </c>
      <c r="V153">
        <v>9</v>
      </c>
      <c r="W153">
        <v>10</v>
      </c>
      <c r="X153">
        <v>-1</v>
      </c>
      <c r="Y153">
        <v>8</v>
      </c>
      <c r="Z153">
        <v>10</v>
      </c>
      <c r="AA153">
        <v>-2</v>
      </c>
      <c r="AB153">
        <v>9</v>
      </c>
      <c r="AC153">
        <v>10</v>
      </c>
      <c r="AD153">
        <v>-1</v>
      </c>
      <c r="AE153">
        <v>8</v>
      </c>
      <c r="AF153">
        <v>10</v>
      </c>
      <c r="AG153">
        <v>-2</v>
      </c>
      <c r="AH153">
        <v>9</v>
      </c>
      <c r="AI153">
        <v>10</v>
      </c>
      <c r="AJ153">
        <v>-1</v>
      </c>
      <c r="AK153" t="s">
        <v>467</v>
      </c>
      <c r="AL153" t="s">
        <v>724</v>
      </c>
      <c r="AM153" t="s">
        <v>725</v>
      </c>
      <c r="AN153" t="s">
        <v>1851</v>
      </c>
      <c r="AO153" t="s">
        <v>1852</v>
      </c>
      <c r="AP153" t="s">
        <v>1853</v>
      </c>
      <c r="AQ153" t="s">
        <v>1854</v>
      </c>
      <c r="AR153" t="s">
        <v>1855</v>
      </c>
      <c r="AS153" t="s">
        <v>1856</v>
      </c>
    </row>
    <row r="154" spans="1:45" x14ac:dyDescent="0.45">
      <c r="A154">
        <v>153</v>
      </c>
      <c r="B154">
        <v>194</v>
      </c>
      <c r="C154" t="s">
        <v>73</v>
      </c>
      <c r="D154" t="s">
        <v>68</v>
      </c>
      <c r="E154" t="s">
        <v>69</v>
      </c>
      <c r="F154" t="s">
        <v>72</v>
      </c>
      <c r="G154" t="s">
        <v>71</v>
      </c>
      <c r="H154">
        <v>12</v>
      </c>
      <c r="I154">
        <v>1</v>
      </c>
      <c r="J154">
        <v>10</v>
      </c>
      <c r="K154">
        <v>7</v>
      </c>
      <c r="L154">
        <v>3</v>
      </c>
      <c r="M154">
        <v>2</v>
      </c>
      <c r="N154">
        <v>7</v>
      </c>
      <c r="O154">
        <v>-5</v>
      </c>
      <c r="P154">
        <v>10</v>
      </c>
      <c r="Q154">
        <v>5</v>
      </c>
      <c r="R154">
        <v>5</v>
      </c>
      <c r="S154">
        <v>10</v>
      </c>
      <c r="T154">
        <v>7</v>
      </c>
      <c r="U154">
        <v>3</v>
      </c>
      <c r="V154">
        <v>10</v>
      </c>
      <c r="W154">
        <v>7</v>
      </c>
      <c r="X154">
        <v>3</v>
      </c>
      <c r="Y154">
        <v>10</v>
      </c>
      <c r="Z154">
        <v>7</v>
      </c>
      <c r="AA154">
        <v>3</v>
      </c>
      <c r="AB154">
        <v>10</v>
      </c>
      <c r="AC154">
        <v>7</v>
      </c>
      <c r="AD154">
        <v>3</v>
      </c>
      <c r="AE154">
        <v>10</v>
      </c>
      <c r="AF154">
        <v>7</v>
      </c>
      <c r="AG154">
        <v>3</v>
      </c>
      <c r="AH154">
        <v>10</v>
      </c>
      <c r="AI154">
        <v>7</v>
      </c>
      <c r="AJ154">
        <v>3</v>
      </c>
      <c r="AK154" t="s">
        <v>468</v>
      </c>
      <c r="AL154" t="s">
        <v>469</v>
      </c>
      <c r="AM154" t="s">
        <v>470</v>
      </c>
      <c r="AN154" t="s">
        <v>471</v>
      </c>
      <c r="AO154" t="s">
        <v>472</v>
      </c>
      <c r="AP154" t="s">
        <v>473</v>
      </c>
      <c r="AQ154" t="s">
        <v>474</v>
      </c>
      <c r="AR154" t="s">
        <v>475</v>
      </c>
      <c r="AS154" t="s">
        <v>476</v>
      </c>
    </row>
    <row r="155" spans="1:45" x14ac:dyDescent="0.45">
      <c r="A155">
        <v>154</v>
      </c>
      <c r="B155">
        <v>195</v>
      </c>
      <c r="C155" t="s">
        <v>67</v>
      </c>
      <c r="D155" t="s">
        <v>76</v>
      </c>
      <c r="E155" t="s">
        <v>69</v>
      </c>
      <c r="F155" t="s">
        <v>72</v>
      </c>
      <c r="G155" t="s">
        <v>71</v>
      </c>
      <c r="H155">
        <v>12</v>
      </c>
      <c r="I155">
        <v>2</v>
      </c>
      <c r="J155">
        <v>6</v>
      </c>
      <c r="K155">
        <v>7</v>
      </c>
      <c r="L155">
        <v>-1</v>
      </c>
      <c r="M155">
        <v>7</v>
      </c>
      <c r="N155">
        <v>8</v>
      </c>
      <c r="O155">
        <v>-1</v>
      </c>
      <c r="P155">
        <v>9</v>
      </c>
      <c r="Q155">
        <v>8</v>
      </c>
      <c r="R155">
        <v>1</v>
      </c>
      <c r="S155">
        <v>8</v>
      </c>
      <c r="T155">
        <v>8</v>
      </c>
      <c r="U155">
        <v>0</v>
      </c>
      <c r="V155">
        <v>9</v>
      </c>
      <c r="W155">
        <v>6</v>
      </c>
      <c r="X155">
        <v>3</v>
      </c>
      <c r="Y155">
        <v>8</v>
      </c>
      <c r="Z155">
        <v>8</v>
      </c>
      <c r="AA155">
        <v>0</v>
      </c>
      <c r="AB155">
        <v>9</v>
      </c>
      <c r="AC155">
        <v>5</v>
      </c>
      <c r="AD155">
        <v>4</v>
      </c>
      <c r="AE155">
        <v>8</v>
      </c>
      <c r="AF155">
        <v>8</v>
      </c>
      <c r="AG155">
        <v>0</v>
      </c>
      <c r="AH155">
        <v>9</v>
      </c>
      <c r="AI155">
        <v>8</v>
      </c>
      <c r="AJ155">
        <v>1</v>
      </c>
      <c r="AK155" t="s">
        <v>477</v>
      </c>
      <c r="AL155" t="s">
        <v>478</v>
      </c>
      <c r="AM155" t="s">
        <v>479</v>
      </c>
      <c r="AN155" t="s">
        <v>480</v>
      </c>
      <c r="AO155" t="s">
        <v>481</v>
      </c>
      <c r="AP155" t="s">
        <v>482</v>
      </c>
      <c r="AQ155" t="s">
        <v>483</v>
      </c>
      <c r="AR155" t="s">
        <v>197</v>
      </c>
      <c r="AS155" t="s">
        <v>484</v>
      </c>
    </row>
    <row r="156" spans="1:45" x14ac:dyDescent="0.45">
      <c r="A156">
        <v>155</v>
      </c>
      <c r="B156">
        <v>196</v>
      </c>
      <c r="C156" t="s">
        <v>67</v>
      </c>
      <c r="D156" t="s">
        <v>68</v>
      </c>
      <c r="E156" t="s">
        <v>69</v>
      </c>
      <c r="F156" t="s">
        <v>70</v>
      </c>
      <c r="G156" t="s">
        <v>71</v>
      </c>
      <c r="H156">
        <v>49.56805591050923</v>
      </c>
      <c r="I156">
        <v>1</v>
      </c>
      <c r="J156">
        <v>7</v>
      </c>
      <c r="K156">
        <v>10</v>
      </c>
      <c r="L156">
        <v>-3</v>
      </c>
      <c r="M156">
        <v>8</v>
      </c>
      <c r="N156">
        <v>10</v>
      </c>
      <c r="O156">
        <v>-2</v>
      </c>
      <c r="P156">
        <v>9</v>
      </c>
      <c r="Q156">
        <v>10</v>
      </c>
      <c r="R156">
        <v>-1</v>
      </c>
      <c r="S156">
        <v>9</v>
      </c>
      <c r="T156">
        <v>10</v>
      </c>
      <c r="U156">
        <v>-1</v>
      </c>
      <c r="V156">
        <v>7</v>
      </c>
      <c r="W156">
        <v>10</v>
      </c>
      <c r="X156">
        <v>-3</v>
      </c>
      <c r="Y156">
        <v>9</v>
      </c>
      <c r="Z156">
        <v>10</v>
      </c>
      <c r="AA156">
        <v>-1</v>
      </c>
      <c r="AB156">
        <v>7</v>
      </c>
      <c r="AC156">
        <v>10</v>
      </c>
      <c r="AD156">
        <v>-3</v>
      </c>
      <c r="AE156">
        <v>8</v>
      </c>
      <c r="AF156">
        <v>10</v>
      </c>
      <c r="AG156">
        <v>-2</v>
      </c>
      <c r="AH156">
        <v>9</v>
      </c>
      <c r="AI156">
        <v>10</v>
      </c>
      <c r="AJ156">
        <v>-1</v>
      </c>
      <c r="AK156" t="s">
        <v>485</v>
      </c>
      <c r="AL156" t="s">
        <v>486</v>
      </c>
      <c r="AM156" t="s">
        <v>1857</v>
      </c>
      <c r="AN156" t="s">
        <v>1858</v>
      </c>
      <c r="AO156" t="s">
        <v>1859</v>
      </c>
      <c r="AP156" t="s">
        <v>1860</v>
      </c>
      <c r="AQ156" t="s">
        <v>1861</v>
      </c>
      <c r="AR156" t="s">
        <v>1862</v>
      </c>
      <c r="AS156" t="s">
        <v>1863</v>
      </c>
    </row>
    <row r="157" spans="1:45" x14ac:dyDescent="0.45">
      <c r="A157">
        <v>156</v>
      </c>
      <c r="B157">
        <v>197</v>
      </c>
      <c r="C157" t="s">
        <v>67</v>
      </c>
      <c r="D157" t="s">
        <v>68</v>
      </c>
      <c r="E157" t="s">
        <v>69</v>
      </c>
      <c r="F157" t="s">
        <v>70</v>
      </c>
      <c r="G157" t="s">
        <v>71</v>
      </c>
      <c r="H157">
        <v>25.572093263662541</v>
      </c>
      <c r="I157">
        <v>1</v>
      </c>
      <c r="J157">
        <v>6</v>
      </c>
      <c r="K157">
        <v>10</v>
      </c>
      <c r="L157">
        <v>-4</v>
      </c>
      <c r="M157">
        <v>7</v>
      </c>
      <c r="N157">
        <v>10</v>
      </c>
      <c r="O157">
        <v>-3</v>
      </c>
      <c r="P157">
        <v>8</v>
      </c>
      <c r="Q157">
        <v>10</v>
      </c>
      <c r="R157">
        <v>-2</v>
      </c>
      <c r="S157">
        <v>9</v>
      </c>
      <c r="T157">
        <v>10</v>
      </c>
      <c r="U157">
        <v>-1</v>
      </c>
      <c r="V157">
        <v>7</v>
      </c>
      <c r="W157">
        <v>10</v>
      </c>
      <c r="X157">
        <v>-3</v>
      </c>
      <c r="Y157">
        <v>9</v>
      </c>
      <c r="Z157">
        <v>10</v>
      </c>
      <c r="AA157">
        <v>-1</v>
      </c>
      <c r="AB157">
        <v>8</v>
      </c>
      <c r="AC157">
        <v>10</v>
      </c>
      <c r="AD157">
        <v>-2</v>
      </c>
      <c r="AE157">
        <v>7</v>
      </c>
      <c r="AF157">
        <v>10</v>
      </c>
      <c r="AG157">
        <v>-3</v>
      </c>
      <c r="AH157">
        <v>9</v>
      </c>
      <c r="AI157">
        <v>10</v>
      </c>
      <c r="AJ157">
        <v>-1</v>
      </c>
      <c r="AK157" t="s">
        <v>1864</v>
      </c>
      <c r="AL157" t="s">
        <v>1865</v>
      </c>
      <c r="AM157" t="s">
        <v>1866</v>
      </c>
      <c r="AN157" t="s">
        <v>275</v>
      </c>
      <c r="AO157" t="s">
        <v>1867</v>
      </c>
      <c r="AP157" t="s">
        <v>1868</v>
      </c>
      <c r="AQ157" t="s">
        <v>1869</v>
      </c>
      <c r="AR157" t="s">
        <v>1870</v>
      </c>
      <c r="AS157" t="s">
        <v>1871</v>
      </c>
    </row>
    <row r="158" spans="1:45" x14ac:dyDescent="0.45">
      <c r="A158">
        <v>157</v>
      </c>
      <c r="B158">
        <v>198</v>
      </c>
      <c r="C158" t="s">
        <v>73</v>
      </c>
      <c r="D158" t="s">
        <v>68</v>
      </c>
      <c r="E158" t="s">
        <v>69</v>
      </c>
      <c r="F158" t="s">
        <v>72</v>
      </c>
      <c r="G158" t="s">
        <v>71</v>
      </c>
      <c r="H158">
        <v>97.632638972926856</v>
      </c>
      <c r="I158">
        <v>4</v>
      </c>
      <c r="J158">
        <v>7</v>
      </c>
      <c r="K158">
        <v>10</v>
      </c>
      <c r="L158">
        <v>-3</v>
      </c>
      <c r="M158">
        <v>8</v>
      </c>
      <c r="N158">
        <v>10</v>
      </c>
      <c r="O158">
        <v>-2</v>
      </c>
      <c r="P158">
        <v>7</v>
      </c>
      <c r="Q158">
        <v>1</v>
      </c>
      <c r="R158">
        <v>6</v>
      </c>
      <c r="S158">
        <v>9</v>
      </c>
      <c r="T158">
        <v>10</v>
      </c>
      <c r="U158">
        <v>-1</v>
      </c>
      <c r="V158">
        <v>8</v>
      </c>
      <c r="W158">
        <v>1</v>
      </c>
      <c r="X158">
        <v>7</v>
      </c>
      <c r="Y158">
        <v>9</v>
      </c>
      <c r="Z158">
        <v>1</v>
      </c>
      <c r="AA158">
        <v>8</v>
      </c>
      <c r="AB158">
        <v>8</v>
      </c>
      <c r="AC158">
        <v>1</v>
      </c>
      <c r="AD158">
        <v>7</v>
      </c>
      <c r="AE158">
        <v>9</v>
      </c>
      <c r="AF158">
        <v>1</v>
      </c>
      <c r="AG158">
        <v>8</v>
      </c>
      <c r="AH158">
        <v>9</v>
      </c>
      <c r="AI158">
        <v>6</v>
      </c>
      <c r="AJ158">
        <v>3</v>
      </c>
      <c r="AK158" t="s">
        <v>487</v>
      </c>
      <c r="AL158" t="s">
        <v>488</v>
      </c>
      <c r="AM158" t="s">
        <v>489</v>
      </c>
      <c r="AN158" t="s">
        <v>1872</v>
      </c>
      <c r="AO158" t="s">
        <v>1873</v>
      </c>
      <c r="AP158" t="s">
        <v>1874</v>
      </c>
      <c r="AQ158" t="s">
        <v>1875</v>
      </c>
      <c r="AR158" t="s">
        <v>1876</v>
      </c>
      <c r="AS158" t="s">
        <v>1877</v>
      </c>
    </row>
    <row r="159" spans="1:45" x14ac:dyDescent="0.45">
      <c r="A159">
        <v>158</v>
      </c>
      <c r="B159">
        <v>199</v>
      </c>
      <c r="C159" t="s">
        <v>67</v>
      </c>
      <c r="D159" t="s">
        <v>68</v>
      </c>
      <c r="E159" t="s">
        <v>69</v>
      </c>
      <c r="F159" t="s">
        <v>72</v>
      </c>
      <c r="G159" t="s">
        <v>71</v>
      </c>
      <c r="H159">
        <v>97.283298324113588</v>
      </c>
      <c r="I159">
        <v>2</v>
      </c>
      <c r="J159">
        <v>9</v>
      </c>
      <c r="K159">
        <v>7</v>
      </c>
      <c r="L159">
        <v>2</v>
      </c>
      <c r="M159">
        <v>8</v>
      </c>
      <c r="N159">
        <v>8</v>
      </c>
      <c r="O159">
        <v>0</v>
      </c>
      <c r="P159">
        <v>7</v>
      </c>
      <c r="Q159">
        <v>6</v>
      </c>
      <c r="R159">
        <v>1</v>
      </c>
      <c r="S159">
        <v>9</v>
      </c>
      <c r="T159">
        <v>6</v>
      </c>
      <c r="U159">
        <v>3</v>
      </c>
      <c r="V159">
        <v>8</v>
      </c>
      <c r="W159">
        <v>7</v>
      </c>
      <c r="X159">
        <v>1</v>
      </c>
      <c r="Y159">
        <v>9</v>
      </c>
      <c r="Z159">
        <v>5</v>
      </c>
      <c r="AA159">
        <v>4</v>
      </c>
      <c r="AB159">
        <v>8</v>
      </c>
      <c r="AC159">
        <v>6</v>
      </c>
      <c r="AD159">
        <v>2</v>
      </c>
      <c r="AE159">
        <v>9</v>
      </c>
      <c r="AF159">
        <v>7</v>
      </c>
      <c r="AG159">
        <v>2</v>
      </c>
      <c r="AH159">
        <v>10</v>
      </c>
      <c r="AI159">
        <v>7</v>
      </c>
      <c r="AJ159">
        <v>3</v>
      </c>
      <c r="AK159" t="s">
        <v>1878</v>
      </c>
      <c r="AL159" t="s">
        <v>1879</v>
      </c>
      <c r="AM159" t="s">
        <v>1880</v>
      </c>
      <c r="AN159" t="s">
        <v>1881</v>
      </c>
      <c r="AO159" t="s">
        <v>1882</v>
      </c>
      <c r="AP159" t="s">
        <v>1883</v>
      </c>
      <c r="AQ159" t="s">
        <v>1884</v>
      </c>
      <c r="AR159" t="s">
        <v>1885</v>
      </c>
      <c r="AS159" t="s">
        <v>1886</v>
      </c>
    </row>
    <row r="160" spans="1:45" x14ac:dyDescent="0.45">
      <c r="A160">
        <v>159</v>
      </c>
      <c r="B160">
        <v>200</v>
      </c>
      <c r="C160" t="s">
        <v>73</v>
      </c>
      <c r="D160" t="s">
        <v>74</v>
      </c>
      <c r="E160" t="s">
        <v>69</v>
      </c>
      <c r="F160" t="s">
        <v>72</v>
      </c>
      <c r="G160" t="s">
        <v>71</v>
      </c>
      <c r="H160">
        <v>38.827297441976498</v>
      </c>
      <c r="I160">
        <v>0</v>
      </c>
      <c r="J160">
        <v>7</v>
      </c>
      <c r="K160">
        <v>2</v>
      </c>
      <c r="L160">
        <v>5</v>
      </c>
      <c r="M160">
        <v>6</v>
      </c>
      <c r="N160">
        <v>7</v>
      </c>
      <c r="O160">
        <v>-1</v>
      </c>
      <c r="P160">
        <v>8</v>
      </c>
      <c r="Q160">
        <v>10</v>
      </c>
      <c r="R160">
        <v>-2</v>
      </c>
      <c r="S160">
        <v>9</v>
      </c>
      <c r="T160">
        <v>2</v>
      </c>
      <c r="U160">
        <v>7</v>
      </c>
      <c r="V160">
        <v>7</v>
      </c>
      <c r="W160">
        <v>10</v>
      </c>
      <c r="X160">
        <v>-3</v>
      </c>
      <c r="Y160">
        <v>8</v>
      </c>
      <c r="Z160">
        <v>5</v>
      </c>
      <c r="AA160">
        <v>3</v>
      </c>
      <c r="AB160">
        <v>7</v>
      </c>
      <c r="AC160">
        <v>10</v>
      </c>
      <c r="AD160">
        <v>-3</v>
      </c>
      <c r="AE160">
        <v>6</v>
      </c>
      <c r="AF160">
        <v>3</v>
      </c>
      <c r="AG160">
        <v>3</v>
      </c>
      <c r="AH160">
        <v>9</v>
      </c>
      <c r="AI160">
        <v>3</v>
      </c>
      <c r="AJ160">
        <v>6</v>
      </c>
      <c r="AK160" t="s">
        <v>1887</v>
      </c>
      <c r="AL160" t="s">
        <v>1888</v>
      </c>
      <c r="AM160" t="s">
        <v>1889</v>
      </c>
      <c r="AN160" t="s">
        <v>1890</v>
      </c>
      <c r="AO160" t="s">
        <v>1891</v>
      </c>
      <c r="AP160" t="s">
        <v>1892</v>
      </c>
      <c r="AQ160" t="s">
        <v>1893</v>
      </c>
      <c r="AR160" t="s">
        <v>1894</v>
      </c>
      <c r="AS160" t="s">
        <v>1895</v>
      </c>
    </row>
    <row r="161" spans="1:45" x14ac:dyDescent="0.45">
      <c r="A161">
        <v>160</v>
      </c>
      <c r="B161">
        <v>201</v>
      </c>
      <c r="C161" t="s">
        <v>67</v>
      </c>
      <c r="D161" t="s">
        <v>68</v>
      </c>
      <c r="E161" t="s">
        <v>69</v>
      </c>
      <c r="F161" t="s">
        <v>70</v>
      </c>
      <c r="G161" t="s">
        <v>71</v>
      </c>
      <c r="H161">
        <v>40.738305352137964</v>
      </c>
      <c r="I161">
        <v>0</v>
      </c>
      <c r="J161">
        <v>9</v>
      </c>
      <c r="K161">
        <v>9</v>
      </c>
      <c r="L161">
        <v>0</v>
      </c>
      <c r="M161">
        <v>9</v>
      </c>
      <c r="N161">
        <v>9</v>
      </c>
      <c r="O161">
        <v>0</v>
      </c>
      <c r="P161">
        <v>7</v>
      </c>
      <c r="Q161">
        <v>10</v>
      </c>
      <c r="R161">
        <v>-3</v>
      </c>
      <c r="S161">
        <v>8</v>
      </c>
      <c r="T161">
        <v>2</v>
      </c>
      <c r="U161">
        <v>6</v>
      </c>
      <c r="V161">
        <v>9</v>
      </c>
      <c r="W161">
        <v>9</v>
      </c>
      <c r="X161">
        <v>0</v>
      </c>
      <c r="Y161">
        <v>8</v>
      </c>
      <c r="Z161">
        <v>9</v>
      </c>
      <c r="AA161">
        <v>-1</v>
      </c>
      <c r="AB161">
        <v>9</v>
      </c>
      <c r="AC161">
        <v>6</v>
      </c>
      <c r="AD161">
        <v>3</v>
      </c>
      <c r="AE161">
        <v>8</v>
      </c>
      <c r="AF161">
        <v>8</v>
      </c>
      <c r="AG161">
        <v>0</v>
      </c>
      <c r="AH161">
        <v>9</v>
      </c>
      <c r="AI161">
        <v>10</v>
      </c>
      <c r="AJ161">
        <v>-1</v>
      </c>
      <c r="AK161" t="s">
        <v>1896</v>
      </c>
      <c r="AL161" t="s">
        <v>1897</v>
      </c>
      <c r="AM161" t="s">
        <v>1898</v>
      </c>
      <c r="AN161" t="s">
        <v>1899</v>
      </c>
      <c r="AO161" t="s">
        <v>1900</v>
      </c>
      <c r="AP161" t="s">
        <v>1901</v>
      </c>
      <c r="AQ161" t="s">
        <v>1902</v>
      </c>
      <c r="AR161" t="s">
        <v>1903</v>
      </c>
      <c r="AS161" t="s">
        <v>1904</v>
      </c>
    </row>
    <row r="162" spans="1:45" x14ac:dyDescent="0.45">
      <c r="A162">
        <v>161</v>
      </c>
      <c r="B162">
        <v>202</v>
      </c>
      <c r="C162" t="s">
        <v>67</v>
      </c>
      <c r="D162" t="s">
        <v>68</v>
      </c>
      <c r="E162" t="s">
        <v>69</v>
      </c>
      <c r="F162" t="s">
        <v>72</v>
      </c>
      <c r="G162" t="s">
        <v>71</v>
      </c>
      <c r="H162">
        <v>16.63015973239985</v>
      </c>
      <c r="I162">
        <v>0</v>
      </c>
      <c r="J162">
        <v>6</v>
      </c>
      <c r="K162">
        <v>7</v>
      </c>
      <c r="L162">
        <v>-1</v>
      </c>
      <c r="M162">
        <v>7</v>
      </c>
      <c r="N162">
        <v>5</v>
      </c>
      <c r="O162">
        <v>2</v>
      </c>
      <c r="P162">
        <v>8</v>
      </c>
      <c r="Q162">
        <v>7</v>
      </c>
      <c r="R162">
        <v>1</v>
      </c>
      <c r="S162">
        <v>9</v>
      </c>
      <c r="T162">
        <v>5</v>
      </c>
      <c r="U162">
        <v>4</v>
      </c>
      <c r="V162">
        <v>7</v>
      </c>
      <c r="W162">
        <v>3</v>
      </c>
      <c r="X162">
        <v>4</v>
      </c>
      <c r="Y162">
        <v>9</v>
      </c>
      <c r="Z162">
        <v>4</v>
      </c>
      <c r="AA162">
        <v>5</v>
      </c>
      <c r="AB162">
        <v>7</v>
      </c>
      <c r="AC162">
        <v>1</v>
      </c>
      <c r="AD162">
        <v>6</v>
      </c>
      <c r="AE162">
        <v>8</v>
      </c>
      <c r="AF162">
        <v>5</v>
      </c>
      <c r="AG162">
        <v>3</v>
      </c>
      <c r="AH162">
        <v>9</v>
      </c>
      <c r="AI162">
        <v>5</v>
      </c>
      <c r="AJ162">
        <v>4</v>
      </c>
      <c r="AK162" t="s">
        <v>1905</v>
      </c>
      <c r="AL162" t="s">
        <v>1906</v>
      </c>
      <c r="AM162" t="s">
        <v>1907</v>
      </c>
      <c r="AN162" t="s">
        <v>1908</v>
      </c>
      <c r="AO162" t="s">
        <v>1909</v>
      </c>
      <c r="AP162" t="s">
        <v>1910</v>
      </c>
      <c r="AQ162" t="s">
        <v>1911</v>
      </c>
      <c r="AR162" t="s">
        <v>1912</v>
      </c>
      <c r="AS162" t="s">
        <v>1913</v>
      </c>
    </row>
    <row r="163" spans="1:45" x14ac:dyDescent="0.45">
      <c r="A163">
        <v>162</v>
      </c>
      <c r="B163">
        <v>203</v>
      </c>
      <c r="C163" t="s">
        <v>67</v>
      </c>
      <c r="D163" t="s">
        <v>76</v>
      </c>
      <c r="E163" t="s">
        <v>69</v>
      </c>
      <c r="F163" t="s">
        <v>72</v>
      </c>
      <c r="G163" t="s">
        <v>71</v>
      </c>
      <c r="H163">
        <v>12</v>
      </c>
      <c r="I163">
        <v>0</v>
      </c>
      <c r="J163">
        <v>8</v>
      </c>
      <c r="K163">
        <v>3</v>
      </c>
      <c r="L163">
        <v>5</v>
      </c>
      <c r="M163">
        <v>8</v>
      </c>
      <c r="N163">
        <v>8</v>
      </c>
      <c r="O163">
        <v>0</v>
      </c>
      <c r="P163">
        <v>9</v>
      </c>
      <c r="Q163">
        <v>4</v>
      </c>
      <c r="R163">
        <v>5</v>
      </c>
      <c r="S163">
        <v>9</v>
      </c>
      <c r="T163">
        <v>5</v>
      </c>
      <c r="U163">
        <v>4</v>
      </c>
      <c r="V163">
        <v>8</v>
      </c>
      <c r="W163">
        <v>5</v>
      </c>
      <c r="X163">
        <v>3</v>
      </c>
      <c r="Y163">
        <v>9</v>
      </c>
      <c r="Z163">
        <v>5</v>
      </c>
      <c r="AA163">
        <v>4</v>
      </c>
      <c r="AB163">
        <v>8</v>
      </c>
      <c r="AC163">
        <v>5</v>
      </c>
      <c r="AD163">
        <v>3</v>
      </c>
      <c r="AE163">
        <v>9</v>
      </c>
      <c r="AF163">
        <v>5</v>
      </c>
      <c r="AG163">
        <v>4</v>
      </c>
      <c r="AH163">
        <v>8</v>
      </c>
      <c r="AI163">
        <v>5</v>
      </c>
      <c r="AJ163">
        <v>3</v>
      </c>
      <c r="AK163" t="s">
        <v>490</v>
      </c>
      <c r="AL163" t="s">
        <v>491</v>
      </c>
      <c r="AM163" t="s">
        <v>492</v>
      </c>
      <c r="AN163" t="s">
        <v>493</v>
      </c>
      <c r="AO163" t="s">
        <v>494</v>
      </c>
      <c r="AP163" t="s">
        <v>495</v>
      </c>
      <c r="AQ163" t="s">
        <v>496</v>
      </c>
      <c r="AR163" t="s">
        <v>497</v>
      </c>
      <c r="AS163" t="s">
        <v>498</v>
      </c>
    </row>
    <row r="164" spans="1:45" x14ac:dyDescent="0.45">
      <c r="A164">
        <v>163</v>
      </c>
      <c r="B164">
        <v>204</v>
      </c>
      <c r="C164" t="s">
        <v>67</v>
      </c>
      <c r="D164" t="s">
        <v>76</v>
      </c>
      <c r="E164" t="s">
        <v>69</v>
      </c>
      <c r="F164" t="s">
        <v>72</v>
      </c>
      <c r="G164" t="s">
        <v>71</v>
      </c>
      <c r="H164">
        <v>15.86806195917138</v>
      </c>
      <c r="I164">
        <v>0</v>
      </c>
      <c r="J164">
        <v>8</v>
      </c>
      <c r="K164">
        <v>10</v>
      </c>
      <c r="L164">
        <v>-2</v>
      </c>
      <c r="M164">
        <v>7</v>
      </c>
      <c r="N164">
        <v>10</v>
      </c>
      <c r="O164">
        <v>-3</v>
      </c>
      <c r="P164">
        <v>6</v>
      </c>
      <c r="Q164">
        <v>10</v>
      </c>
      <c r="R164">
        <v>-4</v>
      </c>
      <c r="S164">
        <v>9</v>
      </c>
      <c r="T164">
        <v>10</v>
      </c>
      <c r="U164">
        <v>-1</v>
      </c>
      <c r="V164">
        <v>7</v>
      </c>
      <c r="W164">
        <v>10</v>
      </c>
      <c r="X164">
        <v>-3</v>
      </c>
      <c r="Y164">
        <v>9</v>
      </c>
      <c r="Z164">
        <v>10</v>
      </c>
      <c r="AA164">
        <v>-1</v>
      </c>
      <c r="AB164">
        <v>7</v>
      </c>
      <c r="AC164">
        <v>10</v>
      </c>
      <c r="AD164">
        <v>-3</v>
      </c>
      <c r="AE164">
        <v>8</v>
      </c>
      <c r="AF164">
        <v>10</v>
      </c>
      <c r="AG164">
        <v>-2</v>
      </c>
      <c r="AH164">
        <v>9</v>
      </c>
      <c r="AI164">
        <v>10</v>
      </c>
      <c r="AJ164">
        <v>-1</v>
      </c>
      <c r="AK164" t="s">
        <v>1914</v>
      </c>
      <c r="AL164" t="s">
        <v>1915</v>
      </c>
      <c r="AM164" t="s">
        <v>1916</v>
      </c>
      <c r="AN164" t="s">
        <v>1917</v>
      </c>
      <c r="AO164" t="s">
        <v>1918</v>
      </c>
      <c r="AP164" t="s">
        <v>1919</v>
      </c>
      <c r="AQ164" t="s">
        <v>1920</v>
      </c>
      <c r="AR164" t="s">
        <v>1921</v>
      </c>
      <c r="AS164" t="s">
        <v>1922</v>
      </c>
    </row>
    <row r="165" spans="1:45" x14ac:dyDescent="0.45">
      <c r="A165">
        <v>164</v>
      </c>
      <c r="B165">
        <v>205</v>
      </c>
      <c r="C165" t="s">
        <v>67</v>
      </c>
      <c r="D165" t="s">
        <v>74</v>
      </c>
      <c r="E165" t="s">
        <v>69</v>
      </c>
      <c r="F165" t="s">
        <v>72</v>
      </c>
      <c r="G165" t="s">
        <v>71</v>
      </c>
      <c r="H165">
        <v>41.885458473778684</v>
      </c>
      <c r="I165">
        <v>2</v>
      </c>
      <c r="J165">
        <v>5</v>
      </c>
      <c r="K165">
        <v>8</v>
      </c>
      <c r="L165">
        <v>-3</v>
      </c>
      <c r="M165">
        <v>7</v>
      </c>
      <c r="N165">
        <v>9</v>
      </c>
      <c r="O165">
        <v>-2</v>
      </c>
      <c r="P165">
        <v>8</v>
      </c>
      <c r="Q165">
        <v>9</v>
      </c>
      <c r="R165">
        <v>-1</v>
      </c>
      <c r="S165">
        <v>7</v>
      </c>
      <c r="T165">
        <v>9</v>
      </c>
      <c r="U165">
        <v>-2</v>
      </c>
      <c r="V165">
        <v>6</v>
      </c>
      <c r="W165">
        <v>5</v>
      </c>
      <c r="X165">
        <v>1</v>
      </c>
      <c r="Y165">
        <v>9</v>
      </c>
      <c r="Z165">
        <v>7</v>
      </c>
      <c r="AA165">
        <v>2</v>
      </c>
      <c r="AB165">
        <v>5</v>
      </c>
      <c r="AC165">
        <v>5</v>
      </c>
      <c r="AD165">
        <v>0</v>
      </c>
      <c r="AE165">
        <v>6</v>
      </c>
      <c r="AF165">
        <v>7</v>
      </c>
      <c r="AG165">
        <v>-1</v>
      </c>
      <c r="AH165">
        <v>9</v>
      </c>
      <c r="AI165">
        <v>7</v>
      </c>
      <c r="AJ165">
        <v>2</v>
      </c>
      <c r="AK165" t="s">
        <v>1923</v>
      </c>
      <c r="AL165" t="s">
        <v>1924</v>
      </c>
      <c r="AM165" t="s">
        <v>1925</v>
      </c>
      <c r="AN165" t="s">
        <v>1926</v>
      </c>
      <c r="AO165" t="s">
        <v>1927</v>
      </c>
      <c r="AP165" t="s">
        <v>1928</v>
      </c>
      <c r="AQ165" t="s">
        <v>1929</v>
      </c>
      <c r="AR165" t="s">
        <v>1930</v>
      </c>
      <c r="AS165" t="s">
        <v>1931</v>
      </c>
    </row>
    <row r="166" spans="1:45" x14ac:dyDescent="0.45">
      <c r="A166">
        <v>165</v>
      </c>
      <c r="B166">
        <v>206</v>
      </c>
      <c r="C166" t="s">
        <v>67</v>
      </c>
      <c r="D166" t="s">
        <v>68</v>
      </c>
      <c r="E166" t="s">
        <v>69</v>
      </c>
      <c r="F166" t="s">
        <v>70</v>
      </c>
      <c r="G166" t="s">
        <v>71</v>
      </c>
      <c r="H166">
        <v>38.429560461167455</v>
      </c>
      <c r="I166">
        <v>0</v>
      </c>
      <c r="J166">
        <v>2</v>
      </c>
      <c r="K166">
        <v>5</v>
      </c>
      <c r="L166">
        <v>-3</v>
      </c>
      <c r="M166">
        <v>3</v>
      </c>
      <c r="N166">
        <v>5</v>
      </c>
      <c r="O166">
        <v>-2</v>
      </c>
      <c r="P166">
        <v>7</v>
      </c>
      <c r="Q166">
        <v>6</v>
      </c>
      <c r="R166">
        <v>1</v>
      </c>
      <c r="S166">
        <v>9</v>
      </c>
      <c r="T166">
        <v>6</v>
      </c>
      <c r="U166">
        <v>3</v>
      </c>
      <c r="V166">
        <v>6</v>
      </c>
      <c r="W166">
        <v>6</v>
      </c>
      <c r="X166">
        <v>0</v>
      </c>
      <c r="Y166">
        <v>9</v>
      </c>
      <c r="Z166">
        <v>6</v>
      </c>
      <c r="AA166">
        <v>3</v>
      </c>
      <c r="AB166">
        <v>7</v>
      </c>
      <c r="AC166">
        <v>5</v>
      </c>
      <c r="AD166">
        <v>2</v>
      </c>
      <c r="AE166">
        <v>8</v>
      </c>
      <c r="AF166">
        <v>7</v>
      </c>
      <c r="AG166">
        <v>1</v>
      </c>
      <c r="AH166">
        <v>7</v>
      </c>
      <c r="AI166">
        <v>8</v>
      </c>
      <c r="AJ166">
        <v>-1</v>
      </c>
      <c r="AK166" t="s">
        <v>499</v>
      </c>
      <c r="AL166" t="s">
        <v>500</v>
      </c>
      <c r="AM166" t="s">
        <v>727</v>
      </c>
      <c r="AN166" t="s">
        <v>728</v>
      </c>
      <c r="AO166" t="s">
        <v>729</v>
      </c>
      <c r="AP166" t="s">
        <v>730</v>
      </c>
      <c r="AQ166" t="s">
        <v>1932</v>
      </c>
      <c r="AR166" t="s">
        <v>199</v>
      </c>
      <c r="AS166" t="s">
        <v>1933</v>
      </c>
    </row>
    <row r="167" spans="1:45" x14ac:dyDescent="0.45">
      <c r="A167">
        <v>166</v>
      </c>
      <c r="B167">
        <v>207</v>
      </c>
      <c r="C167" t="s">
        <v>67</v>
      </c>
      <c r="D167" t="s">
        <v>68</v>
      </c>
      <c r="E167" t="s">
        <v>69</v>
      </c>
      <c r="F167" t="s">
        <v>70</v>
      </c>
      <c r="G167" t="s">
        <v>71</v>
      </c>
      <c r="H167">
        <v>33.145320198862713</v>
      </c>
      <c r="I167">
        <v>1</v>
      </c>
      <c r="J167">
        <v>9</v>
      </c>
      <c r="K167">
        <v>10</v>
      </c>
      <c r="L167">
        <v>-1</v>
      </c>
      <c r="M167">
        <v>8</v>
      </c>
      <c r="N167">
        <v>8</v>
      </c>
      <c r="O167">
        <v>0</v>
      </c>
      <c r="P167">
        <v>9</v>
      </c>
      <c r="Q167">
        <v>10</v>
      </c>
      <c r="R167">
        <v>-1</v>
      </c>
      <c r="S167">
        <v>8</v>
      </c>
      <c r="T167">
        <v>10</v>
      </c>
      <c r="U167">
        <v>-2</v>
      </c>
      <c r="V167">
        <v>9</v>
      </c>
      <c r="W167">
        <v>10</v>
      </c>
      <c r="X167">
        <v>-1</v>
      </c>
      <c r="Y167">
        <v>8</v>
      </c>
      <c r="Z167">
        <v>10</v>
      </c>
      <c r="AA167">
        <v>-2</v>
      </c>
      <c r="AB167">
        <v>9</v>
      </c>
      <c r="AC167">
        <v>10</v>
      </c>
      <c r="AD167">
        <v>-1</v>
      </c>
      <c r="AE167">
        <v>8</v>
      </c>
      <c r="AF167">
        <v>10</v>
      </c>
      <c r="AG167">
        <v>-2</v>
      </c>
      <c r="AH167">
        <v>9</v>
      </c>
      <c r="AI167">
        <v>8</v>
      </c>
      <c r="AJ167">
        <v>1</v>
      </c>
      <c r="AK167" t="s">
        <v>1934</v>
      </c>
      <c r="AL167" t="s">
        <v>1935</v>
      </c>
      <c r="AM167" t="s">
        <v>1936</v>
      </c>
      <c r="AN167" t="s">
        <v>1937</v>
      </c>
      <c r="AO167" t="s">
        <v>196</v>
      </c>
      <c r="AP167" t="s">
        <v>709</v>
      </c>
      <c r="AQ167" t="s">
        <v>1938</v>
      </c>
      <c r="AR167" t="s">
        <v>1939</v>
      </c>
      <c r="AS167" t="s">
        <v>1940</v>
      </c>
    </row>
    <row r="168" spans="1:45" x14ac:dyDescent="0.45">
      <c r="A168">
        <v>167</v>
      </c>
      <c r="B168">
        <v>208</v>
      </c>
      <c r="C168" t="s">
        <v>73</v>
      </c>
      <c r="D168" t="s">
        <v>68</v>
      </c>
      <c r="E168" t="s">
        <v>69</v>
      </c>
      <c r="F168" t="s">
        <v>70</v>
      </c>
      <c r="G168" t="s">
        <v>71</v>
      </c>
      <c r="H168">
        <v>73.373727280298127</v>
      </c>
      <c r="I168">
        <v>0</v>
      </c>
      <c r="J168">
        <v>7</v>
      </c>
      <c r="K168">
        <v>5</v>
      </c>
      <c r="L168">
        <v>2</v>
      </c>
      <c r="M168">
        <v>7</v>
      </c>
      <c r="N168">
        <v>8</v>
      </c>
      <c r="O168">
        <v>-1</v>
      </c>
      <c r="P168">
        <v>6</v>
      </c>
      <c r="Q168">
        <v>5</v>
      </c>
      <c r="R168">
        <v>1</v>
      </c>
      <c r="S168">
        <v>8</v>
      </c>
      <c r="T168">
        <v>8</v>
      </c>
      <c r="U168">
        <v>0</v>
      </c>
      <c r="V168">
        <v>7</v>
      </c>
      <c r="W168">
        <v>4</v>
      </c>
      <c r="X168">
        <v>3</v>
      </c>
      <c r="Y168">
        <v>8</v>
      </c>
      <c r="Z168">
        <v>5</v>
      </c>
      <c r="AA168">
        <v>3</v>
      </c>
      <c r="AB168">
        <v>7</v>
      </c>
      <c r="AC168">
        <v>1</v>
      </c>
      <c r="AD168">
        <v>6</v>
      </c>
      <c r="AE168">
        <v>6</v>
      </c>
      <c r="AF168">
        <v>5</v>
      </c>
      <c r="AG168">
        <v>1</v>
      </c>
      <c r="AH168">
        <v>9</v>
      </c>
      <c r="AI168">
        <v>5</v>
      </c>
      <c r="AJ168">
        <v>4</v>
      </c>
      <c r="AK168" t="s">
        <v>731</v>
      </c>
      <c r="AL168" t="s">
        <v>1941</v>
      </c>
      <c r="AM168" t="s">
        <v>1942</v>
      </c>
      <c r="AN168" t="s">
        <v>1943</v>
      </c>
      <c r="AO168" t="s">
        <v>1944</v>
      </c>
      <c r="AP168" t="s">
        <v>1945</v>
      </c>
      <c r="AQ168" t="s">
        <v>1946</v>
      </c>
      <c r="AR168" t="s">
        <v>1947</v>
      </c>
      <c r="AS168" t="s">
        <v>1948</v>
      </c>
    </row>
    <row r="169" spans="1:45" x14ac:dyDescent="0.45">
      <c r="A169">
        <v>168</v>
      </c>
      <c r="B169">
        <v>209</v>
      </c>
      <c r="C169" t="s">
        <v>67</v>
      </c>
      <c r="D169" t="s">
        <v>76</v>
      </c>
      <c r="E169" t="s">
        <v>69</v>
      </c>
      <c r="F169" t="s">
        <v>72</v>
      </c>
      <c r="G169" t="s">
        <v>71</v>
      </c>
      <c r="H169">
        <v>20.655452261962822</v>
      </c>
      <c r="I169">
        <v>0</v>
      </c>
      <c r="J169">
        <v>7</v>
      </c>
      <c r="K169">
        <v>7</v>
      </c>
      <c r="L169">
        <v>0</v>
      </c>
      <c r="M169">
        <v>8</v>
      </c>
      <c r="N169">
        <v>7</v>
      </c>
      <c r="O169">
        <v>1</v>
      </c>
      <c r="P169">
        <v>9</v>
      </c>
      <c r="Q169">
        <v>8</v>
      </c>
      <c r="R169">
        <v>1</v>
      </c>
      <c r="S169">
        <v>9</v>
      </c>
      <c r="T169">
        <v>8</v>
      </c>
      <c r="U169">
        <v>1</v>
      </c>
      <c r="V169">
        <v>8</v>
      </c>
      <c r="W169">
        <v>7</v>
      </c>
      <c r="X169">
        <v>1</v>
      </c>
      <c r="Y169">
        <v>8</v>
      </c>
      <c r="Z169">
        <v>8</v>
      </c>
      <c r="AA169">
        <v>0</v>
      </c>
      <c r="AB169">
        <v>7</v>
      </c>
      <c r="AC169">
        <v>8</v>
      </c>
      <c r="AD169">
        <v>-1</v>
      </c>
      <c r="AE169">
        <v>8</v>
      </c>
      <c r="AF169">
        <v>8</v>
      </c>
      <c r="AG169">
        <v>0</v>
      </c>
      <c r="AH169">
        <v>9</v>
      </c>
      <c r="AI169">
        <v>9</v>
      </c>
      <c r="AJ169">
        <v>0</v>
      </c>
      <c r="AK169" t="s">
        <v>1949</v>
      </c>
      <c r="AL169" t="s">
        <v>1950</v>
      </c>
      <c r="AM169" t="s">
        <v>1951</v>
      </c>
      <c r="AN169" t="s">
        <v>1952</v>
      </c>
      <c r="AO169" t="s">
        <v>1953</v>
      </c>
      <c r="AP169" t="s">
        <v>1954</v>
      </c>
      <c r="AQ169" t="s">
        <v>1955</v>
      </c>
      <c r="AR169" t="s">
        <v>1956</v>
      </c>
      <c r="AS169" t="s">
        <v>1957</v>
      </c>
    </row>
    <row r="170" spans="1:45" x14ac:dyDescent="0.45">
      <c r="A170">
        <v>169</v>
      </c>
      <c r="B170">
        <v>210</v>
      </c>
      <c r="C170" t="s">
        <v>73</v>
      </c>
      <c r="D170" t="s">
        <v>74</v>
      </c>
      <c r="E170" t="s">
        <v>69</v>
      </c>
      <c r="F170" t="s">
        <v>72</v>
      </c>
      <c r="G170" t="s">
        <v>71</v>
      </c>
      <c r="H170">
        <v>36.237678039537457</v>
      </c>
      <c r="I170">
        <v>0</v>
      </c>
      <c r="J170">
        <v>8</v>
      </c>
      <c r="K170">
        <v>8</v>
      </c>
      <c r="L170">
        <v>0</v>
      </c>
      <c r="M170">
        <v>9</v>
      </c>
      <c r="N170">
        <v>8</v>
      </c>
      <c r="O170">
        <v>1</v>
      </c>
      <c r="P170">
        <v>7</v>
      </c>
      <c r="Q170">
        <v>7</v>
      </c>
      <c r="R170">
        <v>0</v>
      </c>
      <c r="S170">
        <v>9</v>
      </c>
      <c r="T170">
        <v>8</v>
      </c>
      <c r="U170">
        <v>1</v>
      </c>
      <c r="V170">
        <v>8</v>
      </c>
      <c r="W170">
        <v>7</v>
      </c>
      <c r="X170">
        <v>1</v>
      </c>
      <c r="Y170">
        <v>9</v>
      </c>
      <c r="Z170">
        <v>7</v>
      </c>
      <c r="AA170">
        <v>2</v>
      </c>
      <c r="AB170">
        <v>8</v>
      </c>
      <c r="AC170">
        <v>7</v>
      </c>
      <c r="AD170">
        <v>1</v>
      </c>
      <c r="AE170">
        <v>9</v>
      </c>
      <c r="AF170">
        <v>8</v>
      </c>
      <c r="AG170">
        <v>1</v>
      </c>
      <c r="AH170">
        <v>8</v>
      </c>
      <c r="AI170">
        <v>8</v>
      </c>
      <c r="AJ170">
        <v>0</v>
      </c>
      <c r="AK170" t="s">
        <v>1958</v>
      </c>
      <c r="AL170" t="s">
        <v>1959</v>
      </c>
      <c r="AM170" t="s">
        <v>1960</v>
      </c>
      <c r="AN170" t="s">
        <v>1961</v>
      </c>
      <c r="AO170" t="s">
        <v>1962</v>
      </c>
      <c r="AP170" t="s">
        <v>1963</v>
      </c>
      <c r="AQ170" t="s">
        <v>1964</v>
      </c>
      <c r="AR170" t="s">
        <v>1965</v>
      </c>
      <c r="AS170" t="s">
        <v>1966</v>
      </c>
    </row>
    <row r="171" spans="1:45" x14ac:dyDescent="0.45">
      <c r="A171">
        <v>170</v>
      </c>
      <c r="B171">
        <v>211</v>
      </c>
      <c r="C171" t="s">
        <v>73</v>
      </c>
      <c r="D171" t="s">
        <v>76</v>
      </c>
      <c r="E171" t="s">
        <v>69</v>
      </c>
      <c r="F171" t="s">
        <v>72</v>
      </c>
      <c r="G171" t="s">
        <v>157</v>
      </c>
      <c r="H171">
        <v>16.832813501636757</v>
      </c>
      <c r="I171">
        <v>0</v>
      </c>
      <c r="J171">
        <v>7</v>
      </c>
      <c r="K171">
        <v>5</v>
      </c>
      <c r="L171">
        <v>2</v>
      </c>
      <c r="M171">
        <v>8</v>
      </c>
      <c r="N171">
        <v>8</v>
      </c>
      <c r="O171">
        <v>0</v>
      </c>
      <c r="P171">
        <v>6</v>
      </c>
      <c r="Q171">
        <v>7</v>
      </c>
      <c r="R171">
        <v>-1</v>
      </c>
      <c r="S171">
        <v>9</v>
      </c>
      <c r="T171">
        <v>8</v>
      </c>
      <c r="U171">
        <v>1</v>
      </c>
      <c r="V171">
        <v>7</v>
      </c>
      <c r="W171">
        <v>1</v>
      </c>
      <c r="X171">
        <v>6</v>
      </c>
      <c r="Y171">
        <v>9</v>
      </c>
      <c r="Z171">
        <v>2</v>
      </c>
      <c r="AA171">
        <v>7</v>
      </c>
      <c r="AB171">
        <v>7</v>
      </c>
      <c r="AC171">
        <v>3</v>
      </c>
      <c r="AD171">
        <v>4</v>
      </c>
      <c r="AE171">
        <v>6</v>
      </c>
      <c r="AF171">
        <v>3</v>
      </c>
      <c r="AG171">
        <v>3</v>
      </c>
      <c r="AH171">
        <v>9</v>
      </c>
      <c r="AI171">
        <v>7</v>
      </c>
      <c r="AJ171">
        <v>2</v>
      </c>
      <c r="AK171" t="s">
        <v>1967</v>
      </c>
      <c r="AL171" t="s">
        <v>1968</v>
      </c>
      <c r="AM171" t="s">
        <v>1969</v>
      </c>
      <c r="AN171" t="s">
        <v>1970</v>
      </c>
      <c r="AO171" t="s">
        <v>1971</v>
      </c>
      <c r="AP171" t="s">
        <v>1972</v>
      </c>
      <c r="AQ171" t="s">
        <v>1973</v>
      </c>
      <c r="AR171" t="s">
        <v>1974</v>
      </c>
      <c r="AS171" t="s">
        <v>1975</v>
      </c>
    </row>
    <row r="172" spans="1:45" x14ac:dyDescent="0.45">
      <c r="A172">
        <v>171</v>
      </c>
      <c r="B172">
        <v>212</v>
      </c>
      <c r="C172" t="s">
        <v>73</v>
      </c>
      <c r="D172" t="s">
        <v>184</v>
      </c>
      <c r="E172" t="s">
        <v>69</v>
      </c>
      <c r="F172" t="s">
        <v>72</v>
      </c>
      <c r="G172" t="s">
        <v>71</v>
      </c>
      <c r="H172">
        <v>12</v>
      </c>
      <c r="I172">
        <v>0</v>
      </c>
      <c r="J172">
        <v>6</v>
      </c>
      <c r="K172">
        <v>6</v>
      </c>
      <c r="L172">
        <v>0</v>
      </c>
      <c r="M172">
        <v>8</v>
      </c>
      <c r="N172">
        <v>7</v>
      </c>
      <c r="O172">
        <v>1</v>
      </c>
      <c r="P172">
        <v>7</v>
      </c>
      <c r="Q172">
        <v>5</v>
      </c>
      <c r="R172">
        <v>2</v>
      </c>
      <c r="S172">
        <v>9</v>
      </c>
      <c r="T172">
        <v>7</v>
      </c>
      <c r="U172">
        <v>2</v>
      </c>
      <c r="V172">
        <v>8</v>
      </c>
      <c r="W172">
        <v>7</v>
      </c>
      <c r="X172">
        <v>1</v>
      </c>
      <c r="Y172">
        <v>7</v>
      </c>
      <c r="Z172">
        <v>7</v>
      </c>
      <c r="AA172">
        <v>0</v>
      </c>
      <c r="AB172">
        <v>8</v>
      </c>
      <c r="AC172">
        <v>5</v>
      </c>
      <c r="AD172">
        <v>3</v>
      </c>
      <c r="AE172">
        <v>7</v>
      </c>
      <c r="AF172">
        <v>7</v>
      </c>
      <c r="AG172">
        <v>0</v>
      </c>
      <c r="AH172">
        <v>9</v>
      </c>
      <c r="AI172">
        <v>7</v>
      </c>
      <c r="AJ172">
        <v>2</v>
      </c>
      <c r="AK172" t="s">
        <v>501</v>
      </c>
      <c r="AL172" t="s">
        <v>502</v>
      </c>
      <c r="AM172" t="s">
        <v>503</v>
      </c>
      <c r="AN172" t="s">
        <v>504</v>
      </c>
      <c r="AO172" t="s">
        <v>505</v>
      </c>
      <c r="AP172" t="s">
        <v>506</v>
      </c>
      <c r="AQ172" t="s">
        <v>507</v>
      </c>
      <c r="AR172" t="s">
        <v>508</v>
      </c>
      <c r="AS172" t="s">
        <v>509</v>
      </c>
    </row>
    <row r="173" spans="1:45" x14ac:dyDescent="0.45">
      <c r="A173">
        <v>172</v>
      </c>
      <c r="B173">
        <v>213</v>
      </c>
      <c r="C173" t="s">
        <v>73</v>
      </c>
      <c r="D173" t="s">
        <v>187</v>
      </c>
      <c r="E173" t="s">
        <v>69</v>
      </c>
      <c r="F173" t="s">
        <v>70</v>
      </c>
      <c r="G173" t="s">
        <v>71</v>
      </c>
      <c r="H173">
        <v>167.27835404196111</v>
      </c>
      <c r="I173">
        <v>4</v>
      </c>
      <c r="J173">
        <v>8</v>
      </c>
      <c r="K173">
        <v>8</v>
      </c>
      <c r="L173">
        <v>0</v>
      </c>
      <c r="M173">
        <v>6</v>
      </c>
      <c r="N173">
        <v>8</v>
      </c>
      <c r="O173">
        <v>-2</v>
      </c>
      <c r="P173">
        <v>7</v>
      </c>
      <c r="Q173">
        <v>8</v>
      </c>
      <c r="R173">
        <v>-1</v>
      </c>
      <c r="S173">
        <v>9</v>
      </c>
      <c r="T173">
        <v>9</v>
      </c>
      <c r="U173">
        <v>0</v>
      </c>
      <c r="V173">
        <v>8</v>
      </c>
      <c r="W173">
        <v>9</v>
      </c>
      <c r="X173">
        <v>-1</v>
      </c>
      <c r="Y173">
        <v>9</v>
      </c>
      <c r="Z173">
        <v>5</v>
      </c>
      <c r="AA173">
        <v>4</v>
      </c>
      <c r="AB173">
        <v>8</v>
      </c>
      <c r="AC173">
        <v>5</v>
      </c>
      <c r="AD173">
        <v>3</v>
      </c>
      <c r="AE173">
        <v>9</v>
      </c>
      <c r="AF173">
        <v>8</v>
      </c>
      <c r="AG173">
        <v>1</v>
      </c>
      <c r="AH173">
        <v>9</v>
      </c>
      <c r="AI173">
        <v>6</v>
      </c>
      <c r="AJ173">
        <v>3</v>
      </c>
      <c r="AK173" t="s">
        <v>198</v>
      </c>
      <c r="AL173" t="s">
        <v>198</v>
      </c>
      <c r="AM173" t="s">
        <v>198</v>
      </c>
      <c r="AN173" t="s">
        <v>198</v>
      </c>
      <c r="AO173" t="s">
        <v>198</v>
      </c>
      <c r="AP173" t="s">
        <v>198</v>
      </c>
      <c r="AQ173" t="s">
        <v>198</v>
      </c>
      <c r="AR173" t="s">
        <v>198</v>
      </c>
      <c r="AS173" t="s">
        <v>198</v>
      </c>
    </row>
    <row r="174" spans="1:45" x14ac:dyDescent="0.45">
      <c r="A174">
        <v>173</v>
      </c>
      <c r="B174">
        <v>214</v>
      </c>
      <c r="C174" t="s">
        <v>67</v>
      </c>
      <c r="D174" t="s">
        <v>74</v>
      </c>
      <c r="E174" t="s">
        <v>69</v>
      </c>
      <c r="F174" t="s">
        <v>72</v>
      </c>
      <c r="G174" t="s">
        <v>71</v>
      </c>
      <c r="H174">
        <v>88.032191317746083</v>
      </c>
      <c r="I174">
        <v>3</v>
      </c>
      <c r="J174">
        <v>7</v>
      </c>
      <c r="K174">
        <v>5</v>
      </c>
      <c r="L174">
        <v>2</v>
      </c>
      <c r="M174">
        <v>8</v>
      </c>
      <c r="N174">
        <v>5</v>
      </c>
      <c r="O174">
        <v>3</v>
      </c>
      <c r="P174">
        <v>7</v>
      </c>
      <c r="Q174">
        <v>4</v>
      </c>
      <c r="R174">
        <v>3</v>
      </c>
      <c r="S174">
        <v>9</v>
      </c>
      <c r="T174">
        <v>6</v>
      </c>
      <c r="U174">
        <v>3</v>
      </c>
      <c r="V174">
        <v>8</v>
      </c>
      <c r="W174">
        <v>5</v>
      </c>
      <c r="X174">
        <v>3</v>
      </c>
      <c r="Y174">
        <v>9</v>
      </c>
      <c r="Z174">
        <v>4</v>
      </c>
      <c r="AA174">
        <v>5</v>
      </c>
      <c r="AB174">
        <v>8</v>
      </c>
      <c r="AC174">
        <v>4</v>
      </c>
      <c r="AD174">
        <v>4</v>
      </c>
      <c r="AE174">
        <v>9</v>
      </c>
      <c r="AF174">
        <v>5</v>
      </c>
      <c r="AG174">
        <v>4</v>
      </c>
      <c r="AH174">
        <v>8</v>
      </c>
      <c r="AI174">
        <v>5</v>
      </c>
      <c r="AJ174">
        <v>3</v>
      </c>
      <c r="AK174" t="s">
        <v>1976</v>
      </c>
      <c r="AL174" t="s">
        <v>1977</v>
      </c>
      <c r="AM174" t="s">
        <v>1978</v>
      </c>
      <c r="AN174" t="s">
        <v>1979</v>
      </c>
      <c r="AO174" t="s">
        <v>1980</v>
      </c>
      <c r="AP174" t="s">
        <v>1981</v>
      </c>
      <c r="AQ174" t="s">
        <v>1982</v>
      </c>
      <c r="AR174" t="s">
        <v>1983</v>
      </c>
      <c r="AS174" t="s">
        <v>1984</v>
      </c>
    </row>
    <row r="175" spans="1:45" x14ac:dyDescent="0.45">
      <c r="A175">
        <v>174</v>
      </c>
      <c r="B175">
        <v>215</v>
      </c>
      <c r="C175" t="s">
        <v>67</v>
      </c>
      <c r="D175" t="s">
        <v>76</v>
      </c>
      <c r="E175" t="s">
        <v>69</v>
      </c>
      <c r="F175" t="s">
        <v>72</v>
      </c>
      <c r="G175" t="s">
        <v>71</v>
      </c>
      <c r="H175">
        <v>36.664878031042349</v>
      </c>
      <c r="I175">
        <v>1</v>
      </c>
      <c r="J175">
        <v>6</v>
      </c>
      <c r="K175">
        <v>6</v>
      </c>
      <c r="L175">
        <v>0</v>
      </c>
      <c r="M175">
        <v>7</v>
      </c>
      <c r="N175">
        <v>6</v>
      </c>
      <c r="O175">
        <v>1</v>
      </c>
      <c r="P175">
        <v>8</v>
      </c>
      <c r="Q175">
        <v>6</v>
      </c>
      <c r="R175">
        <v>2</v>
      </c>
      <c r="S175">
        <v>9</v>
      </c>
      <c r="T175">
        <v>6</v>
      </c>
      <c r="U175">
        <v>3</v>
      </c>
      <c r="V175">
        <v>7</v>
      </c>
      <c r="W175">
        <v>7</v>
      </c>
      <c r="X175">
        <v>0</v>
      </c>
      <c r="Y175">
        <v>9</v>
      </c>
      <c r="Z175">
        <v>7</v>
      </c>
      <c r="AA175">
        <v>2</v>
      </c>
      <c r="AB175">
        <v>8</v>
      </c>
      <c r="AC175">
        <v>5</v>
      </c>
      <c r="AD175">
        <v>3</v>
      </c>
      <c r="AE175">
        <v>7</v>
      </c>
      <c r="AF175">
        <v>7</v>
      </c>
      <c r="AG175">
        <v>0</v>
      </c>
      <c r="AH175">
        <v>9</v>
      </c>
      <c r="AI175">
        <v>6</v>
      </c>
      <c r="AJ175">
        <v>3</v>
      </c>
      <c r="AK175" t="s">
        <v>732</v>
      </c>
      <c r="AL175" t="s">
        <v>733</v>
      </c>
      <c r="AM175" t="s">
        <v>734</v>
      </c>
      <c r="AN175" t="s">
        <v>1985</v>
      </c>
      <c r="AO175" t="s">
        <v>1986</v>
      </c>
      <c r="AP175" t="s">
        <v>1987</v>
      </c>
      <c r="AQ175" t="s">
        <v>1988</v>
      </c>
      <c r="AR175" t="s">
        <v>1989</v>
      </c>
      <c r="AS175" t="s">
        <v>1990</v>
      </c>
    </row>
    <row r="176" spans="1:45" x14ac:dyDescent="0.45">
      <c r="A176">
        <v>175</v>
      </c>
      <c r="B176">
        <v>216</v>
      </c>
      <c r="C176" t="s">
        <v>67</v>
      </c>
      <c r="D176" t="s">
        <v>187</v>
      </c>
      <c r="E176" t="s">
        <v>69</v>
      </c>
      <c r="F176" t="s">
        <v>70</v>
      </c>
      <c r="G176" t="s">
        <v>71</v>
      </c>
      <c r="H176">
        <v>164.9346824019967</v>
      </c>
      <c r="I176">
        <v>3</v>
      </c>
      <c r="J176">
        <v>8</v>
      </c>
      <c r="K176">
        <v>4</v>
      </c>
      <c r="L176">
        <v>4</v>
      </c>
      <c r="M176">
        <v>9</v>
      </c>
      <c r="N176">
        <v>5</v>
      </c>
      <c r="O176">
        <v>4</v>
      </c>
      <c r="P176">
        <v>8</v>
      </c>
      <c r="Q176">
        <v>4</v>
      </c>
      <c r="R176">
        <v>4</v>
      </c>
      <c r="S176">
        <v>9</v>
      </c>
      <c r="T176">
        <v>6</v>
      </c>
      <c r="U176">
        <v>3</v>
      </c>
      <c r="V176">
        <v>8</v>
      </c>
      <c r="W176">
        <v>4</v>
      </c>
      <c r="X176">
        <v>4</v>
      </c>
      <c r="Y176">
        <v>9</v>
      </c>
      <c r="Z176">
        <v>4</v>
      </c>
      <c r="AA176">
        <v>5</v>
      </c>
      <c r="AB176">
        <v>8</v>
      </c>
      <c r="AC176">
        <v>4</v>
      </c>
      <c r="AD176">
        <v>4</v>
      </c>
      <c r="AE176">
        <v>9</v>
      </c>
      <c r="AF176">
        <v>5</v>
      </c>
      <c r="AG176">
        <v>4</v>
      </c>
      <c r="AH176">
        <v>8</v>
      </c>
      <c r="AI176">
        <v>4</v>
      </c>
      <c r="AJ176">
        <v>4</v>
      </c>
      <c r="AK176" t="s">
        <v>1991</v>
      </c>
      <c r="AL176" t="s">
        <v>1992</v>
      </c>
      <c r="AM176" t="s">
        <v>1993</v>
      </c>
      <c r="AN176" t="s">
        <v>1994</v>
      </c>
      <c r="AO176" t="s">
        <v>1995</v>
      </c>
      <c r="AP176" t="s">
        <v>1996</v>
      </c>
      <c r="AQ176" t="s">
        <v>1997</v>
      </c>
      <c r="AR176" t="s">
        <v>1998</v>
      </c>
      <c r="AS176" t="s">
        <v>1999</v>
      </c>
    </row>
    <row r="177" spans="1:45" x14ac:dyDescent="0.45">
      <c r="A177">
        <v>176</v>
      </c>
      <c r="B177">
        <v>217</v>
      </c>
      <c r="C177" t="s">
        <v>67</v>
      </c>
      <c r="D177" t="s">
        <v>189</v>
      </c>
      <c r="E177" t="s">
        <v>75</v>
      </c>
      <c r="F177" t="s">
        <v>70</v>
      </c>
      <c r="G177" t="s">
        <v>71</v>
      </c>
      <c r="H177">
        <v>200.91230723985751</v>
      </c>
      <c r="I177">
        <v>0</v>
      </c>
      <c r="J177">
        <v>7</v>
      </c>
      <c r="K177">
        <v>2</v>
      </c>
      <c r="L177">
        <v>5</v>
      </c>
      <c r="M177">
        <v>6</v>
      </c>
      <c r="N177">
        <v>4</v>
      </c>
      <c r="O177">
        <v>2</v>
      </c>
      <c r="P177">
        <v>8</v>
      </c>
      <c r="Q177">
        <v>3</v>
      </c>
      <c r="R177">
        <v>5</v>
      </c>
      <c r="S177">
        <v>9</v>
      </c>
      <c r="T177">
        <v>5</v>
      </c>
      <c r="U177">
        <v>4</v>
      </c>
      <c r="V177">
        <v>7</v>
      </c>
      <c r="W177">
        <v>4</v>
      </c>
      <c r="X177">
        <v>3</v>
      </c>
      <c r="Y177">
        <v>8</v>
      </c>
      <c r="Z177">
        <v>1</v>
      </c>
      <c r="AA177">
        <v>7</v>
      </c>
      <c r="AB177">
        <v>6</v>
      </c>
      <c r="AC177">
        <v>1</v>
      </c>
      <c r="AD177">
        <v>5</v>
      </c>
      <c r="AE177">
        <v>7</v>
      </c>
      <c r="AF177">
        <v>4</v>
      </c>
      <c r="AG177">
        <v>3</v>
      </c>
      <c r="AH177">
        <v>8</v>
      </c>
      <c r="AI177">
        <v>4</v>
      </c>
      <c r="AJ177">
        <v>4</v>
      </c>
      <c r="AK177" t="s">
        <v>2000</v>
      </c>
      <c r="AL177" t="s">
        <v>2001</v>
      </c>
      <c r="AM177" t="s">
        <v>2002</v>
      </c>
      <c r="AN177" t="s">
        <v>2003</v>
      </c>
      <c r="AO177" t="s">
        <v>2004</v>
      </c>
      <c r="AP177" t="s">
        <v>2005</v>
      </c>
      <c r="AQ177" t="s">
        <v>2006</v>
      </c>
      <c r="AR177" t="s">
        <v>2007</v>
      </c>
      <c r="AS177" t="s">
        <v>2008</v>
      </c>
    </row>
    <row r="178" spans="1:45" x14ac:dyDescent="0.45">
      <c r="A178">
        <v>177</v>
      </c>
      <c r="B178">
        <v>218</v>
      </c>
      <c r="C178" t="s">
        <v>67</v>
      </c>
      <c r="D178" t="s">
        <v>187</v>
      </c>
      <c r="E178" t="s">
        <v>69</v>
      </c>
      <c r="F178" t="s">
        <v>70</v>
      </c>
      <c r="G178" t="s">
        <v>71</v>
      </c>
      <c r="H178">
        <v>87.086821540864065</v>
      </c>
      <c r="I178">
        <v>2</v>
      </c>
      <c r="J178">
        <v>7</v>
      </c>
      <c r="K178">
        <v>4</v>
      </c>
      <c r="L178">
        <v>3</v>
      </c>
      <c r="M178">
        <v>8</v>
      </c>
      <c r="N178">
        <v>4</v>
      </c>
      <c r="O178">
        <v>4</v>
      </c>
      <c r="P178">
        <v>9</v>
      </c>
      <c r="Q178">
        <v>3</v>
      </c>
      <c r="R178">
        <v>6</v>
      </c>
      <c r="S178">
        <v>8</v>
      </c>
      <c r="T178">
        <v>5</v>
      </c>
      <c r="U178">
        <v>3</v>
      </c>
      <c r="V178">
        <v>9</v>
      </c>
      <c r="W178">
        <v>3</v>
      </c>
      <c r="X178">
        <v>6</v>
      </c>
      <c r="Y178">
        <v>8</v>
      </c>
      <c r="Z178">
        <v>2</v>
      </c>
      <c r="AA178">
        <v>6</v>
      </c>
      <c r="AB178">
        <v>9</v>
      </c>
      <c r="AC178">
        <v>1</v>
      </c>
      <c r="AD178">
        <v>8</v>
      </c>
      <c r="AE178">
        <v>8</v>
      </c>
      <c r="AF178">
        <v>1</v>
      </c>
      <c r="AG178">
        <v>7</v>
      </c>
      <c r="AH178">
        <v>9</v>
      </c>
      <c r="AI178">
        <v>1</v>
      </c>
      <c r="AJ178">
        <v>8</v>
      </c>
      <c r="AK178" t="s">
        <v>2009</v>
      </c>
      <c r="AL178" t="s">
        <v>2010</v>
      </c>
      <c r="AM178" t="s">
        <v>2011</v>
      </c>
      <c r="AN178" t="s">
        <v>2012</v>
      </c>
      <c r="AO178" t="s">
        <v>2013</v>
      </c>
      <c r="AP178" t="s">
        <v>2014</v>
      </c>
      <c r="AQ178" t="s">
        <v>2015</v>
      </c>
      <c r="AR178" t="s">
        <v>2016</v>
      </c>
      <c r="AS178" t="s">
        <v>2017</v>
      </c>
    </row>
    <row r="179" spans="1:45" x14ac:dyDescent="0.45">
      <c r="A179">
        <v>178</v>
      </c>
      <c r="B179">
        <v>219</v>
      </c>
      <c r="C179" t="s">
        <v>67</v>
      </c>
      <c r="D179" t="s">
        <v>189</v>
      </c>
      <c r="E179" t="s">
        <v>69</v>
      </c>
      <c r="F179" t="s">
        <v>72</v>
      </c>
      <c r="G179" t="s">
        <v>71</v>
      </c>
      <c r="H179">
        <v>44.822563117470658</v>
      </c>
      <c r="I179">
        <v>4</v>
      </c>
      <c r="J179">
        <v>6</v>
      </c>
      <c r="K179">
        <v>6</v>
      </c>
      <c r="L179">
        <v>0</v>
      </c>
      <c r="M179">
        <v>7</v>
      </c>
      <c r="N179">
        <v>7</v>
      </c>
      <c r="O179">
        <v>0</v>
      </c>
      <c r="P179">
        <v>9</v>
      </c>
      <c r="Q179">
        <v>6</v>
      </c>
      <c r="R179">
        <v>3</v>
      </c>
      <c r="S179">
        <v>8</v>
      </c>
      <c r="T179">
        <v>6</v>
      </c>
      <c r="U179">
        <v>2</v>
      </c>
      <c r="V179">
        <v>7</v>
      </c>
      <c r="W179">
        <v>6</v>
      </c>
      <c r="X179">
        <v>1</v>
      </c>
      <c r="Y179">
        <v>8</v>
      </c>
      <c r="Z179">
        <v>7</v>
      </c>
      <c r="AA179">
        <v>1</v>
      </c>
      <c r="AB179">
        <v>6</v>
      </c>
      <c r="AC179">
        <v>5</v>
      </c>
      <c r="AD179">
        <v>1</v>
      </c>
      <c r="AE179">
        <v>7</v>
      </c>
      <c r="AF179">
        <v>6</v>
      </c>
      <c r="AG179">
        <v>1</v>
      </c>
      <c r="AH179">
        <v>9</v>
      </c>
      <c r="AI179">
        <v>7</v>
      </c>
      <c r="AJ179">
        <v>2</v>
      </c>
      <c r="AK179" t="s">
        <v>735</v>
      </c>
      <c r="AL179" t="s">
        <v>2018</v>
      </c>
      <c r="AM179" t="s">
        <v>2019</v>
      </c>
      <c r="AN179" t="s">
        <v>2020</v>
      </c>
      <c r="AO179" t="s">
        <v>2021</v>
      </c>
      <c r="AP179" t="s">
        <v>2022</v>
      </c>
      <c r="AQ179" t="s">
        <v>2023</v>
      </c>
      <c r="AR179" t="s">
        <v>2024</v>
      </c>
      <c r="AS179" t="s">
        <v>2025</v>
      </c>
    </row>
    <row r="180" spans="1:45" x14ac:dyDescent="0.45">
      <c r="A180">
        <v>179</v>
      </c>
      <c r="B180">
        <v>220</v>
      </c>
      <c r="C180" t="s">
        <v>67</v>
      </c>
      <c r="D180" t="s">
        <v>68</v>
      </c>
      <c r="E180" t="s">
        <v>69</v>
      </c>
      <c r="F180" t="s">
        <v>70</v>
      </c>
      <c r="G180" t="s">
        <v>71</v>
      </c>
      <c r="H180">
        <v>26.706149250357065</v>
      </c>
      <c r="I180">
        <v>1</v>
      </c>
      <c r="J180">
        <v>7</v>
      </c>
      <c r="K180">
        <v>7</v>
      </c>
      <c r="L180">
        <v>0</v>
      </c>
      <c r="M180">
        <v>7</v>
      </c>
      <c r="N180">
        <v>7</v>
      </c>
      <c r="O180">
        <v>0</v>
      </c>
      <c r="P180">
        <v>9</v>
      </c>
      <c r="Q180">
        <v>7</v>
      </c>
      <c r="R180">
        <v>2</v>
      </c>
      <c r="S180">
        <v>9</v>
      </c>
      <c r="T180">
        <v>8</v>
      </c>
      <c r="U180">
        <v>1</v>
      </c>
      <c r="V180">
        <v>8</v>
      </c>
      <c r="W180">
        <v>7</v>
      </c>
      <c r="X180">
        <v>1</v>
      </c>
      <c r="Y180">
        <v>9</v>
      </c>
      <c r="Z180">
        <v>8</v>
      </c>
      <c r="AA180">
        <v>1</v>
      </c>
      <c r="AB180">
        <v>8</v>
      </c>
      <c r="AC180">
        <v>7</v>
      </c>
      <c r="AD180">
        <v>1</v>
      </c>
      <c r="AE180">
        <v>7</v>
      </c>
      <c r="AF180">
        <v>7</v>
      </c>
      <c r="AG180">
        <v>0</v>
      </c>
      <c r="AH180">
        <v>9</v>
      </c>
      <c r="AI180">
        <v>8</v>
      </c>
      <c r="AJ180">
        <v>1</v>
      </c>
      <c r="AK180" t="s">
        <v>2026</v>
      </c>
      <c r="AL180" t="s">
        <v>2027</v>
      </c>
      <c r="AM180" t="s">
        <v>2028</v>
      </c>
      <c r="AN180" t="s">
        <v>2029</v>
      </c>
      <c r="AO180" t="s">
        <v>2030</v>
      </c>
      <c r="AP180" t="s">
        <v>2031</v>
      </c>
      <c r="AQ180" t="s">
        <v>2032</v>
      </c>
      <c r="AR180" t="s">
        <v>2033</v>
      </c>
      <c r="AS180" t="s">
        <v>2034</v>
      </c>
    </row>
    <row r="181" spans="1:45" x14ac:dyDescent="0.45">
      <c r="A181">
        <v>180</v>
      </c>
      <c r="B181">
        <v>221</v>
      </c>
      <c r="C181" t="s">
        <v>67</v>
      </c>
      <c r="D181" t="s">
        <v>74</v>
      </c>
      <c r="E181" t="s">
        <v>69</v>
      </c>
      <c r="F181" t="s">
        <v>72</v>
      </c>
      <c r="G181" t="s">
        <v>71</v>
      </c>
      <c r="H181">
        <v>62.297021569555554</v>
      </c>
      <c r="I181">
        <v>1</v>
      </c>
      <c r="J181">
        <v>6</v>
      </c>
      <c r="K181">
        <v>5</v>
      </c>
      <c r="L181">
        <v>1</v>
      </c>
      <c r="M181">
        <v>7</v>
      </c>
      <c r="N181">
        <v>5</v>
      </c>
      <c r="O181">
        <v>2</v>
      </c>
      <c r="P181">
        <v>9</v>
      </c>
      <c r="Q181">
        <v>5</v>
      </c>
      <c r="R181">
        <v>4</v>
      </c>
      <c r="S181">
        <v>8</v>
      </c>
      <c r="T181">
        <v>7</v>
      </c>
      <c r="U181">
        <v>1</v>
      </c>
      <c r="V181">
        <v>9</v>
      </c>
      <c r="W181">
        <v>5</v>
      </c>
      <c r="X181">
        <v>4</v>
      </c>
      <c r="Y181">
        <v>8</v>
      </c>
      <c r="Z181">
        <v>6</v>
      </c>
      <c r="AA181">
        <v>2</v>
      </c>
      <c r="AB181">
        <v>9</v>
      </c>
      <c r="AC181">
        <v>5</v>
      </c>
      <c r="AD181">
        <v>4</v>
      </c>
      <c r="AE181">
        <v>8</v>
      </c>
      <c r="AF181">
        <v>7</v>
      </c>
      <c r="AG181">
        <v>1</v>
      </c>
      <c r="AH181">
        <v>9</v>
      </c>
      <c r="AI181">
        <v>7</v>
      </c>
      <c r="AJ181">
        <v>2</v>
      </c>
      <c r="AK181" t="s">
        <v>736</v>
      </c>
      <c r="AL181" t="s">
        <v>737</v>
      </c>
      <c r="AM181" t="s">
        <v>738</v>
      </c>
      <c r="AN181" t="s">
        <v>2035</v>
      </c>
      <c r="AO181" t="s">
        <v>2036</v>
      </c>
      <c r="AP181" t="s">
        <v>2037</v>
      </c>
      <c r="AQ181" t="s">
        <v>2038</v>
      </c>
      <c r="AR181" t="s">
        <v>2039</v>
      </c>
      <c r="AS181" t="s">
        <v>2040</v>
      </c>
    </row>
    <row r="182" spans="1:45" x14ac:dyDescent="0.45">
      <c r="A182">
        <v>181</v>
      </c>
      <c r="B182">
        <v>222</v>
      </c>
      <c r="C182" t="s">
        <v>67</v>
      </c>
      <c r="D182" t="s">
        <v>68</v>
      </c>
      <c r="E182" t="s">
        <v>69</v>
      </c>
      <c r="F182" t="s">
        <v>70</v>
      </c>
      <c r="G182" t="s">
        <v>71</v>
      </c>
      <c r="H182">
        <v>66.381772253002708</v>
      </c>
      <c r="I182">
        <v>2</v>
      </c>
      <c r="J182">
        <v>6</v>
      </c>
      <c r="K182">
        <v>6</v>
      </c>
      <c r="L182">
        <v>0</v>
      </c>
      <c r="M182">
        <v>6</v>
      </c>
      <c r="N182">
        <v>7</v>
      </c>
      <c r="O182">
        <v>-1</v>
      </c>
      <c r="P182">
        <v>9</v>
      </c>
      <c r="Q182">
        <v>7</v>
      </c>
      <c r="R182">
        <v>2</v>
      </c>
      <c r="S182">
        <v>8</v>
      </c>
      <c r="T182">
        <v>8</v>
      </c>
      <c r="U182">
        <v>0</v>
      </c>
      <c r="V182">
        <v>7</v>
      </c>
      <c r="W182">
        <v>8</v>
      </c>
      <c r="X182">
        <v>-1</v>
      </c>
      <c r="Y182">
        <v>8</v>
      </c>
      <c r="Z182">
        <v>7</v>
      </c>
      <c r="AA182">
        <v>1</v>
      </c>
      <c r="AB182">
        <v>7</v>
      </c>
      <c r="AC182">
        <v>5</v>
      </c>
      <c r="AD182">
        <v>2</v>
      </c>
      <c r="AE182">
        <v>6</v>
      </c>
      <c r="AF182">
        <v>7</v>
      </c>
      <c r="AG182">
        <v>-1</v>
      </c>
      <c r="AH182">
        <v>7</v>
      </c>
      <c r="AI182">
        <v>7</v>
      </c>
      <c r="AJ182">
        <v>0</v>
      </c>
      <c r="AK182" t="s">
        <v>2041</v>
      </c>
      <c r="AL182" t="s">
        <v>2042</v>
      </c>
      <c r="AM182" t="s">
        <v>2043</v>
      </c>
      <c r="AN182" t="s">
        <v>2044</v>
      </c>
      <c r="AO182" t="s">
        <v>2045</v>
      </c>
      <c r="AP182" t="s">
        <v>2046</v>
      </c>
      <c r="AQ182" t="s">
        <v>2047</v>
      </c>
      <c r="AR182" t="s">
        <v>2048</v>
      </c>
      <c r="AS182" t="s">
        <v>2049</v>
      </c>
    </row>
    <row r="183" spans="1:45" x14ac:dyDescent="0.45">
      <c r="A183">
        <v>182</v>
      </c>
      <c r="B183">
        <v>223</v>
      </c>
      <c r="C183" t="s">
        <v>67</v>
      </c>
      <c r="D183" t="s">
        <v>76</v>
      </c>
      <c r="E183" t="s">
        <v>69</v>
      </c>
      <c r="F183" t="s">
        <v>72</v>
      </c>
      <c r="G183" t="s">
        <v>71</v>
      </c>
      <c r="H183">
        <v>29.04912485721059</v>
      </c>
      <c r="I183">
        <v>0</v>
      </c>
      <c r="J183">
        <v>8</v>
      </c>
      <c r="K183">
        <v>8</v>
      </c>
      <c r="L183">
        <v>0</v>
      </c>
      <c r="M183">
        <v>9</v>
      </c>
      <c r="N183">
        <v>8</v>
      </c>
      <c r="O183">
        <v>1</v>
      </c>
      <c r="P183">
        <v>8</v>
      </c>
      <c r="Q183">
        <v>5</v>
      </c>
      <c r="R183">
        <v>3</v>
      </c>
      <c r="S183">
        <v>9</v>
      </c>
      <c r="T183">
        <v>8</v>
      </c>
      <c r="U183">
        <v>1</v>
      </c>
      <c r="V183">
        <v>8</v>
      </c>
      <c r="W183">
        <v>6</v>
      </c>
      <c r="X183">
        <v>2</v>
      </c>
      <c r="Y183">
        <v>9</v>
      </c>
      <c r="Z183">
        <v>8</v>
      </c>
      <c r="AA183">
        <v>1</v>
      </c>
      <c r="AB183">
        <v>8</v>
      </c>
      <c r="AC183">
        <v>6</v>
      </c>
      <c r="AD183">
        <v>2</v>
      </c>
      <c r="AE183">
        <v>9</v>
      </c>
      <c r="AF183">
        <v>7</v>
      </c>
      <c r="AG183">
        <v>2</v>
      </c>
      <c r="AH183">
        <v>9</v>
      </c>
      <c r="AI183">
        <v>7</v>
      </c>
      <c r="AJ183">
        <v>2</v>
      </c>
      <c r="AK183" t="s">
        <v>2050</v>
      </c>
      <c r="AL183" t="s">
        <v>2051</v>
      </c>
      <c r="AM183" t="s">
        <v>2052</v>
      </c>
      <c r="AN183" t="s">
        <v>2053</v>
      </c>
      <c r="AO183" t="s">
        <v>2054</v>
      </c>
      <c r="AP183" t="s">
        <v>2055</v>
      </c>
      <c r="AQ183" t="s">
        <v>2056</v>
      </c>
      <c r="AR183" t="s">
        <v>2057</v>
      </c>
      <c r="AS183" t="s">
        <v>2058</v>
      </c>
    </row>
    <row r="184" spans="1:45" x14ac:dyDescent="0.45">
      <c r="A184">
        <v>183</v>
      </c>
      <c r="B184">
        <v>224</v>
      </c>
      <c r="C184" t="s">
        <v>73</v>
      </c>
      <c r="D184" t="s">
        <v>189</v>
      </c>
      <c r="E184" t="s">
        <v>69</v>
      </c>
      <c r="F184" t="s">
        <v>70</v>
      </c>
      <c r="G184" t="s">
        <v>71</v>
      </c>
      <c r="H184">
        <v>103.07788778142726</v>
      </c>
      <c r="I184">
        <v>3</v>
      </c>
      <c r="J184">
        <v>9</v>
      </c>
      <c r="K184">
        <v>2</v>
      </c>
      <c r="L184">
        <v>7</v>
      </c>
      <c r="M184">
        <v>8</v>
      </c>
      <c r="N184">
        <v>5</v>
      </c>
      <c r="O184">
        <v>3</v>
      </c>
      <c r="P184">
        <v>9</v>
      </c>
      <c r="Q184">
        <v>3</v>
      </c>
      <c r="R184">
        <v>6</v>
      </c>
      <c r="S184">
        <v>8</v>
      </c>
      <c r="T184">
        <v>5</v>
      </c>
      <c r="U184">
        <v>3</v>
      </c>
      <c r="V184">
        <v>9</v>
      </c>
      <c r="W184">
        <v>3</v>
      </c>
      <c r="X184">
        <v>6</v>
      </c>
      <c r="Y184">
        <v>8</v>
      </c>
      <c r="Z184">
        <v>2</v>
      </c>
      <c r="AA184">
        <v>6</v>
      </c>
      <c r="AB184">
        <v>7</v>
      </c>
      <c r="AC184">
        <v>1</v>
      </c>
      <c r="AD184">
        <v>6</v>
      </c>
      <c r="AE184">
        <v>8</v>
      </c>
      <c r="AF184">
        <v>5</v>
      </c>
      <c r="AG184">
        <v>3</v>
      </c>
      <c r="AH184">
        <v>9</v>
      </c>
      <c r="AI184">
        <v>5</v>
      </c>
      <c r="AJ184">
        <v>4</v>
      </c>
      <c r="AK184" t="s">
        <v>510</v>
      </c>
      <c r="AL184" t="s">
        <v>511</v>
      </c>
      <c r="AM184" t="s">
        <v>2059</v>
      </c>
      <c r="AN184" t="s">
        <v>2060</v>
      </c>
      <c r="AO184" t="s">
        <v>2061</v>
      </c>
      <c r="AP184" t="s">
        <v>2062</v>
      </c>
      <c r="AQ184" t="s">
        <v>2063</v>
      </c>
      <c r="AR184" t="s">
        <v>2064</v>
      </c>
      <c r="AS184" t="s">
        <v>2065</v>
      </c>
    </row>
    <row r="185" spans="1:45" x14ac:dyDescent="0.45">
      <c r="A185">
        <v>184</v>
      </c>
      <c r="B185">
        <v>225</v>
      </c>
      <c r="C185" t="s">
        <v>73</v>
      </c>
      <c r="D185" t="s">
        <v>184</v>
      </c>
      <c r="E185" t="s">
        <v>69</v>
      </c>
      <c r="F185" t="s">
        <v>72</v>
      </c>
      <c r="G185" t="s">
        <v>71</v>
      </c>
      <c r="H185">
        <v>13.118534696209883</v>
      </c>
      <c r="I185">
        <v>0</v>
      </c>
      <c r="J185">
        <v>7</v>
      </c>
      <c r="K185">
        <v>6</v>
      </c>
      <c r="L185">
        <v>1</v>
      </c>
      <c r="M185">
        <v>8</v>
      </c>
      <c r="N185">
        <v>6</v>
      </c>
      <c r="O185">
        <v>2</v>
      </c>
      <c r="P185">
        <v>9</v>
      </c>
      <c r="Q185">
        <v>5</v>
      </c>
      <c r="R185">
        <v>4</v>
      </c>
      <c r="S185">
        <v>8</v>
      </c>
      <c r="T185">
        <v>9</v>
      </c>
      <c r="U185">
        <v>-1</v>
      </c>
      <c r="V185">
        <v>7</v>
      </c>
      <c r="W185">
        <v>7</v>
      </c>
      <c r="X185">
        <v>0</v>
      </c>
      <c r="Y185">
        <v>8</v>
      </c>
      <c r="Z185">
        <v>8</v>
      </c>
      <c r="AA185">
        <v>0</v>
      </c>
      <c r="AB185">
        <v>7</v>
      </c>
      <c r="AC185">
        <v>5</v>
      </c>
      <c r="AD185">
        <v>2</v>
      </c>
      <c r="AE185">
        <v>6</v>
      </c>
      <c r="AF185">
        <v>7</v>
      </c>
      <c r="AG185">
        <v>-1</v>
      </c>
      <c r="AH185">
        <v>9</v>
      </c>
      <c r="AI185">
        <v>7</v>
      </c>
      <c r="AJ185">
        <v>2</v>
      </c>
      <c r="AK185" t="s">
        <v>739</v>
      </c>
      <c r="AL185" t="s">
        <v>740</v>
      </c>
      <c r="AM185" t="s">
        <v>741</v>
      </c>
      <c r="AN185" t="s">
        <v>742</v>
      </c>
      <c r="AO185" t="s">
        <v>2066</v>
      </c>
      <c r="AP185" t="s">
        <v>2067</v>
      </c>
      <c r="AQ185" t="s">
        <v>2068</v>
      </c>
      <c r="AR185" t="s">
        <v>2069</v>
      </c>
      <c r="AS185" t="s">
        <v>2070</v>
      </c>
    </row>
    <row r="186" spans="1:45" x14ac:dyDescent="0.45">
      <c r="A186">
        <v>185</v>
      </c>
      <c r="B186">
        <v>226</v>
      </c>
      <c r="C186" t="s">
        <v>67</v>
      </c>
      <c r="D186" t="s">
        <v>74</v>
      </c>
      <c r="E186" t="s">
        <v>75</v>
      </c>
      <c r="F186" t="s">
        <v>72</v>
      </c>
      <c r="G186" t="s">
        <v>157</v>
      </c>
      <c r="H186">
        <v>39.81870042598301</v>
      </c>
      <c r="I186">
        <v>3</v>
      </c>
      <c r="J186">
        <v>6</v>
      </c>
      <c r="K186">
        <v>7</v>
      </c>
      <c r="L186">
        <v>-1</v>
      </c>
      <c r="M186">
        <v>7</v>
      </c>
      <c r="N186">
        <v>7</v>
      </c>
      <c r="O186">
        <v>0</v>
      </c>
      <c r="P186">
        <v>9</v>
      </c>
      <c r="Q186">
        <v>6</v>
      </c>
      <c r="R186">
        <v>3</v>
      </c>
      <c r="S186">
        <v>8</v>
      </c>
      <c r="T186">
        <v>8</v>
      </c>
      <c r="U186">
        <v>0</v>
      </c>
      <c r="V186">
        <v>7</v>
      </c>
      <c r="W186">
        <v>5</v>
      </c>
      <c r="X186">
        <v>2</v>
      </c>
      <c r="Y186">
        <v>9</v>
      </c>
      <c r="Z186">
        <v>5</v>
      </c>
      <c r="AA186">
        <v>4</v>
      </c>
      <c r="AB186">
        <v>7</v>
      </c>
      <c r="AC186">
        <v>5</v>
      </c>
      <c r="AD186">
        <v>2</v>
      </c>
      <c r="AE186">
        <v>6</v>
      </c>
      <c r="AF186">
        <v>6</v>
      </c>
      <c r="AG186">
        <v>0</v>
      </c>
      <c r="AH186">
        <v>8</v>
      </c>
      <c r="AI186">
        <v>5</v>
      </c>
      <c r="AJ186">
        <v>3</v>
      </c>
      <c r="AK186" t="s">
        <v>743</v>
      </c>
      <c r="AL186" t="s">
        <v>2071</v>
      </c>
      <c r="AM186" t="s">
        <v>2072</v>
      </c>
      <c r="AN186" t="s">
        <v>2073</v>
      </c>
      <c r="AO186" t="s">
        <v>2074</v>
      </c>
      <c r="AP186" t="s">
        <v>2075</v>
      </c>
      <c r="AQ186" t="s">
        <v>2076</v>
      </c>
      <c r="AR186" t="s">
        <v>2077</v>
      </c>
      <c r="AS186" t="s">
        <v>2078</v>
      </c>
    </row>
    <row r="187" spans="1:45" x14ac:dyDescent="0.45">
      <c r="A187">
        <v>186</v>
      </c>
      <c r="B187">
        <v>227</v>
      </c>
      <c r="C187" t="s">
        <v>67</v>
      </c>
      <c r="D187" t="s">
        <v>189</v>
      </c>
      <c r="E187" t="s">
        <v>69</v>
      </c>
      <c r="F187" t="s">
        <v>72</v>
      </c>
      <c r="G187" t="s">
        <v>157</v>
      </c>
      <c r="H187">
        <v>15.283385198639611</v>
      </c>
      <c r="I187">
        <v>0</v>
      </c>
      <c r="J187">
        <v>5</v>
      </c>
      <c r="K187">
        <v>7</v>
      </c>
      <c r="L187">
        <v>-2</v>
      </c>
      <c r="M187">
        <v>7</v>
      </c>
      <c r="N187">
        <v>7</v>
      </c>
      <c r="O187">
        <v>0</v>
      </c>
      <c r="P187">
        <v>6</v>
      </c>
      <c r="Q187">
        <v>5</v>
      </c>
      <c r="R187">
        <v>1</v>
      </c>
      <c r="S187">
        <v>7</v>
      </c>
      <c r="T187">
        <v>7</v>
      </c>
      <c r="U187">
        <v>0</v>
      </c>
      <c r="V187">
        <v>5</v>
      </c>
      <c r="W187">
        <v>5</v>
      </c>
      <c r="X187">
        <v>0</v>
      </c>
      <c r="Y187">
        <v>9</v>
      </c>
      <c r="Z187">
        <v>5</v>
      </c>
      <c r="AA187">
        <v>4</v>
      </c>
      <c r="AB187">
        <v>7</v>
      </c>
      <c r="AC187">
        <v>5</v>
      </c>
      <c r="AD187">
        <v>2</v>
      </c>
      <c r="AE187">
        <v>8</v>
      </c>
      <c r="AF187">
        <v>5</v>
      </c>
      <c r="AG187">
        <v>3</v>
      </c>
      <c r="AH187">
        <v>9</v>
      </c>
      <c r="AI187">
        <v>6</v>
      </c>
      <c r="AJ187">
        <v>3</v>
      </c>
      <c r="AK187" t="s">
        <v>2079</v>
      </c>
      <c r="AL187" t="s">
        <v>2080</v>
      </c>
      <c r="AM187" t="s">
        <v>2081</v>
      </c>
      <c r="AN187" t="s">
        <v>2082</v>
      </c>
      <c r="AO187" t="s">
        <v>2083</v>
      </c>
      <c r="AP187" t="s">
        <v>2084</v>
      </c>
      <c r="AQ187" t="s">
        <v>1502</v>
      </c>
      <c r="AR187" t="s">
        <v>2085</v>
      </c>
      <c r="AS187" t="s">
        <v>2086</v>
      </c>
    </row>
    <row r="188" spans="1:45" x14ac:dyDescent="0.45">
      <c r="A188">
        <v>187</v>
      </c>
      <c r="B188">
        <v>228</v>
      </c>
      <c r="C188" t="s">
        <v>73</v>
      </c>
      <c r="D188" t="s">
        <v>74</v>
      </c>
      <c r="E188" t="s">
        <v>69</v>
      </c>
      <c r="F188" t="s">
        <v>70</v>
      </c>
      <c r="G188" t="s">
        <v>71</v>
      </c>
      <c r="H188">
        <v>46.93172428703781</v>
      </c>
      <c r="I188">
        <v>2</v>
      </c>
      <c r="J188">
        <v>5</v>
      </c>
      <c r="K188">
        <v>6</v>
      </c>
      <c r="L188">
        <v>-1</v>
      </c>
      <c r="M188">
        <v>7</v>
      </c>
      <c r="N188">
        <v>7</v>
      </c>
      <c r="O188">
        <v>0</v>
      </c>
      <c r="P188">
        <v>9</v>
      </c>
      <c r="Q188">
        <v>6</v>
      </c>
      <c r="R188">
        <v>3</v>
      </c>
      <c r="S188">
        <v>8</v>
      </c>
      <c r="T188">
        <v>7</v>
      </c>
      <c r="U188">
        <v>1</v>
      </c>
      <c r="V188">
        <v>6</v>
      </c>
      <c r="W188">
        <v>6</v>
      </c>
      <c r="X188">
        <v>0</v>
      </c>
      <c r="Y188">
        <v>8</v>
      </c>
      <c r="Z188">
        <v>6</v>
      </c>
      <c r="AA188">
        <v>2</v>
      </c>
      <c r="AB188">
        <v>7</v>
      </c>
      <c r="AC188">
        <v>5</v>
      </c>
      <c r="AD188">
        <v>2</v>
      </c>
      <c r="AE188">
        <v>8</v>
      </c>
      <c r="AF188">
        <v>5</v>
      </c>
      <c r="AG188">
        <v>3</v>
      </c>
      <c r="AH188">
        <v>9</v>
      </c>
      <c r="AI188">
        <v>6</v>
      </c>
      <c r="AJ188">
        <v>3</v>
      </c>
      <c r="AK188" t="s">
        <v>2087</v>
      </c>
      <c r="AL188" t="s">
        <v>2088</v>
      </c>
      <c r="AM188" t="s">
        <v>2089</v>
      </c>
      <c r="AN188" t="s">
        <v>2090</v>
      </c>
      <c r="AO188" t="s">
        <v>2091</v>
      </c>
      <c r="AP188" t="s">
        <v>2092</v>
      </c>
      <c r="AQ188" t="s">
        <v>2093</v>
      </c>
      <c r="AR188" t="s">
        <v>2094</v>
      </c>
      <c r="AS188" t="s">
        <v>2095</v>
      </c>
    </row>
    <row r="189" spans="1:45" x14ac:dyDescent="0.45">
      <c r="A189">
        <v>188</v>
      </c>
      <c r="B189">
        <v>229</v>
      </c>
      <c r="C189" t="s">
        <v>73</v>
      </c>
      <c r="D189" t="s">
        <v>76</v>
      </c>
      <c r="E189" t="s">
        <v>69</v>
      </c>
      <c r="F189" t="s">
        <v>72</v>
      </c>
      <c r="G189" t="s">
        <v>71</v>
      </c>
      <c r="H189">
        <v>23.279394241536629</v>
      </c>
      <c r="I189">
        <v>1</v>
      </c>
      <c r="J189">
        <v>8</v>
      </c>
      <c r="K189">
        <v>5</v>
      </c>
      <c r="L189">
        <v>3</v>
      </c>
      <c r="M189">
        <v>9</v>
      </c>
      <c r="N189">
        <v>5</v>
      </c>
      <c r="O189">
        <v>4</v>
      </c>
      <c r="P189">
        <v>8</v>
      </c>
      <c r="Q189">
        <v>4</v>
      </c>
      <c r="R189">
        <v>4</v>
      </c>
      <c r="S189">
        <v>9</v>
      </c>
      <c r="T189">
        <v>6</v>
      </c>
      <c r="U189">
        <v>3</v>
      </c>
      <c r="V189">
        <v>8</v>
      </c>
      <c r="W189">
        <v>5</v>
      </c>
      <c r="X189">
        <v>3</v>
      </c>
      <c r="Y189">
        <v>9</v>
      </c>
      <c r="Z189">
        <v>5</v>
      </c>
      <c r="AA189">
        <v>4</v>
      </c>
      <c r="AB189">
        <v>8</v>
      </c>
      <c r="AC189">
        <v>5</v>
      </c>
      <c r="AD189">
        <v>3</v>
      </c>
      <c r="AE189">
        <v>9</v>
      </c>
      <c r="AF189">
        <v>5</v>
      </c>
      <c r="AG189">
        <v>4</v>
      </c>
      <c r="AH189">
        <v>9</v>
      </c>
      <c r="AI189">
        <v>5</v>
      </c>
      <c r="AJ189">
        <v>4</v>
      </c>
      <c r="AK189" t="s">
        <v>2096</v>
      </c>
      <c r="AL189" t="s">
        <v>2097</v>
      </c>
      <c r="AM189" t="s">
        <v>2098</v>
      </c>
      <c r="AN189" t="s">
        <v>2099</v>
      </c>
      <c r="AO189" t="s">
        <v>2100</v>
      </c>
      <c r="AP189" t="s">
        <v>2101</v>
      </c>
      <c r="AQ189" t="s">
        <v>2102</v>
      </c>
      <c r="AR189" t="s">
        <v>2103</v>
      </c>
      <c r="AS189" t="s">
        <v>2104</v>
      </c>
    </row>
    <row r="190" spans="1:45" x14ac:dyDescent="0.45">
      <c r="A190">
        <v>189</v>
      </c>
      <c r="B190">
        <v>230</v>
      </c>
      <c r="C190" t="s">
        <v>73</v>
      </c>
      <c r="D190" t="s">
        <v>74</v>
      </c>
      <c r="E190" t="s">
        <v>69</v>
      </c>
      <c r="F190" t="s">
        <v>72</v>
      </c>
      <c r="G190" t="s">
        <v>71</v>
      </c>
      <c r="H190">
        <v>48.639861751403579</v>
      </c>
      <c r="I190">
        <v>2</v>
      </c>
      <c r="J190">
        <v>7</v>
      </c>
      <c r="K190">
        <v>8</v>
      </c>
      <c r="L190">
        <v>-1</v>
      </c>
      <c r="M190">
        <v>9</v>
      </c>
      <c r="N190">
        <v>8</v>
      </c>
      <c r="O190">
        <v>1</v>
      </c>
      <c r="P190">
        <v>8</v>
      </c>
      <c r="Q190">
        <v>5</v>
      </c>
      <c r="R190">
        <v>3</v>
      </c>
      <c r="S190">
        <v>9</v>
      </c>
      <c r="T190">
        <v>7</v>
      </c>
      <c r="U190">
        <v>2</v>
      </c>
      <c r="V190">
        <v>7</v>
      </c>
      <c r="W190">
        <v>6</v>
      </c>
      <c r="X190">
        <v>1</v>
      </c>
      <c r="Y190">
        <v>8</v>
      </c>
      <c r="Z190">
        <v>8</v>
      </c>
      <c r="AA190">
        <v>0</v>
      </c>
      <c r="AB190">
        <v>7</v>
      </c>
      <c r="AC190">
        <v>5</v>
      </c>
      <c r="AD190">
        <v>2</v>
      </c>
      <c r="AE190">
        <v>8</v>
      </c>
      <c r="AF190">
        <v>7</v>
      </c>
      <c r="AG190">
        <v>1</v>
      </c>
      <c r="AH190">
        <v>9</v>
      </c>
      <c r="AI190">
        <v>8</v>
      </c>
      <c r="AJ190">
        <v>1</v>
      </c>
      <c r="AK190" t="s">
        <v>2105</v>
      </c>
      <c r="AL190" t="s">
        <v>2106</v>
      </c>
      <c r="AM190" t="s">
        <v>2107</v>
      </c>
      <c r="AN190" t="s">
        <v>2108</v>
      </c>
      <c r="AO190" t="s">
        <v>2109</v>
      </c>
      <c r="AP190" t="s">
        <v>2110</v>
      </c>
      <c r="AQ190" t="s">
        <v>2111</v>
      </c>
      <c r="AR190" t="s">
        <v>2112</v>
      </c>
      <c r="AS190" t="s">
        <v>2113</v>
      </c>
    </row>
    <row r="191" spans="1:45" x14ac:dyDescent="0.45">
      <c r="A191">
        <v>190</v>
      </c>
      <c r="B191">
        <v>231</v>
      </c>
      <c r="C191" t="s">
        <v>73</v>
      </c>
      <c r="D191" t="s">
        <v>76</v>
      </c>
      <c r="E191" t="s">
        <v>69</v>
      </c>
      <c r="F191" t="s">
        <v>70</v>
      </c>
      <c r="G191" t="s">
        <v>71</v>
      </c>
      <c r="H191">
        <v>30.116307536128566</v>
      </c>
      <c r="I191">
        <v>0</v>
      </c>
      <c r="J191">
        <v>9</v>
      </c>
      <c r="K191">
        <v>7</v>
      </c>
      <c r="L191">
        <v>2</v>
      </c>
      <c r="M191">
        <v>8</v>
      </c>
      <c r="N191">
        <v>7</v>
      </c>
      <c r="O191">
        <v>1</v>
      </c>
      <c r="P191">
        <v>9</v>
      </c>
      <c r="Q191">
        <v>7</v>
      </c>
      <c r="R191">
        <v>2</v>
      </c>
      <c r="S191">
        <v>8</v>
      </c>
      <c r="T191">
        <v>8</v>
      </c>
      <c r="U191">
        <v>0</v>
      </c>
      <c r="V191">
        <v>9</v>
      </c>
      <c r="W191">
        <v>3</v>
      </c>
      <c r="X191">
        <v>6</v>
      </c>
      <c r="Y191">
        <v>8</v>
      </c>
      <c r="Z191">
        <v>3</v>
      </c>
      <c r="AA191">
        <v>5</v>
      </c>
      <c r="AB191">
        <v>9</v>
      </c>
      <c r="AC191">
        <v>2</v>
      </c>
      <c r="AD191">
        <v>7</v>
      </c>
      <c r="AE191">
        <v>7</v>
      </c>
      <c r="AF191">
        <v>3</v>
      </c>
      <c r="AG191">
        <v>4</v>
      </c>
      <c r="AH191">
        <v>9</v>
      </c>
      <c r="AI191">
        <v>8</v>
      </c>
      <c r="AJ191">
        <v>1</v>
      </c>
      <c r="AK191" t="s">
        <v>2114</v>
      </c>
      <c r="AL191" t="s">
        <v>2115</v>
      </c>
      <c r="AM191" t="s">
        <v>2116</v>
      </c>
      <c r="AN191" t="s">
        <v>2117</v>
      </c>
      <c r="AO191" t="s">
        <v>2118</v>
      </c>
      <c r="AP191" t="s">
        <v>2119</v>
      </c>
      <c r="AQ191" t="s">
        <v>2120</v>
      </c>
      <c r="AR191" t="s">
        <v>2121</v>
      </c>
      <c r="AS191" t="s">
        <v>2122</v>
      </c>
    </row>
    <row r="192" spans="1:45" x14ac:dyDescent="0.45">
      <c r="A192">
        <v>191</v>
      </c>
      <c r="B192">
        <v>232</v>
      </c>
      <c r="C192" t="s">
        <v>73</v>
      </c>
      <c r="D192" t="s">
        <v>68</v>
      </c>
      <c r="E192" t="s">
        <v>69</v>
      </c>
      <c r="F192" t="s">
        <v>70</v>
      </c>
      <c r="G192" t="s">
        <v>71</v>
      </c>
      <c r="H192">
        <v>68.771751337108086</v>
      </c>
      <c r="I192">
        <v>3</v>
      </c>
      <c r="J192">
        <v>8</v>
      </c>
      <c r="K192">
        <v>7</v>
      </c>
      <c r="L192">
        <v>1</v>
      </c>
      <c r="M192">
        <v>7</v>
      </c>
      <c r="N192">
        <v>7</v>
      </c>
      <c r="O192">
        <v>0</v>
      </c>
      <c r="P192">
        <v>9</v>
      </c>
      <c r="Q192">
        <v>6</v>
      </c>
      <c r="R192">
        <v>3</v>
      </c>
      <c r="S192">
        <v>8</v>
      </c>
      <c r="T192">
        <v>8</v>
      </c>
      <c r="U192">
        <v>0</v>
      </c>
      <c r="V192">
        <v>6</v>
      </c>
      <c r="W192">
        <v>7</v>
      </c>
      <c r="X192">
        <v>-1</v>
      </c>
      <c r="Y192">
        <v>7</v>
      </c>
      <c r="Z192">
        <v>8</v>
      </c>
      <c r="AA192">
        <v>-1</v>
      </c>
      <c r="AB192">
        <v>6</v>
      </c>
      <c r="AC192">
        <v>7</v>
      </c>
      <c r="AD192">
        <v>-1</v>
      </c>
      <c r="AE192">
        <v>7</v>
      </c>
      <c r="AF192">
        <v>7</v>
      </c>
      <c r="AG192">
        <v>0</v>
      </c>
      <c r="AH192">
        <v>9</v>
      </c>
      <c r="AI192">
        <v>7</v>
      </c>
      <c r="AJ192">
        <v>2</v>
      </c>
      <c r="AK192" t="s">
        <v>2123</v>
      </c>
      <c r="AL192" t="s">
        <v>2124</v>
      </c>
      <c r="AM192" t="s">
        <v>2125</v>
      </c>
      <c r="AN192" t="s">
        <v>2126</v>
      </c>
      <c r="AO192" t="s">
        <v>2127</v>
      </c>
      <c r="AP192" t="s">
        <v>2128</v>
      </c>
      <c r="AQ192" t="s">
        <v>2129</v>
      </c>
      <c r="AR192" t="s">
        <v>2130</v>
      </c>
      <c r="AS192" t="s">
        <v>2131</v>
      </c>
    </row>
    <row r="193" spans="1:45" x14ac:dyDescent="0.45">
      <c r="A193">
        <v>192</v>
      </c>
      <c r="B193">
        <v>233</v>
      </c>
      <c r="C193" t="s">
        <v>67</v>
      </c>
      <c r="D193" t="s">
        <v>184</v>
      </c>
      <c r="E193" t="s">
        <v>69</v>
      </c>
      <c r="F193" t="s">
        <v>72</v>
      </c>
      <c r="G193" t="s">
        <v>71</v>
      </c>
      <c r="H193">
        <v>18.636331126654493</v>
      </c>
      <c r="I193">
        <v>0</v>
      </c>
      <c r="J193">
        <v>6</v>
      </c>
      <c r="K193">
        <v>8</v>
      </c>
      <c r="L193">
        <v>-2</v>
      </c>
      <c r="M193">
        <v>7</v>
      </c>
      <c r="N193">
        <v>8</v>
      </c>
      <c r="O193">
        <v>-1</v>
      </c>
      <c r="P193">
        <v>6</v>
      </c>
      <c r="Q193">
        <v>9</v>
      </c>
      <c r="R193">
        <v>-3</v>
      </c>
      <c r="S193">
        <v>8</v>
      </c>
      <c r="T193">
        <v>9</v>
      </c>
      <c r="U193">
        <v>-1</v>
      </c>
      <c r="V193">
        <v>9</v>
      </c>
      <c r="W193">
        <v>9</v>
      </c>
      <c r="X193">
        <v>0</v>
      </c>
      <c r="Y193">
        <v>9</v>
      </c>
      <c r="Z193">
        <v>9</v>
      </c>
      <c r="AA193">
        <v>0</v>
      </c>
      <c r="AB193">
        <v>8</v>
      </c>
      <c r="AC193">
        <v>8</v>
      </c>
      <c r="AD193">
        <v>0</v>
      </c>
      <c r="AE193">
        <v>7</v>
      </c>
      <c r="AF193">
        <v>8</v>
      </c>
      <c r="AG193">
        <v>-1</v>
      </c>
      <c r="AH193">
        <v>9</v>
      </c>
      <c r="AI193">
        <v>9</v>
      </c>
      <c r="AJ193">
        <v>0</v>
      </c>
      <c r="AK193" t="s">
        <v>512</v>
      </c>
      <c r="AL193" t="s">
        <v>513</v>
      </c>
      <c r="AM193" t="s">
        <v>514</v>
      </c>
      <c r="AN193" t="s">
        <v>2132</v>
      </c>
      <c r="AO193" t="s">
        <v>2133</v>
      </c>
      <c r="AP193" t="s">
        <v>2134</v>
      </c>
      <c r="AQ193" t="s">
        <v>2135</v>
      </c>
      <c r="AR193" t="s">
        <v>2136</v>
      </c>
      <c r="AS193" t="s">
        <v>2137</v>
      </c>
    </row>
    <row r="194" spans="1:45" x14ac:dyDescent="0.45">
      <c r="A194">
        <v>193</v>
      </c>
      <c r="B194">
        <v>234</v>
      </c>
      <c r="C194" t="s">
        <v>67</v>
      </c>
      <c r="D194" t="s">
        <v>74</v>
      </c>
      <c r="E194" t="s">
        <v>69</v>
      </c>
      <c r="F194" t="s">
        <v>72</v>
      </c>
      <c r="G194" t="s">
        <v>71</v>
      </c>
      <c r="H194">
        <v>27.825111441310725</v>
      </c>
      <c r="I194">
        <v>2</v>
      </c>
      <c r="J194">
        <v>8</v>
      </c>
      <c r="K194">
        <v>1</v>
      </c>
      <c r="L194">
        <v>7</v>
      </c>
      <c r="M194">
        <v>9</v>
      </c>
      <c r="N194">
        <v>1</v>
      </c>
      <c r="O194">
        <v>8</v>
      </c>
      <c r="P194">
        <v>8</v>
      </c>
      <c r="Q194">
        <v>7</v>
      </c>
      <c r="R194">
        <v>1</v>
      </c>
      <c r="S194">
        <v>9</v>
      </c>
      <c r="T194">
        <v>5</v>
      </c>
      <c r="U194">
        <v>4</v>
      </c>
      <c r="V194">
        <v>8</v>
      </c>
      <c r="W194">
        <v>5</v>
      </c>
      <c r="X194">
        <v>3</v>
      </c>
      <c r="Y194">
        <v>9</v>
      </c>
      <c r="Z194">
        <v>7</v>
      </c>
      <c r="AA194">
        <v>2</v>
      </c>
      <c r="AB194">
        <v>8</v>
      </c>
      <c r="AC194">
        <v>2</v>
      </c>
      <c r="AD194">
        <v>6</v>
      </c>
      <c r="AE194">
        <v>9</v>
      </c>
      <c r="AF194">
        <v>5</v>
      </c>
      <c r="AG194">
        <v>4</v>
      </c>
      <c r="AH194">
        <v>8</v>
      </c>
      <c r="AI194">
        <v>5</v>
      </c>
      <c r="AJ194">
        <v>3</v>
      </c>
      <c r="AK194" t="s">
        <v>2138</v>
      </c>
      <c r="AL194" t="s">
        <v>2139</v>
      </c>
      <c r="AM194" t="s">
        <v>2140</v>
      </c>
      <c r="AN194" t="s">
        <v>2141</v>
      </c>
      <c r="AO194" t="s">
        <v>2142</v>
      </c>
      <c r="AP194" t="s">
        <v>2143</v>
      </c>
      <c r="AQ194" t="s">
        <v>2144</v>
      </c>
      <c r="AR194" t="s">
        <v>2145</v>
      </c>
      <c r="AS194" t="s">
        <v>2146</v>
      </c>
    </row>
    <row r="195" spans="1:45" x14ac:dyDescent="0.45">
      <c r="A195">
        <v>194</v>
      </c>
      <c r="B195">
        <v>235</v>
      </c>
      <c r="C195" t="s">
        <v>67</v>
      </c>
      <c r="D195" t="s">
        <v>68</v>
      </c>
      <c r="E195" t="s">
        <v>69</v>
      </c>
      <c r="F195" t="s">
        <v>72</v>
      </c>
      <c r="G195" t="s">
        <v>71</v>
      </c>
      <c r="H195">
        <v>18.082461690557448</v>
      </c>
      <c r="I195">
        <v>1</v>
      </c>
      <c r="J195">
        <v>8</v>
      </c>
      <c r="K195">
        <v>10</v>
      </c>
      <c r="L195">
        <v>-2</v>
      </c>
      <c r="M195">
        <v>9</v>
      </c>
      <c r="N195">
        <v>10</v>
      </c>
      <c r="O195">
        <v>-1</v>
      </c>
      <c r="P195">
        <v>8</v>
      </c>
      <c r="Q195">
        <v>6</v>
      </c>
      <c r="R195">
        <v>2</v>
      </c>
      <c r="S195">
        <v>9</v>
      </c>
      <c r="T195">
        <v>4</v>
      </c>
      <c r="U195">
        <v>5</v>
      </c>
      <c r="V195">
        <v>8</v>
      </c>
      <c r="W195">
        <v>8</v>
      </c>
      <c r="X195">
        <v>0</v>
      </c>
      <c r="Y195">
        <v>9</v>
      </c>
      <c r="Z195">
        <v>3</v>
      </c>
      <c r="AA195">
        <v>6</v>
      </c>
      <c r="AB195">
        <v>8</v>
      </c>
      <c r="AC195">
        <v>10</v>
      </c>
      <c r="AD195">
        <v>-2</v>
      </c>
      <c r="AE195">
        <v>9</v>
      </c>
      <c r="AF195">
        <v>10</v>
      </c>
      <c r="AG195">
        <v>-1</v>
      </c>
      <c r="AH195">
        <v>9</v>
      </c>
      <c r="AI195">
        <v>10</v>
      </c>
      <c r="AJ195">
        <v>-1</v>
      </c>
      <c r="AK195" t="s">
        <v>2147</v>
      </c>
      <c r="AL195" t="s">
        <v>2148</v>
      </c>
      <c r="AM195" t="s">
        <v>2149</v>
      </c>
      <c r="AN195" t="s">
        <v>2150</v>
      </c>
      <c r="AO195" t="s">
        <v>2151</v>
      </c>
      <c r="AP195" t="s">
        <v>2152</v>
      </c>
      <c r="AQ195" t="s">
        <v>2153</v>
      </c>
      <c r="AR195" t="s">
        <v>2154</v>
      </c>
      <c r="AS195" t="s">
        <v>2155</v>
      </c>
    </row>
    <row r="196" spans="1:45" x14ac:dyDescent="0.45">
      <c r="A196">
        <v>195</v>
      </c>
      <c r="B196">
        <v>236</v>
      </c>
      <c r="C196" t="s">
        <v>67</v>
      </c>
      <c r="D196" t="s">
        <v>76</v>
      </c>
      <c r="E196" t="s">
        <v>69</v>
      </c>
      <c r="F196" t="s">
        <v>72</v>
      </c>
      <c r="G196" t="s">
        <v>71</v>
      </c>
      <c r="H196">
        <v>14.025094621683548</v>
      </c>
      <c r="I196">
        <v>1</v>
      </c>
      <c r="J196">
        <v>4</v>
      </c>
      <c r="K196">
        <v>9</v>
      </c>
      <c r="L196">
        <v>-5</v>
      </c>
      <c r="M196">
        <v>5</v>
      </c>
      <c r="N196">
        <v>9</v>
      </c>
      <c r="O196">
        <v>-4</v>
      </c>
      <c r="P196">
        <v>9</v>
      </c>
      <c r="Q196">
        <v>5</v>
      </c>
      <c r="R196">
        <v>4</v>
      </c>
      <c r="S196">
        <v>8</v>
      </c>
      <c r="T196">
        <v>5</v>
      </c>
      <c r="U196">
        <v>3</v>
      </c>
      <c r="V196">
        <v>7</v>
      </c>
      <c r="W196">
        <v>7</v>
      </c>
      <c r="X196">
        <v>0</v>
      </c>
      <c r="Y196">
        <v>9</v>
      </c>
      <c r="Z196">
        <v>7</v>
      </c>
      <c r="AA196">
        <v>2</v>
      </c>
      <c r="AB196">
        <v>6</v>
      </c>
      <c r="AC196">
        <v>8</v>
      </c>
      <c r="AD196">
        <v>-2</v>
      </c>
      <c r="AE196">
        <v>8</v>
      </c>
      <c r="AF196">
        <v>8</v>
      </c>
      <c r="AG196">
        <v>0</v>
      </c>
      <c r="AH196">
        <v>9</v>
      </c>
      <c r="AI196">
        <v>8</v>
      </c>
      <c r="AJ196">
        <v>1</v>
      </c>
      <c r="AK196" t="s">
        <v>2156</v>
      </c>
      <c r="AL196" t="s">
        <v>2157</v>
      </c>
      <c r="AM196" t="s">
        <v>2158</v>
      </c>
      <c r="AN196" t="s">
        <v>2159</v>
      </c>
      <c r="AO196" t="s">
        <v>2160</v>
      </c>
      <c r="AP196" t="s">
        <v>2161</v>
      </c>
      <c r="AQ196" t="s">
        <v>2162</v>
      </c>
      <c r="AR196" t="s">
        <v>2163</v>
      </c>
      <c r="AS196" t="s">
        <v>2164</v>
      </c>
    </row>
    <row r="197" spans="1:45" x14ac:dyDescent="0.45">
      <c r="A197">
        <v>196</v>
      </c>
      <c r="B197">
        <v>237</v>
      </c>
      <c r="C197" t="s">
        <v>73</v>
      </c>
      <c r="D197" t="s">
        <v>74</v>
      </c>
      <c r="E197" t="s">
        <v>69</v>
      </c>
      <c r="F197" t="s">
        <v>72</v>
      </c>
      <c r="G197" t="s">
        <v>71</v>
      </c>
      <c r="H197">
        <v>16.550863679909991</v>
      </c>
      <c r="I197">
        <v>2</v>
      </c>
      <c r="J197">
        <v>7</v>
      </c>
      <c r="K197">
        <v>9</v>
      </c>
      <c r="L197">
        <v>-2</v>
      </c>
      <c r="M197">
        <v>6</v>
      </c>
      <c r="N197">
        <v>9</v>
      </c>
      <c r="O197">
        <v>-3</v>
      </c>
      <c r="P197">
        <v>8</v>
      </c>
      <c r="Q197">
        <v>9</v>
      </c>
      <c r="R197">
        <v>-1</v>
      </c>
      <c r="S197">
        <v>9</v>
      </c>
      <c r="T197">
        <v>9</v>
      </c>
      <c r="U197">
        <v>0</v>
      </c>
      <c r="V197">
        <v>8</v>
      </c>
      <c r="W197">
        <v>9</v>
      </c>
      <c r="X197">
        <v>-1</v>
      </c>
      <c r="Y197">
        <v>9</v>
      </c>
      <c r="Z197">
        <v>9</v>
      </c>
      <c r="AA197">
        <v>0</v>
      </c>
      <c r="AB197">
        <v>8</v>
      </c>
      <c r="AC197">
        <v>9</v>
      </c>
      <c r="AD197">
        <v>-1</v>
      </c>
      <c r="AE197">
        <v>9</v>
      </c>
      <c r="AF197">
        <v>9</v>
      </c>
      <c r="AG197">
        <v>0</v>
      </c>
      <c r="AH197">
        <v>9</v>
      </c>
      <c r="AI197">
        <v>9</v>
      </c>
      <c r="AJ197">
        <v>0</v>
      </c>
      <c r="AK197" t="s">
        <v>744</v>
      </c>
      <c r="AL197" t="s">
        <v>745</v>
      </c>
      <c r="AM197" t="s">
        <v>2165</v>
      </c>
      <c r="AN197" t="s">
        <v>2166</v>
      </c>
      <c r="AO197" t="s">
        <v>2167</v>
      </c>
      <c r="AP197" t="s">
        <v>2168</v>
      </c>
      <c r="AQ197" t="s">
        <v>2169</v>
      </c>
      <c r="AR197" t="s">
        <v>718</v>
      </c>
      <c r="AS197" t="s">
        <v>2170</v>
      </c>
    </row>
    <row r="198" spans="1:45" x14ac:dyDescent="0.45">
      <c r="A198">
        <v>197</v>
      </c>
      <c r="B198">
        <v>238</v>
      </c>
      <c r="C198" t="s">
        <v>67</v>
      </c>
      <c r="D198" t="s">
        <v>74</v>
      </c>
      <c r="E198" t="s">
        <v>69</v>
      </c>
      <c r="F198" t="s">
        <v>70</v>
      </c>
      <c r="G198" t="s">
        <v>71</v>
      </c>
      <c r="H198">
        <v>13.432072342390809</v>
      </c>
      <c r="I198">
        <v>3</v>
      </c>
      <c r="J198">
        <v>9</v>
      </c>
      <c r="K198">
        <v>9</v>
      </c>
      <c r="L198">
        <v>0</v>
      </c>
      <c r="M198">
        <v>8</v>
      </c>
      <c r="N198">
        <v>10</v>
      </c>
      <c r="O198">
        <v>-2</v>
      </c>
      <c r="P198">
        <v>9</v>
      </c>
      <c r="Q198">
        <v>10</v>
      </c>
      <c r="R198">
        <v>-1</v>
      </c>
      <c r="S198">
        <v>9</v>
      </c>
      <c r="T198">
        <v>9</v>
      </c>
      <c r="U198">
        <v>0</v>
      </c>
      <c r="V198">
        <v>8</v>
      </c>
      <c r="W198">
        <v>10</v>
      </c>
      <c r="X198">
        <v>-2</v>
      </c>
      <c r="Y198">
        <v>9</v>
      </c>
      <c r="Z198">
        <v>10</v>
      </c>
      <c r="AA198">
        <v>-1</v>
      </c>
      <c r="AB198">
        <v>8</v>
      </c>
      <c r="AC198">
        <v>10</v>
      </c>
      <c r="AD198">
        <v>-2</v>
      </c>
      <c r="AE198">
        <v>9</v>
      </c>
      <c r="AF198">
        <v>9</v>
      </c>
      <c r="AG198">
        <v>0</v>
      </c>
      <c r="AH198">
        <v>9</v>
      </c>
      <c r="AI198">
        <v>10</v>
      </c>
      <c r="AJ198">
        <v>-1</v>
      </c>
      <c r="AK198" t="s">
        <v>2171</v>
      </c>
      <c r="AL198" t="s">
        <v>2172</v>
      </c>
      <c r="AM198" t="s">
        <v>2173</v>
      </c>
      <c r="AN198" t="s">
        <v>2174</v>
      </c>
      <c r="AO198" t="s">
        <v>2175</v>
      </c>
      <c r="AP198" t="s">
        <v>2176</v>
      </c>
      <c r="AQ198" t="s">
        <v>2177</v>
      </c>
      <c r="AR198" t="s">
        <v>2178</v>
      </c>
      <c r="AS198" t="s">
        <v>2179</v>
      </c>
    </row>
    <row r="199" spans="1:45" x14ac:dyDescent="0.45">
      <c r="A199">
        <v>198</v>
      </c>
      <c r="B199">
        <v>239</v>
      </c>
      <c r="C199" t="s">
        <v>67</v>
      </c>
      <c r="D199" t="s">
        <v>74</v>
      </c>
      <c r="E199" t="s">
        <v>69</v>
      </c>
      <c r="F199" t="s">
        <v>70</v>
      </c>
      <c r="G199" t="s">
        <v>71</v>
      </c>
      <c r="H199">
        <v>15.39142868056393</v>
      </c>
      <c r="I199">
        <v>2</v>
      </c>
      <c r="J199">
        <v>9</v>
      </c>
      <c r="K199">
        <v>5</v>
      </c>
      <c r="L199">
        <v>4</v>
      </c>
      <c r="M199">
        <v>8</v>
      </c>
      <c r="N199">
        <v>5</v>
      </c>
      <c r="O199">
        <v>3</v>
      </c>
      <c r="P199">
        <v>7</v>
      </c>
      <c r="Q199">
        <v>5</v>
      </c>
      <c r="R199">
        <v>2</v>
      </c>
      <c r="S199">
        <v>8</v>
      </c>
      <c r="T199">
        <v>5</v>
      </c>
      <c r="U199">
        <v>3</v>
      </c>
      <c r="V199">
        <v>9</v>
      </c>
      <c r="W199">
        <v>5</v>
      </c>
      <c r="X199">
        <v>4</v>
      </c>
      <c r="Y199">
        <v>8</v>
      </c>
      <c r="Z199">
        <v>5</v>
      </c>
      <c r="AA199">
        <v>3</v>
      </c>
      <c r="AB199">
        <v>9</v>
      </c>
      <c r="AC199">
        <v>5</v>
      </c>
      <c r="AD199">
        <v>4</v>
      </c>
      <c r="AE199">
        <v>8</v>
      </c>
      <c r="AF199">
        <v>4</v>
      </c>
      <c r="AG199">
        <v>4</v>
      </c>
      <c r="AH199">
        <v>9</v>
      </c>
      <c r="AI199">
        <v>5</v>
      </c>
      <c r="AJ199">
        <v>4</v>
      </c>
      <c r="AK199" t="s">
        <v>515</v>
      </c>
      <c r="AL199" t="s">
        <v>2180</v>
      </c>
      <c r="AM199" t="s">
        <v>2181</v>
      </c>
      <c r="AN199" t="s">
        <v>2182</v>
      </c>
      <c r="AO199" t="s">
        <v>2183</v>
      </c>
      <c r="AP199" t="s">
        <v>2184</v>
      </c>
      <c r="AQ199" t="s">
        <v>2185</v>
      </c>
      <c r="AR199" t="s">
        <v>2186</v>
      </c>
      <c r="AS199" t="s">
        <v>2187</v>
      </c>
    </row>
    <row r="200" spans="1:45" x14ac:dyDescent="0.45">
      <c r="A200">
        <v>199</v>
      </c>
      <c r="B200">
        <v>240</v>
      </c>
      <c r="C200" t="s">
        <v>67</v>
      </c>
      <c r="D200" t="s">
        <v>189</v>
      </c>
      <c r="E200" t="s">
        <v>69</v>
      </c>
      <c r="F200" t="s">
        <v>70</v>
      </c>
      <c r="G200" t="s">
        <v>157</v>
      </c>
      <c r="H200">
        <v>12</v>
      </c>
      <c r="I200">
        <v>1</v>
      </c>
      <c r="J200">
        <v>8</v>
      </c>
      <c r="K200">
        <v>9</v>
      </c>
      <c r="L200">
        <v>-1</v>
      </c>
      <c r="M200">
        <v>7</v>
      </c>
      <c r="N200">
        <v>8</v>
      </c>
      <c r="O200">
        <v>-1</v>
      </c>
      <c r="P200">
        <v>9</v>
      </c>
      <c r="Q200">
        <v>9</v>
      </c>
      <c r="R200">
        <v>0</v>
      </c>
      <c r="S200">
        <v>8</v>
      </c>
      <c r="T200">
        <v>9</v>
      </c>
      <c r="U200">
        <v>-1</v>
      </c>
      <c r="V200">
        <v>9</v>
      </c>
      <c r="W200">
        <v>8</v>
      </c>
      <c r="X200">
        <v>1</v>
      </c>
      <c r="Y200">
        <v>8</v>
      </c>
      <c r="Z200">
        <v>9</v>
      </c>
      <c r="AA200">
        <v>-1</v>
      </c>
      <c r="AB200">
        <v>7</v>
      </c>
      <c r="AC200">
        <v>10</v>
      </c>
      <c r="AD200">
        <v>-3</v>
      </c>
      <c r="AE200">
        <v>6</v>
      </c>
      <c r="AF200">
        <v>9</v>
      </c>
      <c r="AG200">
        <v>-3</v>
      </c>
      <c r="AH200">
        <v>8</v>
      </c>
      <c r="AI200">
        <v>10</v>
      </c>
      <c r="AJ200">
        <v>-2</v>
      </c>
      <c r="AK200" t="s">
        <v>516</v>
      </c>
      <c r="AL200" t="s">
        <v>517</v>
      </c>
      <c r="AM200" t="s">
        <v>518</v>
      </c>
      <c r="AN200" t="s">
        <v>519</v>
      </c>
      <c r="AO200" t="s">
        <v>520</v>
      </c>
      <c r="AP200" t="s">
        <v>521</v>
      </c>
      <c r="AQ200" t="s">
        <v>522</v>
      </c>
      <c r="AR200" t="s">
        <v>523</v>
      </c>
      <c r="AS200" t="s">
        <v>524</v>
      </c>
    </row>
    <row r="201" spans="1:45" x14ac:dyDescent="0.45">
      <c r="A201">
        <v>200</v>
      </c>
      <c r="B201">
        <v>241</v>
      </c>
      <c r="C201" t="s">
        <v>73</v>
      </c>
      <c r="D201" t="s">
        <v>187</v>
      </c>
      <c r="E201" t="s">
        <v>69</v>
      </c>
      <c r="F201" t="s">
        <v>72</v>
      </c>
      <c r="G201" t="s">
        <v>71</v>
      </c>
      <c r="H201">
        <v>96.639919317847458</v>
      </c>
      <c r="I201">
        <v>3</v>
      </c>
      <c r="J201">
        <v>7</v>
      </c>
      <c r="K201">
        <v>4</v>
      </c>
      <c r="L201">
        <v>3</v>
      </c>
      <c r="M201">
        <v>6</v>
      </c>
      <c r="N201">
        <v>4</v>
      </c>
      <c r="O201">
        <v>2</v>
      </c>
      <c r="P201">
        <v>9</v>
      </c>
      <c r="Q201">
        <v>3</v>
      </c>
      <c r="R201">
        <v>6</v>
      </c>
      <c r="S201">
        <v>8</v>
      </c>
      <c r="T201">
        <v>5</v>
      </c>
      <c r="U201">
        <v>3</v>
      </c>
      <c r="V201">
        <v>7</v>
      </c>
      <c r="W201">
        <v>4</v>
      </c>
      <c r="X201">
        <v>3</v>
      </c>
      <c r="Y201">
        <v>9</v>
      </c>
      <c r="Z201">
        <v>5</v>
      </c>
      <c r="AA201">
        <v>4</v>
      </c>
      <c r="AB201">
        <v>8</v>
      </c>
      <c r="AC201">
        <v>1</v>
      </c>
      <c r="AD201">
        <v>7</v>
      </c>
      <c r="AE201">
        <v>9</v>
      </c>
      <c r="AF201">
        <v>5</v>
      </c>
      <c r="AG201">
        <v>4</v>
      </c>
      <c r="AH201">
        <v>8</v>
      </c>
      <c r="AI201">
        <v>5</v>
      </c>
      <c r="AJ201">
        <v>3</v>
      </c>
      <c r="AK201" t="s">
        <v>2188</v>
      </c>
      <c r="AL201" t="s">
        <v>2189</v>
      </c>
      <c r="AM201" t="s">
        <v>2190</v>
      </c>
      <c r="AN201" t="s">
        <v>2191</v>
      </c>
      <c r="AO201" t="s">
        <v>2192</v>
      </c>
      <c r="AP201" t="s">
        <v>2193</v>
      </c>
      <c r="AQ201" t="s">
        <v>2194</v>
      </c>
      <c r="AR201" t="s">
        <v>2195</v>
      </c>
      <c r="AS201" t="s">
        <v>2196</v>
      </c>
    </row>
    <row r="202" spans="1:45" x14ac:dyDescent="0.45">
      <c r="A202">
        <v>201</v>
      </c>
      <c r="B202">
        <v>242</v>
      </c>
      <c r="C202" t="s">
        <v>67</v>
      </c>
      <c r="D202" t="s">
        <v>189</v>
      </c>
      <c r="E202" t="s">
        <v>69</v>
      </c>
      <c r="F202" t="s">
        <v>70</v>
      </c>
      <c r="G202" t="s">
        <v>71</v>
      </c>
      <c r="H202">
        <v>53.180528659307889</v>
      </c>
      <c r="I202">
        <v>1</v>
      </c>
      <c r="J202">
        <v>6</v>
      </c>
      <c r="K202">
        <v>5</v>
      </c>
      <c r="L202">
        <v>1</v>
      </c>
      <c r="M202">
        <v>7</v>
      </c>
      <c r="N202">
        <v>5</v>
      </c>
      <c r="O202">
        <v>2</v>
      </c>
      <c r="P202">
        <v>9</v>
      </c>
      <c r="Q202">
        <v>1</v>
      </c>
      <c r="R202">
        <v>8</v>
      </c>
      <c r="S202">
        <v>8</v>
      </c>
      <c r="T202">
        <v>5</v>
      </c>
      <c r="U202">
        <v>3</v>
      </c>
      <c r="V202">
        <v>7</v>
      </c>
      <c r="W202">
        <v>4</v>
      </c>
      <c r="X202">
        <v>3</v>
      </c>
      <c r="Y202">
        <v>9</v>
      </c>
      <c r="Z202">
        <v>2</v>
      </c>
      <c r="AA202">
        <v>7</v>
      </c>
      <c r="AB202">
        <v>7</v>
      </c>
      <c r="AC202">
        <v>2</v>
      </c>
      <c r="AD202">
        <v>5</v>
      </c>
      <c r="AE202">
        <v>6</v>
      </c>
      <c r="AF202">
        <v>5</v>
      </c>
      <c r="AG202">
        <v>1</v>
      </c>
      <c r="AH202">
        <v>8</v>
      </c>
      <c r="AI202">
        <v>4</v>
      </c>
      <c r="AJ202">
        <v>4</v>
      </c>
      <c r="AK202" t="s">
        <v>2197</v>
      </c>
      <c r="AL202" t="s">
        <v>2198</v>
      </c>
      <c r="AM202" t="s">
        <v>2199</v>
      </c>
      <c r="AN202" t="s">
        <v>2200</v>
      </c>
      <c r="AO202" t="s">
        <v>2201</v>
      </c>
      <c r="AP202" t="s">
        <v>2202</v>
      </c>
      <c r="AQ202" t="s">
        <v>2203</v>
      </c>
      <c r="AR202" t="s">
        <v>2204</v>
      </c>
      <c r="AS202" t="s">
        <v>2205</v>
      </c>
    </row>
    <row r="203" spans="1:45" x14ac:dyDescent="0.45">
      <c r="A203">
        <v>202</v>
      </c>
      <c r="B203">
        <v>243</v>
      </c>
      <c r="C203" t="s">
        <v>67</v>
      </c>
      <c r="D203" t="s">
        <v>74</v>
      </c>
      <c r="E203" t="s">
        <v>69</v>
      </c>
      <c r="F203" t="s">
        <v>72</v>
      </c>
      <c r="G203" t="s">
        <v>71</v>
      </c>
      <c r="H203">
        <v>81.766804428251689</v>
      </c>
      <c r="I203">
        <v>4</v>
      </c>
      <c r="J203">
        <v>7</v>
      </c>
      <c r="K203">
        <v>6</v>
      </c>
      <c r="L203">
        <v>1</v>
      </c>
      <c r="M203">
        <v>7</v>
      </c>
      <c r="N203">
        <v>8</v>
      </c>
      <c r="O203">
        <v>-1</v>
      </c>
      <c r="P203">
        <v>8</v>
      </c>
      <c r="Q203">
        <v>8</v>
      </c>
      <c r="R203">
        <v>0</v>
      </c>
      <c r="S203">
        <v>9</v>
      </c>
      <c r="T203">
        <v>9</v>
      </c>
      <c r="U203">
        <v>0</v>
      </c>
      <c r="V203">
        <v>7</v>
      </c>
      <c r="W203">
        <v>7</v>
      </c>
      <c r="X203">
        <v>0</v>
      </c>
      <c r="Y203">
        <v>9</v>
      </c>
      <c r="Z203">
        <v>7</v>
      </c>
      <c r="AA203">
        <v>2</v>
      </c>
      <c r="AB203">
        <v>7</v>
      </c>
      <c r="AC203">
        <v>7</v>
      </c>
      <c r="AD203">
        <v>0</v>
      </c>
      <c r="AE203">
        <v>8</v>
      </c>
      <c r="AF203">
        <v>8</v>
      </c>
      <c r="AG203">
        <v>0</v>
      </c>
      <c r="AH203">
        <v>8</v>
      </c>
      <c r="AI203">
        <v>8</v>
      </c>
      <c r="AJ203">
        <v>0</v>
      </c>
      <c r="AK203" t="s">
        <v>525</v>
      </c>
      <c r="AL203" t="s">
        <v>2206</v>
      </c>
      <c r="AM203" t="s">
        <v>2207</v>
      </c>
      <c r="AN203" t="s">
        <v>2208</v>
      </c>
      <c r="AO203" t="s">
        <v>2209</v>
      </c>
      <c r="AP203" t="s">
        <v>2210</v>
      </c>
      <c r="AQ203" t="s">
        <v>2211</v>
      </c>
      <c r="AR203" t="s">
        <v>2212</v>
      </c>
      <c r="AS203" t="s">
        <v>2213</v>
      </c>
    </row>
    <row r="204" spans="1:45" x14ac:dyDescent="0.45">
      <c r="A204">
        <v>203</v>
      </c>
      <c r="B204">
        <v>244</v>
      </c>
      <c r="C204" t="s">
        <v>67</v>
      </c>
      <c r="D204" t="s">
        <v>187</v>
      </c>
      <c r="E204" t="s">
        <v>69</v>
      </c>
      <c r="F204" t="s">
        <v>70</v>
      </c>
      <c r="G204" t="s">
        <v>71</v>
      </c>
      <c r="H204">
        <v>108.41927328505672</v>
      </c>
      <c r="I204">
        <v>3</v>
      </c>
      <c r="J204">
        <v>7</v>
      </c>
      <c r="K204">
        <v>5</v>
      </c>
      <c r="L204">
        <v>2</v>
      </c>
      <c r="M204">
        <v>6</v>
      </c>
      <c r="N204">
        <v>5</v>
      </c>
      <c r="O204">
        <v>1</v>
      </c>
      <c r="P204">
        <v>9</v>
      </c>
      <c r="Q204">
        <v>5</v>
      </c>
      <c r="R204">
        <v>4</v>
      </c>
      <c r="S204">
        <v>8</v>
      </c>
      <c r="T204">
        <v>5</v>
      </c>
      <c r="U204">
        <v>3</v>
      </c>
      <c r="V204">
        <v>7</v>
      </c>
      <c r="W204">
        <v>5</v>
      </c>
      <c r="X204">
        <v>2</v>
      </c>
      <c r="Y204">
        <v>8</v>
      </c>
      <c r="Z204">
        <v>5</v>
      </c>
      <c r="AA204">
        <v>3</v>
      </c>
      <c r="AB204">
        <v>7</v>
      </c>
      <c r="AC204">
        <v>5</v>
      </c>
      <c r="AD204">
        <v>2</v>
      </c>
      <c r="AE204">
        <v>6</v>
      </c>
      <c r="AF204">
        <v>5</v>
      </c>
      <c r="AG204">
        <v>1</v>
      </c>
      <c r="AH204">
        <v>9</v>
      </c>
      <c r="AI204">
        <v>5</v>
      </c>
      <c r="AJ204">
        <v>4</v>
      </c>
      <c r="AK204" t="s">
        <v>2214</v>
      </c>
      <c r="AL204" t="s">
        <v>2215</v>
      </c>
      <c r="AM204" t="s">
        <v>2216</v>
      </c>
      <c r="AN204" t="s">
        <v>2217</v>
      </c>
      <c r="AO204" t="s">
        <v>2218</v>
      </c>
      <c r="AP204" t="s">
        <v>2219</v>
      </c>
      <c r="AQ204" t="s">
        <v>2220</v>
      </c>
      <c r="AR204" t="s">
        <v>2221</v>
      </c>
      <c r="AS204" t="s">
        <v>760</v>
      </c>
    </row>
    <row r="205" spans="1:45" x14ac:dyDescent="0.45">
      <c r="A205">
        <v>204</v>
      </c>
      <c r="B205">
        <v>245</v>
      </c>
      <c r="C205" t="s">
        <v>67</v>
      </c>
      <c r="D205" t="s">
        <v>68</v>
      </c>
      <c r="E205" t="s">
        <v>69</v>
      </c>
      <c r="F205" t="s">
        <v>72</v>
      </c>
      <c r="G205" t="s">
        <v>71</v>
      </c>
      <c r="H205">
        <v>38.764103884941036</v>
      </c>
      <c r="I205">
        <v>1</v>
      </c>
      <c r="J205">
        <v>8</v>
      </c>
      <c r="K205">
        <v>7</v>
      </c>
      <c r="L205">
        <v>1</v>
      </c>
      <c r="M205">
        <v>9</v>
      </c>
      <c r="N205">
        <v>7</v>
      </c>
      <c r="O205">
        <v>2</v>
      </c>
      <c r="P205">
        <v>7</v>
      </c>
      <c r="Q205">
        <v>7</v>
      </c>
      <c r="R205">
        <v>0</v>
      </c>
      <c r="S205">
        <v>8</v>
      </c>
      <c r="T205">
        <v>8</v>
      </c>
      <c r="U205">
        <v>0</v>
      </c>
      <c r="W205">
        <v>7</v>
      </c>
      <c r="Z205">
        <v>7</v>
      </c>
      <c r="AC205">
        <v>7</v>
      </c>
      <c r="AF205">
        <v>7</v>
      </c>
      <c r="AI205">
        <v>7</v>
      </c>
      <c r="AK205" t="s">
        <v>198</v>
      </c>
      <c r="AL205" t="s">
        <v>198</v>
      </c>
      <c r="AM205" t="s">
        <v>198</v>
      </c>
      <c r="AN205" t="s">
        <v>198</v>
      </c>
      <c r="AO205" t="s">
        <v>198</v>
      </c>
      <c r="AP205" t="s">
        <v>198</v>
      </c>
      <c r="AQ205" t="s">
        <v>198</v>
      </c>
      <c r="AR205" t="s">
        <v>198</v>
      </c>
      <c r="AS205" t="s">
        <v>198</v>
      </c>
    </row>
    <row r="206" spans="1:45" x14ac:dyDescent="0.45">
      <c r="A206">
        <v>205</v>
      </c>
      <c r="B206">
        <v>246</v>
      </c>
      <c r="C206" t="s">
        <v>67</v>
      </c>
      <c r="D206" t="s">
        <v>68</v>
      </c>
      <c r="E206" t="s">
        <v>69</v>
      </c>
      <c r="F206" t="s">
        <v>70</v>
      </c>
      <c r="G206" t="s">
        <v>71</v>
      </c>
      <c r="H206">
        <v>25.324684121839315</v>
      </c>
      <c r="I206">
        <v>0</v>
      </c>
      <c r="J206">
        <v>7</v>
      </c>
      <c r="K206">
        <v>3</v>
      </c>
      <c r="L206">
        <v>4</v>
      </c>
      <c r="M206">
        <v>8</v>
      </c>
      <c r="N206">
        <v>1</v>
      </c>
      <c r="O206">
        <v>7</v>
      </c>
      <c r="P206">
        <v>9</v>
      </c>
      <c r="Q206">
        <v>1</v>
      </c>
      <c r="R206">
        <v>8</v>
      </c>
      <c r="S206">
        <v>9</v>
      </c>
      <c r="T206">
        <v>5</v>
      </c>
      <c r="U206">
        <v>4</v>
      </c>
      <c r="V206">
        <v>8</v>
      </c>
      <c r="W206">
        <v>1</v>
      </c>
      <c r="X206">
        <v>7</v>
      </c>
      <c r="Y206">
        <v>9</v>
      </c>
      <c r="Z206">
        <v>1</v>
      </c>
      <c r="AA206">
        <v>8</v>
      </c>
      <c r="AB206">
        <v>8</v>
      </c>
      <c r="AC206">
        <v>1</v>
      </c>
      <c r="AD206">
        <v>7</v>
      </c>
      <c r="AE206">
        <v>7</v>
      </c>
      <c r="AF206">
        <v>4</v>
      </c>
      <c r="AG206">
        <v>3</v>
      </c>
      <c r="AH206">
        <v>9</v>
      </c>
      <c r="AI206">
        <v>5</v>
      </c>
      <c r="AJ206">
        <v>4</v>
      </c>
      <c r="AK206" t="s">
        <v>2222</v>
      </c>
      <c r="AL206" t="s">
        <v>2223</v>
      </c>
      <c r="AM206" t="s">
        <v>2224</v>
      </c>
      <c r="AN206" t="s">
        <v>2225</v>
      </c>
      <c r="AO206" t="s">
        <v>2226</v>
      </c>
      <c r="AP206" t="s">
        <v>2227</v>
      </c>
      <c r="AQ206" t="s">
        <v>2228</v>
      </c>
      <c r="AR206" t="s">
        <v>2229</v>
      </c>
      <c r="AS206" t="s">
        <v>2230</v>
      </c>
    </row>
    <row r="207" spans="1:45" x14ac:dyDescent="0.45">
      <c r="A207">
        <v>206</v>
      </c>
      <c r="B207">
        <v>247</v>
      </c>
      <c r="C207" t="s">
        <v>67</v>
      </c>
      <c r="D207" t="s">
        <v>74</v>
      </c>
      <c r="E207" t="s">
        <v>69</v>
      </c>
      <c r="F207" t="s">
        <v>72</v>
      </c>
      <c r="G207" t="s">
        <v>71</v>
      </c>
      <c r="H207">
        <v>64.590091265394577</v>
      </c>
      <c r="I207">
        <v>1</v>
      </c>
      <c r="J207">
        <v>7</v>
      </c>
      <c r="K207">
        <v>8</v>
      </c>
      <c r="L207">
        <v>-1</v>
      </c>
      <c r="M207">
        <v>7</v>
      </c>
      <c r="N207">
        <v>8</v>
      </c>
      <c r="O207">
        <v>-1</v>
      </c>
      <c r="P207">
        <v>8</v>
      </c>
      <c r="Q207">
        <v>5</v>
      </c>
      <c r="R207">
        <v>3</v>
      </c>
      <c r="S207">
        <v>9</v>
      </c>
      <c r="T207">
        <v>7</v>
      </c>
      <c r="U207">
        <v>2</v>
      </c>
      <c r="V207">
        <v>7</v>
      </c>
      <c r="W207">
        <v>7</v>
      </c>
      <c r="X207">
        <v>0</v>
      </c>
      <c r="Y207">
        <v>8</v>
      </c>
      <c r="Z207">
        <v>6</v>
      </c>
      <c r="AA207">
        <v>2</v>
      </c>
      <c r="AB207">
        <v>7</v>
      </c>
      <c r="AC207">
        <v>6</v>
      </c>
      <c r="AD207">
        <v>1</v>
      </c>
      <c r="AE207">
        <v>6</v>
      </c>
      <c r="AF207">
        <v>7</v>
      </c>
      <c r="AG207">
        <v>-1</v>
      </c>
      <c r="AH207">
        <v>8</v>
      </c>
      <c r="AI207">
        <v>7</v>
      </c>
      <c r="AJ207">
        <v>1</v>
      </c>
      <c r="AK207" t="s">
        <v>2231</v>
      </c>
      <c r="AL207" t="s">
        <v>2232</v>
      </c>
      <c r="AM207" t="s">
        <v>2233</v>
      </c>
      <c r="AN207" t="s">
        <v>2234</v>
      </c>
      <c r="AO207" t="s">
        <v>2235</v>
      </c>
      <c r="AP207" t="s">
        <v>2236</v>
      </c>
      <c r="AQ207" t="s">
        <v>2237</v>
      </c>
      <c r="AR207" t="s">
        <v>2238</v>
      </c>
      <c r="AS207" t="s">
        <v>2239</v>
      </c>
    </row>
    <row r="208" spans="1:45" x14ac:dyDescent="0.45">
      <c r="A208">
        <v>207</v>
      </c>
      <c r="B208">
        <v>248</v>
      </c>
      <c r="C208" t="s">
        <v>73</v>
      </c>
      <c r="D208" t="s">
        <v>68</v>
      </c>
      <c r="E208" t="s">
        <v>69</v>
      </c>
      <c r="F208" t="s">
        <v>72</v>
      </c>
      <c r="G208" t="s">
        <v>71</v>
      </c>
      <c r="H208">
        <v>54.220899937770611</v>
      </c>
      <c r="I208">
        <v>2</v>
      </c>
      <c r="J208">
        <v>6</v>
      </c>
      <c r="K208">
        <v>4</v>
      </c>
      <c r="L208">
        <v>2</v>
      </c>
      <c r="M208">
        <v>7</v>
      </c>
      <c r="N208">
        <v>3</v>
      </c>
      <c r="O208">
        <v>4</v>
      </c>
      <c r="P208">
        <v>9</v>
      </c>
      <c r="Q208">
        <v>1</v>
      </c>
      <c r="R208">
        <v>8</v>
      </c>
      <c r="S208">
        <v>8</v>
      </c>
      <c r="T208">
        <v>2</v>
      </c>
      <c r="U208">
        <v>6</v>
      </c>
      <c r="V208">
        <v>7</v>
      </c>
      <c r="W208">
        <v>1</v>
      </c>
      <c r="X208">
        <v>6</v>
      </c>
      <c r="Y208">
        <v>9</v>
      </c>
      <c r="Z208">
        <v>1</v>
      </c>
      <c r="AA208">
        <v>8</v>
      </c>
      <c r="AB208">
        <v>8</v>
      </c>
      <c r="AC208">
        <v>1</v>
      </c>
      <c r="AD208">
        <v>7</v>
      </c>
      <c r="AE208">
        <v>9</v>
      </c>
      <c r="AF208">
        <v>4</v>
      </c>
      <c r="AG208">
        <v>5</v>
      </c>
      <c r="AH208">
        <v>10</v>
      </c>
      <c r="AI208">
        <v>2</v>
      </c>
      <c r="AJ208">
        <v>8</v>
      </c>
      <c r="AK208" t="s">
        <v>2240</v>
      </c>
      <c r="AL208" t="s">
        <v>2241</v>
      </c>
      <c r="AM208" t="s">
        <v>2242</v>
      </c>
      <c r="AN208" t="s">
        <v>2243</v>
      </c>
      <c r="AO208" t="s">
        <v>2244</v>
      </c>
      <c r="AP208" t="s">
        <v>2245</v>
      </c>
      <c r="AQ208" t="s">
        <v>2246</v>
      </c>
      <c r="AR208" t="s">
        <v>2247</v>
      </c>
      <c r="AS208" t="s">
        <v>2248</v>
      </c>
    </row>
    <row r="209" spans="1:45" x14ac:dyDescent="0.45">
      <c r="A209">
        <v>208</v>
      </c>
      <c r="B209">
        <v>249</v>
      </c>
      <c r="C209" t="s">
        <v>67</v>
      </c>
      <c r="D209" t="s">
        <v>68</v>
      </c>
      <c r="E209" t="s">
        <v>69</v>
      </c>
      <c r="F209" t="s">
        <v>70</v>
      </c>
      <c r="G209" t="s">
        <v>71</v>
      </c>
      <c r="H209">
        <v>46.749827958630028</v>
      </c>
      <c r="I209">
        <v>1</v>
      </c>
      <c r="J209">
        <v>6</v>
      </c>
      <c r="K209">
        <v>7</v>
      </c>
      <c r="L209">
        <v>-1</v>
      </c>
      <c r="M209">
        <v>6</v>
      </c>
      <c r="N209">
        <v>8</v>
      </c>
      <c r="O209">
        <v>-2</v>
      </c>
      <c r="P209">
        <v>9</v>
      </c>
      <c r="Q209">
        <v>6</v>
      </c>
      <c r="R209">
        <v>3</v>
      </c>
      <c r="S209">
        <v>9</v>
      </c>
      <c r="T209">
        <v>7</v>
      </c>
      <c r="U209">
        <v>2</v>
      </c>
      <c r="V209">
        <v>7</v>
      </c>
      <c r="W209">
        <v>6</v>
      </c>
      <c r="X209">
        <v>1</v>
      </c>
      <c r="Y209">
        <v>8</v>
      </c>
      <c r="Z209">
        <v>7</v>
      </c>
      <c r="AA209">
        <v>1</v>
      </c>
      <c r="AB209">
        <v>7</v>
      </c>
      <c r="AC209">
        <v>6</v>
      </c>
      <c r="AD209">
        <v>1</v>
      </c>
      <c r="AE209">
        <v>6</v>
      </c>
      <c r="AF209">
        <v>6</v>
      </c>
      <c r="AG209">
        <v>0</v>
      </c>
      <c r="AH209">
        <v>8</v>
      </c>
      <c r="AI209">
        <v>6</v>
      </c>
      <c r="AJ209">
        <v>2</v>
      </c>
      <c r="AK209" t="s">
        <v>2249</v>
      </c>
      <c r="AL209" t="s">
        <v>2250</v>
      </c>
      <c r="AM209" t="s">
        <v>2251</v>
      </c>
      <c r="AN209" t="s">
        <v>2252</v>
      </c>
      <c r="AO209" t="s">
        <v>2253</v>
      </c>
      <c r="AP209" t="s">
        <v>2254</v>
      </c>
      <c r="AQ209" t="s">
        <v>2255</v>
      </c>
      <c r="AR209" t="s">
        <v>2256</v>
      </c>
      <c r="AS209" t="s">
        <v>2257</v>
      </c>
    </row>
    <row r="210" spans="1:45" x14ac:dyDescent="0.45">
      <c r="A210">
        <v>209</v>
      </c>
      <c r="B210">
        <v>250</v>
      </c>
      <c r="C210" t="s">
        <v>67</v>
      </c>
      <c r="D210" t="s">
        <v>68</v>
      </c>
      <c r="E210" t="s">
        <v>69</v>
      </c>
      <c r="F210" t="s">
        <v>72</v>
      </c>
      <c r="G210" t="s">
        <v>71</v>
      </c>
      <c r="H210">
        <v>36.637211591419891</v>
      </c>
      <c r="I210">
        <v>0</v>
      </c>
      <c r="J210">
        <v>8</v>
      </c>
      <c r="K210">
        <v>6</v>
      </c>
      <c r="L210">
        <v>2</v>
      </c>
      <c r="M210">
        <v>9</v>
      </c>
      <c r="N210">
        <v>6</v>
      </c>
      <c r="O210">
        <v>3</v>
      </c>
      <c r="P210">
        <v>9</v>
      </c>
      <c r="Q210">
        <v>6</v>
      </c>
      <c r="R210">
        <v>3</v>
      </c>
      <c r="S210">
        <v>8</v>
      </c>
      <c r="T210">
        <v>6</v>
      </c>
      <c r="U210">
        <v>2</v>
      </c>
      <c r="V210">
        <v>9</v>
      </c>
      <c r="W210">
        <v>6</v>
      </c>
      <c r="X210">
        <v>3</v>
      </c>
      <c r="Y210">
        <v>8</v>
      </c>
      <c r="Z210">
        <v>5</v>
      </c>
      <c r="AA210">
        <v>3</v>
      </c>
      <c r="AB210">
        <v>9</v>
      </c>
      <c r="AC210">
        <v>6</v>
      </c>
      <c r="AD210">
        <v>3</v>
      </c>
      <c r="AE210">
        <v>8</v>
      </c>
      <c r="AF210">
        <v>6</v>
      </c>
      <c r="AG210">
        <v>2</v>
      </c>
      <c r="AH210">
        <v>9</v>
      </c>
      <c r="AI210">
        <v>6</v>
      </c>
      <c r="AJ210">
        <v>3</v>
      </c>
      <c r="AK210" t="s">
        <v>2258</v>
      </c>
      <c r="AL210" t="s">
        <v>2259</v>
      </c>
      <c r="AM210" t="s">
        <v>2260</v>
      </c>
      <c r="AN210" t="s">
        <v>2261</v>
      </c>
      <c r="AO210" t="s">
        <v>2262</v>
      </c>
      <c r="AP210" t="s">
        <v>2263</v>
      </c>
      <c r="AQ210" t="s">
        <v>2264</v>
      </c>
      <c r="AR210" t="s">
        <v>2265</v>
      </c>
      <c r="AS210" t="s">
        <v>2266</v>
      </c>
    </row>
    <row r="211" spans="1:45" x14ac:dyDescent="0.45">
      <c r="A211">
        <v>210</v>
      </c>
      <c r="B211">
        <v>251</v>
      </c>
      <c r="C211" t="s">
        <v>73</v>
      </c>
      <c r="D211" t="s">
        <v>68</v>
      </c>
      <c r="E211" t="s">
        <v>69</v>
      </c>
      <c r="F211" t="s">
        <v>72</v>
      </c>
      <c r="G211" t="s">
        <v>71</v>
      </c>
      <c r="H211">
        <v>30.077696527376691</v>
      </c>
      <c r="I211">
        <v>0</v>
      </c>
      <c r="J211">
        <v>7</v>
      </c>
      <c r="K211">
        <v>7</v>
      </c>
      <c r="L211">
        <v>0</v>
      </c>
      <c r="M211">
        <v>8</v>
      </c>
      <c r="N211">
        <v>7</v>
      </c>
      <c r="O211">
        <v>1</v>
      </c>
      <c r="P211">
        <v>9</v>
      </c>
      <c r="Q211">
        <v>8</v>
      </c>
      <c r="R211">
        <v>1</v>
      </c>
      <c r="S211">
        <v>9</v>
      </c>
      <c r="T211">
        <v>8</v>
      </c>
      <c r="U211">
        <v>1</v>
      </c>
      <c r="V211">
        <v>7</v>
      </c>
      <c r="W211">
        <v>8</v>
      </c>
      <c r="X211">
        <v>-1</v>
      </c>
      <c r="Y211">
        <v>8</v>
      </c>
      <c r="Z211">
        <v>9</v>
      </c>
      <c r="AA211">
        <v>-1</v>
      </c>
      <c r="AB211">
        <v>9</v>
      </c>
      <c r="AC211">
        <v>8</v>
      </c>
      <c r="AD211">
        <v>1</v>
      </c>
      <c r="AE211">
        <v>8</v>
      </c>
      <c r="AF211">
        <v>8</v>
      </c>
      <c r="AG211">
        <v>0</v>
      </c>
      <c r="AH211">
        <v>9</v>
      </c>
      <c r="AI211">
        <v>8</v>
      </c>
      <c r="AJ211">
        <v>1</v>
      </c>
      <c r="AK211" t="s">
        <v>2267</v>
      </c>
      <c r="AL211" t="s">
        <v>2268</v>
      </c>
      <c r="AM211" t="s">
        <v>2269</v>
      </c>
      <c r="AN211" t="s">
        <v>2270</v>
      </c>
      <c r="AO211" t="s">
        <v>2271</v>
      </c>
      <c r="AP211" t="s">
        <v>2272</v>
      </c>
      <c r="AQ211" t="s">
        <v>2273</v>
      </c>
      <c r="AR211" t="s">
        <v>2274</v>
      </c>
      <c r="AS211" t="s">
        <v>2275</v>
      </c>
    </row>
    <row r="212" spans="1:45" x14ac:dyDescent="0.45">
      <c r="A212">
        <v>211</v>
      </c>
      <c r="B212">
        <v>252</v>
      </c>
      <c r="C212" t="s">
        <v>67</v>
      </c>
      <c r="D212" t="s">
        <v>68</v>
      </c>
      <c r="E212" t="s">
        <v>69</v>
      </c>
      <c r="F212" t="s">
        <v>72</v>
      </c>
      <c r="G212" t="s">
        <v>71</v>
      </c>
      <c r="H212">
        <v>56.552895816583046</v>
      </c>
      <c r="I212">
        <v>1</v>
      </c>
      <c r="J212">
        <v>8</v>
      </c>
      <c r="K212">
        <v>7</v>
      </c>
      <c r="L212">
        <v>1</v>
      </c>
      <c r="M212">
        <v>9</v>
      </c>
      <c r="N212">
        <v>7</v>
      </c>
      <c r="O212">
        <v>2</v>
      </c>
      <c r="P212">
        <v>8</v>
      </c>
      <c r="Q212">
        <v>7</v>
      </c>
      <c r="R212">
        <v>1</v>
      </c>
      <c r="S212">
        <v>9</v>
      </c>
      <c r="T212">
        <v>7</v>
      </c>
      <c r="U212">
        <v>2</v>
      </c>
      <c r="V212">
        <v>8</v>
      </c>
      <c r="W212">
        <v>7</v>
      </c>
      <c r="X212">
        <v>1</v>
      </c>
      <c r="Y212">
        <v>9</v>
      </c>
      <c r="Z212">
        <v>7</v>
      </c>
      <c r="AA212">
        <v>2</v>
      </c>
      <c r="AB212">
        <v>8</v>
      </c>
      <c r="AC212">
        <v>7</v>
      </c>
      <c r="AD212">
        <v>1</v>
      </c>
      <c r="AE212">
        <v>9</v>
      </c>
      <c r="AF212">
        <v>7</v>
      </c>
      <c r="AG212">
        <v>2</v>
      </c>
      <c r="AH212">
        <v>8</v>
      </c>
      <c r="AI212">
        <v>7</v>
      </c>
      <c r="AJ212">
        <v>1</v>
      </c>
      <c r="AK212" t="s">
        <v>2276</v>
      </c>
      <c r="AL212" t="s">
        <v>2277</v>
      </c>
      <c r="AM212" t="s">
        <v>2278</v>
      </c>
      <c r="AN212" t="s">
        <v>2279</v>
      </c>
      <c r="AO212" t="s">
        <v>2280</v>
      </c>
      <c r="AP212" t="s">
        <v>2281</v>
      </c>
      <c r="AQ212" t="s">
        <v>2282</v>
      </c>
      <c r="AR212" t="s">
        <v>2283</v>
      </c>
      <c r="AS212" t="s">
        <v>2284</v>
      </c>
    </row>
    <row r="213" spans="1:45" x14ac:dyDescent="0.45">
      <c r="A213">
        <v>212</v>
      </c>
      <c r="B213">
        <v>253</v>
      </c>
      <c r="C213" t="s">
        <v>67</v>
      </c>
      <c r="D213" t="s">
        <v>68</v>
      </c>
      <c r="E213" t="s">
        <v>69</v>
      </c>
      <c r="F213" t="s">
        <v>72</v>
      </c>
      <c r="G213" t="s">
        <v>71</v>
      </c>
      <c r="H213">
        <v>48.306115542435258</v>
      </c>
      <c r="I213">
        <v>0</v>
      </c>
      <c r="J213">
        <v>7</v>
      </c>
      <c r="K213">
        <v>5</v>
      </c>
      <c r="L213">
        <v>2</v>
      </c>
      <c r="M213">
        <v>8</v>
      </c>
      <c r="N213">
        <v>5</v>
      </c>
      <c r="O213">
        <v>3</v>
      </c>
      <c r="P213">
        <v>9</v>
      </c>
      <c r="Q213">
        <v>1</v>
      </c>
      <c r="R213">
        <v>8</v>
      </c>
      <c r="S213">
        <v>10</v>
      </c>
      <c r="T213">
        <v>5</v>
      </c>
      <c r="U213">
        <v>5</v>
      </c>
      <c r="V213">
        <v>9</v>
      </c>
      <c r="W213">
        <v>5</v>
      </c>
      <c r="X213">
        <v>4</v>
      </c>
      <c r="Y213">
        <v>10</v>
      </c>
      <c r="Z213">
        <v>5</v>
      </c>
      <c r="AA213">
        <v>5</v>
      </c>
      <c r="AB213">
        <v>9</v>
      </c>
      <c r="AC213">
        <v>4</v>
      </c>
      <c r="AD213">
        <v>5</v>
      </c>
      <c r="AE213">
        <v>8</v>
      </c>
      <c r="AF213">
        <v>5</v>
      </c>
      <c r="AG213">
        <v>3</v>
      </c>
      <c r="AH213">
        <v>9</v>
      </c>
      <c r="AI213">
        <v>5</v>
      </c>
      <c r="AJ213">
        <v>4</v>
      </c>
      <c r="AK213" t="s">
        <v>2285</v>
      </c>
      <c r="AL213" t="s">
        <v>2286</v>
      </c>
      <c r="AM213" t="s">
        <v>2287</v>
      </c>
      <c r="AN213" t="s">
        <v>2288</v>
      </c>
      <c r="AO213" t="s">
        <v>2289</v>
      </c>
      <c r="AP213" t="s">
        <v>2290</v>
      </c>
      <c r="AQ213" t="s">
        <v>2291</v>
      </c>
      <c r="AR213" t="s">
        <v>2292</v>
      </c>
      <c r="AS213" t="s">
        <v>2293</v>
      </c>
    </row>
    <row r="214" spans="1:45" x14ac:dyDescent="0.45">
      <c r="A214">
        <v>213</v>
      </c>
      <c r="B214">
        <v>254</v>
      </c>
      <c r="C214" t="s">
        <v>67</v>
      </c>
      <c r="D214" t="s">
        <v>68</v>
      </c>
      <c r="E214" t="s">
        <v>69</v>
      </c>
      <c r="F214" t="s">
        <v>72</v>
      </c>
      <c r="G214" t="s">
        <v>71</v>
      </c>
      <c r="H214">
        <v>54.024649723285115</v>
      </c>
      <c r="I214">
        <v>4</v>
      </c>
      <c r="J214">
        <v>6</v>
      </c>
      <c r="K214">
        <v>7</v>
      </c>
      <c r="L214">
        <v>-1</v>
      </c>
      <c r="M214">
        <v>7</v>
      </c>
      <c r="N214">
        <v>8</v>
      </c>
      <c r="O214">
        <v>-1</v>
      </c>
      <c r="P214">
        <v>8</v>
      </c>
      <c r="Q214">
        <v>8</v>
      </c>
      <c r="R214">
        <v>0</v>
      </c>
      <c r="S214">
        <v>9</v>
      </c>
      <c r="T214">
        <v>8</v>
      </c>
      <c r="U214">
        <v>1</v>
      </c>
      <c r="V214">
        <v>7</v>
      </c>
      <c r="W214">
        <v>8</v>
      </c>
      <c r="X214">
        <v>-1</v>
      </c>
      <c r="Y214">
        <v>9</v>
      </c>
      <c r="Z214">
        <v>8</v>
      </c>
      <c r="AA214">
        <v>1</v>
      </c>
      <c r="AB214">
        <v>8</v>
      </c>
      <c r="AC214">
        <v>8</v>
      </c>
      <c r="AD214">
        <v>0</v>
      </c>
      <c r="AE214">
        <v>7</v>
      </c>
      <c r="AF214">
        <v>8</v>
      </c>
      <c r="AG214">
        <v>-1</v>
      </c>
      <c r="AH214">
        <v>9</v>
      </c>
      <c r="AI214">
        <v>8</v>
      </c>
      <c r="AJ214">
        <v>1</v>
      </c>
      <c r="AK214" t="s">
        <v>2294</v>
      </c>
      <c r="AL214" t="s">
        <v>2295</v>
      </c>
      <c r="AM214" t="s">
        <v>2296</v>
      </c>
      <c r="AN214" t="s">
        <v>2297</v>
      </c>
      <c r="AO214" t="s">
        <v>2298</v>
      </c>
      <c r="AP214" t="s">
        <v>2299</v>
      </c>
      <c r="AQ214" t="s">
        <v>2300</v>
      </c>
      <c r="AR214" t="s">
        <v>2301</v>
      </c>
      <c r="AS214" t="s">
        <v>2302</v>
      </c>
    </row>
    <row r="215" spans="1:45" x14ac:dyDescent="0.45">
      <c r="A215">
        <v>214</v>
      </c>
      <c r="B215">
        <v>255</v>
      </c>
      <c r="C215" t="s">
        <v>67</v>
      </c>
      <c r="D215" t="s">
        <v>68</v>
      </c>
      <c r="E215" t="s">
        <v>69</v>
      </c>
      <c r="F215" t="s">
        <v>70</v>
      </c>
      <c r="G215" t="s">
        <v>71</v>
      </c>
      <c r="H215">
        <v>53.821389581260028</v>
      </c>
      <c r="I215">
        <v>4</v>
      </c>
      <c r="J215">
        <v>7</v>
      </c>
      <c r="K215">
        <v>9</v>
      </c>
      <c r="L215">
        <v>-2</v>
      </c>
      <c r="M215">
        <v>6</v>
      </c>
      <c r="N215">
        <v>9</v>
      </c>
      <c r="O215">
        <v>-3</v>
      </c>
      <c r="P215">
        <v>9</v>
      </c>
      <c r="Q215">
        <v>9</v>
      </c>
      <c r="R215">
        <v>0</v>
      </c>
      <c r="S215">
        <v>9</v>
      </c>
      <c r="T215">
        <v>9</v>
      </c>
      <c r="U215">
        <v>0</v>
      </c>
      <c r="V215">
        <v>7</v>
      </c>
      <c r="W215">
        <v>9</v>
      </c>
      <c r="X215">
        <v>-2</v>
      </c>
      <c r="Y215">
        <v>9</v>
      </c>
      <c r="Z215">
        <v>9</v>
      </c>
      <c r="AA215">
        <v>0</v>
      </c>
      <c r="AB215">
        <v>7</v>
      </c>
      <c r="AC215">
        <v>9</v>
      </c>
      <c r="AD215">
        <v>-2</v>
      </c>
      <c r="AE215">
        <v>6</v>
      </c>
      <c r="AF215">
        <v>9</v>
      </c>
      <c r="AG215">
        <v>-3</v>
      </c>
      <c r="AH215">
        <v>9</v>
      </c>
      <c r="AI215">
        <v>9</v>
      </c>
      <c r="AJ215">
        <v>0</v>
      </c>
      <c r="AK215" t="s">
        <v>746</v>
      </c>
      <c r="AL215" t="s">
        <v>2303</v>
      </c>
      <c r="AM215" t="s">
        <v>2304</v>
      </c>
      <c r="AN215" t="s">
        <v>2305</v>
      </c>
      <c r="AO215" t="s">
        <v>2306</v>
      </c>
      <c r="AP215" t="s">
        <v>2307</v>
      </c>
      <c r="AQ215" t="s">
        <v>2308</v>
      </c>
      <c r="AR215" t="s">
        <v>2309</v>
      </c>
      <c r="AS215" t="s">
        <v>2310</v>
      </c>
    </row>
    <row r="216" spans="1:45" x14ac:dyDescent="0.45">
      <c r="A216">
        <v>215</v>
      </c>
      <c r="B216">
        <v>256</v>
      </c>
      <c r="C216" t="s">
        <v>67</v>
      </c>
      <c r="D216" t="s">
        <v>68</v>
      </c>
      <c r="E216" t="s">
        <v>69</v>
      </c>
      <c r="F216" t="s">
        <v>70</v>
      </c>
      <c r="G216" t="s">
        <v>71</v>
      </c>
      <c r="H216">
        <v>18.719199146531313</v>
      </c>
      <c r="I216">
        <v>2</v>
      </c>
      <c r="J216">
        <v>6</v>
      </c>
      <c r="K216">
        <v>5</v>
      </c>
      <c r="L216">
        <v>1</v>
      </c>
      <c r="M216">
        <v>6</v>
      </c>
      <c r="N216">
        <v>5</v>
      </c>
      <c r="O216">
        <v>1</v>
      </c>
      <c r="P216">
        <v>9</v>
      </c>
      <c r="Q216">
        <v>5</v>
      </c>
      <c r="R216">
        <v>4</v>
      </c>
      <c r="S216">
        <v>8</v>
      </c>
      <c r="T216">
        <v>5</v>
      </c>
      <c r="U216">
        <v>3</v>
      </c>
      <c r="V216">
        <v>9</v>
      </c>
      <c r="W216">
        <v>5</v>
      </c>
      <c r="X216">
        <v>4</v>
      </c>
      <c r="Y216">
        <v>8</v>
      </c>
      <c r="Z216">
        <v>5</v>
      </c>
      <c r="AA216">
        <v>3</v>
      </c>
      <c r="AB216">
        <v>6</v>
      </c>
      <c r="AC216">
        <v>5</v>
      </c>
      <c r="AD216">
        <v>1</v>
      </c>
      <c r="AE216">
        <v>5</v>
      </c>
      <c r="AF216">
        <v>5</v>
      </c>
      <c r="AG216">
        <v>0</v>
      </c>
      <c r="AH216">
        <v>7</v>
      </c>
      <c r="AI216">
        <v>5</v>
      </c>
      <c r="AJ216">
        <v>2</v>
      </c>
      <c r="AK216" t="s">
        <v>2311</v>
      </c>
      <c r="AL216" t="s">
        <v>2312</v>
      </c>
      <c r="AM216" t="s">
        <v>2313</v>
      </c>
      <c r="AN216" t="s">
        <v>2314</v>
      </c>
      <c r="AO216" t="s">
        <v>2315</v>
      </c>
      <c r="AP216" t="s">
        <v>2316</v>
      </c>
      <c r="AQ216" t="s">
        <v>2317</v>
      </c>
      <c r="AR216" t="s">
        <v>2318</v>
      </c>
      <c r="AS216" t="s">
        <v>2319</v>
      </c>
    </row>
    <row r="217" spans="1:45" x14ac:dyDescent="0.45">
      <c r="A217">
        <v>216</v>
      </c>
      <c r="B217">
        <v>257</v>
      </c>
      <c r="C217" t="s">
        <v>67</v>
      </c>
      <c r="D217" t="s">
        <v>68</v>
      </c>
      <c r="E217" t="s">
        <v>69</v>
      </c>
      <c r="F217" t="s">
        <v>70</v>
      </c>
      <c r="G217" t="s">
        <v>71</v>
      </c>
      <c r="H217">
        <v>42.400212876494244</v>
      </c>
      <c r="I217">
        <v>1</v>
      </c>
      <c r="J217">
        <v>7</v>
      </c>
      <c r="K217">
        <v>6</v>
      </c>
      <c r="L217">
        <v>1</v>
      </c>
      <c r="M217">
        <v>6</v>
      </c>
      <c r="N217">
        <v>7</v>
      </c>
      <c r="O217">
        <v>-1</v>
      </c>
      <c r="P217">
        <v>9</v>
      </c>
      <c r="Q217">
        <v>7</v>
      </c>
      <c r="R217">
        <v>2</v>
      </c>
      <c r="S217">
        <v>8</v>
      </c>
      <c r="T217">
        <v>7</v>
      </c>
      <c r="U217">
        <v>1</v>
      </c>
      <c r="V217">
        <v>9</v>
      </c>
      <c r="W217">
        <v>6</v>
      </c>
      <c r="X217">
        <v>3</v>
      </c>
      <c r="Y217">
        <v>8</v>
      </c>
      <c r="Z217">
        <v>7</v>
      </c>
      <c r="AA217">
        <v>1</v>
      </c>
      <c r="AB217">
        <v>9</v>
      </c>
      <c r="AC217">
        <v>7</v>
      </c>
      <c r="AD217">
        <v>2</v>
      </c>
      <c r="AE217">
        <v>8</v>
      </c>
      <c r="AF217">
        <v>7</v>
      </c>
      <c r="AG217">
        <v>1</v>
      </c>
      <c r="AH217">
        <v>9</v>
      </c>
      <c r="AI217">
        <v>7</v>
      </c>
      <c r="AJ217">
        <v>2</v>
      </c>
      <c r="AK217" t="s">
        <v>2320</v>
      </c>
      <c r="AL217" t="s">
        <v>2321</v>
      </c>
      <c r="AM217" t="s">
        <v>2322</v>
      </c>
      <c r="AN217" t="s">
        <v>2323</v>
      </c>
      <c r="AO217" t="s">
        <v>2324</v>
      </c>
      <c r="AP217" t="s">
        <v>2325</v>
      </c>
      <c r="AQ217" t="s">
        <v>2326</v>
      </c>
      <c r="AR217" t="s">
        <v>2327</v>
      </c>
      <c r="AS217" t="s">
        <v>2328</v>
      </c>
    </row>
    <row r="218" spans="1:45" x14ac:dyDescent="0.45">
      <c r="A218">
        <v>217</v>
      </c>
      <c r="B218">
        <v>258</v>
      </c>
      <c r="C218" t="s">
        <v>73</v>
      </c>
      <c r="D218" t="s">
        <v>68</v>
      </c>
      <c r="E218" t="s">
        <v>69</v>
      </c>
      <c r="F218" t="s">
        <v>72</v>
      </c>
      <c r="G218" t="s">
        <v>71</v>
      </c>
      <c r="H218">
        <v>38.912910617398488</v>
      </c>
      <c r="I218">
        <v>0</v>
      </c>
      <c r="J218">
        <v>7</v>
      </c>
      <c r="K218">
        <v>5</v>
      </c>
      <c r="L218">
        <v>2</v>
      </c>
      <c r="M218">
        <v>7</v>
      </c>
      <c r="N218">
        <v>5</v>
      </c>
      <c r="O218">
        <v>2</v>
      </c>
      <c r="P218">
        <v>9</v>
      </c>
      <c r="Q218">
        <v>5</v>
      </c>
      <c r="R218">
        <v>4</v>
      </c>
      <c r="S218">
        <v>8</v>
      </c>
      <c r="T218">
        <v>6</v>
      </c>
      <c r="U218">
        <v>2</v>
      </c>
      <c r="V218">
        <v>8</v>
      </c>
      <c r="W218">
        <v>5</v>
      </c>
      <c r="X218">
        <v>3</v>
      </c>
      <c r="Y218">
        <v>7</v>
      </c>
      <c r="Z218">
        <v>5</v>
      </c>
      <c r="AA218">
        <v>2</v>
      </c>
      <c r="AB218">
        <v>8</v>
      </c>
      <c r="AC218">
        <v>5</v>
      </c>
      <c r="AD218">
        <v>3</v>
      </c>
      <c r="AE218">
        <v>7</v>
      </c>
      <c r="AF218">
        <v>5</v>
      </c>
      <c r="AG218">
        <v>2</v>
      </c>
      <c r="AH218">
        <v>8</v>
      </c>
      <c r="AI218">
        <v>5</v>
      </c>
      <c r="AJ218">
        <v>3</v>
      </c>
      <c r="AK218" t="s">
        <v>2329</v>
      </c>
      <c r="AL218" t="s">
        <v>2330</v>
      </c>
      <c r="AM218" t="s">
        <v>2331</v>
      </c>
      <c r="AN218" t="s">
        <v>2332</v>
      </c>
      <c r="AO218" t="s">
        <v>2333</v>
      </c>
      <c r="AP218" t="s">
        <v>2334</v>
      </c>
      <c r="AQ218" t="s">
        <v>2335</v>
      </c>
      <c r="AR218" t="s">
        <v>2336</v>
      </c>
      <c r="AS218" t="s">
        <v>2337</v>
      </c>
    </row>
    <row r="219" spans="1:45" x14ac:dyDescent="0.45">
      <c r="A219">
        <v>218</v>
      </c>
      <c r="B219">
        <v>259</v>
      </c>
      <c r="C219" t="s">
        <v>67</v>
      </c>
      <c r="D219" t="s">
        <v>68</v>
      </c>
      <c r="E219" t="s">
        <v>69</v>
      </c>
      <c r="F219" t="s">
        <v>72</v>
      </c>
      <c r="G219" t="s">
        <v>71</v>
      </c>
      <c r="H219">
        <v>67.90424664424836</v>
      </c>
      <c r="I219">
        <v>3</v>
      </c>
      <c r="J219">
        <v>9</v>
      </c>
      <c r="K219">
        <v>6</v>
      </c>
      <c r="L219">
        <v>3</v>
      </c>
      <c r="M219">
        <v>8</v>
      </c>
      <c r="N219">
        <v>7</v>
      </c>
      <c r="O219">
        <v>1</v>
      </c>
      <c r="P219">
        <v>9</v>
      </c>
      <c r="Q219">
        <v>7</v>
      </c>
      <c r="R219">
        <v>2</v>
      </c>
      <c r="S219">
        <v>8</v>
      </c>
      <c r="T219">
        <v>7</v>
      </c>
      <c r="U219">
        <v>1</v>
      </c>
      <c r="V219">
        <v>9</v>
      </c>
      <c r="W219">
        <v>7</v>
      </c>
      <c r="X219">
        <v>2</v>
      </c>
      <c r="Y219">
        <v>8</v>
      </c>
      <c r="Z219">
        <v>7</v>
      </c>
      <c r="AA219">
        <v>1</v>
      </c>
      <c r="AB219">
        <v>9</v>
      </c>
      <c r="AC219">
        <v>7</v>
      </c>
      <c r="AD219">
        <v>2</v>
      </c>
      <c r="AE219">
        <v>8</v>
      </c>
      <c r="AF219">
        <v>7</v>
      </c>
      <c r="AG219">
        <v>1</v>
      </c>
      <c r="AH219">
        <v>9</v>
      </c>
      <c r="AI219">
        <v>7</v>
      </c>
      <c r="AJ219">
        <v>2</v>
      </c>
      <c r="AK219" t="s">
        <v>2338</v>
      </c>
      <c r="AL219" t="s">
        <v>2339</v>
      </c>
      <c r="AM219" t="s">
        <v>526</v>
      </c>
      <c r="AN219" t="s">
        <v>2340</v>
      </c>
      <c r="AO219" t="s">
        <v>2341</v>
      </c>
      <c r="AP219" t="s">
        <v>2342</v>
      </c>
      <c r="AQ219" t="s">
        <v>2343</v>
      </c>
      <c r="AR219" t="s">
        <v>2344</v>
      </c>
      <c r="AS219" t="s">
        <v>2345</v>
      </c>
    </row>
    <row r="220" spans="1:45" x14ac:dyDescent="0.45">
      <c r="A220">
        <v>219</v>
      </c>
      <c r="B220">
        <v>260</v>
      </c>
      <c r="C220" t="s">
        <v>73</v>
      </c>
      <c r="D220" t="s">
        <v>189</v>
      </c>
      <c r="E220" t="s">
        <v>69</v>
      </c>
      <c r="F220" t="s">
        <v>70</v>
      </c>
      <c r="G220" t="s">
        <v>71</v>
      </c>
      <c r="H220">
        <v>182.21574814922121</v>
      </c>
      <c r="I220">
        <v>2</v>
      </c>
      <c r="J220">
        <v>5</v>
      </c>
      <c r="K220">
        <v>7</v>
      </c>
      <c r="L220">
        <v>-2</v>
      </c>
      <c r="M220">
        <v>6</v>
      </c>
      <c r="N220">
        <v>8</v>
      </c>
      <c r="O220">
        <v>-2</v>
      </c>
      <c r="P220">
        <v>8</v>
      </c>
      <c r="Q220">
        <v>8</v>
      </c>
      <c r="R220">
        <v>0</v>
      </c>
      <c r="S220">
        <v>7</v>
      </c>
      <c r="T220">
        <v>8</v>
      </c>
      <c r="U220">
        <v>-1</v>
      </c>
      <c r="V220">
        <v>6</v>
      </c>
      <c r="W220">
        <v>8</v>
      </c>
      <c r="X220">
        <v>-2</v>
      </c>
      <c r="Y220">
        <v>9</v>
      </c>
      <c r="Z220">
        <v>5</v>
      </c>
      <c r="AA220">
        <v>4</v>
      </c>
      <c r="AB220">
        <v>7</v>
      </c>
      <c r="AC220">
        <v>5</v>
      </c>
      <c r="AD220">
        <v>2</v>
      </c>
      <c r="AE220">
        <v>6</v>
      </c>
      <c r="AF220">
        <v>7</v>
      </c>
      <c r="AG220">
        <v>-1</v>
      </c>
      <c r="AH220">
        <v>8</v>
      </c>
      <c r="AI220">
        <v>6</v>
      </c>
      <c r="AJ220">
        <v>2</v>
      </c>
      <c r="AK220" t="s">
        <v>2346</v>
      </c>
      <c r="AL220" t="s">
        <v>2347</v>
      </c>
      <c r="AM220" t="s">
        <v>2348</v>
      </c>
      <c r="AN220" t="s">
        <v>2349</v>
      </c>
      <c r="AO220" t="s">
        <v>2350</v>
      </c>
      <c r="AP220" t="s">
        <v>2351</v>
      </c>
      <c r="AQ220" t="s">
        <v>2352</v>
      </c>
      <c r="AR220" t="s">
        <v>2353</v>
      </c>
      <c r="AS220" t="s">
        <v>2354</v>
      </c>
    </row>
    <row r="221" spans="1:45" x14ac:dyDescent="0.45">
      <c r="A221">
        <v>220</v>
      </c>
      <c r="B221">
        <v>261</v>
      </c>
      <c r="C221" t="s">
        <v>67</v>
      </c>
      <c r="D221" t="s">
        <v>187</v>
      </c>
      <c r="E221" t="s">
        <v>69</v>
      </c>
      <c r="F221" t="s">
        <v>70</v>
      </c>
      <c r="G221" t="s">
        <v>71</v>
      </c>
      <c r="H221">
        <v>116.72238938428899</v>
      </c>
      <c r="I221">
        <v>1</v>
      </c>
      <c r="J221">
        <v>8</v>
      </c>
      <c r="K221">
        <v>10</v>
      </c>
      <c r="L221">
        <v>-2</v>
      </c>
      <c r="M221">
        <v>8</v>
      </c>
      <c r="N221">
        <v>10</v>
      </c>
      <c r="O221">
        <v>-2</v>
      </c>
      <c r="P221">
        <v>9</v>
      </c>
      <c r="Q221">
        <v>6</v>
      </c>
      <c r="R221">
        <v>3</v>
      </c>
      <c r="S221">
        <v>8</v>
      </c>
      <c r="T221">
        <v>9</v>
      </c>
      <c r="U221">
        <v>-1</v>
      </c>
      <c r="V221">
        <v>9</v>
      </c>
      <c r="W221">
        <v>9</v>
      </c>
      <c r="X221">
        <v>0</v>
      </c>
      <c r="Y221">
        <v>8</v>
      </c>
      <c r="Z221">
        <v>9</v>
      </c>
      <c r="AA221">
        <v>-1</v>
      </c>
      <c r="AB221">
        <v>7</v>
      </c>
      <c r="AC221">
        <v>9</v>
      </c>
      <c r="AD221">
        <v>-2</v>
      </c>
      <c r="AE221">
        <v>9</v>
      </c>
      <c r="AF221">
        <v>8</v>
      </c>
      <c r="AG221">
        <v>1</v>
      </c>
      <c r="AH221">
        <v>9</v>
      </c>
      <c r="AI221">
        <v>8</v>
      </c>
      <c r="AJ221">
        <v>1</v>
      </c>
      <c r="AK221" t="s">
        <v>527</v>
      </c>
      <c r="AL221" t="s">
        <v>528</v>
      </c>
      <c r="AM221" t="s">
        <v>747</v>
      </c>
      <c r="AN221" t="s">
        <v>748</v>
      </c>
      <c r="AO221" t="s">
        <v>749</v>
      </c>
      <c r="AP221" t="s">
        <v>2355</v>
      </c>
      <c r="AQ221" t="s">
        <v>2356</v>
      </c>
      <c r="AR221" t="s">
        <v>2357</v>
      </c>
      <c r="AS221" t="s">
        <v>2358</v>
      </c>
    </row>
    <row r="222" spans="1:45" x14ac:dyDescent="0.45">
      <c r="A222">
        <v>221</v>
      </c>
      <c r="B222">
        <v>262</v>
      </c>
      <c r="C222" t="s">
        <v>67</v>
      </c>
      <c r="D222" t="s">
        <v>74</v>
      </c>
      <c r="E222" t="s">
        <v>69</v>
      </c>
      <c r="F222" t="s">
        <v>72</v>
      </c>
      <c r="G222" t="s">
        <v>71</v>
      </c>
      <c r="H222">
        <v>55.158825873441579</v>
      </c>
      <c r="I222">
        <v>1</v>
      </c>
      <c r="J222">
        <v>7</v>
      </c>
      <c r="K222">
        <v>4</v>
      </c>
      <c r="L222">
        <v>3</v>
      </c>
      <c r="M222">
        <v>8</v>
      </c>
      <c r="N222">
        <v>4</v>
      </c>
      <c r="O222">
        <v>4</v>
      </c>
      <c r="P222">
        <v>6</v>
      </c>
      <c r="Q222">
        <v>4</v>
      </c>
      <c r="R222">
        <v>2</v>
      </c>
      <c r="S222">
        <v>9</v>
      </c>
      <c r="T222">
        <v>6</v>
      </c>
      <c r="U222">
        <v>3</v>
      </c>
      <c r="V222">
        <v>7</v>
      </c>
      <c r="W222">
        <v>5</v>
      </c>
      <c r="X222">
        <v>2</v>
      </c>
      <c r="Y222">
        <v>8</v>
      </c>
      <c r="Z222">
        <v>6</v>
      </c>
      <c r="AA222">
        <v>2</v>
      </c>
      <c r="AB222">
        <v>7</v>
      </c>
      <c r="AC222">
        <v>5</v>
      </c>
      <c r="AD222">
        <v>2</v>
      </c>
      <c r="AE222">
        <v>6</v>
      </c>
      <c r="AF222">
        <v>6</v>
      </c>
      <c r="AG222">
        <v>0</v>
      </c>
      <c r="AH222">
        <v>8</v>
      </c>
      <c r="AI222">
        <v>5</v>
      </c>
      <c r="AJ222">
        <v>3</v>
      </c>
      <c r="AK222" t="s">
        <v>750</v>
      </c>
      <c r="AL222" t="s">
        <v>751</v>
      </c>
      <c r="AM222" t="s">
        <v>752</v>
      </c>
      <c r="AN222" t="s">
        <v>2359</v>
      </c>
      <c r="AO222" t="s">
        <v>2360</v>
      </c>
      <c r="AP222" t="s">
        <v>2361</v>
      </c>
      <c r="AQ222" t="s">
        <v>2362</v>
      </c>
      <c r="AR222" t="s">
        <v>2363</v>
      </c>
      <c r="AS222" t="s">
        <v>2364</v>
      </c>
    </row>
    <row r="223" spans="1:45" x14ac:dyDescent="0.45">
      <c r="A223">
        <v>222</v>
      </c>
      <c r="B223">
        <v>263</v>
      </c>
      <c r="C223" t="s">
        <v>67</v>
      </c>
      <c r="D223" t="s">
        <v>187</v>
      </c>
      <c r="E223" t="s">
        <v>69</v>
      </c>
      <c r="F223" t="s">
        <v>72</v>
      </c>
      <c r="G223" t="s">
        <v>71</v>
      </c>
      <c r="H223">
        <v>55.998308302406855</v>
      </c>
      <c r="I223">
        <v>2</v>
      </c>
      <c r="J223">
        <v>8</v>
      </c>
      <c r="K223">
        <v>4</v>
      </c>
      <c r="L223">
        <v>4</v>
      </c>
      <c r="M223">
        <v>9</v>
      </c>
      <c r="N223">
        <v>5</v>
      </c>
      <c r="O223">
        <v>4</v>
      </c>
      <c r="P223">
        <v>8</v>
      </c>
      <c r="Q223">
        <v>4</v>
      </c>
      <c r="R223">
        <v>4</v>
      </c>
      <c r="S223">
        <v>9</v>
      </c>
      <c r="T223">
        <v>5</v>
      </c>
      <c r="U223">
        <v>4</v>
      </c>
      <c r="V223">
        <v>8</v>
      </c>
      <c r="W223">
        <v>5</v>
      </c>
      <c r="X223">
        <v>3</v>
      </c>
      <c r="Y223">
        <v>9</v>
      </c>
      <c r="Z223">
        <v>5</v>
      </c>
      <c r="AA223">
        <v>4</v>
      </c>
      <c r="AB223">
        <v>8</v>
      </c>
      <c r="AC223">
        <v>5</v>
      </c>
      <c r="AD223">
        <v>3</v>
      </c>
      <c r="AE223">
        <v>9</v>
      </c>
      <c r="AF223">
        <v>5</v>
      </c>
      <c r="AG223">
        <v>4</v>
      </c>
      <c r="AH223">
        <v>9</v>
      </c>
      <c r="AI223">
        <v>5</v>
      </c>
      <c r="AJ223">
        <v>4</v>
      </c>
      <c r="AK223" t="s">
        <v>529</v>
      </c>
      <c r="AL223" t="s">
        <v>753</v>
      </c>
      <c r="AM223" t="s">
        <v>2365</v>
      </c>
      <c r="AN223" t="s">
        <v>2366</v>
      </c>
      <c r="AO223" t="s">
        <v>2367</v>
      </c>
      <c r="AP223" t="s">
        <v>2368</v>
      </c>
      <c r="AQ223" t="s">
        <v>2369</v>
      </c>
      <c r="AR223" t="s">
        <v>2370</v>
      </c>
      <c r="AS223" t="s">
        <v>2371</v>
      </c>
    </row>
    <row r="224" spans="1:45" x14ac:dyDescent="0.45">
      <c r="A224">
        <v>223</v>
      </c>
      <c r="B224">
        <v>264</v>
      </c>
      <c r="C224" t="s">
        <v>73</v>
      </c>
      <c r="D224" t="s">
        <v>68</v>
      </c>
      <c r="E224" t="s">
        <v>69</v>
      </c>
      <c r="F224" t="s">
        <v>72</v>
      </c>
      <c r="G224" t="s">
        <v>71</v>
      </c>
      <c r="H224">
        <v>55.459135160250725</v>
      </c>
      <c r="I224">
        <v>2</v>
      </c>
      <c r="J224">
        <v>9</v>
      </c>
      <c r="K224">
        <v>6</v>
      </c>
      <c r="L224">
        <v>3</v>
      </c>
      <c r="M224">
        <v>8</v>
      </c>
      <c r="N224">
        <v>6</v>
      </c>
      <c r="O224">
        <v>2</v>
      </c>
      <c r="P224">
        <v>9</v>
      </c>
      <c r="Q224">
        <v>7</v>
      </c>
      <c r="R224">
        <v>2</v>
      </c>
      <c r="S224">
        <v>8</v>
      </c>
      <c r="T224">
        <v>7</v>
      </c>
      <c r="U224">
        <v>1</v>
      </c>
      <c r="V224">
        <v>9</v>
      </c>
      <c r="W224">
        <v>6</v>
      </c>
      <c r="X224">
        <v>3</v>
      </c>
      <c r="Y224">
        <v>8</v>
      </c>
      <c r="Z224">
        <v>6</v>
      </c>
      <c r="AA224">
        <v>2</v>
      </c>
      <c r="AB224">
        <v>9</v>
      </c>
      <c r="AC224">
        <v>8</v>
      </c>
      <c r="AD224">
        <v>1</v>
      </c>
      <c r="AE224">
        <v>8</v>
      </c>
      <c r="AF224">
        <v>8</v>
      </c>
      <c r="AG224">
        <v>0</v>
      </c>
      <c r="AH224">
        <v>9</v>
      </c>
      <c r="AI224">
        <v>7</v>
      </c>
      <c r="AJ224">
        <v>2</v>
      </c>
      <c r="AK224" t="s">
        <v>2372</v>
      </c>
      <c r="AL224" t="s">
        <v>2373</v>
      </c>
      <c r="AM224" t="s">
        <v>2374</v>
      </c>
      <c r="AN224" t="s">
        <v>2375</v>
      </c>
      <c r="AO224" t="s">
        <v>2376</v>
      </c>
      <c r="AP224" t="s">
        <v>2377</v>
      </c>
      <c r="AQ224" t="s">
        <v>2378</v>
      </c>
      <c r="AR224" t="s">
        <v>2379</v>
      </c>
      <c r="AS224" t="s">
        <v>2380</v>
      </c>
    </row>
    <row r="225" spans="1:45" x14ac:dyDescent="0.45">
      <c r="A225">
        <v>224</v>
      </c>
      <c r="B225">
        <v>265</v>
      </c>
      <c r="C225" t="s">
        <v>67</v>
      </c>
      <c r="D225" t="s">
        <v>68</v>
      </c>
      <c r="E225" t="s">
        <v>69</v>
      </c>
      <c r="F225" t="s">
        <v>70</v>
      </c>
      <c r="G225" t="s">
        <v>71</v>
      </c>
      <c r="H225">
        <v>63.207315378130382</v>
      </c>
      <c r="I225">
        <v>0</v>
      </c>
      <c r="J225">
        <v>8</v>
      </c>
      <c r="K225">
        <v>7</v>
      </c>
      <c r="L225">
        <v>1</v>
      </c>
      <c r="M225">
        <v>7</v>
      </c>
      <c r="N225">
        <v>7</v>
      </c>
      <c r="O225">
        <v>0</v>
      </c>
      <c r="P225">
        <v>9</v>
      </c>
      <c r="Q225">
        <v>7</v>
      </c>
      <c r="R225">
        <v>2</v>
      </c>
      <c r="S225">
        <v>8</v>
      </c>
      <c r="T225">
        <v>7</v>
      </c>
      <c r="U225">
        <v>1</v>
      </c>
      <c r="V225">
        <v>7</v>
      </c>
      <c r="W225">
        <v>7</v>
      </c>
      <c r="X225">
        <v>0</v>
      </c>
      <c r="Y225">
        <v>8</v>
      </c>
      <c r="Z225">
        <v>7</v>
      </c>
      <c r="AA225">
        <v>1</v>
      </c>
      <c r="AB225">
        <v>7</v>
      </c>
      <c r="AC225">
        <v>7</v>
      </c>
      <c r="AD225">
        <v>0</v>
      </c>
      <c r="AE225">
        <v>8</v>
      </c>
      <c r="AF225">
        <v>7</v>
      </c>
      <c r="AG225">
        <v>1</v>
      </c>
      <c r="AH225">
        <v>9</v>
      </c>
      <c r="AI225">
        <v>7</v>
      </c>
      <c r="AJ225">
        <v>2</v>
      </c>
      <c r="AK225" t="s">
        <v>530</v>
      </c>
      <c r="AL225" t="s">
        <v>531</v>
      </c>
      <c r="AM225" t="s">
        <v>2381</v>
      </c>
      <c r="AN225" t="s">
        <v>2382</v>
      </c>
      <c r="AO225" t="s">
        <v>2383</v>
      </c>
      <c r="AP225" t="s">
        <v>2384</v>
      </c>
      <c r="AQ225" t="s">
        <v>2385</v>
      </c>
      <c r="AR225" t="s">
        <v>2386</v>
      </c>
      <c r="AS225" t="s">
        <v>2387</v>
      </c>
    </row>
    <row r="226" spans="1:45" x14ac:dyDescent="0.45">
      <c r="A226">
        <v>225</v>
      </c>
      <c r="B226">
        <v>266</v>
      </c>
      <c r="C226" t="s">
        <v>67</v>
      </c>
      <c r="D226" t="s">
        <v>68</v>
      </c>
      <c r="E226" t="s">
        <v>69</v>
      </c>
      <c r="F226" t="s">
        <v>72</v>
      </c>
      <c r="G226" t="s">
        <v>71</v>
      </c>
      <c r="H226">
        <v>46.305800017053741</v>
      </c>
      <c r="I226">
        <v>1</v>
      </c>
      <c r="J226">
        <v>8</v>
      </c>
      <c r="K226">
        <v>6</v>
      </c>
      <c r="L226">
        <v>2</v>
      </c>
      <c r="M226">
        <v>9</v>
      </c>
      <c r="N226">
        <v>6</v>
      </c>
      <c r="O226">
        <v>3</v>
      </c>
      <c r="P226">
        <v>8</v>
      </c>
      <c r="Q226">
        <v>7</v>
      </c>
      <c r="R226">
        <v>1</v>
      </c>
      <c r="S226">
        <v>9</v>
      </c>
      <c r="T226">
        <v>7</v>
      </c>
      <c r="U226">
        <v>2</v>
      </c>
      <c r="V226">
        <v>8</v>
      </c>
      <c r="W226">
        <v>5</v>
      </c>
      <c r="X226">
        <v>3</v>
      </c>
      <c r="Y226">
        <v>9</v>
      </c>
      <c r="Z226">
        <v>6</v>
      </c>
      <c r="AA226">
        <v>3</v>
      </c>
      <c r="AB226">
        <v>8</v>
      </c>
      <c r="AC226">
        <v>6</v>
      </c>
      <c r="AD226">
        <v>2</v>
      </c>
      <c r="AE226">
        <v>9</v>
      </c>
      <c r="AF226">
        <v>6</v>
      </c>
      <c r="AG226">
        <v>3</v>
      </c>
      <c r="AH226">
        <v>10</v>
      </c>
      <c r="AI226">
        <v>7</v>
      </c>
      <c r="AJ226">
        <v>3</v>
      </c>
      <c r="AK226" t="s">
        <v>2388</v>
      </c>
      <c r="AL226" t="s">
        <v>2389</v>
      </c>
      <c r="AM226" t="s">
        <v>276</v>
      </c>
      <c r="AN226" t="s">
        <v>2390</v>
      </c>
      <c r="AO226" t="s">
        <v>2391</v>
      </c>
      <c r="AP226" t="s">
        <v>2392</v>
      </c>
      <c r="AQ226" t="s">
        <v>2393</v>
      </c>
      <c r="AR226" t="s">
        <v>2394</v>
      </c>
      <c r="AS226" t="s">
        <v>2395</v>
      </c>
    </row>
    <row r="227" spans="1:45" x14ac:dyDescent="0.45">
      <c r="A227">
        <v>226</v>
      </c>
      <c r="B227">
        <v>267</v>
      </c>
      <c r="C227" t="s">
        <v>67</v>
      </c>
      <c r="D227" t="s">
        <v>189</v>
      </c>
      <c r="E227" t="s">
        <v>69</v>
      </c>
      <c r="F227" t="s">
        <v>70</v>
      </c>
      <c r="G227" t="s">
        <v>71</v>
      </c>
      <c r="H227">
        <v>86.845017367414869</v>
      </c>
      <c r="I227">
        <v>2</v>
      </c>
      <c r="J227">
        <v>6</v>
      </c>
      <c r="K227">
        <v>7</v>
      </c>
      <c r="L227">
        <v>-1</v>
      </c>
      <c r="M227">
        <v>6</v>
      </c>
      <c r="N227">
        <v>7</v>
      </c>
      <c r="O227">
        <v>-1</v>
      </c>
      <c r="P227">
        <v>9</v>
      </c>
      <c r="Q227">
        <v>6</v>
      </c>
      <c r="R227">
        <v>3</v>
      </c>
      <c r="S227">
        <v>8</v>
      </c>
      <c r="T227">
        <v>7</v>
      </c>
      <c r="U227">
        <v>1</v>
      </c>
      <c r="V227">
        <v>7</v>
      </c>
      <c r="W227">
        <v>7</v>
      </c>
      <c r="X227">
        <v>0</v>
      </c>
      <c r="Y227">
        <v>7</v>
      </c>
      <c r="Z227">
        <v>7</v>
      </c>
      <c r="AA227">
        <v>0</v>
      </c>
      <c r="AB227">
        <v>7</v>
      </c>
      <c r="AC227">
        <v>7</v>
      </c>
      <c r="AD227">
        <v>0</v>
      </c>
      <c r="AE227">
        <v>6</v>
      </c>
      <c r="AF227">
        <v>7</v>
      </c>
      <c r="AG227">
        <v>-1</v>
      </c>
      <c r="AH227">
        <v>8</v>
      </c>
      <c r="AI227">
        <v>7</v>
      </c>
      <c r="AJ227">
        <v>1</v>
      </c>
      <c r="AK227" t="s">
        <v>2396</v>
      </c>
      <c r="AL227" t="s">
        <v>2397</v>
      </c>
      <c r="AM227" t="s">
        <v>2398</v>
      </c>
      <c r="AN227" t="s">
        <v>2399</v>
      </c>
      <c r="AO227" t="s">
        <v>2400</v>
      </c>
      <c r="AP227" t="s">
        <v>2401</v>
      </c>
      <c r="AQ227" t="s">
        <v>2402</v>
      </c>
      <c r="AR227" t="s">
        <v>2403</v>
      </c>
      <c r="AS227" t="s">
        <v>2404</v>
      </c>
    </row>
    <row r="228" spans="1:45" x14ac:dyDescent="0.45">
      <c r="A228">
        <v>227</v>
      </c>
      <c r="B228">
        <v>268</v>
      </c>
      <c r="C228" t="s">
        <v>67</v>
      </c>
      <c r="D228" t="s">
        <v>76</v>
      </c>
      <c r="E228" t="s">
        <v>69</v>
      </c>
      <c r="F228" t="s">
        <v>72</v>
      </c>
      <c r="G228" t="s">
        <v>71</v>
      </c>
      <c r="H228">
        <v>30.204689012446956</v>
      </c>
      <c r="I228">
        <v>0</v>
      </c>
      <c r="J228">
        <v>8</v>
      </c>
      <c r="K228">
        <v>6</v>
      </c>
      <c r="L228">
        <v>2</v>
      </c>
      <c r="M228">
        <v>9</v>
      </c>
      <c r="N228">
        <v>6</v>
      </c>
      <c r="O228">
        <v>3</v>
      </c>
      <c r="P228">
        <v>8</v>
      </c>
      <c r="Q228">
        <v>6</v>
      </c>
      <c r="R228">
        <v>2</v>
      </c>
      <c r="S228">
        <v>9</v>
      </c>
      <c r="T228">
        <v>6</v>
      </c>
      <c r="U228">
        <v>3</v>
      </c>
      <c r="V228">
        <v>8</v>
      </c>
      <c r="W228">
        <v>6</v>
      </c>
      <c r="X228">
        <v>2</v>
      </c>
      <c r="Y228">
        <v>9</v>
      </c>
      <c r="Z228">
        <v>6</v>
      </c>
      <c r="AA228">
        <v>3</v>
      </c>
      <c r="AB228">
        <v>8</v>
      </c>
      <c r="AC228">
        <v>6</v>
      </c>
      <c r="AD228">
        <v>2</v>
      </c>
      <c r="AE228">
        <v>9</v>
      </c>
      <c r="AF228">
        <v>6</v>
      </c>
      <c r="AG228">
        <v>3</v>
      </c>
      <c r="AH228">
        <v>8</v>
      </c>
      <c r="AI228">
        <v>6</v>
      </c>
      <c r="AJ228">
        <v>2</v>
      </c>
      <c r="AK228" t="s">
        <v>2405</v>
      </c>
      <c r="AL228" t="s">
        <v>2406</v>
      </c>
      <c r="AM228" t="s">
        <v>2407</v>
      </c>
      <c r="AN228" t="s">
        <v>2408</v>
      </c>
      <c r="AO228" t="s">
        <v>2409</v>
      </c>
      <c r="AP228" t="s">
        <v>2410</v>
      </c>
      <c r="AQ228" t="s">
        <v>2411</v>
      </c>
      <c r="AR228" t="s">
        <v>2412</v>
      </c>
      <c r="AS228" t="s">
        <v>2413</v>
      </c>
    </row>
    <row r="229" spans="1:45" x14ac:dyDescent="0.45">
      <c r="A229">
        <v>228</v>
      </c>
      <c r="B229">
        <v>269</v>
      </c>
      <c r="C229" t="s">
        <v>67</v>
      </c>
      <c r="D229" t="s">
        <v>76</v>
      </c>
      <c r="E229" t="s">
        <v>69</v>
      </c>
      <c r="F229" t="s">
        <v>72</v>
      </c>
      <c r="G229" t="s">
        <v>71</v>
      </c>
      <c r="H229">
        <v>20.883093601344491</v>
      </c>
      <c r="I229">
        <v>2</v>
      </c>
      <c r="J229">
        <v>9</v>
      </c>
      <c r="K229">
        <v>8</v>
      </c>
      <c r="L229">
        <v>1</v>
      </c>
      <c r="M229">
        <v>8</v>
      </c>
      <c r="N229">
        <v>9</v>
      </c>
      <c r="O229">
        <v>-1</v>
      </c>
      <c r="P229">
        <v>9</v>
      </c>
      <c r="Q229">
        <v>7</v>
      </c>
      <c r="R229">
        <v>2</v>
      </c>
      <c r="S229">
        <v>8</v>
      </c>
      <c r="T229">
        <v>8</v>
      </c>
      <c r="U229">
        <v>0</v>
      </c>
      <c r="V229">
        <v>9</v>
      </c>
      <c r="W229">
        <v>9</v>
      </c>
      <c r="X229">
        <v>0</v>
      </c>
      <c r="Y229">
        <v>8</v>
      </c>
      <c r="Z229">
        <v>8</v>
      </c>
      <c r="AA229">
        <v>0</v>
      </c>
      <c r="AB229">
        <v>9</v>
      </c>
      <c r="AC229">
        <v>8</v>
      </c>
      <c r="AD229">
        <v>1</v>
      </c>
      <c r="AE229">
        <v>8</v>
      </c>
      <c r="AF229">
        <v>8</v>
      </c>
      <c r="AG229">
        <v>0</v>
      </c>
      <c r="AH229">
        <v>9</v>
      </c>
      <c r="AI229">
        <v>8</v>
      </c>
      <c r="AJ229">
        <v>1</v>
      </c>
      <c r="AK229" t="s">
        <v>2414</v>
      </c>
      <c r="AL229" t="s">
        <v>2415</v>
      </c>
      <c r="AM229" t="s">
        <v>2416</v>
      </c>
      <c r="AN229" t="s">
        <v>2417</v>
      </c>
      <c r="AO229" t="s">
        <v>2418</v>
      </c>
      <c r="AP229" t="s">
        <v>2419</v>
      </c>
      <c r="AQ229" t="s">
        <v>2420</v>
      </c>
      <c r="AR229" t="s">
        <v>2421</v>
      </c>
      <c r="AS229" t="s">
        <v>2422</v>
      </c>
    </row>
    <row r="230" spans="1:45" x14ac:dyDescent="0.45">
      <c r="A230">
        <v>229</v>
      </c>
      <c r="B230">
        <v>270</v>
      </c>
      <c r="C230" t="s">
        <v>67</v>
      </c>
      <c r="D230" t="s">
        <v>68</v>
      </c>
      <c r="E230" t="s">
        <v>69</v>
      </c>
      <c r="F230" t="s">
        <v>72</v>
      </c>
      <c r="G230" t="s">
        <v>71</v>
      </c>
      <c r="H230">
        <v>58.570001333168669</v>
      </c>
      <c r="I230">
        <v>2</v>
      </c>
      <c r="J230">
        <v>7</v>
      </c>
      <c r="K230">
        <v>6</v>
      </c>
      <c r="L230">
        <v>1</v>
      </c>
      <c r="M230">
        <v>8</v>
      </c>
      <c r="N230">
        <v>6</v>
      </c>
      <c r="O230">
        <v>2</v>
      </c>
      <c r="P230">
        <v>7</v>
      </c>
      <c r="Q230">
        <v>6</v>
      </c>
      <c r="R230">
        <v>1</v>
      </c>
      <c r="S230">
        <v>9</v>
      </c>
      <c r="T230">
        <v>6</v>
      </c>
      <c r="U230">
        <v>3</v>
      </c>
      <c r="V230">
        <v>7</v>
      </c>
      <c r="W230">
        <v>6</v>
      </c>
      <c r="X230">
        <v>1</v>
      </c>
      <c r="Y230">
        <v>9</v>
      </c>
      <c r="Z230">
        <v>7</v>
      </c>
      <c r="AA230">
        <v>2</v>
      </c>
      <c r="AB230">
        <v>8</v>
      </c>
      <c r="AC230">
        <v>6</v>
      </c>
      <c r="AD230">
        <v>2</v>
      </c>
      <c r="AE230">
        <v>7</v>
      </c>
      <c r="AF230">
        <v>6</v>
      </c>
      <c r="AG230">
        <v>1</v>
      </c>
      <c r="AH230">
        <v>9</v>
      </c>
      <c r="AI230">
        <v>7</v>
      </c>
      <c r="AJ230">
        <v>2</v>
      </c>
      <c r="AK230" t="s">
        <v>2423</v>
      </c>
      <c r="AL230" t="s">
        <v>2424</v>
      </c>
      <c r="AM230" t="s">
        <v>2425</v>
      </c>
      <c r="AN230" t="s">
        <v>2426</v>
      </c>
      <c r="AO230" t="s">
        <v>2427</v>
      </c>
      <c r="AP230" t="s">
        <v>2428</v>
      </c>
      <c r="AQ230" t="s">
        <v>2429</v>
      </c>
      <c r="AR230" t="s">
        <v>2430</v>
      </c>
      <c r="AS230" t="s">
        <v>2431</v>
      </c>
    </row>
    <row r="231" spans="1:45" x14ac:dyDescent="0.45">
      <c r="A231">
        <v>230</v>
      </c>
      <c r="B231">
        <v>271</v>
      </c>
      <c r="C231" t="s">
        <v>67</v>
      </c>
      <c r="D231" t="s">
        <v>74</v>
      </c>
      <c r="E231" t="s">
        <v>69</v>
      </c>
      <c r="F231" t="s">
        <v>70</v>
      </c>
      <c r="G231" t="s">
        <v>71</v>
      </c>
      <c r="H231">
        <v>74.057443540925746</v>
      </c>
      <c r="I231">
        <v>4</v>
      </c>
      <c r="J231">
        <v>8</v>
      </c>
      <c r="K231">
        <v>4</v>
      </c>
      <c r="L231">
        <v>4</v>
      </c>
      <c r="M231">
        <v>8</v>
      </c>
      <c r="N231">
        <v>5</v>
      </c>
      <c r="O231">
        <v>3</v>
      </c>
      <c r="P231">
        <v>9</v>
      </c>
      <c r="Q231">
        <v>1</v>
      </c>
      <c r="R231">
        <v>8</v>
      </c>
      <c r="S231">
        <v>9</v>
      </c>
      <c r="T231">
        <v>6</v>
      </c>
      <c r="U231">
        <v>3</v>
      </c>
      <c r="V231">
        <v>8</v>
      </c>
      <c r="W231">
        <v>4</v>
      </c>
      <c r="X231">
        <v>4</v>
      </c>
      <c r="Y231">
        <v>8</v>
      </c>
      <c r="Z231">
        <v>4</v>
      </c>
      <c r="AA231">
        <v>4</v>
      </c>
      <c r="AB231">
        <v>8</v>
      </c>
      <c r="AC231">
        <v>5</v>
      </c>
      <c r="AD231">
        <v>3</v>
      </c>
      <c r="AE231">
        <v>9</v>
      </c>
      <c r="AF231">
        <v>5</v>
      </c>
      <c r="AG231">
        <v>4</v>
      </c>
      <c r="AH231">
        <v>8</v>
      </c>
      <c r="AI231">
        <v>5</v>
      </c>
      <c r="AJ231">
        <v>3</v>
      </c>
      <c r="AK231" t="s">
        <v>532</v>
      </c>
      <c r="AL231" t="s">
        <v>2432</v>
      </c>
      <c r="AM231" t="s">
        <v>2433</v>
      </c>
      <c r="AN231" t="s">
        <v>2434</v>
      </c>
      <c r="AO231" t="s">
        <v>2435</v>
      </c>
      <c r="AP231" t="s">
        <v>2436</v>
      </c>
      <c r="AQ231" t="s">
        <v>2437</v>
      </c>
      <c r="AR231" t="s">
        <v>2438</v>
      </c>
      <c r="AS231" t="s">
        <v>2439</v>
      </c>
    </row>
    <row r="232" spans="1:45" x14ac:dyDescent="0.45">
      <c r="A232">
        <v>231</v>
      </c>
      <c r="B232">
        <v>272</v>
      </c>
      <c r="C232" t="s">
        <v>73</v>
      </c>
      <c r="D232" t="s">
        <v>189</v>
      </c>
      <c r="E232" t="s">
        <v>69</v>
      </c>
      <c r="F232" t="s">
        <v>70</v>
      </c>
      <c r="G232" t="s">
        <v>71</v>
      </c>
      <c r="H232">
        <v>147.5407463784199</v>
      </c>
      <c r="I232">
        <v>4</v>
      </c>
      <c r="J232">
        <v>7</v>
      </c>
      <c r="K232">
        <v>8</v>
      </c>
      <c r="L232">
        <v>-1</v>
      </c>
      <c r="M232">
        <v>7</v>
      </c>
      <c r="N232">
        <v>8</v>
      </c>
      <c r="O232">
        <v>-1</v>
      </c>
      <c r="P232">
        <v>8</v>
      </c>
      <c r="Q232">
        <v>8</v>
      </c>
      <c r="R232">
        <v>0</v>
      </c>
      <c r="S232">
        <v>9</v>
      </c>
      <c r="T232">
        <v>8</v>
      </c>
      <c r="U232">
        <v>1</v>
      </c>
      <c r="V232">
        <v>8</v>
      </c>
      <c r="W232">
        <v>7</v>
      </c>
      <c r="X232">
        <v>1</v>
      </c>
      <c r="Y232">
        <v>9</v>
      </c>
      <c r="Z232">
        <v>7</v>
      </c>
      <c r="AA232">
        <v>2</v>
      </c>
      <c r="AB232">
        <v>7</v>
      </c>
      <c r="AC232">
        <v>8</v>
      </c>
      <c r="AD232">
        <v>-1</v>
      </c>
      <c r="AE232">
        <v>6</v>
      </c>
      <c r="AF232">
        <v>7</v>
      </c>
      <c r="AG232">
        <v>-1</v>
      </c>
      <c r="AH232">
        <v>9</v>
      </c>
      <c r="AI232">
        <v>8</v>
      </c>
      <c r="AJ232">
        <v>1</v>
      </c>
      <c r="AK232" t="s">
        <v>533</v>
      </c>
      <c r="AL232" t="s">
        <v>534</v>
      </c>
      <c r="AM232" t="s">
        <v>2440</v>
      </c>
      <c r="AN232" t="s">
        <v>2441</v>
      </c>
      <c r="AO232" t="s">
        <v>2442</v>
      </c>
      <c r="AP232" t="s">
        <v>2443</v>
      </c>
      <c r="AQ232" t="s">
        <v>2444</v>
      </c>
      <c r="AR232" t="s">
        <v>2445</v>
      </c>
      <c r="AS232" t="s">
        <v>2446</v>
      </c>
    </row>
    <row r="233" spans="1:45" x14ac:dyDescent="0.45">
      <c r="A233">
        <v>232</v>
      </c>
      <c r="B233">
        <v>273</v>
      </c>
      <c r="C233" t="s">
        <v>73</v>
      </c>
      <c r="D233" t="s">
        <v>68</v>
      </c>
      <c r="E233" t="s">
        <v>69</v>
      </c>
      <c r="F233" t="s">
        <v>72</v>
      </c>
      <c r="G233" t="s">
        <v>71</v>
      </c>
      <c r="H233">
        <v>67.508547023844386</v>
      </c>
      <c r="I233">
        <v>2</v>
      </c>
      <c r="J233">
        <v>7</v>
      </c>
      <c r="K233">
        <v>6</v>
      </c>
      <c r="L233">
        <v>1</v>
      </c>
      <c r="M233">
        <v>7</v>
      </c>
      <c r="N233">
        <v>6</v>
      </c>
      <c r="O233">
        <v>1</v>
      </c>
      <c r="P233">
        <v>8</v>
      </c>
      <c r="Q233">
        <v>6</v>
      </c>
      <c r="R233">
        <v>2</v>
      </c>
      <c r="S233">
        <v>9</v>
      </c>
      <c r="T233">
        <v>6</v>
      </c>
      <c r="U233">
        <v>3</v>
      </c>
      <c r="V233">
        <v>6</v>
      </c>
      <c r="W233">
        <v>6</v>
      </c>
      <c r="X233">
        <v>0</v>
      </c>
      <c r="Y233">
        <v>7</v>
      </c>
      <c r="Z233">
        <v>6</v>
      </c>
      <c r="AA233">
        <v>1</v>
      </c>
      <c r="AB233">
        <v>6</v>
      </c>
      <c r="AC233">
        <v>6</v>
      </c>
      <c r="AD233">
        <v>0</v>
      </c>
      <c r="AE233">
        <v>7</v>
      </c>
      <c r="AF233">
        <v>6</v>
      </c>
      <c r="AG233">
        <v>1</v>
      </c>
      <c r="AH233">
        <v>8</v>
      </c>
      <c r="AI233">
        <v>6</v>
      </c>
      <c r="AJ233">
        <v>2</v>
      </c>
      <c r="AK233" t="s">
        <v>2447</v>
      </c>
      <c r="AL233" t="s">
        <v>2448</v>
      </c>
      <c r="AM233" t="s">
        <v>2449</v>
      </c>
      <c r="AN233" t="s">
        <v>2450</v>
      </c>
      <c r="AO233" t="s">
        <v>2451</v>
      </c>
      <c r="AP233" t="s">
        <v>2452</v>
      </c>
      <c r="AQ233" t="s">
        <v>2453</v>
      </c>
      <c r="AR233" t="s">
        <v>2454</v>
      </c>
      <c r="AS233" t="s">
        <v>2455</v>
      </c>
    </row>
    <row r="234" spans="1:45" x14ac:dyDescent="0.45">
      <c r="A234">
        <v>233</v>
      </c>
      <c r="B234">
        <v>274</v>
      </c>
      <c r="C234" t="s">
        <v>67</v>
      </c>
      <c r="D234" t="s">
        <v>74</v>
      </c>
      <c r="E234" t="s">
        <v>69</v>
      </c>
      <c r="F234" t="s">
        <v>72</v>
      </c>
      <c r="G234" t="s">
        <v>71</v>
      </c>
      <c r="H234">
        <v>15.235367395272302</v>
      </c>
      <c r="I234">
        <v>1</v>
      </c>
      <c r="J234">
        <v>7</v>
      </c>
      <c r="K234">
        <v>8</v>
      </c>
      <c r="L234">
        <v>-1</v>
      </c>
      <c r="M234">
        <v>6</v>
      </c>
      <c r="N234">
        <v>8</v>
      </c>
      <c r="O234">
        <v>-2</v>
      </c>
      <c r="P234">
        <v>9</v>
      </c>
      <c r="Q234">
        <v>8</v>
      </c>
      <c r="R234">
        <v>1</v>
      </c>
      <c r="S234">
        <v>8</v>
      </c>
      <c r="T234">
        <v>8</v>
      </c>
      <c r="U234">
        <v>0</v>
      </c>
      <c r="V234">
        <v>7</v>
      </c>
      <c r="W234">
        <v>9</v>
      </c>
      <c r="X234">
        <v>-2</v>
      </c>
      <c r="Y234">
        <v>9</v>
      </c>
      <c r="Z234">
        <v>8</v>
      </c>
      <c r="AA234">
        <v>1</v>
      </c>
      <c r="AB234">
        <v>8</v>
      </c>
      <c r="AC234">
        <v>8</v>
      </c>
      <c r="AD234">
        <v>0</v>
      </c>
      <c r="AE234">
        <v>7</v>
      </c>
      <c r="AF234">
        <v>8</v>
      </c>
      <c r="AG234">
        <v>-1</v>
      </c>
      <c r="AH234">
        <v>9</v>
      </c>
      <c r="AI234">
        <v>10</v>
      </c>
      <c r="AJ234">
        <v>-1</v>
      </c>
      <c r="AK234" t="s">
        <v>2456</v>
      </c>
      <c r="AL234" t="s">
        <v>2457</v>
      </c>
      <c r="AM234" t="s">
        <v>2458</v>
      </c>
      <c r="AN234" t="s">
        <v>2459</v>
      </c>
      <c r="AO234" t="s">
        <v>2460</v>
      </c>
      <c r="AP234" t="s">
        <v>2461</v>
      </c>
      <c r="AQ234" t="s">
        <v>2462</v>
      </c>
      <c r="AR234" t="s">
        <v>2463</v>
      </c>
      <c r="AS234" t="s">
        <v>2464</v>
      </c>
    </row>
    <row r="235" spans="1:45" x14ac:dyDescent="0.45">
      <c r="A235">
        <v>234</v>
      </c>
      <c r="B235">
        <v>275</v>
      </c>
      <c r="C235" t="s">
        <v>67</v>
      </c>
      <c r="D235" t="s">
        <v>187</v>
      </c>
      <c r="E235" t="s">
        <v>69</v>
      </c>
      <c r="F235" t="s">
        <v>70</v>
      </c>
      <c r="G235" t="s">
        <v>71</v>
      </c>
      <c r="H235">
        <v>94.931469239853527</v>
      </c>
      <c r="I235">
        <v>3</v>
      </c>
      <c r="J235">
        <v>7</v>
      </c>
      <c r="K235">
        <v>4</v>
      </c>
      <c r="L235">
        <v>3</v>
      </c>
      <c r="M235">
        <v>6</v>
      </c>
      <c r="N235">
        <v>4</v>
      </c>
      <c r="O235">
        <v>2</v>
      </c>
      <c r="P235">
        <v>7</v>
      </c>
      <c r="Q235">
        <v>4</v>
      </c>
      <c r="R235">
        <v>3</v>
      </c>
      <c r="S235">
        <v>8</v>
      </c>
      <c r="T235">
        <v>4</v>
      </c>
      <c r="U235">
        <v>4</v>
      </c>
      <c r="V235">
        <v>7</v>
      </c>
      <c r="W235">
        <v>1</v>
      </c>
      <c r="X235">
        <v>6</v>
      </c>
      <c r="Y235">
        <v>9</v>
      </c>
      <c r="Z235">
        <v>3</v>
      </c>
      <c r="AA235">
        <v>6</v>
      </c>
      <c r="AB235">
        <v>8</v>
      </c>
      <c r="AC235">
        <v>1</v>
      </c>
      <c r="AD235">
        <v>7</v>
      </c>
      <c r="AE235">
        <v>7</v>
      </c>
      <c r="AF235">
        <v>1</v>
      </c>
      <c r="AG235">
        <v>6</v>
      </c>
      <c r="AH235">
        <v>9</v>
      </c>
      <c r="AI235">
        <v>1</v>
      </c>
      <c r="AJ235">
        <v>8</v>
      </c>
      <c r="AK235" t="s">
        <v>2465</v>
      </c>
      <c r="AL235" t="s">
        <v>2466</v>
      </c>
      <c r="AM235" t="s">
        <v>2467</v>
      </c>
      <c r="AN235" t="s">
        <v>2468</v>
      </c>
      <c r="AO235" t="s">
        <v>2469</v>
      </c>
      <c r="AP235" t="s">
        <v>2470</v>
      </c>
      <c r="AQ235" t="s">
        <v>2471</v>
      </c>
      <c r="AR235" t="s">
        <v>2472</v>
      </c>
      <c r="AS235" t="s">
        <v>2473</v>
      </c>
    </row>
    <row r="236" spans="1:45" x14ac:dyDescent="0.45">
      <c r="A236">
        <v>235</v>
      </c>
      <c r="B236">
        <v>276</v>
      </c>
      <c r="C236" t="s">
        <v>67</v>
      </c>
      <c r="D236" t="s">
        <v>68</v>
      </c>
      <c r="E236" t="s">
        <v>69</v>
      </c>
      <c r="F236" t="s">
        <v>72</v>
      </c>
      <c r="G236" t="s">
        <v>71</v>
      </c>
      <c r="H236">
        <v>35.208684615393793</v>
      </c>
      <c r="I236">
        <v>0</v>
      </c>
      <c r="J236">
        <v>8</v>
      </c>
      <c r="K236">
        <v>6</v>
      </c>
      <c r="L236">
        <v>2</v>
      </c>
      <c r="M236">
        <v>8</v>
      </c>
      <c r="N236">
        <v>6</v>
      </c>
      <c r="O236">
        <v>2</v>
      </c>
      <c r="P236">
        <v>9</v>
      </c>
      <c r="Q236">
        <v>1</v>
      </c>
      <c r="R236">
        <v>8</v>
      </c>
      <c r="S236">
        <v>9</v>
      </c>
      <c r="T236">
        <v>6</v>
      </c>
      <c r="U236">
        <v>3</v>
      </c>
      <c r="V236">
        <v>9</v>
      </c>
      <c r="W236">
        <v>5</v>
      </c>
      <c r="X236">
        <v>4</v>
      </c>
      <c r="Y236">
        <v>9</v>
      </c>
      <c r="Z236">
        <v>6</v>
      </c>
      <c r="AA236">
        <v>3</v>
      </c>
      <c r="AB236">
        <v>9</v>
      </c>
      <c r="AC236">
        <v>5</v>
      </c>
      <c r="AD236">
        <v>4</v>
      </c>
      <c r="AE236">
        <v>9</v>
      </c>
      <c r="AF236">
        <v>6</v>
      </c>
      <c r="AG236">
        <v>3</v>
      </c>
      <c r="AH236">
        <v>9</v>
      </c>
      <c r="AI236">
        <v>6</v>
      </c>
      <c r="AJ236">
        <v>3</v>
      </c>
      <c r="AK236" t="s">
        <v>535</v>
      </c>
      <c r="AL236" t="s">
        <v>2474</v>
      </c>
      <c r="AM236" t="s">
        <v>2475</v>
      </c>
      <c r="AN236" t="s">
        <v>2476</v>
      </c>
      <c r="AO236" t="s">
        <v>2477</v>
      </c>
      <c r="AP236" t="s">
        <v>2478</v>
      </c>
      <c r="AQ236" t="s">
        <v>2479</v>
      </c>
      <c r="AR236" t="s">
        <v>2480</v>
      </c>
      <c r="AS236" t="s">
        <v>2481</v>
      </c>
    </row>
    <row r="237" spans="1:45" x14ac:dyDescent="0.45">
      <c r="A237">
        <v>236</v>
      </c>
      <c r="B237">
        <v>277</v>
      </c>
      <c r="C237" t="s">
        <v>67</v>
      </c>
      <c r="D237" t="s">
        <v>68</v>
      </c>
      <c r="E237" t="s">
        <v>69</v>
      </c>
      <c r="F237" t="s">
        <v>70</v>
      </c>
      <c r="G237" t="s">
        <v>71</v>
      </c>
      <c r="H237">
        <v>49.143140403078377</v>
      </c>
      <c r="I237">
        <v>3</v>
      </c>
      <c r="J237">
        <v>6</v>
      </c>
      <c r="K237">
        <v>7</v>
      </c>
      <c r="L237">
        <v>-1</v>
      </c>
      <c r="M237">
        <v>8</v>
      </c>
      <c r="N237">
        <v>7</v>
      </c>
      <c r="O237">
        <v>1</v>
      </c>
      <c r="P237">
        <v>9</v>
      </c>
      <c r="Q237">
        <v>7</v>
      </c>
      <c r="R237">
        <v>2</v>
      </c>
      <c r="S237">
        <v>9</v>
      </c>
      <c r="T237">
        <v>7</v>
      </c>
      <c r="U237">
        <v>2</v>
      </c>
      <c r="V237">
        <v>7</v>
      </c>
      <c r="W237">
        <v>7</v>
      </c>
      <c r="X237">
        <v>0</v>
      </c>
      <c r="Y237">
        <v>9</v>
      </c>
      <c r="Z237">
        <v>7</v>
      </c>
      <c r="AA237">
        <v>2</v>
      </c>
      <c r="AB237">
        <v>7</v>
      </c>
      <c r="AC237">
        <v>7</v>
      </c>
      <c r="AD237">
        <v>0</v>
      </c>
      <c r="AE237">
        <v>8</v>
      </c>
      <c r="AF237">
        <v>7</v>
      </c>
      <c r="AG237">
        <v>1</v>
      </c>
      <c r="AH237">
        <v>9</v>
      </c>
      <c r="AI237">
        <v>7</v>
      </c>
      <c r="AJ237">
        <v>2</v>
      </c>
      <c r="AK237" t="s">
        <v>2482</v>
      </c>
      <c r="AL237" t="s">
        <v>2483</v>
      </c>
      <c r="AM237" t="s">
        <v>2484</v>
      </c>
      <c r="AN237" t="s">
        <v>2485</v>
      </c>
      <c r="AO237" t="s">
        <v>2486</v>
      </c>
      <c r="AP237" t="s">
        <v>2487</v>
      </c>
      <c r="AQ237" t="s">
        <v>2488</v>
      </c>
      <c r="AR237" t="s">
        <v>2489</v>
      </c>
      <c r="AS237" t="s">
        <v>2490</v>
      </c>
    </row>
    <row r="238" spans="1:45" x14ac:dyDescent="0.45">
      <c r="A238">
        <v>237</v>
      </c>
      <c r="B238">
        <v>278</v>
      </c>
      <c r="C238" t="s">
        <v>73</v>
      </c>
      <c r="D238" t="s">
        <v>68</v>
      </c>
      <c r="E238" t="s">
        <v>69</v>
      </c>
      <c r="F238" t="s">
        <v>70</v>
      </c>
      <c r="G238" t="s">
        <v>157</v>
      </c>
      <c r="H238">
        <v>12.923979842089576</v>
      </c>
      <c r="I238">
        <v>3</v>
      </c>
      <c r="J238">
        <v>6</v>
      </c>
      <c r="K238">
        <v>10</v>
      </c>
      <c r="L238">
        <v>-4</v>
      </c>
      <c r="M238">
        <v>8</v>
      </c>
      <c r="N238">
        <v>10</v>
      </c>
      <c r="O238">
        <v>-2</v>
      </c>
      <c r="P238">
        <v>7</v>
      </c>
      <c r="Q238">
        <v>4</v>
      </c>
      <c r="R238">
        <v>3</v>
      </c>
      <c r="S238">
        <v>9</v>
      </c>
      <c r="T238">
        <v>6</v>
      </c>
      <c r="U238">
        <v>3</v>
      </c>
      <c r="V238">
        <v>8</v>
      </c>
      <c r="W238">
        <v>3</v>
      </c>
      <c r="X238">
        <v>5</v>
      </c>
      <c r="Y238">
        <v>9</v>
      </c>
      <c r="Z238">
        <v>1</v>
      </c>
      <c r="AA238">
        <v>8</v>
      </c>
      <c r="AB238">
        <v>8</v>
      </c>
      <c r="AC238">
        <v>1</v>
      </c>
      <c r="AD238">
        <v>7</v>
      </c>
      <c r="AE238">
        <v>7</v>
      </c>
      <c r="AF238">
        <v>3</v>
      </c>
      <c r="AG238">
        <v>4</v>
      </c>
      <c r="AH238">
        <v>9</v>
      </c>
      <c r="AI238">
        <v>1</v>
      </c>
      <c r="AJ238">
        <v>8</v>
      </c>
      <c r="AK238" t="s">
        <v>754</v>
      </c>
      <c r="AL238" t="s">
        <v>2491</v>
      </c>
      <c r="AM238" t="s">
        <v>2492</v>
      </c>
      <c r="AN238" t="s">
        <v>2493</v>
      </c>
      <c r="AO238" t="s">
        <v>2494</v>
      </c>
      <c r="AP238" t="s">
        <v>2495</v>
      </c>
      <c r="AQ238" t="s">
        <v>2496</v>
      </c>
      <c r="AR238" t="s">
        <v>2497</v>
      </c>
      <c r="AS238" t="s">
        <v>2498</v>
      </c>
    </row>
    <row r="239" spans="1:45" x14ac:dyDescent="0.45">
      <c r="A239">
        <v>238</v>
      </c>
      <c r="B239">
        <v>279</v>
      </c>
      <c r="C239" t="s">
        <v>67</v>
      </c>
      <c r="D239" t="s">
        <v>68</v>
      </c>
      <c r="E239" t="s">
        <v>69</v>
      </c>
      <c r="F239" t="s">
        <v>70</v>
      </c>
      <c r="G239" t="s">
        <v>71</v>
      </c>
      <c r="H239">
        <v>25.252542564087936</v>
      </c>
      <c r="I239">
        <v>1</v>
      </c>
      <c r="J239">
        <v>6</v>
      </c>
      <c r="K239">
        <v>8</v>
      </c>
      <c r="L239">
        <v>-2</v>
      </c>
      <c r="M239">
        <v>7</v>
      </c>
      <c r="N239">
        <v>10</v>
      </c>
      <c r="O239">
        <v>-3</v>
      </c>
      <c r="P239">
        <v>8</v>
      </c>
      <c r="Q239">
        <v>8</v>
      </c>
      <c r="R239">
        <v>0</v>
      </c>
      <c r="S239">
        <v>9</v>
      </c>
      <c r="T239">
        <v>10</v>
      </c>
      <c r="U239">
        <v>-1</v>
      </c>
      <c r="V239">
        <v>8</v>
      </c>
      <c r="W239">
        <v>9</v>
      </c>
      <c r="X239">
        <v>-1</v>
      </c>
      <c r="Y239">
        <v>9</v>
      </c>
      <c r="Z239">
        <v>8</v>
      </c>
      <c r="AA239">
        <v>1</v>
      </c>
      <c r="AB239">
        <v>8</v>
      </c>
      <c r="AC239">
        <v>7</v>
      </c>
      <c r="AD239">
        <v>1</v>
      </c>
      <c r="AE239">
        <v>7</v>
      </c>
      <c r="AF239">
        <v>9</v>
      </c>
      <c r="AG239">
        <v>-2</v>
      </c>
      <c r="AH239">
        <v>9</v>
      </c>
      <c r="AI239">
        <v>9</v>
      </c>
      <c r="AJ239">
        <v>0</v>
      </c>
      <c r="AK239" t="s">
        <v>2499</v>
      </c>
      <c r="AL239" t="s">
        <v>2500</v>
      </c>
      <c r="AM239" t="s">
        <v>2501</v>
      </c>
      <c r="AN239" t="s">
        <v>2502</v>
      </c>
      <c r="AO239" t="s">
        <v>2503</v>
      </c>
      <c r="AP239" t="s">
        <v>2504</v>
      </c>
      <c r="AQ239" t="s">
        <v>2505</v>
      </c>
      <c r="AR239" t="s">
        <v>2506</v>
      </c>
      <c r="AS239" t="s">
        <v>2507</v>
      </c>
    </row>
    <row r="240" spans="1:45" x14ac:dyDescent="0.45">
      <c r="A240">
        <v>239</v>
      </c>
      <c r="B240">
        <v>280</v>
      </c>
      <c r="C240" t="s">
        <v>73</v>
      </c>
      <c r="D240" t="s">
        <v>189</v>
      </c>
      <c r="E240" t="s">
        <v>69</v>
      </c>
      <c r="F240" t="s">
        <v>70</v>
      </c>
      <c r="G240" t="s">
        <v>71</v>
      </c>
      <c r="H240">
        <v>98.207445840656391</v>
      </c>
      <c r="I240">
        <v>4</v>
      </c>
      <c r="J240">
        <v>8</v>
      </c>
      <c r="K240">
        <v>6</v>
      </c>
      <c r="L240">
        <v>2</v>
      </c>
      <c r="M240">
        <v>9</v>
      </c>
      <c r="N240">
        <v>6</v>
      </c>
      <c r="O240">
        <v>3</v>
      </c>
      <c r="P240">
        <v>8</v>
      </c>
      <c r="Q240">
        <v>6</v>
      </c>
      <c r="R240">
        <v>2</v>
      </c>
      <c r="S240">
        <v>9</v>
      </c>
      <c r="T240">
        <v>6</v>
      </c>
      <c r="U240">
        <v>3</v>
      </c>
      <c r="V240">
        <v>8</v>
      </c>
      <c r="W240">
        <v>6</v>
      </c>
      <c r="X240">
        <v>2</v>
      </c>
      <c r="Y240">
        <v>9</v>
      </c>
      <c r="Z240">
        <v>6</v>
      </c>
      <c r="AA240">
        <v>3</v>
      </c>
      <c r="AB240">
        <v>7</v>
      </c>
      <c r="AC240">
        <v>6</v>
      </c>
      <c r="AD240">
        <v>1</v>
      </c>
      <c r="AE240">
        <v>8</v>
      </c>
      <c r="AF240">
        <v>7</v>
      </c>
      <c r="AG240">
        <v>1</v>
      </c>
      <c r="AH240">
        <v>8</v>
      </c>
      <c r="AI240">
        <v>6</v>
      </c>
      <c r="AJ240">
        <v>2</v>
      </c>
      <c r="AK240" t="s">
        <v>755</v>
      </c>
      <c r="AL240" t="s">
        <v>756</v>
      </c>
      <c r="AM240" t="s">
        <v>757</v>
      </c>
      <c r="AN240" t="s">
        <v>758</v>
      </c>
      <c r="AO240" t="s">
        <v>759</v>
      </c>
      <c r="AP240" t="s">
        <v>2508</v>
      </c>
      <c r="AQ240" t="s">
        <v>2509</v>
      </c>
      <c r="AR240" t="s">
        <v>2510</v>
      </c>
      <c r="AS240" t="s">
        <v>2511</v>
      </c>
    </row>
    <row r="241" spans="1:45" x14ac:dyDescent="0.45">
      <c r="A241">
        <v>240</v>
      </c>
      <c r="B241">
        <v>281</v>
      </c>
      <c r="C241" t="s">
        <v>67</v>
      </c>
      <c r="D241" t="s">
        <v>68</v>
      </c>
      <c r="E241" t="s">
        <v>69</v>
      </c>
      <c r="F241" t="s">
        <v>72</v>
      </c>
      <c r="G241" t="s">
        <v>71</v>
      </c>
      <c r="H241">
        <v>62.752585483471158</v>
      </c>
      <c r="I241">
        <v>3</v>
      </c>
      <c r="J241">
        <v>7</v>
      </c>
      <c r="K241">
        <v>8</v>
      </c>
      <c r="L241">
        <v>-1</v>
      </c>
      <c r="M241">
        <v>6</v>
      </c>
      <c r="N241">
        <v>8</v>
      </c>
      <c r="O241">
        <v>-2</v>
      </c>
      <c r="P241">
        <v>5</v>
      </c>
      <c r="Q241">
        <v>8</v>
      </c>
      <c r="R241">
        <v>-3</v>
      </c>
      <c r="S241">
        <v>8</v>
      </c>
      <c r="T241">
        <v>8</v>
      </c>
      <c r="U241">
        <v>0</v>
      </c>
      <c r="V241">
        <v>6</v>
      </c>
      <c r="W241">
        <v>8</v>
      </c>
      <c r="X241">
        <v>-2</v>
      </c>
      <c r="Y241">
        <v>9</v>
      </c>
      <c r="Z241">
        <v>8</v>
      </c>
      <c r="AA241">
        <v>1</v>
      </c>
      <c r="AB241">
        <v>8</v>
      </c>
      <c r="AC241">
        <v>8</v>
      </c>
      <c r="AD241">
        <v>0</v>
      </c>
      <c r="AE241">
        <v>7</v>
      </c>
      <c r="AF241">
        <v>8</v>
      </c>
      <c r="AG241">
        <v>-1</v>
      </c>
      <c r="AH241">
        <v>8</v>
      </c>
      <c r="AI241">
        <v>8</v>
      </c>
      <c r="AJ241">
        <v>0</v>
      </c>
      <c r="AK241" t="s">
        <v>2512</v>
      </c>
      <c r="AL241" t="s">
        <v>2513</v>
      </c>
      <c r="AM241" t="s">
        <v>2514</v>
      </c>
      <c r="AN241" t="s">
        <v>2515</v>
      </c>
      <c r="AO241" t="s">
        <v>2516</v>
      </c>
      <c r="AP241" t="s">
        <v>2517</v>
      </c>
      <c r="AQ241" t="s">
        <v>2518</v>
      </c>
      <c r="AR241" t="s">
        <v>2519</v>
      </c>
      <c r="AS241" t="s">
        <v>2520</v>
      </c>
    </row>
    <row r="242" spans="1:45" x14ac:dyDescent="0.45">
      <c r="A242">
        <v>241</v>
      </c>
      <c r="B242">
        <v>282</v>
      </c>
      <c r="C242" t="s">
        <v>67</v>
      </c>
      <c r="D242" t="s">
        <v>68</v>
      </c>
      <c r="E242" t="s">
        <v>69</v>
      </c>
      <c r="F242" t="s">
        <v>70</v>
      </c>
      <c r="G242" t="s">
        <v>71</v>
      </c>
      <c r="H242">
        <v>64.754924869796142</v>
      </c>
      <c r="I242">
        <v>1</v>
      </c>
      <c r="J242">
        <v>5</v>
      </c>
      <c r="K242">
        <v>7</v>
      </c>
      <c r="L242">
        <v>-2</v>
      </c>
      <c r="M242">
        <v>6</v>
      </c>
      <c r="N242">
        <v>6</v>
      </c>
      <c r="O242">
        <v>0</v>
      </c>
      <c r="P242">
        <v>7</v>
      </c>
      <c r="Q242">
        <v>7</v>
      </c>
      <c r="R242">
        <v>0</v>
      </c>
      <c r="S242">
        <v>8</v>
      </c>
      <c r="T242">
        <v>7</v>
      </c>
      <c r="U242">
        <v>1</v>
      </c>
      <c r="V242">
        <v>7</v>
      </c>
      <c r="W242">
        <v>8</v>
      </c>
      <c r="X242">
        <v>-1</v>
      </c>
      <c r="Y242">
        <v>9</v>
      </c>
      <c r="Z242">
        <v>8</v>
      </c>
      <c r="AA242">
        <v>1</v>
      </c>
      <c r="AB242">
        <v>9</v>
      </c>
      <c r="AC242">
        <v>8</v>
      </c>
      <c r="AD242">
        <v>1</v>
      </c>
      <c r="AE242">
        <v>8</v>
      </c>
      <c r="AF242">
        <v>8</v>
      </c>
      <c r="AG242">
        <v>0</v>
      </c>
      <c r="AH242">
        <v>9</v>
      </c>
      <c r="AI242">
        <v>8</v>
      </c>
      <c r="AJ242">
        <v>1</v>
      </c>
      <c r="AK242" t="s">
        <v>2521</v>
      </c>
      <c r="AL242" t="s">
        <v>2522</v>
      </c>
      <c r="AM242" t="s">
        <v>2523</v>
      </c>
      <c r="AN242" t="s">
        <v>2524</v>
      </c>
      <c r="AO242" t="s">
        <v>2525</v>
      </c>
      <c r="AP242" t="s">
        <v>2526</v>
      </c>
      <c r="AQ242" t="s">
        <v>2527</v>
      </c>
      <c r="AR242" t="s">
        <v>2528</v>
      </c>
      <c r="AS242" t="s">
        <v>2529</v>
      </c>
    </row>
    <row r="243" spans="1:45" x14ac:dyDescent="0.45">
      <c r="A243">
        <v>242</v>
      </c>
      <c r="B243">
        <v>283</v>
      </c>
      <c r="C243" t="s">
        <v>73</v>
      </c>
      <c r="D243" t="s">
        <v>68</v>
      </c>
      <c r="E243" t="s">
        <v>69</v>
      </c>
      <c r="F243" t="s">
        <v>72</v>
      </c>
      <c r="G243" t="s">
        <v>71</v>
      </c>
      <c r="H243">
        <v>67.652674330722348</v>
      </c>
      <c r="I243">
        <v>2</v>
      </c>
      <c r="J243">
        <v>8</v>
      </c>
      <c r="K243">
        <v>6</v>
      </c>
      <c r="L243">
        <v>2</v>
      </c>
      <c r="M243">
        <v>9</v>
      </c>
      <c r="N243">
        <v>5</v>
      </c>
      <c r="O243">
        <v>4</v>
      </c>
      <c r="P243">
        <v>7</v>
      </c>
      <c r="Q243">
        <v>5</v>
      </c>
      <c r="R243">
        <v>2</v>
      </c>
      <c r="S243">
        <v>9</v>
      </c>
      <c r="T243">
        <v>7</v>
      </c>
      <c r="U243">
        <v>2</v>
      </c>
      <c r="V243">
        <v>7</v>
      </c>
      <c r="W243">
        <v>7</v>
      </c>
      <c r="X243">
        <v>0</v>
      </c>
      <c r="Y243">
        <v>9</v>
      </c>
      <c r="Z243">
        <v>7</v>
      </c>
      <c r="AA243">
        <v>2</v>
      </c>
      <c r="AB243">
        <v>6</v>
      </c>
      <c r="AC243">
        <v>7</v>
      </c>
      <c r="AD243">
        <v>-1</v>
      </c>
      <c r="AE243">
        <v>8</v>
      </c>
      <c r="AF243">
        <v>8</v>
      </c>
      <c r="AG243">
        <v>0</v>
      </c>
      <c r="AH243">
        <v>9</v>
      </c>
      <c r="AI243">
        <v>8</v>
      </c>
      <c r="AJ243">
        <v>1</v>
      </c>
      <c r="AK243" t="s">
        <v>2530</v>
      </c>
      <c r="AL243" t="s">
        <v>2531</v>
      </c>
      <c r="AM243" t="s">
        <v>2532</v>
      </c>
      <c r="AN243" t="s">
        <v>2533</v>
      </c>
      <c r="AO243" t="s">
        <v>2534</v>
      </c>
      <c r="AP243" t="s">
        <v>2535</v>
      </c>
      <c r="AQ243" t="s">
        <v>2536</v>
      </c>
      <c r="AR243" t="s">
        <v>2537</v>
      </c>
      <c r="AS243" t="s">
        <v>2538</v>
      </c>
    </row>
    <row r="244" spans="1:45" x14ac:dyDescent="0.45">
      <c r="A244">
        <v>243</v>
      </c>
      <c r="B244">
        <v>284</v>
      </c>
      <c r="C244" t="s">
        <v>73</v>
      </c>
      <c r="D244" t="s">
        <v>187</v>
      </c>
      <c r="E244" t="s">
        <v>69</v>
      </c>
      <c r="F244" t="s">
        <v>72</v>
      </c>
      <c r="G244" t="s">
        <v>71</v>
      </c>
      <c r="H244">
        <v>93.08618525769117</v>
      </c>
      <c r="I244">
        <v>2</v>
      </c>
      <c r="J244">
        <v>7</v>
      </c>
      <c r="K244">
        <v>6</v>
      </c>
      <c r="L244">
        <v>1</v>
      </c>
      <c r="M244">
        <v>6</v>
      </c>
      <c r="N244">
        <v>6</v>
      </c>
      <c r="O244">
        <v>0</v>
      </c>
      <c r="P244">
        <v>9</v>
      </c>
      <c r="Q244">
        <v>6</v>
      </c>
      <c r="R244">
        <v>3</v>
      </c>
      <c r="S244">
        <v>8</v>
      </c>
      <c r="T244">
        <v>6</v>
      </c>
      <c r="U244">
        <v>2</v>
      </c>
      <c r="V244">
        <v>7</v>
      </c>
      <c r="W244">
        <v>6</v>
      </c>
      <c r="X244">
        <v>1</v>
      </c>
      <c r="Y244">
        <v>9</v>
      </c>
      <c r="Z244">
        <v>6</v>
      </c>
      <c r="AA244">
        <v>3</v>
      </c>
      <c r="AB244">
        <v>8</v>
      </c>
      <c r="AC244">
        <v>6</v>
      </c>
      <c r="AD244">
        <v>2</v>
      </c>
      <c r="AE244">
        <v>7</v>
      </c>
      <c r="AF244">
        <v>6</v>
      </c>
      <c r="AG244">
        <v>1</v>
      </c>
      <c r="AH244">
        <v>9</v>
      </c>
      <c r="AI244">
        <v>6</v>
      </c>
      <c r="AJ244">
        <v>3</v>
      </c>
      <c r="AK244" t="s">
        <v>536</v>
      </c>
      <c r="AL244" t="s">
        <v>2539</v>
      </c>
      <c r="AM244" t="s">
        <v>2540</v>
      </c>
      <c r="AN244" t="s">
        <v>2541</v>
      </c>
      <c r="AO244" t="s">
        <v>2542</v>
      </c>
      <c r="AP244" t="s">
        <v>2543</v>
      </c>
      <c r="AQ244" t="s">
        <v>2544</v>
      </c>
      <c r="AR244" t="s">
        <v>2545</v>
      </c>
      <c r="AS244" t="s">
        <v>2546</v>
      </c>
    </row>
    <row r="245" spans="1:45" x14ac:dyDescent="0.45">
      <c r="A245">
        <v>244</v>
      </c>
      <c r="B245">
        <v>285</v>
      </c>
      <c r="C245" t="s">
        <v>67</v>
      </c>
      <c r="D245" t="s">
        <v>74</v>
      </c>
      <c r="E245" t="s">
        <v>69</v>
      </c>
      <c r="F245" t="s">
        <v>70</v>
      </c>
      <c r="G245" t="s">
        <v>71</v>
      </c>
      <c r="H245">
        <v>58.64415741914317</v>
      </c>
      <c r="I245">
        <v>3</v>
      </c>
      <c r="J245">
        <v>6</v>
      </c>
      <c r="K245">
        <v>7</v>
      </c>
      <c r="L245">
        <v>-1</v>
      </c>
      <c r="M245">
        <v>6</v>
      </c>
      <c r="N245">
        <v>6</v>
      </c>
      <c r="O245">
        <v>0</v>
      </c>
      <c r="P245">
        <v>8</v>
      </c>
      <c r="Q245">
        <v>6</v>
      </c>
      <c r="R245">
        <v>2</v>
      </c>
      <c r="S245">
        <v>9</v>
      </c>
      <c r="T245">
        <v>8</v>
      </c>
      <c r="U245">
        <v>1</v>
      </c>
      <c r="V245">
        <v>6</v>
      </c>
      <c r="W245">
        <v>6</v>
      </c>
      <c r="X245">
        <v>0</v>
      </c>
      <c r="Y245">
        <v>8</v>
      </c>
      <c r="Z245">
        <v>6</v>
      </c>
      <c r="AA245">
        <v>2</v>
      </c>
      <c r="AB245">
        <v>7</v>
      </c>
      <c r="AC245">
        <v>6</v>
      </c>
      <c r="AD245">
        <v>1</v>
      </c>
      <c r="AE245">
        <v>6</v>
      </c>
      <c r="AF245">
        <v>6</v>
      </c>
      <c r="AG245">
        <v>0</v>
      </c>
      <c r="AH245">
        <v>7</v>
      </c>
      <c r="AI245">
        <v>6</v>
      </c>
      <c r="AJ245">
        <v>1</v>
      </c>
      <c r="AK245" t="s">
        <v>2547</v>
      </c>
      <c r="AL245" t="s">
        <v>2548</v>
      </c>
      <c r="AM245" t="s">
        <v>2549</v>
      </c>
      <c r="AN245" t="s">
        <v>2550</v>
      </c>
      <c r="AO245" t="s">
        <v>2551</v>
      </c>
      <c r="AP245" t="s">
        <v>2552</v>
      </c>
      <c r="AQ245" t="s">
        <v>2553</v>
      </c>
      <c r="AR245" t="s">
        <v>2554</v>
      </c>
      <c r="AS245" t="s">
        <v>2555</v>
      </c>
    </row>
    <row r="246" spans="1:45" x14ac:dyDescent="0.45">
      <c r="A246">
        <v>245</v>
      </c>
      <c r="B246">
        <v>286</v>
      </c>
      <c r="C246" t="s">
        <v>73</v>
      </c>
      <c r="D246" t="s">
        <v>74</v>
      </c>
      <c r="E246" t="s">
        <v>69</v>
      </c>
      <c r="F246" t="s">
        <v>70</v>
      </c>
      <c r="G246" t="s">
        <v>71</v>
      </c>
      <c r="H246">
        <v>160.23119915397257</v>
      </c>
      <c r="I246">
        <v>0</v>
      </c>
      <c r="J246">
        <v>7</v>
      </c>
      <c r="K246">
        <v>4</v>
      </c>
      <c r="L246">
        <v>3</v>
      </c>
      <c r="M246">
        <v>8</v>
      </c>
      <c r="N246">
        <v>4</v>
      </c>
      <c r="O246">
        <v>4</v>
      </c>
      <c r="P246">
        <v>9</v>
      </c>
      <c r="Q246">
        <v>1</v>
      </c>
      <c r="R246">
        <v>8</v>
      </c>
      <c r="S246">
        <v>9</v>
      </c>
      <c r="T246">
        <v>4</v>
      </c>
      <c r="U246">
        <v>5</v>
      </c>
      <c r="V246">
        <v>8</v>
      </c>
      <c r="W246">
        <v>4</v>
      </c>
      <c r="X246">
        <v>4</v>
      </c>
      <c r="Y246">
        <v>9</v>
      </c>
      <c r="Z246">
        <v>4</v>
      </c>
      <c r="AA246">
        <v>5</v>
      </c>
      <c r="AB246">
        <v>8</v>
      </c>
      <c r="AC246">
        <v>5</v>
      </c>
      <c r="AD246">
        <v>3</v>
      </c>
      <c r="AE246">
        <v>9</v>
      </c>
      <c r="AF246">
        <v>5</v>
      </c>
      <c r="AG246">
        <v>4</v>
      </c>
      <c r="AH246">
        <v>9</v>
      </c>
      <c r="AI246">
        <v>5</v>
      </c>
      <c r="AJ246">
        <v>4</v>
      </c>
      <c r="AK246" t="s">
        <v>2556</v>
      </c>
      <c r="AL246" t="s">
        <v>2557</v>
      </c>
      <c r="AM246" t="s">
        <v>2558</v>
      </c>
      <c r="AN246" t="s">
        <v>2559</v>
      </c>
      <c r="AO246" t="s">
        <v>2560</v>
      </c>
      <c r="AP246" t="s">
        <v>2561</v>
      </c>
      <c r="AQ246" t="s">
        <v>2562</v>
      </c>
      <c r="AR246" t="s">
        <v>2563</v>
      </c>
      <c r="AS246" t="s">
        <v>2564</v>
      </c>
    </row>
    <row r="247" spans="1:45" x14ac:dyDescent="0.45">
      <c r="A247">
        <v>246</v>
      </c>
      <c r="B247">
        <v>287</v>
      </c>
      <c r="C247" t="s">
        <v>73</v>
      </c>
      <c r="D247" t="s">
        <v>68</v>
      </c>
      <c r="E247" t="s">
        <v>69</v>
      </c>
      <c r="F247" t="s">
        <v>72</v>
      </c>
      <c r="G247" t="s">
        <v>71</v>
      </c>
      <c r="H247">
        <v>26.20264300970296</v>
      </c>
      <c r="I247">
        <v>0</v>
      </c>
      <c r="J247">
        <v>9</v>
      </c>
      <c r="K247">
        <v>6</v>
      </c>
      <c r="L247">
        <v>3</v>
      </c>
      <c r="M247">
        <v>8</v>
      </c>
      <c r="N247">
        <v>7</v>
      </c>
      <c r="O247">
        <v>1</v>
      </c>
      <c r="P247">
        <v>9</v>
      </c>
      <c r="Q247">
        <v>7</v>
      </c>
      <c r="R247">
        <v>2</v>
      </c>
      <c r="S247">
        <v>9</v>
      </c>
      <c r="T247">
        <v>7</v>
      </c>
      <c r="U247">
        <v>2</v>
      </c>
      <c r="V247">
        <v>8</v>
      </c>
      <c r="W247">
        <v>7</v>
      </c>
      <c r="X247">
        <v>1</v>
      </c>
      <c r="Y247">
        <v>7</v>
      </c>
      <c r="Z247">
        <v>7</v>
      </c>
      <c r="AA247">
        <v>0</v>
      </c>
      <c r="AB247">
        <v>8</v>
      </c>
      <c r="AC247">
        <v>7</v>
      </c>
      <c r="AD247">
        <v>1</v>
      </c>
      <c r="AE247">
        <v>9</v>
      </c>
      <c r="AF247">
        <v>7</v>
      </c>
      <c r="AG247">
        <v>2</v>
      </c>
      <c r="AH247">
        <v>9</v>
      </c>
      <c r="AI247">
        <v>7</v>
      </c>
      <c r="AJ247">
        <v>2</v>
      </c>
      <c r="AK247" t="s">
        <v>2565</v>
      </c>
      <c r="AL247" t="s">
        <v>2566</v>
      </c>
      <c r="AM247" t="s">
        <v>2567</v>
      </c>
      <c r="AN247" t="s">
        <v>2568</v>
      </c>
      <c r="AO247" t="s">
        <v>2569</v>
      </c>
      <c r="AP247" t="s">
        <v>2570</v>
      </c>
      <c r="AQ247" t="s">
        <v>811</v>
      </c>
      <c r="AR247" t="s">
        <v>455</v>
      </c>
      <c r="AS247" t="s">
        <v>2571</v>
      </c>
    </row>
    <row r="248" spans="1:45" x14ac:dyDescent="0.45">
      <c r="A248">
        <v>247</v>
      </c>
      <c r="B248">
        <v>288</v>
      </c>
      <c r="C248" t="s">
        <v>67</v>
      </c>
      <c r="D248" t="s">
        <v>187</v>
      </c>
      <c r="E248" t="s">
        <v>69</v>
      </c>
      <c r="F248" t="s">
        <v>70</v>
      </c>
      <c r="G248" t="s">
        <v>71</v>
      </c>
      <c r="H248">
        <v>67.059256104593942</v>
      </c>
      <c r="I248">
        <v>4</v>
      </c>
      <c r="J248">
        <v>8</v>
      </c>
      <c r="K248">
        <v>8</v>
      </c>
      <c r="L248">
        <v>0</v>
      </c>
      <c r="M248">
        <v>9</v>
      </c>
      <c r="N248">
        <v>8</v>
      </c>
      <c r="O248">
        <v>1</v>
      </c>
      <c r="P248">
        <v>8</v>
      </c>
      <c r="Q248">
        <v>8</v>
      </c>
      <c r="R248">
        <v>0</v>
      </c>
      <c r="S248">
        <v>9</v>
      </c>
      <c r="T248">
        <v>8</v>
      </c>
      <c r="U248">
        <v>1</v>
      </c>
      <c r="V248">
        <v>8</v>
      </c>
      <c r="W248">
        <v>8</v>
      </c>
      <c r="X248">
        <v>0</v>
      </c>
      <c r="Y248">
        <v>9</v>
      </c>
      <c r="Z248">
        <v>8</v>
      </c>
      <c r="AA248">
        <v>1</v>
      </c>
      <c r="AB248">
        <v>8</v>
      </c>
      <c r="AC248">
        <v>8</v>
      </c>
      <c r="AD248">
        <v>0</v>
      </c>
      <c r="AE248">
        <v>9</v>
      </c>
      <c r="AF248">
        <v>8</v>
      </c>
      <c r="AG248">
        <v>1</v>
      </c>
      <c r="AH248">
        <v>8</v>
      </c>
      <c r="AI248">
        <v>8</v>
      </c>
      <c r="AJ248">
        <v>0</v>
      </c>
      <c r="AK248" t="s">
        <v>2572</v>
      </c>
      <c r="AL248" t="s">
        <v>2573</v>
      </c>
      <c r="AM248" t="s">
        <v>2574</v>
      </c>
      <c r="AN248" t="s">
        <v>639</v>
      </c>
      <c r="AO248" t="s">
        <v>2575</v>
      </c>
      <c r="AP248" t="s">
        <v>2576</v>
      </c>
      <c r="AQ248" t="s">
        <v>2577</v>
      </c>
      <c r="AR248" t="s">
        <v>2578</v>
      </c>
      <c r="AS248" t="s">
        <v>998</v>
      </c>
    </row>
    <row r="249" spans="1:45" x14ac:dyDescent="0.45">
      <c r="A249">
        <v>248</v>
      </c>
      <c r="B249">
        <v>289</v>
      </c>
      <c r="C249" t="s">
        <v>67</v>
      </c>
      <c r="D249" t="s">
        <v>74</v>
      </c>
      <c r="E249" t="s">
        <v>69</v>
      </c>
      <c r="F249" t="s">
        <v>72</v>
      </c>
      <c r="G249" t="s">
        <v>71</v>
      </c>
      <c r="H249">
        <v>46.699044308675738</v>
      </c>
      <c r="I249">
        <v>1</v>
      </c>
      <c r="J249">
        <v>6</v>
      </c>
      <c r="K249">
        <v>7</v>
      </c>
      <c r="L249">
        <v>-1</v>
      </c>
      <c r="M249">
        <v>7</v>
      </c>
      <c r="N249">
        <v>7</v>
      </c>
      <c r="O249">
        <v>0</v>
      </c>
      <c r="P249">
        <v>6</v>
      </c>
      <c r="Q249">
        <v>7</v>
      </c>
      <c r="R249">
        <v>-1</v>
      </c>
      <c r="S249">
        <v>8</v>
      </c>
      <c r="T249">
        <v>7</v>
      </c>
      <c r="U249">
        <v>1</v>
      </c>
      <c r="V249">
        <v>7</v>
      </c>
      <c r="W249">
        <v>7</v>
      </c>
      <c r="X249">
        <v>0</v>
      </c>
      <c r="Y249">
        <v>9</v>
      </c>
      <c r="Z249">
        <v>7</v>
      </c>
      <c r="AA249">
        <v>2</v>
      </c>
      <c r="AB249">
        <v>7</v>
      </c>
      <c r="AC249">
        <v>7</v>
      </c>
      <c r="AD249">
        <v>0</v>
      </c>
      <c r="AE249">
        <v>8</v>
      </c>
      <c r="AF249">
        <v>7</v>
      </c>
      <c r="AG249">
        <v>1</v>
      </c>
      <c r="AH249">
        <v>9</v>
      </c>
      <c r="AI249">
        <v>7</v>
      </c>
      <c r="AJ249">
        <v>2</v>
      </c>
      <c r="AK249" t="s">
        <v>2579</v>
      </c>
      <c r="AL249" t="s">
        <v>2580</v>
      </c>
      <c r="AM249" t="s">
        <v>2581</v>
      </c>
      <c r="AN249" t="s">
        <v>2582</v>
      </c>
      <c r="AO249" t="s">
        <v>2583</v>
      </c>
      <c r="AP249" t="s">
        <v>2584</v>
      </c>
      <c r="AQ249" t="s">
        <v>2585</v>
      </c>
      <c r="AR249" t="s">
        <v>2586</v>
      </c>
      <c r="AS249" t="s">
        <v>2587</v>
      </c>
    </row>
    <row r="250" spans="1:45" x14ac:dyDescent="0.45">
      <c r="A250">
        <v>249</v>
      </c>
      <c r="B250">
        <v>290</v>
      </c>
      <c r="C250" t="s">
        <v>73</v>
      </c>
      <c r="D250" t="s">
        <v>189</v>
      </c>
      <c r="E250" t="s">
        <v>69</v>
      </c>
      <c r="F250" t="s">
        <v>70</v>
      </c>
      <c r="G250" t="s">
        <v>71</v>
      </c>
      <c r="H250">
        <v>91.08033688967393</v>
      </c>
      <c r="I250">
        <v>3</v>
      </c>
      <c r="J250">
        <v>6</v>
      </c>
      <c r="K250">
        <v>9</v>
      </c>
      <c r="L250">
        <v>-3</v>
      </c>
      <c r="M250">
        <v>7</v>
      </c>
      <c r="N250">
        <v>9</v>
      </c>
      <c r="O250">
        <v>-2</v>
      </c>
      <c r="P250">
        <v>8</v>
      </c>
      <c r="Q250">
        <v>9</v>
      </c>
      <c r="R250">
        <v>-1</v>
      </c>
      <c r="S250">
        <v>9</v>
      </c>
      <c r="T250">
        <v>9</v>
      </c>
      <c r="U250">
        <v>0</v>
      </c>
      <c r="V250">
        <v>7</v>
      </c>
      <c r="W250">
        <v>9</v>
      </c>
      <c r="X250">
        <v>-2</v>
      </c>
      <c r="Y250">
        <v>8</v>
      </c>
      <c r="Z250">
        <v>9</v>
      </c>
      <c r="AA250">
        <v>-1</v>
      </c>
      <c r="AB250">
        <v>7</v>
      </c>
      <c r="AC250">
        <v>9</v>
      </c>
      <c r="AD250">
        <v>-2</v>
      </c>
      <c r="AE250">
        <v>9</v>
      </c>
      <c r="AF250">
        <v>9</v>
      </c>
      <c r="AG250">
        <v>0</v>
      </c>
      <c r="AH250">
        <v>8</v>
      </c>
      <c r="AI250">
        <v>9</v>
      </c>
      <c r="AJ250">
        <v>-1</v>
      </c>
      <c r="AK250" t="s">
        <v>537</v>
      </c>
      <c r="AL250" t="s">
        <v>761</v>
      </c>
      <c r="AM250" t="s">
        <v>762</v>
      </c>
      <c r="AN250" t="s">
        <v>763</v>
      </c>
      <c r="AO250" t="s">
        <v>764</v>
      </c>
      <c r="AP250" t="s">
        <v>765</v>
      </c>
      <c r="AQ250" t="s">
        <v>2588</v>
      </c>
      <c r="AR250" t="s">
        <v>2589</v>
      </c>
      <c r="AS250" t="s">
        <v>2590</v>
      </c>
    </row>
    <row r="251" spans="1:45" x14ac:dyDescent="0.45">
      <c r="A251">
        <v>250</v>
      </c>
      <c r="B251">
        <v>291</v>
      </c>
      <c r="C251" t="s">
        <v>67</v>
      </c>
      <c r="D251" t="s">
        <v>68</v>
      </c>
      <c r="E251" t="s">
        <v>69</v>
      </c>
      <c r="F251" t="s">
        <v>72</v>
      </c>
      <c r="G251" t="s">
        <v>71</v>
      </c>
      <c r="H251">
        <v>60.161713037313774</v>
      </c>
      <c r="I251">
        <v>3</v>
      </c>
      <c r="J251">
        <v>7</v>
      </c>
      <c r="K251">
        <v>7</v>
      </c>
      <c r="L251">
        <v>0</v>
      </c>
      <c r="M251">
        <v>8</v>
      </c>
      <c r="N251">
        <v>6</v>
      </c>
      <c r="O251">
        <v>2</v>
      </c>
      <c r="P251">
        <v>9</v>
      </c>
      <c r="Q251">
        <v>5</v>
      </c>
      <c r="R251">
        <v>4</v>
      </c>
      <c r="S251">
        <v>9</v>
      </c>
      <c r="T251">
        <v>6</v>
      </c>
      <c r="U251">
        <v>3</v>
      </c>
      <c r="V251">
        <v>8</v>
      </c>
      <c r="W251">
        <v>6</v>
      </c>
      <c r="X251">
        <v>2</v>
      </c>
      <c r="Y251">
        <v>9</v>
      </c>
      <c r="Z251">
        <v>6</v>
      </c>
      <c r="AA251">
        <v>3</v>
      </c>
      <c r="AB251">
        <v>8</v>
      </c>
      <c r="AC251">
        <v>6</v>
      </c>
      <c r="AD251">
        <v>2</v>
      </c>
      <c r="AE251">
        <v>9</v>
      </c>
      <c r="AF251">
        <v>6</v>
      </c>
      <c r="AG251">
        <v>3</v>
      </c>
      <c r="AH251">
        <v>8</v>
      </c>
      <c r="AI251">
        <v>7</v>
      </c>
      <c r="AJ251">
        <v>1</v>
      </c>
      <c r="AK251" t="s">
        <v>766</v>
      </c>
      <c r="AL251" t="s">
        <v>2591</v>
      </c>
      <c r="AM251" t="s">
        <v>2592</v>
      </c>
      <c r="AN251" t="s">
        <v>2593</v>
      </c>
      <c r="AO251" t="s">
        <v>2594</v>
      </c>
      <c r="AP251" t="s">
        <v>2595</v>
      </c>
      <c r="AQ251" t="s">
        <v>2596</v>
      </c>
      <c r="AR251" t="s">
        <v>2597</v>
      </c>
      <c r="AS251" t="s">
        <v>2598</v>
      </c>
    </row>
    <row r="252" spans="1:45" x14ac:dyDescent="0.45">
      <c r="A252">
        <v>251</v>
      </c>
      <c r="B252">
        <v>292</v>
      </c>
      <c r="C252" t="s">
        <v>67</v>
      </c>
      <c r="D252" t="s">
        <v>68</v>
      </c>
      <c r="E252" t="s">
        <v>69</v>
      </c>
      <c r="F252" t="s">
        <v>72</v>
      </c>
      <c r="G252" t="s">
        <v>71</v>
      </c>
      <c r="H252">
        <v>32.406243853971198</v>
      </c>
      <c r="I252">
        <v>4</v>
      </c>
      <c r="J252">
        <v>6</v>
      </c>
      <c r="K252">
        <v>8</v>
      </c>
      <c r="L252">
        <v>-2</v>
      </c>
      <c r="M252">
        <v>8</v>
      </c>
      <c r="N252">
        <v>8</v>
      </c>
      <c r="O252">
        <v>0</v>
      </c>
      <c r="P252">
        <v>9</v>
      </c>
      <c r="Q252">
        <v>8</v>
      </c>
      <c r="R252">
        <v>1</v>
      </c>
      <c r="S252">
        <v>8</v>
      </c>
      <c r="T252">
        <v>9</v>
      </c>
      <c r="U252">
        <v>-1</v>
      </c>
      <c r="V252">
        <v>6</v>
      </c>
      <c r="W252">
        <v>8</v>
      </c>
      <c r="X252">
        <v>-2</v>
      </c>
      <c r="Y252">
        <v>9</v>
      </c>
      <c r="Z252">
        <v>10</v>
      </c>
      <c r="AA252">
        <v>-1</v>
      </c>
      <c r="AB252">
        <v>5</v>
      </c>
      <c r="AC252">
        <v>7</v>
      </c>
      <c r="AD252">
        <v>-2</v>
      </c>
      <c r="AE252">
        <v>7</v>
      </c>
      <c r="AF252">
        <v>7</v>
      </c>
      <c r="AG252">
        <v>0</v>
      </c>
      <c r="AH252">
        <v>8</v>
      </c>
      <c r="AI252">
        <v>10</v>
      </c>
      <c r="AJ252">
        <v>-2</v>
      </c>
      <c r="AK252" t="s">
        <v>2599</v>
      </c>
      <c r="AL252" t="s">
        <v>2600</v>
      </c>
      <c r="AM252" t="s">
        <v>2601</v>
      </c>
      <c r="AN252" t="s">
        <v>2602</v>
      </c>
      <c r="AO252" t="s">
        <v>2603</v>
      </c>
      <c r="AP252" t="s">
        <v>2604</v>
      </c>
      <c r="AQ252" t="s">
        <v>2605</v>
      </c>
      <c r="AR252" t="s">
        <v>2606</v>
      </c>
      <c r="AS252" t="s">
        <v>2607</v>
      </c>
    </row>
    <row r="253" spans="1:45" x14ac:dyDescent="0.45">
      <c r="A253">
        <v>252</v>
      </c>
      <c r="B253">
        <v>293</v>
      </c>
      <c r="C253" t="s">
        <v>67</v>
      </c>
      <c r="D253" t="s">
        <v>187</v>
      </c>
      <c r="E253" t="s">
        <v>69</v>
      </c>
      <c r="F253" t="s">
        <v>72</v>
      </c>
      <c r="G253" t="s">
        <v>71</v>
      </c>
      <c r="H253">
        <v>60.95442128279155</v>
      </c>
      <c r="I253">
        <v>3</v>
      </c>
      <c r="J253">
        <v>6</v>
      </c>
      <c r="K253">
        <v>6</v>
      </c>
      <c r="L253">
        <v>0</v>
      </c>
      <c r="M253">
        <v>6</v>
      </c>
      <c r="N253">
        <v>6</v>
      </c>
      <c r="O253">
        <v>0</v>
      </c>
      <c r="P253">
        <v>7</v>
      </c>
      <c r="Q253">
        <v>1</v>
      </c>
      <c r="R253">
        <v>6</v>
      </c>
      <c r="S253">
        <v>8</v>
      </c>
      <c r="T253">
        <v>6</v>
      </c>
      <c r="U253">
        <v>2</v>
      </c>
      <c r="V253">
        <v>7</v>
      </c>
      <c r="W253">
        <v>5</v>
      </c>
      <c r="X253">
        <v>2</v>
      </c>
      <c r="Y253">
        <v>9</v>
      </c>
      <c r="Z253">
        <v>6</v>
      </c>
      <c r="AA253">
        <v>3</v>
      </c>
      <c r="AB253">
        <v>8</v>
      </c>
      <c r="AC253">
        <v>6</v>
      </c>
      <c r="AD253">
        <v>2</v>
      </c>
      <c r="AE253">
        <v>9</v>
      </c>
      <c r="AF253">
        <v>6</v>
      </c>
      <c r="AG253">
        <v>3</v>
      </c>
      <c r="AH253">
        <v>9</v>
      </c>
      <c r="AI253">
        <v>6</v>
      </c>
      <c r="AJ253">
        <v>3</v>
      </c>
      <c r="AK253" t="s">
        <v>2608</v>
      </c>
      <c r="AL253" t="s">
        <v>2609</v>
      </c>
      <c r="AM253" t="s">
        <v>2610</v>
      </c>
      <c r="AN253" t="s">
        <v>2611</v>
      </c>
      <c r="AO253" t="s">
        <v>2612</v>
      </c>
      <c r="AP253" t="s">
        <v>2613</v>
      </c>
      <c r="AQ253" t="s">
        <v>2614</v>
      </c>
      <c r="AR253" t="s">
        <v>2615</v>
      </c>
      <c r="AS253" t="s">
        <v>2616</v>
      </c>
    </row>
    <row r="254" spans="1:45" x14ac:dyDescent="0.45">
      <c r="A254">
        <v>253</v>
      </c>
      <c r="B254">
        <v>294</v>
      </c>
      <c r="C254" t="s">
        <v>73</v>
      </c>
      <c r="D254" t="s">
        <v>74</v>
      </c>
      <c r="E254" t="s">
        <v>69</v>
      </c>
      <c r="F254" t="s">
        <v>70</v>
      </c>
      <c r="G254" t="s">
        <v>71</v>
      </c>
      <c r="H254">
        <v>87.557608548001312</v>
      </c>
      <c r="I254">
        <v>4</v>
      </c>
      <c r="J254">
        <v>8</v>
      </c>
      <c r="K254">
        <v>8</v>
      </c>
      <c r="L254">
        <v>0</v>
      </c>
      <c r="M254">
        <v>7</v>
      </c>
      <c r="N254">
        <v>8</v>
      </c>
      <c r="O254">
        <v>-1</v>
      </c>
      <c r="P254">
        <v>9</v>
      </c>
      <c r="Q254">
        <v>3</v>
      </c>
      <c r="R254">
        <v>6</v>
      </c>
      <c r="S254">
        <v>8</v>
      </c>
      <c r="T254">
        <v>9</v>
      </c>
      <c r="U254">
        <v>-1</v>
      </c>
      <c r="V254">
        <v>9</v>
      </c>
      <c r="W254">
        <v>8</v>
      </c>
      <c r="X254">
        <v>1</v>
      </c>
      <c r="Y254">
        <v>8</v>
      </c>
      <c r="Z254">
        <v>8</v>
      </c>
      <c r="AA254">
        <v>0</v>
      </c>
      <c r="AB254">
        <v>9</v>
      </c>
      <c r="AC254">
        <v>8</v>
      </c>
      <c r="AD254">
        <v>1</v>
      </c>
      <c r="AE254">
        <v>8</v>
      </c>
      <c r="AF254">
        <v>8</v>
      </c>
      <c r="AG254">
        <v>0</v>
      </c>
      <c r="AH254">
        <v>9</v>
      </c>
      <c r="AI254">
        <v>8</v>
      </c>
      <c r="AJ254">
        <v>1</v>
      </c>
      <c r="AK254" t="s">
        <v>2617</v>
      </c>
      <c r="AL254" t="s">
        <v>2618</v>
      </c>
      <c r="AM254" t="s">
        <v>2619</v>
      </c>
      <c r="AN254" t="s">
        <v>2620</v>
      </c>
      <c r="AO254" t="s">
        <v>2621</v>
      </c>
      <c r="AP254" t="s">
        <v>2622</v>
      </c>
      <c r="AQ254" t="s">
        <v>2623</v>
      </c>
      <c r="AR254" t="s">
        <v>2624</v>
      </c>
      <c r="AS254" t="s">
        <v>2625</v>
      </c>
    </row>
    <row r="255" spans="1:45" x14ac:dyDescent="0.45">
      <c r="A255">
        <v>254</v>
      </c>
      <c r="B255">
        <v>295</v>
      </c>
      <c r="C255" t="s">
        <v>73</v>
      </c>
      <c r="D255" t="s">
        <v>74</v>
      </c>
      <c r="E255" t="s">
        <v>69</v>
      </c>
      <c r="F255" t="s">
        <v>70</v>
      </c>
      <c r="G255" t="s">
        <v>71</v>
      </c>
      <c r="H255">
        <v>73.395363848232748</v>
      </c>
      <c r="I255">
        <v>1</v>
      </c>
      <c r="J255">
        <v>8</v>
      </c>
      <c r="K255">
        <v>4</v>
      </c>
      <c r="L255">
        <v>4</v>
      </c>
      <c r="M255">
        <v>9</v>
      </c>
      <c r="N255">
        <v>3</v>
      </c>
      <c r="O255">
        <v>6</v>
      </c>
      <c r="P255">
        <v>8</v>
      </c>
      <c r="Q255">
        <v>1</v>
      </c>
      <c r="R255">
        <v>7</v>
      </c>
      <c r="S255">
        <v>9</v>
      </c>
      <c r="T255">
        <v>7</v>
      </c>
      <c r="U255">
        <v>2</v>
      </c>
      <c r="V255">
        <v>7</v>
      </c>
      <c r="W255">
        <v>3</v>
      </c>
      <c r="X255">
        <v>4</v>
      </c>
      <c r="Y255">
        <v>9</v>
      </c>
      <c r="Z255">
        <v>6</v>
      </c>
      <c r="AA255">
        <v>3</v>
      </c>
      <c r="AB255">
        <v>7</v>
      </c>
      <c r="AC255">
        <v>5</v>
      </c>
      <c r="AD255">
        <v>2</v>
      </c>
      <c r="AE255">
        <v>6</v>
      </c>
      <c r="AF255">
        <v>6</v>
      </c>
      <c r="AG255">
        <v>0</v>
      </c>
      <c r="AH255">
        <v>8</v>
      </c>
      <c r="AI255">
        <v>6</v>
      </c>
      <c r="AJ255">
        <v>2</v>
      </c>
      <c r="AK255" t="s">
        <v>2626</v>
      </c>
      <c r="AL255" t="s">
        <v>2627</v>
      </c>
      <c r="AM255" t="s">
        <v>2628</v>
      </c>
      <c r="AN255" t="s">
        <v>2629</v>
      </c>
      <c r="AO255" t="s">
        <v>2630</v>
      </c>
      <c r="AP255" t="s">
        <v>2631</v>
      </c>
      <c r="AQ255" t="s">
        <v>2632</v>
      </c>
      <c r="AR255" t="s">
        <v>2633</v>
      </c>
      <c r="AS255" t="s">
        <v>2634</v>
      </c>
    </row>
    <row r="256" spans="1:45" x14ac:dyDescent="0.45">
      <c r="A256">
        <v>255</v>
      </c>
      <c r="B256">
        <v>296</v>
      </c>
      <c r="C256" t="s">
        <v>67</v>
      </c>
      <c r="D256" t="s">
        <v>68</v>
      </c>
      <c r="E256" t="s">
        <v>69</v>
      </c>
      <c r="F256" t="s">
        <v>70</v>
      </c>
      <c r="G256" t="s">
        <v>71</v>
      </c>
      <c r="H256">
        <v>48.208250904428475</v>
      </c>
      <c r="I256">
        <v>1</v>
      </c>
      <c r="J256">
        <v>7</v>
      </c>
      <c r="K256">
        <v>6</v>
      </c>
      <c r="L256">
        <v>1</v>
      </c>
      <c r="M256">
        <v>6</v>
      </c>
      <c r="N256">
        <v>6</v>
      </c>
      <c r="O256">
        <v>0</v>
      </c>
      <c r="P256">
        <v>8</v>
      </c>
      <c r="Q256">
        <v>1</v>
      </c>
      <c r="R256">
        <v>7</v>
      </c>
      <c r="S256">
        <v>9</v>
      </c>
      <c r="T256">
        <v>7</v>
      </c>
      <c r="U256">
        <v>2</v>
      </c>
      <c r="V256">
        <v>8</v>
      </c>
      <c r="W256">
        <v>5</v>
      </c>
      <c r="X256">
        <v>3</v>
      </c>
      <c r="Y256">
        <v>9</v>
      </c>
      <c r="Z256">
        <v>6</v>
      </c>
      <c r="AA256">
        <v>3</v>
      </c>
      <c r="AB256">
        <v>7</v>
      </c>
      <c r="AC256">
        <v>6</v>
      </c>
      <c r="AD256">
        <v>1</v>
      </c>
      <c r="AE256">
        <v>8</v>
      </c>
      <c r="AF256">
        <v>6</v>
      </c>
      <c r="AG256">
        <v>2</v>
      </c>
      <c r="AH256">
        <v>9</v>
      </c>
      <c r="AI256">
        <v>6</v>
      </c>
      <c r="AJ256">
        <v>3</v>
      </c>
      <c r="AK256" t="s">
        <v>2635</v>
      </c>
      <c r="AL256" t="s">
        <v>2636</v>
      </c>
      <c r="AM256" t="s">
        <v>2637</v>
      </c>
      <c r="AN256" t="s">
        <v>2638</v>
      </c>
      <c r="AO256" t="s">
        <v>2639</v>
      </c>
      <c r="AP256" t="s">
        <v>2640</v>
      </c>
      <c r="AQ256" t="s">
        <v>2641</v>
      </c>
      <c r="AR256" t="s">
        <v>2642</v>
      </c>
      <c r="AS256" t="s">
        <v>2643</v>
      </c>
    </row>
    <row r="257" spans="1:45" x14ac:dyDescent="0.45">
      <c r="A257">
        <v>256</v>
      </c>
      <c r="B257">
        <v>297</v>
      </c>
      <c r="C257" t="s">
        <v>67</v>
      </c>
      <c r="D257" t="s">
        <v>187</v>
      </c>
      <c r="E257" t="s">
        <v>69</v>
      </c>
      <c r="F257" t="s">
        <v>72</v>
      </c>
      <c r="G257" t="s">
        <v>71</v>
      </c>
      <c r="H257">
        <v>150.64830970873513</v>
      </c>
      <c r="I257">
        <v>4</v>
      </c>
      <c r="J257">
        <v>6</v>
      </c>
      <c r="K257">
        <v>8</v>
      </c>
      <c r="L257">
        <v>-2</v>
      </c>
      <c r="M257">
        <v>7</v>
      </c>
      <c r="N257">
        <v>8</v>
      </c>
      <c r="O257">
        <v>-1</v>
      </c>
      <c r="P257">
        <v>9</v>
      </c>
      <c r="Q257">
        <v>5</v>
      </c>
      <c r="R257">
        <v>4</v>
      </c>
      <c r="S257">
        <v>8</v>
      </c>
      <c r="T257">
        <v>8</v>
      </c>
      <c r="U257">
        <v>0</v>
      </c>
      <c r="V257">
        <v>9</v>
      </c>
      <c r="W257">
        <v>8</v>
      </c>
      <c r="X257">
        <v>1</v>
      </c>
      <c r="Y257">
        <v>8</v>
      </c>
      <c r="Z257">
        <v>7</v>
      </c>
      <c r="AA257">
        <v>1</v>
      </c>
      <c r="AB257">
        <v>9</v>
      </c>
      <c r="AC257">
        <v>7</v>
      </c>
      <c r="AD257">
        <v>2</v>
      </c>
      <c r="AE257">
        <v>8</v>
      </c>
      <c r="AF257">
        <v>7</v>
      </c>
      <c r="AG257">
        <v>1</v>
      </c>
      <c r="AH257">
        <v>9</v>
      </c>
      <c r="AI257">
        <v>7</v>
      </c>
      <c r="AJ257">
        <v>2</v>
      </c>
      <c r="AK257" t="s">
        <v>767</v>
      </c>
      <c r="AL257" t="s">
        <v>768</v>
      </c>
      <c r="AM257" t="s">
        <v>2644</v>
      </c>
      <c r="AN257" t="s">
        <v>2645</v>
      </c>
      <c r="AO257" t="s">
        <v>195</v>
      </c>
      <c r="AP257" t="s">
        <v>2646</v>
      </c>
      <c r="AQ257" t="s">
        <v>2647</v>
      </c>
      <c r="AR257" t="s">
        <v>2648</v>
      </c>
      <c r="AS257" t="s">
        <v>2649</v>
      </c>
    </row>
    <row r="258" spans="1:45" x14ac:dyDescent="0.45">
      <c r="A258">
        <v>257</v>
      </c>
      <c r="B258">
        <v>298</v>
      </c>
      <c r="C258" t="s">
        <v>67</v>
      </c>
      <c r="D258" t="s">
        <v>76</v>
      </c>
      <c r="E258" t="s">
        <v>69</v>
      </c>
      <c r="F258" t="s">
        <v>72</v>
      </c>
      <c r="G258" t="s">
        <v>71</v>
      </c>
      <c r="H258">
        <v>36.872721405883112</v>
      </c>
      <c r="I258">
        <v>1</v>
      </c>
      <c r="J258">
        <v>6</v>
      </c>
      <c r="K258">
        <v>7</v>
      </c>
      <c r="L258">
        <v>-1</v>
      </c>
      <c r="M258">
        <v>7</v>
      </c>
      <c r="N258">
        <v>8</v>
      </c>
      <c r="O258">
        <v>-1</v>
      </c>
      <c r="P258">
        <v>9</v>
      </c>
      <c r="Q258">
        <v>4</v>
      </c>
      <c r="R258">
        <v>5</v>
      </c>
      <c r="S258">
        <v>9</v>
      </c>
      <c r="T258">
        <v>8</v>
      </c>
      <c r="U258">
        <v>1</v>
      </c>
      <c r="V258">
        <v>8</v>
      </c>
      <c r="W258">
        <v>5</v>
      </c>
      <c r="X258">
        <v>3</v>
      </c>
      <c r="Y258">
        <v>8</v>
      </c>
      <c r="Z258">
        <v>7</v>
      </c>
      <c r="AA258">
        <v>1</v>
      </c>
      <c r="AB258">
        <v>7</v>
      </c>
      <c r="AC258">
        <v>5</v>
      </c>
      <c r="AD258">
        <v>2</v>
      </c>
      <c r="AE258">
        <v>6</v>
      </c>
      <c r="AF258">
        <v>6</v>
      </c>
      <c r="AG258">
        <v>0</v>
      </c>
      <c r="AH258">
        <v>9</v>
      </c>
      <c r="AI258">
        <v>6</v>
      </c>
      <c r="AJ258">
        <v>3</v>
      </c>
      <c r="AK258" t="s">
        <v>2650</v>
      </c>
      <c r="AL258" t="s">
        <v>2651</v>
      </c>
      <c r="AM258" t="s">
        <v>2652</v>
      </c>
      <c r="AN258" t="s">
        <v>2653</v>
      </c>
      <c r="AO258" t="s">
        <v>2654</v>
      </c>
      <c r="AP258" t="s">
        <v>2655</v>
      </c>
      <c r="AQ258" t="s">
        <v>2656</v>
      </c>
      <c r="AR258" t="s">
        <v>2657</v>
      </c>
      <c r="AS258" t="s">
        <v>813</v>
      </c>
    </row>
    <row r="259" spans="1:45" x14ac:dyDescent="0.45">
      <c r="A259">
        <v>258</v>
      </c>
      <c r="B259">
        <v>299</v>
      </c>
      <c r="C259" t="s">
        <v>73</v>
      </c>
      <c r="D259" t="s">
        <v>74</v>
      </c>
      <c r="E259" t="s">
        <v>69</v>
      </c>
      <c r="F259" t="s">
        <v>72</v>
      </c>
      <c r="G259" t="s">
        <v>71</v>
      </c>
      <c r="H259">
        <v>64.686544718428408</v>
      </c>
      <c r="I259">
        <v>2</v>
      </c>
      <c r="J259">
        <v>7</v>
      </c>
      <c r="K259">
        <v>6</v>
      </c>
      <c r="L259">
        <v>1</v>
      </c>
      <c r="M259">
        <v>6</v>
      </c>
      <c r="N259">
        <v>7</v>
      </c>
      <c r="O259">
        <v>-1</v>
      </c>
      <c r="P259">
        <v>8</v>
      </c>
      <c r="Q259">
        <v>2</v>
      </c>
      <c r="R259">
        <v>6</v>
      </c>
      <c r="S259">
        <v>7</v>
      </c>
      <c r="T259">
        <v>7</v>
      </c>
      <c r="U259">
        <v>0</v>
      </c>
      <c r="V259">
        <v>8</v>
      </c>
      <c r="W259">
        <v>5</v>
      </c>
      <c r="X259">
        <v>3</v>
      </c>
      <c r="Y259">
        <v>9</v>
      </c>
      <c r="Z259">
        <v>5</v>
      </c>
      <c r="AA259">
        <v>4</v>
      </c>
      <c r="AB259">
        <v>7</v>
      </c>
      <c r="AC259">
        <v>5</v>
      </c>
      <c r="AD259">
        <v>2</v>
      </c>
      <c r="AE259">
        <v>6</v>
      </c>
      <c r="AF259">
        <v>6</v>
      </c>
      <c r="AG259">
        <v>0</v>
      </c>
      <c r="AH259">
        <v>9</v>
      </c>
      <c r="AI259">
        <v>5</v>
      </c>
      <c r="AJ259">
        <v>4</v>
      </c>
      <c r="AK259" t="s">
        <v>538</v>
      </c>
      <c r="AL259" t="s">
        <v>769</v>
      </c>
      <c r="AM259" t="s">
        <v>770</v>
      </c>
      <c r="AN259" t="s">
        <v>771</v>
      </c>
      <c r="AO259" t="s">
        <v>772</v>
      </c>
      <c r="AP259" t="s">
        <v>773</v>
      </c>
      <c r="AQ259" t="s">
        <v>774</v>
      </c>
      <c r="AR259" t="s">
        <v>775</v>
      </c>
      <c r="AS259" t="s">
        <v>2658</v>
      </c>
    </row>
    <row r="260" spans="1:45" x14ac:dyDescent="0.45">
      <c r="A260">
        <v>259</v>
      </c>
      <c r="B260">
        <v>300</v>
      </c>
      <c r="C260" t="s">
        <v>73</v>
      </c>
      <c r="D260" t="s">
        <v>187</v>
      </c>
      <c r="E260" t="s">
        <v>69</v>
      </c>
      <c r="F260" t="s">
        <v>70</v>
      </c>
      <c r="G260" t="s">
        <v>71</v>
      </c>
      <c r="H260">
        <v>184.12683194829077</v>
      </c>
      <c r="I260">
        <v>4</v>
      </c>
      <c r="J260">
        <v>6</v>
      </c>
      <c r="K260">
        <v>2</v>
      </c>
      <c r="L260">
        <v>4</v>
      </c>
      <c r="M260">
        <v>7</v>
      </c>
      <c r="N260">
        <v>1</v>
      </c>
      <c r="O260">
        <v>6</v>
      </c>
      <c r="P260">
        <v>8</v>
      </c>
      <c r="Q260">
        <v>1</v>
      </c>
      <c r="R260">
        <v>7</v>
      </c>
      <c r="S260">
        <v>9</v>
      </c>
      <c r="T260">
        <v>6</v>
      </c>
      <c r="U260">
        <v>3</v>
      </c>
      <c r="V260">
        <v>7</v>
      </c>
      <c r="W260">
        <v>2</v>
      </c>
      <c r="X260">
        <v>5</v>
      </c>
      <c r="Y260">
        <v>8</v>
      </c>
      <c r="Z260">
        <v>3</v>
      </c>
      <c r="AA260">
        <v>5</v>
      </c>
      <c r="AB260">
        <v>7</v>
      </c>
      <c r="AC260">
        <v>1</v>
      </c>
      <c r="AD260">
        <v>6</v>
      </c>
      <c r="AE260">
        <v>6</v>
      </c>
      <c r="AF260">
        <v>5</v>
      </c>
      <c r="AG260">
        <v>1</v>
      </c>
      <c r="AH260">
        <v>9</v>
      </c>
      <c r="AI260">
        <v>4</v>
      </c>
      <c r="AJ260">
        <v>5</v>
      </c>
      <c r="AK260" t="s">
        <v>776</v>
      </c>
      <c r="AL260" t="s">
        <v>2659</v>
      </c>
      <c r="AM260" t="s">
        <v>2660</v>
      </c>
      <c r="AN260" t="s">
        <v>2661</v>
      </c>
      <c r="AO260" t="s">
        <v>2662</v>
      </c>
      <c r="AP260" t="s">
        <v>2663</v>
      </c>
      <c r="AQ260" t="s">
        <v>2664</v>
      </c>
      <c r="AR260" t="s">
        <v>2665</v>
      </c>
      <c r="AS260" t="s">
        <v>2666</v>
      </c>
    </row>
    <row r="261" spans="1:45" x14ac:dyDescent="0.45">
      <c r="A261">
        <v>260</v>
      </c>
      <c r="B261">
        <v>301</v>
      </c>
      <c r="C261" t="s">
        <v>67</v>
      </c>
      <c r="D261" t="s">
        <v>68</v>
      </c>
      <c r="E261" t="s">
        <v>75</v>
      </c>
      <c r="F261" t="s">
        <v>72</v>
      </c>
      <c r="G261" t="s">
        <v>71</v>
      </c>
      <c r="H261">
        <v>45.176598438441665</v>
      </c>
      <c r="I261">
        <v>2</v>
      </c>
      <c r="J261">
        <v>6</v>
      </c>
      <c r="K261">
        <v>6</v>
      </c>
      <c r="L261">
        <v>0</v>
      </c>
      <c r="M261">
        <v>7</v>
      </c>
      <c r="N261">
        <v>6</v>
      </c>
      <c r="O261">
        <v>1</v>
      </c>
      <c r="P261">
        <v>9</v>
      </c>
      <c r="Q261">
        <v>7</v>
      </c>
      <c r="R261">
        <v>2</v>
      </c>
      <c r="S261">
        <v>8</v>
      </c>
      <c r="T261">
        <v>6</v>
      </c>
      <c r="U261">
        <v>2</v>
      </c>
      <c r="V261">
        <v>7</v>
      </c>
      <c r="W261">
        <v>5</v>
      </c>
      <c r="X261">
        <v>2</v>
      </c>
      <c r="Y261">
        <v>8</v>
      </c>
      <c r="Z261">
        <v>6</v>
      </c>
      <c r="AA261">
        <v>2</v>
      </c>
      <c r="AB261">
        <v>7</v>
      </c>
      <c r="AC261">
        <v>5</v>
      </c>
      <c r="AD261">
        <v>2</v>
      </c>
      <c r="AE261">
        <v>8</v>
      </c>
      <c r="AF261">
        <v>6</v>
      </c>
      <c r="AG261">
        <v>2</v>
      </c>
      <c r="AH261">
        <v>9</v>
      </c>
      <c r="AI261">
        <v>6</v>
      </c>
      <c r="AJ261">
        <v>3</v>
      </c>
      <c r="AK261" t="s">
        <v>777</v>
      </c>
      <c r="AL261" t="s">
        <v>778</v>
      </c>
      <c r="AM261" t="s">
        <v>2667</v>
      </c>
      <c r="AN261" t="s">
        <v>2668</v>
      </c>
      <c r="AO261" t="s">
        <v>2669</v>
      </c>
      <c r="AP261" t="s">
        <v>2670</v>
      </c>
      <c r="AQ261" t="s">
        <v>2671</v>
      </c>
      <c r="AR261" t="s">
        <v>2672</v>
      </c>
      <c r="AS261" t="s">
        <v>2673</v>
      </c>
    </row>
    <row r="262" spans="1:45" x14ac:dyDescent="0.45">
      <c r="A262">
        <v>261</v>
      </c>
      <c r="B262">
        <v>302</v>
      </c>
      <c r="C262" t="s">
        <v>73</v>
      </c>
      <c r="D262" t="s">
        <v>68</v>
      </c>
      <c r="E262" t="s">
        <v>69</v>
      </c>
      <c r="F262" t="s">
        <v>72</v>
      </c>
      <c r="G262" t="s">
        <v>71</v>
      </c>
      <c r="H262">
        <v>44.639762601834903</v>
      </c>
      <c r="I262">
        <v>1</v>
      </c>
      <c r="J262">
        <v>7</v>
      </c>
      <c r="K262">
        <v>6</v>
      </c>
      <c r="L262">
        <v>1</v>
      </c>
      <c r="M262">
        <v>8</v>
      </c>
      <c r="N262">
        <v>7</v>
      </c>
      <c r="O262">
        <v>1</v>
      </c>
      <c r="P262">
        <v>6</v>
      </c>
      <c r="Q262">
        <v>1</v>
      </c>
      <c r="R262">
        <v>5</v>
      </c>
      <c r="S262">
        <v>9</v>
      </c>
      <c r="T262">
        <v>9</v>
      </c>
      <c r="U262">
        <v>0</v>
      </c>
      <c r="V262">
        <v>7</v>
      </c>
      <c r="W262">
        <v>5</v>
      </c>
      <c r="X262">
        <v>2</v>
      </c>
      <c r="Y262">
        <v>9</v>
      </c>
      <c r="Z262">
        <v>4</v>
      </c>
      <c r="AA262">
        <v>5</v>
      </c>
      <c r="AB262">
        <v>8</v>
      </c>
      <c r="AC262">
        <v>4</v>
      </c>
      <c r="AD262">
        <v>4</v>
      </c>
      <c r="AE262">
        <v>7</v>
      </c>
      <c r="AF262">
        <v>5</v>
      </c>
      <c r="AG262">
        <v>2</v>
      </c>
      <c r="AH262">
        <v>9</v>
      </c>
      <c r="AI262">
        <v>5</v>
      </c>
      <c r="AJ262">
        <v>4</v>
      </c>
      <c r="AK262" t="s">
        <v>2674</v>
      </c>
      <c r="AL262" t="s">
        <v>2675</v>
      </c>
      <c r="AM262" t="s">
        <v>2676</v>
      </c>
      <c r="AN262" t="s">
        <v>2677</v>
      </c>
      <c r="AO262" t="s">
        <v>2678</v>
      </c>
      <c r="AP262" t="s">
        <v>2679</v>
      </c>
      <c r="AQ262" t="s">
        <v>185</v>
      </c>
      <c r="AR262" t="s">
        <v>2657</v>
      </c>
      <c r="AS262" t="s">
        <v>2680</v>
      </c>
    </row>
    <row r="263" spans="1:45" x14ac:dyDescent="0.45">
      <c r="A263">
        <v>262</v>
      </c>
      <c r="B263">
        <v>303</v>
      </c>
      <c r="C263" t="s">
        <v>73</v>
      </c>
      <c r="D263" t="s">
        <v>68</v>
      </c>
      <c r="E263" t="s">
        <v>69</v>
      </c>
      <c r="F263" t="s">
        <v>72</v>
      </c>
      <c r="G263" t="s">
        <v>71</v>
      </c>
      <c r="H263">
        <v>68.000404351217739</v>
      </c>
      <c r="I263">
        <v>4</v>
      </c>
      <c r="J263">
        <v>7</v>
      </c>
      <c r="K263">
        <v>9</v>
      </c>
      <c r="L263">
        <v>-2</v>
      </c>
      <c r="M263">
        <v>6</v>
      </c>
      <c r="N263">
        <v>9</v>
      </c>
      <c r="O263">
        <v>-3</v>
      </c>
      <c r="P263">
        <v>9</v>
      </c>
      <c r="Q263">
        <v>8</v>
      </c>
      <c r="R263">
        <v>1</v>
      </c>
      <c r="S263">
        <v>8</v>
      </c>
      <c r="T263">
        <v>9</v>
      </c>
      <c r="U263">
        <v>-1</v>
      </c>
      <c r="V263">
        <v>9</v>
      </c>
      <c r="W263">
        <v>8</v>
      </c>
      <c r="X263">
        <v>1</v>
      </c>
      <c r="Y263">
        <v>8</v>
      </c>
      <c r="Z263">
        <v>9</v>
      </c>
      <c r="AA263">
        <v>-1</v>
      </c>
      <c r="AB263">
        <v>9</v>
      </c>
      <c r="AC263">
        <v>9</v>
      </c>
      <c r="AD263">
        <v>0</v>
      </c>
      <c r="AE263">
        <v>8</v>
      </c>
      <c r="AF263">
        <v>8</v>
      </c>
      <c r="AG263">
        <v>0</v>
      </c>
      <c r="AH263">
        <v>9</v>
      </c>
      <c r="AI263">
        <v>8</v>
      </c>
      <c r="AJ263">
        <v>1</v>
      </c>
      <c r="AK263" t="s">
        <v>2681</v>
      </c>
      <c r="AL263" t="s">
        <v>2682</v>
      </c>
      <c r="AM263" t="s">
        <v>2683</v>
      </c>
      <c r="AN263" t="s">
        <v>2684</v>
      </c>
      <c r="AO263" t="s">
        <v>2685</v>
      </c>
      <c r="AP263" t="s">
        <v>2686</v>
      </c>
      <c r="AQ263" t="s">
        <v>2687</v>
      </c>
      <c r="AR263" t="s">
        <v>2688</v>
      </c>
      <c r="AS263" t="s">
        <v>2689</v>
      </c>
    </row>
    <row r="264" spans="1:45" x14ac:dyDescent="0.45">
      <c r="A264">
        <v>263</v>
      </c>
      <c r="B264">
        <v>304</v>
      </c>
      <c r="C264" t="s">
        <v>73</v>
      </c>
      <c r="D264" t="s">
        <v>68</v>
      </c>
      <c r="E264" t="s">
        <v>69</v>
      </c>
      <c r="F264" t="s">
        <v>70</v>
      </c>
      <c r="G264" t="s">
        <v>71</v>
      </c>
      <c r="H264">
        <v>92.592868479061394</v>
      </c>
      <c r="I264">
        <v>3</v>
      </c>
      <c r="J264">
        <v>7</v>
      </c>
      <c r="K264">
        <v>8</v>
      </c>
      <c r="L264">
        <v>-1</v>
      </c>
      <c r="M264">
        <v>6</v>
      </c>
      <c r="N264">
        <v>8</v>
      </c>
      <c r="O264">
        <v>-2</v>
      </c>
      <c r="P264">
        <v>8</v>
      </c>
      <c r="Q264">
        <v>5</v>
      </c>
      <c r="R264">
        <v>3</v>
      </c>
      <c r="S264">
        <v>9</v>
      </c>
      <c r="T264">
        <v>7</v>
      </c>
      <c r="U264">
        <v>2</v>
      </c>
      <c r="V264">
        <v>8</v>
      </c>
      <c r="W264">
        <v>7</v>
      </c>
      <c r="X264">
        <v>1</v>
      </c>
      <c r="Y264">
        <v>9</v>
      </c>
      <c r="Z264">
        <v>5</v>
      </c>
      <c r="AA264">
        <v>4</v>
      </c>
      <c r="AB264">
        <v>8</v>
      </c>
      <c r="AC264">
        <v>5</v>
      </c>
      <c r="AD264">
        <v>3</v>
      </c>
      <c r="AE264">
        <v>7</v>
      </c>
      <c r="AF264">
        <v>6</v>
      </c>
      <c r="AG264">
        <v>1</v>
      </c>
      <c r="AH264">
        <v>9</v>
      </c>
      <c r="AI264">
        <v>6</v>
      </c>
      <c r="AJ264">
        <v>3</v>
      </c>
      <c r="AK264" t="s">
        <v>779</v>
      </c>
      <c r="AL264" t="s">
        <v>2690</v>
      </c>
      <c r="AM264" t="s">
        <v>2691</v>
      </c>
      <c r="AN264" t="s">
        <v>2692</v>
      </c>
      <c r="AO264" t="s">
        <v>2693</v>
      </c>
      <c r="AP264" t="s">
        <v>2694</v>
      </c>
      <c r="AQ264" t="s">
        <v>2695</v>
      </c>
      <c r="AR264" t="s">
        <v>2696</v>
      </c>
      <c r="AS264" t="s">
        <v>2697</v>
      </c>
    </row>
    <row r="265" spans="1:45" x14ac:dyDescent="0.45">
      <c r="A265">
        <v>264</v>
      </c>
      <c r="B265">
        <v>305</v>
      </c>
      <c r="C265" t="s">
        <v>73</v>
      </c>
      <c r="D265" t="s">
        <v>74</v>
      </c>
      <c r="E265" t="s">
        <v>69</v>
      </c>
      <c r="F265" t="s">
        <v>70</v>
      </c>
      <c r="G265" t="s">
        <v>71</v>
      </c>
      <c r="H265">
        <v>111.11560768180053</v>
      </c>
      <c r="I265">
        <v>3</v>
      </c>
      <c r="J265">
        <v>8</v>
      </c>
      <c r="K265">
        <v>7</v>
      </c>
      <c r="L265">
        <v>1</v>
      </c>
      <c r="M265">
        <v>9</v>
      </c>
      <c r="N265">
        <v>7</v>
      </c>
      <c r="O265">
        <v>2</v>
      </c>
      <c r="P265">
        <v>8</v>
      </c>
      <c r="Q265">
        <v>7</v>
      </c>
      <c r="R265">
        <v>1</v>
      </c>
      <c r="S265">
        <v>9</v>
      </c>
      <c r="T265">
        <v>8</v>
      </c>
      <c r="U265">
        <v>1</v>
      </c>
      <c r="V265">
        <v>8</v>
      </c>
      <c r="W265">
        <v>7</v>
      </c>
      <c r="X265">
        <v>1</v>
      </c>
      <c r="Y265">
        <v>9</v>
      </c>
      <c r="Z265">
        <v>7</v>
      </c>
      <c r="AA265">
        <v>2</v>
      </c>
      <c r="AB265">
        <v>8</v>
      </c>
      <c r="AC265">
        <v>7</v>
      </c>
      <c r="AD265">
        <v>1</v>
      </c>
      <c r="AE265">
        <v>9</v>
      </c>
      <c r="AF265">
        <v>7</v>
      </c>
      <c r="AG265">
        <v>2</v>
      </c>
      <c r="AH265">
        <v>8</v>
      </c>
      <c r="AI265">
        <v>7</v>
      </c>
      <c r="AJ265">
        <v>1</v>
      </c>
      <c r="AK265" t="s">
        <v>2698</v>
      </c>
      <c r="AL265" t="s">
        <v>2699</v>
      </c>
      <c r="AM265" t="s">
        <v>2700</v>
      </c>
      <c r="AN265" t="s">
        <v>2701</v>
      </c>
      <c r="AO265" t="s">
        <v>2702</v>
      </c>
      <c r="AP265" t="s">
        <v>2703</v>
      </c>
      <c r="AQ265" t="s">
        <v>2704</v>
      </c>
      <c r="AR265" t="s">
        <v>2705</v>
      </c>
      <c r="AS265" t="s">
        <v>2706</v>
      </c>
    </row>
    <row r="266" spans="1:45" x14ac:dyDescent="0.45">
      <c r="A266">
        <v>265</v>
      </c>
      <c r="B266">
        <v>306</v>
      </c>
      <c r="C266" t="s">
        <v>67</v>
      </c>
      <c r="D266" t="s">
        <v>68</v>
      </c>
      <c r="E266" t="s">
        <v>69</v>
      </c>
      <c r="F266" t="s">
        <v>72</v>
      </c>
      <c r="G266" t="s">
        <v>71</v>
      </c>
      <c r="H266">
        <v>23.471752547275287</v>
      </c>
      <c r="I266">
        <v>0</v>
      </c>
      <c r="J266">
        <v>6</v>
      </c>
      <c r="K266">
        <v>6</v>
      </c>
      <c r="L266">
        <v>0</v>
      </c>
      <c r="M266">
        <v>5</v>
      </c>
      <c r="N266">
        <v>5</v>
      </c>
      <c r="O266">
        <v>0</v>
      </c>
      <c r="P266">
        <v>7</v>
      </c>
      <c r="Q266">
        <v>5</v>
      </c>
      <c r="R266">
        <v>2</v>
      </c>
      <c r="S266">
        <v>8</v>
      </c>
      <c r="T266">
        <v>7</v>
      </c>
      <c r="U266">
        <v>1</v>
      </c>
      <c r="V266">
        <v>6</v>
      </c>
      <c r="W266">
        <v>6</v>
      </c>
      <c r="X266">
        <v>0</v>
      </c>
      <c r="Y266">
        <v>9</v>
      </c>
      <c r="Z266">
        <v>7</v>
      </c>
      <c r="AA266">
        <v>2</v>
      </c>
      <c r="AB266">
        <v>7</v>
      </c>
      <c r="AC266">
        <v>5</v>
      </c>
      <c r="AD266">
        <v>2</v>
      </c>
      <c r="AE266">
        <v>8</v>
      </c>
      <c r="AF266">
        <v>6</v>
      </c>
      <c r="AG266">
        <v>2</v>
      </c>
      <c r="AH266">
        <v>9</v>
      </c>
      <c r="AI266">
        <v>6</v>
      </c>
      <c r="AJ266">
        <v>3</v>
      </c>
      <c r="AK266" t="s">
        <v>2707</v>
      </c>
      <c r="AL266" t="s">
        <v>2708</v>
      </c>
      <c r="AM266" t="s">
        <v>2709</v>
      </c>
      <c r="AN266" t="s">
        <v>2710</v>
      </c>
      <c r="AO266" t="s">
        <v>2711</v>
      </c>
      <c r="AP266" t="s">
        <v>2712</v>
      </c>
      <c r="AQ266" t="s">
        <v>2713</v>
      </c>
      <c r="AR266" t="s">
        <v>2714</v>
      </c>
      <c r="AS266" t="s">
        <v>2715</v>
      </c>
    </row>
    <row r="267" spans="1:45" x14ac:dyDescent="0.45">
      <c r="A267">
        <v>266</v>
      </c>
      <c r="B267">
        <v>307</v>
      </c>
      <c r="C267" t="s">
        <v>67</v>
      </c>
      <c r="D267" t="s">
        <v>187</v>
      </c>
      <c r="E267" t="s">
        <v>69</v>
      </c>
      <c r="F267" t="s">
        <v>72</v>
      </c>
      <c r="G267" t="s">
        <v>71</v>
      </c>
      <c r="H267">
        <v>50.519403846977397</v>
      </c>
      <c r="I267">
        <v>3</v>
      </c>
      <c r="J267">
        <v>8</v>
      </c>
      <c r="K267">
        <v>7</v>
      </c>
      <c r="L267">
        <v>1</v>
      </c>
      <c r="M267">
        <v>9</v>
      </c>
      <c r="N267">
        <v>6</v>
      </c>
      <c r="O267">
        <v>3</v>
      </c>
      <c r="P267">
        <v>9</v>
      </c>
      <c r="Q267">
        <v>6</v>
      </c>
      <c r="R267">
        <v>3</v>
      </c>
      <c r="S267">
        <v>8</v>
      </c>
      <c r="T267">
        <v>6</v>
      </c>
      <c r="U267">
        <v>2</v>
      </c>
      <c r="V267">
        <v>7</v>
      </c>
      <c r="W267">
        <v>7</v>
      </c>
      <c r="X267">
        <v>0</v>
      </c>
      <c r="Y267">
        <v>8</v>
      </c>
      <c r="Z267">
        <v>7</v>
      </c>
      <c r="AA267">
        <v>1</v>
      </c>
      <c r="AB267">
        <v>7</v>
      </c>
      <c r="AC267">
        <v>7</v>
      </c>
      <c r="AD267">
        <v>0</v>
      </c>
      <c r="AE267">
        <v>6</v>
      </c>
      <c r="AF267">
        <v>7</v>
      </c>
      <c r="AG267">
        <v>-1</v>
      </c>
      <c r="AH267">
        <v>7</v>
      </c>
      <c r="AI267">
        <v>7</v>
      </c>
      <c r="AJ267">
        <v>0</v>
      </c>
      <c r="AK267" t="s">
        <v>540</v>
      </c>
      <c r="AL267" t="s">
        <v>2716</v>
      </c>
      <c r="AM267" t="s">
        <v>2717</v>
      </c>
      <c r="AN267" t="s">
        <v>2718</v>
      </c>
      <c r="AO267" t="s">
        <v>2719</v>
      </c>
      <c r="AP267" t="s">
        <v>2720</v>
      </c>
      <c r="AQ267" t="s">
        <v>2721</v>
      </c>
      <c r="AR267" t="s">
        <v>2722</v>
      </c>
      <c r="AS267" t="s">
        <v>2723</v>
      </c>
    </row>
    <row r="268" spans="1:45" x14ac:dyDescent="0.45">
      <c r="A268">
        <v>267</v>
      </c>
      <c r="B268">
        <v>308</v>
      </c>
      <c r="C268" t="s">
        <v>73</v>
      </c>
      <c r="D268" t="s">
        <v>74</v>
      </c>
      <c r="E268" t="s">
        <v>69</v>
      </c>
      <c r="F268" t="s">
        <v>70</v>
      </c>
      <c r="G268" t="s">
        <v>71</v>
      </c>
      <c r="H268">
        <v>52.569711452697604</v>
      </c>
      <c r="I268">
        <v>2</v>
      </c>
      <c r="J268">
        <v>9</v>
      </c>
      <c r="K268">
        <v>6</v>
      </c>
      <c r="L268">
        <v>3</v>
      </c>
      <c r="M268">
        <v>8</v>
      </c>
      <c r="N268">
        <v>7</v>
      </c>
      <c r="O268">
        <v>1</v>
      </c>
      <c r="P268">
        <v>9</v>
      </c>
      <c r="Q268">
        <v>7</v>
      </c>
      <c r="R268">
        <v>2</v>
      </c>
      <c r="S268">
        <v>8</v>
      </c>
      <c r="T268">
        <v>6</v>
      </c>
      <c r="U268">
        <v>2</v>
      </c>
      <c r="V268">
        <v>9</v>
      </c>
      <c r="W268">
        <v>6</v>
      </c>
      <c r="X268">
        <v>3</v>
      </c>
      <c r="Y268">
        <v>9</v>
      </c>
      <c r="Z268">
        <v>6</v>
      </c>
      <c r="AA268">
        <v>3</v>
      </c>
      <c r="AB268">
        <v>8</v>
      </c>
      <c r="AC268">
        <v>6</v>
      </c>
      <c r="AD268">
        <v>2</v>
      </c>
      <c r="AE268">
        <v>9</v>
      </c>
      <c r="AF268">
        <v>7</v>
      </c>
      <c r="AG268">
        <v>2</v>
      </c>
      <c r="AH268">
        <v>8</v>
      </c>
      <c r="AI268">
        <v>7</v>
      </c>
      <c r="AJ268">
        <v>1</v>
      </c>
      <c r="AK268" t="s">
        <v>2724</v>
      </c>
      <c r="AL268" t="s">
        <v>2725</v>
      </c>
      <c r="AM268" t="s">
        <v>2726</v>
      </c>
      <c r="AN268" t="s">
        <v>2727</v>
      </c>
      <c r="AO268" t="s">
        <v>2728</v>
      </c>
      <c r="AP268" t="s">
        <v>2729</v>
      </c>
      <c r="AQ268" t="s">
        <v>77</v>
      </c>
      <c r="AR268" t="s">
        <v>2730</v>
      </c>
      <c r="AS268" t="s">
        <v>2731</v>
      </c>
    </row>
    <row r="269" spans="1:45" x14ac:dyDescent="0.45">
      <c r="A269">
        <v>268</v>
      </c>
      <c r="B269">
        <v>309</v>
      </c>
      <c r="C269" t="s">
        <v>67</v>
      </c>
      <c r="D269" t="s">
        <v>76</v>
      </c>
      <c r="E269" t="s">
        <v>69</v>
      </c>
      <c r="F269" t="s">
        <v>72</v>
      </c>
      <c r="G269" t="s">
        <v>71</v>
      </c>
      <c r="H269">
        <v>28.91998346010287</v>
      </c>
      <c r="I269">
        <v>2</v>
      </c>
      <c r="J269">
        <v>7</v>
      </c>
      <c r="K269">
        <v>7</v>
      </c>
      <c r="L269">
        <v>0</v>
      </c>
      <c r="M269">
        <v>8</v>
      </c>
      <c r="N269">
        <v>7</v>
      </c>
      <c r="O269">
        <v>1</v>
      </c>
      <c r="P269">
        <v>9</v>
      </c>
      <c r="Q269">
        <v>2</v>
      </c>
      <c r="R269">
        <v>7</v>
      </c>
      <c r="S269">
        <v>10</v>
      </c>
      <c r="T269">
        <v>7</v>
      </c>
      <c r="U269">
        <v>3</v>
      </c>
      <c r="V269">
        <v>8</v>
      </c>
      <c r="W269">
        <v>7</v>
      </c>
      <c r="X269">
        <v>1</v>
      </c>
      <c r="Y269">
        <v>9</v>
      </c>
      <c r="Z269">
        <v>7</v>
      </c>
      <c r="AA269">
        <v>2</v>
      </c>
      <c r="AB269">
        <v>8</v>
      </c>
      <c r="AC269">
        <v>7</v>
      </c>
      <c r="AD269">
        <v>1</v>
      </c>
      <c r="AE269">
        <v>9</v>
      </c>
      <c r="AF269">
        <v>7</v>
      </c>
      <c r="AG269">
        <v>2</v>
      </c>
      <c r="AH269">
        <v>9</v>
      </c>
      <c r="AI269">
        <v>7</v>
      </c>
      <c r="AJ269">
        <v>2</v>
      </c>
      <c r="AK269" t="s">
        <v>2732</v>
      </c>
      <c r="AL269" t="s">
        <v>2733</v>
      </c>
      <c r="AM269" t="s">
        <v>2734</v>
      </c>
      <c r="AN269" t="s">
        <v>2735</v>
      </c>
      <c r="AO269" t="s">
        <v>2736</v>
      </c>
      <c r="AP269" t="s">
        <v>2737</v>
      </c>
      <c r="AQ269" t="s">
        <v>2738</v>
      </c>
      <c r="AR269" t="s">
        <v>2739</v>
      </c>
      <c r="AS269" t="s">
        <v>2740</v>
      </c>
    </row>
    <row r="270" spans="1:45" x14ac:dyDescent="0.45">
      <c r="A270">
        <v>269</v>
      </c>
      <c r="B270">
        <v>310</v>
      </c>
      <c r="C270" t="s">
        <v>73</v>
      </c>
      <c r="D270" t="s">
        <v>74</v>
      </c>
      <c r="E270" t="s">
        <v>69</v>
      </c>
      <c r="F270" t="s">
        <v>70</v>
      </c>
      <c r="G270" t="s">
        <v>71</v>
      </c>
      <c r="H270">
        <v>86.24176125121042</v>
      </c>
      <c r="I270">
        <v>4</v>
      </c>
      <c r="J270">
        <v>8</v>
      </c>
      <c r="K270">
        <v>4</v>
      </c>
      <c r="L270">
        <v>4</v>
      </c>
      <c r="M270">
        <v>8</v>
      </c>
      <c r="N270">
        <v>5</v>
      </c>
      <c r="O270">
        <v>3</v>
      </c>
      <c r="P270">
        <v>9</v>
      </c>
      <c r="Q270">
        <v>2</v>
      </c>
      <c r="R270">
        <v>7</v>
      </c>
      <c r="S270">
        <v>9</v>
      </c>
      <c r="T270">
        <v>6</v>
      </c>
      <c r="U270">
        <v>3</v>
      </c>
      <c r="V270">
        <v>7</v>
      </c>
      <c r="W270">
        <v>3</v>
      </c>
      <c r="X270">
        <v>4</v>
      </c>
      <c r="Y270">
        <v>7</v>
      </c>
      <c r="Z270">
        <v>3</v>
      </c>
      <c r="AA270">
        <v>4</v>
      </c>
      <c r="AB270">
        <v>6</v>
      </c>
      <c r="AC270">
        <v>1</v>
      </c>
      <c r="AD270">
        <v>5</v>
      </c>
      <c r="AE270">
        <v>7</v>
      </c>
      <c r="AF270">
        <v>3</v>
      </c>
      <c r="AG270">
        <v>4</v>
      </c>
      <c r="AH270">
        <v>8</v>
      </c>
      <c r="AI270">
        <v>1</v>
      </c>
      <c r="AJ270">
        <v>7</v>
      </c>
      <c r="AK270" t="s">
        <v>2741</v>
      </c>
      <c r="AL270" t="s">
        <v>2742</v>
      </c>
      <c r="AM270" t="s">
        <v>2743</v>
      </c>
      <c r="AN270" t="s">
        <v>2744</v>
      </c>
      <c r="AO270" t="s">
        <v>2745</v>
      </c>
      <c r="AP270" t="s">
        <v>2746</v>
      </c>
      <c r="AQ270" t="s">
        <v>2747</v>
      </c>
      <c r="AR270" t="s">
        <v>2748</v>
      </c>
      <c r="AS270" t="s">
        <v>2749</v>
      </c>
    </row>
    <row r="271" spans="1:45" x14ac:dyDescent="0.45">
      <c r="A271">
        <v>270</v>
      </c>
      <c r="B271">
        <v>311</v>
      </c>
      <c r="C271" t="s">
        <v>67</v>
      </c>
      <c r="D271" t="s">
        <v>68</v>
      </c>
      <c r="E271" t="s">
        <v>69</v>
      </c>
      <c r="F271" t="s">
        <v>70</v>
      </c>
      <c r="G271" t="s">
        <v>157</v>
      </c>
      <c r="H271">
        <v>67.77050871738534</v>
      </c>
      <c r="I271">
        <v>0</v>
      </c>
      <c r="J271">
        <v>5</v>
      </c>
      <c r="K271">
        <v>8</v>
      </c>
      <c r="L271">
        <v>-3</v>
      </c>
      <c r="M271">
        <v>6</v>
      </c>
      <c r="N271">
        <v>8</v>
      </c>
      <c r="O271">
        <v>-2</v>
      </c>
      <c r="P271">
        <v>9</v>
      </c>
      <c r="Q271">
        <v>3</v>
      </c>
      <c r="R271">
        <v>6</v>
      </c>
      <c r="S271">
        <v>8</v>
      </c>
      <c r="T271">
        <v>8</v>
      </c>
      <c r="U271">
        <v>0</v>
      </c>
      <c r="V271">
        <v>7</v>
      </c>
      <c r="W271">
        <v>3</v>
      </c>
      <c r="X271">
        <v>4</v>
      </c>
      <c r="Y271">
        <v>9</v>
      </c>
      <c r="Z271">
        <v>1</v>
      </c>
      <c r="AA271">
        <v>8</v>
      </c>
      <c r="AB271">
        <v>8</v>
      </c>
      <c r="AC271">
        <v>8</v>
      </c>
      <c r="AD271">
        <v>0</v>
      </c>
      <c r="AE271">
        <v>7</v>
      </c>
      <c r="AF271">
        <v>6</v>
      </c>
      <c r="AG271">
        <v>1</v>
      </c>
      <c r="AH271">
        <v>9</v>
      </c>
      <c r="AI271">
        <v>7</v>
      </c>
      <c r="AJ271">
        <v>2</v>
      </c>
      <c r="AK271" t="s">
        <v>541</v>
      </c>
      <c r="AL271" t="s">
        <v>2750</v>
      </c>
      <c r="AM271" t="s">
        <v>2751</v>
      </c>
      <c r="AN271" t="s">
        <v>2752</v>
      </c>
      <c r="AO271" t="s">
        <v>2753</v>
      </c>
      <c r="AP271" t="s">
        <v>2754</v>
      </c>
      <c r="AQ271" t="s">
        <v>2755</v>
      </c>
      <c r="AR271" t="s">
        <v>2756</v>
      </c>
      <c r="AS271" t="s">
        <v>2757</v>
      </c>
    </row>
    <row r="272" spans="1:45" x14ac:dyDescent="0.45">
      <c r="A272">
        <v>271</v>
      </c>
      <c r="B272">
        <v>312</v>
      </c>
      <c r="C272" t="s">
        <v>67</v>
      </c>
      <c r="D272" t="s">
        <v>68</v>
      </c>
      <c r="E272" t="s">
        <v>69</v>
      </c>
      <c r="F272" t="s">
        <v>70</v>
      </c>
      <c r="G272" t="s">
        <v>71</v>
      </c>
      <c r="H272">
        <v>56.8895451578394</v>
      </c>
      <c r="I272">
        <v>2</v>
      </c>
      <c r="J272">
        <v>9</v>
      </c>
      <c r="K272">
        <v>7</v>
      </c>
      <c r="L272">
        <v>2</v>
      </c>
      <c r="M272">
        <v>8</v>
      </c>
      <c r="N272">
        <v>7</v>
      </c>
      <c r="O272">
        <v>1</v>
      </c>
      <c r="P272">
        <v>9</v>
      </c>
      <c r="Q272">
        <v>4</v>
      </c>
      <c r="R272">
        <v>5</v>
      </c>
      <c r="S272">
        <v>8</v>
      </c>
      <c r="T272">
        <v>7</v>
      </c>
      <c r="U272">
        <v>1</v>
      </c>
      <c r="V272">
        <v>9</v>
      </c>
      <c r="W272">
        <v>7</v>
      </c>
      <c r="X272">
        <v>2</v>
      </c>
      <c r="Y272">
        <v>8</v>
      </c>
      <c r="Z272">
        <v>6</v>
      </c>
      <c r="AA272">
        <v>2</v>
      </c>
      <c r="AB272">
        <v>9</v>
      </c>
      <c r="AC272">
        <v>5</v>
      </c>
      <c r="AD272">
        <v>4</v>
      </c>
      <c r="AE272">
        <v>8</v>
      </c>
      <c r="AF272">
        <v>7</v>
      </c>
      <c r="AG272">
        <v>1</v>
      </c>
      <c r="AH272">
        <v>9</v>
      </c>
      <c r="AI272">
        <v>6</v>
      </c>
      <c r="AJ272">
        <v>3</v>
      </c>
      <c r="AK272" t="s">
        <v>780</v>
      </c>
      <c r="AL272" t="s">
        <v>2758</v>
      </c>
      <c r="AM272" t="s">
        <v>2759</v>
      </c>
      <c r="AN272" t="s">
        <v>2760</v>
      </c>
      <c r="AO272" t="s">
        <v>2761</v>
      </c>
      <c r="AP272" t="s">
        <v>2762</v>
      </c>
      <c r="AQ272" t="s">
        <v>2763</v>
      </c>
      <c r="AR272" t="s">
        <v>2764</v>
      </c>
      <c r="AS272" t="s">
        <v>2765</v>
      </c>
    </row>
    <row r="273" spans="1:45" x14ac:dyDescent="0.45">
      <c r="A273">
        <v>272</v>
      </c>
      <c r="B273">
        <v>313</v>
      </c>
      <c r="C273" t="s">
        <v>73</v>
      </c>
      <c r="D273" t="s">
        <v>68</v>
      </c>
      <c r="E273" t="s">
        <v>69</v>
      </c>
      <c r="F273" t="s">
        <v>72</v>
      </c>
      <c r="G273" t="s">
        <v>71</v>
      </c>
      <c r="H273">
        <v>36.279781845072534</v>
      </c>
      <c r="I273">
        <v>1</v>
      </c>
      <c r="J273">
        <v>7</v>
      </c>
      <c r="K273">
        <v>7</v>
      </c>
      <c r="L273">
        <v>0</v>
      </c>
      <c r="M273">
        <v>8</v>
      </c>
      <c r="N273">
        <v>8</v>
      </c>
      <c r="O273">
        <v>0</v>
      </c>
      <c r="P273">
        <v>9</v>
      </c>
      <c r="Q273">
        <v>2</v>
      </c>
      <c r="R273">
        <v>7</v>
      </c>
      <c r="S273">
        <v>8</v>
      </c>
      <c r="T273">
        <v>6</v>
      </c>
      <c r="U273">
        <v>2</v>
      </c>
      <c r="V273">
        <v>9</v>
      </c>
      <c r="W273">
        <v>6</v>
      </c>
      <c r="X273">
        <v>3</v>
      </c>
      <c r="Y273">
        <v>8</v>
      </c>
      <c r="Z273">
        <v>6</v>
      </c>
      <c r="AA273">
        <v>2</v>
      </c>
      <c r="AB273">
        <v>9</v>
      </c>
      <c r="AC273">
        <v>5</v>
      </c>
      <c r="AD273">
        <v>4</v>
      </c>
      <c r="AE273">
        <v>8</v>
      </c>
      <c r="AF273">
        <v>5</v>
      </c>
      <c r="AG273">
        <v>3</v>
      </c>
      <c r="AH273">
        <v>9</v>
      </c>
      <c r="AI273">
        <v>6</v>
      </c>
      <c r="AJ273">
        <v>3</v>
      </c>
      <c r="AK273" t="s">
        <v>2766</v>
      </c>
      <c r="AL273" t="s">
        <v>2767</v>
      </c>
      <c r="AM273" t="s">
        <v>2768</v>
      </c>
      <c r="AN273" t="s">
        <v>2769</v>
      </c>
      <c r="AO273" t="s">
        <v>2770</v>
      </c>
      <c r="AP273" t="s">
        <v>2771</v>
      </c>
      <c r="AQ273" t="s">
        <v>2772</v>
      </c>
      <c r="AR273" t="s">
        <v>2773</v>
      </c>
      <c r="AS273" t="s">
        <v>2774</v>
      </c>
    </row>
    <row r="274" spans="1:45" x14ac:dyDescent="0.45">
      <c r="A274">
        <v>273</v>
      </c>
      <c r="B274">
        <v>314</v>
      </c>
      <c r="C274" t="s">
        <v>67</v>
      </c>
      <c r="D274" t="s">
        <v>187</v>
      </c>
      <c r="E274" t="s">
        <v>69</v>
      </c>
      <c r="F274" t="s">
        <v>70</v>
      </c>
      <c r="G274" t="s">
        <v>71</v>
      </c>
      <c r="H274">
        <v>70.906460480728072</v>
      </c>
      <c r="I274">
        <v>4</v>
      </c>
      <c r="J274">
        <v>7</v>
      </c>
      <c r="K274">
        <v>3</v>
      </c>
      <c r="L274">
        <v>4</v>
      </c>
      <c r="M274">
        <v>8</v>
      </c>
      <c r="N274">
        <v>3</v>
      </c>
      <c r="O274">
        <v>5</v>
      </c>
      <c r="P274">
        <v>9</v>
      </c>
      <c r="Q274">
        <v>1</v>
      </c>
      <c r="R274">
        <v>8</v>
      </c>
      <c r="S274">
        <v>10</v>
      </c>
      <c r="T274">
        <v>6</v>
      </c>
      <c r="U274">
        <v>4</v>
      </c>
      <c r="V274">
        <v>7</v>
      </c>
      <c r="W274">
        <v>1</v>
      </c>
      <c r="X274">
        <v>6</v>
      </c>
      <c r="Y274">
        <v>9</v>
      </c>
      <c r="Z274">
        <v>1</v>
      </c>
      <c r="AA274">
        <v>8</v>
      </c>
      <c r="AB274">
        <v>8</v>
      </c>
      <c r="AC274">
        <v>1</v>
      </c>
      <c r="AD274">
        <v>7</v>
      </c>
      <c r="AE274">
        <v>7</v>
      </c>
      <c r="AF274">
        <v>1</v>
      </c>
      <c r="AG274">
        <v>6</v>
      </c>
      <c r="AH274">
        <v>8</v>
      </c>
      <c r="AI274">
        <v>1</v>
      </c>
      <c r="AJ274">
        <v>7</v>
      </c>
      <c r="AK274" t="s">
        <v>2775</v>
      </c>
      <c r="AL274" t="s">
        <v>2776</v>
      </c>
      <c r="AM274" t="s">
        <v>2777</v>
      </c>
      <c r="AN274" t="s">
        <v>2778</v>
      </c>
      <c r="AO274" t="s">
        <v>2779</v>
      </c>
      <c r="AP274" t="s">
        <v>2780</v>
      </c>
      <c r="AQ274" t="s">
        <v>2781</v>
      </c>
      <c r="AR274" t="s">
        <v>2782</v>
      </c>
      <c r="AS274" t="s">
        <v>2783</v>
      </c>
    </row>
    <row r="275" spans="1:45" x14ac:dyDescent="0.45">
      <c r="A275">
        <v>274</v>
      </c>
      <c r="B275">
        <v>315</v>
      </c>
      <c r="C275" t="s">
        <v>67</v>
      </c>
      <c r="D275" t="s">
        <v>68</v>
      </c>
      <c r="E275" t="s">
        <v>69</v>
      </c>
      <c r="F275" t="s">
        <v>72</v>
      </c>
      <c r="G275" t="s">
        <v>71</v>
      </c>
      <c r="H275">
        <v>66.585178249267827</v>
      </c>
      <c r="I275">
        <v>2</v>
      </c>
      <c r="J275">
        <v>7</v>
      </c>
      <c r="K275">
        <v>6</v>
      </c>
      <c r="L275">
        <v>1</v>
      </c>
      <c r="M275">
        <v>9</v>
      </c>
      <c r="N275">
        <v>6</v>
      </c>
      <c r="O275">
        <v>3</v>
      </c>
      <c r="P275">
        <v>8</v>
      </c>
      <c r="Q275">
        <v>5</v>
      </c>
      <c r="R275">
        <v>3</v>
      </c>
      <c r="S275">
        <v>9</v>
      </c>
      <c r="T275">
        <v>6</v>
      </c>
      <c r="U275">
        <v>3</v>
      </c>
      <c r="V275">
        <v>8</v>
      </c>
      <c r="W275">
        <v>6</v>
      </c>
      <c r="X275">
        <v>2</v>
      </c>
      <c r="Y275">
        <v>9</v>
      </c>
      <c r="Z275">
        <v>6</v>
      </c>
      <c r="AA275">
        <v>3</v>
      </c>
      <c r="AB275">
        <v>8</v>
      </c>
      <c r="AC275">
        <v>6</v>
      </c>
      <c r="AD275">
        <v>2</v>
      </c>
      <c r="AE275">
        <v>9</v>
      </c>
      <c r="AF275">
        <v>6</v>
      </c>
      <c r="AG275">
        <v>3</v>
      </c>
      <c r="AH275">
        <v>10</v>
      </c>
      <c r="AI275">
        <v>6</v>
      </c>
      <c r="AJ275">
        <v>4</v>
      </c>
      <c r="AK275" t="s">
        <v>2784</v>
      </c>
      <c r="AL275" t="s">
        <v>2785</v>
      </c>
      <c r="AM275" t="s">
        <v>2786</v>
      </c>
      <c r="AN275" t="s">
        <v>2787</v>
      </c>
      <c r="AO275" t="s">
        <v>2788</v>
      </c>
      <c r="AP275" t="s">
        <v>2789</v>
      </c>
      <c r="AQ275" t="s">
        <v>2790</v>
      </c>
      <c r="AR275" t="s">
        <v>2791</v>
      </c>
      <c r="AS275" t="s">
        <v>2792</v>
      </c>
    </row>
    <row r="276" spans="1:45" x14ac:dyDescent="0.45">
      <c r="A276">
        <v>275</v>
      </c>
      <c r="B276">
        <v>316</v>
      </c>
      <c r="C276" t="s">
        <v>67</v>
      </c>
      <c r="D276" t="s">
        <v>74</v>
      </c>
      <c r="E276" t="s">
        <v>69</v>
      </c>
      <c r="F276" t="s">
        <v>70</v>
      </c>
      <c r="G276" t="s">
        <v>71</v>
      </c>
      <c r="H276">
        <v>57.93954691548533</v>
      </c>
      <c r="I276">
        <v>2</v>
      </c>
      <c r="J276">
        <v>8</v>
      </c>
      <c r="K276">
        <v>8</v>
      </c>
      <c r="L276">
        <v>0</v>
      </c>
      <c r="M276">
        <v>9</v>
      </c>
      <c r="N276">
        <v>9</v>
      </c>
      <c r="O276">
        <v>0</v>
      </c>
      <c r="P276">
        <v>9</v>
      </c>
      <c r="Q276">
        <v>5</v>
      </c>
      <c r="R276">
        <v>4</v>
      </c>
      <c r="S276">
        <v>10</v>
      </c>
      <c r="T276">
        <v>7</v>
      </c>
      <c r="U276">
        <v>3</v>
      </c>
      <c r="V276">
        <v>9</v>
      </c>
      <c r="W276">
        <v>6</v>
      </c>
      <c r="X276">
        <v>3</v>
      </c>
      <c r="Y276">
        <v>9</v>
      </c>
      <c r="Z276">
        <v>7</v>
      </c>
      <c r="AA276">
        <v>2</v>
      </c>
      <c r="AB276">
        <v>8</v>
      </c>
      <c r="AC276">
        <v>7</v>
      </c>
      <c r="AD276">
        <v>1</v>
      </c>
      <c r="AE276">
        <v>9</v>
      </c>
      <c r="AF276">
        <v>7</v>
      </c>
      <c r="AG276">
        <v>2</v>
      </c>
      <c r="AH276">
        <v>9</v>
      </c>
      <c r="AI276">
        <v>7</v>
      </c>
      <c r="AJ276">
        <v>2</v>
      </c>
      <c r="AK276" t="s">
        <v>2793</v>
      </c>
      <c r="AL276" t="s">
        <v>2794</v>
      </c>
      <c r="AM276" t="s">
        <v>2795</v>
      </c>
      <c r="AN276" t="s">
        <v>2796</v>
      </c>
      <c r="AO276" t="s">
        <v>2797</v>
      </c>
      <c r="AP276" t="s">
        <v>2798</v>
      </c>
      <c r="AQ276" t="s">
        <v>2799</v>
      </c>
      <c r="AR276" t="s">
        <v>2800</v>
      </c>
      <c r="AS276" t="s">
        <v>2801</v>
      </c>
    </row>
    <row r="277" spans="1:45" x14ac:dyDescent="0.45">
      <c r="A277">
        <v>276</v>
      </c>
      <c r="B277">
        <v>317</v>
      </c>
      <c r="C277" t="s">
        <v>73</v>
      </c>
      <c r="D277" t="s">
        <v>68</v>
      </c>
      <c r="E277" t="s">
        <v>69</v>
      </c>
      <c r="F277" t="s">
        <v>72</v>
      </c>
      <c r="G277" t="s">
        <v>71</v>
      </c>
      <c r="H277">
        <v>43.864927887446235</v>
      </c>
      <c r="I277">
        <v>1</v>
      </c>
      <c r="J277">
        <v>8</v>
      </c>
      <c r="K277">
        <v>6</v>
      </c>
      <c r="L277">
        <v>2</v>
      </c>
      <c r="M277">
        <v>9</v>
      </c>
      <c r="N277">
        <v>6</v>
      </c>
      <c r="O277">
        <v>3</v>
      </c>
      <c r="P277">
        <v>7</v>
      </c>
      <c r="Q277">
        <v>3</v>
      </c>
      <c r="R277">
        <v>4</v>
      </c>
      <c r="S277">
        <v>8</v>
      </c>
      <c r="T277">
        <v>7</v>
      </c>
      <c r="U277">
        <v>1</v>
      </c>
      <c r="V277">
        <v>9</v>
      </c>
      <c r="W277">
        <v>7</v>
      </c>
      <c r="X277">
        <v>2</v>
      </c>
      <c r="Y277">
        <v>8</v>
      </c>
      <c r="Z277">
        <v>7</v>
      </c>
      <c r="AA277">
        <v>1</v>
      </c>
      <c r="AB277">
        <v>9</v>
      </c>
      <c r="AC277">
        <v>5</v>
      </c>
      <c r="AD277">
        <v>4</v>
      </c>
      <c r="AE277">
        <v>8</v>
      </c>
      <c r="AF277">
        <v>7</v>
      </c>
      <c r="AG277">
        <v>1</v>
      </c>
      <c r="AH277">
        <v>9</v>
      </c>
      <c r="AI277">
        <v>7</v>
      </c>
      <c r="AJ277">
        <v>2</v>
      </c>
      <c r="AK277" t="s">
        <v>542</v>
      </c>
      <c r="AL277" t="s">
        <v>781</v>
      </c>
      <c r="AM277" t="s">
        <v>782</v>
      </c>
      <c r="AN277" t="s">
        <v>783</v>
      </c>
      <c r="AO277" t="s">
        <v>784</v>
      </c>
      <c r="AP277" t="s">
        <v>2802</v>
      </c>
      <c r="AQ277" t="s">
        <v>2803</v>
      </c>
      <c r="AR277" t="s">
        <v>2804</v>
      </c>
      <c r="AS277" t="s">
        <v>2805</v>
      </c>
    </row>
    <row r="278" spans="1:45" x14ac:dyDescent="0.45">
      <c r="A278">
        <v>277</v>
      </c>
      <c r="B278">
        <v>318</v>
      </c>
      <c r="C278" t="s">
        <v>67</v>
      </c>
      <c r="D278" t="s">
        <v>74</v>
      </c>
      <c r="E278" t="s">
        <v>69</v>
      </c>
      <c r="F278" t="s">
        <v>72</v>
      </c>
      <c r="G278" t="s">
        <v>71</v>
      </c>
      <c r="H278">
        <v>90.62189932755696</v>
      </c>
      <c r="I278">
        <v>4</v>
      </c>
      <c r="J278">
        <v>8</v>
      </c>
      <c r="K278">
        <v>8</v>
      </c>
      <c r="L278">
        <v>0</v>
      </c>
      <c r="M278">
        <v>7</v>
      </c>
      <c r="N278">
        <v>8</v>
      </c>
      <c r="O278">
        <v>-1</v>
      </c>
      <c r="P278">
        <v>9</v>
      </c>
      <c r="Q278">
        <v>6</v>
      </c>
      <c r="R278">
        <v>3</v>
      </c>
      <c r="S278">
        <v>8</v>
      </c>
      <c r="T278">
        <v>7</v>
      </c>
      <c r="U278">
        <v>1</v>
      </c>
      <c r="V278">
        <v>9</v>
      </c>
      <c r="W278">
        <v>7</v>
      </c>
      <c r="X278">
        <v>2</v>
      </c>
      <c r="Y278">
        <v>8</v>
      </c>
      <c r="Z278">
        <v>4</v>
      </c>
      <c r="AA278">
        <v>4</v>
      </c>
      <c r="AB278">
        <v>9</v>
      </c>
      <c r="AC278">
        <v>5</v>
      </c>
      <c r="AD278">
        <v>4</v>
      </c>
      <c r="AE278">
        <v>7</v>
      </c>
      <c r="AF278">
        <v>5</v>
      </c>
      <c r="AG278">
        <v>2</v>
      </c>
      <c r="AH278">
        <v>9</v>
      </c>
      <c r="AI278">
        <v>5</v>
      </c>
      <c r="AJ278">
        <v>4</v>
      </c>
      <c r="AK278" t="s">
        <v>543</v>
      </c>
      <c r="AL278" t="s">
        <v>2806</v>
      </c>
      <c r="AM278" t="s">
        <v>2807</v>
      </c>
      <c r="AN278" t="s">
        <v>2808</v>
      </c>
      <c r="AO278" t="s">
        <v>2809</v>
      </c>
      <c r="AP278" t="s">
        <v>2810</v>
      </c>
      <c r="AQ278" t="s">
        <v>2811</v>
      </c>
      <c r="AR278" t="s">
        <v>2812</v>
      </c>
      <c r="AS278" t="s">
        <v>2813</v>
      </c>
    </row>
    <row r="279" spans="1:45" x14ac:dyDescent="0.45">
      <c r="A279">
        <v>278</v>
      </c>
      <c r="B279">
        <v>319</v>
      </c>
      <c r="C279" t="s">
        <v>67</v>
      </c>
      <c r="D279" t="s">
        <v>68</v>
      </c>
      <c r="E279" t="s">
        <v>69</v>
      </c>
      <c r="F279" t="s">
        <v>72</v>
      </c>
      <c r="G279" t="s">
        <v>71</v>
      </c>
      <c r="H279">
        <v>66.55597708399209</v>
      </c>
      <c r="I279">
        <v>3</v>
      </c>
      <c r="J279">
        <v>7</v>
      </c>
      <c r="K279">
        <v>6</v>
      </c>
      <c r="L279">
        <v>1</v>
      </c>
      <c r="M279">
        <v>8</v>
      </c>
      <c r="N279">
        <v>7</v>
      </c>
      <c r="O279">
        <v>1</v>
      </c>
      <c r="P279">
        <v>9</v>
      </c>
      <c r="Q279">
        <v>5</v>
      </c>
      <c r="R279">
        <v>4</v>
      </c>
      <c r="S279">
        <v>9</v>
      </c>
      <c r="T279">
        <v>7</v>
      </c>
      <c r="U279">
        <v>2</v>
      </c>
      <c r="V279">
        <v>8</v>
      </c>
      <c r="W279">
        <v>6</v>
      </c>
      <c r="X279">
        <v>2</v>
      </c>
      <c r="Y279">
        <v>9</v>
      </c>
      <c r="Z279">
        <v>6</v>
      </c>
      <c r="AA279">
        <v>3</v>
      </c>
      <c r="AB279">
        <v>8</v>
      </c>
      <c r="AC279">
        <v>6</v>
      </c>
      <c r="AD279">
        <v>2</v>
      </c>
      <c r="AE279">
        <v>9</v>
      </c>
      <c r="AF279">
        <v>6</v>
      </c>
      <c r="AG279">
        <v>3</v>
      </c>
      <c r="AH279">
        <v>10</v>
      </c>
      <c r="AI279">
        <v>6</v>
      </c>
      <c r="AJ279">
        <v>4</v>
      </c>
      <c r="AK279" t="s">
        <v>2814</v>
      </c>
      <c r="AL279" t="s">
        <v>2815</v>
      </c>
      <c r="AM279" t="s">
        <v>2816</v>
      </c>
      <c r="AN279" t="s">
        <v>2817</v>
      </c>
      <c r="AO279" t="s">
        <v>2818</v>
      </c>
      <c r="AP279" t="s">
        <v>2819</v>
      </c>
      <c r="AQ279" t="s">
        <v>2820</v>
      </c>
      <c r="AR279" t="s">
        <v>2821</v>
      </c>
      <c r="AS279" t="s">
        <v>245</v>
      </c>
    </row>
    <row r="280" spans="1:45" x14ac:dyDescent="0.45">
      <c r="A280">
        <v>279</v>
      </c>
      <c r="B280">
        <v>320</v>
      </c>
      <c r="C280" t="s">
        <v>73</v>
      </c>
      <c r="D280" t="s">
        <v>68</v>
      </c>
      <c r="E280" t="s">
        <v>69</v>
      </c>
      <c r="F280" t="s">
        <v>70</v>
      </c>
      <c r="G280" t="s">
        <v>157</v>
      </c>
      <c r="H280">
        <v>81.512302712743661</v>
      </c>
      <c r="I280">
        <v>0</v>
      </c>
      <c r="J280">
        <v>7</v>
      </c>
      <c r="K280">
        <v>6</v>
      </c>
      <c r="L280">
        <v>1</v>
      </c>
      <c r="M280">
        <v>8</v>
      </c>
      <c r="N280">
        <v>7</v>
      </c>
      <c r="O280">
        <v>1</v>
      </c>
      <c r="P280">
        <v>6</v>
      </c>
      <c r="Q280">
        <v>5</v>
      </c>
      <c r="R280">
        <v>1</v>
      </c>
      <c r="S280">
        <v>9</v>
      </c>
      <c r="T280">
        <v>8</v>
      </c>
      <c r="U280">
        <v>1</v>
      </c>
      <c r="V280">
        <v>7</v>
      </c>
      <c r="W280">
        <v>6</v>
      </c>
      <c r="X280">
        <v>1</v>
      </c>
      <c r="Y280">
        <v>9</v>
      </c>
      <c r="Z280">
        <v>3</v>
      </c>
      <c r="AA280">
        <v>6</v>
      </c>
      <c r="AB280">
        <v>6</v>
      </c>
      <c r="AC280">
        <v>6</v>
      </c>
      <c r="AD280">
        <v>0</v>
      </c>
      <c r="AE280">
        <v>7</v>
      </c>
      <c r="AF280">
        <v>8</v>
      </c>
      <c r="AG280">
        <v>-1</v>
      </c>
      <c r="AH280">
        <v>9</v>
      </c>
      <c r="AI280">
        <v>6</v>
      </c>
      <c r="AJ280">
        <v>3</v>
      </c>
      <c r="AK280" t="s">
        <v>2822</v>
      </c>
      <c r="AL280" t="s">
        <v>2823</v>
      </c>
      <c r="AM280" t="s">
        <v>2824</v>
      </c>
      <c r="AN280" t="s">
        <v>2825</v>
      </c>
      <c r="AO280" t="s">
        <v>2826</v>
      </c>
      <c r="AP280" t="s">
        <v>2827</v>
      </c>
      <c r="AQ280" t="s">
        <v>2828</v>
      </c>
      <c r="AR280" t="s">
        <v>2829</v>
      </c>
      <c r="AS280" t="s">
        <v>2830</v>
      </c>
    </row>
    <row r="281" spans="1:45" x14ac:dyDescent="0.45">
      <c r="A281">
        <v>280</v>
      </c>
      <c r="B281">
        <v>321</v>
      </c>
      <c r="C281" t="s">
        <v>67</v>
      </c>
      <c r="D281" t="s">
        <v>68</v>
      </c>
      <c r="E281" t="s">
        <v>69</v>
      </c>
      <c r="F281" t="s">
        <v>70</v>
      </c>
      <c r="G281" t="s">
        <v>71</v>
      </c>
      <c r="H281">
        <v>87.707786109528342</v>
      </c>
      <c r="I281">
        <v>2</v>
      </c>
      <c r="J281">
        <v>8</v>
      </c>
      <c r="K281">
        <v>4</v>
      </c>
      <c r="L281">
        <v>4</v>
      </c>
      <c r="M281">
        <v>9</v>
      </c>
      <c r="N281">
        <v>4</v>
      </c>
      <c r="O281">
        <v>5</v>
      </c>
      <c r="P281">
        <v>8</v>
      </c>
      <c r="Q281">
        <v>1</v>
      </c>
      <c r="R281">
        <v>7</v>
      </c>
      <c r="S281">
        <v>9</v>
      </c>
      <c r="T281">
        <v>6</v>
      </c>
      <c r="U281">
        <v>3</v>
      </c>
      <c r="V281">
        <v>8</v>
      </c>
      <c r="W281">
        <v>3</v>
      </c>
      <c r="X281">
        <v>5</v>
      </c>
      <c r="Y281">
        <v>9</v>
      </c>
      <c r="Z281">
        <v>2</v>
      </c>
      <c r="AA281">
        <v>7</v>
      </c>
      <c r="AB281">
        <v>8</v>
      </c>
      <c r="AC281">
        <v>1</v>
      </c>
      <c r="AD281">
        <v>7</v>
      </c>
      <c r="AE281">
        <v>9</v>
      </c>
      <c r="AF281">
        <v>5</v>
      </c>
      <c r="AG281">
        <v>4</v>
      </c>
      <c r="AH281">
        <v>8</v>
      </c>
      <c r="AI281">
        <v>4</v>
      </c>
      <c r="AJ281">
        <v>4</v>
      </c>
      <c r="AK281" t="s">
        <v>785</v>
      </c>
      <c r="AL281" t="s">
        <v>2831</v>
      </c>
      <c r="AM281" t="s">
        <v>2832</v>
      </c>
      <c r="AN281" t="s">
        <v>2833</v>
      </c>
      <c r="AO281" t="s">
        <v>2834</v>
      </c>
      <c r="AP281" t="s">
        <v>2835</v>
      </c>
      <c r="AQ281" t="s">
        <v>2836</v>
      </c>
      <c r="AR281" t="s">
        <v>2837</v>
      </c>
      <c r="AS281" t="s">
        <v>2838</v>
      </c>
    </row>
    <row r="282" spans="1:45" x14ac:dyDescent="0.45">
      <c r="A282">
        <v>281</v>
      </c>
      <c r="B282">
        <v>322</v>
      </c>
      <c r="C282" t="s">
        <v>67</v>
      </c>
      <c r="D282" t="s">
        <v>74</v>
      </c>
      <c r="E282" t="s">
        <v>69</v>
      </c>
      <c r="F282" t="s">
        <v>70</v>
      </c>
      <c r="G282" t="s">
        <v>71</v>
      </c>
      <c r="H282">
        <v>72.299069091868844</v>
      </c>
      <c r="I282">
        <v>3</v>
      </c>
      <c r="J282">
        <v>6</v>
      </c>
      <c r="K282">
        <v>6</v>
      </c>
      <c r="L282">
        <v>0</v>
      </c>
      <c r="M282">
        <v>7</v>
      </c>
      <c r="N282">
        <v>7</v>
      </c>
      <c r="O282">
        <v>0</v>
      </c>
      <c r="P282">
        <v>8</v>
      </c>
      <c r="Q282">
        <v>4</v>
      </c>
      <c r="R282">
        <v>4</v>
      </c>
      <c r="S282">
        <v>9</v>
      </c>
      <c r="T282">
        <v>8</v>
      </c>
      <c r="U282">
        <v>1</v>
      </c>
      <c r="V282">
        <v>6</v>
      </c>
      <c r="W282">
        <v>6</v>
      </c>
      <c r="X282">
        <v>0</v>
      </c>
      <c r="Y282">
        <v>8</v>
      </c>
      <c r="Z282">
        <v>6</v>
      </c>
      <c r="AA282">
        <v>2</v>
      </c>
      <c r="AB282">
        <v>7</v>
      </c>
      <c r="AC282">
        <v>5</v>
      </c>
      <c r="AD282">
        <v>2</v>
      </c>
      <c r="AE282">
        <v>8</v>
      </c>
      <c r="AF282">
        <v>7</v>
      </c>
      <c r="AG282">
        <v>1</v>
      </c>
      <c r="AH282">
        <v>9</v>
      </c>
      <c r="AI282">
        <v>6</v>
      </c>
      <c r="AJ282">
        <v>3</v>
      </c>
      <c r="AK282" t="s">
        <v>2839</v>
      </c>
      <c r="AL282" t="s">
        <v>2840</v>
      </c>
      <c r="AM282" t="s">
        <v>2841</v>
      </c>
      <c r="AN282" t="s">
        <v>2842</v>
      </c>
      <c r="AO282" t="s">
        <v>2843</v>
      </c>
      <c r="AP282" t="s">
        <v>2844</v>
      </c>
      <c r="AQ282" t="s">
        <v>2845</v>
      </c>
      <c r="AR282" t="s">
        <v>2846</v>
      </c>
      <c r="AS282" t="s">
        <v>2847</v>
      </c>
    </row>
    <row r="283" spans="1:45" x14ac:dyDescent="0.45">
      <c r="A283">
        <v>282</v>
      </c>
      <c r="B283">
        <v>323</v>
      </c>
      <c r="C283" t="s">
        <v>67</v>
      </c>
      <c r="D283" t="s">
        <v>189</v>
      </c>
      <c r="E283" t="s">
        <v>69</v>
      </c>
      <c r="F283" t="s">
        <v>70</v>
      </c>
      <c r="G283" t="s">
        <v>71</v>
      </c>
      <c r="H283">
        <v>200.51295478498065</v>
      </c>
      <c r="I283">
        <v>4</v>
      </c>
      <c r="J283">
        <v>7</v>
      </c>
      <c r="K283">
        <v>8</v>
      </c>
      <c r="L283">
        <v>-1</v>
      </c>
      <c r="M283">
        <v>8</v>
      </c>
      <c r="N283">
        <v>8</v>
      </c>
      <c r="O283">
        <v>0</v>
      </c>
      <c r="P283">
        <v>9</v>
      </c>
      <c r="Q283">
        <v>9</v>
      </c>
      <c r="R283">
        <v>0</v>
      </c>
      <c r="S283">
        <v>9</v>
      </c>
      <c r="T283">
        <v>9</v>
      </c>
      <c r="U283">
        <v>0</v>
      </c>
      <c r="V283">
        <v>8</v>
      </c>
      <c r="W283">
        <v>7</v>
      </c>
      <c r="X283">
        <v>1</v>
      </c>
      <c r="Y283">
        <v>9</v>
      </c>
      <c r="Z283">
        <v>8</v>
      </c>
      <c r="AA283">
        <v>1</v>
      </c>
      <c r="AB283">
        <v>8</v>
      </c>
      <c r="AC283">
        <v>8</v>
      </c>
      <c r="AD283">
        <v>0</v>
      </c>
      <c r="AE283">
        <v>7</v>
      </c>
      <c r="AF283">
        <v>8</v>
      </c>
      <c r="AG283">
        <v>-1</v>
      </c>
      <c r="AH283">
        <v>9</v>
      </c>
      <c r="AI283">
        <v>7</v>
      </c>
      <c r="AJ283">
        <v>2</v>
      </c>
      <c r="AK283" t="s">
        <v>544</v>
      </c>
      <c r="AL283" t="s">
        <v>545</v>
      </c>
      <c r="AM283" t="s">
        <v>546</v>
      </c>
      <c r="AN283" t="s">
        <v>2848</v>
      </c>
      <c r="AO283" t="s">
        <v>2849</v>
      </c>
      <c r="AP283" t="s">
        <v>2850</v>
      </c>
      <c r="AQ283" t="s">
        <v>2851</v>
      </c>
      <c r="AR283" t="s">
        <v>2852</v>
      </c>
      <c r="AS283" t="s">
        <v>2853</v>
      </c>
    </row>
    <row r="284" spans="1:45" x14ac:dyDescent="0.45">
      <c r="A284">
        <v>283</v>
      </c>
      <c r="B284">
        <v>324</v>
      </c>
      <c r="C284" t="s">
        <v>67</v>
      </c>
      <c r="D284" t="s">
        <v>74</v>
      </c>
      <c r="E284" t="s">
        <v>69</v>
      </c>
      <c r="F284" t="s">
        <v>72</v>
      </c>
      <c r="G284" t="s">
        <v>71</v>
      </c>
      <c r="H284">
        <v>60.057153881555116</v>
      </c>
      <c r="I284">
        <v>2</v>
      </c>
      <c r="J284">
        <v>8</v>
      </c>
      <c r="K284">
        <v>5</v>
      </c>
      <c r="L284">
        <v>3</v>
      </c>
      <c r="M284">
        <v>9</v>
      </c>
      <c r="N284">
        <v>5</v>
      </c>
      <c r="O284">
        <v>4</v>
      </c>
      <c r="P284">
        <v>8</v>
      </c>
      <c r="Q284">
        <v>2</v>
      </c>
      <c r="R284">
        <v>6</v>
      </c>
      <c r="S284">
        <v>9</v>
      </c>
      <c r="T284">
        <v>6</v>
      </c>
      <c r="U284">
        <v>3</v>
      </c>
      <c r="V284">
        <v>8</v>
      </c>
      <c r="W284">
        <v>5</v>
      </c>
      <c r="X284">
        <v>3</v>
      </c>
      <c r="Y284">
        <v>9</v>
      </c>
      <c r="Z284">
        <v>4</v>
      </c>
      <c r="AA284">
        <v>5</v>
      </c>
      <c r="AB284">
        <v>8</v>
      </c>
      <c r="AC284">
        <v>5</v>
      </c>
      <c r="AD284">
        <v>3</v>
      </c>
      <c r="AE284">
        <v>9</v>
      </c>
      <c r="AF284">
        <v>5</v>
      </c>
      <c r="AG284">
        <v>4</v>
      </c>
      <c r="AH284">
        <v>8</v>
      </c>
      <c r="AI284">
        <v>4</v>
      </c>
      <c r="AJ284">
        <v>4</v>
      </c>
      <c r="AK284" t="s">
        <v>2854</v>
      </c>
      <c r="AL284" t="s">
        <v>2855</v>
      </c>
      <c r="AM284" t="s">
        <v>2856</v>
      </c>
      <c r="AN284" t="s">
        <v>2857</v>
      </c>
      <c r="AO284" t="s">
        <v>2858</v>
      </c>
      <c r="AP284" t="s">
        <v>2859</v>
      </c>
      <c r="AQ284" t="s">
        <v>2860</v>
      </c>
      <c r="AR284" t="s">
        <v>2861</v>
      </c>
      <c r="AS284" t="s">
        <v>2862</v>
      </c>
    </row>
    <row r="285" spans="1:45" x14ac:dyDescent="0.45">
      <c r="A285">
        <v>284</v>
      </c>
      <c r="B285">
        <v>325</v>
      </c>
      <c r="C285" t="s">
        <v>73</v>
      </c>
      <c r="D285" t="s">
        <v>68</v>
      </c>
      <c r="E285" t="s">
        <v>69</v>
      </c>
      <c r="F285" t="s">
        <v>72</v>
      </c>
      <c r="G285" t="s">
        <v>71</v>
      </c>
      <c r="H285">
        <v>48.131815733884942</v>
      </c>
      <c r="I285">
        <v>2</v>
      </c>
      <c r="J285">
        <v>6</v>
      </c>
      <c r="K285">
        <v>7</v>
      </c>
      <c r="L285">
        <v>-1</v>
      </c>
      <c r="M285">
        <v>5</v>
      </c>
      <c r="N285">
        <v>7</v>
      </c>
      <c r="O285">
        <v>-2</v>
      </c>
      <c r="P285">
        <v>7</v>
      </c>
      <c r="Q285">
        <v>5</v>
      </c>
      <c r="R285">
        <v>2</v>
      </c>
      <c r="S285">
        <v>9</v>
      </c>
      <c r="T285">
        <v>7</v>
      </c>
      <c r="U285">
        <v>2</v>
      </c>
      <c r="V285">
        <v>6</v>
      </c>
      <c r="W285">
        <v>5</v>
      </c>
      <c r="X285">
        <v>1</v>
      </c>
      <c r="Y285">
        <v>8</v>
      </c>
      <c r="Z285">
        <v>6</v>
      </c>
      <c r="AA285">
        <v>2</v>
      </c>
      <c r="AB285">
        <v>7</v>
      </c>
      <c r="AC285">
        <v>5</v>
      </c>
      <c r="AD285">
        <v>2</v>
      </c>
      <c r="AE285">
        <v>8</v>
      </c>
      <c r="AF285">
        <v>7</v>
      </c>
      <c r="AG285">
        <v>1</v>
      </c>
      <c r="AH285">
        <v>9</v>
      </c>
      <c r="AI285">
        <v>6</v>
      </c>
      <c r="AJ285">
        <v>3</v>
      </c>
      <c r="AK285" t="s">
        <v>2863</v>
      </c>
      <c r="AL285" t="s">
        <v>2864</v>
      </c>
      <c r="AM285" t="s">
        <v>2865</v>
      </c>
      <c r="AN285" t="s">
        <v>2866</v>
      </c>
      <c r="AO285" t="s">
        <v>2867</v>
      </c>
      <c r="AP285" t="s">
        <v>2868</v>
      </c>
      <c r="AQ285" t="s">
        <v>2869</v>
      </c>
      <c r="AR285" t="s">
        <v>2870</v>
      </c>
      <c r="AS285" t="s">
        <v>2871</v>
      </c>
    </row>
    <row r="286" spans="1:45" x14ac:dyDescent="0.45">
      <c r="A286">
        <v>285</v>
      </c>
      <c r="B286">
        <v>326</v>
      </c>
      <c r="C286" t="s">
        <v>73</v>
      </c>
      <c r="D286" t="s">
        <v>187</v>
      </c>
      <c r="E286" t="s">
        <v>69</v>
      </c>
      <c r="F286" t="s">
        <v>72</v>
      </c>
      <c r="G286" t="s">
        <v>71</v>
      </c>
      <c r="H286">
        <v>78.325465725006566</v>
      </c>
      <c r="I286">
        <v>3</v>
      </c>
      <c r="J286">
        <v>7</v>
      </c>
      <c r="K286">
        <v>7</v>
      </c>
      <c r="L286">
        <v>0</v>
      </c>
      <c r="M286">
        <v>7</v>
      </c>
      <c r="N286">
        <v>7</v>
      </c>
      <c r="O286">
        <v>0</v>
      </c>
      <c r="P286">
        <v>9</v>
      </c>
      <c r="Q286">
        <v>5</v>
      </c>
      <c r="R286">
        <v>4</v>
      </c>
      <c r="S286">
        <v>8</v>
      </c>
      <c r="T286">
        <v>8</v>
      </c>
      <c r="U286">
        <v>0</v>
      </c>
      <c r="V286">
        <v>6</v>
      </c>
      <c r="W286">
        <v>6</v>
      </c>
      <c r="X286">
        <v>0</v>
      </c>
      <c r="Y286">
        <v>8</v>
      </c>
      <c r="Z286">
        <v>6</v>
      </c>
      <c r="AA286">
        <v>2</v>
      </c>
      <c r="AB286">
        <v>7</v>
      </c>
      <c r="AC286">
        <v>6</v>
      </c>
      <c r="AD286">
        <v>1</v>
      </c>
      <c r="AE286">
        <v>6</v>
      </c>
      <c r="AF286">
        <v>7</v>
      </c>
      <c r="AG286">
        <v>-1</v>
      </c>
      <c r="AH286">
        <v>9</v>
      </c>
      <c r="AI286">
        <v>7</v>
      </c>
      <c r="AJ286">
        <v>2</v>
      </c>
      <c r="AK286" t="s">
        <v>2872</v>
      </c>
      <c r="AL286" t="s">
        <v>2873</v>
      </c>
      <c r="AM286" t="s">
        <v>2874</v>
      </c>
      <c r="AN286" t="s">
        <v>2875</v>
      </c>
      <c r="AO286" t="s">
        <v>2876</v>
      </c>
      <c r="AP286" t="s">
        <v>2877</v>
      </c>
      <c r="AQ286" t="s">
        <v>2878</v>
      </c>
      <c r="AR286" t="s">
        <v>2879</v>
      </c>
      <c r="AS286" t="s">
        <v>2880</v>
      </c>
    </row>
    <row r="287" spans="1:45" x14ac:dyDescent="0.45">
      <c r="A287">
        <v>286</v>
      </c>
      <c r="B287">
        <v>327</v>
      </c>
      <c r="C287" t="s">
        <v>67</v>
      </c>
      <c r="D287" t="s">
        <v>68</v>
      </c>
      <c r="E287" t="s">
        <v>69</v>
      </c>
      <c r="F287" t="s">
        <v>72</v>
      </c>
      <c r="G287" t="s">
        <v>71</v>
      </c>
      <c r="H287">
        <v>43.35101758750227</v>
      </c>
      <c r="I287">
        <v>0</v>
      </c>
      <c r="J287">
        <v>7</v>
      </c>
      <c r="K287">
        <v>4</v>
      </c>
      <c r="L287">
        <v>3</v>
      </c>
      <c r="M287">
        <v>6</v>
      </c>
      <c r="N287">
        <v>4</v>
      </c>
      <c r="O287">
        <v>2</v>
      </c>
      <c r="P287">
        <v>8</v>
      </c>
      <c r="Q287">
        <v>2</v>
      </c>
      <c r="R287">
        <v>6</v>
      </c>
      <c r="S287">
        <v>9</v>
      </c>
      <c r="T287">
        <v>8</v>
      </c>
      <c r="U287">
        <v>1</v>
      </c>
      <c r="V287">
        <v>8</v>
      </c>
      <c r="W287">
        <v>5</v>
      </c>
      <c r="X287">
        <v>3</v>
      </c>
      <c r="Y287">
        <v>9</v>
      </c>
      <c r="Z287">
        <v>5</v>
      </c>
      <c r="AA287">
        <v>4</v>
      </c>
      <c r="AB287">
        <v>8</v>
      </c>
      <c r="AC287">
        <v>4</v>
      </c>
      <c r="AD287">
        <v>4</v>
      </c>
      <c r="AE287">
        <v>9</v>
      </c>
      <c r="AF287">
        <v>6</v>
      </c>
      <c r="AG287">
        <v>3</v>
      </c>
      <c r="AH287">
        <v>8</v>
      </c>
      <c r="AI287">
        <v>5</v>
      </c>
      <c r="AJ287">
        <v>3</v>
      </c>
      <c r="AK287" t="s">
        <v>2881</v>
      </c>
      <c r="AL287" t="s">
        <v>2882</v>
      </c>
      <c r="AM287" t="s">
        <v>2883</v>
      </c>
      <c r="AN287" t="s">
        <v>2884</v>
      </c>
      <c r="AO287" t="s">
        <v>2885</v>
      </c>
      <c r="AP287" t="s">
        <v>2886</v>
      </c>
      <c r="AQ287" t="s">
        <v>2887</v>
      </c>
      <c r="AR287" t="s">
        <v>2888</v>
      </c>
      <c r="AS287" t="s">
        <v>2889</v>
      </c>
    </row>
    <row r="288" spans="1:45" x14ac:dyDescent="0.45">
      <c r="A288">
        <v>287</v>
      </c>
      <c r="B288">
        <v>328</v>
      </c>
      <c r="C288" t="s">
        <v>67</v>
      </c>
      <c r="D288" t="s">
        <v>187</v>
      </c>
      <c r="E288" t="s">
        <v>69</v>
      </c>
      <c r="F288" t="s">
        <v>72</v>
      </c>
      <c r="G288" t="s">
        <v>71</v>
      </c>
      <c r="H288">
        <v>54.408141188033468</v>
      </c>
      <c r="I288">
        <v>4</v>
      </c>
      <c r="J288">
        <v>7</v>
      </c>
      <c r="K288">
        <v>10</v>
      </c>
      <c r="L288">
        <v>-3</v>
      </c>
      <c r="M288">
        <v>6</v>
      </c>
      <c r="N288">
        <v>10</v>
      </c>
      <c r="O288">
        <v>-4</v>
      </c>
      <c r="P288">
        <v>8</v>
      </c>
      <c r="Q288">
        <v>7</v>
      </c>
      <c r="R288">
        <v>1</v>
      </c>
      <c r="S288">
        <v>9</v>
      </c>
      <c r="T288">
        <v>7</v>
      </c>
      <c r="U288">
        <v>2</v>
      </c>
      <c r="V288">
        <v>7</v>
      </c>
      <c r="W288">
        <v>8</v>
      </c>
      <c r="X288">
        <v>-1</v>
      </c>
      <c r="Y288">
        <v>8</v>
      </c>
      <c r="Z288">
        <v>7</v>
      </c>
      <c r="AA288">
        <v>1</v>
      </c>
      <c r="AB288">
        <v>7</v>
      </c>
      <c r="AC288">
        <v>8</v>
      </c>
      <c r="AD288">
        <v>-1</v>
      </c>
      <c r="AE288">
        <v>8</v>
      </c>
      <c r="AF288">
        <v>8</v>
      </c>
      <c r="AG288">
        <v>0</v>
      </c>
      <c r="AH288">
        <v>8</v>
      </c>
      <c r="AI288">
        <v>8</v>
      </c>
      <c r="AJ288">
        <v>0</v>
      </c>
      <c r="AK288" t="s">
        <v>547</v>
      </c>
      <c r="AL288" t="s">
        <v>548</v>
      </c>
      <c r="AM288" t="s">
        <v>549</v>
      </c>
      <c r="AN288" t="s">
        <v>2890</v>
      </c>
      <c r="AO288" t="s">
        <v>2891</v>
      </c>
      <c r="AP288" t="s">
        <v>2892</v>
      </c>
      <c r="AQ288" t="s">
        <v>2893</v>
      </c>
      <c r="AR288" t="s">
        <v>2894</v>
      </c>
      <c r="AS288" t="s">
        <v>2895</v>
      </c>
    </row>
    <row r="289" spans="1:45" x14ac:dyDescent="0.45">
      <c r="A289">
        <v>288</v>
      </c>
      <c r="B289">
        <v>329</v>
      </c>
      <c r="C289" t="s">
        <v>73</v>
      </c>
      <c r="D289" t="s">
        <v>76</v>
      </c>
      <c r="E289" t="s">
        <v>69</v>
      </c>
      <c r="F289" t="s">
        <v>72</v>
      </c>
      <c r="G289" t="s">
        <v>71</v>
      </c>
      <c r="H289">
        <v>27.036619632101331</v>
      </c>
      <c r="I289">
        <v>0</v>
      </c>
      <c r="J289">
        <v>8</v>
      </c>
      <c r="K289">
        <v>8</v>
      </c>
      <c r="L289">
        <v>0</v>
      </c>
      <c r="M289">
        <v>9</v>
      </c>
      <c r="N289">
        <v>8</v>
      </c>
      <c r="O289">
        <v>1</v>
      </c>
      <c r="P289">
        <v>8</v>
      </c>
      <c r="Q289">
        <v>5</v>
      </c>
      <c r="R289">
        <v>3</v>
      </c>
      <c r="S289">
        <v>9</v>
      </c>
      <c r="T289">
        <v>9</v>
      </c>
      <c r="U289">
        <v>0</v>
      </c>
      <c r="V289">
        <v>8</v>
      </c>
      <c r="W289">
        <v>10</v>
      </c>
      <c r="X289">
        <v>-2</v>
      </c>
      <c r="Y289">
        <v>9</v>
      </c>
      <c r="Z289">
        <v>10</v>
      </c>
      <c r="AA289">
        <v>-1</v>
      </c>
      <c r="AB289">
        <v>8</v>
      </c>
      <c r="AC289">
        <v>9</v>
      </c>
      <c r="AD289">
        <v>-1</v>
      </c>
      <c r="AE289">
        <v>7</v>
      </c>
      <c r="AF289">
        <v>9</v>
      </c>
      <c r="AG289">
        <v>-2</v>
      </c>
      <c r="AH289">
        <v>9</v>
      </c>
      <c r="AI289">
        <v>10</v>
      </c>
      <c r="AJ289">
        <v>-1</v>
      </c>
      <c r="AK289" t="s">
        <v>2896</v>
      </c>
      <c r="AL289" t="s">
        <v>2897</v>
      </c>
      <c r="AM289" t="s">
        <v>2898</v>
      </c>
      <c r="AN289" t="s">
        <v>2899</v>
      </c>
      <c r="AO289" t="s">
        <v>604</v>
      </c>
      <c r="AP289" t="s">
        <v>2900</v>
      </c>
      <c r="AQ289" t="s">
        <v>2901</v>
      </c>
      <c r="AR289" t="s">
        <v>2902</v>
      </c>
      <c r="AS289" t="s">
        <v>2903</v>
      </c>
    </row>
    <row r="290" spans="1:45" x14ac:dyDescent="0.45">
      <c r="A290">
        <v>289</v>
      </c>
      <c r="B290">
        <v>330</v>
      </c>
      <c r="C290" t="s">
        <v>67</v>
      </c>
      <c r="D290" t="s">
        <v>68</v>
      </c>
      <c r="E290" t="s">
        <v>69</v>
      </c>
      <c r="F290" t="s">
        <v>186</v>
      </c>
      <c r="G290" t="s">
        <v>71</v>
      </c>
      <c r="H290">
        <v>30.345647583470807</v>
      </c>
      <c r="I290">
        <v>1</v>
      </c>
      <c r="J290">
        <v>5</v>
      </c>
      <c r="K290">
        <v>7</v>
      </c>
      <c r="L290">
        <v>-2</v>
      </c>
      <c r="M290">
        <v>7</v>
      </c>
      <c r="N290">
        <v>7</v>
      </c>
      <c r="O290">
        <v>0</v>
      </c>
      <c r="P290">
        <v>6</v>
      </c>
      <c r="Q290">
        <v>5</v>
      </c>
      <c r="R290">
        <v>1</v>
      </c>
      <c r="S290">
        <v>8</v>
      </c>
      <c r="T290">
        <v>6</v>
      </c>
      <c r="U290">
        <v>2</v>
      </c>
      <c r="V290">
        <v>7</v>
      </c>
      <c r="W290">
        <v>5</v>
      </c>
      <c r="X290">
        <v>2</v>
      </c>
      <c r="Y290">
        <v>9</v>
      </c>
      <c r="Z290">
        <v>5</v>
      </c>
      <c r="AA290">
        <v>4</v>
      </c>
      <c r="AB290">
        <v>7</v>
      </c>
      <c r="AC290">
        <v>5</v>
      </c>
      <c r="AD290">
        <v>2</v>
      </c>
      <c r="AE290">
        <v>6</v>
      </c>
      <c r="AF290">
        <v>5</v>
      </c>
      <c r="AG290">
        <v>1</v>
      </c>
      <c r="AH290">
        <v>8</v>
      </c>
      <c r="AI290">
        <v>6</v>
      </c>
      <c r="AJ290">
        <v>2</v>
      </c>
      <c r="AK290" t="s">
        <v>2904</v>
      </c>
      <c r="AL290" t="s">
        <v>2905</v>
      </c>
      <c r="AM290" t="s">
        <v>2906</v>
      </c>
      <c r="AN290" t="s">
        <v>2907</v>
      </c>
      <c r="AO290" t="s">
        <v>2908</v>
      </c>
      <c r="AP290" t="s">
        <v>2909</v>
      </c>
      <c r="AQ290" t="s">
        <v>2910</v>
      </c>
      <c r="AR290" t="s">
        <v>2911</v>
      </c>
      <c r="AS290" t="s">
        <v>2912</v>
      </c>
    </row>
    <row r="291" spans="1:45" x14ac:dyDescent="0.45">
      <c r="A291">
        <v>290</v>
      </c>
      <c r="B291">
        <v>331</v>
      </c>
      <c r="C291" t="s">
        <v>73</v>
      </c>
      <c r="D291" t="s">
        <v>68</v>
      </c>
      <c r="E291" t="s">
        <v>69</v>
      </c>
      <c r="F291" t="s">
        <v>72</v>
      </c>
      <c r="G291" t="s">
        <v>71</v>
      </c>
      <c r="H291">
        <v>44.286525773979889</v>
      </c>
      <c r="I291">
        <v>2</v>
      </c>
      <c r="J291">
        <v>6</v>
      </c>
      <c r="K291">
        <v>8</v>
      </c>
      <c r="L291">
        <v>-2</v>
      </c>
      <c r="M291">
        <v>7</v>
      </c>
      <c r="N291">
        <v>8</v>
      </c>
      <c r="O291">
        <v>-1</v>
      </c>
      <c r="P291">
        <v>8</v>
      </c>
      <c r="Q291">
        <v>8</v>
      </c>
      <c r="R291">
        <v>0</v>
      </c>
      <c r="S291">
        <v>9</v>
      </c>
      <c r="T291">
        <v>8</v>
      </c>
      <c r="U291">
        <v>1</v>
      </c>
      <c r="V291">
        <v>7</v>
      </c>
      <c r="W291">
        <v>8</v>
      </c>
      <c r="X291">
        <v>-1</v>
      </c>
      <c r="Y291">
        <v>8</v>
      </c>
      <c r="Z291">
        <v>8</v>
      </c>
      <c r="AA291">
        <v>0</v>
      </c>
      <c r="AB291">
        <v>6</v>
      </c>
      <c r="AC291">
        <v>8</v>
      </c>
      <c r="AD291">
        <v>-2</v>
      </c>
      <c r="AE291">
        <v>7</v>
      </c>
      <c r="AF291">
        <v>8</v>
      </c>
      <c r="AG291">
        <v>-1</v>
      </c>
      <c r="AH291">
        <v>9</v>
      </c>
      <c r="AI291">
        <v>8</v>
      </c>
      <c r="AJ291">
        <v>1</v>
      </c>
      <c r="AK291" t="s">
        <v>2913</v>
      </c>
      <c r="AL291" t="s">
        <v>2914</v>
      </c>
      <c r="AM291" t="s">
        <v>2915</v>
      </c>
      <c r="AN291" t="s">
        <v>2916</v>
      </c>
      <c r="AO291" t="s">
        <v>2917</v>
      </c>
      <c r="AP291" t="s">
        <v>2918</v>
      </c>
      <c r="AQ291" t="s">
        <v>2919</v>
      </c>
      <c r="AR291" t="s">
        <v>2920</v>
      </c>
      <c r="AS291" t="s">
        <v>2921</v>
      </c>
    </row>
    <row r="292" spans="1:45" x14ac:dyDescent="0.45">
      <c r="A292">
        <v>291</v>
      </c>
      <c r="B292">
        <v>332</v>
      </c>
      <c r="C292" t="s">
        <v>73</v>
      </c>
      <c r="D292" t="s">
        <v>76</v>
      </c>
      <c r="E292" t="s">
        <v>69</v>
      </c>
      <c r="F292" t="s">
        <v>72</v>
      </c>
      <c r="G292" t="s">
        <v>71</v>
      </c>
      <c r="H292">
        <v>66.734917768616697</v>
      </c>
      <c r="I292">
        <v>2</v>
      </c>
      <c r="J292">
        <v>7</v>
      </c>
      <c r="K292">
        <v>9</v>
      </c>
      <c r="L292">
        <v>-2</v>
      </c>
      <c r="M292">
        <v>6</v>
      </c>
      <c r="N292">
        <v>9</v>
      </c>
      <c r="O292">
        <v>-3</v>
      </c>
      <c r="P292">
        <v>9</v>
      </c>
      <c r="Q292">
        <v>3</v>
      </c>
      <c r="R292">
        <v>6</v>
      </c>
      <c r="S292">
        <v>8</v>
      </c>
      <c r="T292">
        <v>10</v>
      </c>
      <c r="U292">
        <v>-2</v>
      </c>
      <c r="V292">
        <v>8</v>
      </c>
      <c r="W292">
        <v>8</v>
      </c>
      <c r="X292">
        <v>0</v>
      </c>
      <c r="Y292">
        <v>8</v>
      </c>
      <c r="Z292">
        <v>8</v>
      </c>
      <c r="AA292">
        <v>0</v>
      </c>
      <c r="AB292">
        <v>8</v>
      </c>
      <c r="AC292">
        <v>6</v>
      </c>
      <c r="AD292">
        <v>2</v>
      </c>
      <c r="AE292">
        <v>7</v>
      </c>
      <c r="AF292">
        <v>8</v>
      </c>
      <c r="AG292">
        <v>-1</v>
      </c>
      <c r="AH292">
        <v>8</v>
      </c>
      <c r="AI292">
        <v>8</v>
      </c>
      <c r="AJ292">
        <v>0</v>
      </c>
      <c r="AK292" t="s">
        <v>2922</v>
      </c>
      <c r="AL292" t="s">
        <v>2923</v>
      </c>
      <c r="AM292" t="s">
        <v>2924</v>
      </c>
      <c r="AN292" t="s">
        <v>2925</v>
      </c>
      <c r="AO292" t="s">
        <v>2926</v>
      </c>
      <c r="AP292" t="s">
        <v>2927</v>
      </c>
      <c r="AQ292" t="s">
        <v>2928</v>
      </c>
      <c r="AR292" t="s">
        <v>2929</v>
      </c>
      <c r="AS292" t="s">
        <v>2930</v>
      </c>
    </row>
    <row r="293" spans="1:45" x14ac:dyDescent="0.45">
      <c r="A293">
        <v>292</v>
      </c>
      <c r="B293">
        <v>333</v>
      </c>
      <c r="C293" t="s">
        <v>67</v>
      </c>
      <c r="D293" t="s">
        <v>189</v>
      </c>
      <c r="E293" t="s">
        <v>69</v>
      </c>
      <c r="F293" t="s">
        <v>70</v>
      </c>
      <c r="G293" t="s">
        <v>157</v>
      </c>
      <c r="H293">
        <v>60.922768778811417</v>
      </c>
      <c r="I293">
        <v>2</v>
      </c>
      <c r="J293">
        <v>7</v>
      </c>
      <c r="K293">
        <v>6</v>
      </c>
      <c r="L293">
        <v>1</v>
      </c>
      <c r="M293">
        <v>8</v>
      </c>
      <c r="N293">
        <v>6</v>
      </c>
      <c r="O293">
        <v>2</v>
      </c>
      <c r="P293">
        <v>9</v>
      </c>
      <c r="Q293">
        <v>1</v>
      </c>
      <c r="R293">
        <v>8</v>
      </c>
      <c r="S293">
        <v>9</v>
      </c>
      <c r="T293">
        <v>6</v>
      </c>
      <c r="U293">
        <v>3</v>
      </c>
      <c r="V293">
        <v>8</v>
      </c>
      <c r="W293">
        <v>5</v>
      </c>
      <c r="X293">
        <v>3</v>
      </c>
      <c r="Y293">
        <v>9</v>
      </c>
      <c r="Z293">
        <v>6</v>
      </c>
      <c r="AA293">
        <v>3</v>
      </c>
      <c r="AB293">
        <v>8</v>
      </c>
      <c r="AC293">
        <v>5</v>
      </c>
      <c r="AD293">
        <v>3</v>
      </c>
      <c r="AE293">
        <v>9</v>
      </c>
      <c r="AF293">
        <v>6</v>
      </c>
      <c r="AG293">
        <v>3</v>
      </c>
      <c r="AH293">
        <v>8</v>
      </c>
      <c r="AI293">
        <v>6</v>
      </c>
      <c r="AJ293">
        <v>2</v>
      </c>
      <c r="AK293" t="s">
        <v>198</v>
      </c>
      <c r="AL293" t="s">
        <v>198</v>
      </c>
      <c r="AM293" t="s">
        <v>198</v>
      </c>
      <c r="AN293" t="s">
        <v>198</v>
      </c>
      <c r="AO293" t="s">
        <v>198</v>
      </c>
      <c r="AP293" t="s">
        <v>198</v>
      </c>
      <c r="AQ293" t="s">
        <v>198</v>
      </c>
      <c r="AR293" t="s">
        <v>198</v>
      </c>
      <c r="AS293" t="s">
        <v>198</v>
      </c>
    </row>
    <row r="294" spans="1:45" x14ac:dyDescent="0.45">
      <c r="A294">
        <v>293</v>
      </c>
      <c r="B294">
        <v>334</v>
      </c>
      <c r="C294" t="s">
        <v>67</v>
      </c>
      <c r="D294" t="s">
        <v>76</v>
      </c>
      <c r="E294" t="s">
        <v>69</v>
      </c>
      <c r="F294" t="s">
        <v>72</v>
      </c>
      <c r="G294" t="s">
        <v>71</v>
      </c>
      <c r="H294">
        <v>44.040531406947196</v>
      </c>
      <c r="I294">
        <v>1</v>
      </c>
      <c r="J294">
        <v>6</v>
      </c>
      <c r="K294">
        <v>8</v>
      </c>
      <c r="L294">
        <v>-2</v>
      </c>
      <c r="M294">
        <v>8</v>
      </c>
      <c r="N294">
        <v>8</v>
      </c>
      <c r="O294">
        <v>0</v>
      </c>
      <c r="P294">
        <v>7</v>
      </c>
      <c r="Q294">
        <v>5</v>
      </c>
      <c r="R294">
        <v>2</v>
      </c>
      <c r="S294">
        <v>9</v>
      </c>
      <c r="T294">
        <v>8</v>
      </c>
      <c r="U294">
        <v>1</v>
      </c>
      <c r="V294">
        <v>7</v>
      </c>
      <c r="W294">
        <v>5</v>
      </c>
      <c r="X294">
        <v>2</v>
      </c>
      <c r="Y294">
        <v>9</v>
      </c>
      <c r="Z294">
        <v>6</v>
      </c>
      <c r="AA294">
        <v>3</v>
      </c>
      <c r="AB294">
        <v>7</v>
      </c>
      <c r="AC294">
        <v>5</v>
      </c>
      <c r="AD294">
        <v>2</v>
      </c>
      <c r="AE294">
        <v>8</v>
      </c>
      <c r="AF294">
        <v>6</v>
      </c>
      <c r="AG294">
        <v>2</v>
      </c>
      <c r="AH294">
        <v>6</v>
      </c>
      <c r="AI294">
        <v>6</v>
      </c>
      <c r="AJ294">
        <v>0</v>
      </c>
      <c r="AK294" t="s">
        <v>2931</v>
      </c>
      <c r="AL294" t="s">
        <v>2932</v>
      </c>
      <c r="AM294" t="s">
        <v>2933</v>
      </c>
      <c r="AN294" t="s">
        <v>2934</v>
      </c>
      <c r="AO294" t="s">
        <v>2935</v>
      </c>
      <c r="AP294" t="s">
        <v>2936</v>
      </c>
      <c r="AQ294" t="s">
        <v>2937</v>
      </c>
      <c r="AR294" t="s">
        <v>2938</v>
      </c>
      <c r="AS294" t="s">
        <v>2939</v>
      </c>
    </row>
    <row r="295" spans="1:45" x14ac:dyDescent="0.45">
      <c r="A295">
        <v>294</v>
      </c>
      <c r="B295">
        <v>335</v>
      </c>
      <c r="C295" t="s">
        <v>67</v>
      </c>
      <c r="D295" t="s">
        <v>76</v>
      </c>
      <c r="E295" t="s">
        <v>69</v>
      </c>
      <c r="F295" t="s">
        <v>72</v>
      </c>
      <c r="G295" t="s">
        <v>71</v>
      </c>
      <c r="H295">
        <v>48.588584246696321</v>
      </c>
      <c r="I295">
        <v>3</v>
      </c>
      <c r="J295">
        <v>8</v>
      </c>
      <c r="K295">
        <v>6</v>
      </c>
      <c r="L295">
        <v>2</v>
      </c>
      <c r="M295">
        <v>9</v>
      </c>
      <c r="N295">
        <v>6</v>
      </c>
      <c r="O295">
        <v>3</v>
      </c>
      <c r="P295">
        <v>8</v>
      </c>
      <c r="Q295">
        <v>3</v>
      </c>
      <c r="R295">
        <v>5</v>
      </c>
      <c r="S295">
        <v>9</v>
      </c>
      <c r="T295">
        <v>7</v>
      </c>
      <c r="U295">
        <v>2</v>
      </c>
      <c r="V295">
        <v>8</v>
      </c>
      <c r="W295">
        <v>5</v>
      </c>
      <c r="X295">
        <v>3</v>
      </c>
      <c r="Y295">
        <v>9</v>
      </c>
      <c r="Z295">
        <v>6</v>
      </c>
      <c r="AA295">
        <v>3</v>
      </c>
      <c r="AB295">
        <v>8</v>
      </c>
      <c r="AC295">
        <v>5</v>
      </c>
      <c r="AD295">
        <v>3</v>
      </c>
      <c r="AE295">
        <v>9</v>
      </c>
      <c r="AF295">
        <v>5</v>
      </c>
      <c r="AG295">
        <v>4</v>
      </c>
      <c r="AH295">
        <v>9</v>
      </c>
      <c r="AI295">
        <v>6</v>
      </c>
      <c r="AJ295">
        <v>3</v>
      </c>
      <c r="AK295" t="s">
        <v>2940</v>
      </c>
      <c r="AL295" t="s">
        <v>2941</v>
      </c>
      <c r="AM295" t="s">
        <v>2942</v>
      </c>
      <c r="AN295" t="s">
        <v>2943</v>
      </c>
      <c r="AO295" t="s">
        <v>2944</v>
      </c>
      <c r="AP295" t="s">
        <v>2945</v>
      </c>
      <c r="AQ295" t="s">
        <v>2946</v>
      </c>
      <c r="AR295" t="s">
        <v>2947</v>
      </c>
      <c r="AS295" t="s">
        <v>2948</v>
      </c>
    </row>
    <row r="296" spans="1:45" x14ac:dyDescent="0.45">
      <c r="A296">
        <v>295</v>
      </c>
      <c r="B296">
        <v>336</v>
      </c>
      <c r="C296" t="s">
        <v>73</v>
      </c>
      <c r="D296" t="s">
        <v>184</v>
      </c>
      <c r="E296" t="s">
        <v>69</v>
      </c>
      <c r="F296" t="s">
        <v>72</v>
      </c>
      <c r="G296" t="s">
        <v>71</v>
      </c>
      <c r="H296">
        <v>27.64027679889082</v>
      </c>
      <c r="I296">
        <v>0</v>
      </c>
      <c r="J296">
        <v>7</v>
      </c>
      <c r="K296">
        <v>8</v>
      </c>
      <c r="L296">
        <v>-1</v>
      </c>
      <c r="M296">
        <v>7</v>
      </c>
      <c r="N296">
        <v>9</v>
      </c>
      <c r="O296">
        <v>-2</v>
      </c>
      <c r="P296">
        <v>8</v>
      </c>
      <c r="Q296">
        <v>9</v>
      </c>
      <c r="R296">
        <v>-1</v>
      </c>
      <c r="S296">
        <v>9</v>
      </c>
      <c r="T296">
        <v>10</v>
      </c>
      <c r="U296">
        <v>-1</v>
      </c>
      <c r="V296">
        <v>6</v>
      </c>
      <c r="W296">
        <v>8</v>
      </c>
      <c r="X296">
        <v>-2</v>
      </c>
      <c r="Y296">
        <v>9</v>
      </c>
      <c r="Z296">
        <v>8</v>
      </c>
      <c r="AA296">
        <v>1</v>
      </c>
      <c r="AB296">
        <v>7</v>
      </c>
      <c r="AC296">
        <v>9</v>
      </c>
      <c r="AD296">
        <v>-2</v>
      </c>
      <c r="AE296">
        <v>6</v>
      </c>
      <c r="AF296">
        <v>10</v>
      </c>
      <c r="AG296">
        <v>-4</v>
      </c>
      <c r="AH296">
        <v>9</v>
      </c>
      <c r="AI296">
        <v>10</v>
      </c>
      <c r="AJ296">
        <v>-1</v>
      </c>
      <c r="AK296" t="s">
        <v>2949</v>
      </c>
      <c r="AL296" t="s">
        <v>2950</v>
      </c>
      <c r="AM296" t="s">
        <v>2951</v>
      </c>
      <c r="AN296" t="s">
        <v>2952</v>
      </c>
      <c r="AO296" t="s">
        <v>2953</v>
      </c>
      <c r="AP296" t="s">
        <v>2954</v>
      </c>
      <c r="AQ296" t="s">
        <v>2955</v>
      </c>
      <c r="AR296" t="s">
        <v>2956</v>
      </c>
      <c r="AS296" t="s">
        <v>2957</v>
      </c>
    </row>
    <row r="297" spans="1:45" x14ac:dyDescent="0.45">
      <c r="A297">
        <v>296</v>
      </c>
      <c r="B297">
        <v>337</v>
      </c>
      <c r="C297" t="s">
        <v>73</v>
      </c>
      <c r="D297" t="s">
        <v>189</v>
      </c>
      <c r="E297" t="s">
        <v>69</v>
      </c>
      <c r="F297" t="s">
        <v>72</v>
      </c>
      <c r="G297" t="s">
        <v>71</v>
      </c>
      <c r="H297">
        <v>12</v>
      </c>
      <c r="I297">
        <v>0</v>
      </c>
      <c r="J297">
        <v>8</v>
      </c>
      <c r="K297">
        <v>7</v>
      </c>
      <c r="L297">
        <v>1</v>
      </c>
      <c r="M297">
        <v>7</v>
      </c>
      <c r="N297">
        <v>7</v>
      </c>
      <c r="O297">
        <v>0</v>
      </c>
      <c r="P297">
        <v>9</v>
      </c>
      <c r="Q297">
        <v>6</v>
      </c>
      <c r="R297">
        <v>3</v>
      </c>
      <c r="S297">
        <v>8</v>
      </c>
      <c r="T297">
        <v>7</v>
      </c>
      <c r="U297">
        <v>1</v>
      </c>
      <c r="V297">
        <v>9</v>
      </c>
      <c r="W297">
        <v>7</v>
      </c>
      <c r="X297">
        <v>2</v>
      </c>
      <c r="Y297">
        <v>8</v>
      </c>
      <c r="Z297">
        <v>1</v>
      </c>
      <c r="AA297">
        <v>7</v>
      </c>
      <c r="AB297">
        <v>9</v>
      </c>
      <c r="AC297">
        <v>5</v>
      </c>
      <c r="AD297">
        <v>4</v>
      </c>
      <c r="AE297">
        <v>8</v>
      </c>
      <c r="AF297">
        <v>7</v>
      </c>
      <c r="AG297">
        <v>1</v>
      </c>
      <c r="AH297">
        <v>9</v>
      </c>
      <c r="AI297">
        <v>7</v>
      </c>
      <c r="AJ297">
        <v>2</v>
      </c>
      <c r="AK297" t="s">
        <v>550</v>
      </c>
      <c r="AL297" t="s">
        <v>551</v>
      </c>
      <c r="AM297" t="s">
        <v>552</v>
      </c>
      <c r="AN297" t="s">
        <v>553</v>
      </c>
      <c r="AO297" t="s">
        <v>554</v>
      </c>
      <c r="AP297" t="s">
        <v>555</v>
      </c>
      <c r="AQ297" t="s">
        <v>556</v>
      </c>
      <c r="AR297" t="s">
        <v>557</v>
      </c>
      <c r="AS297" t="s">
        <v>558</v>
      </c>
    </row>
    <row r="298" spans="1:45" x14ac:dyDescent="0.45">
      <c r="A298">
        <v>297</v>
      </c>
      <c r="B298">
        <v>338</v>
      </c>
      <c r="C298" t="s">
        <v>67</v>
      </c>
      <c r="D298" t="s">
        <v>68</v>
      </c>
      <c r="E298" t="s">
        <v>69</v>
      </c>
      <c r="F298" t="s">
        <v>72</v>
      </c>
      <c r="G298" t="s">
        <v>71</v>
      </c>
      <c r="H298">
        <v>53.250507389931649</v>
      </c>
      <c r="I298">
        <v>2</v>
      </c>
      <c r="J298">
        <v>6</v>
      </c>
      <c r="K298">
        <v>5</v>
      </c>
      <c r="L298">
        <v>1</v>
      </c>
      <c r="M298">
        <v>7</v>
      </c>
      <c r="N298">
        <v>10</v>
      </c>
      <c r="O298">
        <v>-3</v>
      </c>
      <c r="P298">
        <v>8</v>
      </c>
      <c r="Q298">
        <v>5</v>
      </c>
      <c r="R298">
        <v>3</v>
      </c>
      <c r="S298">
        <v>9</v>
      </c>
      <c r="T298">
        <v>5</v>
      </c>
      <c r="U298">
        <v>4</v>
      </c>
      <c r="V298">
        <v>8</v>
      </c>
      <c r="W298">
        <v>2</v>
      </c>
      <c r="X298">
        <v>6</v>
      </c>
      <c r="Y298">
        <v>9</v>
      </c>
      <c r="Z298">
        <v>3</v>
      </c>
      <c r="AA298">
        <v>6</v>
      </c>
      <c r="AB298">
        <v>8</v>
      </c>
      <c r="AC298">
        <v>2</v>
      </c>
      <c r="AD298">
        <v>6</v>
      </c>
      <c r="AE298">
        <v>9</v>
      </c>
      <c r="AF298">
        <v>5</v>
      </c>
      <c r="AG298">
        <v>4</v>
      </c>
      <c r="AH298">
        <v>9</v>
      </c>
      <c r="AI298">
        <v>5</v>
      </c>
      <c r="AJ298">
        <v>4</v>
      </c>
      <c r="AK298" t="s">
        <v>2958</v>
      </c>
      <c r="AL298" t="s">
        <v>2959</v>
      </c>
      <c r="AM298" t="s">
        <v>2960</v>
      </c>
      <c r="AN298" t="s">
        <v>2961</v>
      </c>
      <c r="AO298" t="s">
        <v>2962</v>
      </c>
      <c r="AP298" t="s">
        <v>2963</v>
      </c>
      <c r="AQ298" t="s">
        <v>2964</v>
      </c>
      <c r="AR298" t="s">
        <v>2965</v>
      </c>
      <c r="AS298" t="s">
        <v>2966</v>
      </c>
    </row>
    <row r="299" spans="1:45" x14ac:dyDescent="0.45">
      <c r="A299">
        <v>298</v>
      </c>
      <c r="B299">
        <v>339</v>
      </c>
      <c r="C299" t="s">
        <v>73</v>
      </c>
      <c r="D299" t="s">
        <v>68</v>
      </c>
      <c r="E299" t="s">
        <v>69</v>
      </c>
      <c r="F299" t="s">
        <v>72</v>
      </c>
      <c r="G299" t="s">
        <v>157</v>
      </c>
      <c r="H299">
        <v>12</v>
      </c>
      <c r="I299">
        <v>0</v>
      </c>
      <c r="J299">
        <v>8</v>
      </c>
      <c r="K299">
        <v>5</v>
      </c>
      <c r="L299">
        <v>3</v>
      </c>
      <c r="M299">
        <v>8</v>
      </c>
      <c r="N299">
        <v>5</v>
      </c>
      <c r="O299">
        <v>3</v>
      </c>
      <c r="P299">
        <v>9</v>
      </c>
      <c r="Q299">
        <v>5</v>
      </c>
      <c r="R299">
        <v>4</v>
      </c>
      <c r="S299">
        <v>10</v>
      </c>
      <c r="T299">
        <v>10</v>
      </c>
      <c r="U299">
        <v>0</v>
      </c>
      <c r="V299">
        <v>9</v>
      </c>
      <c r="W299">
        <v>10</v>
      </c>
      <c r="X299">
        <v>-1</v>
      </c>
      <c r="Y299">
        <v>9</v>
      </c>
      <c r="Z299">
        <v>5</v>
      </c>
      <c r="AA299">
        <v>4</v>
      </c>
      <c r="AB299">
        <v>9</v>
      </c>
      <c r="AC299">
        <v>5</v>
      </c>
      <c r="AD299">
        <v>4</v>
      </c>
      <c r="AE299">
        <v>7</v>
      </c>
      <c r="AF299">
        <v>5</v>
      </c>
      <c r="AG299">
        <v>2</v>
      </c>
      <c r="AH299">
        <v>9</v>
      </c>
      <c r="AI299">
        <v>5</v>
      </c>
      <c r="AJ299">
        <v>4</v>
      </c>
      <c r="AK299" t="s">
        <v>559</v>
      </c>
      <c r="AL299" t="s">
        <v>560</v>
      </c>
      <c r="AM299" t="s">
        <v>561</v>
      </c>
      <c r="AN299" t="s">
        <v>562</v>
      </c>
      <c r="AO299" t="s">
        <v>563</v>
      </c>
      <c r="AP299" t="s">
        <v>564</v>
      </c>
      <c r="AQ299" t="s">
        <v>565</v>
      </c>
      <c r="AR299" t="s">
        <v>566</v>
      </c>
      <c r="AS299" t="s">
        <v>567</v>
      </c>
    </row>
    <row r="300" spans="1:45" x14ac:dyDescent="0.45">
      <c r="A300">
        <v>299</v>
      </c>
      <c r="B300">
        <v>340</v>
      </c>
      <c r="C300" t="s">
        <v>73</v>
      </c>
      <c r="D300" t="s">
        <v>68</v>
      </c>
      <c r="E300" t="s">
        <v>69</v>
      </c>
      <c r="F300" t="s">
        <v>70</v>
      </c>
      <c r="G300" t="s">
        <v>71</v>
      </c>
      <c r="H300">
        <v>41.348736023002267</v>
      </c>
      <c r="I300">
        <v>0</v>
      </c>
      <c r="J300">
        <v>7</v>
      </c>
      <c r="K300">
        <v>10</v>
      </c>
      <c r="L300">
        <v>-3</v>
      </c>
      <c r="M300">
        <v>6</v>
      </c>
      <c r="N300">
        <v>10</v>
      </c>
      <c r="O300">
        <v>-4</v>
      </c>
      <c r="P300">
        <v>5</v>
      </c>
      <c r="Q300">
        <v>10</v>
      </c>
      <c r="R300">
        <v>-5</v>
      </c>
      <c r="S300">
        <v>8</v>
      </c>
      <c r="T300">
        <v>10</v>
      </c>
      <c r="U300">
        <v>-2</v>
      </c>
      <c r="V300">
        <v>6</v>
      </c>
      <c r="W300">
        <v>10</v>
      </c>
      <c r="X300">
        <v>-4</v>
      </c>
      <c r="Y300">
        <v>9</v>
      </c>
      <c r="Z300">
        <v>10</v>
      </c>
      <c r="AA300">
        <v>-1</v>
      </c>
      <c r="AB300">
        <v>8</v>
      </c>
      <c r="AC300">
        <v>10</v>
      </c>
      <c r="AD300">
        <v>-2</v>
      </c>
      <c r="AE300">
        <v>7</v>
      </c>
      <c r="AF300">
        <v>10</v>
      </c>
      <c r="AG300">
        <v>-3</v>
      </c>
      <c r="AH300">
        <v>9</v>
      </c>
      <c r="AI300">
        <v>10</v>
      </c>
      <c r="AJ300">
        <v>-1</v>
      </c>
      <c r="AK300" t="s">
        <v>2967</v>
      </c>
      <c r="AL300" t="s">
        <v>2968</v>
      </c>
      <c r="AM300" t="s">
        <v>2969</v>
      </c>
      <c r="AN300" t="s">
        <v>2970</v>
      </c>
      <c r="AO300" t="s">
        <v>2971</v>
      </c>
      <c r="AP300" t="s">
        <v>2972</v>
      </c>
      <c r="AQ300" t="s">
        <v>2973</v>
      </c>
      <c r="AR300" t="s">
        <v>2974</v>
      </c>
      <c r="AS300" t="s">
        <v>2975</v>
      </c>
    </row>
    <row r="301" spans="1:45" x14ac:dyDescent="0.45">
      <c r="A301">
        <v>300</v>
      </c>
      <c r="B301">
        <v>341</v>
      </c>
      <c r="C301" t="s">
        <v>73</v>
      </c>
      <c r="D301" t="s">
        <v>68</v>
      </c>
      <c r="E301" t="s">
        <v>69</v>
      </c>
      <c r="F301" t="s">
        <v>72</v>
      </c>
      <c r="G301" t="s">
        <v>71</v>
      </c>
      <c r="H301">
        <v>28.928083498235601</v>
      </c>
      <c r="I301">
        <v>1</v>
      </c>
      <c r="J301">
        <v>6</v>
      </c>
      <c r="K301">
        <v>9</v>
      </c>
      <c r="L301">
        <v>-3</v>
      </c>
      <c r="M301">
        <v>8</v>
      </c>
      <c r="N301">
        <v>9</v>
      </c>
      <c r="O301">
        <v>-1</v>
      </c>
      <c r="P301">
        <v>9</v>
      </c>
      <c r="Q301">
        <v>8</v>
      </c>
      <c r="R301">
        <v>1</v>
      </c>
      <c r="S301">
        <v>9</v>
      </c>
      <c r="T301">
        <v>10</v>
      </c>
      <c r="U301">
        <v>-1</v>
      </c>
      <c r="V301">
        <v>8</v>
      </c>
      <c r="W301">
        <v>8</v>
      </c>
      <c r="X301">
        <v>0</v>
      </c>
      <c r="Y301">
        <v>9</v>
      </c>
      <c r="Z301">
        <v>8</v>
      </c>
      <c r="AA301">
        <v>1</v>
      </c>
      <c r="AB301">
        <v>8</v>
      </c>
      <c r="AC301">
        <v>10</v>
      </c>
      <c r="AD301">
        <v>-2</v>
      </c>
      <c r="AE301">
        <v>8</v>
      </c>
      <c r="AF301">
        <v>9</v>
      </c>
      <c r="AG301">
        <v>-1</v>
      </c>
      <c r="AH301">
        <v>9</v>
      </c>
      <c r="AI301">
        <v>9</v>
      </c>
      <c r="AJ301">
        <v>0</v>
      </c>
      <c r="AK301" t="s">
        <v>2976</v>
      </c>
      <c r="AL301" t="s">
        <v>2977</v>
      </c>
      <c r="AM301" t="s">
        <v>2978</v>
      </c>
      <c r="AN301" t="s">
        <v>2979</v>
      </c>
      <c r="AO301" t="s">
        <v>2980</v>
      </c>
      <c r="AP301" t="s">
        <v>2981</v>
      </c>
      <c r="AQ301" t="s">
        <v>2982</v>
      </c>
      <c r="AR301" t="s">
        <v>2983</v>
      </c>
      <c r="AS301" t="s">
        <v>2984</v>
      </c>
    </row>
    <row r="302" spans="1:45" x14ac:dyDescent="0.45">
      <c r="A302">
        <v>301</v>
      </c>
      <c r="B302">
        <v>342</v>
      </c>
      <c r="C302" t="s">
        <v>73</v>
      </c>
      <c r="D302" t="s">
        <v>76</v>
      </c>
      <c r="E302" t="s">
        <v>69</v>
      </c>
      <c r="F302" t="s">
        <v>72</v>
      </c>
      <c r="G302" t="s">
        <v>71</v>
      </c>
      <c r="H302">
        <v>12</v>
      </c>
      <c r="I302">
        <v>0</v>
      </c>
      <c r="J302">
        <v>6</v>
      </c>
      <c r="K302">
        <v>8</v>
      </c>
      <c r="L302">
        <v>-2</v>
      </c>
      <c r="M302">
        <v>6</v>
      </c>
      <c r="N302">
        <v>7</v>
      </c>
      <c r="O302">
        <v>-1</v>
      </c>
      <c r="P302">
        <v>9</v>
      </c>
      <c r="Q302">
        <v>9</v>
      </c>
      <c r="R302">
        <v>0</v>
      </c>
      <c r="S302">
        <v>9</v>
      </c>
      <c r="T302">
        <v>5</v>
      </c>
      <c r="U302">
        <v>4</v>
      </c>
      <c r="V302">
        <v>7</v>
      </c>
      <c r="W302">
        <v>7</v>
      </c>
      <c r="X302">
        <v>0</v>
      </c>
      <c r="Y302">
        <v>8</v>
      </c>
      <c r="Z302">
        <v>7</v>
      </c>
      <c r="AA302">
        <v>1</v>
      </c>
      <c r="AB302">
        <v>7</v>
      </c>
      <c r="AC302">
        <v>7</v>
      </c>
      <c r="AD302">
        <v>0</v>
      </c>
      <c r="AE302">
        <v>6</v>
      </c>
      <c r="AF302">
        <v>6</v>
      </c>
      <c r="AG302">
        <v>0</v>
      </c>
      <c r="AH302">
        <v>8</v>
      </c>
      <c r="AI302">
        <v>7</v>
      </c>
      <c r="AJ302">
        <v>1</v>
      </c>
      <c r="AK302" t="s">
        <v>568</v>
      </c>
      <c r="AL302" t="s">
        <v>569</v>
      </c>
      <c r="AM302" t="s">
        <v>570</v>
      </c>
      <c r="AN302" t="s">
        <v>571</v>
      </c>
      <c r="AO302" t="s">
        <v>572</v>
      </c>
      <c r="AP302" t="s">
        <v>573</v>
      </c>
      <c r="AQ302" t="s">
        <v>574</v>
      </c>
      <c r="AR302" t="s">
        <v>575</v>
      </c>
      <c r="AS302" t="s">
        <v>576</v>
      </c>
    </row>
    <row r="303" spans="1:45" x14ac:dyDescent="0.45">
      <c r="A303">
        <v>302</v>
      </c>
      <c r="B303">
        <v>343</v>
      </c>
      <c r="C303" t="s">
        <v>67</v>
      </c>
      <c r="D303" t="s">
        <v>68</v>
      </c>
      <c r="E303" t="s">
        <v>69</v>
      </c>
      <c r="F303" t="s">
        <v>72</v>
      </c>
      <c r="G303" t="s">
        <v>71</v>
      </c>
      <c r="H303">
        <v>28.832250589026202</v>
      </c>
      <c r="I303">
        <v>0</v>
      </c>
      <c r="J303">
        <v>9</v>
      </c>
      <c r="K303">
        <v>7</v>
      </c>
      <c r="L303">
        <v>2</v>
      </c>
      <c r="M303">
        <v>8</v>
      </c>
      <c r="N303">
        <v>7</v>
      </c>
      <c r="O303">
        <v>1</v>
      </c>
      <c r="P303">
        <v>9</v>
      </c>
      <c r="Q303">
        <v>4</v>
      </c>
      <c r="R303">
        <v>5</v>
      </c>
      <c r="S303">
        <v>8</v>
      </c>
      <c r="T303">
        <v>8</v>
      </c>
      <c r="U303">
        <v>0</v>
      </c>
      <c r="V303">
        <v>9</v>
      </c>
      <c r="W303">
        <v>7</v>
      </c>
      <c r="X303">
        <v>2</v>
      </c>
      <c r="Y303">
        <v>8</v>
      </c>
      <c r="Z303">
        <v>7</v>
      </c>
      <c r="AA303">
        <v>1</v>
      </c>
      <c r="AB303">
        <v>9</v>
      </c>
      <c r="AC303">
        <v>5</v>
      </c>
      <c r="AD303">
        <v>4</v>
      </c>
      <c r="AE303">
        <v>8</v>
      </c>
      <c r="AF303">
        <v>5</v>
      </c>
      <c r="AG303">
        <v>3</v>
      </c>
      <c r="AH303">
        <v>9</v>
      </c>
      <c r="AI303">
        <v>7</v>
      </c>
      <c r="AJ303">
        <v>2</v>
      </c>
      <c r="AK303" t="s">
        <v>2985</v>
      </c>
      <c r="AL303" t="s">
        <v>2986</v>
      </c>
      <c r="AM303" t="s">
        <v>2987</v>
      </c>
      <c r="AN303" t="s">
        <v>2988</v>
      </c>
      <c r="AO303" t="s">
        <v>2989</v>
      </c>
      <c r="AP303" t="s">
        <v>2990</v>
      </c>
      <c r="AQ303" t="s">
        <v>2991</v>
      </c>
      <c r="AR303" t="s">
        <v>2992</v>
      </c>
      <c r="AS303" t="s">
        <v>2993</v>
      </c>
    </row>
    <row r="304" spans="1:45" x14ac:dyDescent="0.45">
      <c r="A304">
        <v>303</v>
      </c>
      <c r="B304">
        <v>344</v>
      </c>
      <c r="C304" t="s">
        <v>73</v>
      </c>
      <c r="D304" t="s">
        <v>68</v>
      </c>
      <c r="E304" t="s">
        <v>69</v>
      </c>
      <c r="F304" t="s">
        <v>72</v>
      </c>
      <c r="G304" t="s">
        <v>71</v>
      </c>
      <c r="H304">
        <v>25.423545021267447</v>
      </c>
      <c r="I304">
        <v>2</v>
      </c>
      <c r="J304">
        <v>7</v>
      </c>
      <c r="K304">
        <v>6</v>
      </c>
      <c r="L304">
        <v>1</v>
      </c>
      <c r="M304">
        <v>8</v>
      </c>
      <c r="N304">
        <v>10</v>
      </c>
      <c r="O304">
        <v>-2</v>
      </c>
      <c r="P304">
        <v>9</v>
      </c>
      <c r="Q304">
        <v>5</v>
      </c>
      <c r="R304">
        <v>4</v>
      </c>
      <c r="S304">
        <v>9</v>
      </c>
      <c r="T304">
        <v>4</v>
      </c>
      <c r="U304">
        <v>5</v>
      </c>
      <c r="V304">
        <v>8</v>
      </c>
      <c r="W304">
        <v>3</v>
      </c>
      <c r="X304">
        <v>5</v>
      </c>
      <c r="Y304">
        <v>9</v>
      </c>
      <c r="Z304">
        <v>7</v>
      </c>
      <c r="AA304">
        <v>2</v>
      </c>
      <c r="AB304">
        <v>8</v>
      </c>
      <c r="AC304">
        <v>4</v>
      </c>
      <c r="AD304">
        <v>4</v>
      </c>
      <c r="AE304">
        <v>9</v>
      </c>
      <c r="AF304">
        <v>4</v>
      </c>
      <c r="AG304">
        <v>5</v>
      </c>
      <c r="AH304">
        <v>9</v>
      </c>
      <c r="AI304">
        <v>5</v>
      </c>
      <c r="AJ304">
        <v>4</v>
      </c>
      <c r="AK304" t="s">
        <v>2994</v>
      </c>
      <c r="AL304" t="s">
        <v>2995</v>
      </c>
      <c r="AM304" t="s">
        <v>2996</v>
      </c>
      <c r="AN304" t="s">
        <v>2997</v>
      </c>
      <c r="AO304" t="s">
        <v>2998</v>
      </c>
      <c r="AP304" t="s">
        <v>2999</v>
      </c>
      <c r="AQ304" t="s">
        <v>3000</v>
      </c>
      <c r="AR304" t="s">
        <v>455</v>
      </c>
      <c r="AS304" t="s">
        <v>3001</v>
      </c>
    </row>
    <row r="305" spans="1:45" x14ac:dyDescent="0.45">
      <c r="A305">
        <v>304</v>
      </c>
      <c r="B305">
        <v>345</v>
      </c>
      <c r="C305" t="s">
        <v>73</v>
      </c>
      <c r="D305" t="s">
        <v>76</v>
      </c>
      <c r="E305" t="s">
        <v>69</v>
      </c>
      <c r="F305" t="s">
        <v>70</v>
      </c>
      <c r="G305" t="s">
        <v>71</v>
      </c>
      <c r="H305">
        <v>12</v>
      </c>
      <c r="I305">
        <v>0</v>
      </c>
      <c r="J305">
        <v>6</v>
      </c>
      <c r="K305">
        <v>10</v>
      </c>
      <c r="L305">
        <v>-4</v>
      </c>
      <c r="M305">
        <v>7</v>
      </c>
      <c r="N305">
        <v>10</v>
      </c>
      <c r="O305">
        <v>-3</v>
      </c>
      <c r="P305">
        <v>9</v>
      </c>
      <c r="Q305">
        <v>10</v>
      </c>
      <c r="R305">
        <v>-1</v>
      </c>
      <c r="S305">
        <v>9</v>
      </c>
      <c r="T305">
        <v>10</v>
      </c>
      <c r="U305">
        <v>-1</v>
      </c>
      <c r="V305">
        <v>8</v>
      </c>
      <c r="W305">
        <v>10</v>
      </c>
      <c r="X305">
        <v>-2</v>
      </c>
      <c r="Y305">
        <v>8</v>
      </c>
      <c r="Z305">
        <v>10</v>
      </c>
      <c r="AA305">
        <v>-2</v>
      </c>
      <c r="AB305">
        <v>8</v>
      </c>
      <c r="AC305">
        <v>10</v>
      </c>
      <c r="AD305">
        <v>-2</v>
      </c>
      <c r="AE305">
        <v>8</v>
      </c>
      <c r="AF305">
        <v>10</v>
      </c>
      <c r="AG305">
        <v>-2</v>
      </c>
      <c r="AH305">
        <v>9</v>
      </c>
      <c r="AI305">
        <v>10</v>
      </c>
      <c r="AJ305">
        <v>-1</v>
      </c>
      <c r="AK305" t="s">
        <v>577</v>
      </c>
      <c r="AL305" t="s">
        <v>578</v>
      </c>
      <c r="AM305" t="s">
        <v>579</v>
      </c>
      <c r="AN305" t="s">
        <v>580</v>
      </c>
      <c r="AO305" t="s">
        <v>581</v>
      </c>
      <c r="AP305" t="s">
        <v>582</v>
      </c>
      <c r="AQ305" t="s">
        <v>583</v>
      </c>
      <c r="AR305" t="s">
        <v>584</v>
      </c>
      <c r="AS305" t="s">
        <v>585</v>
      </c>
    </row>
    <row r="306" spans="1:45" x14ac:dyDescent="0.45">
      <c r="A306">
        <v>305</v>
      </c>
      <c r="B306">
        <v>346</v>
      </c>
      <c r="C306" t="s">
        <v>73</v>
      </c>
      <c r="D306" t="s">
        <v>68</v>
      </c>
      <c r="E306" t="s">
        <v>69</v>
      </c>
      <c r="F306" t="s">
        <v>72</v>
      </c>
      <c r="G306" t="s">
        <v>71</v>
      </c>
      <c r="H306">
        <v>44.98179538273552</v>
      </c>
      <c r="I306">
        <v>0</v>
      </c>
      <c r="J306">
        <v>6</v>
      </c>
      <c r="K306">
        <v>7</v>
      </c>
      <c r="L306">
        <v>-1</v>
      </c>
      <c r="M306">
        <v>7</v>
      </c>
      <c r="N306">
        <v>9</v>
      </c>
      <c r="O306">
        <v>-2</v>
      </c>
      <c r="P306">
        <v>6</v>
      </c>
      <c r="Q306">
        <v>8</v>
      </c>
      <c r="R306">
        <v>-2</v>
      </c>
      <c r="S306">
        <v>8</v>
      </c>
      <c r="T306">
        <v>6</v>
      </c>
      <c r="U306">
        <v>2</v>
      </c>
      <c r="V306">
        <v>7</v>
      </c>
      <c r="W306">
        <v>5</v>
      </c>
      <c r="X306">
        <v>2</v>
      </c>
      <c r="Y306">
        <v>9</v>
      </c>
      <c r="Z306">
        <v>3</v>
      </c>
      <c r="AA306">
        <v>6</v>
      </c>
      <c r="AB306">
        <v>7</v>
      </c>
      <c r="AC306">
        <v>9</v>
      </c>
      <c r="AD306">
        <v>-2</v>
      </c>
      <c r="AE306">
        <v>6</v>
      </c>
      <c r="AF306">
        <v>3</v>
      </c>
      <c r="AG306">
        <v>3</v>
      </c>
      <c r="AH306">
        <v>8</v>
      </c>
      <c r="AI306">
        <v>4</v>
      </c>
      <c r="AJ306">
        <v>4</v>
      </c>
      <c r="AK306" t="s">
        <v>3002</v>
      </c>
      <c r="AL306" t="s">
        <v>3003</v>
      </c>
      <c r="AM306" t="s">
        <v>3004</v>
      </c>
      <c r="AN306" t="s">
        <v>3005</v>
      </c>
      <c r="AO306" t="s">
        <v>3006</v>
      </c>
      <c r="AP306" t="s">
        <v>3007</v>
      </c>
      <c r="AQ306" t="s">
        <v>3008</v>
      </c>
      <c r="AR306" t="s">
        <v>3009</v>
      </c>
      <c r="AS306" t="s">
        <v>3010</v>
      </c>
    </row>
    <row r="307" spans="1:45" x14ac:dyDescent="0.45">
      <c r="A307">
        <v>306</v>
      </c>
      <c r="B307">
        <v>347</v>
      </c>
      <c r="C307" t="s">
        <v>67</v>
      </c>
      <c r="D307" t="s">
        <v>74</v>
      </c>
      <c r="E307" t="s">
        <v>69</v>
      </c>
      <c r="F307" t="s">
        <v>72</v>
      </c>
      <c r="G307" t="s">
        <v>71</v>
      </c>
      <c r="H307">
        <v>49.814382056108016</v>
      </c>
      <c r="I307">
        <v>3</v>
      </c>
      <c r="J307">
        <v>8</v>
      </c>
      <c r="K307">
        <v>3</v>
      </c>
      <c r="L307">
        <v>5</v>
      </c>
      <c r="M307">
        <v>8</v>
      </c>
      <c r="N307">
        <v>8</v>
      </c>
      <c r="O307">
        <v>0</v>
      </c>
      <c r="P307">
        <v>9</v>
      </c>
      <c r="Q307">
        <v>8</v>
      </c>
      <c r="R307">
        <v>1</v>
      </c>
      <c r="S307">
        <v>9</v>
      </c>
      <c r="T307">
        <v>4</v>
      </c>
      <c r="U307">
        <v>5</v>
      </c>
      <c r="V307">
        <v>8</v>
      </c>
      <c r="W307">
        <v>4</v>
      </c>
      <c r="X307">
        <v>4</v>
      </c>
      <c r="Y307">
        <v>8</v>
      </c>
      <c r="Z307">
        <v>3</v>
      </c>
      <c r="AA307">
        <v>5</v>
      </c>
      <c r="AB307">
        <v>8</v>
      </c>
      <c r="AC307">
        <v>7</v>
      </c>
      <c r="AD307">
        <v>1</v>
      </c>
      <c r="AE307">
        <v>8</v>
      </c>
      <c r="AF307">
        <v>5</v>
      </c>
      <c r="AG307">
        <v>3</v>
      </c>
      <c r="AH307">
        <v>9</v>
      </c>
      <c r="AI307">
        <v>5</v>
      </c>
      <c r="AJ307">
        <v>4</v>
      </c>
      <c r="AK307" t="s">
        <v>3011</v>
      </c>
      <c r="AL307" t="s">
        <v>3012</v>
      </c>
      <c r="AM307" t="s">
        <v>3013</v>
      </c>
      <c r="AN307" t="s">
        <v>3014</v>
      </c>
      <c r="AO307" t="s">
        <v>3015</v>
      </c>
      <c r="AP307" t="s">
        <v>3016</v>
      </c>
      <c r="AQ307" t="s">
        <v>3017</v>
      </c>
      <c r="AR307" t="s">
        <v>3018</v>
      </c>
      <c r="AS307" t="s">
        <v>3019</v>
      </c>
    </row>
    <row r="308" spans="1:45" x14ac:dyDescent="0.45">
      <c r="A308">
        <v>307</v>
      </c>
      <c r="B308">
        <v>348</v>
      </c>
      <c r="C308" t="s">
        <v>67</v>
      </c>
      <c r="D308" t="s">
        <v>189</v>
      </c>
      <c r="E308" t="s">
        <v>69</v>
      </c>
      <c r="F308" t="s">
        <v>70</v>
      </c>
      <c r="G308" t="s">
        <v>157</v>
      </c>
      <c r="H308">
        <v>13.709181849834744</v>
      </c>
      <c r="I308">
        <v>2</v>
      </c>
      <c r="J308">
        <v>7</v>
      </c>
      <c r="K308">
        <v>2</v>
      </c>
      <c r="L308">
        <v>5</v>
      </c>
      <c r="M308">
        <v>8</v>
      </c>
      <c r="N308">
        <v>2</v>
      </c>
      <c r="O308">
        <v>6</v>
      </c>
      <c r="P308">
        <v>9</v>
      </c>
      <c r="Q308">
        <v>2</v>
      </c>
      <c r="R308">
        <v>7</v>
      </c>
      <c r="S308">
        <v>8</v>
      </c>
      <c r="T308">
        <v>1</v>
      </c>
      <c r="U308">
        <v>7</v>
      </c>
      <c r="V308">
        <v>9</v>
      </c>
      <c r="W308">
        <v>2</v>
      </c>
      <c r="X308">
        <v>7</v>
      </c>
      <c r="Y308">
        <v>8</v>
      </c>
      <c r="Z308">
        <v>2</v>
      </c>
      <c r="AA308">
        <v>6</v>
      </c>
      <c r="AB308">
        <v>8</v>
      </c>
      <c r="AC308">
        <v>2</v>
      </c>
      <c r="AD308">
        <v>6</v>
      </c>
      <c r="AE308">
        <v>7</v>
      </c>
      <c r="AF308">
        <v>2</v>
      </c>
      <c r="AG308">
        <v>5</v>
      </c>
      <c r="AH308">
        <v>9</v>
      </c>
      <c r="AI308">
        <v>2</v>
      </c>
      <c r="AJ308">
        <v>7</v>
      </c>
      <c r="AK308" t="s">
        <v>3020</v>
      </c>
      <c r="AL308" t="s">
        <v>3021</v>
      </c>
      <c r="AM308" t="s">
        <v>3022</v>
      </c>
      <c r="AN308" t="s">
        <v>3023</v>
      </c>
      <c r="AO308" t="s">
        <v>3024</v>
      </c>
      <c r="AP308" t="s">
        <v>3025</v>
      </c>
      <c r="AQ308" t="s">
        <v>3026</v>
      </c>
      <c r="AR308" t="s">
        <v>3027</v>
      </c>
      <c r="AS308" t="s">
        <v>3028</v>
      </c>
    </row>
    <row r="309" spans="1:45" x14ac:dyDescent="0.45">
      <c r="A309">
        <v>308</v>
      </c>
      <c r="B309">
        <v>349</v>
      </c>
      <c r="C309" t="s">
        <v>67</v>
      </c>
      <c r="D309" t="s">
        <v>74</v>
      </c>
      <c r="E309" t="s">
        <v>69</v>
      </c>
      <c r="F309" t="s">
        <v>70</v>
      </c>
      <c r="G309" t="s">
        <v>71</v>
      </c>
      <c r="H309">
        <v>155.98608401048074</v>
      </c>
      <c r="I309">
        <v>2</v>
      </c>
      <c r="J309">
        <v>8</v>
      </c>
      <c r="K309">
        <v>10</v>
      </c>
      <c r="L309">
        <v>-2</v>
      </c>
      <c r="M309">
        <v>8</v>
      </c>
      <c r="N309">
        <v>8</v>
      </c>
      <c r="O309">
        <v>0</v>
      </c>
      <c r="P309">
        <v>9</v>
      </c>
      <c r="Q309">
        <v>8</v>
      </c>
      <c r="R309">
        <v>1</v>
      </c>
      <c r="S309">
        <v>9</v>
      </c>
      <c r="T309">
        <v>8</v>
      </c>
      <c r="U309">
        <v>1</v>
      </c>
      <c r="V309">
        <v>8</v>
      </c>
      <c r="W309">
        <v>10</v>
      </c>
      <c r="X309">
        <v>-2</v>
      </c>
      <c r="Y309">
        <v>9</v>
      </c>
      <c r="Z309">
        <v>10</v>
      </c>
      <c r="AA309">
        <v>-1</v>
      </c>
      <c r="AB309">
        <v>8</v>
      </c>
      <c r="AC309">
        <v>6</v>
      </c>
      <c r="AD309">
        <v>2</v>
      </c>
      <c r="AE309">
        <v>9</v>
      </c>
      <c r="AF309">
        <v>8</v>
      </c>
      <c r="AG309">
        <v>1</v>
      </c>
      <c r="AH309">
        <v>9</v>
      </c>
      <c r="AI309">
        <v>8</v>
      </c>
      <c r="AJ309">
        <v>1</v>
      </c>
      <c r="AK309" t="s">
        <v>3029</v>
      </c>
      <c r="AL309" t="s">
        <v>3030</v>
      </c>
      <c r="AM309" t="s">
        <v>3031</v>
      </c>
      <c r="AN309" t="s">
        <v>3032</v>
      </c>
      <c r="AO309" t="s">
        <v>3033</v>
      </c>
      <c r="AP309" t="s">
        <v>3034</v>
      </c>
      <c r="AQ309" t="s">
        <v>3035</v>
      </c>
      <c r="AR309" t="s">
        <v>3036</v>
      </c>
      <c r="AS309" t="s">
        <v>3037</v>
      </c>
    </row>
    <row r="310" spans="1:45" x14ac:dyDescent="0.45">
      <c r="A310">
        <v>309</v>
      </c>
      <c r="B310">
        <v>350</v>
      </c>
      <c r="C310" t="s">
        <v>73</v>
      </c>
      <c r="D310" t="s">
        <v>68</v>
      </c>
      <c r="E310" t="s">
        <v>69</v>
      </c>
      <c r="F310" t="s">
        <v>72</v>
      </c>
      <c r="G310" t="s">
        <v>71</v>
      </c>
      <c r="H310">
        <v>65.45417450884635</v>
      </c>
      <c r="I310">
        <v>1</v>
      </c>
      <c r="J310">
        <v>7</v>
      </c>
      <c r="K310">
        <v>10</v>
      </c>
      <c r="L310">
        <v>-3</v>
      </c>
      <c r="M310">
        <v>6</v>
      </c>
      <c r="N310">
        <v>10</v>
      </c>
      <c r="O310">
        <v>-4</v>
      </c>
      <c r="P310">
        <v>8</v>
      </c>
      <c r="Q310">
        <v>10</v>
      </c>
      <c r="R310">
        <v>-2</v>
      </c>
      <c r="S310">
        <v>9</v>
      </c>
      <c r="T310">
        <v>10</v>
      </c>
      <c r="U310">
        <v>-1</v>
      </c>
      <c r="V310">
        <v>8</v>
      </c>
      <c r="W310">
        <v>10</v>
      </c>
      <c r="X310">
        <v>-2</v>
      </c>
      <c r="Y310">
        <v>9</v>
      </c>
      <c r="Z310">
        <v>9</v>
      </c>
      <c r="AA310">
        <v>0</v>
      </c>
      <c r="AB310">
        <v>8</v>
      </c>
      <c r="AC310">
        <v>9</v>
      </c>
      <c r="AD310">
        <v>-1</v>
      </c>
      <c r="AE310">
        <v>7</v>
      </c>
      <c r="AF310">
        <v>10</v>
      </c>
      <c r="AG310">
        <v>-3</v>
      </c>
      <c r="AH310">
        <v>8</v>
      </c>
      <c r="AI310">
        <v>10</v>
      </c>
      <c r="AJ310">
        <v>-2</v>
      </c>
      <c r="AK310" t="s">
        <v>3038</v>
      </c>
      <c r="AL310" t="s">
        <v>3039</v>
      </c>
      <c r="AM310" t="s">
        <v>3040</v>
      </c>
      <c r="AN310" t="s">
        <v>3041</v>
      </c>
      <c r="AO310" t="s">
        <v>3042</v>
      </c>
      <c r="AP310" t="s">
        <v>3043</v>
      </c>
      <c r="AQ310" t="s">
        <v>3044</v>
      </c>
      <c r="AR310" t="s">
        <v>3045</v>
      </c>
      <c r="AS310" t="s">
        <v>3046</v>
      </c>
    </row>
    <row r="311" spans="1:45" x14ac:dyDescent="0.45">
      <c r="A311">
        <v>310</v>
      </c>
      <c r="B311">
        <v>351</v>
      </c>
      <c r="C311" t="s">
        <v>67</v>
      </c>
      <c r="D311" t="s">
        <v>184</v>
      </c>
      <c r="E311" t="s">
        <v>69</v>
      </c>
      <c r="F311" t="s">
        <v>72</v>
      </c>
      <c r="G311" t="s">
        <v>71</v>
      </c>
      <c r="H311">
        <v>20.305435334393543</v>
      </c>
      <c r="I311">
        <v>0</v>
      </c>
      <c r="J311">
        <v>7</v>
      </c>
      <c r="K311">
        <v>7</v>
      </c>
      <c r="L311">
        <v>0</v>
      </c>
      <c r="M311">
        <v>7</v>
      </c>
      <c r="N311">
        <v>7</v>
      </c>
      <c r="O311">
        <v>0</v>
      </c>
      <c r="P311">
        <v>9</v>
      </c>
      <c r="Q311">
        <v>5</v>
      </c>
      <c r="R311">
        <v>4</v>
      </c>
      <c r="S311">
        <v>8</v>
      </c>
      <c r="T311">
        <v>8</v>
      </c>
      <c r="U311">
        <v>0</v>
      </c>
      <c r="V311">
        <v>7</v>
      </c>
      <c r="W311">
        <v>8</v>
      </c>
      <c r="X311">
        <v>-1</v>
      </c>
      <c r="Y311">
        <v>9</v>
      </c>
      <c r="Z311">
        <v>9</v>
      </c>
      <c r="AA311">
        <v>0</v>
      </c>
      <c r="AB311">
        <v>8</v>
      </c>
      <c r="AC311">
        <v>9</v>
      </c>
      <c r="AD311">
        <v>-1</v>
      </c>
      <c r="AE311">
        <v>7</v>
      </c>
      <c r="AF311">
        <v>9</v>
      </c>
      <c r="AG311">
        <v>-2</v>
      </c>
      <c r="AH311">
        <v>9</v>
      </c>
      <c r="AI311">
        <v>10</v>
      </c>
      <c r="AJ311">
        <v>-1</v>
      </c>
      <c r="AK311" t="s">
        <v>3047</v>
      </c>
      <c r="AL311" t="s">
        <v>3048</v>
      </c>
      <c r="AM311" t="s">
        <v>3049</v>
      </c>
      <c r="AN311" t="s">
        <v>3050</v>
      </c>
      <c r="AO311" t="s">
        <v>3051</v>
      </c>
      <c r="AP311" t="s">
        <v>3052</v>
      </c>
      <c r="AQ311" t="s">
        <v>3053</v>
      </c>
      <c r="AR311" t="s">
        <v>3054</v>
      </c>
      <c r="AS311" t="s">
        <v>3055</v>
      </c>
    </row>
    <row r="312" spans="1:45" x14ac:dyDescent="0.45">
      <c r="A312">
        <v>311</v>
      </c>
      <c r="B312">
        <v>352</v>
      </c>
      <c r="C312" t="s">
        <v>67</v>
      </c>
      <c r="D312" t="s">
        <v>184</v>
      </c>
      <c r="E312" t="s">
        <v>69</v>
      </c>
      <c r="F312" t="s">
        <v>72</v>
      </c>
      <c r="G312" t="s">
        <v>71</v>
      </c>
      <c r="H312">
        <v>12.462036994725276</v>
      </c>
      <c r="I312">
        <v>0</v>
      </c>
      <c r="J312">
        <v>7</v>
      </c>
      <c r="K312">
        <v>6</v>
      </c>
      <c r="L312">
        <v>1</v>
      </c>
      <c r="M312">
        <v>8</v>
      </c>
      <c r="N312">
        <v>5</v>
      </c>
      <c r="O312">
        <v>3</v>
      </c>
      <c r="P312">
        <v>6</v>
      </c>
      <c r="Q312">
        <v>4</v>
      </c>
      <c r="R312">
        <v>2</v>
      </c>
      <c r="S312">
        <v>9</v>
      </c>
      <c r="T312">
        <v>7</v>
      </c>
      <c r="U312">
        <v>2</v>
      </c>
      <c r="V312">
        <v>7</v>
      </c>
      <c r="W312">
        <v>5</v>
      </c>
      <c r="X312">
        <v>2</v>
      </c>
      <c r="Y312">
        <v>8</v>
      </c>
      <c r="Z312">
        <v>6</v>
      </c>
      <c r="AA312">
        <v>2</v>
      </c>
      <c r="AB312">
        <v>7</v>
      </c>
      <c r="AC312">
        <v>6</v>
      </c>
      <c r="AD312">
        <v>1</v>
      </c>
      <c r="AE312">
        <v>6</v>
      </c>
      <c r="AF312">
        <v>7</v>
      </c>
      <c r="AG312">
        <v>-1</v>
      </c>
      <c r="AH312">
        <v>8</v>
      </c>
      <c r="AI312">
        <v>7</v>
      </c>
      <c r="AJ312">
        <v>1</v>
      </c>
      <c r="AK312" t="s">
        <v>3056</v>
      </c>
      <c r="AL312" t="s">
        <v>3057</v>
      </c>
      <c r="AM312" t="s">
        <v>3058</v>
      </c>
      <c r="AN312" t="s">
        <v>3059</v>
      </c>
      <c r="AO312" t="s">
        <v>3060</v>
      </c>
      <c r="AP312" t="s">
        <v>3061</v>
      </c>
      <c r="AQ312" t="s">
        <v>3062</v>
      </c>
      <c r="AR312" t="s">
        <v>3063</v>
      </c>
      <c r="AS312" t="s">
        <v>3064</v>
      </c>
    </row>
    <row r="313" spans="1:45" x14ac:dyDescent="0.45">
      <c r="A313">
        <v>312</v>
      </c>
      <c r="B313">
        <v>353</v>
      </c>
      <c r="C313" t="s">
        <v>73</v>
      </c>
      <c r="D313" t="s">
        <v>76</v>
      </c>
      <c r="E313" t="s">
        <v>69</v>
      </c>
      <c r="F313" t="s">
        <v>72</v>
      </c>
      <c r="G313" t="s">
        <v>71</v>
      </c>
      <c r="H313">
        <v>19.905338494533282</v>
      </c>
      <c r="I313">
        <v>0</v>
      </c>
      <c r="J313">
        <v>7</v>
      </c>
      <c r="K313">
        <v>8</v>
      </c>
      <c r="L313">
        <v>-1</v>
      </c>
      <c r="M313">
        <v>6</v>
      </c>
      <c r="N313">
        <v>9</v>
      </c>
      <c r="O313">
        <v>-3</v>
      </c>
      <c r="P313">
        <v>8</v>
      </c>
      <c r="Q313">
        <v>10</v>
      </c>
      <c r="R313">
        <v>-2</v>
      </c>
      <c r="S313">
        <v>9</v>
      </c>
      <c r="T313">
        <v>10</v>
      </c>
      <c r="U313">
        <v>-1</v>
      </c>
      <c r="V313">
        <v>7</v>
      </c>
      <c r="W313">
        <v>8</v>
      </c>
      <c r="X313">
        <v>-1</v>
      </c>
      <c r="Y313">
        <v>8</v>
      </c>
      <c r="Z313">
        <v>9</v>
      </c>
      <c r="AA313">
        <v>-1</v>
      </c>
      <c r="AB313">
        <v>7</v>
      </c>
      <c r="AC313">
        <v>8</v>
      </c>
      <c r="AD313">
        <v>-1</v>
      </c>
      <c r="AE313">
        <v>6</v>
      </c>
      <c r="AF313">
        <v>8</v>
      </c>
      <c r="AG313">
        <v>-2</v>
      </c>
      <c r="AH313">
        <v>9</v>
      </c>
      <c r="AI313">
        <v>10</v>
      </c>
      <c r="AJ313">
        <v>-1</v>
      </c>
      <c r="AK313" t="s">
        <v>3065</v>
      </c>
      <c r="AL313" t="s">
        <v>3066</v>
      </c>
      <c r="AM313" t="s">
        <v>3067</v>
      </c>
      <c r="AN313" t="s">
        <v>3068</v>
      </c>
      <c r="AO313" t="s">
        <v>3069</v>
      </c>
      <c r="AP313" t="s">
        <v>3070</v>
      </c>
      <c r="AQ313" t="s">
        <v>3071</v>
      </c>
      <c r="AR313" t="s">
        <v>3072</v>
      </c>
      <c r="AS313" t="s">
        <v>3073</v>
      </c>
    </row>
    <row r="314" spans="1:45" x14ac:dyDescent="0.45">
      <c r="A314">
        <v>313</v>
      </c>
      <c r="B314">
        <v>354</v>
      </c>
      <c r="C314" t="s">
        <v>73</v>
      </c>
      <c r="D314" t="s">
        <v>184</v>
      </c>
      <c r="E314" t="s">
        <v>69</v>
      </c>
      <c r="F314" t="s">
        <v>72</v>
      </c>
      <c r="G314" t="s">
        <v>71</v>
      </c>
      <c r="H314">
        <v>13.72399501447819</v>
      </c>
      <c r="I314">
        <v>0</v>
      </c>
      <c r="J314">
        <v>6</v>
      </c>
      <c r="K314">
        <v>6</v>
      </c>
      <c r="L314">
        <v>0</v>
      </c>
      <c r="M314">
        <v>6</v>
      </c>
      <c r="N314">
        <v>6</v>
      </c>
      <c r="O314">
        <v>0</v>
      </c>
      <c r="P314">
        <v>7</v>
      </c>
      <c r="Q314">
        <v>7</v>
      </c>
      <c r="R314">
        <v>0</v>
      </c>
      <c r="S314">
        <v>9</v>
      </c>
      <c r="T314">
        <v>7</v>
      </c>
      <c r="U314">
        <v>2</v>
      </c>
      <c r="V314">
        <v>8</v>
      </c>
      <c r="W314">
        <v>7</v>
      </c>
      <c r="X314">
        <v>1</v>
      </c>
      <c r="Y314">
        <v>9</v>
      </c>
      <c r="Z314">
        <v>8</v>
      </c>
      <c r="AA314">
        <v>1</v>
      </c>
      <c r="AB314">
        <v>8</v>
      </c>
      <c r="AC314">
        <v>5</v>
      </c>
      <c r="AD314">
        <v>3</v>
      </c>
      <c r="AE314">
        <v>7</v>
      </c>
      <c r="AF314">
        <v>5</v>
      </c>
      <c r="AG314">
        <v>2</v>
      </c>
      <c r="AH314">
        <v>9</v>
      </c>
      <c r="AI314">
        <v>8</v>
      </c>
      <c r="AJ314">
        <v>1</v>
      </c>
      <c r="AK314" t="s">
        <v>3074</v>
      </c>
      <c r="AL314" t="s">
        <v>3075</v>
      </c>
      <c r="AM314" t="s">
        <v>3076</v>
      </c>
      <c r="AN314" t="s">
        <v>3077</v>
      </c>
      <c r="AO314" t="s">
        <v>3078</v>
      </c>
      <c r="AP314" t="s">
        <v>3079</v>
      </c>
      <c r="AQ314" t="s">
        <v>3080</v>
      </c>
      <c r="AR314" t="s">
        <v>3081</v>
      </c>
      <c r="AS314" t="s">
        <v>3082</v>
      </c>
    </row>
    <row r="315" spans="1:45" x14ac:dyDescent="0.45">
      <c r="A315">
        <v>314</v>
      </c>
      <c r="B315">
        <v>355</v>
      </c>
      <c r="C315" t="s">
        <v>67</v>
      </c>
      <c r="D315" t="s">
        <v>184</v>
      </c>
      <c r="E315" t="s">
        <v>69</v>
      </c>
      <c r="F315" t="s">
        <v>72</v>
      </c>
      <c r="G315" t="s">
        <v>71</v>
      </c>
      <c r="H315">
        <v>14.633948040503883</v>
      </c>
      <c r="I315">
        <v>0</v>
      </c>
      <c r="J315">
        <v>6</v>
      </c>
      <c r="K315">
        <v>7</v>
      </c>
      <c r="L315">
        <v>-1</v>
      </c>
      <c r="M315">
        <v>7</v>
      </c>
      <c r="N315">
        <v>8</v>
      </c>
      <c r="O315">
        <v>-1</v>
      </c>
      <c r="P315">
        <v>9</v>
      </c>
      <c r="Q315">
        <v>8</v>
      </c>
      <c r="R315">
        <v>1</v>
      </c>
      <c r="S315">
        <v>8</v>
      </c>
      <c r="T315">
        <v>8</v>
      </c>
      <c r="U315">
        <v>0</v>
      </c>
      <c r="V315">
        <v>6</v>
      </c>
      <c r="W315">
        <v>5</v>
      </c>
      <c r="X315">
        <v>1</v>
      </c>
      <c r="Y315">
        <v>8</v>
      </c>
      <c r="Z315">
        <v>8</v>
      </c>
      <c r="AA315">
        <v>0</v>
      </c>
      <c r="AB315">
        <v>7</v>
      </c>
      <c r="AC315">
        <v>6</v>
      </c>
      <c r="AD315">
        <v>1</v>
      </c>
      <c r="AE315">
        <v>6</v>
      </c>
      <c r="AF315">
        <v>6</v>
      </c>
      <c r="AG315">
        <v>0</v>
      </c>
      <c r="AH315">
        <v>9</v>
      </c>
      <c r="AI315">
        <v>8</v>
      </c>
      <c r="AJ315">
        <v>1</v>
      </c>
      <c r="AK315" t="s">
        <v>586</v>
      </c>
      <c r="AL315" t="s">
        <v>587</v>
      </c>
      <c r="AM315" t="s">
        <v>588</v>
      </c>
      <c r="AN315" t="s">
        <v>589</v>
      </c>
      <c r="AO315" t="s">
        <v>590</v>
      </c>
      <c r="AP315" t="s">
        <v>591</v>
      </c>
      <c r="AQ315" t="s">
        <v>3083</v>
      </c>
      <c r="AR315" t="s">
        <v>3084</v>
      </c>
      <c r="AS315" t="s">
        <v>3085</v>
      </c>
    </row>
    <row r="316" spans="1:45" x14ac:dyDescent="0.45">
      <c r="A316">
        <v>315</v>
      </c>
      <c r="B316">
        <v>356</v>
      </c>
      <c r="C316" t="s">
        <v>73</v>
      </c>
      <c r="D316" t="s">
        <v>184</v>
      </c>
      <c r="E316" t="s">
        <v>69</v>
      </c>
      <c r="F316" t="s">
        <v>72</v>
      </c>
      <c r="G316" t="s">
        <v>71</v>
      </c>
      <c r="H316">
        <v>21.627386207887497</v>
      </c>
      <c r="I316">
        <v>0</v>
      </c>
      <c r="J316">
        <v>7</v>
      </c>
      <c r="K316">
        <v>4</v>
      </c>
      <c r="L316">
        <v>3</v>
      </c>
      <c r="M316">
        <v>7</v>
      </c>
      <c r="N316">
        <v>5</v>
      </c>
      <c r="O316">
        <v>2</v>
      </c>
      <c r="P316">
        <v>6</v>
      </c>
      <c r="Q316">
        <v>5</v>
      </c>
      <c r="R316">
        <v>1</v>
      </c>
      <c r="S316">
        <v>9</v>
      </c>
      <c r="T316">
        <v>7</v>
      </c>
      <c r="U316">
        <v>2</v>
      </c>
      <c r="V316">
        <v>7</v>
      </c>
      <c r="W316">
        <v>5</v>
      </c>
      <c r="X316">
        <v>2</v>
      </c>
      <c r="Y316">
        <v>9</v>
      </c>
      <c r="Z316">
        <v>8</v>
      </c>
      <c r="AA316">
        <v>1</v>
      </c>
      <c r="AB316">
        <v>8</v>
      </c>
      <c r="AC316">
        <v>5</v>
      </c>
      <c r="AD316">
        <v>3</v>
      </c>
      <c r="AE316">
        <v>7</v>
      </c>
      <c r="AF316">
        <v>6</v>
      </c>
      <c r="AG316">
        <v>1</v>
      </c>
      <c r="AH316">
        <v>9</v>
      </c>
      <c r="AI316">
        <v>8</v>
      </c>
      <c r="AJ316">
        <v>1</v>
      </c>
      <c r="AK316" t="s">
        <v>3086</v>
      </c>
      <c r="AL316" t="s">
        <v>3087</v>
      </c>
      <c r="AM316" t="s">
        <v>3088</v>
      </c>
      <c r="AN316" t="s">
        <v>3089</v>
      </c>
      <c r="AO316" t="s">
        <v>3090</v>
      </c>
      <c r="AP316" t="s">
        <v>3091</v>
      </c>
      <c r="AQ316" t="s">
        <v>3092</v>
      </c>
      <c r="AR316" t="s">
        <v>3093</v>
      </c>
      <c r="AS316" t="s">
        <v>3094</v>
      </c>
    </row>
    <row r="317" spans="1:45" x14ac:dyDescent="0.45">
      <c r="A317">
        <v>316</v>
      </c>
      <c r="B317">
        <v>357</v>
      </c>
      <c r="C317" t="s">
        <v>67</v>
      </c>
      <c r="D317" t="s">
        <v>76</v>
      </c>
      <c r="E317" t="s">
        <v>69</v>
      </c>
      <c r="F317" t="s">
        <v>72</v>
      </c>
      <c r="G317" t="s">
        <v>71</v>
      </c>
      <c r="H317">
        <v>23.151042359194257</v>
      </c>
      <c r="I317">
        <v>0</v>
      </c>
      <c r="J317">
        <v>7</v>
      </c>
      <c r="K317">
        <v>6</v>
      </c>
      <c r="L317">
        <v>1</v>
      </c>
      <c r="M317">
        <v>6</v>
      </c>
      <c r="N317">
        <v>8</v>
      </c>
      <c r="O317">
        <v>-2</v>
      </c>
      <c r="P317">
        <v>9</v>
      </c>
      <c r="Q317">
        <v>5</v>
      </c>
      <c r="R317">
        <v>4</v>
      </c>
      <c r="S317">
        <v>8</v>
      </c>
      <c r="T317">
        <v>6</v>
      </c>
      <c r="U317">
        <v>2</v>
      </c>
      <c r="V317">
        <v>6</v>
      </c>
      <c r="W317">
        <v>6</v>
      </c>
      <c r="X317">
        <v>0</v>
      </c>
      <c r="Y317">
        <v>8</v>
      </c>
      <c r="Z317">
        <v>7</v>
      </c>
      <c r="AA317">
        <v>1</v>
      </c>
      <c r="AB317">
        <v>7</v>
      </c>
      <c r="AC317">
        <v>6</v>
      </c>
      <c r="AD317">
        <v>1</v>
      </c>
      <c r="AE317">
        <v>5</v>
      </c>
      <c r="AF317">
        <v>7</v>
      </c>
      <c r="AG317">
        <v>-2</v>
      </c>
      <c r="AH317">
        <v>8</v>
      </c>
      <c r="AI317">
        <v>7</v>
      </c>
      <c r="AJ317">
        <v>1</v>
      </c>
      <c r="AK317" t="s">
        <v>3095</v>
      </c>
      <c r="AL317" t="s">
        <v>3096</v>
      </c>
      <c r="AM317" t="s">
        <v>3097</v>
      </c>
      <c r="AN317" t="s">
        <v>3098</v>
      </c>
      <c r="AO317" t="s">
        <v>3099</v>
      </c>
      <c r="AP317" t="s">
        <v>3100</v>
      </c>
      <c r="AQ317" t="s">
        <v>3101</v>
      </c>
      <c r="AR317" t="s">
        <v>3102</v>
      </c>
      <c r="AS317" t="s">
        <v>3103</v>
      </c>
    </row>
    <row r="318" spans="1:45" x14ac:dyDescent="0.45">
      <c r="A318">
        <v>317</v>
      </c>
      <c r="B318">
        <v>358</v>
      </c>
      <c r="C318" t="s">
        <v>67</v>
      </c>
      <c r="D318" t="s">
        <v>184</v>
      </c>
      <c r="E318" t="s">
        <v>69</v>
      </c>
      <c r="F318" t="s">
        <v>72</v>
      </c>
      <c r="G318" t="s">
        <v>71</v>
      </c>
      <c r="H318">
        <v>13.622190609633545</v>
      </c>
      <c r="I318">
        <v>0</v>
      </c>
      <c r="J318">
        <v>9</v>
      </c>
      <c r="K318">
        <v>7</v>
      </c>
      <c r="L318">
        <v>2</v>
      </c>
      <c r="M318">
        <v>8</v>
      </c>
      <c r="N318">
        <v>7</v>
      </c>
      <c r="O318">
        <v>1</v>
      </c>
      <c r="P318">
        <v>9</v>
      </c>
      <c r="Q318">
        <v>5</v>
      </c>
      <c r="R318">
        <v>4</v>
      </c>
      <c r="S318">
        <v>9</v>
      </c>
      <c r="T318">
        <v>8</v>
      </c>
      <c r="U318">
        <v>1</v>
      </c>
      <c r="V318">
        <v>8</v>
      </c>
      <c r="W318">
        <v>5</v>
      </c>
      <c r="X318">
        <v>3</v>
      </c>
      <c r="Y318">
        <v>9</v>
      </c>
      <c r="Z318">
        <v>8</v>
      </c>
      <c r="AA318">
        <v>1</v>
      </c>
      <c r="AB318">
        <v>8</v>
      </c>
      <c r="AC318">
        <v>5</v>
      </c>
      <c r="AD318">
        <v>3</v>
      </c>
      <c r="AE318">
        <v>9</v>
      </c>
      <c r="AF318">
        <v>7</v>
      </c>
      <c r="AG318">
        <v>2</v>
      </c>
      <c r="AH318">
        <v>9</v>
      </c>
      <c r="AI318">
        <v>8</v>
      </c>
      <c r="AJ318">
        <v>1</v>
      </c>
      <c r="AK318" t="s">
        <v>786</v>
      </c>
      <c r="AL318" t="s">
        <v>787</v>
      </c>
      <c r="AM318" t="s">
        <v>788</v>
      </c>
      <c r="AN318" t="s">
        <v>3104</v>
      </c>
      <c r="AO318" t="s">
        <v>3105</v>
      </c>
      <c r="AP318" t="s">
        <v>3106</v>
      </c>
      <c r="AQ318" t="s">
        <v>3107</v>
      </c>
      <c r="AR318" t="s">
        <v>3108</v>
      </c>
      <c r="AS318" t="s">
        <v>3109</v>
      </c>
    </row>
    <row r="319" spans="1:45" x14ac:dyDescent="0.45">
      <c r="A319">
        <v>318</v>
      </c>
      <c r="B319">
        <v>359</v>
      </c>
      <c r="C319" t="s">
        <v>67</v>
      </c>
      <c r="D319" t="s">
        <v>76</v>
      </c>
      <c r="E319" t="s">
        <v>69</v>
      </c>
      <c r="F319" t="s">
        <v>70</v>
      </c>
      <c r="G319" t="s">
        <v>71</v>
      </c>
      <c r="H319">
        <v>21.623019653793847</v>
      </c>
      <c r="I319">
        <v>0</v>
      </c>
      <c r="J319">
        <v>9</v>
      </c>
      <c r="K319">
        <v>4</v>
      </c>
      <c r="L319">
        <v>5</v>
      </c>
      <c r="M319">
        <v>8</v>
      </c>
      <c r="N319">
        <v>4</v>
      </c>
      <c r="O319">
        <v>4</v>
      </c>
      <c r="P319">
        <v>9</v>
      </c>
      <c r="Q319">
        <v>6</v>
      </c>
      <c r="R319">
        <v>3</v>
      </c>
      <c r="S319">
        <v>8</v>
      </c>
      <c r="T319">
        <v>7</v>
      </c>
      <c r="U319">
        <v>1</v>
      </c>
      <c r="V319">
        <v>9</v>
      </c>
      <c r="W319">
        <v>5</v>
      </c>
      <c r="X319">
        <v>4</v>
      </c>
      <c r="Y319">
        <v>8</v>
      </c>
      <c r="Z319">
        <v>8</v>
      </c>
      <c r="AA319">
        <v>0</v>
      </c>
      <c r="AB319">
        <v>9</v>
      </c>
      <c r="AC319">
        <v>5</v>
      </c>
      <c r="AD319">
        <v>4</v>
      </c>
      <c r="AE319">
        <v>8</v>
      </c>
      <c r="AF319">
        <v>5</v>
      </c>
      <c r="AG319">
        <v>3</v>
      </c>
      <c r="AH319">
        <v>9</v>
      </c>
      <c r="AI319">
        <v>8</v>
      </c>
      <c r="AJ319">
        <v>1</v>
      </c>
      <c r="AK319" t="s">
        <v>3110</v>
      </c>
      <c r="AL319" t="s">
        <v>3111</v>
      </c>
      <c r="AM319" t="s">
        <v>3112</v>
      </c>
      <c r="AN319" t="s">
        <v>3113</v>
      </c>
      <c r="AO319" t="s">
        <v>3114</v>
      </c>
      <c r="AP319" t="s">
        <v>3115</v>
      </c>
      <c r="AQ319" t="s">
        <v>3116</v>
      </c>
      <c r="AR319" t="s">
        <v>3117</v>
      </c>
      <c r="AS319" t="s">
        <v>3118</v>
      </c>
    </row>
    <row r="320" spans="1:45" x14ac:dyDescent="0.45">
      <c r="A320">
        <v>319</v>
      </c>
      <c r="B320">
        <v>360</v>
      </c>
      <c r="C320" t="s">
        <v>67</v>
      </c>
      <c r="D320" t="s">
        <v>184</v>
      </c>
      <c r="E320" t="s">
        <v>69</v>
      </c>
      <c r="F320" t="s">
        <v>72</v>
      </c>
      <c r="G320" t="s">
        <v>71</v>
      </c>
      <c r="H320">
        <v>14.393982380616608</v>
      </c>
      <c r="I320">
        <v>0</v>
      </c>
      <c r="J320">
        <v>7</v>
      </c>
      <c r="K320">
        <v>8</v>
      </c>
      <c r="L320">
        <v>-1</v>
      </c>
      <c r="M320">
        <v>8</v>
      </c>
      <c r="N320">
        <v>8</v>
      </c>
      <c r="O320">
        <v>0</v>
      </c>
      <c r="P320">
        <v>9</v>
      </c>
      <c r="Q320">
        <v>10</v>
      </c>
      <c r="R320">
        <v>-1</v>
      </c>
      <c r="S320">
        <v>8</v>
      </c>
      <c r="T320">
        <v>10</v>
      </c>
      <c r="U320">
        <v>-2</v>
      </c>
      <c r="V320">
        <v>7</v>
      </c>
      <c r="W320">
        <v>9</v>
      </c>
      <c r="X320">
        <v>-2</v>
      </c>
      <c r="Y320">
        <v>9</v>
      </c>
      <c r="Z320">
        <v>10</v>
      </c>
      <c r="AA320">
        <v>-1</v>
      </c>
      <c r="AB320">
        <v>7</v>
      </c>
      <c r="AC320">
        <v>8</v>
      </c>
      <c r="AD320">
        <v>-1</v>
      </c>
      <c r="AE320">
        <v>8</v>
      </c>
      <c r="AF320">
        <v>8</v>
      </c>
      <c r="AG320">
        <v>0</v>
      </c>
      <c r="AH320">
        <v>9</v>
      </c>
      <c r="AI320">
        <v>10</v>
      </c>
      <c r="AJ320">
        <v>-1</v>
      </c>
      <c r="AK320" t="s">
        <v>3119</v>
      </c>
      <c r="AL320" t="s">
        <v>3120</v>
      </c>
      <c r="AM320" t="s">
        <v>3121</v>
      </c>
      <c r="AN320" t="s">
        <v>3122</v>
      </c>
      <c r="AO320" t="s">
        <v>3123</v>
      </c>
      <c r="AP320" t="s">
        <v>3124</v>
      </c>
      <c r="AQ320" t="s">
        <v>3125</v>
      </c>
      <c r="AR320" t="s">
        <v>3126</v>
      </c>
      <c r="AS320" t="s">
        <v>3127</v>
      </c>
    </row>
    <row r="321" spans="1:45" x14ac:dyDescent="0.45">
      <c r="A321">
        <v>320</v>
      </c>
      <c r="B321">
        <v>361</v>
      </c>
      <c r="C321" t="s">
        <v>73</v>
      </c>
      <c r="D321" t="s">
        <v>68</v>
      </c>
      <c r="E321" t="s">
        <v>69</v>
      </c>
      <c r="F321" t="s">
        <v>70</v>
      </c>
      <c r="G321" t="s">
        <v>71</v>
      </c>
      <c r="H321">
        <v>26.708093965814665</v>
      </c>
      <c r="I321">
        <v>0</v>
      </c>
      <c r="J321">
        <v>6</v>
      </c>
      <c r="K321">
        <v>5</v>
      </c>
      <c r="L321">
        <v>1</v>
      </c>
      <c r="M321">
        <v>7</v>
      </c>
      <c r="N321">
        <v>7</v>
      </c>
      <c r="O321">
        <v>0</v>
      </c>
      <c r="P321">
        <v>9</v>
      </c>
      <c r="Q321">
        <v>7</v>
      </c>
      <c r="R321">
        <v>2</v>
      </c>
      <c r="S321">
        <v>10</v>
      </c>
      <c r="T321">
        <v>9</v>
      </c>
      <c r="U321">
        <v>1</v>
      </c>
      <c r="V321">
        <v>8</v>
      </c>
      <c r="W321">
        <v>5</v>
      </c>
      <c r="X321">
        <v>3</v>
      </c>
      <c r="Y321">
        <v>9</v>
      </c>
      <c r="Z321">
        <v>6</v>
      </c>
      <c r="AA321">
        <v>3</v>
      </c>
      <c r="AB321">
        <v>8</v>
      </c>
      <c r="AC321">
        <v>5</v>
      </c>
      <c r="AD321">
        <v>3</v>
      </c>
      <c r="AE321">
        <v>9</v>
      </c>
      <c r="AF321">
        <v>7</v>
      </c>
      <c r="AG321">
        <v>2</v>
      </c>
      <c r="AH321">
        <v>9</v>
      </c>
      <c r="AI321">
        <v>7</v>
      </c>
      <c r="AJ321">
        <v>2</v>
      </c>
      <c r="AK321" t="s">
        <v>592</v>
      </c>
      <c r="AL321" t="s">
        <v>3128</v>
      </c>
      <c r="AM321" t="s">
        <v>3129</v>
      </c>
      <c r="AN321" t="s">
        <v>3130</v>
      </c>
      <c r="AO321" t="s">
        <v>3131</v>
      </c>
      <c r="AP321" t="s">
        <v>3132</v>
      </c>
      <c r="AQ321" t="s">
        <v>3133</v>
      </c>
      <c r="AR321" t="s">
        <v>3134</v>
      </c>
      <c r="AS321" t="s">
        <v>3135</v>
      </c>
    </row>
    <row r="322" spans="1:45" x14ac:dyDescent="0.45">
      <c r="A322">
        <v>321</v>
      </c>
      <c r="B322">
        <v>362</v>
      </c>
      <c r="C322" t="s">
        <v>67</v>
      </c>
      <c r="D322" t="s">
        <v>184</v>
      </c>
      <c r="E322" t="s">
        <v>69</v>
      </c>
      <c r="F322" t="s">
        <v>72</v>
      </c>
      <c r="G322" t="s">
        <v>71</v>
      </c>
      <c r="H322">
        <v>14.498736186192334</v>
      </c>
      <c r="I322">
        <v>0</v>
      </c>
      <c r="J322">
        <v>6</v>
      </c>
      <c r="K322">
        <v>8</v>
      </c>
      <c r="L322">
        <v>-2</v>
      </c>
      <c r="M322">
        <v>7</v>
      </c>
      <c r="N322">
        <v>8</v>
      </c>
      <c r="O322">
        <v>-1</v>
      </c>
      <c r="P322">
        <v>8</v>
      </c>
      <c r="Q322">
        <v>7</v>
      </c>
      <c r="R322">
        <v>1</v>
      </c>
      <c r="S322">
        <v>9</v>
      </c>
      <c r="T322">
        <v>9</v>
      </c>
      <c r="U322">
        <v>0</v>
      </c>
      <c r="V322">
        <v>5</v>
      </c>
      <c r="W322">
        <v>9</v>
      </c>
      <c r="X322">
        <v>-4</v>
      </c>
      <c r="Y322">
        <v>6</v>
      </c>
      <c r="Z322">
        <v>9</v>
      </c>
      <c r="AA322">
        <v>-3</v>
      </c>
      <c r="AB322">
        <v>7</v>
      </c>
      <c r="AC322">
        <v>7</v>
      </c>
      <c r="AD322">
        <v>0</v>
      </c>
      <c r="AE322">
        <v>8</v>
      </c>
      <c r="AF322">
        <v>9</v>
      </c>
      <c r="AG322">
        <v>-1</v>
      </c>
      <c r="AH322">
        <v>9</v>
      </c>
      <c r="AI322">
        <v>9</v>
      </c>
      <c r="AJ322">
        <v>0</v>
      </c>
      <c r="AK322" t="s">
        <v>3136</v>
      </c>
      <c r="AL322" t="s">
        <v>3137</v>
      </c>
      <c r="AM322" t="s">
        <v>3138</v>
      </c>
      <c r="AN322" t="s">
        <v>3139</v>
      </c>
      <c r="AO322" t="s">
        <v>3140</v>
      </c>
      <c r="AP322" t="s">
        <v>3141</v>
      </c>
      <c r="AQ322" t="s">
        <v>3142</v>
      </c>
      <c r="AR322" t="s">
        <v>3143</v>
      </c>
      <c r="AS322" t="s">
        <v>3144</v>
      </c>
    </row>
    <row r="323" spans="1:45" x14ac:dyDescent="0.45">
      <c r="A323">
        <v>322</v>
      </c>
      <c r="B323">
        <v>363</v>
      </c>
      <c r="C323" t="s">
        <v>73</v>
      </c>
      <c r="D323" t="s">
        <v>76</v>
      </c>
      <c r="E323" t="s">
        <v>69</v>
      </c>
      <c r="F323" t="s">
        <v>72</v>
      </c>
      <c r="G323" t="s">
        <v>71</v>
      </c>
      <c r="H323">
        <v>24.581841060527552</v>
      </c>
      <c r="I323">
        <v>0</v>
      </c>
      <c r="J323">
        <v>7</v>
      </c>
      <c r="K323">
        <v>5</v>
      </c>
      <c r="L323">
        <v>2</v>
      </c>
      <c r="M323">
        <v>7</v>
      </c>
      <c r="N323">
        <v>5</v>
      </c>
      <c r="O323">
        <v>2</v>
      </c>
      <c r="P323">
        <v>8</v>
      </c>
      <c r="Q323">
        <v>5</v>
      </c>
      <c r="R323">
        <v>3</v>
      </c>
      <c r="S323">
        <v>9</v>
      </c>
      <c r="T323">
        <v>7</v>
      </c>
      <c r="U323">
        <v>2</v>
      </c>
      <c r="V323">
        <v>8</v>
      </c>
      <c r="W323">
        <v>5</v>
      </c>
      <c r="X323">
        <v>3</v>
      </c>
      <c r="Y323">
        <v>9</v>
      </c>
      <c r="Z323">
        <v>7</v>
      </c>
      <c r="AA323">
        <v>2</v>
      </c>
      <c r="AB323">
        <v>7</v>
      </c>
      <c r="AC323">
        <v>5</v>
      </c>
      <c r="AD323">
        <v>2</v>
      </c>
      <c r="AE323">
        <v>8</v>
      </c>
      <c r="AF323">
        <v>5</v>
      </c>
      <c r="AG323">
        <v>3</v>
      </c>
      <c r="AH323">
        <v>8</v>
      </c>
      <c r="AI323">
        <v>7</v>
      </c>
      <c r="AJ323">
        <v>1</v>
      </c>
      <c r="AK323" t="s">
        <v>3145</v>
      </c>
      <c r="AL323" t="s">
        <v>3146</v>
      </c>
      <c r="AM323" t="s">
        <v>3147</v>
      </c>
      <c r="AN323" t="s">
        <v>3148</v>
      </c>
      <c r="AO323" t="s">
        <v>3149</v>
      </c>
      <c r="AP323" t="s">
        <v>3150</v>
      </c>
      <c r="AQ323" t="s">
        <v>3151</v>
      </c>
      <c r="AR323" t="s">
        <v>3152</v>
      </c>
      <c r="AS323" t="s">
        <v>3153</v>
      </c>
    </row>
    <row r="324" spans="1:45" x14ac:dyDescent="0.45">
      <c r="A324">
        <v>323</v>
      </c>
      <c r="B324">
        <v>364</v>
      </c>
      <c r="C324" t="s">
        <v>73</v>
      </c>
      <c r="D324" t="s">
        <v>76</v>
      </c>
      <c r="E324" t="s">
        <v>69</v>
      </c>
      <c r="F324" t="s">
        <v>70</v>
      </c>
      <c r="G324" t="s">
        <v>71</v>
      </c>
      <c r="H324">
        <v>25.254576399845785</v>
      </c>
      <c r="I324">
        <v>0</v>
      </c>
      <c r="J324">
        <v>6</v>
      </c>
      <c r="K324">
        <v>7</v>
      </c>
      <c r="L324">
        <v>-1</v>
      </c>
      <c r="M324">
        <v>8</v>
      </c>
      <c r="N324">
        <v>7</v>
      </c>
      <c r="O324">
        <v>1</v>
      </c>
      <c r="P324">
        <v>9</v>
      </c>
      <c r="Q324">
        <v>8</v>
      </c>
      <c r="R324">
        <v>1</v>
      </c>
      <c r="S324">
        <v>10</v>
      </c>
      <c r="T324">
        <v>8</v>
      </c>
      <c r="U324">
        <v>2</v>
      </c>
      <c r="V324">
        <v>9</v>
      </c>
      <c r="W324">
        <v>6</v>
      </c>
      <c r="X324">
        <v>3</v>
      </c>
      <c r="Y324">
        <v>8</v>
      </c>
      <c r="Z324">
        <v>7</v>
      </c>
      <c r="AA324">
        <v>1</v>
      </c>
      <c r="AB324">
        <v>9</v>
      </c>
      <c r="AC324">
        <v>6</v>
      </c>
      <c r="AD324">
        <v>3</v>
      </c>
      <c r="AE324">
        <v>8</v>
      </c>
      <c r="AF324">
        <v>7</v>
      </c>
      <c r="AG324">
        <v>1</v>
      </c>
      <c r="AH324">
        <v>9</v>
      </c>
      <c r="AI324">
        <v>7</v>
      </c>
      <c r="AJ324">
        <v>2</v>
      </c>
      <c r="AK324" t="s">
        <v>593</v>
      </c>
      <c r="AL324" t="s">
        <v>594</v>
      </c>
      <c r="AM324" t="s">
        <v>3154</v>
      </c>
      <c r="AN324" t="s">
        <v>3155</v>
      </c>
      <c r="AO324" t="s">
        <v>3156</v>
      </c>
      <c r="AP324" t="s">
        <v>3157</v>
      </c>
      <c r="AQ324" t="s">
        <v>3158</v>
      </c>
      <c r="AR324" t="s">
        <v>3159</v>
      </c>
      <c r="AS324" t="s">
        <v>3160</v>
      </c>
    </row>
    <row r="325" spans="1:45" x14ac:dyDescent="0.45">
      <c r="A325">
        <v>324</v>
      </c>
      <c r="B325">
        <v>365</v>
      </c>
      <c r="C325" t="s">
        <v>67</v>
      </c>
      <c r="D325" t="s">
        <v>184</v>
      </c>
      <c r="E325" t="s">
        <v>69</v>
      </c>
      <c r="F325" t="s">
        <v>72</v>
      </c>
      <c r="G325" t="s">
        <v>71</v>
      </c>
      <c r="H325">
        <v>12</v>
      </c>
      <c r="I325">
        <v>0</v>
      </c>
      <c r="J325">
        <v>7</v>
      </c>
      <c r="K325">
        <v>7</v>
      </c>
      <c r="L325">
        <v>0</v>
      </c>
      <c r="M325">
        <v>6</v>
      </c>
      <c r="N325">
        <v>7</v>
      </c>
      <c r="O325">
        <v>-1</v>
      </c>
      <c r="P325">
        <v>8</v>
      </c>
      <c r="Q325">
        <v>5</v>
      </c>
      <c r="R325">
        <v>3</v>
      </c>
      <c r="S325">
        <v>9</v>
      </c>
      <c r="T325">
        <v>7</v>
      </c>
      <c r="U325">
        <v>2</v>
      </c>
      <c r="V325">
        <v>7</v>
      </c>
      <c r="W325">
        <v>7</v>
      </c>
      <c r="X325">
        <v>0</v>
      </c>
      <c r="Y325">
        <v>8</v>
      </c>
      <c r="Z325">
        <v>7</v>
      </c>
      <c r="AA325">
        <v>1</v>
      </c>
      <c r="AB325">
        <v>7</v>
      </c>
      <c r="AC325">
        <v>5</v>
      </c>
      <c r="AD325">
        <v>2</v>
      </c>
      <c r="AE325">
        <v>8</v>
      </c>
      <c r="AF325">
        <v>5</v>
      </c>
      <c r="AG325">
        <v>3</v>
      </c>
      <c r="AH325">
        <v>9</v>
      </c>
      <c r="AI325">
        <v>8</v>
      </c>
      <c r="AJ325">
        <v>1</v>
      </c>
      <c r="AK325" t="s">
        <v>595</v>
      </c>
      <c r="AL325" t="s">
        <v>596</v>
      </c>
      <c r="AM325" t="s">
        <v>597</v>
      </c>
      <c r="AN325" t="s">
        <v>598</v>
      </c>
      <c r="AO325" t="s">
        <v>599</v>
      </c>
      <c r="AP325" t="s">
        <v>600</v>
      </c>
      <c r="AQ325" t="s">
        <v>601</v>
      </c>
      <c r="AR325" t="s">
        <v>602</v>
      </c>
      <c r="AS325" t="s">
        <v>603</v>
      </c>
    </row>
    <row r="326" spans="1:45" x14ac:dyDescent="0.45">
      <c r="A326">
        <v>325</v>
      </c>
      <c r="B326">
        <v>366</v>
      </c>
      <c r="C326" t="s">
        <v>73</v>
      </c>
      <c r="D326" t="s">
        <v>68</v>
      </c>
      <c r="E326" t="s">
        <v>69</v>
      </c>
      <c r="F326" t="s">
        <v>72</v>
      </c>
      <c r="G326" t="s">
        <v>71</v>
      </c>
      <c r="H326">
        <v>37.765270489529698</v>
      </c>
      <c r="I326">
        <v>1</v>
      </c>
      <c r="J326">
        <v>9</v>
      </c>
      <c r="K326">
        <v>2</v>
      </c>
      <c r="L326">
        <v>7</v>
      </c>
      <c r="M326">
        <v>8</v>
      </c>
      <c r="N326">
        <v>2</v>
      </c>
      <c r="O326">
        <v>6</v>
      </c>
      <c r="P326">
        <v>8</v>
      </c>
      <c r="Q326">
        <v>6</v>
      </c>
      <c r="R326">
        <v>2</v>
      </c>
      <c r="S326">
        <v>9</v>
      </c>
      <c r="T326">
        <v>7</v>
      </c>
      <c r="U326">
        <v>2</v>
      </c>
      <c r="V326">
        <v>7</v>
      </c>
      <c r="W326">
        <v>2</v>
      </c>
      <c r="X326">
        <v>5</v>
      </c>
      <c r="Y326">
        <v>8</v>
      </c>
      <c r="Z326">
        <v>5</v>
      </c>
      <c r="AA326">
        <v>3</v>
      </c>
      <c r="AB326">
        <v>7</v>
      </c>
      <c r="AC326">
        <v>5</v>
      </c>
      <c r="AD326">
        <v>2</v>
      </c>
      <c r="AE326">
        <v>8</v>
      </c>
      <c r="AF326">
        <v>6</v>
      </c>
      <c r="AG326">
        <v>2</v>
      </c>
      <c r="AH326">
        <v>9</v>
      </c>
      <c r="AI326">
        <v>5</v>
      </c>
      <c r="AJ326">
        <v>4</v>
      </c>
      <c r="AK326" t="s">
        <v>3161</v>
      </c>
      <c r="AL326" t="s">
        <v>3162</v>
      </c>
      <c r="AM326" t="s">
        <v>3163</v>
      </c>
      <c r="AN326" t="s">
        <v>3164</v>
      </c>
      <c r="AO326" t="s">
        <v>3165</v>
      </c>
      <c r="AP326" t="s">
        <v>3166</v>
      </c>
      <c r="AQ326" t="s">
        <v>3167</v>
      </c>
      <c r="AR326" t="s">
        <v>3168</v>
      </c>
      <c r="AS326" t="s">
        <v>3169</v>
      </c>
    </row>
    <row r="327" spans="1:45" x14ac:dyDescent="0.45">
      <c r="A327">
        <v>326</v>
      </c>
      <c r="B327">
        <v>367</v>
      </c>
      <c r="C327" t="s">
        <v>67</v>
      </c>
      <c r="D327" t="s">
        <v>74</v>
      </c>
      <c r="E327" t="s">
        <v>69</v>
      </c>
      <c r="F327" t="s">
        <v>72</v>
      </c>
      <c r="G327" t="s">
        <v>71</v>
      </c>
      <c r="H327">
        <v>50.484651179719123</v>
      </c>
      <c r="I327">
        <v>2</v>
      </c>
      <c r="J327">
        <v>6</v>
      </c>
      <c r="K327">
        <v>8</v>
      </c>
      <c r="L327">
        <v>-2</v>
      </c>
      <c r="M327">
        <v>7</v>
      </c>
      <c r="N327">
        <v>9</v>
      </c>
      <c r="O327">
        <v>-2</v>
      </c>
      <c r="P327">
        <v>8</v>
      </c>
      <c r="Q327">
        <v>9</v>
      </c>
      <c r="R327">
        <v>-1</v>
      </c>
      <c r="S327">
        <v>9</v>
      </c>
      <c r="T327">
        <v>10</v>
      </c>
      <c r="U327">
        <v>-1</v>
      </c>
      <c r="V327">
        <v>8</v>
      </c>
      <c r="W327">
        <v>8</v>
      </c>
      <c r="X327">
        <v>0</v>
      </c>
      <c r="Y327">
        <v>7</v>
      </c>
      <c r="Z327">
        <v>10</v>
      </c>
      <c r="AA327">
        <v>-3</v>
      </c>
      <c r="AB327">
        <v>6</v>
      </c>
      <c r="AC327">
        <v>9</v>
      </c>
      <c r="AD327">
        <v>-3</v>
      </c>
      <c r="AE327">
        <v>7</v>
      </c>
      <c r="AF327">
        <v>9</v>
      </c>
      <c r="AG327">
        <v>-2</v>
      </c>
      <c r="AH327">
        <v>8</v>
      </c>
      <c r="AI327">
        <v>10</v>
      </c>
      <c r="AJ327">
        <v>-2</v>
      </c>
      <c r="AK327" t="s">
        <v>3170</v>
      </c>
      <c r="AL327" t="s">
        <v>3171</v>
      </c>
      <c r="AM327" t="s">
        <v>3172</v>
      </c>
      <c r="AN327" t="s">
        <v>3173</v>
      </c>
      <c r="AO327" t="s">
        <v>3174</v>
      </c>
      <c r="AP327" t="s">
        <v>3175</v>
      </c>
      <c r="AQ327" t="s">
        <v>3176</v>
      </c>
      <c r="AR327" t="s">
        <v>3177</v>
      </c>
      <c r="AS327" t="s">
        <v>3178</v>
      </c>
    </row>
    <row r="328" spans="1:45" x14ac:dyDescent="0.45">
      <c r="A328">
        <v>327</v>
      </c>
      <c r="B328">
        <v>368</v>
      </c>
      <c r="C328" t="s">
        <v>67</v>
      </c>
      <c r="D328" t="s">
        <v>76</v>
      </c>
      <c r="E328" t="s">
        <v>69</v>
      </c>
      <c r="F328" t="s">
        <v>72</v>
      </c>
      <c r="G328" t="s">
        <v>71</v>
      </c>
      <c r="H328">
        <v>21.137777265822383</v>
      </c>
      <c r="I328">
        <v>0</v>
      </c>
      <c r="J328">
        <v>7</v>
      </c>
      <c r="K328">
        <v>7</v>
      </c>
      <c r="L328">
        <v>0</v>
      </c>
      <c r="M328">
        <v>6</v>
      </c>
      <c r="N328">
        <v>7</v>
      </c>
      <c r="O328">
        <v>-1</v>
      </c>
      <c r="P328">
        <v>8</v>
      </c>
      <c r="Q328">
        <v>7</v>
      </c>
      <c r="R328">
        <v>1</v>
      </c>
      <c r="S328">
        <v>9</v>
      </c>
      <c r="T328">
        <v>9</v>
      </c>
      <c r="U328">
        <v>0</v>
      </c>
      <c r="V328">
        <v>7</v>
      </c>
      <c r="W328">
        <v>7</v>
      </c>
      <c r="X328">
        <v>0</v>
      </c>
      <c r="Y328">
        <v>8</v>
      </c>
      <c r="Z328">
        <v>8</v>
      </c>
      <c r="AA328">
        <v>0</v>
      </c>
      <c r="AB328">
        <v>7</v>
      </c>
      <c r="AC328">
        <v>5</v>
      </c>
      <c r="AD328">
        <v>2</v>
      </c>
      <c r="AE328">
        <v>6</v>
      </c>
      <c r="AF328">
        <v>7</v>
      </c>
      <c r="AG328">
        <v>-1</v>
      </c>
      <c r="AH328">
        <v>9</v>
      </c>
      <c r="AI328">
        <v>8</v>
      </c>
      <c r="AJ328">
        <v>1</v>
      </c>
      <c r="AK328" t="s">
        <v>3179</v>
      </c>
      <c r="AL328" t="s">
        <v>3180</v>
      </c>
      <c r="AM328" t="s">
        <v>3181</v>
      </c>
      <c r="AN328" t="s">
        <v>3182</v>
      </c>
      <c r="AO328" t="s">
        <v>3183</v>
      </c>
      <c r="AP328" t="s">
        <v>3184</v>
      </c>
      <c r="AQ328" t="s">
        <v>3185</v>
      </c>
      <c r="AR328" t="s">
        <v>3186</v>
      </c>
      <c r="AS328" t="s">
        <v>3187</v>
      </c>
    </row>
    <row r="329" spans="1:45" x14ac:dyDescent="0.45">
      <c r="A329">
        <v>328</v>
      </c>
      <c r="B329">
        <v>369</v>
      </c>
      <c r="C329" t="s">
        <v>73</v>
      </c>
      <c r="D329" t="s">
        <v>74</v>
      </c>
      <c r="E329" t="s">
        <v>69</v>
      </c>
      <c r="F329" t="s">
        <v>70</v>
      </c>
      <c r="G329" t="s">
        <v>71</v>
      </c>
      <c r="H329">
        <v>86.712170908790966</v>
      </c>
      <c r="I329">
        <v>3</v>
      </c>
      <c r="J329">
        <v>8</v>
      </c>
      <c r="K329">
        <v>7</v>
      </c>
      <c r="L329">
        <v>1</v>
      </c>
      <c r="M329">
        <v>8</v>
      </c>
      <c r="N329">
        <v>8</v>
      </c>
      <c r="O329">
        <v>0</v>
      </c>
      <c r="P329">
        <v>9</v>
      </c>
      <c r="Q329">
        <v>9</v>
      </c>
      <c r="R329">
        <v>0</v>
      </c>
      <c r="S329">
        <v>9</v>
      </c>
      <c r="T329">
        <v>9</v>
      </c>
      <c r="U329">
        <v>0</v>
      </c>
      <c r="V329">
        <v>8</v>
      </c>
      <c r="W329">
        <v>9</v>
      </c>
      <c r="X329">
        <v>-1</v>
      </c>
      <c r="Y329">
        <v>8</v>
      </c>
      <c r="Z329">
        <v>8</v>
      </c>
      <c r="AA329">
        <v>0</v>
      </c>
      <c r="AB329">
        <v>8</v>
      </c>
      <c r="AC329">
        <v>7</v>
      </c>
      <c r="AD329">
        <v>1</v>
      </c>
      <c r="AE329">
        <v>7</v>
      </c>
      <c r="AF329">
        <v>7</v>
      </c>
      <c r="AG329">
        <v>0</v>
      </c>
      <c r="AH329">
        <v>8</v>
      </c>
      <c r="AI329">
        <v>9</v>
      </c>
      <c r="AJ329">
        <v>-1</v>
      </c>
      <c r="AK329" t="s">
        <v>3188</v>
      </c>
      <c r="AL329" t="s">
        <v>3189</v>
      </c>
      <c r="AM329" t="s">
        <v>3190</v>
      </c>
      <c r="AN329" t="s">
        <v>3191</v>
      </c>
      <c r="AO329" t="s">
        <v>3192</v>
      </c>
      <c r="AP329" t="s">
        <v>3193</v>
      </c>
      <c r="AQ329" t="s">
        <v>3194</v>
      </c>
      <c r="AR329" t="s">
        <v>3195</v>
      </c>
      <c r="AS329" t="s">
        <v>3196</v>
      </c>
    </row>
    <row r="330" spans="1:45" x14ac:dyDescent="0.45">
      <c r="A330">
        <v>329</v>
      </c>
      <c r="B330">
        <v>370</v>
      </c>
      <c r="C330" t="s">
        <v>67</v>
      </c>
      <c r="D330" t="s">
        <v>76</v>
      </c>
      <c r="E330" t="s">
        <v>69</v>
      </c>
      <c r="F330" t="s">
        <v>72</v>
      </c>
      <c r="G330" t="s">
        <v>71</v>
      </c>
      <c r="H330">
        <v>13.163817633558187</v>
      </c>
      <c r="I330">
        <v>0</v>
      </c>
      <c r="J330">
        <v>6</v>
      </c>
      <c r="K330">
        <v>7</v>
      </c>
      <c r="L330">
        <v>-1</v>
      </c>
      <c r="M330">
        <v>6</v>
      </c>
      <c r="N330">
        <v>7</v>
      </c>
      <c r="O330">
        <v>-1</v>
      </c>
      <c r="P330">
        <v>8</v>
      </c>
      <c r="Q330">
        <v>9</v>
      </c>
      <c r="R330">
        <v>-1</v>
      </c>
      <c r="S330">
        <v>9</v>
      </c>
      <c r="T330">
        <v>9</v>
      </c>
      <c r="U330">
        <v>0</v>
      </c>
      <c r="V330">
        <v>7</v>
      </c>
      <c r="W330">
        <v>9</v>
      </c>
      <c r="X330">
        <v>-2</v>
      </c>
      <c r="Y330">
        <v>8</v>
      </c>
      <c r="Z330">
        <v>9</v>
      </c>
      <c r="AA330">
        <v>-1</v>
      </c>
      <c r="AB330">
        <v>7</v>
      </c>
      <c r="AC330">
        <v>5</v>
      </c>
      <c r="AD330">
        <v>2</v>
      </c>
      <c r="AE330">
        <v>6</v>
      </c>
      <c r="AF330">
        <v>6</v>
      </c>
      <c r="AG330">
        <v>0</v>
      </c>
      <c r="AH330">
        <v>9</v>
      </c>
      <c r="AI330">
        <v>9</v>
      </c>
      <c r="AJ330">
        <v>0</v>
      </c>
      <c r="AK330" t="s">
        <v>3197</v>
      </c>
      <c r="AL330" t="s">
        <v>3198</v>
      </c>
      <c r="AM330" t="s">
        <v>3199</v>
      </c>
      <c r="AN330" t="s">
        <v>3200</v>
      </c>
      <c r="AO330" t="s">
        <v>3201</v>
      </c>
      <c r="AP330" t="s">
        <v>3202</v>
      </c>
      <c r="AQ330" t="s">
        <v>3203</v>
      </c>
      <c r="AR330" t="s">
        <v>3204</v>
      </c>
      <c r="AS330" t="s">
        <v>3205</v>
      </c>
    </row>
    <row r="331" spans="1:45" x14ac:dyDescent="0.45">
      <c r="A331">
        <v>330</v>
      </c>
      <c r="B331">
        <v>371</v>
      </c>
      <c r="C331" t="s">
        <v>73</v>
      </c>
      <c r="D331" t="s">
        <v>184</v>
      </c>
      <c r="E331" t="s">
        <v>69</v>
      </c>
      <c r="F331" t="s">
        <v>72</v>
      </c>
      <c r="G331" t="s">
        <v>71</v>
      </c>
      <c r="H331">
        <v>15.081158510371475</v>
      </c>
      <c r="I331">
        <v>0</v>
      </c>
      <c r="J331">
        <v>7</v>
      </c>
      <c r="K331">
        <v>3</v>
      </c>
      <c r="L331">
        <v>4</v>
      </c>
      <c r="M331">
        <v>8</v>
      </c>
      <c r="N331">
        <v>3</v>
      </c>
      <c r="O331">
        <v>5</v>
      </c>
      <c r="P331">
        <v>9</v>
      </c>
      <c r="Q331">
        <v>5</v>
      </c>
      <c r="R331">
        <v>4</v>
      </c>
      <c r="S331">
        <v>9</v>
      </c>
      <c r="T331">
        <v>6</v>
      </c>
      <c r="U331">
        <v>3</v>
      </c>
      <c r="V331">
        <v>7</v>
      </c>
      <c r="W331">
        <v>4</v>
      </c>
      <c r="X331">
        <v>3</v>
      </c>
      <c r="Y331">
        <v>8</v>
      </c>
      <c r="Z331">
        <v>5</v>
      </c>
      <c r="AA331">
        <v>3</v>
      </c>
      <c r="AB331">
        <v>7</v>
      </c>
      <c r="AC331">
        <v>5</v>
      </c>
      <c r="AD331">
        <v>2</v>
      </c>
      <c r="AE331">
        <v>8</v>
      </c>
      <c r="AF331">
        <v>5</v>
      </c>
      <c r="AG331">
        <v>3</v>
      </c>
      <c r="AH331">
        <v>9</v>
      </c>
      <c r="AI331">
        <v>5</v>
      </c>
      <c r="AJ331">
        <v>4</v>
      </c>
      <c r="AK331" t="s">
        <v>3206</v>
      </c>
      <c r="AL331" t="s">
        <v>3207</v>
      </c>
      <c r="AM331" t="s">
        <v>3208</v>
      </c>
      <c r="AN331" t="s">
        <v>3209</v>
      </c>
      <c r="AO331" t="s">
        <v>3210</v>
      </c>
      <c r="AP331" t="s">
        <v>3211</v>
      </c>
      <c r="AQ331" t="s">
        <v>3212</v>
      </c>
      <c r="AR331" t="s">
        <v>3213</v>
      </c>
      <c r="AS331" t="s">
        <v>3214</v>
      </c>
    </row>
    <row r="332" spans="1:45" x14ac:dyDescent="0.45">
      <c r="A332">
        <v>331</v>
      </c>
      <c r="B332">
        <v>372</v>
      </c>
      <c r="C332" t="s">
        <v>73</v>
      </c>
      <c r="D332" t="s">
        <v>68</v>
      </c>
      <c r="E332" t="s">
        <v>69</v>
      </c>
      <c r="F332" t="s">
        <v>72</v>
      </c>
      <c r="G332" t="s">
        <v>71</v>
      </c>
      <c r="H332">
        <v>28.060003082582007</v>
      </c>
      <c r="I332">
        <v>1</v>
      </c>
      <c r="J332">
        <v>8</v>
      </c>
      <c r="K332">
        <v>4</v>
      </c>
      <c r="L332">
        <v>4</v>
      </c>
      <c r="M332">
        <v>9</v>
      </c>
      <c r="N332">
        <v>4</v>
      </c>
      <c r="O332">
        <v>5</v>
      </c>
      <c r="P332">
        <v>7</v>
      </c>
      <c r="Q332">
        <v>5</v>
      </c>
      <c r="R332">
        <v>2</v>
      </c>
      <c r="S332">
        <v>8</v>
      </c>
      <c r="T332">
        <v>6</v>
      </c>
      <c r="U332">
        <v>2</v>
      </c>
      <c r="V332">
        <v>9</v>
      </c>
      <c r="W332">
        <v>4</v>
      </c>
      <c r="X332">
        <v>5</v>
      </c>
      <c r="Y332">
        <v>8</v>
      </c>
      <c r="Z332">
        <v>5</v>
      </c>
      <c r="AA332">
        <v>3</v>
      </c>
      <c r="AB332">
        <v>9</v>
      </c>
      <c r="AC332">
        <v>3</v>
      </c>
      <c r="AD332">
        <v>6</v>
      </c>
      <c r="AE332">
        <v>7</v>
      </c>
      <c r="AF332">
        <v>4</v>
      </c>
      <c r="AG332">
        <v>3</v>
      </c>
      <c r="AH332">
        <v>9</v>
      </c>
      <c r="AI332">
        <v>5</v>
      </c>
      <c r="AJ332">
        <v>4</v>
      </c>
      <c r="AK332" t="s">
        <v>789</v>
      </c>
      <c r="AL332" t="s">
        <v>3215</v>
      </c>
      <c r="AM332" t="s">
        <v>3216</v>
      </c>
      <c r="AN332" t="s">
        <v>3217</v>
      </c>
      <c r="AO332" t="s">
        <v>3218</v>
      </c>
      <c r="AP332" t="s">
        <v>3219</v>
      </c>
      <c r="AQ332" t="s">
        <v>3220</v>
      </c>
      <c r="AR332" t="s">
        <v>3221</v>
      </c>
      <c r="AS332" t="s">
        <v>3222</v>
      </c>
    </row>
    <row r="333" spans="1:45" x14ac:dyDescent="0.45">
      <c r="A333">
        <v>332</v>
      </c>
      <c r="B333">
        <v>373</v>
      </c>
      <c r="C333" t="s">
        <v>67</v>
      </c>
      <c r="D333" t="s">
        <v>184</v>
      </c>
      <c r="E333" t="s">
        <v>69</v>
      </c>
      <c r="F333" t="s">
        <v>72</v>
      </c>
      <c r="G333" t="s">
        <v>71</v>
      </c>
      <c r="H333">
        <v>19.229504179534565</v>
      </c>
      <c r="I333">
        <v>0</v>
      </c>
      <c r="J333">
        <v>7</v>
      </c>
      <c r="K333">
        <v>7</v>
      </c>
      <c r="L333">
        <v>0</v>
      </c>
      <c r="M333">
        <v>8</v>
      </c>
      <c r="N333">
        <v>7</v>
      </c>
      <c r="O333">
        <v>1</v>
      </c>
      <c r="P333">
        <v>9</v>
      </c>
      <c r="Q333">
        <v>9</v>
      </c>
      <c r="R333">
        <v>0</v>
      </c>
      <c r="S333">
        <v>9</v>
      </c>
      <c r="T333">
        <v>9</v>
      </c>
      <c r="U333">
        <v>0</v>
      </c>
      <c r="V333">
        <v>7</v>
      </c>
      <c r="W333">
        <v>8</v>
      </c>
      <c r="X333">
        <v>-1</v>
      </c>
      <c r="Y333">
        <v>9</v>
      </c>
      <c r="Z333">
        <v>9</v>
      </c>
      <c r="AA333">
        <v>0</v>
      </c>
      <c r="AB333">
        <v>8</v>
      </c>
      <c r="AC333">
        <v>7</v>
      </c>
      <c r="AD333">
        <v>1</v>
      </c>
      <c r="AE333">
        <v>6</v>
      </c>
      <c r="AF333">
        <v>9</v>
      </c>
      <c r="AG333">
        <v>-3</v>
      </c>
      <c r="AH333">
        <v>9</v>
      </c>
      <c r="AI333">
        <v>9</v>
      </c>
      <c r="AJ333">
        <v>0</v>
      </c>
      <c r="AK333" t="s">
        <v>3223</v>
      </c>
      <c r="AL333" t="s">
        <v>3224</v>
      </c>
      <c r="AM333" t="s">
        <v>3225</v>
      </c>
      <c r="AN333" t="s">
        <v>3226</v>
      </c>
      <c r="AO333" t="s">
        <v>3227</v>
      </c>
      <c r="AP333" t="s">
        <v>3228</v>
      </c>
      <c r="AQ333" t="s">
        <v>3229</v>
      </c>
      <c r="AR333" t="s">
        <v>3230</v>
      </c>
      <c r="AS333" t="s">
        <v>3231</v>
      </c>
    </row>
    <row r="334" spans="1:45" x14ac:dyDescent="0.45">
      <c r="A334">
        <v>333</v>
      </c>
      <c r="B334">
        <v>374</v>
      </c>
      <c r="C334" t="s">
        <v>73</v>
      </c>
      <c r="D334" t="s">
        <v>74</v>
      </c>
      <c r="E334" t="s">
        <v>69</v>
      </c>
      <c r="F334" t="s">
        <v>70</v>
      </c>
      <c r="G334" t="s">
        <v>71</v>
      </c>
      <c r="H334">
        <v>72.905025546684229</v>
      </c>
      <c r="I334">
        <v>1</v>
      </c>
      <c r="J334">
        <v>7</v>
      </c>
      <c r="K334">
        <v>6</v>
      </c>
      <c r="L334">
        <v>1</v>
      </c>
      <c r="M334">
        <v>8</v>
      </c>
      <c r="N334">
        <v>6</v>
      </c>
      <c r="O334">
        <v>2</v>
      </c>
      <c r="P334">
        <v>6</v>
      </c>
      <c r="Q334">
        <v>8</v>
      </c>
      <c r="R334">
        <v>-2</v>
      </c>
      <c r="S334">
        <v>9</v>
      </c>
      <c r="T334">
        <v>8</v>
      </c>
      <c r="U334">
        <v>1</v>
      </c>
      <c r="V334">
        <v>7</v>
      </c>
      <c r="W334">
        <v>6</v>
      </c>
      <c r="X334">
        <v>1</v>
      </c>
      <c r="Y334">
        <v>8</v>
      </c>
      <c r="Z334">
        <v>7</v>
      </c>
      <c r="AA334">
        <v>1</v>
      </c>
      <c r="AB334">
        <v>7</v>
      </c>
      <c r="AC334">
        <v>6</v>
      </c>
      <c r="AD334">
        <v>1</v>
      </c>
      <c r="AE334">
        <v>6</v>
      </c>
      <c r="AF334">
        <v>7</v>
      </c>
      <c r="AG334">
        <v>-1</v>
      </c>
      <c r="AH334">
        <v>8</v>
      </c>
      <c r="AI334">
        <v>7</v>
      </c>
      <c r="AJ334">
        <v>1</v>
      </c>
      <c r="AK334" t="s">
        <v>3232</v>
      </c>
      <c r="AL334" t="s">
        <v>3233</v>
      </c>
      <c r="AM334" t="s">
        <v>3234</v>
      </c>
      <c r="AN334" t="s">
        <v>3235</v>
      </c>
      <c r="AO334" t="s">
        <v>3236</v>
      </c>
      <c r="AP334" t="s">
        <v>3237</v>
      </c>
      <c r="AQ334" t="s">
        <v>3238</v>
      </c>
      <c r="AR334" t="s">
        <v>3239</v>
      </c>
      <c r="AS334" t="s">
        <v>3240</v>
      </c>
    </row>
    <row r="335" spans="1:45" x14ac:dyDescent="0.45">
      <c r="A335">
        <v>334</v>
      </c>
      <c r="B335">
        <v>375</v>
      </c>
      <c r="C335" t="s">
        <v>67</v>
      </c>
      <c r="D335" t="s">
        <v>187</v>
      </c>
      <c r="E335" t="s">
        <v>69</v>
      </c>
      <c r="F335" t="s">
        <v>70</v>
      </c>
      <c r="G335" t="s">
        <v>157</v>
      </c>
      <c r="H335">
        <v>108.82670681025888</v>
      </c>
      <c r="I335">
        <v>3</v>
      </c>
      <c r="J335">
        <v>7</v>
      </c>
      <c r="K335">
        <v>2</v>
      </c>
      <c r="L335">
        <v>5</v>
      </c>
      <c r="M335">
        <v>8</v>
      </c>
      <c r="N335">
        <v>2</v>
      </c>
      <c r="O335">
        <v>6</v>
      </c>
      <c r="P335">
        <v>9</v>
      </c>
      <c r="Q335">
        <v>3</v>
      </c>
      <c r="R335">
        <v>6</v>
      </c>
      <c r="S335">
        <v>9</v>
      </c>
      <c r="T335">
        <v>5</v>
      </c>
      <c r="U335">
        <v>4</v>
      </c>
      <c r="V335">
        <v>8</v>
      </c>
      <c r="W335">
        <v>1</v>
      </c>
      <c r="X335">
        <v>7</v>
      </c>
      <c r="Y335">
        <v>9</v>
      </c>
      <c r="Z335">
        <v>1</v>
      </c>
      <c r="AA335">
        <v>8</v>
      </c>
      <c r="AB335">
        <v>8</v>
      </c>
      <c r="AC335">
        <v>1</v>
      </c>
      <c r="AD335">
        <v>7</v>
      </c>
      <c r="AE335">
        <v>7</v>
      </c>
      <c r="AF335">
        <v>3</v>
      </c>
      <c r="AG335">
        <v>4</v>
      </c>
      <c r="AH335">
        <v>9</v>
      </c>
      <c r="AI335">
        <v>1</v>
      </c>
      <c r="AJ335">
        <v>8</v>
      </c>
      <c r="AK335" t="s">
        <v>3241</v>
      </c>
      <c r="AL335" t="s">
        <v>3242</v>
      </c>
      <c r="AM335" t="s">
        <v>3243</v>
      </c>
      <c r="AN335" t="s">
        <v>3244</v>
      </c>
      <c r="AO335" t="s">
        <v>3245</v>
      </c>
      <c r="AP335" t="s">
        <v>3246</v>
      </c>
      <c r="AQ335" t="s">
        <v>3247</v>
      </c>
      <c r="AR335" t="s">
        <v>3248</v>
      </c>
      <c r="AS335" t="s">
        <v>3249</v>
      </c>
    </row>
    <row r="336" spans="1:45" x14ac:dyDescent="0.45">
      <c r="A336">
        <v>335</v>
      </c>
      <c r="B336">
        <v>376</v>
      </c>
      <c r="C336" t="s">
        <v>73</v>
      </c>
      <c r="D336" t="s">
        <v>184</v>
      </c>
      <c r="E336" t="s">
        <v>69</v>
      </c>
      <c r="F336" t="s">
        <v>72</v>
      </c>
      <c r="G336" t="s">
        <v>71</v>
      </c>
      <c r="H336">
        <v>14.724893700157214</v>
      </c>
      <c r="I336">
        <v>0</v>
      </c>
      <c r="J336">
        <v>7</v>
      </c>
      <c r="K336">
        <v>7</v>
      </c>
      <c r="L336">
        <v>0</v>
      </c>
      <c r="M336">
        <v>6</v>
      </c>
      <c r="N336">
        <v>7</v>
      </c>
      <c r="O336">
        <v>-1</v>
      </c>
      <c r="P336">
        <v>8</v>
      </c>
      <c r="Q336">
        <v>8</v>
      </c>
      <c r="R336">
        <v>0</v>
      </c>
      <c r="S336">
        <v>9</v>
      </c>
      <c r="T336">
        <v>10</v>
      </c>
      <c r="U336">
        <v>-1</v>
      </c>
      <c r="V336">
        <v>7</v>
      </c>
      <c r="W336">
        <v>9</v>
      </c>
      <c r="X336">
        <v>-2</v>
      </c>
      <c r="Y336">
        <v>9</v>
      </c>
      <c r="Z336">
        <v>10</v>
      </c>
      <c r="AA336">
        <v>-1</v>
      </c>
      <c r="AB336">
        <v>7</v>
      </c>
      <c r="AC336">
        <v>8</v>
      </c>
      <c r="AD336">
        <v>-1</v>
      </c>
      <c r="AE336">
        <v>8</v>
      </c>
      <c r="AF336">
        <v>8</v>
      </c>
      <c r="AG336">
        <v>0</v>
      </c>
      <c r="AH336">
        <v>9</v>
      </c>
      <c r="AI336">
        <v>10</v>
      </c>
      <c r="AJ336">
        <v>-1</v>
      </c>
      <c r="AK336" t="s">
        <v>790</v>
      </c>
      <c r="AL336" t="s">
        <v>3250</v>
      </c>
      <c r="AM336" t="s">
        <v>3251</v>
      </c>
      <c r="AN336" t="s">
        <v>3252</v>
      </c>
      <c r="AO336" t="s">
        <v>3253</v>
      </c>
      <c r="AP336" t="s">
        <v>3254</v>
      </c>
      <c r="AQ336" t="s">
        <v>3255</v>
      </c>
      <c r="AR336" t="s">
        <v>3256</v>
      </c>
      <c r="AS336" t="s">
        <v>3257</v>
      </c>
    </row>
    <row r="337" spans="1:45" x14ac:dyDescent="0.45">
      <c r="A337">
        <v>336</v>
      </c>
      <c r="B337">
        <v>377</v>
      </c>
      <c r="C337" t="s">
        <v>67</v>
      </c>
      <c r="D337" t="s">
        <v>76</v>
      </c>
      <c r="E337" t="s">
        <v>69</v>
      </c>
      <c r="F337" t="s">
        <v>72</v>
      </c>
      <c r="G337" t="s">
        <v>71</v>
      </c>
      <c r="H337">
        <v>20.268198988321885</v>
      </c>
      <c r="I337">
        <v>0</v>
      </c>
      <c r="J337">
        <v>8</v>
      </c>
      <c r="K337">
        <v>4</v>
      </c>
      <c r="L337">
        <v>4</v>
      </c>
      <c r="M337">
        <v>9</v>
      </c>
      <c r="N337">
        <v>5</v>
      </c>
      <c r="O337">
        <v>4</v>
      </c>
      <c r="P337">
        <v>8</v>
      </c>
      <c r="Q337">
        <v>5</v>
      </c>
      <c r="R337">
        <v>3</v>
      </c>
      <c r="S337">
        <v>9</v>
      </c>
      <c r="T337">
        <v>6</v>
      </c>
      <c r="U337">
        <v>3</v>
      </c>
      <c r="V337">
        <v>8</v>
      </c>
      <c r="W337">
        <v>5</v>
      </c>
      <c r="X337">
        <v>3</v>
      </c>
      <c r="Y337">
        <v>9</v>
      </c>
      <c r="Z337">
        <v>6</v>
      </c>
      <c r="AA337">
        <v>3</v>
      </c>
      <c r="AB337">
        <v>8</v>
      </c>
      <c r="AC337">
        <v>5</v>
      </c>
      <c r="AD337">
        <v>3</v>
      </c>
      <c r="AE337">
        <v>9</v>
      </c>
      <c r="AF337">
        <v>5</v>
      </c>
      <c r="AG337">
        <v>4</v>
      </c>
      <c r="AH337">
        <v>9</v>
      </c>
      <c r="AI337">
        <v>6</v>
      </c>
      <c r="AJ337">
        <v>3</v>
      </c>
      <c r="AK337" t="s">
        <v>3258</v>
      </c>
      <c r="AL337" t="s">
        <v>3259</v>
      </c>
      <c r="AM337" t="s">
        <v>3260</v>
      </c>
      <c r="AN337" t="s">
        <v>3261</v>
      </c>
      <c r="AO337" t="s">
        <v>3262</v>
      </c>
      <c r="AP337" t="s">
        <v>3263</v>
      </c>
      <c r="AQ337" t="s">
        <v>3264</v>
      </c>
      <c r="AR337" t="s">
        <v>3265</v>
      </c>
      <c r="AS337" t="s">
        <v>3266</v>
      </c>
    </row>
    <row r="338" spans="1:45" x14ac:dyDescent="0.45">
      <c r="A338">
        <v>337</v>
      </c>
      <c r="B338">
        <v>378</v>
      </c>
      <c r="C338" t="s">
        <v>73</v>
      </c>
      <c r="D338" t="s">
        <v>68</v>
      </c>
      <c r="E338" t="s">
        <v>69</v>
      </c>
      <c r="F338" t="s">
        <v>72</v>
      </c>
      <c r="G338" t="s">
        <v>71</v>
      </c>
      <c r="H338">
        <v>23.930932802166915</v>
      </c>
      <c r="I338">
        <v>0</v>
      </c>
      <c r="J338">
        <v>7</v>
      </c>
      <c r="K338">
        <v>7</v>
      </c>
      <c r="L338">
        <v>0</v>
      </c>
      <c r="M338">
        <v>6</v>
      </c>
      <c r="N338">
        <v>8</v>
      </c>
      <c r="O338">
        <v>-2</v>
      </c>
      <c r="P338">
        <v>8</v>
      </c>
      <c r="Q338">
        <v>7</v>
      </c>
      <c r="R338">
        <v>1</v>
      </c>
      <c r="S338">
        <v>9</v>
      </c>
      <c r="T338">
        <v>7</v>
      </c>
      <c r="U338">
        <v>2</v>
      </c>
      <c r="V338">
        <v>8</v>
      </c>
      <c r="W338">
        <v>6</v>
      </c>
      <c r="X338">
        <v>2</v>
      </c>
      <c r="Y338">
        <v>7</v>
      </c>
      <c r="Z338">
        <v>8</v>
      </c>
      <c r="AA338">
        <v>-1</v>
      </c>
      <c r="AB338">
        <v>8</v>
      </c>
      <c r="AC338">
        <v>6</v>
      </c>
      <c r="AD338">
        <v>2</v>
      </c>
      <c r="AE338">
        <v>6</v>
      </c>
      <c r="AF338">
        <v>8</v>
      </c>
      <c r="AG338">
        <v>-2</v>
      </c>
      <c r="AH338">
        <v>9</v>
      </c>
      <c r="AI338">
        <v>8</v>
      </c>
      <c r="AJ338">
        <v>1</v>
      </c>
      <c r="AK338" t="s">
        <v>791</v>
      </c>
      <c r="AL338" t="s">
        <v>792</v>
      </c>
      <c r="AM338" t="s">
        <v>3267</v>
      </c>
      <c r="AN338" t="s">
        <v>3268</v>
      </c>
      <c r="AO338" t="s">
        <v>3269</v>
      </c>
      <c r="AP338" t="s">
        <v>3270</v>
      </c>
      <c r="AQ338" t="s">
        <v>3271</v>
      </c>
      <c r="AR338" t="s">
        <v>3272</v>
      </c>
      <c r="AS338" t="s">
        <v>3273</v>
      </c>
    </row>
    <row r="339" spans="1:45" x14ac:dyDescent="0.45">
      <c r="A339">
        <v>338</v>
      </c>
      <c r="B339">
        <v>379</v>
      </c>
      <c r="C339" t="s">
        <v>73</v>
      </c>
      <c r="D339" t="s">
        <v>184</v>
      </c>
      <c r="E339" t="s">
        <v>69</v>
      </c>
      <c r="F339" t="s">
        <v>72</v>
      </c>
      <c r="G339" t="s">
        <v>71</v>
      </c>
      <c r="H339">
        <v>15.800376650805926</v>
      </c>
      <c r="I339">
        <v>0</v>
      </c>
      <c r="J339">
        <v>7</v>
      </c>
      <c r="K339">
        <v>8</v>
      </c>
      <c r="L339">
        <v>-1</v>
      </c>
      <c r="M339">
        <v>6</v>
      </c>
      <c r="N339">
        <v>8</v>
      </c>
      <c r="O339">
        <v>-2</v>
      </c>
      <c r="P339">
        <v>8</v>
      </c>
      <c r="Q339">
        <v>9</v>
      </c>
      <c r="R339">
        <v>-1</v>
      </c>
      <c r="S339">
        <v>9</v>
      </c>
      <c r="T339">
        <v>9</v>
      </c>
      <c r="U339">
        <v>0</v>
      </c>
      <c r="V339">
        <v>9</v>
      </c>
      <c r="W339">
        <v>8</v>
      </c>
      <c r="X339">
        <v>1</v>
      </c>
      <c r="Y339">
        <v>8</v>
      </c>
      <c r="Z339">
        <v>9</v>
      </c>
      <c r="AA339">
        <v>-1</v>
      </c>
      <c r="AB339">
        <v>9</v>
      </c>
      <c r="AC339">
        <v>10</v>
      </c>
      <c r="AD339">
        <v>-1</v>
      </c>
      <c r="AE339">
        <v>7</v>
      </c>
      <c r="AF339">
        <v>9</v>
      </c>
      <c r="AG339">
        <v>-2</v>
      </c>
      <c r="AH339">
        <v>9</v>
      </c>
      <c r="AI339">
        <v>10</v>
      </c>
      <c r="AJ339">
        <v>-1</v>
      </c>
      <c r="AK339" t="s">
        <v>793</v>
      </c>
      <c r="AL339" t="s">
        <v>794</v>
      </c>
      <c r="AM339" t="s">
        <v>3274</v>
      </c>
      <c r="AN339" t="s">
        <v>3275</v>
      </c>
      <c r="AO339" t="s">
        <v>3276</v>
      </c>
      <c r="AP339" t="s">
        <v>3277</v>
      </c>
      <c r="AQ339" t="s">
        <v>3278</v>
      </c>
      <c r="AR339" t="s">
        <v>3279</v>
      </c>
      <c r="AS339" t="s">
        <v>3280</v>
      </c>
    </row>
    <row r="340" spans="1:45" x14ac:dyDescent="0.45">
      <c r="A340">
        <v>339</v>
      </c>
      <c r="B340">
        <v>380</v>
      </c>
      <c r="C340" t="s">
        <v>67</v>
      </c>
      <c r="D340" t="s">
        <v>184</v>
      </c>
      <c r="E340" t="s">
        <v>69</v>
      </c>
      <c r="F340" t="s">
        <v>72</v>
      </c>
      <c r="G340" t="s">
        <v>71</v>
      </c>
      <c r="H340">
        <v>16.735042580295506</v>
      </c>
      <c r="I340">
        <v>0</v>
      </c>
      <c r="J340">
        <v>7</v>
      </c>
      <c r="K340">
        <v>7</v>
      </c>
      <c r="L340">
        <v>0</v>
      </c>
      <c r="M340">
        <v>6</v>
      </c>
      <c r="N340">
        <v>7</v>
      </c>
      <c r="O340">
        <v>-1</v>
      </c>
      <c r="P340">
        <v>8</v>
      </c>
      <c r="Q340">
        <v>8</v>
      </c>
      <c r="R340">
        <v>0</v>
      </c>
      <c r="S340">
        <v>9</v>
      </c>
      <c r="T340">
        <v>8</v>
      </c>
      <c r="U340">
        <v>1</v>
      </c>
      <c r="V340">
        <v>7</v>
      </c>
      <c r="W340">
        <v>6</v>
      </c>
      <c r="X340">
        <v>1</v>
      </c>
      <c r="Y340">
        <v>9</v>
      </c>
      <c r="Z340">
        <v>7</v>
      </c>
      <c r="AA340">
        <v>2</v>
      </c>
      <c r="AB340">
        <v>7</v>
      </c>
      <c r="AC340">
        <v>6</v>
      </c>
      <c r="AD340">
        <v>1</v>
      </c>
      <c r="AE340">
        <v>6</v>
      </c>
      <c r="AF340">
        <v>6</v>
      </c>
      <c r="AG340">
        <v>0</v>
      </c>
      <c r="AH340">
        <v>8</v>
      </c>
      <c r="AI340">
        <v>7</v>
      </c>
      <c r="AJ340">
        <v>1</v>
      </c>
      <c r="AK340" t="s">
        <v>3281</v>
      </c>
      <c r="AL340" t="s">
        <v>3282</v>
      </c>
      <c r="AM340" t="s">
        <v>3283</v>
      </c>
      <c r="AN340" t="s">
        <v>3284</v>
      </c>
      <c r="AO340" t="s">
        <v>3285</v>
      </c>
      <c r="AP340" t="s">
        <v>3286</v>
      </c>
      <c r="AQ340" t="s">
        <v>3287</v>
      </c>
      <c r="AR340" t="s">
        <v>3288</v>
      </c>
      <c r="AS340" t="s">
        <v>3289</v>
      </c>
    </row>
    <row r="341" spans="1:45" x14ac:dyDescent="0.45">
      <c r="A341">
        <v>340</v>
      </c>
      <c r="B341">
        <v>381</v>
      </c>
      <c r="C341" t="s">
        <v>73</v>
      </c>
      <c r="D341" t="s">
        <v>76</v>
      </c>
      <c r="E341" t="s">
        <v>69</v>
      </c>
      <c r="F341" t="s">
        <v>72</v>
      </c>
      <c r="G341" t="s">
        <v>71</v>
      </c>
      <c r="H341">
        <v>13.160067555007622</v>
      </c>
      <c r="I341">
        <v>0</v>
      </c>
      <c r="J341">
        <v>7</v>
      </c>
      <c r="K341">
        <v>7</v>
      </c>
      <c r="L341">
        <v>0</v>
      </c>
      <c r="M341">
        <v>6</v>
      </c>
      <c r="N341">
        <v>8</v>
      </c>
      <c r="O341">
        <v>-2</v>
      </c>
      <c r="P341">
        <v>9</v>
      </c>
      <c r="Q341">
        <v>8</v>
      </c>
      <c r="R341">
        <v>1</v>
      </c>
      <c r="S341">
        <v>8</v>
      </c>
      <c r="T341">
        <v>8</v>
      </c>
      <c r="U341">
        <v>0</v>
      </c>
      <c r="V341">
        <v>9</v>
      </c>
      <c r="W341">
        <v>5</v>
      </c>
      <c r="X341">
        <v>4</v>
      </c>
      <c r="Y341">
        <v>9</v>
      </c>
      <c r="Z341">
        <v>8</v>
      </c>
      <c r="AA341">
        <v>1</v>
      </c>
      <c r="AB341">
        <v>8</v>
      </c>
      <c r="AC341">
        <v>5</v>
      </c>
      <c r="AD341">
        <v>3</v>
      </c>
      <c r="AE341">
        <v>8</v>
      </c>
      <c r="AF341">
        <v>8</v>
      </c>
      <c r="AG341">
        <v>0</v>
      </c>
      <c r="AH341">
        <v>9</v>
      </c>
      <c r="AI341">
        <v>8</v>
      </c>
      <c r="AJ341">
        <v>1</v>
      </c>
      <c r="AK341" t="s">
        <v>3290</v>
      </c>
      <c r="AL341" t="s">
        <v>3291</v>
      </c>
      <c r="AM341" t="s">
        <v>3292</v>
      </c>
      <c r="AN341" t="s">
        <v>3293</v>
      </c>
      <c r="AO341" t="s">
        <v>3294</v>
      </c>
      <c r="AP341" t="s">
        <v>3295</v>
      </c>
      <c r="AQ341" t="s">
        <v>3296</v>
      </c>
      <c r="AR341" t="s">
        <v>3297</v>
      </c>
      <c r="AS341" t="s">
        <v>3298</v>
      </c>
    </row>
    <row r="342" spans="1:45" x14ac:dyDescent="0.45">
      <c r="A342">
        <v>341</v>
      </c>
      <c r="B342">
        <v>382</v>
      </c>
      <c r="C342" t="s">
        <v>67</v>
      </c>
      <c r="D342" t="s">
        <v>184</v>
      </c>
      <c r="E342" t="s">
        <v>69</v>
      </c>
      <c r="F342" t="s">
        <v>72</v>
      </c>
      <c r="G342" t="s">
        <v>71</v>
      </c>
      <c r="H342">
        <v>12</v>
      </c>
      <c r="I342">
        <v>0</v>
      </c>
      <c r="J342">
        <v>8</v>
      </c>
      <c r="K342">
        <v>8</v>
      </c>
      <c r="L342">
        <v>0</v>
      </c>
      <c r="M342">
        <v>9</v>
      </c>
      <c r="N342">
        <v>8</v>
      </c>
      <c r="O342">
        <v>1</v>
      </c>
      <c r="P342">
        <v>9</v>
      </c>
      <c r="Q342">
        <v>8</v>
      </c>
      <c r="R342">
        <v>1</v>
      </c>
      <c r="S342">
        <v>10</v>
      </c>
      <c r="T342">
        <v>9</v>
      </c>
      <c r="U342">
        <v>1</v>
      </c>
      <c r="V342">
        <v>8</v>
      </c>
      <c r="W342">
        <v>8</v>
      </c>
      <c r="X342">
        <v>0</v>
      </c>
      <c r="Y342">
        <v>9</v>
      </c>
      <c r="Z342">
        <v>8</v>
      </c>
      <c r="AA342">
        <v>1</v>
      </c>
      <c r="AB342">
        <v>8</v>
      </c>
      <c r="AC342">
        <v>7</v>
      </c>
      <c r="AD342">
        <v>1</v>
      </c>
      <c r="AE342">
        <v>9</v>
      </c>
      <c r="AF342">
        <v>7</v>
      </c>
      <c r="AG342">
        <v>2</v>
      </c>
      <c r="AH342">
        <v>8</v>
      </c>
      <c r="AI342">
        <v>8</v>
      </c>
      <c r="AJ342">
        <v>0</v>
      </c>
      <c r="AK342" t="s">
        <v>605</v>
      </c>
      <c r="AL342" t="s">
        <v>606</v>
      </c>
      <c r="AM342" t="s">
        <v>607</v>
      </c>
      <c r="AN342" t="s">
        <v>608</v>
      </c>
      <c r="AO342" t="s">
        <v>609</v>
      </c>
      <c r="AP342" t="s">
        <v>610</v>
      </c>
      <c r="AQ342" t="s">
        <v>611</v>
      </c>
      <c r="AR342" t="s">
        <v>612</v>
      </c>
      <c r="AS342" t="s">
        <v>613</v>
      </c>
    </row>
    <row r="343" spans="1:45" x14ac:dyDescent="0.45">
      <c r="A343">
        <v>342</v>
      </c>
      <c r="B343">
        <v>383</v>
      </c>
      <c r="C343" t="s">
        <v>73</v>
      </c>
      <c r="D343" t="s">
        <v>184</v>
      </c>
      <c r="E343" t="s">
        <v>69</v>
      </c>
      <c r="F343" t="s">
        <v>72</v>
      </c>
      <c r="G343" t="s">
        <v>71</v>
      </c>
      <c r="H343">
        <v>12</v>
      </c>
      <c r="I343">
        <v>0</v>
      </c>
      <c r="J343">
        <v>7</v>
      </c>
      <c r="K343">
        <v>5</v>
      </c>
      <c r="L343">
        <v>2</v>
      </c>
      <c r="M343">
        <v>9</v>
      </c>
      <c r="N343">
        <v>5</v>
      </c>
      <c r="O343">
        <v>4</v>
      </c>
      <c r="P343">
        <v>8</v>
      </c>
      <c r="Q343">
        <v>6</v>
      </c>
      <c r="R343">
        <v>2</v>
      </c>
      <c r="S343">
        <v>9</v>
      </c>
      <c r="T343">
        <v>7</v>
      </c>
      <c r="U343">
        <v>2</v>
      </c>
      <c r="V343">
        <v>8</v>
      </c>
      <c r="W343">
        <v>5</v>
      </c>
      <c r="X343">
        <v>3</v>
      </c>
      <c r="Y343">
        <v>9</v>
      </c>
      <c r="Z343">
        <v>8</v>
      </c>
      <c r="AA343">
        <v>1</v>
      </c>
      <c r="AB343">
        <v>8</v>
      </c>
      <c r="AC343">
        <v>6</v>
      </c>
      <c r="AD343">
        <v>2</v>
      </c>
      <c r="AE343">
        <v>7</v>
      </c>
      <c r="AF343">
        <v>6</v>
      </c>
      <c r="AG343">
        <v>1</v>
      </c>
      <c r="AH343">
        <v>9</v>
      </c>
      <c r="AI343">
        <v>7</v>
      </c>
      <c r="AJ343">
        <v>2</v>
      </c>
      <c r="AK343" t="s">
        <v>614</v>
      </c>
      <c r="AL343" t="s">
        <v>615</v>
      </c>
      <c r="AM343" t="s">
        <v>616</v>
      </c>
      <c r="AN343" t="s">
        <v>617</v>
      </c>
      <c r="AO343" t="s">
        <v>618</v>
      </c>
      <c r="AP343" t="s">
        <v>619</v>
      </c>
      <c r="AQ343" t="s">
        <v>620</v>
      </c>
      <c r="AR343" t="s">
        <v>621</v>
      </c>
      <c r="AS343" t="s">
        <v>622</v>
      </c>
    </row>
    <row r="344" spans="1:45" x14ac:dyDescent="0.45">
      <c r="A344">
        <v>343</v>
      </c>
      <c r="B344">
        <v>384</v>
      </c>
      <c r="C344" t="s">
        <v>73</v>
      </c>
      <c r="D344" t="s">
        <v>76</v>
      </c>
      <c r="E344" t="s">
        <v>69</v>
      </c>
      <c r="F344" t="s">
        <v>72</v>
      </c>
      <c r="G344" t="s">
        <v>71</v>
      </c>
      <c r="H344">
        <v>12.517941053446794</v>
      </c>
      <c r="I344">
        <v>0</v>
      </c>
      <c r="J344">
        <v>6</v>
      </c>
      <c r="K344">
        <v>7</v>
      </c>
      <c r="L344">
        <v>-1</v>
      </c>
      <c r="M344">
        <v>7</v>
      </c>
      <c r="N344">
        <v>7</v>
      </c>
      <c r="O344">
        <v>0</v>
      </c>
      <c r="P344">
        <v>9</v>
      </c>
      <c r="Q344">
        <v>8</v>
      </c>
      <c r="R344">
        <v>1</v>
      </c>
      <c r="S344">
        <v>8</v>
      </c>
      <c r="T344">
        <v>7</v>
      </c>
      <c r="U344">
        <v>1</v>
      </c>
      <c r="V344">
        <v>9</v>
      </c>
      <c r="W344">
        <v>8</v>
      </c>
      <c r="X344">
        <v>1</v>
      </c>
      <c r="Y344">
        <v>8</v>
      </c>
      <c r="Z344">
        <v>8</v>
      </c>
      <c r="AA344">
        <v>0</v>
      </c>
      <c r="AB344">
        <v>9</v>
      </c>
      <c r="AC344">
        <v>8</v>
      </c>
      <c r="AD344">
        <v>1</v>
      </c>
      <c r="AE344">
        <v>8</v>
      </c>
      <c r="AF344">
        <v>7</v>
      </c>
      <c r="AG344">
        <v>1</v>
      </c>
      <c r="AH344">
        <v>9</v>
      </c>
      <c r="AI344">
        <v>8</v>
      </c>
      <c r="AJ344">
        <v>1</v>
      </c>
      <c r="AK344" t="s">
        <v>3299</v>
      </c>
      <c r="AL344" t="s">
        <v>3300</v>
      </c>
      <c r="AM344" t="s">
        <v>3301</v>
      </c>
      <c r="AN344" t="s">
        <v>3302</v>
      </c>
      <c r="AO344" t="s">
        <v>3303</v>
      </c>
      <c r="AP344" t="s">
        <v>3304</v>
      </c>
      <c r="AQ344" t="s">
        <v>3305</v>
      </c>
      <c r="AR344" t="s">
        <v>3306</v>
      </c>
      <c r="AS344" t="s">
        <v>3307</v>
      </c>
    </row>
    <row r="345" spans="1:45" x14ac:dyDescent="0.45">
      <c r="A345">
        <v>344</v>
      </c>
      <c r="B345">
        <v>385</v>
      </c>
      <c r="C345" t="s">
        <v>73</v>
      </c>
      <c r="D345" t="s">
        <v>68</v>
      </c>
      <c r="E345" t="s">
        <v>69</v>
      </c>
      <c r="F345" t="s">
        <v>70</v>
      </c>
      <c r="G345" t="s">
        <v>71</v>
      </c>
      <c r="H345">
        <v>68.446766351546984</v>
      </c>
      <c r="I345">
        <v>2</v>
      </c>
      <c r="J345">
        <v>9</v>
      </c>
      <c r="K345">
        <v>7</v>
      </c>
      <c r="L345">
        <v>2</v>
      </c>
      <c r="M345">
        <v>9</v>
      </c>
      <c r="N345">
        <v>7</v>
      </c>
      <c r="O345">
        <v>2</v>
      </c>
      <c r="P345">
        <v>8</v>
      </c>
      <c r="Q345">
        <v>5</v>
      </c>
      <c r="R345">
        <v>3</v>
      </c>
      <c r="S345">
        <v>9</v>
      </c>
      <c r="T345">
        <v>8</v>
      </c>
      <c r="U345">
        <v>1</v>
      </c>
      <c r="V345">
        <v>8</v>
      </c>
      <c r="W345">
        <v>6</v>
      </c>
      <c r="X345">
        <v>2</v>
      </c>
      <c r="Y345">
        <v>9</v>
      </c>
      <c r="Z345">
        <v>5</v>
      </c>
      <c r="AA345">
        <v>4</v>
      </c>
      <c r="AB345">
        <v>8</v>
      </c>
      <c r="AC345">
        <v>5</v>
      </c>
      <c r="AD345">
        <v>3</v>
      </c>
      <c r="AE345">
        <v>9</v>
      </c>
      <c r="AF345">
        <v>6</v>
      </c>
      <c r="AG345">
        <v>3</v>
      </c>
      <c r="AH345">
        <v>8</v>
      </c>
      <c r="AI345">
        <v>5</v>
      </c>
      <c r="AJ345">
        <v>3</v>
      </c>
      <c r="AK345" t="s">
        <v>3308</v>
      </c>
      <c r="AL345" t="s">
        <v>3309</v>
      </c>
      <c r="AM345" t="s">
        <v>3310</v>
      </c>
      <c r="AN345" t="s">
        <v>3311</v>
      </c>
      <c r="AO345" t="s">
        <v>3312</v>
      </c>
      <c r="AP345" t="s">
        <v>3313</v>
      </c>
      <c r="AQ345" t="s">
        <v>3314</v>
      </c>
      <c r="AR345" t="s">
        <v>3315</v>
      </c>
      <c r="AS345" t="s">
        <v>3316</v>
      </c>
    </row>
    <row r="346" spans="1:45" x14ac:dyDescent="0.45">
      <c r="A346">
        <v>345</v>
      </c>
      <c r="B346">
        <v>386</v>
      </c>
      <c r="C346" t="s">
        <v>67</v>
      </c>
      <c r="D346" t="s">
        <v>76</v>
      </c>
      <c r="E346" t="s">
        <v>69</v>
      </c>
      <c r="F346" t="s">
        <v>72</v>
      </c>
      <c r="G346" t="s">
        <v>71</v>
      </c>
      <c r="H346">
        <v>14.742170915188529</v>
      </c>
      <c r="I346">
        <v>0</v>
      </c>
      <c r="J346">
        <v>6</v>
      </c>
      <c r="K346">
        <v>7</v>
      </c>
      <c r="L346">
        <v>-1</v>
      </c>
      <c r="M346">
        <v>7</v>
      </c>
      <c r="N346">
        <v>7</v>
      </c>
      <c r="O346">
        <v>0</v>
      </c>
      <c r="P346">
        <v>9</v>
      </c>
      <c r="Q346">
        <v>5</v>
      </c>
      <c r="R346">
        <v>4</v>
      </c>
      <c r="S346">
        <v>9</v>
      </c>
      <c r="T346">
        <v>8</v>
      </c>
      <c r="U346">
        <v>1</v>
      </c>
      <c r="V346">
        <v>7</v>
      </c>
      <c r="W346">
        <v>7</v>
      </c>
      <c r="X346">
        <v>0</v>
      </c>
      <c r="Y346">
        <v>9</v>
      </c>
      <c r="Z346">
        <v>7</v>
      </c>
      <c r="AA346">
        <v>2</v>
      </c>
      <c r="AB346">
        <v>7</v>
      </c>
      <c r="AC346">
        <v>6</v>
      </c>
      <c r="AD346">
        <v>1</v>
      </c>
      <c r="AE346">
        <v>8</v>
      </c>
      <c r="AF346">
        <v>7</v>
      </c>
      <c r="AG346">
        <v>1</v>
      </c>
      <c r="AH346">
        <v>9</v>
      </c>
      <c r="AI346">
        <v>7</v>
      </c>
      <c r="AJ346">
        <v>2</v>
      </c>
      <c r="AK346" t="s">
        <v>3317</v>
      </c>
      <c r="AL346" t="s">
        <v>3318</v>
      </c>
      <c r="AM346" t="s">
        <v>3319</v>
      </c>
      <c r="AN346" t="s">
        <v>3320</v>
      </c>
      <c r="AO346" t="s">
        <v>3321</v>
      </c>
      <c r="AP346" t="s">
        <v>3322</v>
      </c>
      <c r="AQ346" t="s">
        <v>3323</v>
      </c>
      <c r="AR346" t="s">
        <v>3324</v>
      </c>
      <c r="AS346" t="s">
        <v>3325</v>
      </c>
    </row>
    <row r="347" spans="1:45" x14ac:dyDescent="0.45">
      <c r="A347">
        <v>346</v>
      </c>
      <c r="B347">
        <v>387</v>
      </c>
      <c r="C347" t="s">
        <v>67</v>
      </c>
      <c r="D347" t="s">
        <v>68</v>
      </c>
      <c r="E347" t="s">
        <v>69</v>
      </c>
      <c r="F347" t="s">
        <v>72</v>
      </c>
      <c r="G347" t="s">
        <v>71</v>
      </c>
      <c r="H347">
        <v>30.473814925475196</v>
      </c>
      <c r="I347">
        <v>1</v>
      </c>
      <c r="J347">
        <v>5</v>
      </c>
      <c r="K347">
        <v>9</v>
      </c>
      <c r="L347">
        <v>-4</v>
      </c>
      <c r="M347">
        <v>6</v>
      </c>
      <c r="N347">
        <v>8</v>
      </c>
      <c r="O347">
        <v>-2</v>
      </c>
      <c r="P347">
        <v>8</v>
      </c>
      <c r="Q347">
        <v>8</v>
      </c>
      <c r="R347">
        <v>0</v>
      </c>
      <c r="S347">
        <v>9</v>
      </c>
      <c r="T347">
        <v>9</v>
      </c>
      <c r="U347">
        <v>0</v>
      </c>
      <c r="V347">
        <v>7</v>
      </c>
      <c r="W347">
        <v>7</v>
      </c>
      <c r="X347">
        <v>0</v>
      </c>
      <c r="Y347">
        <v>8</v>
      </c>
      <c r="Z347">
        <v>8</v>
      </c>
      <c r="AA347">
        <v>0</v>
      </c>
      <c r="AB347">
        <v>6</v>
      </c>
      <c r="AC347">
        <v>7</v>
      </c>
      <c r="AD347">
        <v>-1</v>
      </c>
      <c r="AE347">
        <v>5</v>
      </c>
      <c r="AF347">
        <v>7</v>
      </c>
      <c r="AG347">
        <v>-2</v>
      </c>
      <c r="AH347">
        <v>7</v>
      </c>
      <c r="AI347">
        <v>8</v>
      </c>
      <c r="AJ347">
        <v>-1</v>
      </c>
      <c r="AK347" t="s">
        <v>3326</v>
      </c>
      <c r="AL347" t="s">
        <v>3327</v>
      </c>
      <c r="AM347" t="s">
        <v>3328</v>
      </c>
      <c r="AN347" t="s">
        <v>3329</v>
      </c>
      <c r="AO347" t="s">
        <v>3330</v>
      </c>
      <c r="AP347" t="s">
        <v>3331</v>
      </c>
      <c r="AQ347" t="s">
        <v>3332</v>
      </c>
      <c r="AR347" t="s">
        <v>3333</v>
      </c>
      <c r="AS347" t="s">
        <v>3334</v>
      </c>
    </row>
    <row r="348" spans="1:45" x14ac:dyDescent="0.45">
      <c r="A348">
        <v>347</v>
      </c>
      <c r="B348">
        <v>388</v>
      </c>
      <c r="C348" t="s">
        <v>67</v>
      </c>
      <c r="D348" t="s">
        <v>76</v>
      </c>
      <c r="E348" t="s">
        <v>69</v>
      </c>
      <c r="F348" t="s">
        <v>72</v>
      </c>
      <c r="G348" t="s">
        <v>71</v>
      </c>
      <c r="H348">
        <v>19.324542032528335</v>
      </c>
      <c r="I348">
        <v>0</v>
      </c>
      <c r="J348">
        <v>8</v>
      </c>
      <c r="K348">
        <v>8</v>
      </c>
      <c r="L348">
        <v>0</v>
      </c>
      <c r="M348">
        <v>9</v>
      </c>
      <c r="N348">
        <v>8</v>
      </c>
      <c r="O348">
        <v>1</v>
      </c>
      <c r="P348">
        <v>8</v>
      </c>
      <c r="Q348">
        <v>7</v>
      </c>
      <c r="R348">
        <v>1</v>
      </c>
      <c r="S348">
        <v>7</v>
      </c>
      <c r="T348">
        <v>8</v>
      </c>
      <c r="U348">
        <v>-1</v>
      </c>
      <c r="V348">
        <v>9</v>
      </c>
      <c r="W348">
        <v>6</v>
      </c>
      <c r="X348">
        <v>3</v>
      </c>
      <c r="Y348">
        <v>8</v>
      </c>
      <c r="Z348">
        <v>8</v>
      </c>
      <c r="AA348">
        <v>0</v>
      </c>
      <c r="AB348">
        <v>9</v>
      </c>
      <c r="AC348">
        <v>6</v>
      </c>
      <c r="AD348">
        <v>3</v>
      </c>
      <c r="AE348">
        <v>7</v>
      </c>
      <c r="AF348">
        <v>6</v>
      </c>
      <c r="AG348">
        <v>1</v>
      </c>
      <c r="AH348">
        <v>9</v>
      </c>
      <c r="AI348">
        <v>8</v>
      </c>
      <c r="AJ348">
        <v>1</v>
      </c>
      <c r="AK348" t="s">
        <v>3335</v>
      </c>
      <c r="AL348" t="s">
        <v>3336</v>
      </c>
      <c r="AM348" t="s">
        <v>3337</v>
      </c>
      <c r="AN348" t="s">
        <v>3338</v>
      </c>
      <c r="AO348" t="s">
        <v>3339</v>
      </c>
      <c r="AP348" t="s">
        <v>3340</v>
      </c>
      <c r="AQ348" t="s">
        <v>3341</v>
      </c>
      <c r="AR348" t="s">
        <v>3342</v>
      </c>
      <c r="AS348" t="s">
        <v>3343</v>
      </c>
    </row>
    <row r="349" spans="1:45" x14ac:dyDescent="0.45">
      <c r="A349">
        <v>348</v>
      </c>
      <c r="B349">
        <v>389</v>
      </c>
      <c r="C349" t="s">
        <v>67</v>
      </c>
      <c r="D349" t="s">
        <v>76</v>
      </c>
      <c r="E349" t="s">
        <v>69</v>
      </c>
      <c r="F349" t="s">
        <v>72</v>
      </c>
      <c r="G349" t="s">
        <v>71</v>
      </c>
      <c r="H349">
        <v>21.332563164475857</v>
      </c>
      <c r="I349">
        <v>0</v>
      </c>
      <c r="J349">
        <v>7</v>
      </c>
      <c r="K349">
        <v>8</v>
      </c>
      <c r="L349">
        <v>-1</v>
      </c>
      <c r="M349">
        <v>6</v>
      </c>
      <c r="N349">
        <v>8</v>
      </c>
      <c r="O349">
        <v>-2</v>
      </c>
      <c r="P349">
        <v>8</v>
      </c>
      <c r="Q349">
        <v>7</v>
      </c>
      <c r="R349">
        <v>1</v>
      </c>
      <c r="S349">
        <v>9</v>
      </c>
      <c r="T349">
        <v>7</v>
      </c>
      <c r="U349">
        <v>2</v>
      </c>
      <c r="V349">
        <v>8</v>
      </c>
      <c r="W349">
        <v>6</v>
      </c>
      <c r="X349">
        <v>2</v>
      </c>
      <c r="Y349">
        <v>9</v>
      </c>
      <c r="Z349">
        <v>7</v>
      </c>
      <c r="AA349">
        <v>2</v>
      </c>
      <c r="AB349">
        <v>7</v>
      </c>
      <c r="AC349">
        <v>6</v>
      </c>
      <c r="AD349">
        <v>1</v>
      </c>
      <c r="AE349">
        <v>8</v>
      </c>
      <c r="AF349">
        <v>6</v>
      </c>
      <c r="AG349">
        <v>2</v>
      </c>
      <c r="AH349">
        <v>9</v>
      </c>
      <c r="AI349">
        <v>7</v>
      </c>
      <c r="AJ349">
        <v>2</v>
      </c>
      <c r="AK349" t="s">
        <v>3344</v>
      </c>
      <c r="AL349" t="s">
        <v>3345</v>
      </c>
      <c r="AM349" t="s">
        <v>3346</v>
      </c>
      <c r="AN349" t="s">
        <v>3347</v>
      </c>
      <c r="AO349" t="s">
        <v>3348</v>
      </c>
      <c r="AP349" t="s">
        <v>3349</v>
      </c>
      <c r="AQ349" t="s">
        <v>3350</v>
      </c>
      <c r="AR349" t="s">
        <v>3351</v>
      </c>
      <c r="AS349" t="s">
        <v>3352</v>
      </c>
    </row>
    <row r="350" spans="1:45" x14ac:dyDescent="0.45">
      <c r="A350">
        <v>349</v>
      </c>
      <c r="B350">
        <v>390</v>
      </c>
      <c r="C350" t="s">
        <v>67</v>
      </c>
      <c r="D350" t="s">
        <v>76</v>
      </c>
      <c r="E350" t="s">
        <v>69</v>
      </c>
      <c r="F350" t="s">
        <v>72</v>
      </c>
      <c r="G350" t="s">
        <v>71</v>
      </c>
      <c r="H350">
        <v>20.550255734505967</v>
      </c>
      <c r="I350">
        <v>0</v>
      </c>
      <c r="J350">
        <v>7</v>
      </c>
      <c r="K350">
        <v>4</v>
      </c>
      <c r="L350">
        <v>3</v>
      </c>
      <c r="M350">
        <v>8</v>
      </c>
      <c r="N350">
        <v>4</v>
      </c>
      <c r="O350">
        <v>4</v>
      </c>
      <c r="P350">
        <v>6</v>
      </c>
      <c r="Q350">
        <v>5</v>
      </c>
      <c r="R350">
        <v>1</v>
      </c>
      <c r="S350">
        <v>9</v>
      </c>
      <c r="T350">
        <v>7</v>
      </c>
      <c r="U350">
        <v>2</v>
      </c>
      <c r="V350">
        <v>6</v>
      </c>
      <c r="W350">
        <v>5</v>
      </c>
      <c r="X350">
        <v>1</v>
      </c>
      <c r="Y350">
        <v>9</v>
      </c>
      <c r="Z350">
        <v>6</v>
      </c>
      <c r="AA350">
        <v>3</v>
      </c>
      <c r="AB350">
        <v>7</v>
      </c>
      <c r="AC350">
        <v>6</v>
      </c>
      <c r="AD350">
        <v>1</v>
      </c>
      <c r="AE350">
        <v>8</v>
      </c>
      <c r="AF350">
        <v>6</v>
      </c>
      <c r="AG350">
        <v>2</v>
      </c>
      <c r="AH350">
        <v>9</v>
      </c>
      <c r="AI350">
        <v>6</v>
      </c>
      <c r="AJ350">
        <v>3</v>
      </c>
      <c r="AK350" t="s">
        <v>623</v>
      </c>
      <c r="AL350" t="s">
        <v>624</v>
      </c>
      <c r="AM350" t="s">
        <v>795</v>
      </c>
      <c r="AN350" t="s">
        <v>796</v>
      </c>
      <c r="AO350" t="s">
        <v>3353</v>
      </c>
      <c r="AP350" t="s">
        <v>3354</v>
      </c>
      <c r="AQ350" t="s">
        <v>3355</v>
      </c>
      <c r="AR350" t="s">
        <v>3356</v>
      </c>
      <c r="AS350" t="s">
        <v>3357</v>
      </c>
    </row>
    <row r="351" spans="1:45" x14ac:dyDescent="0.45">
      <c r="A351">
        <v>350</v>
      </c>
      <c r="B351">
        <v>391</v>
      </c>
      <c r="C351" t="s">
        <v>67</v>
      </c>
      <c r="D351" t="s">
        <v>76</v>
      </c>
      <c r="E351" t="s">
        <v>69</v>
      </c>
      <c r="F351" t="s">
        <v>72</v>
      </c>
      <c r="G351" t="s">
        <v>71</v>
      </c>
      <c r="H351">
        <v>27.443779539967906</v>
      </c>
      <c r="I351">
        <v>0</v>
      </c>
      <c r="J351">
        <v>6</v>
      </c>
      <c r="K351">
        <v>7</v>
      </c>
      <c r="L351">
        <v>-1</v>
      </c>
      <c r="M351">
        <v>6</v>
      </c>
      <c r="N351">
        <v>7</v>
      </c>
      <c r="O351">
        <v>-1</v>
      </c>
      <c r="P351">
        <v>9</v>
      </c>
      <c r="Q351">
        <v>8</v>
      </c>
      <c r="R351">
        <v>1</v>
      </c>
      <c r="S351">
        <v>8</v>
      </c>
      <c r="T351">
        <v>8</v>
      </c>
      <c r="U351">
        <v>0</v>
      </c>
      <c r="V351">
        <v>7</v>
      </c>
      <c r="W351">
        <v>7</v>
      </c>
      <c r="X351">
        <v>0</v>
      </c>
      <c r="Y351">
        <v>8</v>
      </c>
      <c r="Z351">
        <v>7</v>
      </c>
      <c r="AA351">
        <v>1</v>
      </c>
      <c r="AB351">
        <v>7</v>
      </c>
      <c r="AC351">
        <v>8</v>
      </c>
      <c r="AD351">
        <v>-1</v>
      </c>
      <c r="AE351">
        <v>6</v>
      </c>
      <c r="AF351">
        <v>7</v>
      </c>
      <c r="AG351">
        <v>-1</v>
      </c>
      <c r="AH351">
        <v>8</v>
      </c>
      <c r="AI351">
        <v>8</v>
      </c>
      <c r="AJ351">
        <v>0</v>
      </c>
      <c r="AK351" t="s">
        <v>625</v>
      </c>
      <c r="AL351" t="s">
        <v>626</v>
      </c>
      <c r="AM351" t="s">
        <v>3358</v>
      </c>
      <c r="AN351" t="s">
        <v>3359</v>
      </c>
      <c r="AO351" t="s">
        <v>3360</v>
      </c>
      <c r="AP351" t="s">
        <v>3361</v>
      </c>
      <c r="AQ351" t="s">
        <v>3362</v>
      </c>
      <c r="AR351" t="s">
        <v>3363</v>
      </c>
      <c r="AS351" t="s">
        <v>3364</v>
      </c>
    </row>
    <row r="352" spans="1:45" x14ac:dyDescent="0.45">
      <c r="A352">
        <v>351</v>
      </c>
      <c r="B352">
        <v>392</v>
      </c>
      <c r="C352" t="s">
        <v>67</v>
      </c>
      <c r="D352" t="s">
        <v>68</v>
      </c>
      <c r="E352" t="s">
        <v>69</v>
      </c>
      <c r="F352" t="s">
        <v>72</v>
      </c>
      <c r="G352" t="s">
        <v>71</v>
      </c>
      <c r="H352">
        <v>45.217165741187266</v>
      </c>
      <c r="I352">
        <v>2</v>
      </c>
      <c r="J352">
        <v>8</v>
      </c>
      <c r="K352">
        <v>8</v>
      </c>
      <c r="L352">
        <v>0</v>
      </c>
      <c r="M352">
        <v>9</v>
      </c>
      <c r="N352">
        <v>8</v>
      </c>
      <c r="O352">
        <v>1</v>
      </c>
      <c r="P352">
        <v>8</v>
      </c>
      <c r="Q352">
        <v>6</v>
      </c>
      <c r="R352">
        <v>2</v>
      </c>
      <c r="S352">
        <v>9</v>
      </c>
      <c r="T352">
        <v>7</v>
      </c>
      <c r="U352">
        <v>2</v>
      </c>
      <c r="V352">
        <v>8</v>
      </c>
      <c r="W352">
        <v>6</v>
      </c>
      <c r="X352">
        <v>2</v>
      </c>
      <c r="Y352">
        <v>9</v>
      </c>
      <c r="Z352">
        <v>7</v>
      </c>
      <c r="AA352">
        <v>2</v>
      </c>
      <c r="AB352">
        <v>8</v>
      </c>
      <c r="AC352">
        <v>5</v>
      </c>
      <c r="AD352">
        <v>3</v>
      </c>
      <c r="AE352">
        <v>9</v>
      </c>
      <c r="AF352">
        <v>7</v>
      </c>
      <c r="AG352">
        <v>2</v>
      </c>
      <c r="AH352">
        <v>9</v>
      </c>
      <c r="AI352">
        <v>7</v>
      </c>
      <c r="AJ352">
        <v>2</v>
      </c>
      <c r="AK352" t="s">
        <v>3365</v>
      </c>
      <c r="AL352" t="s">
        <v>3366</v>
      </c>
      <c r="AM352" t="s">
        <v>3367</v>
      </c>
      <c r="AN352" t="s">
        <v>3368</v>
      </c>
      <c r="AO352" t="s">
        <v>3369</v>
      </c>
      <c r="AP352" t="s">
        <v>3370</v>
      </c>
      <c r="AQ352" t="s">
        <v>3371</v>
      </c>
      <c r="AR352" t="s">
        <v>231</v>
      </c>
      <c r="AS352" t="s">
        <v>3372</v>
      </c>
    </row>
    <row r="353" spans="1:45" x14ac:dyDescent="0.45">
      <c r="A353">
        <v>352</v>
      </c>
      <c r="B353">
        <v>393</v>
      </c>
      <c r="C353" t="s">
        <v>67</v>
      </c>
      <c r="D353" t="s">
        <v>68</v>
      </c>
      <c r="E353" t="s">
        <v>69</v>
      </c>
      <c r="F353" t="s">
        <v>72</v>
      </c>
      <c r="G353" t="s">
        <v>71</v>
      </c>
      <c r="H353">
        <v>25.400215426678194</v>
      </c>
      <c r="I353">
        <v>1</v>
      </c>
      <c r="J353">
        <v>6</v>
      </c>
      <c r="K353">
        <v>6</v>
      </c>
      <c r="L353">
        <v>0</v>
      </c>
      <c r="M353">
        <v>7</v>
      </c>
      <c r="N353">
        <v>6</v>
      </c>
      <c r="O353">
        <v>1</v>
      </c>
      <c r="P353">
        <v>8</v>
      </c>
      <c r="Q353">
        <v>8</v>
      </c>
      <c r="R353">
        <v>0</v>
      </c>
      <c r="S353">
        <v>9</v>
      </c>
      <c r="T353">
        <v>7</v>
      </c>
      <c r="U353">
        <v>2</v>
      </c>
      <c r="V353">
        <v>7</v>
      </c>
      <c r="W353">
        <v>7</v>
      </c>
      <c r="X353">
        <v>0</v>
      </c>
      <c r="Y353">
        <v>9</v>
      </c>
      <c r="Z353">
        <v>7</v>
      </c>
      <c r="AA353">
        <v>2</v>
      </c>
      <c r="AB353">
        <v>8</v>
      </c>
      <c r="AC353">
        <v>5</v>
      </c>
      <c r="AD353">
        <v>3</v>
      </c>
      <c r="AE353">
        <v>9</v>
      </c>
      <c r="AF353">
        <v>6</v>
      </c>
      <c r="AG353">
        <v>3</v>
      </c>
      <c r="AH353">
        <v>8</v>
      </c>
      <c r="AI353">
        <v>7</v>
      </c>
      <c r="AJ353">
        <v>1</v>
      </c>
      <c r="AK353" t="s">
        <v>3373</v>
      </c>
      <c r="AL353" t="s">
        <v>3374</v>
      </c>
      <c r="AM353" t="s">
        <v>3375</v>
      </c>
      <c r="AN353" t="s">
        <v>3376</v>
      </c>
      <c r="AO353" t="s">
        <v>3377</v>
      </c>
      <c r="AP353" t="s">
        <v>3378</v>
      </c>
      <c r="AQ353" t="s">
        <v>3379</v>
      </c>
      <c r="AR353" t="s">
        <v>3380</v>
      </c>
      <c r="AS353" t="s">
        <v>3381</v>
      </c>
    </row>
    <row r="354" spans="1:45" x14ac:dyDescent="0.45">
      <c r="A354">
        <v>353</v>
      </c>
      <c r="B354">
        <v>394</v>
      </c>
      <c r="C354" t="s">
        <v>73</v>
      </c>
      <c r="D354" t="s">
        <v>74</v>
      </c>
      <c r="E354" t="s">
        <v>69</v>
      </c>
      <c r="F354" t="s">
        <v>72</v>
      </c>
      <c r="G354" t="s">
        <v>71</v>
      </c>
      <c r="H354">
        <v>96.175741142293276</v>
      </c>
      <c r="I354">
        <v>4</v>
      </c>
      <c r="J354">
        <v>7</v>
      </c>
      <c r="K354">
        <v>7</v>
      </c>
      <c r="L354">
        <v>0</v>
      </c>
      <c r="M354">
        <v>6</v>
      </c>
      <c r="N354">
        <v>7</v>
      </c>
      <c r="O354">
        <v>-1</v>
      </c>
      <c r="P354">
        <v>8</v>
      </c>
      <c r="Q354">
        <v>8</v>
      </c>
      <c r="R354">
        <v>0</v>
      </c>
      <c r="S354">
        <v>9</v>
      </c>
      <c r="T354">
        <v>8</v>
      </c>
      <c r="U354">
        <v>1</v>
      </c>
      <c r="V354">
        <v>8</v>
      </c>
      <c r="W354">
        <v>6</v>
      </c>
      <c r="X354">
        <v>2</v>
      </c>
      <c r="Y354">
        <v>9</v>
      </c>
      <c r="Z354">
        <v>7</v>
      </c>
      <c r="AA354">
        <v>2</v>
      </c>
      <c r="AB354">
        <v>8</v>
      </c>
      <c r="AC354">
        <v>5</v>
      </c>
      <c r="AD354">
        <v>3</v>
      </c>
      <c r="AE354">
        <v>7</v>
      </c>
      <c r="AF354">
        <v>7</v>
      </c>
      <c r="AG354">
        <v>0</v>
      </c>
      <c r="AH354">
        <v>9</v>
      </c>
      <c r="AI354">
        <v>7</v>
      </c>
      <c r="AJ354">
        <v>2</v>
      </c>
      <c r="AK354" t="s">
        <v>3382</v>
      </c>
      <c r="AL354" t="s">
        <v>3383</v>
      </c>
      <c r="AM354" t="s">
        <v>3384</v>
      </c>
      <c r="AN354" t="s">
        <v>3385</v>
      </c>
      <c r="AO354" t="s">
        <v>3386</v>
      </c>
      <c r="AP354" t="s">
        <v>3387</v>
      </c>
      <c r="AQ354" t="s">
        <v>3388</v>
      </c>
      <c r="AR354" t="s">
        <v>3389</v>
      </c>
      <c r="AS354" t="s">
        <v>3390</v>
      </c>
    </row>
    <row r="355" spans="1:45" x14ac:dyDescent="0.45">
      <c r="A355">
        <v>354</v>
      </c>
      <c r="B355">
        <v>395</v>
      </c>
      <c r="C355" t="s">
        <v>67</v>
      </c>
      <c r="D355" t="s">
        <v>184</v>
      </c>
      <c r="E355" t="s">
        <v>69</v>
      </c>
      <c r="F355" t="s">
        <v>72</v>
      </c>
      <c r="G355" t="s">
        <v>71</v>
      </c>
      <c r="H355">
        <v>16.334482128975615</v>
      </c>
      <c r="I355">
        <v>0</v>
      </c>
      <c r="J355">
        <v>6</v>
      </c>
      <c r="K355">
        <v>9</v>
      </c>
      <c r="L355">
        <v>-3</v>
      </c>
      <c r="M355">
        <v>8</v>
      </c>
      <c r="N355">
        <v>9</v>
      </c>
      <c r="O355">
        <v>-1</v>
      </c>
      <c r="P355">
        <v>9</v>
      </c>
      <c r="Q355">
        <v>10</v>
      </c>
      <c r="R355">
        <v>-1</v>
      </c>
      <c r="S355">
        <v>7</v>
      </c>
      <c r="T355">
        <v>10</v>
      </c>
      <c r="U355">
        <v>-3</v>
      </c>
      <c r="V355">
        <v>8</v>
      </c>
      <c r="W355">
        <v>9</v>
      </c>
      <c r="X355">
        <v>-1</v>
      </c>
      <c r="Y355">
        <v>9</v>
      </c>
      <c r="Z355">
        <v>10</v>
      </c>
      <c r="AA355">
        <v>-1</v>
      </c>
      <c r="AB355">
        <v>7</v>
      </c>
      <c r="AC355">
        <v>8</v>
      </c>
      <c r="AD355">
        <v>-1</v>
      </c>
      <c r="AE355">
        <v>8</v>
      </c>
      <c r="AF355">
        <v>8</v>
      </c>
      <c r="AG355">
        <v>0</v>
      </c>
      <c r="AH355">
        <v>7</v>
      </c>
      <c r="AI355">
        <v>9</v>
      </c>
      <c r="AJ355">
        <v>-2</v>
      </c>
      <c r="AK355" t="s">
        <v>3391</v>
      </c>
      <c r="AL355" t="s">
        <v>3392</v>
      </c>
      <c r="AM355" t="s">
        <v>3393</v>
      </c>
      <c r="AN355" t="s">
        <v>3394</v>
      </c>
      <c r="AO355" t="s">
        <v>3395</v>
      </c>
      <c r="AP355" t="s">
        <v>3396</v>
      </c>
      <c r="AQ355" t="s">
        <v>3397</v>
      </c>
      <c r="AR355" t="s">
        <v>3398</v>
      </c>
      <c r="AS355" t="s">
        <v>3399</v>
      </c>
    </row>
    <row r="356" spans="1:45" x14ac:dyDescent="0.45">
      <c r="A356">
        <v>355</v>
      </c>
      <c r="B356">
        <v>396</v>
      </c>
      <c r="C356" t="s">
        <v>73</v>
      </c>
      <c r="D356" t="s">
        <v>184</v>
      </c>
      <c r="E356" t="s">
        <v>69</v>
      </c>
      <c r="F356" t="s">
        <v>72</v>
      </c>
      <c r="G356" t="s">
        <v>71</v>
      </c>
      <c r="H356">
        <v>12.946648626423238</v>
      </c>
      <c r="I356">
        <v>0</v>
      </c>
      <c r="J356">
        <v>7</v>
      </c>
      <c r="K356">
        <v>7</v>
      </c>
      <c r="L356">
        <v>0</v>
      </c>
      <c r="M356">
        <v>6</v>
      </c>
      <c r="N356">
        <v>8</v>
      </c>
      <c r="O356">
        <v>-2</v>
      </c>
      <c r="P356">
        <v>9</v>
      </c>
      <c r="Q356">
        <v>8</v>
      </c>
      <c r="R356">
        <v>1</v>
      </c>
      <c r="S356">
        <v>8</v>
      </c>
      <c r="T356">
        <v>9</v>
      </c>
      <c r="U356">
        <v>-1</v>
      </c>
      <c r="W356">
        <v>8</v>
      </c>
      <c r="Z356">
        <v>10</v>
      </c>
      <c r="AC356">
        <v>8</v>
      </c>
      <c r="AF356">
        <v>8</v>
      </c>
      <c r="AI356">
        <v>9</v>
      </c>
      <c r="AK356" t="s">
        <v>198</v>
      </c>
      <c r="AL356" t="s">
        <v>198</v>
      </c>
      <c r="AM356" t="s">
        <v>198</v>
      </c>
      <c r="AN356" t="s">
        <v>198</v>
      </c>
      <c r="AO356" t="s">
        <v>198</v>
      </c>
      <c r="AP356" t="s">
        <v>198</v>
      </c>
      <c r="AQ356" t="s">
        <v>198</v>
      </c>
      <c r="AR356" t="s">
        <v>198</v>
      </c>
      <c r="AS356" t="s">
        <v>198</v>
      </c>
    </row>
    <row r="357" spans="1:45" x14ac:dyDescent="0.45">
      <c r="A357">
        <v>356</v>
      </c>
      <c r="B357">
        <v>397</v>
      </c>
      <c r="C357" t="s">
        <v>73</v>
      </c>
      <c r="D357" t="s">
        <v>184</v>
      </c>
      <c r="E357" t="s">
        <v>69</v>
      </c>
      <c r="F357" t="s">
        <v>72</v>
      </c>
      <c r="G357" t="s">
        <v>71</v>
      </c>
      <c r="H357">
        <v>16.375265889761035</v>
      </c>
      <c r="I357">
        <v>0</v>
      </c>
      <c r="J357">
        <v>8</v>
      </c>
      <c r="K357">
        <v>7</v>
      </c>
      <c r="L357">
        <v>1</v>
      </c>
      <c r="M357">
        <v>9</v>
      </c>
      <c r="N357">
        <v>7</v>
      </c>
      <c r="O357">
        <v>2</v>
      </c>
      <c r="P357">
        <v>8</v>
      </c>
      <c r="Q357">
        <v>8</v>
      </c>
      <c r="R357">
        <v>0</v>
      </c>
      <c r="S357">
        <v>9</v>
      </c>
      <c r="T357">
        <v>10</v>
      </c>
      <c r="U357">
        <v>-1</v>
      </c>
      <c r="V357">
        <v>8</v>
      </c>
      <c r="W357">
        <v>9</v>
      </c>
      <c r="X357">
        <v>-1</v>
      </c>
      <c r="Y357">
        <v>9</v>
      </c>
      <c r="Z357">
        <v>10</v>
      </c>
      <c r="AA357">
        <v>-1</v>
      </c>
      <c r="AB357">
        <v>8</v>
      </c>
      <c r="AC357">
        <v>8</v>
      </c>
      <c r="AD357">
        <v>0</v>
      </c>
      <c r="AE357">
        <v>9</v>
      </c>
      <c r="AF357">
        <v>8</v>
      </c>
      <c r="AG357">
        <v>1</v>
      </c>
      <c r="AH357">
        <v>10</v>
      </c>
      <c r="AI357">
        <v>10</v>
      </c>
      <c r="AJ357">
        <v>0</v>
      </c>
      <c r="AK357" t="s">
        <v>797</v>
      </c>
      <c r="AL357" t="s">
        <v>798</v>
      </c>
      <c r="AM357" t="s">
        <v>799</v>
      </c>
      <c r="AN357" t="s">
        <v>800</v>
      </c>
      <c r="AO357" t="s">
        <v>801</v>
      </c>
      <c r="AP357" t="s">
        <v>3400</v>
      </c>
      <c r="AQ357" t="s">
        <v>3401</v>
      </c>
      <c r="AR357" t="s">
        <v>3402</v>
      </c>
      <c r="AS357" t="s">
        <v>3403</v>
      </c>
    </row>
    <row r="358" spans="1:45" x14ac:dyDescent="0.45">
      <c r="A358">
        <v>357</v>
      </c>
      <c r="B358">
        <v>398</v>
      </c>
      <c r="C358" t="s">
        <v>73</v>
      </c>
      <c r="D358" t="s">
        <v>76</v>
      </c>
      <c r="E358" t="s">
        <v>69</v>
      </c>
      <c r="F358" t="s">
        <v>72</v>
      </c>
      <c r="G358" t="s">
        <v>71</v>
      </c>
      <c r="H358">
        <v>26.747151426270499</v>
      </c>
      <c r="I358">
        <v>0</v>
      </c>
      <c r="J358">
        <v>7</v>
      </c>
      <c r="K358">
        <v>9</v>
      </c>
      <c r="L358">
        <v>-2</v>
      </c>
      <c r="M358">
        <v>6</v>
      </c>
      <c r="N358">
        <v>9</v>
      </c>
      <c r="O358">
        <v>-3</v>
      </c>
      <c r="P358">
        <v>9</v>
      </c>
      <c r="Q358">
        <v>8</v>
      </c>
      <c r="R358">
        <v>1</v>
      </c>
      <c r="S358">
        <v>8</v>
      </c>
      <c r="T358">
        <v>9</v>
      </c>
      <c r="U358">
        <v>-1</v>
      </c>
      <c r="V358">
        <v>7</v>
      </c>
      <c r="W358">
        <v>8</v>
      </c>
      <c r="X358">
        <v>-1</v>
      </c>
      <c r="Y358">
        <v>9</v>
      </c>
      <c r="Z358">
        <v>8</v>
      </c>
      <c r="AA358">
        <v>1</v>
      </c>
      <c r="AB358">
        <v>8</v>
      </c>
      <c r="AC358">
        <v>7</v>
      </c>
      <c r="AD358">
        <v>1</v>
      </c>
      <c r="AE358">
        <v>9</v>
      </c>
      <c r="AF358">
        <v>7</v>
      </c>
      <c r="AG358">
        <v>2</v>
      </c>
      <c r="AH358">
        <v>8</v>
      </c>
      <c r="AI358">
        <v>8</v>
      </c>
      <c r="AJ358">
        <v>0</v>
      </c>
      <c r="AK358" t="s">
        <v>3404</v>
      </c>
      <c r="AL358" t="s">
        <v>3405</v>
      </c>
      <c r="AM358" t="s">
        <v>3406</v>
      </c>
      <c r="AN358" t="s">
        <v>3407</v>
      </c>
      <c r="AO358" t="s">
        <v>3408</v>
      </c>
      <c r="AP358" t="s">
        <v>3409</v>
      </c>
      <c r="AQ358" t="s">
        <v>3410</v>
      </c>
      <c r="AR358" t="s">
        <v>3411</v>
      </c>
      <c r="AS358" t="s">
        <v>3412</v>
      </c>
    </row>
    <row r="359" spans="1:45" x14ac:dyDescent="0.45">
      <c r="A359">
        <v>358</v>
      </c>
      <c r="B359">
        <v>399</v>
      </c>
      <c r="C359" t="s">
        <v>67</v>
      </c>
      <c r="D359" t="s">
        <v>184</v>
      </c>
      <c r="E359" t="s">
        <v>69</v>
      </c>
      <c r="F359" t="s">
        <v>72</v>
      </c>
      <c r="G359" t="s">
        <v>71</v>
      </c>
      <c r="H359">
        <v>15.530543139297841</v>
      </c>
      <c r="I359">
        <v>0</v>
      </c>
      <c r="J359">
        <v>6</v>
      </c>
      <c r="K359">
        <v>7</v>
      </c>
      <c r="L359">
        <v>-1</v>
      </c>
      <c r="M359">
        <v>6</v>
      </c>
      <c r="N359">
        <v>7</v>
      </c>
      <c r="O359">
        <v>-1</v>
      </c>
      <c r="P359">
        <v>7</v>
      </c>
      <c r="Q359">
        <v>7</v>
      </c>
      <c r="R359">
        <v>0</v>
      </c>
      <c r="S359">
        <v>9</v>
      </c>
      <c r="T359">
        <v>8</v>
      </c>
      <c r="U359">
        <v>1</v>
      </c>
      <c r="V359">
        <v>7</v>
      </c>
      <c r="W359">
        <v>7</v>
      </c>
      <c r="X359">
        <v>0</v>
      </c>
      <c r="Y359">
        <v>8</v>
      </c>
      <c r="Z359">
        <v>9</v>
      </c>
      <c r="AA359">
        <v>-1</v>
      </c>
      <c r="AB359">
        <v>7</v>
      </c>
      <c r="AC359">
        <v>8</v>
      </c>
      <c r="AD359">
        <v>-1</v>
      </c>
      <c r="AE359">
        <v>8</v>
      </c>
      <c r="AF359">
        <v>8</v>
      </c>
      <c r="AG359">
        <v>0</v>
      </c>
      <c r="AH359">
        <v>9</v>
      </c>
      <c r="AI359">
        <v>8</v>
      </c>
      <c r="AJ359">
        <v>1</v>
      </c>
      <c r="AK359" t="s">
        <v>3413</v>
      </c>
      <c r="AL359" t="s">
        <v>3414</v>
      </c>
      <c r="AM359" t="s">
        <v>3415</v>
      </c>
      <c r="AN359" t="s">
        <v>3416</v>
      </c>
      <c r="AO359" t="s">
        <v>3417</v>
      </c>
      <c r="AP359" t="s">
        <v>3418</v>
      </c>
      <c r="AQ359" t="s">
        <v>3419</v>
      </c>
      <c r="AR359" t="s">
        <v>3420</v>
      </c>
      <c r="AS359" t="s">
        <v>3421</v>
      </c>
    </row>
    <row r="360" spans="1:45" x14ac:dyDescent="0.45">
      <c r="A360">
        <v>359</v>
      </c>
      <c r="B360">
        <v>400</v>
      </c>
      <c r="C360" t="s">
        <v>67</v>
      </c>
      <c r="D360" t="s">
        <v>76</v>
      </c>
      <c r="E360" t="s">
        <v>69</v>
      </c>
      <c r="F360" t="s">
        <v>72</v>
      </c>
      <c r="G360" t="s">
        <v>71</v>
      </c>
      <c r="H360">
        <v>20.485635072954015</v>
      </c>
      <c r="I360">
        <v>1</v>
      </c>
      <c r="J360">
        <v>7</v>
      </c>
      <c r="K360">
        <v>4</v>
      </c>
      <c r="L360">
        <v>3</v>
      </c>
      <c r="M360">
        <v>8</v>
      </c>
      <c r="N360">
        <v>5</v>
      </c>
      <c r="O360">
        <v>3</v>
      </c>
      <c r="P360">
        <v>9</v>
      </c>
      <c r="Q360">
        <v>6</v>
      </c>
      <c r="R360">
        <v>3</v>
      </c>
      <c r="S360">
        <v>8</v>
      </c>
      <c r="T360">
        <v>7</v>
      </c>
      <c r="U360">
        <v>1</v>
      </c>
      <c r="V360">
        <v>9</v>
      </c>
      <c r="W360">
        <v>7</v>
      </c>
      <c r="X360">
        <v>2</v>
      </c>
      <c r="Y360">
        <v>8</v>
      </c>
      <c r="Z360">
        <v>6</v>
      </c>
      <c r="AA360">
        <v>2</v>
      </c>
      <c r="AB360">
        <v>9</v>
      </c>
      <c r="AC360">
        <v>4</v>
      </c>
      <c r="AD360">
        <v>5</v>
      </c>
      <c r="AE360">
        <v>8</v>
      </c>
      <c r="AF360">
        <v>6</v>
      </c>
      <c r="AG360">
        <v>2</v>
      </c>
      <c r="AH360">
        <v>9</v>
      </c>
      <c r="AI360">
        <v>7</v>
      </c>
      <c r="AJ360">
        <v>2</v>
      </c>
      <c r="AK360" t="s">
        <v>3422</v>
      </c>
      <c r="AL360" t="s">
        <v>3423</v>
      </c>
      <c r="AM360" t="s">
        <v>3424</v>
      </c>
      <c r="AN360" t="s">
        <v>3425</v>
      </c>
      <c r="AO360" t="s">
        <v>3426</v>
      </c>
      <c r="AP360" t="s">
        <v>3427</v>
      </c>
      <c r="AQ360" t="s">
        <v>3428</v>
      </c>
      <c r="AR360" t="s">
        <v>3429</v>
      </c>
      <c r="AS360" t="s">
        <v>3430</v>
      </c>
    </row>
    <row r="361" spans="1:45" x14ac:dyDescent="0.45">
      <c r="A361">
        <v>360</v>
      </c>
      <c r="B361">
        <v>401</v>
      </c>
      <c r="C361" t="s">
        <v>73</v>
      </c>
      <c r="D361" t="s">
        <v>76</v>
      </c>
      <c r="E361" t="s">
        <v>69</v>
      </c>
      <c r="F361" t="s">
        <v>72</v>
      </c>
      <c r="G361" t="s">
        <v>71</v>
      </c>
      <c r="H361">
        <v>20.857630152997423</v>
      </c>
      <c r="I361">
        <v>0</v>
      </c>
      <c r="J361">
        <v>7</v>
      </c>
      <c r="K361">
        <v>9</v>
      </c>
      <c r="L361">
        <v>-2</v>
      </c>
      <c r="M361">
        <v>6</v>
      </c>
      <c r="N361">
        <v>8</v>
      </c>
      <c r="O361">
        <v>-2</v>
      </c>
      <c r="P361">
        <v>8</v>
      </c>
      <c r="Q361">
        <v>8</v>
      </c>
      <c r="R361">
        <v>0</v>
      </c>
      <c r="S361">
        <v>9</v>
      </c>
      <c r="T361">
        <v>8</v>
      </c>
      <c r="U361">
        <v>1</v>
      </c>
      <c r="V361">
        <v>7</v>
      </c>
      <c r="W361">
        <v>7</v>
      </c>
      <c r="X361">
        <v>0</v>
      </c>
      <c r="Y361">
        <v>9</v>
      </c>
      <c r="Z361">
        <v>7</v>
      </c>
      <c r="AA361">
        <v>2</v>
      </c>
      <c r="AB361">
        <v>7</v>
      </c>
      <c r="AC361">
        <v>6</v>
      </c>
      <c r="AD361">
        <v>1</v>
      </c>
      <c r="AE361">
        <v>6</v>
      </c>
      <c r="AF361">
        <v>7</v>
      </c>
      <c r="AG361">
        <v>-1</v>
      </c>
      <c r="AH361">
        <v>9</v>
      </c>
      <c r="AI361">
        <v>8</v>
      </c>
      <c r="AJ361">
        <v>1</v>
      </c>
      <c r="AK361" t="s">
        <v>3431</v>
      </c>
      <c r="AL361" t="s">
        <v>3432</v>
      </c>
      <c r="AM361" t="s">
        <v>3433</v>
      </c>
      <c r="AN361" t="s">
        <v>3434</v>
      </c>
      <c r="AO361" t="s">
        <v>3435</v>
      </c>
      <c r="AP361" t="s">
        <v>3436</v>
      </c>
      <c r="AQ361" t="s">
        <v>3437</v>
      </c>
      <c r="AR361" t="s">
        <v>3438</v>
      </c>
      <c r="AS361" t="s">
        <v>3439</v>
      </c>
    </row>
    <row r="362" spans="1:45" x14ac:dyDescent="0.45">
      <c r="A362">
        <v>361</v>
      </c>
      <c r="B362">
        <v>402</v>
      </c>
      <c r="C362" t="s">
        <v>67</v>
      </c>
      <c r="D362" t="s">
        <v>184</v>
      </c>
      <c r="E362" t="s">
        <v>69</v>
      </c>
      <c r="F362" t="s">
        <v>72</v>
      </c>
      <c r="G362" t="s">
        <v>71</v>
      </c>
      <c r="H362">
        <v>12</v>
      </c>
      <c r="I362">
        <v>0</v>
      </c>
      <c r="J362">
        <v>7</v>
      </c>
      <c r="K362">
        <v>7</v>
      </c>
      <c r="L362">
        <v>0</v>
      </c>
      <c r="M362">
        <v>8</v>
      </c>
      <c r="N362">
        <v>7</v>
      </c>
      <c r="O362">
        <v>1</v>
      </c>
      <c r="P362">
        <v>6</v>
      </c>
      <c r="Q362">
        <v>8</v>
      </c>
      <c r="R362">
        <v>-2</v>
      </c>
      <c r="S362">
        <v>9</v>
      </c>
      <c r="T362">
        <v>9</v>
      </c>
      <c r="U362">
        <v>0</v>
      </c>
      <c r="V362">
        <v>7</v>
      </c>
      <c r="W362">
        <v>7</v>
      </c>
      <c r="X362">
        <v>0</v>
      </c>
      <c r="Y362">
        <v>9</v>
      </c>
      <c r="Z362">
        <v>10</v>
      </c>
      <c r="AA362">
        <v>-1</v>
      </c>
      <c r="AB362">
        <v>8</v>
      </c>
      <c r="AC362">
        <v>8</v>
      </c>
      <c r="AD362">
        <v>0</v>
      </c>
      <c r="AE362">
        <v>7</v>
      </c>
      <c r="AF362">
        <v>8</v>
      </c>
      <c r="AG362">
        <v>-1</v>
      </c>
      <c r="AH362">
        <v>8</v>
      </c>
      <c r="AI362">
        <v>10</v>
      </c>
      <c r="AJ362">
        <v>-2</v>
      </c>
      <c r="AK362" t="s">
        <v>627</v>
      </c>
      <c r="AL362" t="s">
        <v>628</v>
      </c>
      <c r="AM362" t="s">
        <v>629</v>
      </c>
      <c r="AN362" t="s">
        <v>630</v>
      </c>
      <c r="AO362" t="s">
        <v>631</v>
      </c>
      <c r="AP362" t="s">
        <v>632</v>
      </c>
      <c r="AQ362" t="s">
        <v>633</v>
      </c>
      <c r="AR362" t="s">
        <v>634</v>
      </c>
      <c r="AS362" t="s">
        <v>635</v>
      </c>
    </row>
    <row r="363" spans="1:45" x14ac:dyDescent="0.45">
      <c r="A363">
        <v>362</v>
      </c>
      <c r="B363">
        <v>403</v>
      </c>
      <c r="C363" t="s">
        <v>67</v>
      </c>
      <c r="D363" t="s">
        <v>184</v>
      </c>
      <c r="E363" t="s">
        <v>69</v>
      </c>
      <c r="F363" t="s">
        <v>72</v>
      </c>
      <c r="G363" t="s">
        <v>71</v>
      </c>
      <c r="H363">
        <v>13.205822112677556</v>
      </c>
      <c r="I363">
        <v>0</v>
      </c>
      <c r="J363">
        <v>6</v>
      </c>
      <c r="K363">
        <v>3</v>
      </c>
      <c r="L363">
        <v>3</v>
      </c>
      <c r="M363">
        <v>7</v>
      </c>
      <c r="N363">
        <v>3</v>
      </c>
      <c r="O363">
        <v>4</v>
      </c>
      <c r="P363">
        <v>9</v>
      </c>
      <c r="Q363">
        <v>5</v>
      </c>
      <c r="R363">
        <v>4</v>
      </c>
      <c r="S363">
        <v>10</v>
      </c>
      <c r="T363">
        <v>6</v>
      </c>
      <c r="U363">
        <v>4</v>
      </c>
      <c r="V363">
        <v>8</v>
      </c>
      <c r="W363">
        <v>5</v>
      </c>
      <c r="X363">
        <v>3</v>
      </c>
      <c r="Y363">
        <v>9</v>
      </c>
      <c r="Z363">
        <v>6</v>
      </c>
      <c r="AA363">
        <v>3</v>
      </c>
      <c r="AB363">
        <v>7</v>
      </c>
      <c r="AC363">
        <v>4</v>
      </c>
      <c r="AD363">
        <v>3</v>
      </c>
      <c r="AE363">
        <v>8</v>
      </c>
      <c r="AF363">
        <v>6</v>
      </c>
      <c r="AG363">
        <v>2</v>
      </c>
      <c r="AH363">
        <v>9</v>
      </c>
      <c r="AI363">
        <v>6</v>
      </c>
      <c r="AJ363">
        <v>3</v>
      </c>
      <c r="AK363" t="s">
        <v>802</v>
      </c>
      <c r="AL363" t="s">
        <v>803</v>
      </c>
      <c r="AM363" t="s">
        <v>804</v>
      </c>
      <c r="AN363" t="s">
        <v>805</v>
      </c>
      <c r="AO363" t="s">
        <v>806</v>
      </c>
      <c r="AP363" t="s">
        <v>3440</v>
      </c>
      <c r="AQ363" t="s">
        <v>3441</v>
      </c>
      <c r="AR363" t="s">
        <v>3442</v>
      </c>
      <c r="AS363" t="s">
        <v>3443</v>
      </c>
    </row>
    <row r="364" spans="1:45" x14ac:dyDescent="0.45">
      <c r="A364">
        <v>363</v>
      </c>
      <c r="B364">
        <v>404</v>
      </c>
      <c r="C364" t="s">
        <v>73</v>
      </c>
      <c r="D364" t="s">
        <v>76</v>
      </c>
      <c r="E364" t="s">
        <v>69</v>
      </c>
      <c r="F364" t="s">
        <v>72</v>
      </c>
      <c r="G364" t="s">
        <v>71</v>
      </c>
      <c r="H364">
        <v>25.535590056170005</v>
      </c>
      <c r="I364">
        <v>1</v>
      </c>
      <c r="J364">
        <v>7</v>
      </c>
      <c r="K364">
        <v>8</v>
      </c>
      <c r="L364">
        <v>-1</v>
      </c>
      <c r="M364">
        <v>8</v>
      </c>
      <c r="N364">
        <v>8</v>
      </c>
      <c r="O364">
        <v>0</v>
      </c>
      <c r="P364">
        <v>9</v>
      </c>
      <c r="Q364">
        <v>5</v>
      </c>
      <c r="R364">
        <v>4</v>
      </c>
      <c r="S364">
        <v>10</v>
      </c>
      <c r="T364">
        <v>7</v>
      </c>
      <c r="U364">
        <v>3</v>
      </c>
      <c r="V364">
        <v>7</v>
      </c>
      <c r="W364">
        <v>5</v>
      </c>
      <c r="X364">
        <v>2</v>
      </c>
      <c r="Y364">
        <v>9</v>
      </c>
      <c r="Z364">
        <v>8</v>
      </c>
      <c r="AA364">
        <v>1</v>
      </c>
      <c r="AB364">
        <v>8</v>
      </c>
      <c r="AC364">
        <v>5</v>
      </c>
      <c r="AD364">
        <v>3</v>
      </c>
      <c r="AE364">
        <v>7</v>
      </c>
      <c r="AF364">
        <v>7</v>
      </c>
      <c r="AG364">
        <v>0</v>
      </c>
      <c r="AH364">
        <v>8</v>
      </c>
      <c r="AI364">
        <v>8</v>
      </c>
      <c r="AJ364">
        <v>0</v>
      </c>
      <c r="AK364" t="s">
        <v>3444</v>
      </c>
      <c r="AL364" t="s">
        <v>3445</v>
      </c>
      <c r="AM364" t="s">
        <v>3446</v>
      </c>
      <c r="AN364" t="s">
        <v>3447</v>
      </c>
      <c r="AO364" t="s">
        <v>3448</v>
      </c>
      <c r="AP364" t="s">
        <v>3449</v>
      </c>
      <c r="AQ364" t="s">
        <v>3450</v>
      </c>
      <c r="AR364" t="s">
        <v>3451</v>
      </c>
      <c r="AS364" t="s">
        <v>3452</v>
      </c>
    </row>
    <row r="365" spans="1:45" x14ac:dyDescent="0.45">
      <c r="A365">
        <v>364</v>
      </c>
      <c r="B365">
        <v>405</v>
      </c>
      <c r="C365" t="s">
        <v>73</v>
      </c>
      <c r="D365" t="s">
        <v>68</v>
      </c>
      <c r="E365" t="s">
        <v>69</v>
      </c>
      <c r="F365" t="s">
        <v>72</v>
      </c>
      <c r="G365" t="s">
        <v>71</v>
      </c>
      <c r="H365">
        <v>20.537112224734702</v>
      </c>
      <c r="I365">
        <v>1</v>
      </c>
      <c r="J365">
        <v>6</v>
      </c>
      <c r="K365">
        <v>4</v>
      </c>
      <c r="L365">
        <v>2</v>
      </c>
      <c r="M365">
        <v>6</v>
      </c>
      <c r="N365">
        <v>5</v>
      </c>
      <c r="O365">
        <v>1</v>
      </c>
      <c r="P365">
        <v>9</v>
      </c>
      <c r="Q365">
        <v>5</v>
      </c>
      <c r="R365">
        <v>4</v>
      </c>
      <c r="S365">
        <v>10</v>
      </c>
      <c r="T365">
        <v>7</v>
      </c>
      <c r="U365">
        <v>3</v>
      </c>
      <c r="V365">
        <v>7</v>
      </c>
      <c r="W365">
        <v>5</v>
      </c>
      <c r="X365">
        <v>2</v>
      </c>
      <c r="Y365">
        <v>9</v>
      </c>
      <c r="Z365">
        <v>7</v>
      </c>
      <c r="AA365">
        <v>2</v>
      </c>
      <c r="AB365">
        <v>7</v>
      </c>
      <c r="AC365">
        <v>5</v>
      </c>
      <c r="AD365">
        <v>2</v>
      </c>
      <c r="AE365">
        <v>8</v>
      </c>
      <c r="AF365">
        <v>6</v>
      </c>
      <c r="AG365">
        <v>2</v>
      </c>
      <c r="AH365">
        <v>9</v>
      </c>
      <c r="AI365">
        <v>7</v>
      </c>
      <c r="AJ365">
        <v>2</v>
      </c>
      <c r="AK365" t="s">
        <v>3453</v>
      </c>
      <c r="AL365" t="s">
        <v>3454</v>
      </c>
      <c r="AM365" t="s">
        <v>3455</v>
      </c>
      <c r="AN365" t="s">
        <v>3456</v>
      </c>
      <c r="AO365" t="s">
        <v>3457</v>
      </c>
      <c r="AP365" t="s">
        <v>3458</v>
      </c>
      <c r="AQ365" t="s">
        <v>3459</v>
      </c>
      <c r="AR365" t="s">
        <v>3460</v>
      </c>
      <c r="AS365" t="s">
        <v>3461</v>
      </c>
    </row>
    <row r="366" spans="1:45" x14ac:dyDescent="0.45">
      <c r="A366">
        <v>365</v>
      </c>
      <c r="B366">
        <v>406</v>
      </c>
      <c r="C366" t="s">
        <v>67</v>
      </c>
      <c r="D366" t="s">
        <v>76</v>
      </c>
      <c r="E366" t="s">
        <v>69</v>
      </c>
      <c r="F366" t="s">
        <v>72</v>
      </c>
      <c r="G366" t="s">
        <v>71</v>
      </c>
      <c r="H366">
        <v>37.999691027175658</v>
      </c>
      <c r="I366">
        <v>0</v>
      </c>
      <c r="J366">
        <v>8</v>
      </c>
      <c r="K366">
        <v>9</v>
      </c>
      <c r="L366">
        <v>-1</v>
      </c>
      <c r="M366">
        <v>8</v>
      </c>
      <c r="N366">
        <v>9</v>
      </c>
      <c r="O366">
        <v>-1</v>
      </c>
      <c r="P366">
        <v>9</v>
      </c>
      <c r="Q366">
        <v>8</v>
      </c>
      <c r="R366">
        <v>1</v>
      </c>
      <c r="S366">
        <v>9</v>
      </c>
      <c r="T366">
        <v>9</v>
      </c>
      <c r="U366">
        <v>0</v>
      </c>
      <c r="V366">
        <v>8</v>
      </c>
      <c r="W366">
        <v>9</v>
      </c>
      <c r="X366">
        <v>-1</v>
      </c>
      <c r="Y366">
        <v>9</v>
      </c>
      <c r="Z366">
        <v>7</v>
      </c>
      <c r="AA366">
        <v>2</v>
      </c>
      <c r="AB366">
        <v>8</v>
      </c>
      <c r="AC366">
        <v>7</v>
      </c>
      <c r="AD366">
        <v>1</v>
      </c>
      <c r="AE366">
        <v>8</v>
      </c>
      <c r="AF366">
        <v>7</v>
      </c>
      <c r="AG366">
        <v>1</v>
      </c>
      <c r="AH366">
        <v>9</v>
      </c>
      <c r="AI366">
        <v>7</v>
      </c>
      <c r="AJ366">
        <v>2</v>
      </c>
      <c r="AK366" t="s">
        <v>3462</v>
      </c>
      <c r="AL366" t="s">
        <v>3463</v>
      </c>
      <c r="AM366" t="s">
        <v>3464</v>
      </c>
      <c r="AN366" t="s">
        <v>3465</v>
      </c>
      <c r="AO366" t="s">
        <v>3466</v>
      </c>
      <c r="AP366" t="s">
        <v>3467</v>
      </c>
      <c r="AQ366" t="s">
        <v>3468</v>
      </c>
      <c r="AR366" t="s">
        <v>3469</v>
      </c>
      <c r="AS366" t="s">
        <v>3470</v>
      </c>
    </row>
    <row r="367" spans="1:45" x14ac:dyDescent="0.45">
      <c r="A367">
        <v>366</v>
      </c>
      <c r="B367">
        <v>407</v>
      </c>
      <c r="C367" t="s">
        <v>73</v>
      </c>
      <c r="D367" t="s">
        <v>68</v>
      </c>
      <c r="E367" t="s">
        <v>69</v>
      </c>
      <c r="F367" t="s">
        <v>70</v>
      </c>
      <c r="G367" t="s">
        <v>71</v>
      </c>
      <c r="H367">
        <v>57.008492890369311</v>
      </c>
      <c r="I367">
        <v>1</v>
      </c>
      <c r="J367">
        <v>6</v>
      </c>
      <c r="K367">
        <v>7</v>
      </c>
      <c r="L367">
        <v>-1</v>
      </c>
      <c r="M367">
        <v>7</v>
      </c>
      <c r="N367">
        <v>8</v>
      </c>
      <c r="O367">
        <v>-1</v>
      </c>
      <c r="P367">
        <v>8</v>
      </c>
      <c r="Q367">
        <v>8</v>
      </c>
      <c r="R367">
        <v>0</v>
      </c>
      <c r="S367">
        <v>9</v>
      </c>
      <c r="T367">
        <v>8</v>
      </c>
      <c r="U367">
        <v>1</v>
      </c>
      <c r="V367">
        <v>8</v>
      </c>
      <c r="W367">
        <v>5</v>
      </c>
      <c r="X367">
        <v>3</v>
      </c>
      <c r="Y367">
        <v>9</v>
      </c>
      <c r="Z367">
        <v>6</v>
      </c>
      <c r="AA367">
        <v>3</v>
      </c>
      <c r="AB367">
        <v>7</v>
      </c>
      <c r="AC367">
        <v>5</v>
      </c>
      <c r="AD367">
        <v>2</v>
      </c>
      <c r="AE367">
        <v>8</v>
      </c>
      <c r="AF367">
        <v>6</v>
      </c>
      <c r="AG367">
        <v>2</v>
      </c>
      <c r="AH367">
        <v>9</v>
      </c>
      <c r="AI367">
        <v>6</v>
      </c>
      <c r="AJ367">
        <v>3</v>
      </c>
      <c r="AK367" t="s">
        <v>3471</v>
      </c>
      <c r="AL367" t="s">
        <v>3472</v>
      </c>
      <c r="AM367" t="s">
        <v>3473</v>
      </c>
      <c r="AN367" t="s">
        <v>3474</v>
      </c>
      <c r="AO367" t="s">
        <v>3475</v>
      </c>
      <c r="AP367" t="s">
        <v>3476</v>
      </c>
      <c r="AQ367" t="s">
        <v>3477</v>
      </c>
      <c r="AR367" t="s">
        <v>3478</v>
      </c>
      <c r="AS367" t="s">
        <v>3479</v>
      </c>
    </row>
    <row r="368" spans="1:45" x14ac:dyDescent="0.45">
      <c r="A368">
        <v>367</v>
      </c>
      <c r="B368">
        <v>408</v>
      </c>
      <c r="C368" t="s">
        <v>67</v>
      </c>
      <c r="D368" t="s">
        <v>184</v>
      </c>
      <c r="E368" t="s">
        <v>69</v>
      </c>
      <c r="F368" t="s">
        <v>72</v>
      </c>
      <c r="G368" t="s">
        <v>71</v>
      </c>
      <c r="H368">
        <v>14.489915005413165</v>
      </c>
      <c r="I368">
        <v>0</v>
      </c>
      <c r="J368">
        <v>8</v>
      </c>
      <c r="K368">
        <v>8</v>
      </c>
      <c r="L368">
        <v>0</v>
      </c>
      <c r="M368">
        <v>9</v>
      </c>
      <c r="N368">
        <v>9</v>
      </c>
      <c r="O368">
        <v>0</v>
      </c>
      <c r="P368">
        <v>9</v>
      </c>
      <c r="Q368">
        <v>8</v>
      </c>
      <c r="R368">
        <v>1</v>
      </c>
      <c r="S368">
        <v>9</v>
      </c>
      <c r="T368">
        <v>8</v>
      </c>
      <c r="U368">
        <v>1</v>
      </c>
      <c r="V368">
        <v>8</v>
      </c>
      <c r="W368">
        <v>9</v>
      </c>
      <c r="X368">
        <v>-1</v>
      </c>
      <c r="Y368">
        <v>9</v>
      </c>
      <c r="Z368">
        <v>10</v>
      </c>
      <c r="AA368">
        <v>-1</v>
      </c>
      <c r="AB368">
        <v>8</v>
      </c>
      <c r="AC368">
        <v>10</v>
      </c>
      <c r="AD368">
        <v>-2</v>
      </c>
      <c r="AE368">
        <v>8</v>
      </c>
      <c r="AF368">
        <v>9</v>
      </c>
      <c r="AG368">
        <v>-1</v>
      </c>
      <c r="AH368">
        <v>9</v>
      </c>
      <c r="AI368">
        <v>10</v>
      </c>
      <c r="AJ368">
        <v>-1</v>
      </c>
      <c r="AK368" t="s">
        <v>3480</v>
      </c>
      <c r="AL368" t="s">
        <v>3481</v>
      </c>
      <c r="AM368" t="s">
        <v>3482</v>
      </c>
      <c r="AN368" t="s">
        <v>3483</v>
      </c>
      <c r="AO368" t="s">
        <v>3484</v>
      </c>
      <c r="AP368" t="s">
        <v>3485</v>
      </c>
      <c r="AQ368" t="s">
        <v>3486</v>
      </c>
      <c r="AR368" t="s">
        <v>3487</v>
      </c>
      <c r="AS368" t="s">
        <v>3488</v>
      </c>
    </row>
    <row r="369" spans="1:45" x14ac:dyDescent="0.45">
      <c r="A369">
        <v>368</v>
      </c>
      <c r="B369">
        <v>409</v>
      </c>
      <c r="C369" t="s">
        <v>67</v>
      </c>
      <c r="D369" t="s">
        <v>76</v>
      </c>
      <c r="E369" t="s">
        <v>69</v>
      </c>
      <c r="F369" t="s">
        <v>70</v>
      </c>
      <c r="G369" t="s">
        <v>71</v>
      </c>
      <c r="H369">
        <v>26.614885250121439</v>
      </c>
      <c r="I369">
        <v>2</v>
      </c>
      <c r="J369">
        <v>7</v>
      </c>
      <c r="K369">
        <v>7</v>
      </c>
      <c r="L369">
        <v>0</v>
      </c>
      <c r="M369">
        <v>7</v>
      </c>
      <c r="N369">
        <v>7</v>
      </c>
      <c r="O369">
        <v>0</v>
      </c>
      <c r="P369">
        <v>9</v>
      </c>
      <c r="Q369">
        <v>8</v>
      </c>
      <c r="R369">
        <v>1</v>
      </c>
      <c r="S369">
        <v>9</v>
      </c>
      <c r="T369">
        <v>8</v>
      </c>
      <c r="U369">
        <v>1</v>
      </c>
      <c r="V369">
        <v>8</v>
      </c>
      <c r="W369">
        <v>6</v>
      </c>
      <c r="X369">
        <v>2</v>
      </c>
      <c r="Y369">
        <v>9</v>
      </c>
      <c r="Z369">
        <v>8</v>
      </c>
      <c r="AA369">
        <v>1</v>
      </c>
      <c r="AB369">
        <v>8</v>
      </c>
      <c r="AC369">
        <v>6</v>
      </c>
      <c r="AD369">
        <v>2</v>
      </c>
      <c r="AE369">
        <v>7</v>
      </c>
      <c r="AF369">
        <v>7</v>
      </c>
      <c r="AG369">
        <v>0</v>
      </c>
      <c r="AH369">
        <v>9</v>
      </c>
      <c r="AI369">
        <v>8</v>
      </c>
      <c r="AJ369">
        <v>1</v>
      </c>
      <c r="AK369" t="s">
        <v>3489</v>
      </c>
      <c r="AL369" t="s">
        <v>3490</v>
      </c>
      <c r="AM369" t="s">
        <v>3491</v>
      </c>
      <c r="AN369" t="s">
        <v>3492</v>
      </c>
      <c r="AO369" t="s">
        <v>3493</v>
      </c>
      <c r="AP369" t="s">
        <v>3494</v>
      </c>
      <c r="AQ369" t="s">
        <v>3495</v>
      </c>
      <c r="AR369" t="s">
        <v>3496</v>
      </c>
      <c r="AS369" t="s">
        <v>3497</v>
      </c>
    </row>
    <row r="370" spans="1:45" x14ac:dyDescent="0.45">
      <c r="A370">
        <v>369</v>
      </c>
      <c r="B370">
        <v>410</v>
      </c>
      <c r="C370" t="s">
        <v>73</v>
      </c>
      <c r="D370" t="s">
        <v>76</v>
      </c>
      <c r="E370" t="s">
        <v>69</v>
      </c>
      <c r="F370" t="s">
        <v>72</v>
      </c>
      <c r="G370" t="s">
        <v>71</v>
      </c>
      <c r="H370">
        <v>13.067110338123854</v>
      </c>
      <c r="I370">
        <v>0</v>
      </c>
      <c r="J370">
        <v>7</v>
      </c>
      <c r="K370">
        <v>6</v>
      </c>
      <c r="L370">
        <v>1</v>
      </c>
      <c r="M370">
        <v>8</v>
      </c>
      <c r="N370">
        <v>6</v>
      </c>
      <c r="O370">
        <v>2</v>
      </c>
      <c r="P370">
        <v>7</v>
      </c>
      <c r="Q370">
        <v>8</v>
      </c>
      <c r="R370">
        <v>-1</v>
      </c>
      <c r="S370">
        <v>9</v>
      </c>
      <c r="T370">
        <v>9</v>
      </c>
      <c r="U370">
        <v>0</v>
      </c>
      <c r="V370">
        <v>8</v>
      </c>
      <c r="W370">
        <v>8</v>
      </c>
      <c r="X370">
        <v>0</v>
      </c>
      <c r="Y370">
        <v>9</v>
      </c>
      <c r="Z370">
        <v>8</v>
      </c>
      <c r="AA370">
        <v>1</v>
      </c>
      <c r="AB370">
        <v>8</v>
      </c>
      <c r="AC370">
        <v>5</v>
      </c>
      <c r="AD370">
        <v>3</v>
      </c>
      <c r="AE370">
        <v>9</v>
      </c>
      <c r="AF370">
        <v>7</v>
      </c>
      <c r="AG370">
        <v>2</v>
      </c>
      <c r="AH370">
        <v>8</v>
      </c>
      <c r="AI370">
        <v>8</v>
      </c>
      <c r="AJ370">
        <v>0</v>
      </c>
      <c r="AK370" t="s">
        <v>636</v>
      </c>
      <c r="AL370" t="s">
        <v>637</v>
      </c>
      <c r="AM370" t="s">
        <v>638</v>
      </c>
      <c r="AN370" t="s">
        <v>3498</v>
      </c>
      <c r="AO370" t="s">
        <v>3499</v>
      </c>
      <c r="AP370" t="s">
        <v>3500</v>
      </c>
      <c r="AQ370" t="s">
        <v>3501</v>
      </c>
      <c r="AR370" t="s">
        <v>3502</v>
      </c>
      <c r="AS370" t="s">
        <v>3503</v>
      </c>
    </row>
    <row r="371" spans="1:45" x14ac:dyDescent="0.45">
      <c r="A371">
        <v>370</v>
      </c>
      <c r="B371">
        <v>411</v>
      </c>
      <c r="C371" t="s">
        <v>73</v>
      </c>
      <c r="D371" t="s">
        <v>184</v>
      </c>
      <c r="E371" t="s">
        <v>69</v>
      </c>
      <c r="F371" t="s">
        <v>72</v>
      </c>
      <c r="G371" t="s">
        <v>71</v>
      </c>
      <c r="H371">
        <v>20.907587209693709</v>
      </c>
      <c r="I371">
        <v>0</v>
      </c>
      <c r="J371">
        <v>8</v>
      </c>
      <c r="K371">
        <v>6</v>
      </c>
      <c r="L371">
        <v>2</v>
      </c>
      <c r="M371">
        <v>9</v>
      </c>
      <c r="N371">
        <v>7</v>
      </c>
      <c r="O371">
        <v>2</v>
      </c>
      <c r="P371">
        <v>8</v>
      </c>
      <c r="Q371">
        <v>7</v>
      </c>
      <c r="R371">
        <v>1</v>
      </c>
      <c r="S371">
        <v>9</v>
      </c>
      <c r="T371">
        <v>9</v>
      </c>
      <c r="U371">
        <v>0</v>
      </c>
      <c r="V371">
        <v>8</v>
      </c>
      <c r="W371">
        <v>7</v>
      </c>
      <c r="X371">
        <v>1</v>
      </c>
      <c r="Y371">
        <v>9</v>
      </c>
      <c r="Z371">
        <v>9</v>
      </c>
      <c r="AA371">
        <v>0</v>
      </c>
      <c r="AB371">
        <v>7</v>
      </c>
      <c r="AC371">
        <v>9</v>
      </c>
      <c r="AD371">
        <v>-2</v>
      </c>
      <c r="AE371">
        <v>8</v>
      </c>
      <c r="AF371">
        <v>9</v>
      </c>
      <c r="AG371">
        <v>-1</v>
      </c>
      <c r="AH371">
        <v>9</v>
      </c>
      <c r="AI371">
        <v>9</v>
      </c>
      <c r="AJ371">
        <v>0</v>
      </c>
      <c r="AK371" t="s">
        <v>807</v>
      </c>
      <c r="AL371" t="s">
        <v>808</v>
      </c>
      <c r="AM371" t="s">
        <v>809</v>
      </c>
      <c r="AN371" t="s">
        <v>810</v>
      </c>
      <c r="AO371" t="s">
        <v>3504</v>
      </c>
      <c r="AP371" t="s">
        <v>3505</v>
      </c>
      <c r="AQ371" t="s">
        <v>3506</v>
      </c>
      <c r="AR371" t="s">
        <v>3507</v>
      </c>
      <c r="AS371" t="s">
        <v>3508</v>
      </c>
    </row>
    <row r="372" spans="1:45" x14ac:dyDescent="0.45">
      <c r="A372">
        <v>371</v>
      </c>
      <c r="B372">
        <v>412</v>
      </c>
      <c r="C372" t="s">
        <v>73</v>
      </c>
      <c r="D372" t="s">
        <v>74</v>
      </c>
      <c r="E372" t="s">
        <v>69</v>
      </c>
      <c r="F372" t="s">
        <v>70</v>
      </c>
      <c r="G372" t="s">
        <v>71</v>
      </c>
      <c r="H372">
        <v>64.058905665032313</v>
      </c>
      <c r="I372">
        <v>3</v>
      </c>
      <c r="J372">
        <v>7</v>
      </c>
      <c r="K372">
        <v>4</v>
      </c>
      <c r="L372">
        <v>3</v>
      </c>
      <c r="M372">
        <v>8</v>
      </c>
      <c r="N372">
        <v>4</v>
      </c>
      <c r="O372">
        <v>4</v>
      </c>
      <c r="P372">
        <v>9</v>
      </c>
      <c r="Q372">
        <v>5</v>
      </c>
      <c r="R372">
        <v>4</v>
      </c>
      <c r="S372">
        <v>9</v>
      </c>
      <c r="T372">
        <v>5</v>
      </c>
      <c r="U372">
        <v>4</v>
      </c>
      <c r="V372">
        <v>6</v>
      </c>
      <c r="W372">
        <v>5</v>
      </c>
      <c r="X372">
        <v>1</v>
      </c>
      <c r="Y372">
        <v>8</v>
      </c>
      <c r="Z372">
        <v>4</v>
      </c>
      <c r="AA372">
        <v>4</v>
      </c>
      <c r="AB372">
        <v>7</v>
      </c>
      <c r="AC372">
        <v>5</v>
      </c>
      <c r="AD372">
        <v>2</v>
      </c>
      <c r="AE372">
        <v>6</v>
      </c>
      <c r="AF372">
        <v>6</v>
      </c>
      <c r="AG372">
        <v>0</v>
      </c>
      <c r="AH372">
        <v>9</v>
      </c>
      <c r="AI372">
        <v>5</v>
      </c>
      <c r="AJ372">
        <v>4</v>
      </c>
      <c r="AK372" t="s">
        <v>3509</v>
      </c>
      <c r="AL372" t="s">
        <v>3510</v>
      </c>
      <c r="AM372" t="s">
        <v>3511</v>
      </c>
      <c r="AN372" t="s">
        <v>3512</v>
      </c>
      <c r="AO372" t="s">
        <v>3513</v>
      </c>
      <c r="AP372" t="s">
        <v>3514</v>
      </c>
      <c r="AQ372" t="s">
        <v>3515</v>
      </c>
      <c r="AR372" t="s">
        <v>3516</v>
      </c>
      <c r="AS372" t="s">
        <v>3517</v>
      </c>
    </row>
    <row r="373" spans="1:45" x14ac:dyDescent="0.45">
      <c r="A373">
        <v>372</v>
      </c>
      <c r="B373">
        <v>413</v>
      </c>
      <c r="C373" t="s">
        <v>67</v>
      </c>
      <c r="D373" t="s">
        <v>68</v>
      </c>
      <c r="E373" t="s">
        <v>69</v>
      </c>
      <c r="F373" t="s">
        <v>72</v>
      </c>
      <c r="G373" t="s">
        <v>71</v>
      </c>
      <c r="H373">
        <v>41.561424816595256</v>
      </c>
      <c r="I373">
        <v>2</v>
      </c>
      <c r="J373">
        <v>7</v>
      </c>
      <c r="K373">
        <v>6</v>
      </c>
      <c r="L373">
        <v>1</v>
      </c>
      <c r="M373">
        <v>8</v>
      </c>
      <c r="N373">
        <v>6</v>
      </c>
      <c r="O373">
        <v>2</v>
      </c>
      <c r="P373">
        <v>6</v>
      </c>
      <c r="Q373">
        <v>8</v>
      </c>
      <c r="R373">
        <v>-2</v>
      </c>
      <c r="S373">
        <v>7</v>
      </c>
      <c r="T373">
        <v>8</v>
      </c>
      <c r="U373">
        <v>-1</v>
      </c>
      <c r="V373">
        <v>6</v>
      </c>
      <c r="W373">
        <v>6</v>
      </c>
      <c r="X373">
        <v>0</v>
      </c>
      <c r="Y373">
        <v>8</v>
      </c>
      <c r="Z373">
        <v>7</v>
      </c>
      <c r="AA373">
        <v>1</v>
      </c>
      <c r="AB373">
        <v>7</v>
      </c>
      <c r="AC373">
        <v>5</v>
      </c>
      <c r="AD373">
        <v>2</v>
      </c>
      <c r="AE373">
        <v>6</v>
      </c>
      <c r="AF373">
        <v>6</v>
      </c>
      <c r="AG373">
        <v>0</v>
      </c>
      <c r="AH373">
        <v>8</v>
      </c>
      <c r="AI373">
        <v>6</v>
      </c>
      <c r="AJ373">
        <v>2</v>
      </c>
      <c r="AK373" t="s">
        <v>3518</v>
      </c>
      <c r="AL373" t="s">
        <v>3519</v>
      </c>
      <c r="AM373" t="s">
        <v>3520</v>
      </c>
      <c r="AN373" t="s">
        <v>3521</v>
      </c>
      <c r="AO373" t="s">
        <v>3522</v>
      </c>
      <c r="AP373" t="s">
        <v>3523</v>
      </c>
      <c r="AQ373" t="s">
        <v>3524</v>
      </c>
      <c r="AR373" t="s">
        <v>3525</v>
      </c>
      <c r="AS373" t="s">
        <v>3526</v>
      </c>
    </row>
    <row r="374" spans="1:45" x14ac:dyDescent="0.45">
      <c r="A374">
        <v>373</v>
      </c>
      <c r="B374">
        <v>414</v>
      </c>
      <c r="C374" t="s">
        <v>67</v>
      </c>
      <c r="D374" t="s">
        <v>68</v>
      </c>
      <c r="E374" t="s">
        <v>69</v>
      </c>
      <c r="F374" t="s">
        <v>72</v>
      </c>
      <c r="G374" t="s">
        <v>71</v>
      </c>
      <c r="H374">
        <v>90.612331568130955</v>
      </c>
      <c r="I374">
        <v>2</v>
      </c>
      <c r="J374">
        <v>7</v>
      </c>
      <c r="K374">
        <v>8</v>
      </c>
      <c r="L374">
        <v>-1</v>
      </c>
      <c r="M374">
        <v>8</v>
      </c>
      <c r="N374">
        <v>8</v>
      </c>
      <c r="O374">
        <v>0</v>
      </c>
      <c r="P374">
        <v>9</v>
      </c>
      <c r="Q374">
        <v>9</v>
      </c>
      <c r="R374">
        <v>0</v>
      </c>
      <c r="S374">
        <v>10</v>
      </c>
      <c r="T374">
        <v>9</v>
      </c>
      <c r="U374">
        <v>1</v>
      </c>
      <c r="V374">
        <v>7</v>
      </c>
      <c r="W374">
        <v>5</v>
      </c>
      <c r="X374">
        <v>2</v>
      </c>
      <c r="Y374">
        <v>9</v>
      </c>
      <c r="Z374">
        <v>5</v>
      </c>
      <c r="AA374">
        <v>4</v>
      </c>
      <c r="AB374">
        <v>8</v>
      </c>
      <c r="AC374">
        <v>5</v>
      </c>
      <c r="AD374">
        <v>3</v>
      </c>
      <c r="AE374">
        <v>9</v>
      </c>
      <c r="AF374">
        <v>6</v>
      </c>
      <c r="AG374">
        <v>3</v>
      </c>
      <c r="AH374">
        <v>9</v>
      </c>
      <c r="AI374">
        <v>5</v>
      </c>
      <c r="AJ374">
        <v>4</v>
      </c>
      <c r="AK374" t="s">
        <v>3527</v>
      </c>
      <c r="AL374" t="s">
        <v>3528</v>
      </c>
      <c r="AM374" t="s">
        <v>3529</v>
      </c>
      <c r="AN374" t="s">
        <v>3530</v>
      </c>
      <c r="AO374" t="s">
        <v>3531</v>
      </c>
      <c r="AP374" t="s">
        <v>3532</v>
      </c>
      <c r="AQ374" t="s">
        <v>3533</v>
      </c>
      <c r="AR374" t="s">
        <v>3534</v>
      </c>
      <c r="AS374" t="s">
        <v>3535</v>
      </c>
    </row>
    <row r="375" spans="1:45" x14ac:dyDescent="0.45">
      <c r="A375">
        <v>374</v>
      </c>
      <c r="B375">
        <v>415</v>
      </c>
      <c r="C375" t="s">
        <v>67</v>
      </c>
      <c r="D375" t="s">
        <v>68</v>
      </c>
      <c r="E375" t="s">
        <v>69</v>
      </c>
      <c r="F375" t="s">
        <v>72</v>
      </c>
      <c r="G375" t="s">
        <v>71</v>
      </c>
      <c r="H375">
        <v>44.000095852944739</v>
      </c>
      <c r="I375">
        <v>1</v>
      </c>
      <c r="J375">
        <v>7</v>
      </c>
      <c r="K375">
        <v>6</v>
      </c>
      <c r="L375">
        <v>1</v>
      </c>
      <c r="M375">
        <v>7</v>
      </c>
      <c r="N375">
        <v>6</v>
      </c>
      <c r="O375">
        <v>1</v>
      </c>
      <c r="P375">
        <v>8</v>
      </c>
      <c r="Q375">
        <v>7</v>
      </c>
      <c r="R375">
        <v>1</v>
      </c>
      <c r="S375">
        <v>9</v>
      </c>
      <c r="T375">
        <v>7</v>
      </c>
      <c r="U375">
        <v>2</v>
      </c>
      <c r="V375">
        <v>7</v>
      </c>
      <c r="W375">
        <v>6</v>
      </c>
      <c r="X375">
        <v>1</v>
      </c>
      <c r="Y375">
        <v>8</v>
      </c>
      <c r="Z375">
        <v>6</v>
      </c>
      <c r="AA375">
        <v>2</v>
      </c>
      <c r="AB375">
        <v>7</v>
      </c>
      <c r="AC375">
        <v>6</v>
      </c>
      <c r="AD375">
        <v>1</v>
      </c>
      <c r="AE375">
        <v>8</v>
      </c>
      <c r="AF375">
        <v>6</v>
      </c>
      <c r="AG375">
        <v>2</v>
      </c>
      <c r="AH375">
        <v>9</v>
      </c>
      <c r="AI375">
        <v>6</v>
      </c>
      <c r="AJ375">
        <v>3</v>
      </c>
      <c r="AK375" t="s">
        <v>3536</v>
      </c>
      <c r="AL375" t="s">
        <v>3537</v>
      </c>
      <c r="AM375" t="s">
        <v>3538</v>
      </c>
      <c r="AN375" t="s">
        <v>3539</v>
      </c>
      <c r="AO375" t="s">
        <v>3540</v>
      </c>
      <c r="AP375" t="s">
        <v>3541</v>
      </c>
      <c r="AQ375" t="s">
        <v>3542</v>
      </c>
      <c r="AR375" t="s">
        <v>3543</v>
      </c>
      <c r="AS375" t="s">
        <v>3544</v>
      </c>
    </row>
    <row r="376" spans="1:45" x14ac:dyDescent="0.45">
      <c r="A376">
        <v>375</v>
      </c>
      <c r="B376">
        <v>416</v>
      </c>
      <c r="C376" t="s">
        <v>67</v>
      </c>
      <c r="D376" t="s">
        <v>68</v>
      </c>
      <c r="E376" t="s">
        <v>69</v>
      </c>
      <c r="F376" t="s">
        <v>72</v>
      </c>
      <c r="G376" t="s">
        <v>71</v>
      </c>
      <c r="H376">
        <v>68.19877745662771</v>
      </c>
      <c r="I376">
        <v>1</v>
      </c>
      <c r="J376">
        <v>7</v>
      </c>
      <c r="K376">
        <v>8</v>
      </c>
      <c r="L376">
        <v>-1</v>
      </c>
      <c r="M376">
        <v>8</v>
      </c>
      <c r="N376">
        <v>8</v>
      </c>
      <c r="O376">
        <v>0</v>
      </c>
      <c r="P376">
        <v>9</v>
      </c>
      <c r="Q376">
        <v>8</v>
      </c>
      <c r="R376">
        <v>1</v>
      </c>
      <c r="S376">
        <v>8</v>
      </c>
      <c r="T376">
        <v>8</v>
      </c>
      <c r="U376">
        <v>0</v>
      </c>
      <c r="V376">
        <v>6</v>
      </c>
      <c r="W376">
        <v>7</v>
      </c>
      <c r="X376">
        <v>-1</v>
      </c>
      <c r="Y376">
        <v>9</v>
      </c>
      <c r="Z376">
        <v>6</v>
      </c>
      <c r="AA376">
        <v>3</v>
      </c>
      <c r="AB376">
        <v>7</v>
      </c>
      <c r="AC376">
        <v>6</v>
      </c>
      <c r="AD376">
        <v>1</v>
      </c>
      <c r="AE376">
        <v>8</v>
      </c>
      <c r="AF376">
        <v>5</v>
      </c>
      <c r="AG376">
        <v>3</v>
      </c>
      <c r="AH376">
        <v>9</v>
      </c>
      <c r="AI376">
        <v>7</v>
      </c>
      <c r="AJ376">
        <v>2</v>
      </c>
      <c r="AK376" t="s">
        <v>812</v>
      </c>
      <c r="AL376" t="s">
        <v>3545</v>
      </c>
      <c r="AM376" t="s">
        <v>3546</v>
      </c>
      <c r="AN376" t="s">
        <v>3547</v>
      </c>
      <c r="AO376" t="s">
        <v>3548</v>
      </c>
      <c r="AP376" t="s">
        <v>3549</v>
      </c>
      <c r="AQ376" t="s">
        <v>3550</v>
      </c>
      <c r="AR376" t="s">
        <v>3551</v>
      </c>
      <c r="AS376" t="s">
        <v>3552</v>
      </c>
    </row>
    <row r="377" spans="1:45" x14ac:dyDescent="0.45">
      <c r="A377">
        <v>376</v>
      </c>
      <c r="B377">
        <v>417</v>
      </c>
      <c r="C377" t="s">
        <v>67</v>
      </c>
      <c r="D377" t="s">
        <v>76</v>
      </c>
      <c r="E377" t="s">
        <v>69</v>
      </c>
      <c r="F377" t="s">
        <v>72</v>
      </c>
      <c r="G377" t="s">
        <v>71</v>
      </c>
      <c r="H377">
        <v>18.778632115297356</v>
      </c>
      <c r="I377">
        <v>0</v>
      </c>
      <c r="J377">
        <v>7</v>
      </c>
      <c r="K377">
        <v>6</v>
      </c>
      <c r="L377">
        <v>1</v>
      </c>
      <c r="M377">
        <v>8</v>
      </c>
      <c r="N377">
        <v>6</v>
      </c>
      <c r="O377">
        <v>2</v>
      </c>
      <c r="P377">
        <v>9</v>
      </c>
      <c r="Q377">
        <v>5</v>
      </c>
      <c r="R377">
        <v>4</v>
      </c>
      <c r="S377">
        <v>8</v>
      </c>
      <c r="T377">
        <v>7</v>
      </c>
      <c r="U377">
        <v>1</v>
      </c>
      <c r="V377">
        <v>9</v>
      </c>
      <c r="W377">
        <v>6</v>
      </c>
      <c r="X377">
        <v>3</v>
      </c>
      <c r="Y377">
        <v>8</v>
      </c>
      <c r="Z377">
        <v>7</v>
      </c>
      <c r="AA377">
        <v>1</v>
      </c>
      <c r="AB377">
        <v>9</v>
      </c>
      <c r="AC377">
        <v>5</v>
      </c>
      <c r="AD377">
        <v>4</v>
      </c>
      <c r="AE377">
        <v>7</v>
      </c>
      <c r="AF377">
        <v>6</v>
      </c>
      <c r="AG377">
        <v>1</v>
      </c>
      <c r="AH377">
        <v>9</v>
      </c>
      <c r="AI377">
        <v>7</v>
      </c>
      <c r="AJ377">
        <v>2</v>
      </c>
      <c r="AK377" t="s">
        <v>3553</v>
      </c>
      <c r="AL377" t="s">
        <v>3554</v>
      </c>
      <c r="AM377" t="s">
        <v>3555</v>
      </c>
      <c r="AN377" t="s">
        <v>3556</v>
      </c>
      <c r="AO377" t="s">
        <v>3557</v>
      </c>
      <c r="AP377" t="s">
        <v>3558</v>
      </c>
      <c r="AQ377" t="s">
        <v>3559</v>
      </c>
      <c r="AR377" t="s">
        <v>3560</v>
      </c>
      <c r="AS377" t="s">
        <v>3561</v>
      </c>
    </row>
    <row r="378" spans="1:45" x14ac:dyDescent="0.45">
      <c r="A378">
        <v>377</v>
      </c>
      <c r="B378">
        <v>418</v>
      </c>
      <c r="C378" t="s">
        <v>73</v>
      </c>
      <c r="D378" t="s">
        <v>76</v>
      </c>
      <c r="E378" t="s">
        <v>69</v>
      </c>
      <c r="F378" t="s">
        <v>72</v>
      </c>
      <c r="G378" t="s">
        <v>71</v>
      </c>
      <c r="H378">
        <v>12.80522755237557</v>
      </c>
      <c r="I378">
        <v>0</v>
      </c>
      <c r="J378">
        <v>7</v>
      </c>
      <c r="K378">
        <v>7</v>
      </c>
      <c r="L378">
        <v>0</v>
      </c>
      <c r="M378">
        <v>8</v>
      </c>
      <c r="N378">
        <v>8</v>
      </c>
      <c r="O378">
        <v>0</v>
      </c>
      <c r="P378">
        <v>9</v>
      </c>
      <c r="Q378">
        <v>7</v>
      </c>
      <c r="R378">
        <v>2</v>
      </c>
      <c r="S378">
        <v>10</v>
      </c>
      <c r="T378">
        <v>7</v>
      </c>
      <c r="U378">
        <v>3</v>
      </c>
      <c r="V378">
        <v>7</v>
      </c>
      <c r="W378">
        <v>8</v>
      </c>
      <c r="X378">
        <v>-1</v>
      </c>
      <c r="Y378">
        <v>9</v>
      </c>
      <c r="Z378">
        <v>9</v>
      </c>
      <c r="AA378">
        <v>0</v>
      </c>
      <c r="AB378">
        <v>7</v>
      </c>
      <c r="AC378">
        <v>7</v>
      </c>
      <c r="AD378">
        <v>0</v>
      </c>
      <c r="AE378">
        <v>8</v>
      </c>
      <c r="AF378">
        <v>7</v>
      </c>
      <c r="AG378">
        <v>1</v>
      </c>
      <c r="AH378">
        <v>9</v>
      </c>
      <c r="AI378">
        <v>8</v>
      </c>
      <c r="AJ378">
        <v>1</v>
      </c>
      <c r="AK378" t="s">
        <v>3562</v>
      </c>
      <c r="AL378" t="s">
        <v>3563</v>
      </c>
      <c r="AM378" t="s">
        <v>3564</v>
      </c>
      <c r="AN378" t="s">
        <v>3565</v>
      </c>
      <c r="AO378" t="s">
        <v>3566</v>
      </c>
      <c r="AP378" t="s">
        <v>3567</v>
      </c>
      <c r="AQ378" t="s">
        <v>3568</v>
      </c>
      <c r="AR378" t="s">
        <v>3569</v>
      </c>
      <c r="AS378" t="s">
        <v>3570</v>
      </c>
    </row>
    <row r="379" spans="1:45" x14ac:dyDescent="0.45">
      <c r="A379">
        <v>378</v>
      </c>
      <c r="B379">
        <v>419</v>
      </c>
      <c r="C379" t="s">
        <v>67</v>
      </c>
      <c r="D379" t="s">
        <v>184</v>
      </c>
      <c r="E379" t="s">
        <v>69</v>
      </c>
      <c r="F379" t="s">
        <v>72</v>
      </c>
      <c r="G379" t="s">
        <v>71</v>
      </c>
      <c r="H379">
        <v>19.054677002787088</v>
      </c>
      <c r="I379">
        <v>0</v>
      </c>
      <c r="J379">
        <v>7</v>
      </c>
      <c r="K379">
        <v>6</v>
      </c>
      <c r="L379">
        <v>1</v>
      </c>
      <c r="M379">
        <v>8</v>
      </c>
      <c r="N379">
        <v>7</v>
      </c>
      <c r="O379">
        <v>1</v>
      </c>
      <c r="P379">
        <v>9</v>
      </c>
      <c r="Q379">
        <v>5</v>
      </c>
      <c r="R379">
        <v>4</v>
      </c>
      <c r="S379">
        <v>9</v>
      </c>
      <c r="T379">
        <v>8</v>
      </c>
      <c r="U379">
        <v>1</v>
      </c>
      <c r="V379">
        <v>8</v>
      </c>
      <c r="W379">
        <v>7</v>
      </c>
      <c r="X379">
        <v>1</v>
      </c>
      <c r="Y379">
        <v>9</v>
      </c>
      <c r="Z379">
        <v>7</v>
      </c>
      <c r="AA379">
        <v>2</v>
      </c>
      <c r="AB379">
        <v>8</v>
      </c>
      <c r="AC379">
        <v>7</v>
      </c>
      <c r="AD379">
        <v>1</v>
      </c>
      <c r="AE379">
        <v>9</v>
      </c>
      <c r="AF379">
        <v>7</v>
      </c>
      <c r="AG379">
        <v>2</v>
      </c>
      <c r="AH379">
        <v>8</v>
      </c>
      <c r="AI379">
        <v>8</v>
      </c>
      <c r="AJ379">
        <v>0</v>
      </c>
      <c r="AK379" t="s">
        <v>3571</v>
      </c>
      <c r="AL379" t="s">
        <v>3572</v>
      </c>
      <c r="AM379" t="s">
        <v>3573</v>
      </c>
      <c r="AN379" t="s">
        <v>3574</v>
      </c>
      <c r="AO379" t="s">
        <v>3575</v>
      </c>
      <c r="AP379" t="s">
        <v>3576</v>
      </c>
      <c r="AQ379" t="s">
        <v>3577</v>
      </c>
      <c r="AR379" t="s">
        <v>3578</v>
      </c>
      <c r="AS379" t="s">
        <v>3579</v>
      </c>
    </row>
    <row r="380" spans="1:45" x14ac:dyDescent="0.45">
      <c r="A380">
        <v>379</v>
      </c>
      <c r="B380">
        <v>420</v>
      </c>
      <c r="C380" t="s">
        <v>67</v>
      </c>
      <c r="D380" t="s">
        <v>184</v>
      </c>
      <c r="E380" t="s">
        <v>69</v>
      </c>
      <c r="F380" t="s">
        <v>72</v>
      </c>
      <c r="G380" t="s">
        <v>71</v>
      </c>
      <c r="H380">
        <v>14.825139556692614</v>
      </c>
      <c r="I380">
        <v>0</v>
      </c>
      <c r="J380">
        <v>7</v>
      </c>
      <c r="K380">
        <v>8</v>
      </c>
      <c r="L380">
        <v>-1</v>
      </c>
      <c r="M380">
        <v>8</v>
      </c>
      <c r="N380">
        <v>8</v>
      </c>
      <c r="O380">
        <v>0</v>
      </c>
      <c r="P380">
        <v>9</v>
      </c>
      <c r="Q380">
        <v>9</v>
      </c>
      <c r="R380">
        <v>0</v>
      </c>
      <c r="S380">
        <v>10</v>
      </c>
      <c r="T380">
        <v>9</v>
      </c>
      <c r="U380">
        <v>1</v>
      </c>
      <c r="V380">
        <v>8</v>
      </c>
      <c r="W380">
        <v>7</v>
      </c>
      <c r="X380">
        <v>1</v>
      </c>
      <c r="Y380">
        <v>9</v>
      </c>
      <c r="Z380">
        <v>9</v>
      </c>
      <c r="AA380">
        <v>0</v>
      </c>
      <c r="AB380">
        <v>8</v>
      </c>
      <c r="AC380">
        <v>7</v>
      </c>
      <c r="AD380">
        <v>1</v>
      </c>
      <c r="AE380">
        <v>7</v>
      </c>
      <c r="AF380">
        <v>7</v>
      </c>
      <c r="AG380">
        <v>0</v>
      </c>
      <c r="AH380">
        <v>9</v>
      </c>
      <c r="AI380">
        <v>9</v>
      </c>
      <c r="AJ380">
        <v>0</v>
      </c>
      <c r="AK380" t="s">
        <v>3580</v>
      </c>
      <c r="AL380" t="s">
        <v>3581</v>
      </c>
      <c r="AM380" t="s">
        <v>3582</v>
      </c>
      <c r="AN380" t="s">
        <v>3583</v>
      </c>
      <c r="AO380" t="s">
        <v>3584</v>
      </c>
      <c r="AP380" t="s">
        <v>3585</v>
      </c>
      <c r="AQ380" t="s">
        <v>3586</v>
      </c>
      <c r="AR380" t="s">
        <v>3587</v>
      </c>
      <c r="AS380" t="s">
        <v>3588</v>
      </c>
    </row>
    <row r="381" spans="1:45" x14ac:dyDescent="0.45">
      <c r="A381">
        <v>380</v>
      </c>
      <c r="B381">
        <v>421</v>
      </c>
      <c r="C381" t="s">
        <v>73</v>
      </c>
      <c r="D381" t="s">
        <v>184</v>
      </c>
      <c r="E381" t="s">
        <v>69</v>
      </c>
      <c r="F381" t="s">
        <v>72</v>
      </c>
      <c r="G381" t="s">
        <v>71</v>
      </c>
      <c r="H381">
        <v>18.625764953839678</v>
      </c>
      <c r="I381">
        <v>0</v>
      </c>
      <c r="J381">
        <v>8</v>
      </c>
      <c r="K381">
        <v>8</v>
      </c>
      <c r="L381">
        <v>0</v>
      </c>
      <c r="M381">
        <v>9</v>
      </c>
      <c r="N381">
        <v>8</v>
      </c>
      <c r="O381">
        <v>1</v>
      </c>
      <c r="P381">
        <v>8</v>
      </c>
      <c r="Q381">
        <v>5</v>
      </c>
      <c r="R381">
        <v>3</v>
      </c>
      <c r="S381">
        <v>9</v>
      </c>
      <c r="T381">
        <v>8</v>
      </c>
      <c r="U381">
        <v>1</v>
      </c>
      <c r="V381">
        <v>8</v>
      </c>
      <c r="W381">
        <v>6</v>
      </c>
      <c r="X381">
        <v>2</v>
      </c>
      <c r="Y381">
        <v>9</v>
      </c>
      <c r="Z381">
        <v>9</v>
      </c>
      <c r="AA381">
        <v>0</v>
      </c>
      <c r="AB381">
        <v>8</v>
      </c>
      <c r="AC381">
        <v>5</v>
      </c>
      <c r="AD381">
        <v>3</v>
      </c>
      <c r="AE381">
        <v>9</v>
      </c>
      <c r="AF381">
        <v>7</v>
      </c>
      <c r="AG381">
        <v>2</v>
      </c>
      <c r="AH381">
        <v>8</v>
      </c>
      <c r="AI381">
        <v>8</v>
      </c>
      <c r="AJ381">
        <v>0</v>
      </c>
      <c r="AK381" t="s">
        <v>640</v>
      </c>
      <c r="AL381" t="s">
        <v>641</v>
      </c>
      <c r="AM381" t="s">
        <v>3589</v>
      </c>
      <c r="AN381" t="s">
        <v>3590</v>
      </c>
      <c r="AO381" t="s">
        <v>3591</v>
      </c>
      <c r="AP381" t="s">
        <v>3592</v>
      </c>
      <c r="AQ381" t="s">
        <v>3593</v>
      </c>
      <c r="AR381" t="s">
        <v>3594</v>
      </c>
      <c r="AS381" t="s">
        <v>3595</v>
      </c>
    </row>
    <row r="382" spans="1:45" x14ac:dyDescent="0.45">
      <c r="A382">
        <v>381</v>
      </c>
      <c r="B382">
        <v>422</v>
      </c>
      <c r="C382" t="s">
        <v>73</v>
      </c>
      <c r="D382" t="s">
        <v>184</v>
      </c>
      <c r="E382" t="s">
        <v>69</v>
      </c>
      <c r="F382" t="s">
        <v>186</v>
      </c>
      <c r="G382" t="s">
        <v>71</v>
      </c>
      <c r="H382">
        <v>16.768256741385734</v>
      </c>
      <c r="I382">
        <v>0</v>
      </c>
      <c r="J382">
        <v>9</v>
      </c>
      <c r="K382">
        <v>9</v>
      </c>
      <c r="L382">
        <v>0</v>
      </c>
      <c r="M382">
        <v>8</v>
      </c>
      <c r="N382">
        <v>9</v>
      </c>
      <c r="O382">
        <v>-1</v>
      </c>
      <c r="P382">
        <v>7</v>
      </c>
      <c r="Q382">
        <v>8</v>
      </c>
      <c r="R382">
        <v>-1</v>
      </c>
      <c r="S382">
        <v>8</v>
      </c>
      <c r="T382">
        <v>9</v>
      </c>
      <c r="U382">
        <v>-1</v>
      </c>
      <c r="V382">
        <v>9</v>
      </c>
      <c r="W382">
        <v>8</v>
      </c>
      <c r="X382">
        <v>1</v>
      </c>
      <c r="Y382">
        <v>8</v>
      </c>
      <c r="Z382">
        <v>10</v>
      </c>
      <c r="AA382">
        <v>-2</v>
      </c>
      <c r="AB382">
        <v>9</v>
      </c>
      <c r="AC382">
        <v>8</v>
      </c>
      <c r="AD382">
        <v>1</v>
      </c>
      <c r="AE382">
        <v>8</v>
      </c>
      <c r="AF382">
        <v>8</v>
      </c>
      <c r="AG382">
        <v>0</v>
      </c>
      <c r="AH382">
        <v>9</v>
      </c>
      <c r="AI382">
        <v>10</v>
      </c>
      <c r="AJ382">
        <v>-1</v>
      </c>
      <c r="AK382" t="s">
        <v>3596</v>
      </c>
      <c r="AL382" t="s">
        <v>3597</v>
      </c>
      <c r="AM382" t="s">
        <v>3598</v>
      </c>
      <c r="AN382" t="s">
        <v>3599</v>
      </c>
      <c r="AO382" t="s">
        <v>3600</v>
      </c>
      <c r="AP382" t="s">
        <v>3601</v>
      </c>
      <c r="AQ382" t="s">
        <v>3602</v>
      </c>
      <c r="AR382" t="s">
        <v>3603</v>
      </c>
      <c r="AS382" t="s">
        <v>3604</v>
      </c>
    </row>
    <row r="383" spans="1:45" x14ac:dyDescent="0.45">
      <c r="A383">
        <v>382</v>
      </c>
      <c r="B383">
        <v>423</v>
      </c>
      <c r="C383" t="s">
        <v>67</v>
      </c>
      <c r="D383" t="s">
        <v>184</v>
      </c>
      <c r="E383" t="s">
        <v>69</v>
      </c>
      <c r="F383" t="s">
        <v>72</v>
      </c>
      <c r="G383" t="s">
        <v>71</v>
      </c>
      <c r="H383">
        <v>21.24022309656339</v>
      </c>
      <c r="I383">
        <v>1</v>
      </c>
      <c r="J383">
        <v>7</v>
      </c>
      <c r="K383">
        <v>5</v>
      </c>
      <c r="L383">
        <v>2</v>
      </c>
      <c r="M383">
        <v>6</v>
      </c>
      <c r="N383">
        <v>5</v>
      </c>
      <c r="O383">
        <v>1</v>
      </c>
      <c r="P383">
        <v>9</v>
      </c>
      <c r="Q383">
        <v>4</v>
      </c>
      <c r="R383">
        <v>5</v>
      </c>
      <c r="S383">
        <v>10</v>
      </c>
      <c r="T383">
        <v>8</v>
      </c>
      <c r="U383">
        <v>2</v>
      </c>
      <c r="V383">
        <v>8</v>
      </c>
      <c r="W383">
        <v>4</v>
      </c>
      <c r="X383">
        <v>4</v>
      </c>
      <c r="Y383">
        <v>9</v>
      </c>
      <c r="Z383">
        <v>8</v>
      </c>
      <c r="AA383">
        <v>1</v>
      </c>
      <c r="AB383">
        <v>8</v>
      </c>
      <c r="AC383">
        <v>4</v>
      </c>
      <c r="AD383">
        <v>4</v>
      </c>
      <c r="AE383">
        <v>7</v>
      </c>
      <c r="AF383">
        <v>5</v>
      </c>
      <c r="AG383">
        <v>2</v>
      </c>
      <c r="AH383">
        <v>9</v>
      </c>
      <c r="AI383">
        <v>7</v>
      </c>
      <c r="AJ383">
        <v>2</v>
      </c>
      <c r="AK383" t="s">
        <v>3605</v>
      </c>
      <c r="AL383" t="s">
        <v>3606</v>
      </c>
      <c r="AM383" t="s">
        <v>3607</v>
      </c>
      <c r="AN383" t="s">
        <v>3608</v>
      </c>
      <c r="AO383" t="s">
        <v>3609</v>
      </c>
      <c r="AP383" t="s">
        <v>3610</v>
      </c>
      <c r="AQ383" t="s">
        <v>3611</v>
      </c>
      <c r="AR383" t="s">
        <v>3612</v>
      </c>
      <c r="AS383" t="s">
        <v>3613</v>
      </c>
    </row>
    <row r="384" spans="1:45" x14ac:dyDescent="0.45">
      <c r="A384">
        <v>383</v>
      </c>
      <c r="B384">
        <v>424</v>
      </c>
      <c r="C384" t="s">
        <v>73</v>
      </c>
      <c r="D384" t="s">
        <v>187</v>
      </c>
      <c r="E384" t="s">
        <v>69</v>
      </c>
      <c r="F384" t="s">
        <v>70</v>
      </c>
      <c r="G384" t="s">
        <v>71</v>
      </c>
      <c r="H384">
        <v>87.308382636723636</v>
      </c>
      <c r="I384">
        <v>2</v>
      </c>
      <c r="J384">
        <v>7</v>
      </c>
      <c r="K384">
        <v>1</v>
      </c>
      <c r="L384">
        <v>6</v>
      </c>
      <c r="M384">
        <v>8</v>
      </c>
      <c r="N384">
        <v>1</v>
      </c>
      <c r="O384">
        <v>7</v>
      </c>
      <c r="P384">
        <v>9</v>
      </c>
      <c r="Q384">
        <v>4</v>
      </c>
      <c r="R384">
        <v>5</v>
      </c>
      <c r="S384">
        <v>9</v>
      </c>
      <c r="T384">
        <v>5</v>
      </c>
      <c r="U384">
        <v>4</v>
      </c>
      <c r="V384">
        <v>8</v>
      </c>
      <c r="W384">
        <v>5</v>
      </c>
      <c r="X384">
        <v>3</v>
      </c>
      <c r="Y384">
        <v>9</v>
      </c>
      <c r="Z384">
        <v>4</v>
      </c>
      <c r="AA384">
        <v>5</v>
      </c>
      <c r="AB384">
        <v>8</v>
      </c>
      <c r="AC384">
        <v>4</v>
      </c>
      <c r="AD384">
        <v>4</v>
      </c>
      <c r="AE384">
        <v>7</v>
      </c>
      <c r="AF384">
        <v>5</v>
      </c>
      <c r="AG384">
        <v>2</v>
      </c>
      <c r="AH384">
        <v>9</v>
      </c>
      <c r="AI384">
        <v>3</v>
      </c>
      <c r="AJ384">
        <v>6</v>
      </c>
      <c r="AK384" t="s">
        <v>642</v>
      </c>
      <c r="AL384" t="s">
        <v>643</v>
      </c>
      <c r="AM384" t="s">
        <v>644</v>
      </c>
      <c r="AN384" t="s">
        <v>645</v>
      </c>
      <c r="AO384" t="s">
        <v>3614</v>
      </c>
      <c r="AP384" t="s">
        <v>3615</v>
      </c>
      <c r="AQ384" t="s">
        <v>3616</v>
      </c>
      <c r="AR384" t="s">
        <v>3617</v>
      </c>
      <c r="AS384" t="s">
        <v>3618</v>
      </c>
    </row>
    <row r="385" spans="1:45" x14ac:dyDescent="0.45">
      <c r="A385">
        <v>384</v>
      </c>
      <c r="B385">
        <v>425</v>
      </c>
      <c r="C385" t="s">
        <v>73</v>
      </c>
      <c r="D385" t="s">
        <v>184</v>
      </c>
      <c r="E385" t="s">
        <v>69</v>
      </c>
      <c r="F385" t="s">
        <v>72</v>
      </c>
      <c r="G385" t="s">
        <v>71</v>
      </c>
      <c r="H385">
        <v>12</v>
      </c>
      <c r="I385">
        <v>0</v>
      </c>
      <c r="J385">
        <v>9</v>
      </c>
      <c r="K385">
        <v>7</v>
      </c>
      <c r="L385">
        <v>2</v>
      </c>
      <c r="M385">
        <v>8</v>
      </c>
      <c r="N385">
        <v>7</v>
      </c>
      <c r="O385">
        <v>1</v>
      </c>
      <c r="P385">
        <v>9</v>
      </c>
      <c r="Q385">
        <v>7</v>
      </c>
      <c r="R385">
        <v>2</v>
      </c>
      <c r="S385">
        <v>8</v>
      </c>
      <c r="T385">
        <v>9</v>
      </c>
      <c r="U385">
        <v>-1</v>
      </c>
      <c r="V385">
        <v>9</v>
      </c>
      <c r="W385">
        <v>8</v>
      </c>
      <c r="X385">
        <v>1</v>
      </c>
      <c r="Y385">
        <v>8</v>
      </c>
      <c r="Z385">
        <v>10</v>
      </c>
      <c r="AA385">
        <v>-2</v>
      </c>
      <c r="AB385">
        <v>9</v>
      </c>
      <c r="AC385">
        <v>8</v>
      </c>
      <c r="AD385">
        <v>1</v>
      </c>
      <c r="AE385">
        <v>8</v>
      </c>
      <c r="AF385">
        <v>7</v>
      </c>
      <c r="AG385">
        <v>1</v>
      </c>
      <c r="AH385">
        <v>9</v>
      </c>
      <c r="AI385">
        <v>10</v>
      </c>
      <c r="AJ385">
        <v>-1</v>
      </c>
      <c r="AK385" t="s">
        <v>646</v>
      </c>
      <c r="AL385" t="s">
        <v>647</v>
      </c>
      <c r="AM385" t="s">
        <v>648</v>
      </c>
      <c r="AN385" t="s">
        <v>649</v>
      </c>
      <c r="AO385" t="s">
        <v>650</v>
      </c>
      <c r="AP385" t="s">
        <v>651</v>
      </c>
      <c r="AQ385" t="s">
        <v>539</v>
      </c>
      <c r="AR385" t="s">
        <v>652</v>
      </c>
      <c r="AS385" t="s">
        <v>653</v>
      </c>
    </row>
    <row r="386" spans="1:45" x14ac:dyDescent="0.45">
      <c r="A386">
        <v>385</v>
      </c>
      <c r="B386">
        <v>426</v>
      </c>
      <c r="C386" t="s">
        <v>73</v>
      </c>
      <c r="D386" t="s">
        <v>74</v>
      </c>
      <c r="E386" t="s">
        <v>69</v>
      </c>
      <c r="F386" t="s">
        <v>72</v>
      </c>
      <c r="G386" t="s">
        <v>71</v>
      </c>
      <c r="H386">
        <v>46.438593179989148</v>
      </c>
      <c r="I386">
        <v>2</v>
      </c>
      <c r="J386">
        <v>6</v>
      </c>
      <c r="K386">
        <v>3</v>
      </c>
      <c r="L386">
        <v>3</v>
      </c>
      <c r="M386">
        <v>8</v>
      </c>
      <c r="N386">
        <v>3</v>
      </c>
      <c r="O386">
        <v>5</v>
      </c>
      <c r="P386">
        <v>7</v>
      </c>
      <c r="Q386">
        <v>4</v>
      </c>
      <c r="R386">
        <v>3</v>
      </c>
      <c r="S386">
        <v>9</v>
      </c>
      <c r="T386">
        <v>6</v>
      </c>
      <c r="U386">
        <v>3</v>
      </c>
      <c r="V386">
        <v>7</v>
      </c>
      <c r="W386">
        <v>4</v>
      </c>
      <c r="X386">
        <v>3</v>
      </c>
      <c r="Y386">
        <v>9</v>
      </c>
      <c r="Z386">
        <v>5</v>
      </c>
      <c r="AA386">
        <v>4</v>
      </c>
      <c r="AB386">
        <v>8</v>
      </c>
      <c r="AC386">
        <v>4</v>
      </c>
      <c r="AD386">
        <v>4</v>
      </c>
      <c r="AE386">
        <v>9</v>
      </c>
      <c r="AF386">
        <v>5</v>
      </c>
      <c r="AG386">
        <v>4</v>
      </c>
      <c r="AH386">
        <v>8</v>
      </c>
      <c r="AI386">
        <v>5</v>
      </c>
      <c r="AJ386">
        <v>3</v>
      </c>
      <c r="AK386" t="s">
        <v>3619</v>
      </c>
      <c r="AL386" t="s">
        <v>3620</v>
      </c>
      <c r="AM386" t="s">
        <v>3621</v>
      </c>
      <c r="AN386" t="s">
        <v>3622</v>
      </c>
      <c r="AO386" t="s">
        <v>3623</v>
      </c>
      <c r="AP386" t="s">
        <v>3624</v>
      </c>
      <c r="AQ386" t="s">
        <v>3625</v>
      </c>
      <c r="AR386" t="s">
        <v>3626</v>
      </c>
      <c r="AS386" t="s">
        <v>3627</v>
      </c>
    </row>
    <row r="387" spans="1:45" x14ac:dyDescent="0.45">
      <c r="A387">
        <v>386</v>
      </c>
      <c r="B387">
        <v>427</v>
      </c>
      <c r="C387" t="s">
        <v>67</v>
      </c>
      <c r="D387" t="s">
        <v>76</v>
      </c>
      <c r="E387" t="s">
        <v>69</v>
      </c>
      <c r="F387" t="s">
        <v>70</v>
      </c>
      <c r="G387" t="s">
        <v>71</v>
      </c>
      <c r="H387">
        <v>28.744304073137172</v>
      </c>
      <c r="I387">
        <v>0</v>
      </c>
      <c r="J387">
        <v>7</v>
      </c>
      <c r="K387">
        <v>8</v>
      </c>
      <c r="L387">
        <v>-1</v>
      </c>
      <c r="M387">
        <v>6</v>
      </c>
      <c r="N387">
        <v>8</v>
      </c>
      <c r="O387">
        <v>-2</v>
      </c>
      <c r="P387">
        <v>8</v>
      </c>
      <c r="Q387">
        <v>9</v>
      </c>
      <c r="R387">
        <v>-1</v>
      </c>
      <c r="S387">
        <v>9</v>
      </c>
      <c r="T387">
        <v>8</v>
      </c>
      <c r="U387">
        <v>1</v>
      </c>
      <c r="V387">
        <v>7</v>
      </c>
      <c r="W387">
        <v>7</v>
      </c>
      <c r="X387">
        <v>0</v>
      </c>
      <c r="Y387">
        <v>9</v>
      </c>
      <c r="Z387">
        <v>8</v>
      </c>
      <c r="AA387">
        <v>1</v>
      </c>
      <c r="AB387">
        <v>7</v>
      </c>
      <c r="AC387">
        <v>7</v>
      </c>
      <c r="AD387">
        <v>0</v>
      </c>
      <c r="AE387">
        <v>8</v>
      </c>
      <c r="AF387">
        <v>7</v>
      </c>
      <c r="AG387">
        <v>1</v>
      </c>
      <c r="AH387">
        <v>9</v>
      </c>
      <c r="AI387">
        <v>8</v>
      </c>
      <c r="AJ387">
        <v>1</v>
      </c>
      <c r="AK387" t="s">
        <v>3628</v>
      </c>
      <c r="AL387" t="s">
        <v>3629</v>
      </c>
      <c r="AM387" t="s">
        <v>3630</v>
      </c>
      <c r="AN387" t="s">
        <v>3631</v>
      </c>
      <c r="AO387" t="s">
        <v>3632</v>
      </c>
      <c r="AP387" t="s">
        <v>3633</v>
      </c>
      <c r="AQ387" t="s">
        <v>3634</v>
      </c>
      <c r="AR387" t="s">
        <v>3635</v>
      </c>
      <c r="AS387" t="s">
        <v>3636</v>
      </c>
    </row>
    <row r="388" spans="1:45" x14ac:dyDescent="0.45">
      <c r="A388">
        <v>387</v>
      </c>
      <c r="B388">
        <v>428</v>
      </c>
      <c r="C388" t="s">
        <v>73</v>
      </c>
      <c r="D388" t="s">
        <v>68</v>
      </c>
      <c r="E388" t="s">
        <v>69</v>
      </c>
      <c r="F388" t="s">
        <v>72</v>
      </c>
      <c r="G388" t="s">
        <v>71</v>
      </c>
      <c r="H388">
        <v>55.342749637454453</v>
      </c>
      <c r="I388">
        <v>2</v>
      </c>
      <c r="J388">
        <v>7</v>
      </c>
      <c r="K388">
        <v>5</v>
      </c>
      <c r="L388">
        <v>2</v>
      </c>
      <c r="M388">
        <v>6</v>
      </c>
      <c r="N388">
        <v>5</v>
      </c>
      <c r="O388">
        <v>1</v>
      </c>
      <c r="P388">
        <v>8</v>
      </c>
      <c r="Q388">
        <v>5</v>
      </c>
      <c r="R388">
        <v>3</v>
      </c>
      <c r="S388">
        <v>9</v>
      </c>
      <c r="T388">
        <v>5</v>
      </c>
      <c r="U388">
        <v>4</v>
      </c>
      <c r="V388">
        <v>8</v>
      </c>
      <c r="W388">
        <v>5</v>
      </c>
      <c r="X388">
        <v>3</v>
      </c>
      <c r="Y388">
        <v>9</v>
      </c>
      <c r="Z388">
        <v>5</v>
      </c>
      <c r="AA388">
        <v>4</v>
      </c>
      <c r="AB388">
        <v>8</v>
      </c>
      <c r="AC388">
        <v>5</v>
      </c>
      <c r="AD388">
        <v>3</v>
      </c>
      <c r="AE388">
        <v>9</v>
      </c>
      <c r="AF388">
        <v>5</v>
      </c>
      <c r="AG388">
        <v>4</v>
      </c>
      <c r="AH388">
        <v>9</v>
      </c>
      <c r="AI388">
        <v>5</v>
      </c>
      <c r="AJ388">
        <v>4</v>
      </c>
      <c r="AK388" t="s">
        <v>3637</v>
      </c>
      <c r="AL388" t="s">
        <v>3638</v>
      </c>
      <c r="AM388" t="s">
        <v>3639</v>
      </c>
      <c r="AN388" t="s">
        <v>3640</v>
      </c>
      <c r="AO388" t="s">
        <v>3641</v>
      </c>
      <c r="AP388" t="s">
        <v>3642</v>
      </c>
      <c r="AQ388" t="s">
        <v>3643</v>
      </c>
      <c r="AR388" t="s">
        <v>3644</v>
      </c>
      <c r="AS388" t="s">
        <v>3645</v>
      </c>
    </row>
    <row r="389" spans="1:45" x14ac:dyDescent="0.45">
      <c r="A389">
        <v>388</v>
      </c>
      <c r="B389">
        <v>429</v>
      </c>
      <c r="C389" t="s">
        <v>73</v>
      </c>
      <c r="D389" t="s">
        <v>184</v>
      </c>
      <c r="E389" t="s">
        <v>69</v>
      </c>
      <c r="F389" t="s">
        <v>72</v>
      </c>
      <c r="G389" t="s">
        <v>71</v>
      </c>
      <c r="H389">
        <v>15.841877126292323</v>
      </c>
      <c r="I389">
        <v>0</v>
      </c>
      <c r="J389">
        <v>9</v>
      </c>
      <c r="K389">
        <v>7</v>
      </c>
      <c r="L389">
        <v>2</v>
      </c>
      <c r="M389">
        <v>8</v>
      </c>
      <c r="N389">
        <v>7</v>
      </c>
      <c r="O389">
        <v>1</v>
      </c>
      <c r="P389">
        <v>9</v>
      </c>
      <c r="Q389">
        <v>5</v>
      </c>
      <c r="R389">
        <v>4</v>
      </c>
      <c r="S389">
        <v>8</v>
      </c>
      <c r="T389">
        <v>8</v>
      </c>
      <c r="U389">
        <v>0</v>
      </c>
      <c r="V389">
        <v>9</v>
      </c>
      <c r="W389">
        <v>6</v>
      </c>
      <c r="X389">
        <v>3</v>
      </c>
      <c r="Y389">
        <v>8</v>
      </c>
      <c r="Z389">
        <v>8</v>
      </c>
      <c r="AA389">
        <v>0</v>
      </c>
      <c r="AB389">
        <v>9</v>
      </c>
      <c r="AC389">
        <v>5</v>
      </c>
      <c r="AD389">
        <v>4</v>
      </c>
      <c r="AE389">
        <v>8</v>
      </c>
      <c r="AF389">
        <v>5</v>
      </c>
      <c r="AG389">
        <v>3</v>
      </c>
      <c r="AH389">
        <v>9</v>
      </c>
      <c r="AI389">
        <v>8</v>
      </c>
      <c r="AJ389">
        <v>1</v>
      </c>
      <c r="AK389" t="s">
        <v>3646</v>
      </c>
      <c r="AL389" t="s">
        <v>3647</v>
      </c>
      <c r="AM389" t="s">
        <v>3648</v>
      </c>
      <c r="AN389" t="s">
        <v>3649</v>
      </c>
      <c r="AO389" t="s">
        <v>3650</v>
      </c>
      <c r="AP389" t="s">
        <v>3651</v>
      </c>
      <c r="AQ389" t="s">
        <v>3652</v>
      </c>
      <c r="AR389" t="s">
        <v>3653</v>
      </c>
      <c r="AS389" t="s">
        <v>3654</v>
      </c>
    </row>
    <row r="390" spans="1:45" x14ac:dyDescent="0.45">
      <c r="A390">
        <v>389</v>
      </c>
      <c r="B390">
        <v>430</v>
      </c>
      <c r="C390" t="s">
        <v>73</v>
      </c>
      <c r="D390" t="s">
        <v>76</v>
      </c>
      <c r="E390" t="s">
        <v>69</v>
      </c>
      <c r="F390" t="s">
        <v>72</v>
      </c>
      <c r="G390" t="s">
        <v>71</v>
      </c>
      <c r="H390">
        <v>19.134406829911434</v>
      </c>
      <c r="I390">
        <v>0</v>
      </c>
      <c r="J390">
        <v>6</v>
      </c>
      <c r="K390">
        <v>6</v>
      </c>
      <c r="L390">
        <v>0</v>
      </c>
      <c r="M390">
        <v>8</v>
      </c>
      <c r="N390">
        <v>8</v>
      </c>
      <c r="O390">
        <v>0</v>
      </c>
      <c r="P390">
        <v>7</v>
      </c>
      <c r="Q390">
        <v>7</v>
      </c>
      <c r="R390">
        <v>0</v>
      </c>
      <c r="S390">
        <v>9</v>
      </c>
      <c r="T390">
        <v>8</v>
      </c>
      <c r="U390">
        <v>1</v>
      </c>
      <c r="V390">
        <v>7</v>
      </c>
      <c r="W390">
        <v>6</v>
      </c>
      <c r="X390">
        <v>1</v>
      </c>
      <c r="Y390">
        <v>8</v>
      </c>
      <c r="Z390">
        <v>8</v>
      </c>
      <c r="AA390">
        <v>0</v>
      </c>
      <c r="AB390">
        <v>7</v>
      </c>
      <c r="AC390">
        <v>5</v>
      </c>
      <c r="AD390">
        <v>2</v>
      </c>
      <c r="AE390">
        <v>8</v>
      </c>
      <c r="AF390">
        <v>5</v>
      </c>
      <c r="AG390">
        <v>3</v>
      </c>
      <c r="AH390">
        <v>8</v>
      </c>
      <c r="AI390">
        <v>8</v>
      </c>
      <c r="AJ390">
        <v>0</v>
      </c>
      <c r="AK390" t="s">
        <v>814</v>
      </c>
      <c r="AL390" t="s">
        <v>815</v>
      </c>
      <c r="AM390" t="s">
        <v>3655</v>
      </c>
      <c r="AN390" t="s">
        <v>3656</v>
      </c>
      <c r="AO390" t="s">
        <v>3657</v>
      </c>
      <c r="AP390" t="s">
        <v>3658</v>
      </c>
      <c r="AQ390" t="s">
        <v>3659</v>
      </c>
      <c r="AR390" t="s">
        <v>3660</v>
      </c>
      <c r="AS390" t="s">
        <v>3661</v>
      </c>
    </row>
    <row r="391" spans="1:45" x14ac:dyDescent="0.45">
      <c r="A391">
        <v>390</v>
      </c>
      <c r="B391">
        <v>431</v>
      </c>
      <c r="C391" t="s">
        <v>67</v>
      </c>
      <c r="D391" t="s">
        <v>74</v>
      </c>
      <c r="E391" t="s">
        <v>69</v>
      </c>
      <c r="F391" t="s">
        <v>70</v>
      </c>
      <c r="G391" t="s">
        <v>71</v>
      </c>
      <c r="H391">
        <v>43.084629847160691</v>
      </c>
      <c r="I391">
        <v>3</v>
      </c>
      <c r="J391">
        <v>7</v>
      </c>
      <c r="K391">
        <v>10</v>
      </c>
      <c r="L391">
        <v>-3</v>
      </c>
      <c r="M391">
        <v>8</v>
      </c>
      <c r="N391">
        <v>10</v>
      </c>
      <c r="O391">
        <v>-2</v>
      </c>
      <c r="P391">
        <v>6</v>
      </c>
      <c r="Q391">
        <v>5</v>
      </c>
      <c r="R391">
        <v>1</v>
      </c>
      <c r="S391">
        <v>9</v>
      </c>
      <c r="T391">
        <v>9</v>
      </c>
      <c r="U391">
        <v>0</v>
      </c>
      <c r="V391">
        <v>8</v>
      </c>
      <c r="W391">
        <v>7</v>
      </c>
      <c r="X391">
        <v>1</v>
      </c>
      <c r="Y391">
        <v>9</v>
      </c>
      <c r="Z391">
        <v>8</v>
      </c>
      <c r="AA391">
        <v>1</v>
      </c>
      <c r="AB391">
        <v>8</v>
      </c>
      <c r="AC391">
        <v>5</v>
      </c>
      <c r="AD391">
        <v>3</v>
      </c>
      <c r="AE391">
        <v>7</v>
      </c>
      <c r="AF391">
        <v>5</v>
      </c>
      <c r="AG391">
        <v>2</v>
      </c>
      <c r="AH391">
        <v>9</v>
      </c>
      <c r="AI391">
        <v>8</v>
      </c>
      <c r="AJ391">
        <v>1</v>
      </c>
      <c r="AK391" t="s">
        <v>3662</v>
      </c>
      <c r="AL391" t="s">
        <v>3663</v>
      </c>
      <c r="AM391" t="s">
        <v>3664</v>
      </c>
      <c r="AN391" t="s">
        <v>3665</v>
      </c>
      <c r="AO391" t="s">
        <v>3666</v>
      </c>
      <c r="AP391" t="s">
        <v>3667</v>
      </c>
      <c r="AQ391" t="s">
        <v>3668</v>
      </c>
      <c r="AR391" t="s">
        <v>3669</v>
      </c>
      <c r="AS391" t="s">
        <v>3670</v>
      </c>
    </row>
    <row r="392" spans="1:45" x14ac:dyDescent="0.45">
      <c r="A392">
        <v>391</v>
      </c>
      <c r="B392">
        <v>432</v>
      </c>
      <c r="C392" t="s">
        <v>73</v>
      </c>
      <c r="D392" t="s">
        <v>76</v>
      </c>
      <c r="E392" t="s">
        <v>69</v>
      </c>
      <c r="F392" t="s">
        <v>72</v>
      </c>
      <c r="G392" t="s">
        <v>71</v>
      </c>
      <c r="H392">
        <v>12.513975961973156</v>
      </c>
      <c r="I392">
        <v>0</v>
      </c>
      <c r="J392">
        <v>7</v>
      </c>
      <c r="K392">
        <v>4</v>
      </c>
      <c r="L392">
        <v>3</v>
      </c>
      <c r="M392">
        <v>7</v>
      </c>
      <c r="N392">
        <v>5</v>
      </c>
      <c r="O392">
        <v>2</v>
      </c>
      <c r="P392">
        <v>9</v>
      </c>
      <c r="Q392">
        <v>7</v>
      </c>
      <c r="R392">
        <v>2</v>
      </c>
      <c r="S392">
        <v>9</v>
      </c>
      <c r="T392">
        <v>7</v>
      </c>
      <c r="U392">
        <v>2</v>
      </c>
      <c r="V392">
        <v>6</v>
      </c>
      <c r="W392">
        <v>5</v>
      </c>
      <c r="X392">
        <v>1</v>
      </c>
      <c r="Y392">
        <v>8</v>
      </c>
      <c r="Z392">
        <v>7</v>
      </c>
      <c r="AA392">
        <v>1</v>
      </c>
      <c r="AB392">
        <v>6</v>
      </c>
      <c r="AC392">
        <v>5</v>
      </c>
      <c r="AD392">
        <v>1</v>
      </c>
      <c r="AE392">
        <v>7</v>
      </c>
      <c r="AF392">
        <v>5</v>
      </c>
      <c r="AG392">
        <v>2</v>
      </c>
      <c r="AH392">
        <v>9</v>
      </c>
      <c r="AI392">
        <v>7</v>
      </c>
      <c r="AJ392">
        <v>2</v>
      </c>
      <c r="AK392" t="s">
        <v>3671</v>
      </c>
      <c r="AL392" t="s">
        <v>3672</v>
      </c>
      <c r="AM392" t="s">
        <v>3673</v>
      </c>
      <c r="AN392" t="s">
        <v>3674</v>
      </c>
      <c r="AO392" t="s">
        <v>3675</v>
      </c>
      <c r="AP392" t="s">
        <v>3676</v>
      </c>
      <c r="AQ392" t="s">
        <v>3677</v>
      </c>
      <c r="AR392" t="s">
        <v>3678</v>
      </c>
      <c r="AS392" t="s">
        <v>3679</v>
      </c>
    </row>
    <row r="393" spans="1:45" x14ac:dyDescent="0.45">
      <c r="A393">
        <v>392</v>
      </c>
      <c r="B393">
        <v>433</v>
      </c>
      <c r="C393" t="s">
        <v>67</v>
      </c>
      <c r="D393" t="s">
        <v>189</v>
      </c>
      <c r="E393" t="s">
        <v>69</v>
      </c>
      <c r="F393" t="s">
        <v>70</v>
      </c>
      <c r="G393" t="s">
        <v>71</v>
      </c>
      <c r="H393">
        <v>181.80268236805213</v>
      </c>
      <c r="I393">
        <v>4</v>
      </c>
      <c r="J393">
        <v>7</v>
      </c>
      <c r="K393">
        <v>2</v>
      </c>
      <c r="L393">
        <v>5</v>
      </c>
      <c r="M393">
        <v>8</v>
      </c>
      <c r="N393">
        <v>3</v>
      </c>
      <c r="O393">
        <v>5</v>
      </c>
      <c r="P393">
        <v>9</v>
      </c>
      <c r="Q393">
        <v>3</v>
      </c>
      <c r="R393">
        <v>6</v>
      </c>
      <c r="S393">
        <v>9</v>
      </c>
      <c r="T393">
        <v>6</v>
      </c>
      <c r="U393">
        <v>3</v>
      </c>
      <c r="V393">
        <v>8</v>
      </c>
      <c r="W393">
        <v>5</v>
      </c>
      <c r="X393">
        <v>3</v>
      </c>
      <c r="Y393">
        <v>9</v>
      </c>
      <c r="Z393">
        <v>5</v>
      </c>
      <c r="AA393">
        <v>4</v>
      </c>
      <c r="AB393">
        <v>8</v>
      </c>
      <c r="AC393">
        <v>5</v>
      </c>
      <c r="AD393">
        <v>3</v>
      </c>
      <c r="AE393">
        <v>7</v>
      </c>
      <c r="AF393">
        <v>5</v>
      </c>
      <c r="AG393">
        <v>2</v>
      </c>
      <c r="AH393">
        <v>9</v>
      </c>
      <c r="AI393">
        <v>5</v>
      </c>
      <c r="AJ393">
        <v>4</v>
      </c>
      <c r="AK393" t="s">
        <v>3680</v>
      </c>
      <c r="AL393" t="s">
        <v>3681</v>
      </c>
      <c r="AM393" t="s">
        <v>3682</v>
      </c>
      <c r="AN393" t="s">
        <v>3683</v>
      </c>
      <c r="AO393" t="s">
        <v>3684</v>
      </c>
      <c r="AP393" t="s">
        <v>3685</v>
      </c>
      <c r="AQ393" t="s">
        <v>3686</v>
      </c>
      <c r="AR393" t="s">
        <v>3687</v>
      </c>
      <c r="AS393" t="s">
        <v>3688</v>
      </c>
    </row>
    <row r="394" spans="1:45" x14ac:dyDescent="0.45">
      <c r="A394">
        <v>393</v>
      </c>
      <c r="B394">
        <v>434</v>
      </c>
      <c r="C394" t="s">
        <v>67</v>
      </c>
      <c r="D394" t="s">
        <v>68</v>
      </c>
      <c r="E394" t="s">
        <v>69</v>
      </c>
      <c r="F394" t="s">
        <v>72</v>
      </c>
      <c r="G394" t="s">
        <v>71</v>
      </c>
      <c r="H394">
        <v>24.237912887979391</v>
      </c>
      <c r="I394">
        <v>2</v>
      </c>
      <c r="J394">
        <v>7</v>
      </c>
      <c r="K394">
        <v>7</v>
      </c>
      <c r="L394">
        <v>0</v>
      </c>
      <c r="M394">
        <v>9</v>
      </c>
      <c r="N394">
        <v>7</v>
      </c>
      <c r="O394">
        <v>2</v>
      </c>
      <c r="P394">
        <v>8</v>
      </c>
      <c r="Q394">
        <v>5</v>
      </c>
      <c r="R394">
        <v>3</v>
      </c>
      <c r="S394">
        <v>9</v>
      </c>
      <c r="T394">
        <v>8</v>
      </c>
      <c r="U394">
        <v>1</v>
      </c>
      <c r="V394">
        <v>7</v>
      </c>
      <c r="W394">
        <v>7</v>
      </c>
      <c r="X394">
        <v>0</v>
      </c>
      <c r="Y394">
        <v>8</v>
      </c>
      <c r="Z394">
        <v>7</v>
      </c>
      <c r="AA394">
        <v>1</v>
      </c>
      <c r="AB394">
        <v>9</v>
      </c>
      <c r="AC394">
        <v>5</v>
      </c>
      <c r="AD394">
        <v>4</v>
      </c>
      <c r="AE394">
        <v>8</v>
      </c>
      <c r="AF394">
        <v>6</v>
      </c>
      <c r="AG394">
        <v>2</v>
      </c>
      <c r="AH394">
        <v>9</v>
      </c>
      <c r="AI394">
        <v>7</v>
      </c>
      <c r="AJ394">
        <v>2</v>
      </c>
      <c r="AK394" t="s">
        <v>816</v>
      </c>
      <c r="AL394" t="s">
        <v>817</v>
      </c>
      <c r="AM394" t="s">
        <v>818</v>
      </c>
      <c r="AN394" t="s">
        <v>819</v>
      </c>
      <c r="AO394" t="s">
        <v>820</v>
      </c>
      <c r="AP394" t="s">
        <v>3689</v>
      </c>
      <c r="AQ394" t="s">
        <v>3690</v>
      </c>
      <c r="AR394" t="s">
        <v>3691</v>
      </c>
      <c r="AS394" t="s">
        <v>3692</v>
      </c>
    </row>
    <row r="395" spans="1:45" x14ac:dyDescent="0.45">
      <c r="A395">
        <v>394</v>
      </c>
      <c r="B395">
        <v>435</v>
      </c>
      <c r="C395" t="s">
        <v>73</v>
      </c>
      <c r="D395" t="s">
        <v>76</v>
      </c>
      <c r="E395" t="s">
        <v>69</v>
      </c>
      <c r="F395" t="s">
        <v>72</v>
      </c>
      <c r="G395" t="s">
        <v>71</v>
      </c>
      <c r="H395">
        <v>12</v>
      </c>
      <c r="I395">
        <v>1</v>
      </c>
      <c r="J395">
        <v>3</v>
      </c>
      <c r="K395">
        <v>9</v>
      </c>
      <c r="L395">
        <v>-6</v>
      </c>
      <c r="M395">
        <v>3</v>
      </c>
      <c r="N395">
        <v>9</v>
      </c>
      <c r="O395">
        <v>-6</v>
      </c>
      <c r="P395">
        <v>8</v>
      </c>
      <c r="Q395">
        <v>9</v>
      </c>
      <c r="R395">
        <v>-1</v>
      </c>
      <c r="S395">
        <v>9</v>
      </c>
      <c r="T395">
        <v>7</v>
      </c>
      <c r="U395">
        <v>2</v>
      </c>
      <c r="V395">
        <v>6</v>
      </c>
      <c r="W395">
        <v>8</v>
      </c>
      <c r="X395">
        <v>-2</v>
      </c>
      <c r="Y395">
        <v>6</v>
      </c>
      <c r="Z395">
        <v>6</v>
      </c>
      <c r="AA395">
        <v>0</v>
      </c>
      <c r="AB395">
        <v>7</v>
      </c>
      <c r="AC395">
        <v>8</v>
      </c>
      <c r="AD395">
        <v>-1</v>
      </c>
      <c r="AE395">
        <v>6</v>
      </c>
      <c r="AF395">
        <v>10</v>
      </c>
      <c r="AG395">
        <v>-4</v>
      </c>
      <c r="AH395">
        <v>7</v>
      </c>
      <c r="AI395">
        <v>10</v>
      </c>
      <c r="AJ395">
        <v>-3</v>
      </c>
      <c r="AK395" t="s">
        <v>654</v>
      </c>
      <c r="AL395" t="s">
        <v>655</v>
      </c>
      <c r="AM395" t="s">
        <v>656</v>
      </c>
      <c r="AN395" t="s">
        <v>657</v>
      </c>
      <c r="AO395" t="s">
        <v>658</v>
      </c>
      <c r="AP395" t="s">
        <v>659</v>
      </c>
      <c r="AQ395" t="s">
        <v>660</v>
      </c>
      <c r="AR395" t="s">
        <v>661</v>
      </c>
      <c r="AS395" t="s">
        <v>662</v>
      </c>
    </row>
    <row r="396" spans="1:45" x14ac:dyDescent="0.45">
      <c r="A396">
        <v>395</v>
      </c>
      <c r="B396">
        <v>436</v>
      </c>
      <c r="C396" t="s">
        <v>73</v>
      </c>
      <c r="D396" t="s">
        <v>187</v>
      </c>
      <c r="E396" t="s">
        <v>69</v>
      </c>
      <c r="F396" t="s">
        <v>72</v>
      </c>
      <c r="G396" t="s">
        <v>71</v>
      </c>
      <c r="H396">
        <v>34.081530347075777</v>
      </c>
      <c r="I396">
        <v>1</v>
      </c>
      <c r="J396">
        <v>7</v>
      </c>
      <c r="K396">
        <v>7</v>
      </c>
      <c r="L396">
        <v>0</v>
      </c>
      <c r="M396">
        <v>9</v>
      </c>
      <c r="N396">
        <v>7</v>
      </c>
      <c r="O396">
        <v>2</v>
      </c>
      <c r="P396">
        <v>8</v>
      </c>
      <c r="Q396">
        <v>5</v>
      </c>
      <c r="R396">
        <v>3</v>
      </c>
      <c r="S396">
        <v>6</v>
      </c>
      <c r="T396">
        <v>7</v>
      </c>
      <c r="U396">
        <v>-1</v>
      </c>
      <c r="V396">
        <v>8</v>
      </c>
      <c r="W396">
        <v>5</v>
      </c>
      <c r="X396">
        <v>3</v>
      </c>
      <c r="Y396">
        <v>9</v>
      </c>
      <c r="Z396">
        <v>6</v>
      </c>
      <c r="AA396">
        <v>3</v>
      </c>
      <c r="AB396">
        <v>8</v>
      </c>
      <c r="AC396">
        <v>5</v>
      </c>
      <c r="AD396">
        <v>3</v>
      </c>
      <c r="AE396">
        <v>9</v>
      </c>
      <c r="AF396">
        <v>6</v>
      </c>
      <c r="AG396">
        <v>3</v>
      </c>
      <c r="AH396">
        <v>10</v>
      </c>
      <c r="AI396">
        <v>6</v>
      </c>
      <c r="AJ396">
        <v>4</v>
      </c>
      <c r="AK396" t="s">
        <v>3693</v>
      </c>
      <c r="AL396" t="s">
        <v>3694</v>
      </c>
      <c r="AM396" t="s">
        <v>3695</v>
      </c>
      <c r="AN396" t="s">
        <v>3696</v>
      </c>
      <c r="AO396" t="s">
        <v>3697</v>
      </c>
      <c r="AP396" t="s">
        <v>3698</v>
      </c>
      <c r="AQ396" t="s">
        <v>3699</v>
      </c>
      <c r="AR396" t="s">
        <v>3700</v>
      </c>
      <c r="AS396" t="s">
        <v>3701</v>
      </c>
    </row>
    <row r="397" spans="1:45" x14ac:dyDescent="0.45">
      <c r="A397">
        <v>396</v>
      </c>
      <c r="B397">
        <v>437</v>
      </c>
      <c r="C397" t="s">
        <v>67</v>
      </c>
      <c r="D397" t="s">
        <v>68</v>
      </c>
      <c r="E397" t="s">
        <v>69</v>
      </c>
      <c r="F397" t="s">
        <v>186</v>
      </c>
      <c r="G397" t="s">
        <v>71</v>
      </c>
      <c r="H397">
        <v>29.447497431690316</v>
      </c>
      <c r="I397">
        <v>1</v>
      </c>
      <c r="J397">
        <v>8</v>
      </c>
      <c r="K397">
        <v>2</v>
      </c>
      <c r="L397">
        <v>6</v>
      </c>
      <c r="M397">
        <v>7</v>
      </c>
      <c r="N397">
        <v>2</v>
      </c>
      <c r="O397">
        <v>5</v>
      </c>
      <c r="P397">
        <v>9</v>
      </c>
      <c r="Q397">
        <v>4</v>
      </c>
      <c r="R397">
        <v>5</v>
      </c>
      <c r="S397">
        <v>8</v>
      </c>
      <c r="T397">
        <v>5</v>
      </c>
      <c r="U397">
        <v>3</v>
      </c>
      <c r="V397">
        <v>9</v>
      </c>
      <c r="W397">
        <v>5</v>
      </c>
      <c r="X397">
        <v>4</v>
      </c>
      <c r="Y397">
        <v>8</v>
      </c>
      <c r="Z397">
        <v>3</v>
      </c>
      <c r="AA397">
        <v>5</v>
      </c>
      <c r="AB397">
        <v>9</v>
      </c>
      <c r="AC397">
        <v>5</v>
      </c>
      <c r="AD397">
        <v>4</v>
      </c>
      <c r="AE397">
        <v>8</v>
      </c>
      <c r="AF397">
        <v>5</v>
      </c>
      <c r="AG397">
        <v>3</v>
      </c>
      <c r="AH397">
        <v>9</v>
      </c>
      <c r="AI397">
        <v>5</v>
      </c>
      <c r="AJ397">
        <v>4</v>
      </c>
      <c r="AK397" t="s">
        <v>3702</v>
      </c>
      <c r="AL397" t="s">
        <v>3703</v>
      </c>
      <c r="AM397" t="s">
        <v>3704</v>
      </c>
      <c r="AN397" t="s">
        <v>3705</v>
      </c>
      <c r="AO397" t="s">
        <v>3706</v>
      </c>
      <c r="AP397" t="s">
        <v>3707</v>
      </c>
      <c r="AQ397" t="s">
        <v>3708</v>
      </c>
      <c r="AR397" t="s">
        <v>3709</v>
      </c>
      <c r="AS397" t="s">
        <v>3710</v>
      </c>
    </row>
    <row r="398" spans="1:45" x14ac:dyDescent="0.45">
      <c r="A398">
        <v>397</v>
      </c>
      <c r="B398">
        <v>438</v>
      </c>
      <c r="C398" t="s">
        <v>67</v>
      </c>
      <c r="D398" t="s">
        <v>76</v>
      </c>
      <c r="E398" t="s">
        <v>69</v>
      </c>
      <c r="F398" t="s">
        <v>72</v>
      </c>
      <c r="G398" t="s">
        <v>71</v>
      </c>
      <c r="H398">
        <v>28.524551732345792</v>
      </c>
      <c r="I398">
        <v>0</v>
      </c>
      <c r="J398">
        <v>6</v>
      </c>
      <c r="K398">
        <v>8</v>
      </c>
      <c r="L398">
        <v>-2</v>
      </c>
      <c r="M398">
        <v>7</v>
      </c>
      <c r="N398">
        <v>8</v>
      </c>
      <c r="O398">
        <v>-1</v>
      </c>
      <c r="P398">
        <v>9</v>
      </c>
      <c r="Q398">
        <v>7</v>
      </c>
      <c r="R398">
        <v>2</v>
      </c>
      <c r="S398">
        <v>9</v>
      </c>
      <c r="T398">
        <v>7</v>
      </c>
      <c r="U398">
        <v>2</v>
      </c>
      <c r="V398">
        <v>8</v>
      </c>
      <c r="W398">
        <v>7</v>
      </c>
      <c r="X398">
        <v>1</v>
      </c>
      <c r="Y398">
        <v>9</v>
      </c>
      <c r="Z398">
        <v>8</v>
      </c>
      <c r="AA398">
        <v>1</v>
      </c>
      <c r="AB398">
        <v>8</v>
      </c>
      <c r="AC398">
        <v>7</v>
      </c>
      <c r="AD398">
        <v>1</v>
      </c>
      <c r="AE398">
        <v>7</v>
      </c>
      <c r="AF398">
        <v>8</v>
      </c>
      <c r="AG398">
        <v>-1</v>
      </c>
      <c r="AH398">
        <v>9</v>
      </c>
      <c r="AI398">
        <v>8</v>
      </c>
      <c r="AJ398">
        <v>1</v>
      </c>
      <c r="AK398" t="s">
        <v>3711</v>
      </c>
      <c r="AL398" t="s">
        <v>3712</v>
      </c>
      <c r="AM398" t="s">
        <v>3713</v>
      </c>
      <c r="AN398" t="s">
        <v>3714</v>
      </c>
      <c r="AO398" t="s">
        <v>3715</v>
      </c>
      <c r="AP398" t="s">
        <v>3716</v>
      </c>
      <c r="AQ398" t="s">
        <v>3717</v>
      </c>
      <c r="AR398" t="s">
        <v>3718</v>
      </c>
      <c r="AS398" t="s">
        <v>3719</v>
      </c>
    </row>
    <row r="399" spans="1:45" x14ac:dyDescent="0.45">
      <c r="A399">
        <v>398</v>
      </c>
      <c r="B399">
        <v>439</v>
      </c>
      <c r="C399" t="s">
        <v>67</v>
      </c>
      <c r="D399" t="s">
        <v>184</v>
      </c>
      <c r="E399" t="s">
        <v>69</v>
      </c>
      <c r="F399" t="s">
        <v>72</v>
      </c>
      <c r="G399" t="s">
        <v>71</v>
      </c>
      <c r="H399">
        <v>12</v>
      </c>
      <c r="I399">
        <v>0</v>
      </c>
      <c r="J399">
        <v>6</v>
      </c>
      <c r="K399">
        <v>9</v>
      </c>
      <c r="L399">
        <v>-3</v>
      </c>
      <c r="M399">
        <v>7</v>
      </c>
      <c r="N399">
        <v>9</v>
      </c>
      <c r="O399">
        <v>-2</v>
      </c>
      <c r="P399">
        <v>8</v>
      </c>
      <c r="Q399">
        <v>8</v>
      </c>
      <c r="R399">
        <v>0</v>
      </c>
      <c r="S399">
        <v>9</v>
      </c>
      <c r="T399">
        <v>9</v>
      </c>
      <c r="U399">
        <v>0</v>
      </c>
      <c r="V399">
        <v>7</v>
      </c>
      <c r="W399">
        <v>7</v>
      </c>
      <c r="X399">
        <v>0</v>
      </c>
      <c r="Y399">
        <v>8</v>
      </c>
      <c r="Z399">
        <v>9</v>
      </c>
      <c r="AA399">
        <v>-1</v>
      </c>
      <c r="AB399">
        <v>9</v>
      </c>
      <c r="AC399">
        <v>8</v>
      </c>
      <c r="AD399">
        <v>1</v>
      </c>
      <c r="AE399">
        <v>7</v>
      </c>
      <c r="AF399">
        <v>8</v>
      </c>
      <c r="AG399">
        <v>-1</v>
      </c>
      <c r="AH399">
        <v>9</v>
      </c>
      <c r="AI399">
        <v>8</v>
      </c>
      <c r="AJ399">
        <v>1</v>
      </c>
      <c r="AK399" t="s">
        <v>663</v>
      </c>
      <c r="AL399" t="s">
        <v>664</v>
      </c>
      <c r="AM399" t="s">
        <v>665</v>
      </c>
      <c r="AN399" t="s">
        <v>666</v>
      </c>
      <c r="AO399" t="s">
        <v>667</v>
      </c>
      <c r="AP399" t="s">
        <v>668</v>
      </c>
      <c r="AQ399" t="s">
        <v>669</v>
      </c>
      <c r="AR399" t="s">
        <v>670</v>
      </c>
      <c r="AS399" t="s">
        <v>671</v>
      </c>
    </row>
    <row r="400" spans="1:45" x14ac:dyDescent="0.45">
      <c r="A400">
        <v>399</v>
      </c>
      <c r="B400">
        <v>440</v>
      </c>
      <c r="C400" t="s">
        <v>67</v>
      </c>
      <c r="D400" t="s">
        <v>76</v>
      </c>
      <c r="E400" t="s">
        <v>69</v>
      </c>
      <c r="F400" t="s">
        <v>70</v>
      </c>
      <c r="G400" t="s">
        <v>71</v>
      </c>
      <c r="H400">
        <v>25.28387256684308</v>
      </c>
      <c r="I400">
        <v>0</v>
      </c>
      <c r="J400">
        <v>7</v>
      </c>
      <c r="K400">
        <v>7</v>
      </c>
      <c r="L400">
        <v>0</v>
      </c>
      <c r="M400">
        <v>6</v>
      </c>
      <c r="N400">
        <v>7</v>
      </c>
      <c r="O400">
        <v>-1</v>
      </c>
      <c r="P400">
        <v>7</v>
      </c>
      <c r="Q400">
        <v>5</v>
      </c>
      <c r="R400">
        <v>2</v>
      </c>
      <c r="S400">
        <v>9</v>
      </c>
      <c r="T400">
        <v>8</v>
      </c>
      <c r="U400">
        <v>1</v>
      </c>
      <c r="V400">
        <v>5</v>
      </c>
      <c r="W400">
        <v>7</v>
      </c>
      <c r="X400">
        <v>-2</v>
      </c>
      <c r="Y400">
        <v>9</v>
      </c>
      <c r="Z400">
        <v>8</v>
      </c>
      <c r="AA400">
        <v>1</v>
      </c>
      <c r="AB400">
        <v>6</v>
      </c>
      <c r="AC400">
        <v>6</v>
      </c>
      <c r="AD400">
        <v>0</v>
      </c>
      <c r="AE400">
        <v>8</v>
      </c>
      <c r="AF400">
        <v>6</v>
      </c>
      <c r="AG400">
        <v>2</v>
      </c>
      <c r="AH400">
        <v>9</v>
      </c>
      <c r="AI400">
        <v>8</v>
      </c>
      <c r="AJ400">
        <v>1</v>
      </c>
      <c r="AK400" t="s">
        <v>3720</v>
      </c>
      <c r="AL400" t="s">
        <v>3721</v>
      </c>
      <c r="AM400" t="s">
        <v>3722</v>
      </c>
      <c r="AN400" t="s">
        <v>3723</v>
      </c>
      <c r="AO400" t="s">
        <v>3724</v>
      </c>
      <c r="AP400" t="s">
        <v>3725</v>
      </c>
      <c r="AQ400" t="s">
        <v>3726</v>
      </c>
      <c r="AR400" t="s">
        <v>3727</v>
      </c>
      <c r="AS400" t="s">
        <v>813</v>
      </c>
    </row>
    <row r="401" spans="1:45" x14ac:dyDescent="0.45">
      <c r="A401">
        <v>400</v>
      </c>
      <c r="B401">
        <v>441</v>
      </c>
      <c r="C401" t="s">
        <v>67</v>
      </c>
      <c r="D401" t="s">
        <v>74</v>
      </c>
      <c r="E401" t="s">
        <v>69</v>
      </c>
      <c r="F401" t="s">
        <v>72</v>
      </c>
      <c r="G401" t="s">
        <v>71</v>
      </c>
      <c r="H401">
        <v>44.616615906222172</v>
      </c>
      <c r="I401">
        <v>3</v>
      </c>
      <c r="J401">
        <v>8</v>
      </c>
      <c r="K401">
        <v>8</v>
      </c>
      <c r="L401">
        <v>0</v>
      </c>
      <c r="M401">
        <v>9</v>
      </c>
      <c r="N401">
        <v>9</v>
      </c>
      <c r="O401">
        <v>0</v>
      </c>
      <c r="P401">
        <v>8</v>
      </c>
      <c r="Q401">
        <v>8</v>
      </c>
      <c r="R401">
        <v>0</v>
      </c>
      <c r="S401">
        <v>9</v>
      </c>
      <c r="T401">
        <v>8</v>
      </c>
      <c r="U401">
        <v>1</v>
      </c>
      <c r="V401">
        <v>8</v>
      </c>
      <c r="W401">
        <v>7</v>
      </c>
      <c r="X401">
        <v>1</v>
      </c>
      <c r="Y401">
        <v>8</v>
      </c>
      <c r="Z401">
        <v>7</v>
      </c>
      <c r="AA401">
        <v>1</v>
      </c>
      <c r="AB401">
        <v>8</v>
      </c>
      <c r="AC401">
        <v>7</v>
      </c>
      <c r="AD401">
        <v>1</v>
      </c>
      <c r="AE401">
        <v>9</v>
      </c>
      <c r="AF401">
        <v>7</v>
      </c>
      <c r="AG401">
        <v>2</v>
      </c>
      <c r="AH401">
        <v>9</v>
      </c>
      <c r="AI401">
        <v>8</v>
      </c>
      <c r="AJ401">
        <v>1</v>
      </c>
      <c r="AK401" t="s">
        <v>3728</v>
      </c>
      <c r="AL401" t="s">
        <v>3729</v>
      </c>
      <c r="AM401" t="s">
        <v>3730</v>
      </c>
      <c r="AN401" t="s">
        <v>3731</v>
      </c>
      <c r="AO401" t="s">
        <v>3732</v>
      </c>
      <c r="AP401" t="s">
        <v>3733</v>
      </c>
      <c r="AQ401" t="s">
        <v>3734</v>
      </c>
      <c r="AR401" t="s">
        <v>3735</v>
      </c>
      <c r="AS401" t="s">
        <v>3736</v>
      </c>
    </row>
    <row r="402" spans="1:45" x14ac:dyDescent="0.45">
      <c r="A402">
        <v>401</v>
      </c>
      <c r="B402">
        <v>442</v>
      </c>
      <c r="C402" t="s">
        <v>67</v>
      </c>
      <c r="D402" t="s">
        <v>76</v>
      </c>
      <c r="E402" t="s">
        <v>75</v>
      </c>
      <c r="F402" t="s">
        <v>72</v>
      </c>
      <c r="G402" t="s">
        <v>71</v>
      </c>
      <c r="H402">
        <v>16.838207852079275</v>
      </c>
      <c r="I402">
        <v>0</v>
      </c>
      <c r="J402">
        <v>6</v>
      </c>
      <c r="K402">
        <v>4</v>
      </c>
      <c r="L402">
        <v>2</v>
      </c>
      <c r="M402">
        <v>7</v>
      </c>
      <c r="N402">
        <v>4</v>
      </c>
      <c r="O402">
        <v>3</v>
      </c>
      <c r="P402">
        <v>8</v>
      </c>
      <c r="Q402">
        <v>3</v>
      </c>
      <c r="R402">
        <v>5</v>
      </c>
      <c r="S402">
        <v>9</v>
      </c>
      <c r="T402">
        <v>5</v>
      </c>
      <c r="U402">
        <v>4</v>
      </c>
      <c r="V402">
        <v>8</v>
      </c>
      <c r="W402">
        <v>5</v>
      </c>
      <c r="X402">
        <v>3</v>
      </c>
      <c r="Y402">
        <v>9</v>
      </c>
      <c r="Z402">
        <v>2</v>
      </c>
      <c r="AA402">
        <v>7</v>
      </c>
      <c r="AB402">
        <v>7</v>
      </c>
      <c r="AC402">
        <v>2</v>
      </c>
      <c r="AD402">
        <v>5</v>
      </c>
      <c r="AE402">
        <v>6</v>
      </c>
      <c r="AF402">
        <v>5</v>
      </c>
      <c r="AG402">
        <v>1</v>
      </c>
      <c r="AH402">
        <v>9</v>
      </c>
      <c r="AI402">
        <v>2</v>
      </c>
      <c r="AJ402">
        <v>7</v>
      </c>
      <c r="AK402" t="s">
        <v>3737</v>
      </c>
      <c r="AL402" t="s">
        <v>3738</v>
      </c>
      <c r="AM402" t="s">
        <v>3739</v>
      </c>
      <c r="AN402" t="s">
        <v>3740</v>
      </c>
      <c r="AO402" t="s">
        <v>3741</v>
      </c>
      <c r="AP402" t="s">
        <v>3742</v>
      </c>
      <c r="AQ402" t="s">
        <v>3743</v>
      </c>
      <c r="AR402" t="s">
        <v>3744</v>
      </c>
      <c r="AS402" t="s">
        <v>3745</v>
      </c>
    </row>
    <row r="403" spans="1:45" x14ac:dyDescent="0.45">
      <c r="A403">
        <v>402</v>
      </c>
      <c r="B403">
        <v>443</v>
      </c>
      <c r="C403" t="s">
        <v>73</v>
      </c>
      <c r="D403" t="s">
        <v>189</v>
      </c>
      <c r="E403" t="s">
        <v>69</v>
      </c>
      <c r="F403" t="s">
        <v>70</v>
      </c>
      <c r="G403" t="s">
        <v>71</v>
      </c>
      <c r="H403">
        <v>153.82185160621316</v>
      </c>
      <c r="I403">
        <v>4</v>
      </c>
      <c r="J403">
        <v>6</v>
      </c>
      <c r="K403">
        <v>7</v>
      </c>
      <c r="L403">
        <v>-1</v>
      </c>
      <c r="M403">
        <v>7</v>
      </c>
      <c r="N403">
        <v>7</v>
      </c>
      <c r="O403">
        <v>0</v>
      </c>
      <c r="P403">
        <v>8</v>
      </c>
      <c r="Q403">
        <v>4</v>
      </c>
      <c r="R403">
        <v>4</v>
      </c>
      <c r="S403">
        <v>9</v>
      </c>
      <c r="T403">
        <v>6</v>
      </c>
      <c r="U403">
        <v>3</v>
      </c>
      <c r="V403">
        <v>7</v>
      </c>
      <c r="W403">
        <v>5</v>
      </c>
      <c r="X403">
        <v>2</v>
      </c>
      <c r="Y403">
        <v>8</v>
      </c>
      <c r="Z403">
        <v>4</v>
      </c>
      <c r="AA403">
        <v>4</v>
      </c>
      <c r="AB403">
        <v>7</v>
      </c>
      <c r="AC403">
        <v>5</v>
      </c>
      <c r="AD403">
        <v>2</v>
      </c>
      <c r="AE403">
        <v>6</v>
      </c>
      <c r="AF403">
        <v>5</v>
      </c>
      <c r="AG403">
        <v>1</v>
      </c>
      <c r="AH403">
        <v>9</v>
      </c>
      <c r="AI403">
        <v>5</v>
      </c>
      <c r="AJ403">
        <v>4</v>
      </c>
      <c r="AK403" t="s">
        <v>3746</v>
      </c>
      <c r="AL403" t="s">
        <v>3747</v>
      </c>
      <c r="AM403" t="s">
        <v>3748</v>
      </c>
      <c r="AN403" t="s">
        <v>3749</v>
      </c>
      <c r="AO403" t="s">
        <v>3750</v>
      </c>
      <c r="AP403" t="s">
        <v>3751</v>
      </c>
      <c r="AQ403" t="s">
        <v>3752</v>
      </c>
      <c r="AR403" t="s">
        <v>3753</v>
      </c>
      <c r="AS403" t="s">
        <v>3754</v>
      </c>
    </row>
    <row r="404" spans="1:45" x14ac:dyDescent="0.45">
      <c r="A404">
        <v>403</v>
      </c>
      <c r="B404">
        <v>444</v>
      </c>
      <c r="C404" t="s">
        <v>67</v>
      </c>
      <c r="D404" t="s">
        <v>76</v>
      </c>
      <c r="E404" t="s">
        <v>69</v>
      </c>
      <c r="F404" t="s">
        <v>72</v>
      </c>
      <c r="G404" t="s">
        <v>71</v>
      </c>
      <c r="H404">
        <v>27.132060902957004</v>
      </c>
      <c r="I404">
        <v>0</v>
      </c>
      <c r="J404">
        <v>7</v>
      </c>
      <c r="K404">
        <v>7</v>
      </c>
      <c r="L404">
        <v>0</v>
      </c>
      <c r="M404">
        <v>8</v>
      </c>
      <c r="N404">
        <v>7</v>
      </c>
      <c r="O404">
        <v>1</v>
      </c>
      <c r="P404">
        <v>6</v>
      </c>
      <c r="Q404">
        <v>7</v>
      </c>
      <c r="R404">
        <v>-1</v>
      </c>
      <c r="S404">
        <v>9</v>
      </c>
      <c r="T404">
        <v>7</v>
      </c>
      <c r="U404">
        <v>2</v>
      </c>
      <c r="V404">
        <v>7</v>
      </c>
      <c r="W404">
        <v>7</v>
      </c>
      <c r="X404">
        <v>0</v>
      </c>
      <c r="Y404">
        <v>8</v>
      </c>
      <c r="Z404">
        <v>7</v>
      </c>
      <c r="AA404">
        <v>1</v>
      </c>
      <c r="AB404">
        <v>6</v>
      </c>
      <c r="AC404">
        <v>7</v>
      </c>
      <c r="AD404">
        <v>-1</v>
      </c>
      <c r="AE404">
        <v>7</v>
      </c>
      <c r="AF404">
        <v>7</v>
      </c>
      <c r="AG404">
        <v>0</v>
      </c>
      <c r="AH404">
        <v>9</v>
      </c>
      <c r="AI404">
        <v>7</v>
      </c>
      <c r="AJ404">
        <v>2</v>
      </c>
      <c r="AK404" t="s">
        <v>3755</v>
      </c>
      <c r="AL404" t="s">
        <v>3756</v>
      </c>
      <c r="AM404" t="s">
        <v>3757</v>
      </c>
      <c r="AN404" t="s">
        <v>3758</v>
      </c>
      <c r="AO404" t="s">
        <v>3759</v>
      </c>
      <c r="AP404" t="s">
        <v>3760</v>
      </c>
      <c r="AQ404" t="s">
        <v>3761</v>
      </c>
      <c r="AR404" t="s">
        <v>3762</v>
      </c>
      <c r="AS404" t="s">
        <v>3763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0A1E5-5B85-4FCC-8D5E-A7011AE70633}">
  <dimension ref="A1:Q404"/>
  <sheetViews>
    <sheetView workbookViewId="0">
      <selection activeCell="A2" sqref="A2"/>
    </sheetView>
  </sheetViews>
  <sheetFormatPr defaultRowHeight="14.25" x14ac:dyDescent="0.45"/>
  <cols>
    <col min="1" max="1" width="15.265625" bestFit="1" customWidth="1"/>
    <col min="2" max="2" width="17.3984375" bestFit="1" customWidth="1"/>
    <col min="3" max="3" width="16.3984375" bestFit="1" customWidth="1"/>
    <col min="4" max="4" width="26.59765625" hidden="1" customWidth="1"/>
    <col min="5" max="5" width="24.796875" bestFit="1" customWidth="1"/>
    <col min="6" max="6" width="45.796875" bestFit="1" customWidth="1"/>
    <col min="7" max="7" width="80.53125" bestFit="1" customWidth="1"/>
    <col min="8" max="8" width="65.33203125" bestFit="1" customWidth="1"/>
    <col min="9" max="17" width="80.53125" bestFit="1" customWidth="1"/>
  </cols>
  <sheetData>
    <row r="1" spans="1:17" x14ac:dyDescent="0.45">
      <c r="A1" t="s">
        <v>78</v>
      </c>
      <c r="B1" t="s">
        <v>79</v>
      </c>
      <c r="C1" t="s">
        <v>80</v>
      </c>
      <c r="D1" t="s">
        <v>81</v>
      </c>
      <c r="E1" t="s">
        <v>82</v>
      </c>
      <c r="F1" t="s">
        <v>83</v>
      </c>
      <c r="G1" t="s">
        <v>84</v>
      </c>
      <c r="H1" t="s">
        <v>85</v>
      </c>
      <c r="I1" t="s">
        <v>86</v>
      </c>
      <c r="J1" t="s">
        <v>87</v>
      </c>
      <c r="K1" t="s">
        <v>88</v>
      </c>
      <c r="L1" t="s">
        <v>89</v>
      </c>
      <c r="M1" t="s">
        <v>90</v>
      </c>
      <c r="N1" t="s">
        <v>91</v>
      </c>
      <c r="O1" t="s">
        <v>92</v>
      </c>
      <c r="P1" t="s">
        <v>93</v>
      </c>
      <c r="Q1" t="s">
        <v>94</v>
      </c>
    </row>
    <row r="2" spans="1:17" x14ac:dyDescent="0.45">
      <c r="A2" s="19">
        <v>46016.586805555555</v>
      </c>
      <c r="B2" t="s">
        <v>67</v>
      </c>
      <c r="C2" t="s">
        <v>76</v>
      </c>
      <c r="D2" t="s">
        <v>69</v>
      </c>
      <c r="E2" t="s">
        <v>72</v>
      </c>
      <c r="F2" t="s">
        <v>95</v>
      </c>
      <c r="G2" t="s">
        <v>99</v>
      </c>
      <c r="H2" t="s">
        <v>97</v>
      </c>
      <c r="I2">
        <v>10</v>
      </c>
      <c r="J2">
        <v>8</v>
      </c>
      <c r="K2">
        <v>5</v>
      </c>
      <c r="L2">
        <v>5</v>
      </c>
      <c r="M2">
        <v>10</v>
      </c>
      <c r="N2">
        <v>10</v>
      </c>
      <c r="O2">
        <v>10</v>
      </c>
      <c r="P2">
        <v>10</v>
      </c>
      <c r="Q2">
        <v>10</v>
      </c>
    </row>
    <row r="3" spans="1:17" x14ac:dyDescent="0.45">
      <c r="A3" s="19">
        <v>46016.586805555555</v>
      </c>
      <c r="B3" t="s">
        <v>67</v>
      </c>
      <c r="C3" t="s">
        <v>76</v>
      </c>
      <c r="D3" t="s">
        <v>69</v>
      </c>
      <c r="E3" t="s">
        <v>72</v>
      </c>
      <c r="F3" t="s">
        <v>95</v>
      </c>
      <c r="G3" t="s">
        <v>99</v>
      </c>
      <c r="H3" t="s">
        <v>105</v>
      </c>
      <c r="I3">
        <v>8</v>
      </c>
      <c r="J3">
        <v>8</v>
      </c>
      <c r="K3">
        <v>6</v>
      </c>
      <c r="L3">
        <v>9</v>
      </c>
      <c r="M3">
        <v>10</v>
      </c>
      <c r="N3">
        <v>9</v>
      </c>
      <c r="O3">
        <v>8</v>
      </c>
      <c r="P3">
        <v>9</v>
      </c>
      <c r="Q3">
        <v>10</v>
      </c>
    </row>
    <row r="4" spans="1:17" x14ac:dyDescent="0.45">
      <c r="A4" s="19">
        <v>46016.588194444441</v>
      </c>
      <c r="B4" t="s">
        <v>73</v>
      </c>
      <c r="C4" t="s">
        <v>74</v>
      </c>
      <c r="D4" t="s">
        <v>69</v>
      </c>
      <c r="E4" t="s">
        <v>70</v>
      </c>
      <c r="F4" t="s">
        <v>95</v>
      </c>
      <c r="G4" t="s">
        <v>106</v>
      </c>
      <c r="H4" t="s">
        <v>101</v>
      </c>
      <c r="I4">
        <v>6</v>
      </c>
      <c r="J4">
        <v>5</v>
      </c>
      <c r="K4">
        <v>4</v>
      </c>
      <c r="L4">
        <v>5</v>
      </c>
      <c r="M4">
        <v>4</v>
      </c>
      <c r="N4">
        <v>4</v>
      </c>
      <c r="O4">
        <v>4</v>
      </c>
      <c r="P4">
        <v>10</v>
      </c>
      <c r="Q4">
        <v>4</v>
      </c>
    </row>
    <row r="5" spans="1:17" x14ac:dyDescent="0.45">
      <c r="A5" s="19">
        <v>46016.588194444441</v>
      </c>
      <c r="B5" t="s">
        <v>67</v>
      </c>
      <c r="C5" t="s">
        <v>184</v>
      </c>
      <c r="D5" t="s">
        <v>69</v>
      </c>
      <c r="E5" t="s">
        <v>72</v>
      </c>
      <c r="F5" t="s">
        <v>95</v>
      </c>
      <c r="G5" t="s">
        <v>190</v>
      </c>
      <c r="H5" t="s">
        <v>105</v>
      </c>
      <c r="I5">
        <v>10</v>
      </c>
      <c r="J5">
        <v>10</v>
      </c>
      <c r="K5">
        <v>8</v>
      </c>
      <c r="L5">
        <v>9</v>
      </c>
      <c r="M5">
        <v>9</v>
      </c>
      <c r="N5">
        <v>7</v>
      </c>
      <c r="O5">
        <v>10</v>
      </c>
      <c r="P5">
        <v>7</v>
      </c>
      <c r="Q5">
        <v>10</v>
      </c>
    </row>
    <row r="6" spans="1:17" x14ac:dyDescent="0.45">
      <c r="A6" s="19">
        <v>46016.588888888888</v>
      </c>
      <c r="B6" t="s">
        <v>67</v>
      </c>
      <c r="C6" t="s">
        <v>76</v>
      </c>
      <c r="D6" t="s">
        <v>69</v>
      </c>
      <c r="E6" t="s">
        <v>72</v>
      </c>
      <c r="F6" t="s">
        <v>95</v>
      </c>
      <c r="G6" t="s">
        <v>190</v>
      </c>
      <c r="H6" t="s">
        <v>105</v>
      </c>
      <c r="I6">
        <v>9</v>
      </c>
      <c r="J6">
        <v>9</v>
      </c>
      <c r="K6">
        <v>10</v>
      </c>
      <c r="L6">
        <v>9</v>
      </c>
      <c r="M6">
        <v>9</v>
      </c>
      <c r="N6">
        <v>9</v>
      </c>
      <c r="O6">
        <v>9</v>
      </c>
      <c r="P6">
        <v>9</v>
      </c>
      <c r="Q6">
        <v>9</v>
      </c>
    </row>
    <row r="7" spans="1:17" x14ac:dyDescent="0.45">
      <c r="A7" s="19">
        <v>46016.595138888886</v>
      </c>
      <c r="B7" t="s">
        <v>67</v>
      </c>
      <c r="C7" t="s">
        <v>68</v>
      </c>
      <c r="D7" t="s">
        <v>69</v>
      </c>
      <c r="E7" t="s">
        <v>70</v>
      </c>
      <c r="F7" t="s">
        <v>95</v>
      </c>
      <c r="G7" t="s">
        <v>102</v>
      </c>
      <c r="H7" t="s">
        <v>191</v>
      </c>
      <c r="I7">
        <v>8</v>
      </c>
      <c r="J7">
        <v>8</v>
      </c>
      <c r="K7">
        <v>5</v>
      </c>
      <c r="L7">
        <v>8</v>
      </c>
      <c r="M7">
        <v>6</v>
      </c>
      <c r="N7">
        <v>6</v>
      </c>
      <c r="O7">
        <v>4</v>
      </c>
      <c r="P7">
        <v>5</v>
      </c>
      <c r="Q7">
        <v>6</v>
      </c>
    </row>
    <row r="8" spans="1:17" x14ac:dyDescent="0.45">
      <c r="A8" s="19">
        <v>46016.59652777778</v>
      </c>
      <c r="B8" t="s">
        <v>67</v>
      </c>
      <c r="C8" t="s">
        <v>68</v>
      </c>
      <c r="D8" t="s">
        <v>69</v>
      </c>
      <c r="E8" t="s">
        <v>72</v>
      </c>
      <c r="F8" t="s">
        <v>95</v>
      </c>
      <c r="G8" t="s">
        <v>192</v>
      </c>
      <c r="H8" t="s">
        <v>100</v>
      </c>
      <c r="I8">
        <v>5</v>
      </c>
      <c r="J8">
        <v>4</v>
      </c>
      <c r="K8">
        <v>4</v>
      </c>
      <c r="L8">
        <v>6</v>
      </c>
      <c r="M8">
        <v>6</v>
      </c>
      <c r="N8">
        <v>7</v>
      </c>
      <c r="O8">
        <v>2</v>
      </c>
      <c r="P8">
        <v>4</v>
      </c>
      <c r="Q8">
        <v>4</v>
      </c>
    </row>
    <row r="9" spans="1:17" x14ac:dyDescent="0.45">
      <c r="A9" s="19">
        <v>46016.602777777778</v>
      </c>
      <c r="B9" t="s">
        <v>73</v>
      </c>
      <c r="C9" t="s">
        <v>74</v>
      </c>
      <c r="D9" t="s">
        <v>69</v>
      </c>
      <c r="E9" t="s">
        <v>70</v>
      </c>
      <c r="F9" t="s">
        <v>95</v>
      </c>
      <c r="G9" t="s">
        <v>190</v>
      </c>
      <c r="H9" t="s">
        <v>100</v>
      </c>
      <c r="I9">
        <v>1</v>
      </c>
      <c r="J9">
        <v>1</v>
      </c>
      <c r="K9">
        <v>2</v>
      </c>
      <c r="L9">
        <v>3</v>
      </c>
      <c r="M9">
        <v>6</v>
      </c>
      <c r="N9">
        <v>2</v>
      </c>
      <c r="O9">
        <v>7</v>
      </c>
      <c r="P9">
        <v>3</v>
      </c>
      <c r="Q9">
        <v>3</v>
      </c>
    </row>
    <row r="10" spans="1:17" x14ac:dyDescent="0.45">
      <c r="A10" s="19">
        <v>46016.649305555555</v>
      </c>
      <c r="B10" t="s">
        <v>67</v>
      </c>
      <c r="C10" t="s">
        <v>76</v>
      </c>
      <c r="D10" t="s">
        <v>75</v>
      </c>
      <c r="E10" t="s">
        <v>72</v>
      </c>
      <c r="F10" t="s">
        <v>98</v>
      </c>
      <c r="G10" t="s">
        <v>99</v>
      </c>
      <c r="H10" t="s">
        <v>97</v>
      </c>
      <c r="I10">
        <v>10</v>
      </c>
      <c r="J10">
        <v>10</v>
      </c>
      <c r="K10">
        <v>8</v>
      </c>
      <c r="L10">
        <v>7</v>
      </c>
      <c r="M10">
        <v>7</v>
      </c>
      <c r="N10">
        <v>5</v>
      </c>
      <c r="O10">
        <v>5</v>
      </c>
      <c r="P10">
        <v>9</v>
      </c>
      <c r="Q10">
        <v>8</v>
      </c>
    </row>
    <row r="11" spans="1:17" x14ac:dyDescent="0.45">
      <c r="A11" s="19">
        <v>46016.660416666666</v>
      </c>
      <c r="B11" t="s">
        <v>67</v>
      </c>
      <c r="C11" t="s">
        <v>76</v>
      </c>
      <c r="D11" t="s">
        <v>69</v>
      </c>
      <c r="E11" t="s">
        <v>72</v>
      </c>
      <c r="F11" t="s">
        <v>95</v>
      </c>
      <c r="G11" t="s">
        <v>192</v>
      </c>
      <c r="H11" t="s">
        <v>105</v>
      </c>
      <c r="I11">
        <v>7</v>
      </c>
      <c r="J11">
        <v>10</v>
      </c>
      <c r="K11">
        <v>1</v>
      </c>
      <c r="L11">
        <v>5</v>
      </c>
      <c r="M11">
        <v>8</v>
      </c>
      <c r="N11">
        <v>5</v>
      </c>
      <c r="O11">
        <v>5</v>
      </c>
      <c r="P11">
        <v>5</v>
      </c>
      <c r="Q11">
        <v>10</v>
      </c>
    </row>
    <row r="12" spans="1:17" x14ac:dyDescent="0.45">
      <c r="A12" s="19">
        <v>46016.661111111112</v>
      </c>
      <c r="B12" t="s">
        <v>73</v>
      </c>
      <c r="C12" t="s">
        <v>68</v>
      </c>
      <c r="D12" t="s">
        <v>69</v>
      </c>
      <c r="E12" t="s">
        <v>70</v>
      </c>
      <c r="F12" t="s">
        <v>98</v>
      </c>
      <c r="G12" t="s">
        <v>104</v>
      </c>
      <c r="H12" t="s">
        <v>191</v>
      </c>
      <c r="I12">
        <v>10</v>
      </c>
      <c r="J12">
        <v>3</v>
      </c>
      <c r="K12">
        <v>1</v>
      </c>
      <c r="L12">
        <v>7</v>
      </c>
      <c r="M12">
        <v>1</v>
      </c>
      <c r="N12">
        <v>5</v>
      </c>
      <c r="O12">
        <v>1</v>
      </c>
      <c r="P12">
        <v>8</v>
      </c>
      <c r="Q12">
        <v>6</v>
      </c>
    </row>
    <row r="13" spans="1:17" x14ac:dyDescent="0.45">
      <c r="A13" s="19">
        <v>46016.709027777775</v>
      </c>
      <c r="B13" t="s">
        <v>67</v>
      </c>
      <c r="C13" t="s">
        <v>184</v>
      </c>
      <c r="D13" t="s">
        <v>69</v>
      </c>
      <c r="E13" t="s">
        <v>72</v>
      </c>
      <c r="F13" t="s">
        <v>95</v>
      </c>
      <c r="G13" t="s">
        <v>190</v>
      </c>
      <c r="H13" t="s">
        <v>105</v>
      </c>
      <c r="I13">
        <v>5</v>
      </c>
      <c r="J13">
        <v>8</v>
      </c>
      <c r="K13">
        <v>5</v>
      </c>
      <c r="L13">
        <v>5</v>
      </c>
      <c r="M13">
        <v>6</v>
      </c>
      <c r="N13">
        <v>5</v>
      </c>
      <c r="O13">
        <v>5</v>
      </c>
      <c r="P13">
        <v>5</v>
      </c>
      <c r="Q13">
        <v>5</v>
      </c>
    </row>
    <row r="14" spans="1:17" x14ac:dyDescent="0.45">
      <c r="A14" s="19">
        <v>46016.745833333334</v>
      </c>
      <c r="B14" t="s">
        <v>67</v>
      </c>
      <c r="C14" t="s">
        <v>184</v>
      </c>
      <c r="D14" t="s">
        <v>69</v>
      </c>
      <c r="E14" t="s">
        <v>72</v>
      </c>
      <c r="F14" t="s">
        <v>95</v>
      </c>
      <c r="G14" t="s">
        <v>190</v>
      </c>
      <c r="H14" t="s">
        <v>105</v>
      </c>
      <c r="I14">
        <v>8</v>
      </c>
      <c r="J14">
        <v>7</v>
      </c>
      <c r="K14">
        <v>7</v>
      </c>
      <c r="L14">
        <v>7</v>
      </c>
      <c r="M14">
        <v>7</v>
      </c>
      <c r="N14">
        <v>8</v>
      </c>
      <c r="O14">
        <v>7</v>
      </c>
      <c r="P14">
        <v>7</v>
      </c>
      <c r="Q14">
        <v>7</v>
      </c>
    </row>
    <row r="15" spans="1:17" x14ac:dyDescent="0.45">
      <c r="A15" s="19">
        <v>46016.844444444447</v>
      </c>
      <c r="B15" t="s">
        <v>67</v>
      </c>
      <c r="C15" t="s">
        <v>68</v>
      </c>
      <c r="D15" t="s">
        <v>69</v>
      </c>
      <c r="E15" t="s">
        <v>70</v>
      </c>
      <c r="F15" t="s">
        <v>95</v>
      </c>
      <c r="G15" t="s">
        <v>192</v>
      </c>
      <c r="H15" t="s">
        <v>105</v>
      </c>
      <c r="I15">
        <v>10</v>
      </c>
      <c r="J15">
        <v>10</v>
      </c>
      <c r="K15">
        <v>8</v>
      </c>
      <c r="L15">
        <v>8</v>
      </c>
      <c r="M15">
        <v>8</v>
      </c>
      <c r="N15">
        <v>6</v>
      </c>
      <c r="O15">
        <v>6</v>
      </c>
      <c r="P15">
        <v>5</v>
      </c>
      <c r="Q15">
        <v>5</v>
      </c>
    </row>
    <row r="16" spans="1:17" x14ac:dyDescent="0.45">
      <c r="A16" s="19">
        <v>46016.84652777778</v>
      </c>
      <c r="B16" t="s">
        <v>73</v>
      </c>
      <c r="C16" t="s">
        <v>68</v>
      </c>
      <c r="D16" t="s">
        <v>69</v>
      </c>
      <c r="E16" t="s">
        <v>70</v>
      </c>
      <c r="F16" t="s">
        <v>95</v>
      </c>
      <c r="G16" t="s">
        <v>104</v>
      </c>
      <c r="H16" t="s">
        <v>100</v>
      </c>
      <c r="I16">
        <v>7</v>
      </c>
      <c r="J16">
        <v>9</v>
      </c>
      <c r="K16">
        <v>3</v>
      </c>
      <c r="L16">
        <v>6</v>
      </c>
      <c r="M16">
        <v>1</v>
      </c>
      <c r="N16">
        <v>1</v>
      </c>
      <c r="O16">
        <v>1</v>
      </c>
      <c r="P16">
        <v>1</v>
      </c>
      <c r="Q16">
        <v>1</v>
      </c>
    </row>
    <row r="17" spans="1:17" x14ac:dyDescent="0.45">
      <c r="A17" s="19">
        <v>46016.881249999999</v>
      </c>
      <c r="B17" t="s">
        <v>73</v>
      </c>
      <c r="C17" t="s">
        <v>74</v>
      </c>
      <c r="D17" t="s">
        <v>69</v>
      </c>
      <c r="E17" t="s">
        <v>70</v>
      </c>
      <c r="F17" t="s">
        <v>95</v>
      </c>
      <c r="G17" t="s">
        <v>102</v>
      </c>
      <c r="H17" t="s">
        <v>191</v>
      </c>
      <c r="I17">
        <v>8</v>
      </c>
      <c r="J17">
        <v>8</v>
      </c>
      <c r="K17">
        <v>8</v>
      </c>
      <c r="L17">
        <v>9</v>
      </c>
      <c r="M17">
        <v>7</v>
      </c>
      <c r="N17">
        <v>7</v>
      </c>
      <c r="O17">
        <v>9</v>
      </c>
      <c r="P17">
        <v>8</v>
      </c>
      <c r="Q17">
        <v>7</v>
      </c>
    </row>
    <row r="18" spans="1:17" x14ac:dyDescent="0.45">
      <c r="A18" s="19">
        <v>46016.885416666664</v>
      </c>
      <c r="B18" t="s">
        <v>67</v>
      </c>
      <c r="C18" t="s">
        <v>76</v>
      </c>
      <c r="D18" t="s">
        <v>69</v>
      </c>
      <c r="E18" t="s">
        <v>72</v>
      </c>
      <c r="F18" t="s">
        <v>95</v>
      </c>
      <c r="G18" t="s">
        <v>192</v>
      </c>
      <c r="H18" t="s">
        <v>100</v>
      </c>
      <c r="I18">
        <v>6</v>
      </c>
      <c r="J18">
        <v>7</v>
      </c>
      <c r="K18">
        <v>5</v>
      </c>
      <c r="L18">
        <v>5</v>
      </c>
      <c r="M18">
        <v>6</v>
      </c>
      <c r="N18">
        <v>7</v>
      </c>
      <c r="O18">
        <v>3</v>
      </c>
      <c r="P18">
        <v>4</v>
      </c>
      <c r="Q18">
        <v>5</v>
      </c>
    </row>
    <row r="19" spans="1:17" x14ac:dyDescent="0.45">
      <c r="A19" s="19">
        <v>46016.907638888886</v>
      </c>
      <c r="B19" t="s">
        <v>73</v>
      </c>
      <c r="C19" t="s">
        <v>74</v>
      </c>
      <c r="D19" t="s">
        <v>69</v>
      </c>
      <c r="E19" t="s">
        <v>72</v>
      </c>
      <c r="F19" t="s">
        <v>98</v>
      </c>
      <c r="G19" t="s">
        <v>99</v>
      </c>
      <c r="H19" t="s">
        <v>105</v>
      </c>
      <c r="I19">
        <v>6</v>
      </c>
      <c r="J19">
        <v>8</v>
      </c>
      <c r="K19">
        <v>7</v>
      </c>
      <c r="L19">
        <v>8</v>
      </c>
      <c r="M19">
        <v>8</v>
      </c>
      <c r="N19">
        <v>7</v>
      </c>
      <c r="O19">
        <v>7</v>
      </c>
      <c r="P19">
        <v>6</v>
      </c>
      <c r="Q19">
        <v>8</v>
      </c>
    </row>
    <row r="20" spans="1:17" x14ac:dyDescent="0.45">
      <c r="A20" s="19">
        <v>46016.910416666666</v>
      </c>
      <c r="B20" t="s">
        <v>73</v>
      </c>
      <c r="C20" t="s">
        <v>74</v>
      </c>
      <c r="D20" t="s">
        <v>69</v>
      </c>
      <c r="E20" t="s">
        <v>72</v>
      </c>
      <c r="F20" t="s">
        <v>95</v>
      </c>
      <c r="G20" t="s">
        <v>103</v>
      </c>
      <c r="H20" t="s">
        <v>191</v>
      </c>
      <c r="I20">
        <v>10</v>
      </c>
      <c r="J20">
        <v>10</v>
      </c>
      <c r="K20">
        <v>5</v>
      </c>
      <c r="L20">
        <v>5</v>
      </c>
      <c r="M20">
        <v>5</v>
      </c>
      <c r="N20">
        <v>3</v>
      </c>
      <c r="O20">
        <v>2</v>
      </c>
      <c r="P20">
        <v>5</v>
      </c>
      <c r="Q20">
        <v>8</v>
      </c>
    </row>
    <row r="21" spans="1:17" x14ac:dyDescent="0.45">
      <c r="A21" s="19">
        <v>46017.081250000003</v>
      </c>
      <c r="B21" t="s">
        <v>73</v>
      </c>
      <c r="C21" t="s">
        <v>68</v>
      </c>
      <c r="D21" t="s">
        <v>69</v>
      </c>
      <c r="E21" t="s">
        <v>70</v>
      </c>
      <c r="F21" t="s">
        <v>95</v>
      </c>
      <c r="G21" t="s">
        <v>106</v>
      </c>
      <c r="H21" t="s">
        <v>100</v>
      </c>
      <c r="I21">
        <v>9</v>
      </c>
      <c r="J21">
        <v>9</v>
      </c>
      <c r="K21">
        <v>7</v>
      </c>
      <c r="L21">
        <v>9</v>
      </c>
      <c r="M21">
        <v>7</v>
      </c>
      <c r="N21">
        <v>8</v>
      </c>
      <c r="O21">
        <v>5</v>
      </c>
      <c r="P21">
        <v>5</v>
      </c>
      <c r="Q21">
        <v>6</v>
      </c>
    </row>
    <row r="22" spans="1:17" x14ac:dyDescent="0.45">
      <c r="A22" s="19">
        <v>46017.3125</v>
      </c>
      <c r="B22" t="s">
        <v>67</v>
      </c>
      <c r="C22" t="s">
        <v>74</v>
      </c>
      <c r="D22" t="s">
        <v>69</v>
      </c>
      <c r="E22" t="s">
        <v>72</v>
      </c>
      <c r="F22" t="s">
        <v>95</v>
      </c>
      <c r="G22" t="s">
        <v>103</v>
      </c>
      <c r="H22" t="s">
        <v>101</v>
      </c>
      <c r="I22">
        <v>10</v>
      </c>
      <c r="J22">
        <v>10</v>
      </c>
      <c r="K22">
        <v>8</v>
      </c>
      <c r="L22">
        <v>7</v>
      </c>
      <c r="M22">
        <v>7</v>
      </c>
      <c r="N22">
        <v>7</v>
      </c>
      <c r="O22">
        <v>2</v>
      </c>
      <c r="P22">
        <v>3</v>
      </c>
      <c r="Q22">
        <v>3</v>
      </c>
    </row>
    <row r="23" spans="1:17" x14ac:dyDescent="0.45">
      <c r="A23" s="19">
        <v>46017.362500000003</v>
      </c>
      <c r="B23" t="s">
        <v>67</v>
      </c>
      <c r="C23" t="s">
        <v>184</v>
      </c>
      <c r="D23" t="s">
        <v>69</v>
      </c>
      <c r="E23" t="s">
        <v>72</v>
      </c>
      <c r="F23" t="s">
        <v>95</v>
      </c>
      <c r="G23" t="s">
        <v>99</v>
      </c>
      <c r="H23" t="s">
        <v>105</v>
      </c>
      <c r="I23">
        <v>8</v>
      </c>
      <c r="J23">
        <v>8</v>
      </c>
      <c r="K23">
        <v>5</v>
      </c>
      <c r="L23">
        <v>8</v>
      </c>
      <c r="M23">
        <v>8</v>
      </c>
      <c r="N23">
        <v>8</v>
      </c>
      <c r="O23">
        <v>8</v>
      </c>
      <c r="P23">
        <v>8</v>
      </c>
      <c r="Q23">
        <v>8</v>
      </c>
    </row>
    <row r="24" spans="1:17" x14ac:dyDescent="0.45">
      <c r="A24" s="19">
        <v>46017.4</v>
      </c>
      <c r="B24" t="s">
        <v>67</v>
      </c>
      <c r="C24" t="s">
        <v>74</v>
      </c>
      <c r="D24" t="s">
        <v>69</v>
      </c>
      <c r="E24" t="s">
        <v>70</v>
      </c>
      <c r="F24" t="s">
        <v>95</v>
      </c>
      <c r="G24" t="s">
        <v>102</v>
      </c>
      <c r="H24" t="s">
        <v>101</v>
      </c>
      <c r="I24">
        <v>5</v>
      </c>
      <c r="J24">
        <v>5</v>
      </c>
      <c r="K24">
        <v>5</v>
      </c>
      <c r="L24">
        <v>5</v>
      </c>
      <c r="M24">
        <v>5</v>
      </c>
      <c r="N24">
        <v>5</v>
      </c>
      <c r="O24">
        <v>5</v>
      </c>
      <c r="P24">
        <v>5</v>
      </c>
      <c r="Q24">
        <v>5</v>
      </c>
    </row>
    <row r="25" spans="1:17" x14ac:dyDescent="0.45">
      <c r="A25" s="19">
        <v>46017.484027777777</v>
      </c>
      <c r="B25" t="s">
        <v>67</v>
      </c>
      <c r="C25" t="s">
        <v>68</v>
      </c>
      <c r="D25" t="s">
        <v>75</v>
      </c>
      <c r="E25" t="s">
        <v>72</v>
      </c>
      <c r="F25" t="s">
        <v>95</v>
      </c>
      <c r="G25" t="s">
        <v>96</v>
      </c>
      <c r="H25" t="s">
        <v>100</v>
      </c>
      <c r="I25">
        <v>9</v>
      </c>
      <c r="J25">
        <v>8</v>
      </c>
      <c r="K25">
        <v>6</v>
      </c>
      <c r="L25">
        <v>9</v>
      </c>
      <c r="M25">
        <v>8</v>
      </c>
      <c r="N25">
        <v>10</v>
      </c>
      <c r="O25">
        <v>6</v>
      </c>
      <c r="P25">
        <v>6</v>
      </c>
      <c r="Q25">
        <v>8</v>
      </c>
    </row>
    <row r="26" spans="1:17" x14ac:dyDescent="0.45">
      <c r="A26" s="19">
        <v>46017.486111111109</v>
      </c>
      <c r="B26" t="s">
        <v>73</v>
      </c>
      <c r="C26" t="s">
        <v>68</v>
      </c>
      <c r="D26" t="s">
        <v>69</v>
      </c>
      <c r="E26" t="s">
        <v>70</v>
      </c>
      <c r="F26" t="s">
        <v>95</v>
      </c>
      <c r="G26" t="s">
        <v>104</v>
      </c>
      <c r="H26" t="s">
        <v>97</v>
      </c>
      <c r="I26">
        <v>6</v>
      </c>
      <c r="J26">
        <v>7</v>
      </c>
      <c r="K26">
        <v>5</v>
      </c>
      <c r="L26">
        <v>6</v>
      </c>
      <c r="M26">
        <v>7</v>
      </c>
      <c r="N26">
        <v>7</v>
      </c>
      <c r="O26">
        <v>3</v>
      </c>
      <c r="P26">
        <v>3</v>
      </c>
      <c r="Q26">
        <v>5</v>
      </c>
    </row>
    <row r="27" spans="1:17" x14ac:dyDescent="0.45">
      <c r="A27" s="19">
        <v>46017.489583333336</v>
      </c>
      <c r="B27" t="s">
        <v>73</v>
      </c>
      <c r="C27" t="s">
        <v>68</v>
      </c>
      <c r="D27" t="s">
        <v>69</v>
      </c>
      <c r="E27" t="s">
        <v>70</v>
      </c>
      <c r="F27" t="s">
        <v>95</v>
      </c>
      <c r="G27" t="s">
        <v>190</v>
      </c>
      <c r="H27" t="s">
        <v>191</v>
      </c>
      <c r="I27">
        <v>10</v>
      </c>
      <c r="J27">
        <v>10</v>
      </c>
      <c r="K27">
        <v>10</v>
      </c>
      <c r="L27">
        <v>6</v>
      </c>
      <c r="M27">
        <v>6</v>
      </c>
      <c r="N27">
        <v>10</v>
      </c>
      <c r="O27">
        <v>1</v>
      </c>
      <c r="P27">
        <v>4</v>
      </c>
      <c r="Q27">
        <v>10</v>
      </c>
    </row>
    <row r="28" spans="1:17" x14ac:dyDescent="0.45">
      <c r="A28" s="19">
        <v>46017.504166666666</v>
      </c>
      <c r="B28" t="s">
        <v>73</v>
      </c>
      <c r="C28" t="s">
        <v>184</v>
      </c>
      <c r="D28" t="s">
        <v>69</v>
      </c>
      <c r="E28" t="s">
        <v>72</v>
      </c>
      <c r="F28" t="s">
        <v>95</v>
      </c>
      <c r="G28" t="s">
        <v>190</v>
      </c>
      <c r="H28" t="s">
        <v>105</v>
      </c>
      <c r="I28">
        <v>1</v>
      </c>
      <c r="J28">
        <v>1</v>
      </c>
      <c r="K28">
        <v>1</v>
      </c>
      <c r="L28">
        <v>1</v>
      </c>
      <c r="M28">
        <v>1</v>
      </c>
      <c r="N28">
        <v>1</v>
      </c>
      <c r="O28">
        <v>1</v>
      </c>
      <c r="P28">
        <v>1</v>
      </c>
      <c r="Q28">
        <v>1</v>
      </c>
    </row>
    <row r="29" spans="1:17" x14ac:dyDescent="0.45">
      <c r="A29" s="19">
        <v>46017.504166666666</v>
      </c>
      <c r="B29" t="s">
        <v>73</v>
      </c>
      <c r="C29" t="s">
        <v>76</v>
      </c>
      <c r="D29" t="s">
        <v>69</v>
      </c>
      <c r="E29" t="s">
        <v>72</v>
      </c>
      <c r="F29" t="s">
        <v>95</v>
      </c>
      <c r="G29" t="s">
        <v>99</v>
      </c>
      <c r="H29" t="s">
        <v>105</v>
      </c>
      <c r="I29">
        <v>1</v>
      </c>
      <c r="J29">
        <v>1</v>
      </c>
      <c r="K29">
        <v>1</v>
      </c>
      <c r="L29">
        <v>1</v>
      </c>
      <c r="M29">
        <v>1</v>
      </c>
      <c r="N29">
        <v>1</v>
      </c>
      <c r="O29">
        <v>1</v>
      </c>
      <c r="P29">
        <v>1</v>
      </c>
      <c r="Q29">
        <v>1</v>
      </c>
    </row>
    <row r="30" spans="1:17" x14ac:dyDescent="0.45">
      <c r="A30" s="19">
        <v>46017.504861111112</v>
      </c>
      <c r="B30" t="s">
        <v>67</v>
      </c>
      <c r="C30" t="s">
        <v>184</v>
      </c>
      <c r="D30" t="s">
        <v>69</v>
      </c>
      <c r="E30" t="s">
        <v>72</v>
      </c>
      <c r="F30" t="s">
        <v>95</v>
      </c>
      <c r="G30" t="s">
        <v>99</v>
      </c>
      <c r="H30" t="s">
        <v>105</v>
      </c>
      <c r="I30">
        <v>10</v>
      </c>
      <c r="J30">
        <v>10</v>
      </c>
      <c r="K30">
        <v>9</v>
      </c>
      <c r="L30">
        <v>10</v>
      </c>
      <c r="M30">
        <v>10</v>
      </c>
      <c r="N30">
        <v>9</v>
      </c>
      <c r="O30">
        <v>10</v>
      </c>
      <c r="P30">
        <v>10</v>
      </c>
      <c r="Q30">
        <v>10</v>
      </c>
    </row>
    <row r="31" spans="1:17" x14ac:dyDescent="0.45">
      <c r="A31" s="19">
        <v>46017.504861111112</v>
      </c>
      <c r="B31" t="s">
        <v>67</v>
      </c>
      <c r="C31" t="s">
        <v>184</v>
      </c>
      <c r="D31" t="s">
        <v>69</v>
      </c>
      <c r="E31" t="s">
        <v>72</v>
      </c>
      <c r="F31" t="s">
        <v>95</v>
      </c>
      <c r="G31" t="s">
        <v>99</v>
      </c>
      <c r="H31" t="s">
        <v>105</v>
      </c>
      <c r="I31">
        <v>10</v>
      </c>
      <c r="J31">
        <v>10</v>
      </c>
      <c r="K31">
        <v>9</v>
      </c>
      <c r="L31">
        <v>10</v>
      </c>
      <c r="M31">
        <v>10</v>
      </c>
      <c r="N31">
        <v>10</v>
      </c>
      <c r="O31">
        <v>10</v>
      </c>
      <c r="P31">
        <v>10</v>
      </c>
      <c r="Q31">
        <v>10</v>
      </c>
    </row>
    <row r="32" spans="1:17" x14ac:dyDescent="0.45">
      <c r="A32" s="19">
        <v>46017.504861111112</v>
      </c>
      <c r="B32" t="s">
        <v>67</v>
      </c>
      <c r="C32" t="s">
        <v>76</v>
      </c>
      <c r="D32" t="s">
        <v>69</v>
      </c>
      <c r="E32" t="s">
        <v>72</v>
      </c>
      <c r="F32" t="s">
        <v>95</v>
      </c>
      <c r="G32" t="s">
        <v>96</v>
      </c>
      <c r="H32" t="s">
        <v>105</v>
      </c>
      <c r="I32">
        <v>10</v>
      </c>
      <c r="J32">
        <v>7</v>
      </c>
      <c r="K32">
        <v>10</v>
      </c>
      <c r="L32">
        <v>7</v>
      </c>
      <c r="M32">
        <v>10</v>
      </c>
      <c r="N32">
        <v>10</v>
      </c>
      <c r="O32">
        <v>3</v>
      </c>
      <c r="P32">
        <v>5</v>
      </c>
      <c r="Q32">
        <v>8</v>
      </c>
    </row>
    <row r="33" spans="1:17" x14ac:dyDescent="0.45">
      <c r="A33" s="19">
        <v>46017.505555555559</v>
      </c>
      <c r="B33" t="s">
        <v>67</v>
      </c>
      <c r="C33" t="s">
        <v>184</v>
      </c>
      <c r="D33" t="s">
        <v>69</v>
      </c>
      <c r="E33" t="s">
        <v>72</v>
      </c>
      <c r="F33" t="s">
        <v>95</v>
      </c>
      <c r="G33" t="s">
        <v>96</v>
      </c>
      <c r="H33" t="s">
        <v>105</v>
      </c>
      <c r="I33">
        <v>5</v>
      </c>
      <c r="J33">
        <v>5</v>
      </c>
      <c r="K33">
        <v>5</v>
      </c>
      <c r="L33">
        <v>5</v>
      </c>
      <c r="M33">
        <v>5</v>
      </c>
      <c r="N33">
        <v>5</v>
      </c>
      <c r="O33">
        <v>5</v>
      </c>
      <c r="P33">
        <v>5</v>
      </c>
      <c r="Q33">
        <v>5</v>
      </c>
    </row>
    <row r="34" spans="1:17" x14ac:dyDescent="0.45">
      <c r="A34" s="19">
        <v>46017.505555555559</v>
      </c>
      <c r="B34" t="s">
        <v>67</v>
      </c>
      <c r="C34" t="s">
        <v>76</v>
      </c>
      <c r="D34" t="s">
        <v>69</v>
      </c>
      <c r="E34" t="s">
        <v>72</v>
      </c>
      <c r="F34" t="s">
        <v>95</v>
      </c>
      <c r="G34" t="s">
        <v>96</v>
      </c>
      <c r="H34" t="s">
        <v>105</v>
      </c>
      <c r="I34">
        <v>8</v>
      </c>
      <c r="J34">
        <v>9</v>
      </c>
      <c r="K34">
        <v>7</v>
      </c>
      <c r="L34">
        <v>8</v>
      </c>
      <c r="M34">
        <v>8</v>
      </c>
      <c r="N34">
        <v>8</v>
      </c>
      <c r="O34">
        <v>3</v>
      </c>
      <c r="P34">
        <v>6</v>
      </c>
      <c r="Q34">
        <v>7</v>
      </c>
    </row>
    <row r="35" spans="1:17" x14ac:dyDescent="0.45">
      <c r="A35" s="19">
        <v>46017.505555555559</v>
      </c>
      <c r="B35" t="s">
        <v>73</v>
      </c>
      <c r="C35" t="s">
        <v>76</v>
      </c>
      <c r="D35" t="s">
        <v>69</v>
      </c>
      <c r="E35" t="s">
        <v>72</v>
      </c>
      <c r="F35" t="s">
        <v>95</v>
      </c>
      <c r="G35" t="s">
        <v>99</v>
      </c>
      <c r="H35" t="s">
        <v>97</v>
      </c>
      <c r="I35">
        <v>10</v>
      </c>
      <c r="J35">
        <v>10</v>
      </c>
      <c r="K35">
        <v>10</v>
      </c>
      <c r="L35">
        <v>10</v>
      </c>
      <c r="M35">
        <v>10</v>
      </c>
      <c r="N35">
        <v>10</v>
      </c>
      <c r="O35">
        <v>10</v>
      </c>
      <c r="P35">
        <v>10</v>
      </c>
      <c r="Q35">
        <v>10</v>
      </c>
    </row>
    <row r="36" spans="1:17" x14ac:dyDescent="0.45">
      <c r="A36" s="19">
        <v>46017.509722222225</v>
      </c>
      <c r="B36" t="s">
        <v>67</v>
      </c>
      <c r="C36" t="s">
        <v>68</v>
      </c>
      <c r="D36" t="s">
        <v>69</v>
      </c>
      <c r="E36" t="s">
        <v>186</v>
      </c>
      <c r="F36" t="s">
        <v>95</v>
      </c>
      <c r="G36" t="s">
        <v>99</v>
      </c>
      <c r="H36" t="s">
        <v>101</v>
      </c>
      <c r="I36">
        <v>10</v>
      </c>
      <c r="J36">
        <v>10</v>
      </c>
      <c r="K36">
        <v>10</v>
      </c>
      <c r="L36">
        <v>10</v>
      </c>
      <c r="M36">
        <v>10</v>
      </c>
      <c r="N36">
        <v>10</v>
      </c>
      <c r="O36">
        <v>10</v>
      </c>
      <c r="P36">
        <v>10</v>
      </c>
      <c r="Q36">
        <v>10</v>
      </c>
    </row>
    <row r="37" spans="1:17" x14ac:dyDescent="0.45">
      <c r="A37" s="19">
        <v>46017.510416666664</v>
      </c>
      <c r="B37" t="s">
        <v>67</v>
      </c>
      <c r="C37" t="s">
        <v>184</v>
      </c>
      <c r="D37" t="s">
        <v>69</v>
      </c>
      <c r="E37" t="s">
        <v>72</v>
      </c>
      <c r="F37" t="s">
        <v>95</v>
      </c>
      <c r="G37" t="s">
        <v>99</v>
      </c>
      <c r="H37" t="s">
        <v>105</v>
      </c>
      <c r="I37">
        <v>10</v>
      </c>
      <c r="J37">
        <v>9</v>
      </c>
      <c r="K37">
        <v>10</v>
      </c>
      <c r="L37">
        <v>8</v>
      </c>
      <c r="M37">
        <v>10</v>
      </c>
      <c r="N37">
        <v>9</v>
      </c>
      <c r="O37">
        <v>10</v>
      </c>
      <c r="P37">
        <v>10</v>
      </c>
      <c r="Q37">
        <v>10</v>
      </c>
    </row>
    <row r="38" spans="1:17" x14ac:dyDescent="0.45">
      <c r="A38" s="19">
        <v>46017.511111111111</v>
      </c>
      <c r="B38" t="s">
        <v>73</v>
      </c>
      <c r="C38" t="s">
        <v>184</v>
      </c>
      <c r="D38" t="s">
        <v>69</v>
      </c>
      <c r="E38" t="s">
        <v>72</v>
      </c>
      <c r="F38" t="s">
        <v>95</v>
      </c>
      <c r="G38" t="s">
        <v>99</v>
      </c>
      <c r="H38" t="s">
        <v>105</v>
      </c>
      <c r="I38">
        <v>10</v>
      </c>
      <c r="J38">
        <v>10</v>
      </c>
      <c r="K38">
        <v>10</v>
      </c>
      <c r="L38">
        <v>10</v>
      </c>
      <c r="M38">
        <v>9</v>
      </c>
      <c r="N38">
        <v>9</v>
      </c>
      <c r="O38">
        <v>9</v>
      </c>
      <c r="P38">
        <v>9</v>
      </c>
      <c r="Q38">
        <v>8</v>
      </c>
    </row>
    <row r="39" spans="1:17" x14ac:dyDescent="0.45">
      <c r="A39" s="19">
        <v>46017.511111111111</v>
      </c>
      <c r="B39" t="s">
        <v>67</v>
      </c>
      <c r="C39" t="s">
        <v>68</v>
      </c>
      <c r="D39" t="s">
        <v>69</v>
      </c>
      <c r="E39" t="s">
        <v>72</v>
      </c>
      <c r="F39" t="s">
        <v>95</v>
      </c>
      <c r="G39" t="s">
        <v>104</v>
      </c>
      <c r="H39" t="s">
        <v>97</v>
      </c>
      <c r="I39">
        <v>8</v>
      </c>
      <c r="J39">
        <v>8</v>
      </c>
      <c r="K39">
        <v>8</v>
      </c>
      <c r="L39">
        <v>8</v>
      </c>
      <c r="M39">
        <v>8</v>
      </c>
      <c r="N39">
        <v>8</v>
      </c>
      <c r="O39">
        <v>8</v>
      </c>
      <c r="P39">
        <v>8</v>
      </c>
      <c r="Q39">
        <v>8</v>
      </c>
    </row>
    <row r="40" spans="1:17" x14ac:dyDescent="0.45">
      <c r="A40" s="19">
        <v>46017.511111111111</v>
      </c>
      <c r="B40" t="s">
        <v>73</v>
      </c>
      <c r="C40" t="s">
        <v>76</v>
      </c>
      <c r="D40" t="s">
        <v>69</v>
      </c>
      <c r="E40" t="s">
        <v>72</v>
      </c>
      <c r="F40" t="s">
        <v>95</v>
      </c>
      <c r="G40" t="s">
        <v>99</v>
      </c>
      <c r="H40" t="s">
        <v>105</v>
      </c>
      <c r="I40">
        <v>10</v>
      </c>
      <c r="J40">
        <v>10</v>
      </c>
      <c r="K40">
        <v>10</v>
      </c>
      <c r="L40">
        <v>10</v>
      </c>
      <c r="M40">
        <v>10</v>
      </c>
      <c r="N40">
        <v>10</v>
      </c>
      <c r="O40">
        <v>10</v>
      </c>
      <c r="P40">
        <v>10</v>
      </c>
      <c r="Q40">
        <v>10</v>
      </c>
    </row>
    <row r="41" spans="1:17" x14ac:dyDescent="0.45">
      <c r="A41" s="19">
        <v>46017.511111111111</v>
      </c>
      <c r="B41" t="s">
        <v>73</v>
      </c>
      <c r="C41" t="s">
        <v>68</v>
      </c>
      <c r="D41" t="s">
        <v>69</v>
      </c>
      <c r="E41" t="s">
        <v>72</v>
      </c>
      <c r="F41" t="s">
        <v>95</v>
      </c>
      <c r="G41" t="s">
        <v>103</v>
      </c>
      <c r="H41" t="s">
        <v>97</v>
      </c>
      <c r="I41">
        <v>8</v>
      </c>
      <c r="J41">
        <v>8</v>
      </c>
      <c r="K41">
        <v>6</v>
      </c>
      <c r="L41">
        <v>8</v>
      </c>
      <c r="M41">
        <v>7</v>
      </c>
      <c r="N41">
        <v>8</v>
      </c>
      <c r="O41">
        <v>5</v>
      </c>
      <c r="P41">
        <v>6</v>
      </c>
      <c r="Q41">
        <v>7</v>
      </c>
    </row>
    <row r="42" spans="1:17" x14ac:dyDescent="0.45">
      <c r="A42" s="19">
        <v>46017.511805555558</v>
      </c>
      <c r="B42" t="s">
        <v>73</v>
      </c>
      <c r="C42" t="s">
        <v>68</v>
      </c>
      <c r="D42" t="s">
        <v>69</v>
      </c>
      <c r="E42" t="s">
        <v>72</v>
      </c>
      <c r="F42" t="s">
        <v>95</v>
      </c>
      <c r="G42" t="s">
        <v>102</v>
      </c>
      <c r="H42" t="s">
        <v>100</v>
      </c>
      <c r="I42">
        <v>9</v>
      </c>
      <c r="J42">
        <v>8</v>
      </c>
      <c r="K42">
        <v>7</v>
      </c>
      <c r="L42">
        <v>8</v>
      </c>
      <c r="M42">
        <v>7</v>
      </c>
      <c r="N42">
        <v>4</v>
      </c>
      <c r="O42">
        <v>2</v>
      </c>
      <c r="P42">
        <v>8</v>
      </c>
      <c r="Q42">
        <v>8</v>
      </c>
    </row>
    <row r="43" spans="1:17" x14ac:dyDescent="0.45">
      <c r="A43" s="19">
        <v>46017.513194444444</v>
      </c>
      <c r="B43" t="s">
        <v>67</v>
      </c>
      <c r="C43" t="s">
        <v>68</v>
      </c>
      <c r="D43" t="s">
        <v>69</v>
      </c>
      <c r="E43" t="s">
        <v>72</v>
      </c>
      <c r="F43" t="s">
        <v>95</v>
      </c>
      <c r="G43" t="s">
        <v>104</v>
      </c>
      <c r="H43" t="s">
        <v>101</v>
      </c>
      <c r="I43">
        <v>10</v>
      </c>
      <c r="J43">
        <v>10</v>
      </c>
      <c r="K43">
        <v>9</v>
      </c>
      <c r="L43">
        <v>8</v>
      </c>
      <c r="M43">
        <v>7</v>
      </c>
      <c r="N43">
        <v>9</v>
      </c>
      <c r="O43">
        <v>9</v>
      </c>
      <c r="P43">
        <v>8</v>
      </c>
      <c r="Q43">
        <v>8</v>
      </c>
    </row>
    <row r="44" spans="1:17" x14ac:dyDescent="0.45">
      <c r="A44" s="19">
        <v>46017.515277777777</v>
      </c>
      <c r="B44" t="s">
        <v>67</v>
      </c>
      <c r="C44" t="s">
        <v>68</v>
      </c>
      <c r="D44" t="s">
        <v>69</v>
      </c>
      <c r="E44" t="s">
        <v>72</v>
      </c>
      <c r="F44" t="s">
        <v>95</v>
      </c>
      <c r="G44" t="s">
        <v>103</v>
      </c>
      <c r="H44" t="s">
        <v>100</v>
      </c>
      <c r="I44">
        <v>6</v>
      </c>
      <c r="J44">
        <v>6</v>
      </c>
      <c r="K44">
        <v>8</v>
      </c>
      <c r="L44">
        <v>10</v>
      </c>
      <c r="M44">
        <v>9</v>
      </c>
      <c r="N44">
        <v>1</v>
      </c>
      <c r="O44">
        <v>7</v>
      </c>
      <c r="P44">
        <v>7</v>
      </c>
      <c r="Q44">
        <v>8</v>
      </c>
    </row>
    <row r="45" spans="1:17" x14ac:dyDescent="0.45">
      <c r="A45" s="19">
        <v>46017.515972222223</v>
      </c>
      <c r="B45" t="s">
        <v>73</v>
      </c>
      <c r="C45" t="s">
        <v>68</v>
      </c>
      <c r="D45" t="s">
        <v>69</v>
      </c>
      <c r="E45" t="s">
        <v>72</v>
      </c>
      <c r="F45" t="s">
        <v>95</v>
      </c>
      <c r="G45" t="s">
        <v>96</v>
      </c>
      <c r="H45" t="s">
        <v>97</v>
      </c>
      <c r="I45">
        <v>8</v>
      </c>
      <c r="J45">
        <v>8</v>
      </c>
      <c r="K45">
        <v>8</v>
      </c>
      <c r="L45">
        <v>8</v>
      </c>
      <c r="M45">
        <v>8</v>
      </c>
      <c r="N45">
        <v>8</v>
      </c>
      <c r="O45">
        <v>9</v>
      </c>
      <c r="P45">
        <v>5</v>
      </c>
      <c r="Q45">
        <v>9</v>
      </c>
    </row>
    <row r="46" spans="1:17" x14ac:dyDescent="0.45">
      <c r="A46" s="19">
        <v>46017.518750000003</v>
      </c>
      <c r="B46" t="s">
        <v>67</v>
      </c>
      <c r="C46" t="s">
        <v>74</v>
      </c>
      <c r="D46" t="s">
        <v>69</v>
      </c>
      <c r="E46" t="s">
        <v>72</v>
      </c>
      <c r="F46" t="s">
        <v>95</v>
      </c>
      <c r="G46" t="s">
        <v>96</v>
      </c>
      <c r="H46" t="s">
        <v>100</v>
      </c>
      <c r="I46">
        <v>10</v>
      </c>
      <c r="J46">
        <v>10</v>
      </c>
      <c r="K46">
        <v>10</v>
      </c>
      <c r="L46">
        <v>9</v>
      </c>
      <c r="M46">
        <v>10</v>
      </c>
      <c r="N46">
        <v>10</v>
      </c>
      <c r="O46">
        <v>10</v>
      </c>
      <c r="P46">
        <v>10</v>
      </c>
      <c r="Q46">
        <v>10</v>
      </c>
    </row>
    <row r="47" spans="1:17" x14ac:dyDescent="0.45">
      <c r="A47" s="19">
        <v>46017.519444444442</v>
      </c>
      <c r="B47" t="s">
        <v>67</v>
      </c>
      <c r="C47" t="s">
        <v>187</v>
      </c>
      <c r="D47" t="s">
        <v>75</v>
      </c>
      <c r="E47" t="s">
        <v>72</v>
      </c>
      <c r="F47" t="s">
        <v>95</v>
      </c>
      <c r="G47" t="s">
        <v>190</v>
      </c>
      <c r="H47" t="s">
        <v>100</v>
      </c>
      <c r="I47">
        <v>1</v>
      </c>
      <c r="J47">
        <v>1</v>
      </c>
      <c r="K47">
        <v>2</v>
      </c>
      <c r="L47">
        <v>1</v>
      </c>
      <c r="M47">
        <v>1</v>
      </c>
      <c r="N47">
        <v>1</v>
      </c>
      <c r="O47">
        <v>1</v>
      </c>
      <c r="P47">
        <v>1</v>
      </c>
      <c r="Q47">
        <v>1</v>
      </c>
    </row>
    <row r="48" spans="1:17" x14ac:dyDescent="0.45">
      <c r="A48" s="19">
        <v>46017.519444444442</v>
      </c>
      <c r="B48" t="s">
        <v>73</v>
      </c>
      <c r="C48" t="s">
        <v>68</v>
      </c>
      <c r="D48" t="s">
        <v>69</v>
      </c>
      <c r="E48" t="s">
        <v>72</v>
      </c>
      <c r="F48" t="s">
        <v>95</v>
      </c>
      <c r="G48" t="s">
        <v>190</v>
      </c>
      <c r="H48" t="s">
        <v>105</v>
      </c>
      <c r="I48">
        <v>8</v>
      </c>
      <c r="J48">
        <v>8</v>
      </c>
      <c r="K48">
        <v>8</v>
      </c>
      <c r="L48">
        <v>7</v>
      </c>
      <c r="M48">
        <v>6</v>
      </c>
      <c r="N48">
        <v>8</v>
      </c>
      <c r="O48">
        <v>8</v>
      </c>
      <c r="P48">
        <v>9</v>
      </c>
      <c r="Q48">
        <v>8</v>
      </c>
    </row>
    <row r="49" spans="1:17" x14ac:dyDescent="0.45">
      <c r="A49" s="19">
        <v>46017.520138888889</v>
      </c>
      <c r="B49" t="s">
        <v>67</v>
      </c>
      <c r="C49" t="s">
        <v>68</v>
      </c>
      <c r="D49" t="s">
        <v>69</v>
      </c>
      <c r="E49" t="s">
        <v>72</v>
      </c>
      <c r="F49" t="s">
        <v>95</v>
      </c>
      <c r="G49" t="s">
        <v>104</v>
      </c>
      <c r="H49" t="s">
        <v>101</v>
      </c>
      <c r="I49">
        <v>10</v>
      </c>
      <c r="J49">
        <v>10</v>
      </c>
      <c r="K49">
        <v>10</v>
      </c>
      <c r="L49">
        <v>10</v>
      </c>
      <c r="M49">
        <v>10</v>
      </c>
      <c r="N49">
        <v>10</v>
      </c>
      <c r="O49">
        <v>10</v>
      </c>
      <c r="P49">
        <v>10</v>
      </c>
      <c r="Q49">
        <v>10</v>
      </c>
    </row>
    <row r="50" spans="1:17" x14ac:dyDescent="0.45">
      <c r="A50" s="19">
        <v>46017.520138888889</v>
      </c>
      <c r="B50" t="s">
        <v>73</v>
      </c>
      <c r="C50" t="s">
        <v>68</v>
      </c>
      <c r="D50" t="s">
        <v>69</v>
      </c>
      <c r="E50" t="s">
        <v>72</v>
      </c>
      <c r="F50" t="s">
        <v>95</v>
      </c>
      <c r="G50" t="s">
        <v>103</v>
      </c>
      <c r="H50" t="s">
        <v>100</v>
      </c>
      <c r="I50">
        <v>8</v>
      </c>
      <c r="J50">
        <v>8</v>
      </c>
      <c r="K50">
        <v>7</v>
      </c>
      <c r="L50">
        <v>8</v>
      </c>
      <c r="M50">
        <v>6</v>
      </c>
      <c r="N50">
        <v>8</v>
      </c>
      <c r="O50">
        <v>6</v>
      </c>
      <c r="P50">
        <v>5</v>
      </c>
      <c r="Q50">
        <v>8</v>
      </c>
    </row>
    <row r="51" spans="1:17" x14ac:dyDescent="0.45">
      <c r="A51" s="19">
        <v>46017.521527777775</v>
      </c>
      <c r="B51" t="s">
        <v>67</v>
      </c>
      <c r="C51" t="s">
        <v>68</v>
      </c>
      <c r="D51" t="s">
        <v>69</v>
      </c>
      <c r="E51" t="s">
        <v>72</v>
      </c>
      <c r="F51" t="s">
        <v>95</v>
      </c>
      <c r="G51" t="s">
        <v>192</v>
      </c>
      <c r="H51" t="s">
        <v>101</v>
      </c>
      <c r="I51">
        <v>10</v>
      </c>
      <c r="J51">
        <v>10</v>
      </c>
      <c r="K51">
        <v>10</v>
      </c>
      <c r="L51">
        <v>8</v>
      </c>
      <c r="M51">
        <v>8</v>
      </c>
      <c r="N51">
        <v>8</v>
      </c>
      <c r="O51">
        <v>8</v>
      </c>
      <c r="P51">
        <v>8</v>
      </c>
      <c r="Q51">
        <v>8</v>
      </c>
    </row>
    <row r="52" spans="1:17" x14ac:dyDescent="0.45">
      <c r="A52" s="19">
        <v>46017.526388888888</v>
      </c>
      <c r="B52" t="s">
        <v>73</v>
      </c>
      <c r="C52" t="s">
        <v>76</v>
      </c>
      <c r="D52" t="s">
        <v>69</v>
      </c>
      <c r="E52" t="s">
        <v>72</v>
      </c>
      <c r="F52" t="s">
        <v>95</v>
      </c>
      <c r="G52" t="s">
        <v>99</v>
      </c>
      <c r="H52" t="s">
        <v>105</v>
      </c>
      <c r="I52">
        <v>10</v>
      </c>
      <c r="J52">
        <v>10</v>
      </c>
      <c r="K52">
        <v>10</v>
      </c>
      <c r="L52">
        <v>10</v>
      </c>
      <c r="M52">
        <v>10</v>
      </c>
      <c r="N52">
        <v>10</v>
      </c>
      <c r="O52">
        <v>10</v>
      </c>
      <c r="P52">
        <v>10</v>
      </c>
      <c r="Q52">
        <v>10</v>
      </c>
    </row>
    <row r="53" spans="1:17" x14ac:dyDescent="0.45">
      <c r="A53" s="19">
        <v>46017.52847222222</v>
      </c>
      <c r="B53" t="s">
        <v>67</v>
      </c>
      <c r="C53" t="s">
        <v>76</v>
      </c>
      <c r="D53" t="s">
        <v>69</v>
      </c>
      <c r="E53" t="s">
        <v>72</v>
      </c>
      <c r="F53" t="s">
        <v>95</v>
      </c>
      <c r="G53" t="s">
        <v>192</v>
      </c>
      <c r="H53" t="s">
        <v>97</v>
      </c>
      <c r="I53">
        <v>10</v>
      </c>
      <c r="J53">
        <v>10</v>
      </c>
      <c r="K53">
        <v>10</v>
      </c>
      <c r="L53">
        <v>10</v>
      </c>
      <c r="M53">
        <v>10</v>
      </c>
      <c r="N53">
        <v>10</v>
      </c>
      <c r="O53">
        <v>10</v>
      </c>
      <c r="P53">
        <v>10</v>
      </c>
      <c r="Q53">
        <v>8</v>
      </c>
    </row>
    <row r="54" spans="1:17" x14ac:dyDescent="0.45">
      <c r="A54" s="19">
        <v>46017.53125</v>
      </c>
      <c r="B54" t="s">
        <v>73</v>
      </c>
      <c r="C54" t="s">
        <v>76</v>
      </c>
      <c r="D54" t="s">
        <v>69</v>
      </c>
      <c r="E54" t="s">
        <v>70</v>
      </c>
      <c r="F54" t="s">
        <v>95</v>
      </c>
      <c r="G54" t="s">
        <v>99</v>
      </c>
      <c r="H54" t="s">
        <v>100</v>
      </c>
      <c r="I54">
        <v>10</v>
      </c>
      <c r="J54">
        <v>10</v>
      </c>
      <c r="K54">
        <v>10</v>
      </c>
      <c r="L54">
        <v>10</v>
      </c>
      <c r="M54">
        <v>10</v>
      </c>
      <c r="N54">
        <v>10</v>
      </c>
      <c r="O54">
        <v>10</v>
      </c>
      <c r="P54">
        <v>10</v>
      </c>
      <c r="Q54">
        <v>10</v>
      </c>
    </row>
    <row r="55" spans="1:17" x14ac:dyDescent="0.45">
      <c r="A55" s="19">
        <v>46017.53125</v>
      </c>
      <c r="B55" t="s">
        <v>67</v>
      </c>
      <c r="C55" t="s">
        <v>74</v>
      </c>
      <c r="D55" t="s">
        <v>69</v>
      </c>
      <c r="E55" t="s">
        <v>72</v>
      </c>
      <c r="F55" t="s">
        <v>95</v>
      </c>
      <c r="G55" t="s">
        <v>104</v>
      </c>
      <c r="H55" t="s">
        <v>100</v>
      </c>
      <c r="I55">
        <v>8</v>
      </c>
      <c r="J55">
        <v>7</v>
      </c>
      <c r="K55">
        <v>7</v>
      </c>
      <c r="L55">
        <v>8</v>
      </c>
      <c r="M55">
        <v>7</v>
      </c>
      <c r="N55">
        <v>8</v>
      </c>
      <c r="O55">
        <v>7</v>
      </c>
      <c r="P55">
        <v>7</v>
      </c>
      <c r="Q55">
        <v>8</v>
      </c>
    </row>
    <row r="56" spans="1:17" x14ac:dyDescent="0.45">
      <c r="A56" s="19">
        <v>46017.533333333333</v>
      </c>
      <c r="B56" t="s">
        <v>67</v>
      </c>
      <c r="C56" t="s">
        <v>68</v>
      </c>
      <c r="D56" t="s">
        <v>69</v>
      </c>
      <c r="E56" t="s">
        <v>72</v>
      </c>
      <c r="F56" t="s">
        <v>95</v>
      </c>
      <c r="G56" t="s">
        <v>104</v>
      </c>
      <c r="H56" t="s">
        <v>97</v>
      </c>
      <c r="I56">
        <v>10</v>
      </c>
      <c r="J56">
        <v>9</v>
      </c>
      <c r="K56">
        <v>3</v>
      </c>
      <c r="L56">
        <v>4</v>
      </c>
      <c r="M56">
        <v>3</v>
      </c>
      <c r="N56">
        <v>3</v>
      </c>
      <c r="O56">
        <v>1</v>
      </c>
      <c r="P56">
        <v>1</v>
      </c>
      <c r="Q56">
        <v>3</v>
      </c>
    </row>
    <row r="57" spans="1:17" x14ac:dyDescent="0.45">
      <c r="A57" s="19">
        <v>46017.537499999999</v>
      </c>
      <c r="B57" t="s">
        <v>73</v>
      </c>
      <c r="C57" t="s">
        <v>76</v>
      </c>
      <c r="D57" t="s">
        <v>69</v>
      </c>
      <c r="E57" t="s">
        <v>72</v>
      </c>
      <c r="F57" t="s">
        <v>95</v>
      </c>
      <c r="G57" t="s">
        <v>190</v>
      </c>
      <c r="H57" t="s">
        <v>105</v>
      </c>
      <c r="I57">
        <v>10</v>
      </c>
      <c r="J57">
        <v>10</v>
      </c>
      <c r="K57">
        <v>9</v>
      </c>
      <c r="L57">
        <v>10</v>
      </c>
      <c r="M57">
        <v>9</v>
      </c>
      <c r="N57">
        <v>10</v>
      </c>
      <c r="O57">
        <v>9</v>
      </c>
      <c r="P57">
        <v>10</v>
      </c>
      <c r="Q57">
        <v>9</v>
      </c>
    </row>
    <row r="58" spans="1:17" x14ac:dyDescent="0.45">
      <c r="A58" s="19">
        <v>46017.55972222222</v>
      </c>
      <c r="B58" t="s">
        <v>67</v>
      </c>
      <c r="C58" t="s">
        <v>68</v>
      </c>
      <c r="D58" t="s">
        <v>69</v>
      </c>
      <c r="E58" t="s">
        <v>72</v>
      </c>
      <c r="F58" t="s">
        <v>95</v>
      </c>
      <c r="G58" t="s">
        <v>99</v>
      </c>
      <c r="H58" t="s">
        <v>100</v>
      </c>
      <c r="I58">
        <v>10</v>
      </c>
      <c r="J58">
        <v>10</v>
      </c>
      <c r="K58">
        <v>1</v>
      </c>
      <c r="L58">
        <v>5</v>
      </c>
      <c r="M58">
        <v>7</v>
      </c>
      <c r="N58">
        <v>10</v>
      </c>
      <c r="O58">
        <v>9</v>
      </c>
      <c r="P58">
        <v>9</v>
      </c>
      <c r="Q58">
        <v>10</v>
      </c>
    </row>
    <row r="59" spans="1:17" x14ac:dyDescent="0.45">
      <c r="A59" s="19">
        <v>46017.580555555556</v>
      </c>
      <c r="B59" t="s">
        <v>67</v>
      </c>
      <c r="C59" t="s">
        <v>74</v>
      </c>
      <c r="D59" t="s">
        <v>69</v>
      </c>
      <c r="E59" t="s">
        <v>70</v>
      </c>
      <c r="F59" t="s">
        <v>95</v>
      </c>
      <c r="G59" t="s">
        <v>96</v>
      </c>
      <c r="H59" t="s">
        <v>97</v>
      </c>
      <c r="I59">
        <v>5</v>
      </c>
      <c r="J59">
        <v>5</v>
      </c>
      <c r="K59">
        <v>4</v>
      </c>
      <c r="L59">
        <v>8</v>
      </c>
      <c r="M59">
        <v>5</v>
      </c>
      <c r="N59">
        <v>7</v>
      </c>
      <c r="O59">
        <v>7</v>
      </c>
      <c r="P59">
        <v>7</v>
      </c>
      <c r="Q59">
        <v>7</v>
      </c>
    </row>
    <row r="60" spans="1:17" x14ac:dyDescent="0.45">
      <c r="A60" s="19">
        <v>46017.626388888886</v>
      </c>
      <c r="B60" t="s">
        <v>67</v>
      </c>
      <c r="C60" t="s">
        <v>184</v>
      </c>
      <c r="D60" t="s">
        <v>69</v>
      </c>
      <c r="E60" t="s">
        <v>72</v>
      </c>
      <c r="F60" t="s">
        <v>98</v>
      </c>
      <c r="G60" t="s">
        <v>190</v>
      </c>
      <c r="H60" t="s">
        <v>105</v>
      </c>
      <c r="I60">
        <v>9</v>
      </c>
      <c r="J60">
        <v>9</v>
      </c>
      <c r="K60">
        <v>9</v>
      </c>
      <c r="L60">
        <v>7</v>
      </c>
      <c r="M60">
        <v>7</v>
      </c>
      <c r="N60">
        <v>8</v>
      </c>
      <c r="O60">
        <v>8</v>
      </c>
      <c r="P60">
        <v>6</v>
      </c>
      <c r="Q60">
        <v>5</v>
      </c>
    </row>
    <row r="61" spans="1:17" x14ac:dyDescent="0.45">
      <c r="A61" s="19">
        <v>46017.688194444447</v>
      </c>
      <c r="B61" t="s">
        <v>73</v>
      </c>
      <c r="C61" t="s">
        <v>76</v>
      </c>
      <c r="D61" t="s">
        <v>69</v>
      </c>
      <c r="E61" t="s">
        <v>72</v>
      </c>
      <c r="F61" t="s">
        <v>95</v>
      </c>
      <c r="G61" t="s">
        <v>99</v>
      </c>
      <c r="H61" t="s">
        <v>105</v>
      </c>
      <c r="I61">
        <v>5</v>
      </c>
      <c r="J61">
        <v>5</v>
      </c>
      <c r="K61">
        <v>5</v>
      </c>
      <c r="L61">
        <v>5</v>
      </c>
      <c r="M61">
        <v>5</v>
      </c>
      <c r="N61">
        <v>8</v>
      </c>
      <c r="O61">
        <v>4</v>
      </c>
      <c r="P61">
        <v>5</v>
      </c>
      <c r="Q61">
        <v>5</v>
      </c>
    </row>
    <row r="62" spans="1:17" x14ac:dyDescent="0.45">
      <c r="A62" s="19">
        <v>46017.698611111111</v>
      </c>
      <c r="B62" t="s">
        <v>67</v>
      </c>
      <c r="C62" t="s">
        <v>68</v>
      </c>
      <c r="D62" t="s">
        <v>69</v>
      </c>
      <c r="E62" t="s">
        <v>70</v>
      </c>
      <c r="F62" t="s">
        <v>95</v>
      </c>
      <c r="G62" t="s">
        <v>192</v>
      </c>
      <c r="H62" t="s">
        <v>97</v>
      </c>
      <c r="I62">
        <v>8</v>
      </c>
      <c r="J62">
        <v>9</v>
      </c>
      <c r="K62">
        <v>9</v>
      </c>
      <c r="L62">
        <v>9</v>
      </c>
      <c r="M62">
        <v>9</v>
      </c>
      <c r="N62">
        <v>8</v>
      </c>
      <c r="O62">
        <v>8</v>
      </c>
      <c r="P62">
        <v>8</v>
      </c>
      <c r="Q62">
        <v>9</v>
      </c>
    </row>
    <row r="63" spans="1:17" x14ac:dyDescent="0.45">
      <c r="A63" s="19">
        <v>46017.711111111108</v>
      </c>
      <c r="B63" t="s">
        <v>67</v>
      </c>
      <c r="C63" t="s">
        <v>76</v>
      </c>
      <c r="D63" t="s">
        <v>69</v>
      </c>
      <c r="E63" t="s">
        <v>70</v>
      </c>
      <c r="F63" t="s">
        <v>95</v>
      </c>
      <c r="G63" t="s">
        <v>96</v>
      </c>
      <c r="H63" t="s">
        <v>105</v>
      </c>
      <c r="I63">
        <v>9</v>
      </c>
      <c r="J63">
        <v>9</v>
      </c>
      <c r="K63">
        <v>7</v>
      </c>
      <c r="L63">
        <v>6</v>
      </c>
      <c r="M63">
        <v>7</v>
      </c>
      <c r="N63">
        <v>5</v>
      </c>
      <c r="O63">
        <v>6</v>
      </c>
      <c r="P63">
        <v>8</v>
      </c>
      <c r="Q63">
        <v>5</v>
      </c>
    </row>
    <row r="64" spans="1:17" x14ac:dyDescent="0.45">
      <c r="A64" s="19">
        <v>46017.80972222222</v>
      </c>
      <c r="B64" t="s">
        <v>67</v>
      </c>
      <c r="C64" t="s">
        <v>187</v>
      </c>
      <c r="D64" t="s">
        <v>75</v>
      </c>
      <c r="E64" t="s">
        <v>72</v>
      </c>
      <c r="F64" t="s">
        <v>95</v>
      </c>
      <c r="G64" t="s">
        <v>192</v>
      </c>
      <c r="H64" t="s">
        <v>97</v>
      </c>
      <c r="I64">
        <v>9</v>
      </c>
      <c r="J64">
        <v>9</v>
      </c>
      <c r="K64">
        <v>9</v>
      </c>
      <c r="L64">
        <v>9</v>
      </c>
      <c r="M64">
        <v>8</v>
      </c>
      <c r="N64">
        <v>9</v>
      </c>
      <c r="O64">
        <v>9</v>
      </c>
      <c r="P64">
        <v>8</v>
      </c>
      <c r="Q64">
        <v>7</v>
      </c>
    </row>
    <row r="65" spans="1:17" x14ac:dyDescent="0.45">
      <c r="A65" s="19">
        <v>46018.36041666667</v>
      </c>
      <c r="B65" t="s">
        <v>67</v>
      </c>
      <c r="C65" t="s">
        <v>68</v>
      </c>
      <c r="D65" t="s">
        <v>69</v>
      </c>
      <c r="E65" t="s">
        <v>72</v>
      </c>
      <c r="F65" t="s">
        <v>98</v>
      </c>
      <c r="G65" t="s">
        <v>103</v>
      </c>
      <c r="H65" t="s">
        <v>100</v>
      </c>
      <c r="I65">
        <v>9</v>
      </c>
      <c r="J65">
        <v>10</v>
      </c>
      <c r="K65">
        <v>9</v>
      </c>
      <c r="L65">
        <v>10</v>
      </c>
      <c r="M65">
        <v>10</v>
      </c>
      <c r="N65">
        <v>5</v>
      </c>
      <c r="O65">
        <v>10</v>
      </c>
      <c r="P65">
        <v>7</v>
      </c>
      <c r="Q65">
        <v>9</v>
      </c>
    </row>
    <row r="66" spans="1:17" x14ac:dyDescent="0.45">
      <c r="A66" s="19">
        <v>46019.6</v>
      </c>
      <c r="B66" t="s">
        <v>67</v>
      </c>
      <c r="C66" t="s">
        <v>74</v>
      </c>
      <c r="D66" t="s">
        <v>75</v>
      </c>
      <c r="E66" t="s">
        <v>72</v>
      </c>
      <c r="F66" t="s">
        <v>95</v>
      </c>
      <c r="G66" t="s">
        <v>190</v>
      </c>
      <c r="H66" t="s">
        <v>100</v>
      </c>
      <c r="I66">
        <v>10</v>
      </c>
      <c r="J66">
        <v>10</v>
      </c>
      <c r="K66">
        <v>10</v>
      </c>
      <c r="L66">
        <v>10</v>
      </c>
      <c r="M66">
        <v>10</v>
      </c>
      <c r="N66">
        <v>10</v>
      </c>
      <c r="O66">
        <v>10</v>
      </c>
      <c r="P66">
        <v>10</v>
      </c>
      <c r="Q66">
        <v>10</v>
      </c>
    </row>
    <row r="67" spans="1:17" x14ac:dyDescent="0.45">
      <c r="A67" s="19">
        <v>46019.604166666664</v>
      </c>
      <c r="B67" t="s">
        <v>67</v>
      </c>
      <c r="C67" t="s">
        <v>76</v>
      </c>
      <c r="D67" t="s">
        <v>69</v>
      </c>
      <c r="E67" t="s">
        <v>186</v>
      </c>
      <c r="F67" t="s">
        <v>95</v>
      </c>
      <c r="G67" t="s">
        <v>99</v>
      </c>
      <c r="H67" t="s">
        <v>105</v>
      </c>
      <c r="I67">
        <v>7</v>
      </c>
      <c r="J67">
        <v>5</v>
      </c>
      <c r="K67">
        <v>3</v>
      </c>
      <c r="L67">
        <v>5</v>
      </c>
      <c r="M67">
        <v>4</v>
      </c>
      <c r="N67">
        <v>3</v>
      </c>
      <c r="O67">
        <v>5</v>
      </c>
      <c r="P67">
        <v>6</v>
      </c>
      <c r="Q67">
        <v>6</v>
      </c>
    </row>
    <row r="68" spans="1:17" x14ac:dyDescent="0.45">
      <c r="A68" s="19">
        <v>46019.626388888886</v>
      </c>
      <c r="B68" t="s">
        <v>73</v>
      </c>
      <c r="C68" t="s">
        <v>74</v>
      </c>
      <c r="D68" t="s">
        <v>69</v>
      </c>
      <c r="E68" t="s">
        <v>70</v>
      </c>
      <c r="F68" t="s">
        <v>95</v>
      </c>
      <c r="G68" t="s">
        <v>102</v>
      </c>
      <c r="H68" t="s">
        <v>100</v>
      </c>
      <c r="I68">
        <v>5</v>
      </c>
      <c r="J68">
        <v>5</v>
      </c>
      <c r="K68">
        <v>4</v>
      </c>
      <c r="L68">
        <v>4</v>
      </c>
      <c r="M68">
        <v>2</v>
      </c>
      <c r="N68">
        <v>3</v>
      </c>
      <c r="O68">
        <v>2</v>
      </c>
      <c r="P68">
        <v>3</v>
      </c>
      <c r="Q68">
        <v>3</v>
      </c>
    </row>
    <row r="69" spans="1:17" x14ac:dyDescent="0.45">
      <c r="A69" s="19">
        <v>46019.645833333336</v>
      </c>
      <c r="B69" t="s">
        <v>67</v>
      </c>
      <c r="C69" t="s">
        <v>74</v>
      </c>
      <c r="D69" t="s">
        <v>69</v>
      </c>
      <c r="E69" t="s">
        <v>72</v>
      </c>
      <c r="F69" t="s">
        <v>95</v>
      </c>
      <c r="G69" t="s">
        <v>106</v>
      </c>
      <c r="H69" t="s">
        <v>100</v>
      </c>
      <c r="I69">
        <v>4</v>
      </c>
      <c r="J69">
        <v>3</v>
      </c>
      <c r="K69">
        <v>1</v>
      </c>
      <c r="L69">
        <v>5</v>
      </c>
      <c r="M69">
        <v>4</v>
      </c>
      <c r="N69">
        <v>3</v>
      </c>
      <c r="O69">
        <v>1</v>
      </c>
      <c r="P69">
        <v>3</v>
      </c>
      <c r="Q69">
        <v>5</v>
      </c>
    </row>
    <row r="70" spans="1:17" x14ac:dyDescent="0.45">
      <c r="A70" s="19">
        <v>46019.647916666669</v>
      </c>
      <c r="B70" t="s">
        <v>73</v>
      </c>
      <c r="C70" t="s">
        <v>76</v>
      </c>
      <c r="D70" t="s">
        <v>69</v>
      </c>
      <c r="E70" t="s">
        <v>72</v>
      </c>
      <c r="F70" t="s">
        <v>95</v>
      </c>
      <c r="G70" t="s">
        <v>192</v>
      </c>
      <c r="H70" t="s">
        <v>105</v>
      </c>
      <c r="I70">
        <v>7</v>
      </c>
      <c r="J70">
        <v>7</v>
      </c>
      <c r="K70">
        <v>8</v>
      </c>
      <c r="L70">
        <v>9</v>
      </c>
      <c r="M70">
        <v>8</v>
      </c>
      <c r="N70">
        <v>10</v>
      </c>
      <c r="O70">
        <v>9</v>
      </c>
      <c r="P70">
        <v>9</v>
      </c>
      <c r="Q70">
        <v>9</v>
      </c>
    </row>
    <row r="71" spans="1:17" x14ac:dyDescent="0.45">
      <c r="A71" s="19">
        <v>46019.648611111108</v>
      </c>
      <c r="B71" t="s">
        <v>73</v>
      </c>
      <c r="C71" t="s">
        <v>74</v>
      </c>
      <c r="D71" t="s">
        <v>69</v>
      </c>
      <c r="E71" t="s">
        <v>70</v>
      </c>
      <c r="F71" t="s">
        <v>98</v>
      </c>
      <c r="G71" t="s">
        <v>103</v>
      </c>
      <c r="H71" t="s">
        <v>97</v>
      </c>
      <c r="I71">
        <v>6</v>
      </c>
      <c r="J71">
        <v>6</v>
      </c>
      <c r="K71">
        <v>5</v>
      </c>
      <c r="L71">
        <v>5</v>
      </c>
      <c r="M71">
        <v>5</v>
      </c>
      <c r="N71">
        <v>1</v>
      </c>
      <c r="O71">
        <v>5</v>
      </c>
      <c r="P71">
        <v>5</v>
      </c>
      <c r="Q71">
        <v>5</v>
      </c>
    </row>
    <row r="72" spans="1:17" x14ac:dyDescent="0.45">
      <c r="A72" s="19">
        <v>46019.650694444441</v>
      </c>
      <c r="B72" t="s">
        <v>67</v>
      </c>
      <c r="C72" t="s">
        <v>68</v>
      </c>
      <c r="D72" t="s">
        <v>69</v>
      </c>
      <c r="E72" t="s">
        <v>70</v>
      </c>
      <c r="F72" t="s">
        <v>95</v>
      </c>
      <c r="G72" t="s">
        <v>96</v>
      </c>
      <c r="H72" t="s">
        <v>100</v>
      </c>
      <c r="I72">
        <v>3</v>
      </c>
      <c r="J72">
        <v>3</v>
      </c>
      <c r="K72">
        <v>3</v>
      </c>
      <c r="L72">
        <v>5</v>
      </c>
      <c r="M72">
        <v>3</v>
      </c>
      <c r="N72">
        <v>3</v>
      </c>
      <c r="O72">
        <v>3</v>
      </c>
      <c r="P72">
        <v>3</v>
      </c>
      <c r="Q72">
        <v>4</v>
      </c>
    </row>
    <row r="73" spans="1:17" x14ac:dyDescent="0.45">
      <c r="A73" s="19">
        <v>46019.652083333334</v>
      </c>
      <c r="B73" t="s">
        <v>73</v>
      </c>
      <c r="C73" t="s">
        <v>68</v>
      </c>
      <c r="D73" t="s">
        <v>69</v>
      </c>
      <c r="E73" t="s">
        <v>72</v>
      </c>
      <c r="F73" t="s">
        <v>98</v>
      </c>
      <c r="G73" t="s">
        <v>192</v>
      </c>
      <c r="H73" t="s">
        <v>101</v>
      </c>
      <c r="I73">
        <v>8</v>
      </c>
      <c r="J73">
        <v>8</v>
      </c>
      <c r="K73">
        <v>4</v>
      </c>
      <c r="L73">
        <v>2</v>
      </c>
      <c r="M73">
        <v>6</v>
      </c>
      <c r="N73">
        <v>3</v>
      </c>
      <c r="O73">
        <v>8</v>
      </c>
      <c r="P73">
        <v>4</v>
      </c>
      <c r="Q73">
        <v>8</v>
      </c>
    </row>
    <row r="74" spans="1:17" x14ac:dyDescent="0.45">
      <c r="A74" s="19">
        <v>46019.658333333333</v>
      </c>
      <c r="B74" t="s">
        <v>73</v>
      </c>
      <c r="C74" t="s">
        <v>184</v>
      </c>
      <c r="D74" t="s">
        <v>69</v>
      </c>
      <c r="E74" t="s">
        <v>188</v>
      </c>
      <c r="F74" t="s">
        <v>95</v>
      </c>
      <c r="G74" t="s">
        <v>99</v>
      </c>
      <c r="H74" t="s">
        <v>105</v>
      </c>
      <c r="I74">
        <v>5</v>
      </c>
      <c r="J74">
        <v>5</v>
      </c>
      <c r="K74">
        <v>5</v>
      </c>
      <c r="L74">
        <v>5</v>
      </c>
      <c r="M74">
        <v>5</v>
      </c>
      <c r="N74">
        <v>10</v>
      </c>
      <c r="O74">
        <v>5</v>
      </c>
      <c r="P74">
        <v>5</v>
      </c>
      <c r="Q74">
        <v>10</v>
      </c>
    </row>
    <row r="75" spans="1:17" x14ac:dyDescent="0.45">
      <c r="A75" s="19">
        <v>46019.685416666667</v>
      </c>
      <c r="B75" t="s">
        <v>67</v>
      </c>
      <c r="C75" t="s">
        <v>68</v>
      </c>
      <c r="D75" t="s">
        <v>69</v>
      </c>
      <c r="E75" t="s">
        <v>72</v>
      </c>
      <c r="F75" t="s">
        <v>98</v>
      </c>
      <c r="G75" t="s">
        <v>192</v>
      </c>
      <c r="H75" t="s">
        <v>97</v>
      </c>
      <c r="I75">
        <v>5</v>
      </c>
      <c r="J75">
        <v>10</v>
      </c>
      <c r="K75">
        <v>2</v>
      </c>
      <c r="L75">
        <v>8</v>
      </c>
      <c r="M75">
        <v>5</v>
      </c>
      <c r="N75">
        <v>5</v>
      </c>
      <c r="O75">
        <v>1</v>
      </c>
      <c r="P75">
        <v>4</v>
      </c>
      <c r="Q75">
        <v>5</v>
      </c>
    </row>
    <row r="76" spans="1:17" x14ac:dyDescent="0.45">
      <c r="A76" s="19">
        <v>46019.6875</v>
      </c>
      <c r="B76" t="s">
        <v>73</v>
      </c>
      <c r="C76" t="s">
        <v>74</v>
      </c>
      <c r="D76" t="s">
        <v>69</v>
      </c>
      <c r="E76" t="s">
        <v>70</v>
      </c>
      <c r="F76" t="s">
        <v>95</v>
      </c>
      <c r="G76" t="s">
        <v>106</v>
      </c>
      <c r="H76" t="s">
        <v>100</v>
      </c>
      <c r="I76">
        <v>8</v>
      </c>
      <c r="J76">
        <v>9</v>
      </c>
      <c r="K76">
        <v>9</v>
      </c>
      <c r="L76">
        <v>9</v>
      </c>
      <c r="M76">
        <v>3</v>
      </c>
      <c r="N76">
        <v>3</v>
      </c>
      <c r="O76">
        <v>2</v>
      </c>
      <c r="P76">
        <v>2</v>
      </c>
      <c r="Q76">
        <v>6</v>
      </c>
    </row>
    <row r="77" spans="1:17" x14ac:dyDescent="0.45">
      <c r="A77" s="19">
        <v>46019.693749999999</v>
      </c>
      <c r="B77" t="s">
        <v>73</v>
      </c>
      <c r="C77" t="s">
        <v>74</v>
      </c>
      <c r="D77" t="s">
        <v>75</v>
      </c>
      <c r="E77" t="s">
        <v>188</v>
      </c>
      <c r="F77" t="s">
        <v>98</v>
      </c>
      <c r="G77" t="s">
        <v>99</v>
      </c>
      <c r="H77" t="s">
        <v>101</v>
      </c>
      <c r="I77">
        <v>5</v>
      </c>
      <c r="J77">
        <v>5</v>
      </c>
      <c r="K77">
        <v>5</v>
      </c>
      <c r="L77">
        <v>5</v>
      </c>
      <c r="M77">
        <v>5</v>
      </c>
      <c r="N77">
        <v>5</v>
      </c>
      <c r="O77">
        <v>5</v>
      </c>
      <c r="P77">
        <v>5</v>
      </c>
      <c r="Q77">
        <v>5</v>
      </c>
    </row>
    <row r="78" spans="1:17" x14ac:dyDescent="0.45">
      <c r="A78" s="19">
        <v>46019.697222222225</v>
      </c>
      <c r="B78" t="s">
        <v>67</v>
      </c>
      <c r="C78" t="s">
        <v>187</v>
      </c>
      <c r="D78" t="s">
        <v>69</v>
      </c>
      <c r="E78" t="s">
        <v>72</v>
      </c>
      <c r="F78" t="s">
        <v>95</v>
      </c>
      <c r="G78" t="s">
        <v>99</v>
      </c>
      <c r="H78" t="s">
        <v>100</v>
      </c>
      <c r="I78">
        <v>8</v>
      </c>
      <c r="J78">
        <v>8</v>
      </c>
      <c r="K78">
        <v>8</v>
      </c>
      <c r="L78">
        <v>8</v>
      </c>
      <c r="M78">
        <v>9</v>
      </c>
      <c r="N78">
        <v>7</v>
      </c>
      <c r="O78">
        <v>9</v>
      </c>
      <c r="P78">
        <v>10</v>
      </c>
      <c r="Q78">
        <v>8</v>
      </c>
    </row>
    <row r="79" spans="1:17" x14ac:dyDescent="0.45">
      <c r="A79" s="19">
        <v>46019.699305555558</v>
      </c>
      <c r="B79" t="s">
        <v>67</v>
      </c>
      <c r="C79" t="s">
        <v>68</v>
      </c>
      <c r="D79" t="s">
        <v>69</v>
      </c>
      <c r="E79" t="s">
        <v>70</v>
      </c>
      <c r="F79" t="s">
        <v>95</v>
      </c>
      <c r="G79" t="s">
        <v>104</v>
      </c>
      <c r="H79" t="s">
        <v>100</v>
      </c>
      <c r="I79">
        <v>8</v>
      </c>
      <c r="J79">
        <v>7</v>
      </c>
      <c r="K79">
        <v>9</v>
      </c>
      <c r="L79">
        <v>8</v>
      </c>
      <c r="M79">
        <v>8</v>
      </c>
      <c r="N79">
        <v>8</v>
      </c>
      <c r="O79">
        <v>6</v>
      </c>
      <c r="P79">
        <v>6</v>
      </c>
      <c r="Q79">
        <v>7</v>
      </c>
    </row>
    <row r="80" spans="1:17" x14ac:dyDescent="0.45">
      <c r="A80" s="19">
        <v>46019.737500000003</v>
      </c>
      <c r="B80" t="s">
        <v>67</v>
      </c>
      <c r="C80" t="s">
        <v>189</v>
      </c>
      <c r="D80" t="s">
        <v>69</v>
      </c>
      <c r="E80" t="s">
        <v>188</v>
      </c>
      <c r="F80" t="s">
        <v>193</v>
      </c>
      <c r="G80" t="s">
        <v>99</v>
      </c>
      <c r="H80" t="s">
        <v>105</v>
      </c>
      <c r="I80">
        <v>6</v>
      </c>
      <c r="J80">
        <v>2</v>
      </c>
      <c r="K80">
        <v>3</v>
      </c>
      <c r="L80">
        <v>2</v>
      </c>
      <c r="M80">
        <v>3</v>
      </c>
      <c r="N80">
        <v>7</v>
      </c>
      <c r="O80">
        <v>5</v>
      </c>
      <c r="P80">
        <v>5</v>
      </c>
      <c r="Q80">
        <v>7</v>
      </c>
    </row>
    <row r="81" spans="1:17" x14ac:dyDescent="0.45">
      <c r="A81" s="19">
        <v>46019.746527777781</v>
      </c>
      <c r="B81" t="s">
        <v>73</v>
      </c>
      <c r="C81" t="s">
        <v>76</v>
      </c>
      <c r="D81" t="s">
        <v>69</v>
      </c>
      <c r="E81" t="s">
        <v>72</v>
      </c>
      <c r="F81" t="s">
        <v>95</v>
      </c>
      <c r="G81" t="s">
        <v>99</v>
      </c>
      <c r="H81" t="s">
        <v>105</v>
      </c>
      <c r="I81">
        <v>8</v>
      </c>
      <c r="J81">
        <v>8</v>
      </c>
      <c r="K81">
        <v>8</v>
      </c>
      <c r="L81">
        <v>8</v>
      </c>
      <c r="M81">
        <v>8</v>
      </c>
      <c r="N81">
        <v>8</v>
      </c>
      <c r="O81">
        <v>8</v>
      </c>
      <c r="P81">
        <v>8</v>
      </c>
      <c r="Q81">
        <v>8</v>
      </c>
    </row>
    <row r="82" spans="1:17" x14ac:dyDescent="0.45">
      <c r="A82" s="19">
        <v>46019.775694444441</v>
      </c>
      <c r="B82" t="s">
        <v>73</v>
      </c>
      <c r="C82" t="s">
        <v>189</v>
      </c>
      <c r="D82" t="s">
        <v>69</v>
      </c>
      <c r="E82" t="s">
        <v>70</v>
      </c>
      <c r="F82" t="s">
        <v>193</v>
      </c>
      <c r="G82" t="s">
        <v>190</v>
      </c>
      <c r="H82" t="s">
        <v>105</v>
      </c>
      <c r="I82">
        <v>7</v>
      </c>
      <c r="J82">
        <v>7</v>
      </c>
      <c r="K82">
        <v>5</v>
      </c>
      <c r="L82">
        <v>5</v>
      </c>
      <c r="M82">
        <v>6</v>
      </c>
      <c r="N82">
        <v>5</v>
      </c>
      <c r="O82">
        <v>8</v>
      </c>
      <c r="P82">
        <v>6</v>
      </c>
      <c r="Q82">
        <v>8</v>
      </c>
    </row>
    <row r="83" spans="1:17" x14ac:dyDescent="0.45">
      <c r="A83" s="19">
        <v>46019.807638888888</v>
      </c>
      <c r="B83" t="s">
        <v>67</v>
      </c>
      <c r="C83" t="s">
        <v>189</v>
      </c>
      <c r="D83" t="s">
        <v>69</v>
      </c>
      <c r="E83" t="s">
        <v>72</v>
      </c>
      <c r="F83" t="s">
        <v>193</v>
      </c>
      <c r="G83" t="s">
        <v>99</v>
      </c>
      <c r="H83" t="s">
        <v>97</v>
      </c>
      <c r="I83">
        <v>8</v>
      </c>
      <c r="J83">
        <v>9</v>
      </c>
      <c r="K83">
        <v>5</v>
      </c>
      <c r="L83">
        <v>5</v>
      </c>
      <c r="M83">
        <v>5</v>
      </c>
      <c r="N83">
        <v>5</v>
      </c>
      <c r="O83">
        <v>1</v>
      </c>
      <c r="P83">
        <v>5</v>
      </c>
      <c r="Q83">
        <v>5</v>
      </c>
    </row>
    <row r="84" spans="1:17" x14ac:dyDescent="0.45">
      <c r="A84" s="19">
        <v>46019.814583333333</v>
      </c>
      <c r="B84" t="s">
        <v>67</v>
      </c>
      <c r="C84" t="s">
        <v>74</v>
      </c>
      <c r="D84" t="s">
        <v>69</v>
      </c>
      <c r="E84" t="s">
        <v>70</v>
      </c>
      <c r="F84" t="s">
        <v>95</v>
      </c>
      <c r="G84" t="s">
        <v>99</v>
      </c>
      <c r="H84" t="s">
        <v>100</v>
      </c>
      <c r="I84">
        <v>10</v>
      </c>
      <c r="J84">
        <v>8</v>
      </c>
      <c r="K84">
        <v>8</v>
      </c>
      <c r="L84">
        <v>7</v>
      </c>
      <c r="M84">
        <v>7</v>
      </c>
      <c r="N84">
        <v>6</v>
      </c>
      <c r="O84">
        <v>7</v>
      </c>
      <c r="P84">
        <v>6</v>
      </c>
      <c r="Q84">
        <v>8</v>
      </c>
    </row>
    <row r="85" spans="1:17" x14ac:dyDescent="0.45">
      <c r="A85" s="19">
        <v>46019.818055555559</v>
      </c>
      <c r="B85" t="s">
        <v>67</v>
      </c>
      <c r="C85" t="s">
        <v>68</v>
      </c>
      <c r="D85" t="s">
        <v>69</v>
      </c>
      <c r="E85" t="s">
        <v>186</v>
      </c>
      <c r="F85" t="s">
        <v>95</v>
      </c>
      <c r="G85" t="s">
        <v>99</v>
      </c>
      <c r="H85" t="s">
        <v>97</v>
      </c>
      <c r="I85">
        <v>6</v>
      </c>
      <c r="J85">
        <v>7</v>
      </c>
      <c r="K85">
        <v>5</v>
      </c>
      <c r="L85">
        <v>5</v>
      </c>
      <c r="M85">
        <v>5</v>
      </c>
      <c r="N85">
        <v>5</v>
      </c>
      <c r="O85">
        <v>5</v>
      </c>
      <c r="P85">
        <v>5</v>
      </c>
      <c r="Q85">
        <v>5</v>
      </c>
    </row>
    <row r="86" spans="1:17" x14ac:dyDescent="0.45">
      <c r="A86" s="19">
        <v>46019.819444444445</v>
      </c>
      <c r="B86" t="s">
        <v>67</v>
      </c>
      <c r="C86" t="s">
        <v>74</v>
      </c>
      <c r="D86" t="s">
        <v>69</v>
      </c>
      <c r="E86" t="s">
        <v>72</v>
      </c>
      <c r="F86" t="s">
        <v>95</v>
      </c>
      <c r="G86" t="s">
        <v>99</v>
      </c>
      <c r="H86" t="s">
        <v>100</v>
      </c>
      <c r="I86">
        <v>9</v>
      </c>
      <c r="J86">
        <v>9</v>
      </c>
      <c r="K86">
        <v>8</v>
      </c>
      <c r="L86">
        <v>9</v>
      </c>
      <c r="M86">
        <v>9</v>
      </c>
      <c r="N86">
        <v>9</v>
      </c>
      <c r="O86">
        <v>7</v>
      </c>
      <c r="P86">
        <v>8</v>
      </c>
      <c r="Q86">
        <v>8</v>
      </c>
    </row>
    <row r="87" spans="1:17" x14ac:dyDescent="0.45">
      <c r="A87" s="19">
        <v>46019.820138888892</v>
      </c>
      <c r="B87" t="s">
        <v>73</v>
      </c>
      <c r="C87" t="s">
        <v>68</v>
      </c>
      <c r="D87" t="s">
        <v>75</v>
      </c>
      <c r="E87" t="s">
        <v>72</v>
      </c>
      <c r="F87" t="s">
        <v>95</v>
      </c>
      <c r="G87" t="s">
        <v>99</v>
      </c>
      <c r="H87" t="s">
        <v>105</v>
      </c>
      <c r="I87">
        <v>5</v>
      </c>
      <c r="J87">
        <v>5</v>
      </c>
      <c r="K87">
        <v>10</v>
      </c>
      <c r="L87">
        <v>4</v>
      </c>
      <c r="M87">
        <v>4</v>
      </c>
      <c r="N87">
        <v>5</v>
      </c>
      <c r="O87">
        <v>5</v>
      </c>
      <c r="P87">
        <v>8</v>
      </c>
      <c r="Q87">
        <v>8</v>
      </c>
    </row>
    <row r="88" spans="1:17" x14ac:dyDescent="0.45">
      <c r="A88" s="19">
        <v>46019.824999999997</v>
      </c>
      <c r="B88" t="s">
        <v>73</v>
      </c>
      <c r="C88" t="s">
        <v>74</v>
      </c>
      <c r="D88" t="s">
        <v>69</v>
      </c>
      <c r="E88" t="s">
        <v>72</v>
      </c>
      <c r="F88" t="s">
        <v>95</v>
      </c>
      <c r="G88" t="s">
        <v>99</v>
      </c>
      <c r="H88" t="s">
        <v>100</v>
      </c>
      <c r="I88">
        <v>10</v>
      </c>
      <c r="J88">
        <v>9</v>
      </c>
      <c r="K88">
        <v>9</v>
      </c>
      <c r="L88">
        <v>9</v>
      </c>
      <c r="M88">
        <v>9</v>
      </c>
      <c r="N88">
        <v>9</v>
      </c>
      <c r="O88">
        <v>10</v>
      </c>
      <c r="P88">
        <v>9</v>
      </c>
      <c r="Q88">
        <v>10</v>
      </c>
    </row>
    <row r="89" spans="1:17" x14ac:dyDescent="0.45">
      <c r="A89" s="19">
        <v>46019.836805555555</v>
      </c>
      <c r="B89" t="s">
        <v>67</v>
      </c>
      <c r="C89" t="s">
        <v>74</v>
      </c>
      <c r="D89" t="s">
        <v>69</v>
      </c>
      <c r="E89" t="s">
        <v>188</v>
      </c>
      <c r="F89" t="s">
        <v>95</v>
      </c>
      <c r="G89" t="s">
        <v>190</v>
      </c>
      <c r="H89" t="s">
        <v>100</v>
      </c>
      <c r="I89">
        <v>10</v>
      </c>
      <c r="J89">
        <v>10</v>
      </c>
      <c r="K89">
        <v>10</v>
      </c>
      <c r="L89">
        <v>10</v>
      </c>
      <c r="M89">
        <v>10</v>
      </c>
      <c r="N89">
        <v>10</v>
      </c>
      <c r="O89">
        <v>10</v>
      </c>
      <c r="P89">
        <v>10</v>
      </c>
      <c r="Q89">
        <v>10</v>
      </c>
    </row>
    <row r="90" spans="1:17" x14ac:dyDescent="0.45">
      <c r="A90" s="19">
        <v>46019.838888888888</v>
      </c>
      <c r="B90" t="s">
        <v>67</v>
      </c>
      <c r="C90" t="s">
        <v>68</v>
      </c>
      <c r="D90" t="s">
        <v>69</v>
      </c>
      <c r="E90" t="s">
        <v>186</v>
      </c>
      <c r="F90" t="s">
        <v>95</v>
      </c>
      <c r="G90" t="s">
        <v>190</v>
      </c>
      <c r="H90" t="s">
        <v>97</v>
      </c>
      <c r="I90">
        <v>10</v>
      </c>
      <c r="J90">
        <v>9</v>
      </c>
      <c r="K90">
        <v>9</v>
      </c>
      <c r="L90">
        <v>9</v>
      </c>
      <c r="M90">
        <v>10</v>
      </c>
      <c r="N90">
        <v>9</v>
      </c>
      <c r="O90">
        <v>9</v>
      </c>
      <c r="P90">
        <v>8</v>
      </c>
      <c r="Q90">
        <v>9</v>
      </c>
    </row>
    <row r="91" spans="1:17" x14ac:dyDescent="0.45">
      <c r="A91" s="19">
        <v>46019.84097222222</v>
      </c>
      <c r="B91" t="s">
        <v>67</v>
      </c>
      <c r="C91" t="s">
        <v>68</v>
      </c>
      <c r="D91" t="s">
        <v>75</v>
      </c>
      <c r="E91" t="s">
        <v>72</v>
      </c>
      <c r="F91" t="s">
        <v>95</v>
      </c>
      <c r="G91" t="s">
        <v>190</v>
      </c>
      <c r="H91" t="s">
        <v>191</v>
      </c>
      <c r="I91">
        <v>6</v>
      </c>
      <c r="J91">
        <v>10</v>
      </c>
      <c r="K91">
        <v>8</v>
      </c>
      <c r="L91">
        <v>9</v>
      </c>
      <c r="M91">
        <v>9</v>
      </c>
      <c r="N91">
        <v>9</v>
      </c>
      <c r="O91">
        <v>8</v>
      </c>
      <c r="P91">
        <v>8</v>
      </c>
      <c r="Q91">
        <v>9</v>
      </c>
    </row>
    <row r="92" spans="1:17" x14ac:dyDescent="0.45">
      <c r="A92" s="19">
        <v>46019.848611111112</v>
      </c>
      <c r="B92" t="s">
        <v>67</v>
      </c>
      <c r="C92" t="s">
        <v>68</v>
      </c>
      <c r="D92" t="s">
        <v>69</v>
      </c>
      <c r="E92" t="s">
        <v>72</v>
      </c>
      <c r="F92" t="s">
        <v>95</v>
      </c>
      <c r="G92" t="s">
        <v>190</v>
      </c>
      <c r="H92" t="s">
        <v>100</v>
      </c>
      <c r="I92">
        <v>10</v>
      </c>
      <c r="J92">
        <v>9</v>
      </c>
      <c r="K92">
        <v>9</v>
      </c>
      <c r="L92">
        <v>9</v>
      </c>
      <c r="M92">
        <v>10</v>
      </c>
      <c r="N92">
        <v>9</v>
      </c>
      <c r="O92">
        <v>8</v>
      </c>
      <c r="P92">
        <v>8</v>
      </c>
      <c r="Q92">
        <v>10</v>
      </c>
    </row>
    <row r="93" spans="1:17" x14ac:dyDescent="0.45">
      <c r="A93" s="19">
        <v>46019.859722222223</v>
      </c>
      <c r="B93" t="s">
        <v>73</v>
      </c>
      <c r="C93" t="s">
        <v>68</v>
      </c>
      <c r="D93" t="s">
        <v>69</v>
      </c>
      <c r="E93" t="s">
        <v>72</v>
      </c>
      <c r="F93" t="s">
        <v>95</v>
      </c>
      <c r="G93" t="s">
        <v>190</v>
      </c>
      <c r="H93" t="s">
        <v>100</v>
      </c>
      <c r="I93">
        <v>10</v>
      </c>
      <c r="J93">
        <v>10</v>
      </c>
      <c r="K93">
        <v>10</v>
      </c>
      <c r="L93">
        <v>10</v>
      </c>
      <c r="M93">
        <v>10</v>
      </c>
      <c r="N93">
        <v>1</v>
      </c>
      <c r="O93">
        <v>10</v>
      </c>
      <c r="P93">
        <v>10</v>
      </c>
      <c r="Q93">
        <v>10</v>
      </c>
    </row>
    <row r="94" spans="1:17" x14ac:dyDescent="0.45">
      <c r="A94" s="19">
        <v>46019.859722222223</v>
      </c>
      <c r="B94" t="s">
        <v>73</v>
      </c>
      <c r="C94" t="s">
        <v>68</v>
      </c>
      <c r="D94" t="s">
        <v>69</v>
      </c>
      <c r="E94" t="s">
        <v>72</v>
      </c>
      <c r="F94" t="s">
        <v>95</v>
      </c>
      <c r="G94" t="s">
        <v>104</v>
      </c>
      <c r="H94" t="s">
        <v>100</v>
      </c>
      <c r="I94">
        <v>5</v>
      </c>
      <c r="J94">
        <v>8</v>
      </c>
      <c r="K94">
        <v>4</v>
      </c>
      <c r="L94">
        <v>9</v>
      </c>
      <c r="M94">
        <v>7</v>
      </c>
      <c r="N94">
        <v>5</v>
      </c>
      <c r="O94">
        <v>7</v>
      </c>
      <c r="P94">
        <v>8</v>
      </c>
      <c r="Q94">
        <v>10</v>
      </c>
    </row>
    <row r="95" spans="1:17" x14ac:dyDescent="0.45">
      <c r="A95" s="19">
        <v>46019.88958333333</v>
      </c>
      <c r="B95" t="s">
        <v>67</v>
      </c>
      <c r="C95" t="s">
        <v>68</v>
      </c>
      <c r="D95" t="s">
        <v>69</v>
      </c>
      <c r="E95" t="s">
        <v>70</v>
      </c>
      <c r="F95" t="s">
        <v>95</v>
      </c>
      <c r="G95" t="s">
        <v>190</v>
      </c>
      <c r="H95" t="s">
        <v>105</v>
      </c>
      <c r="I95">
        <v>9</v>
      </c>
      <c r="J95">
        <v>7</v>
      </c>
      <c r="K95">
        <v>5</v>
      </c>
      <c r="L95">
        <v>7</v>
      </c>
      <c r="M95">
        <v>5</v>
      </c>
      <c r="N95">
        <v>8</v>
      </c>
      <c r="O95">
        <v>5</v>
      </c>
      <c r="P95">
        <v>5</v>
      </c>
      <c r="Q95">
        <v>7</v>
      </c>
    </row>
    <row r="96" spans="1:17" x14ac:dyDescent="0.45">
      <c r="A96" s="19">
        <v>46019.900694444441</v>
      </c>
      <c r="B96" t="s">
        <v>67</v>
      </c>
      <c r="C96" t="s">
        <v>74</v>
      </c>
      <c r="D96" t="s">
        <v>69</v>
      </c>
      <c r="E96" t="s">
        <v>72</v>
      </c>
      <c r="F96" t="s">
        <v>95</v>
      </c>
      <c r="G96" t="s">
        <v>104</v>
      </c>
      <c r="H96" t="s">
        <v>101</v>
      </c>
      <c r="I96">
        <v>4</v>
      </c>
      <c r="J96">
        <v>6</v>
      </c>
      <c r="K96">
        <v>5</v>
      </c>
      <c r="L96">
        <v>5</v>
      </c>
      <c r="M96">
        <v>4</v>
      </c>
      <c r="N96">
        <v>4</v>
      </c>
      <c r="O96">
        <v>3</v>
      </c>
      <c r="P96">
        <v>4</v>
      </c>
      <c r="Q96">
        <v>3</v>
      </c>
    </row>
    <row r="97" spans="1:17" x14ac:dyDescent="0.45">
      <c r="A97" s="19">
        <v>46019.902083333334</v>
      </c>
      <c r="B97" t="s">
        <v>73</v>
      </c>
      <c r="C97" t="s">
        <v>184</v>
      </c>
      <c r="D97" t="s">
        <v>69</v>
      </c>
      <c r="E97" t="s">
        <v>72</v>
      </c>
      <c r="F97" t="s">
        <v>95</v>
      </c>
      <c r="G97" t="s">
        <v>190</v>
      </c>
      <c r="H97" t="s">
        <v>105</v>
      </c>
      <c r="I97">
        <v>8</v>
      </c>
      <c r="J97">
        <v>7</v>
      </c>
      <c r="K97">
        <v>5</v>
      </c>
      <c r="L97">
        <v>7</v>
      </c>
      <c r="M97">
        <v>7</v>
      </c>
      <c r="N97">
        <v>5</v>
      </c>
      <c r="O97">
        <v>5</v>
      </c>
      <c r="P97">
        <v>7</v>
      </c>
      <c r="Q97">
        <v>7</v>
      </c>
    </row>
    <row r="98" spans="1:17" x14ac:dyDescent="0.45">
      <c r="A98" s="19">
        <v>46019.902777777781</v>
      </c>
      <c r="B98" t="s">
        <v>67</v>
      </c>
      <c r="C98" t="s">
        <v>189</v>
      </c>
      <c r="D98" t="s">
        <v>69</v>
      </c>
      <c r="E98" t="s">
        <v>72</v>
      </c>
      <c r="F98" t="s">
        <v>98</v>
      </c>
      <c r="G98" t="s">
        <v>103</v>
      </c>
      <c r="H98" t="s">
        <v>191</v>
      </c>
      <c r="I98">
        <v>6</v>
      </c>
      <c r="J98">
        <v>6</v>
      </c>
      <c r="K98">
        <v>5</v>
      </c>
      <c r="L98">
        <v>5</v>
      </c>
      <c r="M98">
        <v>5</v>
      </c>
      <c r="N98">
        <v>5</v>
      </c>
      <c r="O98">
        <v>5</v>
      </c>
      <c r="P98">
        <v>5</v>
      </c>
      <c r="Q98">
        <v>5</v>
      </c>
    </row>
    <row r="99" spans="1:17" x14ac:dyDescent="0.45">
      <c r="A99" s="19">
        <v>46019.90347222222</v>
      </c>
      <c r="B99" t="s">
        <v>67</v>
      </c>
      <c r="C99" t="s">
        <v>68</v>
      </c>
      <c r="D99" t="s">
        <v>75</v>
      </c>
      <c r="E99" t="s">
        <v>72</v>
      </c>
      <c r="F99" t="s">
        <v>95</v>
      </c>
      <c r="G99" t="s">
        <v>192</v>
      </c>
      <c r="H99" t="s">
        <v>105</v>
      </c>
      <c r="I99">
        <v>8</v>
      </c>
      <c r="J99">
        <v>8</v>
      </c>
      <c r="K99">
        <v>5</v>
      </c>
      <c r="L99">
        <v>8</v>
      </c>
      <c r="M99">
        <v>6</v>
      </c>
      <c r="N99">
        <v>9</v>
      </c>
      <c r="O99">
        <v>5</v>
      </c>
      <c r="P99">
        <v>7</v>
      </c>
      <c r="Q99">
        <v>8</v>
      </c>
    </row>
    <row r="100" spans="1:17" x14ac:dyDescent="0.45">
      <c r="A100" s="19">
        <v>46019.904861111114</v>
      </c>
      <c r="B100" t="s">
        <v>73</v>
      </c>
      <c r="C100" t="s">
        <v>76</v>
      </c>
      <c r="D100" t="s">
        <v>69</v>
      </c>
      <c r="E100" t="s">
        <v>72</v>
      </c>
      <c r="F100" t="s">
        <v>95</v>
      </c>
      <c r="G100" t="s">
        <v>96</v>
      </c>
      <c r="H100" t="s">
        <v>97</v>
      </c>
      <c r="I100">
        <v>6</v>
      </c>
      <c r="J100">
        <v>6</v>
      </c>
      <c r="K100">
        <v>3</v>
      </c>
      <c r="L100">
        <v>6</v>
      </c>
      <c r="M100">
        <v>5</v>
      </c>
      <c r="N100">
        <v>6</v>
      </c>
      <c r="O100">
        <v>5</v>
      </c>
      <c r="P100">
        <v>6</v>
      </c>
      <c r="Q100">
        <v>6</v>
      </c>
    </row>
    <row r="101" spans="1:17" x14ac:dyDescent="0.45">
      <c r="A101" s="19">
        <v>46020.206944444442</v>
      </c>
      <c r="B101" t="s">
        <v>67</v>
      </c>
      <c r="C101" t="s">
        <v>189</v>
      </c>
      <c r="D101" t="s">
        <v>69</v>
      </c>
      <c r="E101" t="s">
        <v>72</v>
      </c>
      <c r="F101" t="s">
        <v>95</v>
      </c>
      <c r="G101" t="s">
        <v>99</v>
      </c>
      <c r="H101" t="s">
        <v>97</v>
      </c>
      <c r="I101">
        <v>8</v>
      </c>
      <c r="J101">
        <v>8</v>
      </c>
      <c r="K101">
        <v>8</v>
      </c>
      <c r="L101">
        <v>10</v>
      </c>
      <c r="M101">
        <v>10</v>
      </c>
      <c r="N101">
        <v>10</v>
      </c>
      <c r="O101">
        <v>10</v>
      </c>
      <c r="P101">
        <v>10</v>
      </c>
      <c r="Q101">
        <v>10</v>
      </c>
    </row>
    <row r="102" spans="1:17" x14ac:dyDescent="0.45">
      <c r="A102" s="19">
        <v>46020.280555555553</v>
      </c>
      <c r="B102" t="s">
        <v>67</v>
      </c>
      <c r="C102" t="s">
        <v>187</v>
      </c>
      <c r="D102" t="s">
        <v>69</v>
      </c>
      <c r="E102" t="s">
        <v>70</v>
      </c>
      <c r="F102" t="s">
        <v>95</v>
      </c>
      <c r="G102" t="s">
        <v>102</v>
      </c>
      <c r="H102" t="s">
        <v>191</v>
      </c>
      <c r="I102">
        <v>8</v>
      </c>
      <c r="J102">
        <v>8</v>
      </c>
      <c r="K102">
        <v>7</v>
      </c>
      <c r="L102">
        <v>8</v>
      </c>
      <c r="M102">
        <v>8</v>
      </c>
      <c r="N102">
        <v>7</v>
      </c>
      <c r="O102">
        <v>7</v>
      </c>
      <c r="P102">
        <v>7</v>
      </c>
      <c r="Q102">
        <v>8</v>
      </c>
    </row>
    <row r="103" spans="1:17" x14ac:dyDescent="0.45">
      <c r="A103" s="19">
        <v>46020.28125</v>
      </c>
      <c r="B103" t="s">
        <v>73</v>
      </c>
      <c r="C103" t="s">
        <v>184</v>
      </c>
      <c r="D103" t="s">
        <v>69</v>
      </c>
      <c r="E103" t="s">
        <v>72</v>
      </c>
      <c r="F103" t="s">
        <v>95</v>
      </c>
      <c r="G103" t="s">
        <v>99</v>
      </c>
      <c r="H103" t="s">
        <v>105</v>
      </c>
      <c r="I103">
        <v>5</v>
      </c>
      <c r="J103">
        <v>5</v>
      </c>
      <c r="K103">
        <v>5</v>
      </c>
      <c r="L103">
        <v>5</v>
      </c>
      <c r="M103">
        <v>5</v>
      </c>
      <c r="N103">
        <v>5</v>
      </c>
      <c r="O103">
        <v>5</v>
      </c>
      <c r="P103">
        <v>5</v>
      </c>
      <c r="Q103">
        <v>5</v>
      </c>
    </row>
    <row r="104" spans="1:17" x14ac:dyDescent="0.45">
      <c r="A104" s="19">
        <v>46020.282638888886</v>
      </c>
      <c r="B104" t="s">
        <v>67</v>
      </c>
      <c r="C104" t="s">
        <v>189</v>
      </c>
      <c r="D104" t="s">
        <v>69</v>
      </c>
      <c r="E104" t="s">
        <v>72</v>
      </c>
      <c r="F104" t="s">
        <v>95</v>
      </c>
      <c r="G104" t="s">
        <v>104</v>
      </c>
      <c r="H104" t="s">
        <v>100</v>
      </c>
      <c r="I104">
        <v>8</v>
      </c>
      <c r="J104">
        <v>8</v>
      </c>
      <c r="K104">
        <v>5</v>
      </c>
      <c r="L104">
        <v>8</v>
      </c>
      <c r="M104">
        <v>5</v>
      </c>
      <c r="N104">
        <v>5</v>
      </c>
      <c r="O104">
        <v>6</v>
      </c>
      <c r="P104">
        <v>6</v>
      </c>
      <c r="Q104">
        <v>5</v>
      </c>
    </row>
    <row r="105" spans="1:17" x14ac:dyDescent="0.45">
      <c r="A105" s="19">
        <v>46020.282638888886</v>
      </c>
      <c r="B105" t="s">
        <v>73</v>
      </c>
      <c r="C105" t="s">
        <v>68</v>
      </c>
      <c r="D105" t="s">
        <v>69</v>
      </c>
      <c r="E105" t="s">
        <v>72</v>
      </c>
      <c r="F105" t="s">
        <v>95</v>
      </c>
      <c r="G105" t="s">
        <v>192</v>
      </c>
      <c r="H105" t="s">
        <v>105</v>
      </c>
      <c r="I105">
        <v>6</v>
      </c>
      <c r="J105">
        <v>7</v>
      </c>
      <c r="K105">
        <v>6</v>
      </c>
      <c r="L105">
        <v>8</v>
      </c>
      <c r="M105">
        <v>6</v>
      </c>
      <c r="N105">
        <v>7</v>
      </c>
      <c r="O105">
        <v>6</v>
      </c>
      <c r="P105">
        <v>6</v>
      </c>
      <c r="Q105">
        <v>7</v>
      </c>
    </row>
    <row r="106" spans="1:17" x14ac:dyDescent="0.45">
      <c r="A106" s="19">
        <v>46020.347916666666</v>
      </c>
      <c r="B106" t="s">
        <v>73</v>
      </c>
      <c r="C106" t="s">
        <v>76</v>
      </c>
      <c r="D106" t="s">
        <v>69</v>
      </c>
      <c r="E106" t="s">
        <v>72</v>
      </c>
      <c r="F106" t="s">
        <v>95</v>
      </c>
      <c r="G106" t="s">
        <v>99</v>
      </c>
      <c r="H106" t="s">
        <v>97</v>
      </c>
      <c r="I106">
        <v>9</v>
      </c>
      <c r="J106">
        <v>10</v>
      </c>
      <c r="K106">
        <v>8</v>
      </c>
      <c r="L106">
        <v>8</v>
      </c>
      <c r="M106">
        <v>9</v>
      </c>
      <c r="N106">
        <v>9</v>
      </c>
      <c r="O106">
        <v>8</v>
      </c>
      <c r="P106">
        <v>6</v>
      </c>
      <c r="Q106">
        <v>9</v>
      </c>
    </row>
    <row r="107" spans="1:17" x14ac:dyDescent="0.45">
      <c r="A107" s="19">
        <v>46020.356249999997</v>
      </c>
      <c r="B107" t="s">
        <v>67</v>
      </c>
      <c r="C107" t="s">
        <v>76</v>
      </c>
      <c r="D107" t="s">
        <v>69</v>
      </c>
      <c r="E107" t="s">
        <v>72</v>
      </c>
      <c r="F107" t="s">
        <v>95</v>
      </c>
      <c r="G107" t="s">
        <v>190</v>
      </c>
      <c r="H107" t="s">
        <v>105</v>
      </c>
      <c r="I107">
        <v>10</v>
      </c>
      <c r="J107">
        <v>5</v>
      </c>
      <c r="K107">
        <v>8</v>
      </c>
      <c r="L107">
        <v>8</v>
      </c>
      <c r="M107">
        <v>10</v>
      </c>
      <c r="N107">
        <v>10</v>
      </c>
      <c r="O107">
        <v>10</v>
      </c>
      <c r="P107">
        <v>10</v>
      </c>
      <c r="Q107">
        <v>10</v>
      </c>
    </row>
    <row r="108" spans="1:17" x14ac:dyDescent="0.45">
      <c r="A108" s="19">
        <v>46020.36041666667</v>
      </c>
      <c r="B108" t="s">
        <v>67</v>
      </c>
      <c r="C108" t="s">
        <v>74</v>
      </c>
      <c r="D108" t="s">
        <v>69</v>
      </c>
      <c r="E108" t="s">
        <v>72</v>
      </c>
      <c r="F108" t="s">
        <v>95</v>
      </c>
      <c r="G108" t="s">
        <v>96</v>
      </c>
      <c r="H108" t="s">
        <v>97</v>
      </c>
      <c r="I108">
        <v>7</v>
      </c>
      <c r="J108">
        <v>7</v>
      </c>
      <c r="K108">
        <v>7</v>
      </c>
      <c r="L108">
        <v>7</v>
      </c>
      <c r="M108">
        <v>7</v>
      </c>
      <c r="N108">
        <v>7</v>
      </c>
      <c r="O108">
        <v>7</v>
      </c>
      <c r="P108">
        <v>7</v>
      </c>
      <c r="Q108">
        <v>8</v>
      </c>
    </row>
    <row r="109" spans="1:17" x14ac:dyDescent="0.45">
      <c r="A109" s="19">
        <v>46020.369444444441</v>
      </c>
      <c r="B109" t="s">
        <v>67</v>
      </c>
      <c r="C109" t="s">
        <v>74</v>
      </c>
      <c r="D109" t="s">
        <v>69</v>
      </c>
      <c r="E109" t="s">
        <v>72</v>
      </c>
      <c r="F109" t="s">
        <v>95</v>
      </c>
      <c r="G109" t="s">
        <v>99</v>
      </c>
      <c r="H109" t="s">
        <v>97</v>
      </c>
      <c r="I109">
        <v>5</v>
      </c>
      <c r="J109">
        <v>10</v>
      </c>
      <c r="K109">
        <v>5</v>
      </c>
      <c r="L109">
        <v>5</v>
      </c>
      <c r="M109">
        <v>5</v>
      </c>
      <c r="N109">
        <v>5</v>
      </c>
      <c r="O109">
        <v>8</v>
      </c>
      <c r="P109">
        <v>5</v>
      </c>
      <c r="Q109">
        <v>6</v>
      </c>
    </row>
    <row r="110" spans="1:17" x14ac:dyDescent="0.45">
      <c r="A110" s="19">
        <v>46020.377083333333</v>
      </c>
      <c r="B110" t="s">
        <v>67</v>
      </c>
      <c r="C110" t="s">
        <v>74</v>
      </c>
      <c r="D110" t="s">
        <v>69</v>
      </c>
      <c r="E110" t="s">
        <v>72</v>
      </c>
      <c r="F110" t="s">
        <v>95</v>
      </c>
      <c r="G110" t="s">
        <v>99</v>
      </c>
      <c r="H110" t="s">
        <v>97</v>
      </c>
      <c r="I110">
        <v>10</v>
      </c>
      <c r="J110">
        <v>10</v>
      </c>
      <c r="K110">
        <v>10</v>
      </c>
      <c r="L110">
        <v>10</v>
      </c>
      <c r="M110">
        <v>10</v>
      </c>
      <c r="N110">
        <v>10</v>
      </c>
      <c r="O110">
        <v>10</v>
      </c>
      <c r="P110">
        <v>10</v>
      </c>
      <c r="Q110">
        <v>10</v>
      </c>
    </row>
    <row r="111" spans="1:17" x14ac:dyDescent="0.45">
      <c r="A111" s="19">
        <v>46020.381944444445</v>
      </c>
      <c r="B111" t="s">
        <v>73</v>
      </c>
      <c r="C111" t="s">
        <v>68</v>
      </c>
      <c r="D111" t="s">
        <v>69</v>
      </c>
      <c r="E111" t="s">
        <v>72</v>
      </c>
      <c r="F111" t="s">
        <v>95</v>
      </c>
      <c r="G111" t="s">
        <v>106</v>
      </c>
      <c r="H111" t="s">
        <v>100</v>
      </c>
      <c r="I111">
        <v>7</v>
      </c>
      <c r="J111">
        <v>6</v>
      </c>
      <c r="K111">
        <v>8</v>
      </c>
      <c r="L111">
        <v>8</v>
      </c>
      <c r="M111">
        <v>7</v>
      </c>
      <c r="N111">
        <v>6</v>
      </c>
      <c r="O111">
        <v>5</v>
      </c>
      <c r="P111">
        <v>5</v>
      </c>
      <c r="Q111">
        <v>8</v>
      </c>
    </row>
    <row r="112" spans="1:17" x14ac:dyDescent="0.45">
      <c r="A112" s="19">
        <v>46020.398611111108</v>
      </c>
      <c r="B112" t="s">
        <v>73</v>
      </c>
      <c r="C112" t="s">
        <v>187</v>
      </c>
      <c r="D112" t="s">
        <v>69</v>
      </c>
      <c r="E112" t="s">
        <v>72</v>
      </c>
      <c r="F112" t="s">
        <v>95</v>
      </c>
      <c r="G112" t="s">
        <v>96</v>
      </c>
      <c r="H112" t="s">
        <v>97</v>
      </c>
      <c r="I112">
        <v>8</v>
      </c>
      <c r="J112">
        <v>8</v>
      </c>
      <c r="K112">
        <v>6</v>
      </c>
      <c r="L112">
        <v>7</v>
      </c>
      <c r="M112">
        <v>6</v>
      </c>
      <c r="N112">
        <v>7</v>
      </c>
      <c r="O112">
        <v>5</v>
      </c>
      <c r="P112">
        <v>5</v>
      </c>
      <c r="Q112">
        <v>5</v>
      </c>
    </row>
    <row r="113" spans="1:17" x14ac:dyDescent="0.45">
      <c r="A113" s="19">
        <v>46020.4</v>
      </c>
      <c r="B113" t="s">
        <v>67</v>
      </c>
      <c r="C113" t="s">
        <v>74</v>
      </c>
      <c r="D113" t="s">
        <v>69</v>
      </c>
      <c r="E113" t="s">
        <v>72</v>
      </c>
      <c r="F113" t="s">
        <v>95</v>
      </c>
      <c r="G113" t="s">
        <v>192</v>
      </c>
      <c r="H113" t="s">
        <v>100</v>
      </c>
      <c r="I113">
        <v>7</v>
      </c>
      <c r="J113">
        <v>8</v>
      </c>
      <c r="K113">
        <v>8</v>
      </c>
      <c r="L113">
        <v>8</v>
      </c>
      <c r="M113">
        <v>8</v>
      </c>
      <c r="N113">
        <v>8</v>
      </c>
      <c r="O113">
        <v>8</v>
      </c>
      <c r="P113">
        <v>8</v>
      </c>
      <c r="Q113">
        <v>8</v>
      </c>
    </row>
    <row r="114" spans="1:17" x14ac:dyDescent="0.45">
      <c r="A114" s="19">
        <v>46020.409722222219</v>
      </c>
      <c r="B114" t="s">
        <v>67</v>
      </c>
      <c r="C114" t="s">
        <v>68</v>
      </c>
      <c r="D114" t="s">
        <v>69</v>
      </c>
      <c r="E114" t="s">
        <v>72</v>
      </c>
      <c r="F114" t="s">
        <v>95</v>
      </c>
      <c r="G114" t="s">
        <v>190</v>
      </c>
      <c r="H114" t="s">
        <v>101</v>
      </c>
      <c r="I114">
        <v>1</v>
      </c>
      <c r="J114">
        <v>1</v>
      </c>
      <c r="K114">
        <v>1</v>
      </c>
      <c r="L114">
        <v>1</v>
      </c>
      <c r="M114">
        <v>1</v>
      </c>
      <c r="N114">
        <v>1</v>
      </c>
      <c r="O114">
        <v>1</v>
      </c>
      <c r="P114">
        <v>1</v>
      </c>
      <c r="Q114">
        <v>1</v>
      </c>
    </row>
    <row r="115" spans="1:17" x14ac:dyDescent="0.45">
      <c r="A115" s="19">
        <v>46020.418749999997</v>
      </c>
      <c r="B115" t="s">
        <v>67</v>
      </c>
      <c r="C115" t="s">
        <v>74</v>
      </c>
      <c r="D115" t="s">
        <v>69</v>
      </c>
      <c r="E115" t="s">
        <v>72</v>
      </c>
      <c r="F115" t="s">
        <v>95</v>
      </c>
      <c r="G115" t="s">
        <v>192</v>
      </c>
      <c r="H115" t="s">
        <v>191</v>
      </c>
      <c r="I115">
        <v>10</v>
      </c>
      <c r="J115">
        <v>10</v>
      </c>
      <c r="K115">
        <v>10</v>
      </c>
      <c r="L115">
        <v>10</v>
      </c>
      <c r="M115">
        <v>10</v>
      </c>
      <c r="N115">
        <v>10</v>
      </c>
      <c r="O115">
        <v>10</v>
      </c>
      <c r="P115">
        <v>10</v>
      </c>
      <c r="Q115">
        <v>10</v>
      </c>
    </row>
    <row r="116" spans="1:17" x14ac:dyDescent="0.45">
      <c r="A116" s="19">
        <v>46020.420138888891</v>
      </c>
      <c r="B116" t="s">
        <v>67</v>
      </c>
      <c r="C116" t="s">
        <v>74</v>
      </c>
      <c r="D116" t="s">
        <v>69</v>
      </c>
      <c r="E116" t="s">
        <v>70</v>
      </c>
      <c r="F116" t="s">
        <v>95</v>
      </c>
      <c r="G116" t="s">
        <v>99</v>
      </c>
      <c r="H116" t="s">
        <v>191</v>
      </c>
      <c r="I116">
        <v>1</v>
      </c>
      <c r="J116">
        <v>1</v>
      </c>
      <c r="K116">
        <v>1</v>
      </c>
      <c r="L116">
        <v>1</v>
      </c>
      <c r="M116">
        <v>1</v>
      </c>
      <c r="N116">
        <v>1</v>
      </c>
      <c r="O116">
        <v>1</v>
      </c>
      <c r="P116">
        <v>1</v>
      </c>
      <c r="Q116">
        <v>1</v>
      </c>
    </row>
    <row r="117" spans="1:17" x14ac:dyDescent="0.45">
      <c r="A117" s="19">
        <v>46020.493055555555</v>
      </c>
      <c r="B117" t="s">
        <v>67</v>
      </c>
      <c r="C117" t="s">
        <v>74</v>
      </c>
      <c r="D117" t="s">
        <v>69</v>
      </c>
      <c r="E117" t="s">
        <v>70</v>
      </c>
      <c r="F117" t="s">
        <v>95</v>
      </c>
      <c r="G117" t="s">
        <v>99</v>
      </c>
      <c r="H117" t="s">
        <v>105</v>
      </c>
      <c r="I117">
        <v>9</v>
      </c>
      <c r="J117">
        <v>9</v>
      </c>
      <c r="K117">
        <v>9</v>
      </c>
      <c r="L117">
        <v>9</v>
      </c>
      <c r="M117">
        <v>9</v>
      </c>
      <c r="N117">
        <v>9</v>
      </c>
      <c r="O117">
        <v>9</v>
      </c>
      <c r="P117">
        <v>8</v>
      </c>
      <c r="Q117">
        <v>9</v>
      </c>
    </row>
    <row r="118" spans="1:17" x14ac:dyDescent="0.45">
      <c r="A118" s="19">
        <v>46020.506944444445</v>
      </c>
      <c r="B118" t="s">
        <v>67</v>
      </c>
      <c r="C118" t="s">
        <v>74</v>
      </c>
      <c r="D118" t="s">
        <v>69</v>
      </c>
      <c r="E118" t="s">
        <v>72</v>
      </c>
      <c r="F118" t="s">
        <v>95</v>
      </c>
      <c r="G118" t="s">
        <v>106</v>
      </c>
      <c r="H118" t="s">
        <v>105</v>
      </c>
      <c r="I118">
        <v>8</v>
      </c>
      <c r="J118">
        <v>9</v>
      </c>
      <c r="K118">
        <v>8</v>
      </c>
      <c r="L118">
        <v>6</v>
      </c>
      <c r="M118">
        <v>8</v>
      </c>
      <c r="N118">
        <v>8</v>
      </c>
      <c r="O118">
        <v>8</v>
      </c>
      <c r="P118">
        <v>8</v>
      </c>
      <c r="Q118">
        <v>6</v>
      </c>
    </row>
    <row r="119" spans="1:17" x14ac:dyDescent="0.45">
      <c r="A119" s="19">
        <v>46020.542361111111</v>
      </c>
      <c r="B119" t="s">
        <v>73</v>
      </c>
      <c r="C119" t="s">
        <v>68</v>
      </c>
      <c r="D119" t="s">
        <v>69</v>
      </c>
      <c r="E119" t="s">
        <v>70</v>
      </c>
      <c r="F119" t="s">
        <v>95</v>
      </c>
      <c r="G119" t="s">
        <v>104</v>
      </c>
      <c r="H119" t="s">
        <v>97</v>
      </c>
      <c r="I119">
        <v>4</v>
      </c>
      <c r="J119">
        <v>1</v>
      </c>
      <c r="K119">
        <v>1</v>
      </c>
      <c r="L119">
        <v>5</v>
      </c>
      <c r="M119">
        <v>1</v>
      </c>
      <c r="N119">
        <v>3</v>
      </c>
      <c r="O119">
        <v>1</v>
      </c>
      <c r="P119">
        <v>1</v>
      </c>
      <c r="Q119">
        <v>5</v>
      </c>
    </row>
    <row r="120" spans="1:17" x14ac:dyDescent="0.45">
      <c r="A120" s="19">
        <v>46020.543055555558</v>
      </c>
      <c r="B120" t="s">
        <v>67</v>
      </c>
      <c r="C120" t="s">
        <v>189</v>
      </c>
      <c r="D120" t="s">
        <v>69</v>
      </c>
      <c r="E120" t="s">
        <v>72</v>
      </c>
      <c r="F120" t="s">
        <v>95</v>
      </c>
      <c r="G120" t="s">
        <v>106</v>
      </c>
      <c r="H120" t="s">
        <v>191</v>
      </c>
      <c r="I120">
        <v>8</v>
      </c>
      <c r="J120">
        <v>8</v>
      </c>
      <c r="K120">
        <v>6</v>
      </c>
      <c r="L120">
        <v>9</v>
      </c>
      <c r="M120">
        <v>8</v>
      </c>
      <c r="N120">
        <v>7</v>
      </c>
      <c r="O120">
        <v>7</v>
      </c>
      <c r="P120">
        <v>7</v>
      </c>
      <c r="Q120">
        <v>7</v>
      </c>
    </row>
    <row r="121" spans="1:17" x14ac:dyDescent="0.45">
      <c r="A121" s="19">
        <v>46020.543749999997</v>
      </c>
      <c r="B121" t="s">
        <v>67</v>
      </c>
      <c r="C121" t="s">
        <v>74</v>
      </c>
      <c r="D121" t="s">
        <v>75</v>
      </c>
      <c r="E121" t="s">
        <v>72</v>
      </c>
      <c r="F121" t="s">
        <v>95</v>
      </c>
      <c r="G121" t="s">
        <v>96</v>
      </c>
      <c r="H121" t="s">
        <v>101</v>
      </c>
      <c r="I121">
        <v>6</v>
      </c>
      <c r="J121">
        <v>6</v>
      </c>
      <c r="K121">
        <v>6</v>
      </c>
      <c r="L121">
        <v>6</v>
      </c>
      <c r="M121">
        <v>6</v>
      </c>
      <c r="N121">
        <v>6</v>
      </c>
      <c r="O121">
        <v>6</v>
      </c>
      <c r="P121">
        <v>6</v>
      </c>
      <c r="Q121">
        <v>6</v>
      </c>
    </row>
    <row r="122" spans="1:17" x14ac:dyDescent="0.45">
      <c r="A122" s="19">
        <v>46020.544444444444</v>
      </c>
      <c r="B122" t="s">
        <v>73</v>
      </c>
      <c r="C122" t="s">
        <v>187</v>
      </c>
      <c r="D122" t="s">
        <v>69</v>
      </c>
      <c r="E122" t="s">
        <v>70</v>
      </c>
      <c r="F122" t="s">
        <v>98</v>
      </c>
      <c r="G122" t="s">
        <v>103</v>
      </c>
      <c r="H122" t="s">
        <v>191</v>
      </c>
      <c r="I122">
        <v>1</v>
      </c>
      <c r="J122">
        <v>1</v>
      </c>
      <c r="K122">
        <v>1</v>
      </c>
      <c r="L122">
        <v>5</v>
      </c>
      <c r="M122">
        <v>1</v>
      </c>
      <c r="N122">
        <v>1</v>
      </c>
      <c r="O122">
        <v>1</v>
      </c>
      <c r="P122">
        <v>1</v>
      </c>
      <c r="Q122">
        <v>5</v>
      </c>
    </row>
    <row r="123" spans="1:17" x14ac:dyDescent="0.45">
      <c r="A123" s="19">
        <v>46020.545138888891</v>
      </c>
      <c r="B123" t="s">
        <v>73</v>
      </c>
      <c r="C123" t="s">
        <v>74</v>
      </c>
      <c r="D123" t="s">
        <v>69</v>
      </c>
      <c r="E123" t="s">
        <v>72</v>
      </c>
      <c r="F123" t="s">
        <v>95</v>
      </c>
      <c r="G123" t="s">
        <v>103</v>
      </c>
      <c r="H123" t="s">
        <v>105</v>
      </c>
      <c r="I123">
        <v>4</v>
      </c>
      <c r="J123">
        <v>4</v>
      </c>
      <c r="K123">
        <v>2</v>
      </c>
      <c r="L123">
        <v>5</v>
      </c>
      <c r="M123">
        <v>1</v>
      </c>
      <c r="N123">
        <v>1</v>
      </c>
      <c r="O123">
        <v>1</v>
      </c>
      <c r="P123">
        <v>4</v>
      </c>
      <c r="Q123">
        <v>4</v>
      </c>
    </row>
    <row r="124" spans="1:17" x14ac:dyDescent="0.45">
      <c r="A124" s="19">
        <v>46020.54583333333</v>
      </c>
      <c r="B124" t="s">
        <v>67</v>
      </c>
      <c r="C124" t="s">
        <v>184</v>
      </c>
      <c r="D124" t="s">
        <v>69</v>
      </c>
      <c r="E124" t="s">
        <v>72</v>
      </c>
      <c r="F124" t="s">
        <v>95</v>
      </c>
      <c r="G124" t="s">
        <v>190</v>
      </c>
      <c r="H124" t="s">
        <v>105</v>
      </c>
      <c r="I124">
        <v>7</v>
      </c>
      <c r="J124">
        <v>7</v>
      </c>
      <c r="K124">
        <v>7</v>
      </c>
      <c r="L124">
        <v>7</v>
      </c>
      <c r="M124">
        <v>7</v>
      </c>
      <c r="N124">
        <v>7</v>
      </c>
      <c r="O124">
        <v>7</v>
      </c>
      <c r="P124">
        <v>7</v>
      </c>
      <c r="Q124">
        <v>8</v>
      </c>
    </row>
    <row r="125" spans="1:17" x14ac:dyDescent="0.45">
      <c r="A125" s="19">
        <v>46020.589583333334</v>
      </c>
      <c r="B125" t="s">
        <v>67</v>
      </c>
      <c r="C125" t="s">
        <v>187</v>
      </c>
      <c r="D125" t="s">
        <v>69</v>
      </c>
      <c r="E125" t="s">
        <v>70</v>
      </c>
      <c r="F125" t="s">
        <v>95</v>
      </c>
      <c r="G125" t="s">
        <v>104</v>
      </c>
      <c r="H125" t="s">
        <v>97</v>
      </c>
      <c r="I125">
        <v>10</v>
      </c>
      <c r="J125">
        <v>9</v>
      </c>
      <c r="K125">
        <v>10</v>
      </c>
      <c r="L125">
        <v>10</v>
      </c>
      <c r="M125">
        <v>10</v>
      </c>
      <c r="N125">
        <v>8</v>
      </c>
      <c r="O125">
        <v>9</v>
      </c>
      <c r="P125">
        <v>9</v>
      </c>
      <c r="Q125">
        <v>9</v>
      </c>
    </row>
    <row r="126" spans="1:17" x14ac:dyDescent="0.45">
      <c r="A126" s="19">
        <v>46020.590277777781</v>
      </c>
      <c r="B126" t="s">
        <v>67</v>
      </c>
      <c r="C126" t="s">
        <v>184</v>
      </c>
      <c r="D126" t="s">
        <v>69</v>
      </c>
      <c r="E126" t="s">
        <v>72</v>
      </c>
      <c r="F126" t="s">
        <v>95</v>
      </c>
      <c r="G126" t="s">
        <v>99</v>
      </c>
      <c r="H126" t="s">
        <v>100</v>
      </c>
      <c r="I126">
        <v>10</v>
      </c>
      <c r="J126">
        <v>10</v>
      </c>
      <c r="K126">
        <v>10</v>
      </c>
      <c r="L126">
        <v>10</v>
      </c>
      <c r="M126">
        <v>10</v>
      </c>
      <c r="N126">
        <v>10</v>
      </c>
      <c r="O126">
        <v>10</v>
      </c>
      <c r="P126">
        <v>10</v>
      </c>
      <c r="Q126">
        <v>10</v>
      </c>
    </row>
    <row r="127" spans="1:17" x14ac:dyDescent="0.45">
      <c r="A127" s="19">
        <v>46020.601388888892</v>
      </c>
      <c r="B127" t="s">
        <v>73</v>
      </c>
      <c r="C127" t="s">
        <v>76</v>
      </c>
      <c r="D127" t="s">
        <v>69</v>
      </c>
      <c r="E127" t="s">
        <v>72</v>
      </c>
      <c r="F127" t="s">
        <v>95</v>
      </c>
      <c r="G127" t="s">
        <v>96</v>
      </c>
      <c r="H127" t="s">
        <v>105</v>
      </c>
      <c r="I127">
        <v>8</v>
      </c>
      <c r="J127">
        <v>8</v>
      </c>
      <c r="K127">
        <v>5</v>
      </c>
      <c r="L127">
        <v>8</v>
      </c>
      <c r="M127">
        <v>8</v>
      </c>
      <c r="N127">
        <v>8</v>
      </c>
      <c r="O127">
        <v>7</v>
      </c>
      <c r="P127">
        <v>7</v>
      </c>
      <c r="Q127">
        <v>8</v>
      </c>
    </row>
    <row r="128" spans="1:17" x14ac:dyDescent="0.45">
      <c r="A128" s="19">
        <v>46020.602083333331</v>
      </c>
      <c r="B128" t="s">
        <v>67</v>
      </c>
      <c r="C128" t="s">
        <v>74</v>
      </c>
      <c r="D128" t="s">
        <v>69</v>
      </c>
      <c r="E128" t="s">
        <v>72</v>
      </c>
      <c r="F128" t="s">
        <v>95</v>
      </c>
      <c r="G128" t="s">
        <v>103</v>
      </c>
      <c r="H128" t="s">
        <v>191</v>
      </c>
      <c r="I128">
        <v>1</v>
      </c>
      <c r="J128">
        <v>1</v>
      </c>
      <c r="K128">
        <v>1</v>
      </c>
      <c r="L128">
        <v>5</v>
      </c>
      <c r="M128">
        <v>1</v>
      </c>
      <c r="N128">
        <v>1</v>
      </c>
      <c r="O128">
        <v>1</v>
      </c>
      <c r="P128">
        <v>5</v>
      </c>
      <c r="Q128">
        <v>5</v>
      </c>
    </row>
    <row r="129" spans="1:17" x14ac:dyDescent="0.45">
      <c r="A129" s="19">
        <v>46020.602777777778</v>
      </c>
      <c r="B129" t="s">
        <v>73</v>
      </c>
      <c r="C129" t="s">
        <v>187</v>
      </c>
      <c r="D129" t="s">
        <v>69</v>
      </c>
      <c r="E129" t="s">
        <v>72</v>
      </c>
      <c r="F129" t="s">
        <v>95</v>
      </c>
      <c r="G129" t="s">
        <v>103</v>
      </c>
      <c r="H129" t="s">
        <v>191</v>
      </c>
      <c r="I129">
        <v>6</v>
      </c>
      <c r="J129">
        <v>6</v>
      </c>
      <c r="K129">
        <v>6</v>
      </c>
      <c r="L129">
        <v>8</v>
      </c>
      <c r="M129">
        <v>6</v>
      </c>
      <c r="N129">
        <v>3</v>
      </c>
      <c r="O129">
        <v>5</v>
      </c>
      <c r="P129">
        <v>5</v>
      </c>
      <c r="Q129">
        <v>4</v>
      </c>
    </row>
    <row r="130" spans="1:17" x14ac:dyDescent="0.45">
      <c r="A130" s="19">
        <v>46020.603472222225</v>
      </c>
      <c r="B130" t="s">
        <v>73</v>
      </c>
      <c r="C130" t="s">
        <v>187</v>
      </c>
      <c r="D130" t="s">
        <v>69</v>
      </c>
      <c r="E130" t="s">
        <v>70</v>
      </c>
      <c r="F130" t="s">
        <v>95</v>
      </c>
      <c r="G130" t="s">
        <v>103</v>
      </c>
      <c r="H130" t="s">
        <v>101</v>
      </c>
      <c r="I130">
        <v>6</v>
      </c>
      <c r="J130">
        <v>6</v>
      </c>
      <c r="K130">
        <v>4</v>
      </c>
      <c r="L130">
        <v>5</v>
      </c>
      <c r="M130">
        <v>5</v>
      </c>
      <c r="N130">
        <v>1</v>
      </c>
      <c r="O130">
        <v>5</v>
      </c>
      <c r="P130">
        <v>4</v>
      </c>
      <c r="Q130">
        <v>5</v>
      </c>
    </row>
    <row r="131" spans="1:17" x14ac:dyDescent="0.45">
      <c r="A131" s="19">
        <v>46020.603472222225</v>
      </c>
      <c r="B131" t="s">
        <v>67</v>
      </c>
      <c r="C131" t="s">
        <v>189</v>
      </c>
      <c r="D131" t="s">
        <v>69</v>
      </c>
      <c r="E131" t="s">
        <v>70</v>
      </c>
      <c r="F131" t="s">
        <v>95</v>
      </c>
      <c r="G131" t="s">
        <v>102</v>
      </c>
      <c r="H131" t="s">
        <v>100</v>
      </c>
      <c r="I131">
        <v>5</v>
      </c>
      <c r="J131">
        <v>5</v>
      </c>
      <c r="K131">
        <v>1</v>
      </c>
      <c r="L131">
        <v>4</v>
      </c>
      <c r="M131">
        <v>2</v>
      </c>
      <c r="N131">
        <v>1</v>
      </c>
      <c r="O131">
        <v>1</v>
      </c>
      <c r="P131">
        <v>1</v>
      </c>
      <c r="Q131">
        <v>5</v>
      </c>
    </row>
    <row r="132" spans="1:17" x14ac:dyDescent="0.45">
      <c r="A132" s="19">
        <v>46020.604861111111</v>
      </c>
      <c r="B132" t="s">
        <v>67</v>
      </c>
      <c r="C132" t="s">
        <v>68</v>
      </c>
      <c r="D132" t="s">
        <v>69</v>
      </c>
      <c r="E132" t="s">
        <v>70</v>
      </c>
      <c r="F132" t="s">
        <v>95</v>
      </c>
      <c r="G132" t="s">
        <v>102</v>
      </c>
      <c r="H132" t="s">
        <v>97</v>
      </c>
      <c r="I132">
        <v>8</v>
      </c>
      <c r="J132">
        <v>9</v>
      </c>
      <c r="K132">
        <v>5</v>
      </c>
      <c r="L132">
        <v>5</v>
      </c>
      <c r="M132">
        <v>5</v>
      </c>
      <c r="N132">
        <v>4</v>
      </c>
      <c r="O132">
        <v>5</v>
      </c>
      <c r="P132">
        <v>5</v>
      </c>
      <c r="Q132">
        <v>5</v>
      </c>
    </row>
    <row r="133" spans="1:17" x14ac:dyDescent="0.45">
      <c r="A133" s="19">
        <v>46020.604861111111</v>
      </c>
      <c r="B133" t="s">
        <v>73</v>
      </c>
      <c r="C133" t="s">
        <v>184</v>
      </c>
      <c r="D133" t="s">
        <v>69</v>
      </c>
      <c r="E133" t="s">
        <v>72</v>
      </c>
      <c r="F133" t="s">
        <v>95</v>
      </c>
      <c r="G133" t="s">
        <v>99</v>
      </c>
      <c r="H133" t="s">
        <v>105</v>
      </c>
      <c r="I133">
        <v>9</v>
      </c>
      <c r="J133">
        <v>9</v>
      </c>
      <c r="K133">
        <v>9</v>
      </c>
      <c r="L133">
        <v>9</v>
      </c>
      <c r="M133">
        <v>7</v>
      </c>
      <c r="N133">
        <v>10</v>
      </c>
      <c r="O133">
        <v>5</v>
      </c>
      <c r="P133">
        <v>5</v>
      </c>
      <c r="Q133">
        <v>9</v>
      </c>
    </row>
    <row r="134" spans="1:17" x14ac:dyDescent="0.45">
      <c r="A134" s="19">
        <v>46020.605555555558</v>
      </c>
      <c r="B134" t="s">
        <v>73</v>
      </c>
      <c r="C134" t="s">
        <v>76</v>
      </c>
      <c r="D134" t="s">
        <v>69</v>
      </c>
      <c r="E134" t="s">
        <v>186</v>
      </c>
      <c r="F134" t="s">
        <v>95</v>
      </c>
      <c r="G134" t="s">
        <v>104</v>
      </c>
      <c r="H134" t="s">
        <v>105</v>
      </c>
      <c r="I134">
        <v>5</v>
      </c>
      <c r="J134">
        <v>5</v>
      </c>
      <c r="K134">
        <v>5</v>
      </c>
      <c r="L134">
        <v>5</v>
      </c>
      <c r="M134">
        <v>5</v>
      </c>
      <c r="N134">
        <v>5</v>
      </c>
      <c r="O134">
        <v>5</v>
      </c>
      <c r="P134">
        <v>5</v>
      </c>
      <c r="Q134">
        <v>5</v>
      </c>
    </row>
    <row r="135" spans="1:17" x14ac:dyDescent="0.45">
      <c r="A135" s="19">
        <v>46020.606249999997</v>
      </c>
      <c r="B135" t="s">
        <v>67</v>
      </c>
      <c r="C135" t="s">
        <v>184</v>
      </c>
      <c r="D135" t="s">
        <v>69</v>
      </c>
      <c r="E135" t="s">
        <v>72</v>
      </c>
      <c r="F135" t="s">
        <v>95</v>
      </c>
      <c r="G135" t="s">
        <v>192</v>
      </c>
      <c r="H135" t="s">
        <v>105</v>
      </c>
      <c r="I135">
        <v>9</v>
      </c>
      <c r="J135">
        <v>9</v>
      </c>
      <c r="K135">
        <v>5</v>
      </c>
      <c r="L135">
        <v>9</v>
      </c>
      <c r="M135">
        <v>8</v>
      </c>
      <c r="N135">
        <v>10</v>
      </c>
      <c r="O135">
        <v>5</v>
      </c>
      <c r="P135">
        <v>5</v>
      </c>
      <c r="Q135">
        <v>7</v>
      </c>
    </row>
    <row r="136" spans="1:17" x14ac:dyDescent="0.45">
      <c r="A136" s="19">
        <v>46020.609027777777</v>
      </c>
      <c r="B136" t="s">
        <v>73</v>
      </c>
      <c r="C136" t="s">
        <v>184</v>
      </c>
      <c r="D136" t="s">
        <v>69</v>
      </c>
      <c r="E136" t="s">
        <v>72</v>
      </c>
      <c r="F136" t="s">
        <v>95</v>
      </c>
      <c r="G136" t="s">
        <v>99</v>
      </c>
      <c r="H136" t="s">
        <v>105</v>
      </c>
      <c r="I136">
        <v>5</v>
      </c>
      <c r="J136">
        <v>5</v>
      </c>
      <c r="K136">
        <v>5</v>
      </c>
      <c r="L136">
        <v>6</v>
      </c>
      <c r="M136">
        <v>6</v>
      </c>
      <c r="N136">
        <v>6</v>
      </c>
      <c r="O136">
        <v>6</v>
      </c>
      <c r="P136">
        <v>6</v>
      </c>
      <c r="Q136">
        <v>6</v>
      </c>
    </row>
    <row r="137" spans="1:17" x14ac:dyDescent="0.45">
      <c r="A137" s="19">
        <v>46020.613194444442</v>
      </c>
      <c r="B137" t="s">
        <v>67</v>
      </c>
      <c r="C137" t="s">
        <v>189</v>
      </c>
      <c r="D137" t="s">
        <v>69</v>
      </c>
      <c r="E137" t="s">
        <v>72</v>
      </c>
      <c r="F137" t="s">
        <v>193</v>
      </c>
      <c r="G137" t="s">
        <v>190</v>
      </c>
      <c r="H137" t="s">
        <v>105</v>
      </c>
      <c r="I137">
        <v>8</v>
      </c>
      <c r="J137">
        <v>8</v>
      </c>
      <c r="K137">
        <v>8</v>
      </c>
      <c r="L137">
        <v>8</v>
      </c>
      <c r="M137">
        <v>10</v>
      </c>
      <c r="N137">
        <v>10</v>
      </c>
      <c r="O137">
        <v>10</v>
      </c>
      <c r="P137">
        <v>10</v>
      </c>
      <c r="Q137">
        <v>10</v>
      </c>
    </row>
    <row r="138" spans="1:17" x14ac:dyDescent="0.45">
      <c r="A138" s="19">
        <v>46020.637499999997</v>
      </c>
      <c r="B138" t="s">
        <v>73</v>
      </c>
      <c r="C138" t="s">
        <v>187</v>
      </c>
      <c r="D138" t="s">
        <v>69</v>
      </c>
      <c r="E138" t="s">
        <v>72</v>
      </c>
      <c r="F138" t="s">
        <v>95</v>
      </c>
      <c r="G138" t="s">
        <v>103</v>
      </c>
      <c r="H138" t="s">
        <v>191</v>
      </c>
      <c r="I138">
        <v>8</v>
      </c>
      <c r="J138">
        <v>8</v>
      </c>
      <c r="K138">
        <v>8</v>
      </c>
      <c r="L138">
        <v>8</v>
      </c>
      <c r="M138">
        <v>8</v>
      </c>
      <c r="N138">
        <v>8</v>
      </c>
      <c r="O138">
        <v>5</v>
      </c>
      <c r="P138">
        <v>7</v>
      </c>
      <c r="Q138">
        <v>8</v>
      </c>
    </row>
    <row r="139" spans="1:17" x14ac:dyDescent="0.45">
      <c r="A139" s="19">
        <v>46020.640972222223</v>
      </c>
      <c r="B139" t="s">
        <v>67</v>
      </c>
      <c r="C139" t="s">
        <v>76</v>
      </c>
      <c r="D139" t="s">
        <v>69</v>
      </c>
      <c r="E139" t="s">
        <v>70</v>
      </c>
      <c r="F139" t="s">
        <v>95</v>
      </c>
      <c r="G139" t="s">
        <v>99</v>
      </c>
      <c r="H139" t="s">
        <v>105</v>
      </c>
      <c r="I139">
        <v>8</v>
      </c>
      <c r="J139">
        <v>9</v>
      </c>
      <c r="K139">
        <v>7</v>
      </c>
      <c r="L139">
        <v>7</v>
      </c>
      <c r="M139">
        <v>6</v>
      </c>
      <c r="N139">
        <v>6</v>
      </c>
      <c r="O139">
        <v>2</v>
      </c>
      <c r="P139">
        <v>5</v>
      </c>
      <c r="Q139">
        <v>6</v>
      </c>
    </row>
    <row r="140" spans="1:17" x14ac:dyDescent="0.45">
      <c r="A140" s="19">
        <v>46020.852083333331</v>
      </c>
      <c r="B140" t="s">
        <v>67</v>
      </c>
      <c r="C140" t="s">
        <v>74</v>
      </c>
      <c r="D140" t="s">
        <v>69</v>
      </c>
      <c r="E140" t="s">
        <v>70</v>
      </c>
      <c r="F140" t="s">
        <v>95</v>
      </c>
      <c r="G140" t="s">
        <v>103</v>
      </c>
      <c r="H140" t="s">
        <v>100</v>
      </c>
      <c r="I140">
        <v>5</v>
      </c>
      <c r="J140">
        <v>4</v>
      </c>
      <c r="K140">
        <v>7</v>
      </c>
      <c r="L140">
        <v>6</v>
      </c>
      <c r="M140">
        <v>3</v>
      </c>
      <c r="N140">
        <v>4</v>
      </c>
      <c r="O140">
        <v>4</v>
      </c>
      <c r="P140">
        <v>5</v>
      </c>
      <c r="Q140">
        <v>5</v>
      </c>
    </row>
    <row r="141" spans="1:17" x14ac:dyDescent="0.45">
      <c r="A141" s="19">
        <v>46020.888888888891</v>
      </c>
      <c r="B141" t="s">
        <v>67</v>
      </c>
      <c r="C141" t="s">
        <v>68</v>
      </c>
      <c r="D141" t="s">
        <v>69</v>
      </c>
      <c r="E141" t="s">
        <v>72</v>
      </c>
      <c r="F141" t="s">
        <v>95</v>
      </c>
      <c r="G141" t="s">
        <v>96</v>
      </c>
      <c r="H141" t="s">
        <v>97</v>
      </c>
      <c r="I141">
        <v>10</v>
      </c>
      <c r="J141">
        <v>9</v>
      </c>
      <c r="K141">
        <v>9</v>
      </c>
      <c r="L141">
        <v>9</v>
      </c>
      <c r="M141">
        <v>8</v>
      </c>
      <c r="N141">
        <v>8</v>
      </c>
      <c r="O141">
        <v>8</v>
      </c>
      <c r="P141">
        <v>8</v>
      </c>
      <c r="Q141">
        <v>10</v>
      </c>
    </row>
    <row r="142" spans="1:17" x14ac:dyDescent="0.45">
      <c r="A142" s="19">
        <v>46020.88958333333</v>
      </c>
      <c r="B142" t="s">
        <v>73</v>
      </c>
      <c r="C142" t="s">
        <v>68</v>
      </c>
      <c r="D142" t="s">
        <v>69</v>
      </c>
      <c r="E142" t="s">
        <v>72</v>
      </c>
      <c r="F142" t="s">
        <v>95</v>
      </c>
      <c r="G142" t="s">
        <v>96</v>
      </c>
      <c r="H142" t="s">
        <v>97</v>
      </c>
      <c r="I142">
        <v>8</v>
      </c>
      <c r="J142">
        <v>7</v>
      </c>
      <c r="K142">
        <v>6</v>
      </c>
      <c r="L142">
        <v>6</v>
      </c>
      <c r="M142">
        <v>5</v>
      </c>
      <c r="N142">
        <v>5</v>
      </c>
      <c r="O142">
        <v>3</v>
      </c>
      <c r="P142">
        <v>3</v>
      </c>
      <c r="Q142">
        <v>5</v>
      </c>
    </row>
    <row r="143" spans="1:17" x14ac:dyDescent="0.45">
      <c r="A143" s="19">
        <v>46021.341666666667</v>
      </c>
      <c r="B143" t="s">
        <v>73</v>
      </c>
      <c r="C143" t="s">
        <v>74</v>
      </c>
      <c r="D143" t="s">
        <v>69</v>
      </c>
      <c r="E143" t="s">
        <v>70</v>
      </c>
      <c r="F143" t="s">
        <v>95</v>
      </c>
      <c r="G143" t="s">
        <v>190</v>
      </c>
      <c r="H143" t="s">
        <v>97</v>
      </c>
      <c r="I143">
        <v>5</v>
      </c>
      <c r="J143">
        <v>6</v>
      </c>
      <c r="K143">
        <v>5</v>
      </c>
      <c r="L143">
        <v>7</v>
      </c>
      <c r="M143">
        <v>6</v>
      </c>
      <c r="N143">
        <v>6</v>
      </c>
      <c r="O143">
        <v>6</v>
      </c>
      <c r="P143">
        <v>7</v>
      </c>
      <c r="Q143">
        <v>7</v>
      </c>
    </row>
    <row r="144" spans="1:17" x14ac:dyDescent="0.45">
      <c r="A144" s="19">
        <v>46021.448611111111</v>
      </c>
      <c r="B144" t="s">
        <v>73</v>
      </c>
      <c r="C144" t="s">
        <v>68</v>
      </c>
      <c r="D144" t="s">
        <v>69</v>
      </c>
      <c r="E144" t="s">
        <v>70</v>
      </c>
      <c r="F144" t="s">
        <v>95</v>
      </c>
      <c r="G144" t="s">
        <v>103</v>
      </c>
      <c r="H144" t="s">
        <v>105</v>
      </c>
      <c r="I144">
        <v>1</v>
      </c>
      <c r="J144">
        <v>1</v>
      </c>
      <c r="K144">
        <v>8</v>
      </c>
      <c r="L144">
        <v>8</v>
      </c>
      <c r="M144">
        <v>8</v>
      </c>
      <c r="N144">
        <v>8</v>
      </c>
      <c r="O144">
        <v>8</v>
      </c>
      <c r="P144">
        <v>8</v>
      </c>
      <c r="Q144">
        <v>8</v>
      </c>
    </row>
    <row r="145" spans="1:17" x14ac:dyDescent="0.45">
      <c r="A145" s="19">
        <v>46021.449305555558</v>
      </c>
      <c r="B145" t="s">
        <v>67</v>
      </c>
      <c r="C145" t="s">
        <v>187</v>
      </c>
      <c r="D145" t="s">
        <v>69</v>
      </c>
      <c r="E145" t="s">
        <v>72</v>
      </c>
      <c r="F145" t="s">
        <v>95</v>
      </c>
      <c r="G145" t="s">
        <v>106</v>
      </c>
      <c r="H145" t="s">
        <v>100</v>
      </c>
      <c r="I145">
        <v>9</v>
      </c>
      <c r="J145">
        <v>9</v>
      </c>
      <c r="K145">
        <v>9</v>
      </c>
      <c r="L145">
        <v>9</v>
      </c>
      <c r="M145">
        <v>10</v>
      </c>
      <c r="N145">
        <v>5</v>
      </c>
      <c r="O145">
        <v>9</v>
      </c>
      <c r="P145">
        <v>9</v>
      </c>
      <c r="Q145">
        <v>10</v>
      </c>
    </row>
    <row r="146" spans="1:17" x14ac:dyDescent="0.45">
      <c r="A146" s="19">
        <v>46021.451388888891</v>
      </c>
      <c r="B146" t="s">
        <v>67</v>
      </c>
      <c r="C146" t="s">
        <v>74</v>
      </c>
      <c r="D146" t="s">
        <v>69</v>
      </c>
      <c r="E146" t="s">
        <v>72</v>
      </c>
      <c r="F146" t="s">
        <v>95</v>
      </c>
      <c r="G146" t="s">
        <v>106</v>
      </c>
      <c r="H146" t="s">
        <v>100</v>
      </c>
      <c r="I146">
        <v>10</v>
      </c>
      <c r="J146">
        <v>10</v>
      </c>
      <c r="K146">
        <v>9</v>
      </c>
      <c r="L146">
        <v>6</v>
      </c>
      <c r="M146">
        <v>6</v>
      </c>
      <c r="N146">
        <v>3</v>
      </c>
      <c r="O146">
        <v>5</v>
      </c>
      <c r="P146">
        <v>5</v>
      </c>
      <c r="Q146">
        <v>1</v>
      </c>
    </row>
    <row r="147" spans="1:17" x14ac:dyDescent="0.45">
      <c r="A147" s="19">
        <v>46021.45416666667</v>
      </c>
      <c r="B147" t="s">
        <v>67</v>
      </c>
      <c r="C147" t="s">
        <v>74</v>
      </c>
      <c r="D147" t="s">
        <v>69</v>
      </c>
      <c r="E147" t="s">
        <v>72</v>
      </c>
      <c r="F147" t="s">
        <v>95</v>
      </c>
      <c r="G147" t="s">
        <v>102</v>
      </c>
      <c r="H147" t="s">
        <v>101</v>
      </c>
      <c r="I147">
        <v>8</v>
      </c>
      <c r="J147">
        <v>8</v>
      </c>
      <c r="K147">
        <v>5</v>
      </c>
      <c r="L147">
        <v>5</v>
      </c>
      <c r="M147">
        <v>5</v>
      </c>
      <c r="N147">
        <v>3</v>
      </c>
      <c r="O147">
        <v>5</v>
      </c>
      <c r="P147">
        <v>5</v>
      </c>
      <c r="Q147">
        <v>5</v>
      </c>
    </row>
    <row r="148" spans="1:17" x14ac:dyDescent="0.45">
      <c r="A148" s="19">
        <v>46021.457638888889</v>
      </c>
      <c r="B148" t="s">
        <v>67</v>
      </c>
      <c r="C148" t="s">
        <v>189</v>
      </c>
      <c r="D148" t="s">
        <v>69</v>
      </c>
      <c r="E148" t="s">
        <v>70</v>
      </c>
      <c r="F148" t="s">
        <v>95</v>
      </c>
      <c r="G148" t="s">
        <v>103</v>
      </c>
      <c r="H148" t="s">
        <v>105</v>
      </c>
      <c r="I148">
        <v>7</v>
      </c>
      <c r="J148">
        <v>7</v>
      </c>
      <c r="K148">
        <v>1</v>
      </c>
      <c r="L148">
        <v>6</v>
      </c>
      <c r="M148">
        <v>3</v>
      </c>
      <c r="N148">
        <v>5</v>
      </c>
      <c r="O148">
        <v>1</v>
      </c>
      <c r="P148">
        <v>4</v>
      </c>
      <c r="Q148">
        <v>5</v>
      </c>
    </row>
    <row r="149" spans="1:17" x14ac:dyDescent="0.45">
      <c r="A149" s="19">
        <v>46021.461805555555</v>
      </c>
      <c r="B149" t="s">
        <v>73</v>
      </c>
      <c r="C149" t="s">
        <v>76</v>
      </c>
      <c r="D149" t="s">
        <v>69</v>
      </c>
      <c r="E149" t="s">
        <v>72</v>
      </c>
      <c r="F149" t="s">
        <v>95</v>
      </c>
      <c r="G149" t="s">
        <v>192</v>
      </c>
      <c r="H149" t="s">
        <v>105</v>
      </c>
      <c r="I149">
        <v>6</v>
      </c>
      <c r="J149">
        <v>6</v>
      </c>
      <c r="K149">
        <v>5</v>
      </c>
      <c r="L149">
        <v>7</v>
      </c>
      <c r="M149">
        <v>5</v>
      </c>
      <c r="N149">
        <v>7</v>
      </c>
      <c r="O149">
        <v>5</v>
      </c>
      <c r="P149">
        <v>6</v>
      </c>
      <c r="Q149">
        <v>7</v>
      </c>
    </row>
    <row r="150" spans="1:17" x14ac:dyDescent="0.45">
      <c r="A150" s="19">
        <v>46021.464583333334</v>
      </c>
      <c r="B150" t="s">
        <v>67</v>
      </c>
      <c r="C150" t="s">
        <v>74</v>
      </c>
      <c r="D150" t="s">
        <v>69</v>
      </c>
      <c r="E150" t="s">
        <v>72</v>
      </c>
      <c r="F150" t="s">
        <v>95</v>
      </c>
      <c r="G150" t="s">
        <v>103</v>
      </c>
      <c r="H150" t="s">
        <v>101</v>
      </c>
      <c r="I150">
        <v>10</v>
      </c>
      <c r="J150">
        <v>10</v>
      </c>
      <c r="K150">
        <v>7</v>
      </c>
      <c r="L150">
        <v>8</v>
      </c>
      <c r="M150">
        <v>8</v>
      </c>
      <c r="N150">
        <v>4</v>
      </c>
      <c r="O150">
        <v>1</v>
      </c>
      <c r="P150">
        <v>3</v>
      </c>
      <c r="Q150">
        <v>6</v>
      </c>
    </row>
    <row r="151" spans="1:17" x14ac:dyDescent="0.45">
      <c r="A151" s="19">
        <v>46021.474999999999</v>
      </c>
      <c r="B151" t="s">
        <v>67</v>
      </c>
      <c r="C151" t="s">
        <v>74</v>
      </c>
      <c r="D151" t="s">
        <v>69</v>
      </c>
      <c r="E151" t="s">
        <v>72</v>
      </c>
      <c r="F151" t="s">
        <v>95</v>
      </c>
      <c r="G151" t="s">
        <v>106</v>
      </c>
      <c r="H151" t="s">
        <v>100</v>
      </c>
      <c r="I151">
        <v>7</v>
      </c>
      <c r="J151">
        <v>10</v>
      </c>
      <c r="K151">
        <v>5</v>
      </c>
      <c r="L151">
        <v>7</v>
      </c>
      <c r="M151">
        <v>7</v>
      </c>
      <c r="N151">
        <v>7</v>
      </c>
      <c r="O151">
        <v>7</v>
      </c>
      <c r="P151">
        <v>7</v>
      </c>
      <c r="Q151">
        <v>10</v>
      </c>
    </row>
    <row r="152" spans="1:17" x14ac:dyDescent="0.45">
      <c r="A152" s="19">
        <v>46021.487500000003</v>
      </c>
      <c r="B152" t="s">
        <v>67</v>
      </c>
      <c r="C152" t="s">
        <v>68</v>
      </c>
      <c r="D152" t="s">
        <v>69</v>
      </c>
      <c r="E152" t="s">
        <v>72</v>
      </c>
      <c r="F152" t="s">
        <v>95</v>
      </c>
      <c r="G152" t="s">
        <v>102</v>
      </c>
      <c r="H152" t="s">
        <v>100</v>
      </c>
      <c r="I152">
        <v>8</v>
      </c>
      <c r="J152">
        <v>8</v>
      </c>
      <c r="K152">
        <v>8</v>
      </c>
      <c r="L152">
        <v>8</v>
      </c>
      <c r="M152">
        <v>8</v>
      </c>
      <c r="N152">
        <v>8</v>
      </c>
      <c r="O152">
        <v>8</v>
      </c>
      <c r="P152">
        <v>8</v>
      </c>
      <c r="Q152">
        <v>8</v>
      </c>
    </row>
    <row r="153" spans="1:17" x14ac:dyDescent="0.45">
      <c r="A153" s="19">
        <v>46021.506944444445</v>
      </c>
      <c r="B153" t="s">
        <v>67</v>
      </c>
      <c r="C153" t="s">
        <v>74</v>
      </c>
      <c r="D153" t="s">
        <v>69</v>
      </c>
      <c r="E153" t="s">
        <v>70</v>
      </c>
      <c r="F153" t="s">
        <v>95</v>
      </c>
      <c r="G153" t="s">
        <v>102</v>
      </c>
      <c r="H153" t="s">
        <v>100</v>
      </c>
      <c r="I153">
        <v>10</v>
      </c>
      <c r="J153">
        <v>10</v>
      </c>
      <c r="K153">
        <v>10</v>
      </c>
      <c r="L153">
        <v>10</v>
      </c>
      <c r="M153">
        <v>10</v>
      </c>
      <c r="N153">
        <v>10</v>
      </c>
      <c r="O153">
        <v>10</v>
      </c>
      <c r="P153">
        <v>10</v>
      </c>
      <c r="Q153">
        <v>10</v>
      </c>
    </row>
    <row r="154" spans="1:17" x14ac:dyDescent="0.45">
      <c r="A154" s="19">
        <v>46021.51458333333</v>
      </c>
      <c r="B154" t="s">
        <v>73</v>
      </c>
      <c r="C154" t="s">
        <v>68</v>
      </c>
      <c r="D154" t="s">
        <v>69</v>
      </c>
      <c r="E154" t="s">
        <v>72</v>
      </c>
      <c r="F154" t="s">
        <v>95</v>
      </c>
      <c r="G154" t="s">
        <v>190</v>
      </c>
      <c r="H154" t="s">
        <v>97</v>
      </c>
      <c r="I154">
        <v>7</v>
      </c>
      <c r="J154">
        <v>7</v>
      </c>
      <c r="K154">
        <v>5</v>
      </c>
      <c r="L154">
        <v>7</v>
      </c>
      <c r="M154">
        <v>7</v>
      </c>
      <c r="N154">
        <v>7</v>
      </c>
      <c r="O154">
        <v>7</v>
      </c>
      <c r="P154">
        <v>7</v>
      </c>
      <c r="Q154">
        <v>7</v>
      </c>
    </row>
    <row r="155" spans="1:17" x14ac:dyDescent="0.45">
      <c r="A155" s="19">
        <v>46021.613888888889</v>
      </c>
      <c r="B155" t="s">
        <v>67</v>
      </c>
      <c r="C155" t="s">
        <v>76</v>
      </c>
      <c r="D155" t="s">
        <v>69</v>
      </c>
      <c r="E155" t="s">
        <v>72</v>
      </c>
      <c r="F155" t="s">
        <v>95</v>
      </c>
      <c r="G155" t="s">
        <v>190</v>
      </c>
      <c r="H155" t="s">
        <v>100</v>
      </c>
      <c r="I155">
        <v>7</v>
      </c>
      <c r="J155">
        <v>8</v>
      </c>
      <c r="K155">
        <v>8</v>
      </c>
      <c r="L155">
        <v>8</v>
      </c>
      <c r="M155">
        <v>6</v>
      </c>
      <c r="N155">
        <v>8</v>
      </c>
      <c r="O155">
        <v>5</v>
      </c>
      <c r="P155">
        <v>8</v>
      </c>
      <c r="Q155">
        <v>8</v>
      </c>
    </row>
    <row r="156" spans="1:17" x14ac:dyDescent="0.45">
      <c r="A156" s="19">
        <v>46021.785416666666</v>
      </c>
      <c r="B156" t="s">
        <v>67</v>
      </c>
      <c r="C156" t="s">
        <v>68</v>
      </c>
      <c r="D156" t="s">
        <v>69</v>
      </c>
      <c r="E156" t="s">
        <v>70</v>
      </c>
      <c r="F156" t="s">
        <v>95</v>
      </c>
      <c r="G156" t="s">
        <v>106</v>
      </c>
      <c r="H156" t="s">
        <v>97</v>
      </c>
      <c r="I156">
        <v>10</v>
      </c>
      <c r="J156">
        <v>10</v>
      </c>
      <c r="K156">
        <v>10</v>
      </c>
      <c r="L156">
        <v>10</v>
      </c>
      <c r="M156">
        <v>10</v>
      </c>
      <c r="N156">
        <v>10</v>
      </c>
      <c r="O156">
        <v>10</v>
      </c>
      <c r="P156">
        <v>10</v>
      </c>
      <c r="Q156">
        <v>10</v>
      </c>
    </row>
    <row r="157" spans="1:17" x14ac:dyDescent="0.45">
      <c r="A157" s="19">
        <v>46021.790972222225</v>
      </c>
      <c r="B157" t="s">
        <v>67</v>
      </c>
      <c r="C157" t="s">
        <v>68</v>
      </c>
      <c r="D157" t="s">
        <v>69</v>
      </c>
      <c r="E157" t="s">
        <v>70</v>
      </c>
      <c r="F157" t="s">
        <v>95</v>
      </c>
      <c r="G157" t="s">
        <v>96</v>
      </c>
      <c r="H157" t="s">
        <v>97</v>
      </c>
      <c r="I157">
        <v>10</v>
      </c>
      <c r="J157">
        <v>10</v>
      </c>
      <c r="K157">
        <v>10</v>
      </c>
      <c r="L157">
        <v>10</v>
      </c>
      <c r="M157">
        <v>10</v>
      </c>
      <c r="N157">
        <v>10</v>
      </c>
      <c r="O157">
        <v>10</v>
      </c>
      <c r="P157">
        <v>10</v>
      </c>
      <c r="Q157">
        <v>10</v>
      </c>
    </row>
    <row r="158" spans="1:17" x14ac:dyDescent="0.45">
      <c r="A158" s="19">
        <v>46021.80972222222</v>
      </c>
      <c r="B158" t="s">
        <v>73</v>
      </c>
      <c r="C158" t="s">
        <v>68</v>
      </c>
      <c r="D158" t="s">
        <v>69</v>
      </c>
      <c r="E158" t="s">
        <v>72</v>
      </c>
      <c r="F158" t="s">
        <v>95</v>
      </c>
      <c r="G158" t="s">
        <v>102</v>
      </c>
      <c r="H158" t="s">
        <v>191</v>
      </c>
      <c r="I158">
        <v>10</v>
      </c>
      <c r="J158">
        <v>10</v>
      </c>
      <c r="K158">
        <v>1</v>
      </c>
      <c r="L158">
        <v>10</v>
      </c>
      <c r="M158">
        <v>1</v>
      </c>
      <c r="N158">
        <v>1</v>
      </c>
      <c r="O158">
        <v>1</v>
      </c>
      <c r="P158">
        <v>1</v>
      </c>
      <c r="Q158">
        <v>6</v>
      </c>
    </row>
    <row r="159" spans="1:17" x14ac:dyDescent="0.45">
      <c r="A159" s="19">
        <v>46021.82708333333</v>
      </c>
      <c r="B159" t="s">
        <v>67</v>
      </c>
      <c r="C159" t="s">
        <v>68</v>
      </c>
      <c r="D159" t="s">
        <v>69</v>
      </c>
      <c r="E159" t="s">
        <v>72</v>
      </c>
      <c r="F159" t="s">
        <v>95</v>
      </c>
      <c r="G159" t="s">
        <v>102</v>
      </c>
      <c r="H159" t="s">
        <v>100</v>
      </c>
      <c r="I159">
        <v>7</v>
      </c>
      <c r="J159">
        <v>8</v>
      </c>
      <c r="K159">
        <v>6</v>
      </c>
      <c r="L159">
        <v>6</v>
      </c>
      <c r="M159">
        <v>7</v>
      </c>
      <c r="N159">
        <v>5</v>
      </c>
      <c r="O159">
        <v>6</v>
      </c>
      <c r="P159">
        <v>7</v>
      </c>
      <c r="Q159">
        <v>7</v>
      </c>
    </row>
    <row r="160" spans="1:17" x14ac:dyDescent="0.45">
      <c r="A160" s="19">
        <v>46023.439583333333</v>
      </c>
      <c r="B160" t="s">
        <v>73</v>
      </c>
      <c r="C160" t="s">
        <v>74</v>
      </c>
      <c r="D160" t="s">
        <v>69</v>
      </c>
      <c r="E160" t="s">
        <v>72</v>
      </c>
      <c r="F160" t="s">
        <v>95</v>
      </c>
      <c r="G160" t="s">
        <v>104</v>
      </c>
      <c r="H160" t="s">
        <v>105</v>
      </c>
      <c r="I160">
        <v>2</v>
      </c>
      <c r="J160">
        <v>7</v>
      </c>
      <c r="K160">
        <v>10</v>
      </c>
      <c r="L160">
        <v>2</v>
      </c>
      <c r="M160">
        <v>10</v>
      </c>
      <c r="N160">
        <v>5</v>
      </c>
      <c r="O160">
        <v>10</v>
      </c>
      <c r="P160">
        <v>3</v>
      </c>
      <c r="Q160">
        <v>3</v>
      </c>
    </row>
    <row r="161" spans="1:17" x14ac:dyDescent="0.45">
      <c r="A161" s="19">
        <v>46023.634027777778</v>
      </c>
      <c r="B161" t="s">
        <v>67</v>
      </c>
      <c r="C161" t="s">
        <v>68</v>
      </c>
      <c r="D161" t="s">
        <v>69</v>
      </c>
      <c r="E161" t="s">
        <v>70</v>
      </c>
      <c r="F161" t="s">
        <v>95</v>
      </c>
      <c r="G161" t="s">
        <v>104</v>
      </c>
      <c r="H161" t="s">
        <v>105</v>
      </c>
      <c r="I161">
        <v>9</v>
      </c>
      <c r="J161">
        <v>9</v>
      </c>
      <c r="K161">
        <v>10</v>
      </c>
      <c r="L161">
        <v>2</v>
      </c>
      <c r="M161">
        <v>9</v>
      </c>
      <c r="N161">
        <v>9</v>
      </c>
      <c r="O161">
        <v>6</v>
      </c>
      <c r="P161">
        <v>8</v>
      </c>
      <c r="Q161">
        <v>10</v>
      </c>
    </row>
    <row r="162" spans="1:17" x14ac:dyDescent="0.45">
      <c r="A162" s="19">
        <v>46023.636805555558</v>
      </c>
      <c r="B162" t="s">
        <v>67</v>
      </c>
      <c r="C162" t="s">
        <v>68</v>
      </c>
      <c r="D162" t="s">
        <v>69</v>
      </c>
      <c r="E162" t="s">
        <v>72</v>
      </c>
      <c r="F162" t="s">
        <v>95</v>
      </c>
      <c r="G162" t="s">
        <v>99</v>
      </c>
      <c r="H162" t="s">
        <v>105</v>
      </c>
      <c r="I162">
        <v>7</v>
      </c>
      <c r="J162">
        <v>5</v>
      </c>
      <c r="K162">
        <v>7</v>
      </c>
      <c r="L162">
        <v>5</v>
      </c>
      <c r="M162">
        <v>3</v>
      </c>
      <c r="N162">
        <v>4</v>
      </c>
      <c r="O162">
        <v>1</v>
      </c>
      <c r="P162">
        <v>5</v>
      </c>
      <c r="Q162">
        <v>5</v>
      </c>
    </row>
    <row r="163" spans="1:17" x14ac:dyDescent="0.45">
      <c r="A163" s="19">
        <v>46023.646527777775</v>
      </c>
      <c r="B163" t="s">
        <v>67</v>
      </c>
      <c r="C163" t="s">
        <v>76</v>
      </c>
      <c r="D163" t="s">
        <v>69</v>
      </c>
      <c r="E163" t="s">
        <v>72</v>
      </c>
      <c r="F163" t="s">
        <v>95</v>
      </c>
      <c r="G163" t="s">
        <v>190</v>
      </c>
      <c r="H163" t="s">
        <v>105</v>
      </c>
      <c r="I163">
        <v>3</v>
      </c>
      <c r="J163">
        <v>8</v>
      </c>
      <c r="K163">
        <v>4</v>
      </c>
      <c r="L163">
        <v>5</v>
      </c>
      <c r="M163">
        <v>5</v>
      </c>
      <c r="N163">
        <v>5</v>
      </c>
      <c r="O163">
        <v>5</v>
      </c>
      <c r="P163">
        <v>5</v>
      </c>
      <c r="Q163">
        <v>5</v>
      </c>
    </row>
    <row r="164" spans="1:17" x14ac:dyDescent="0.45">
      <c r="A164" s="19">
        <v>46024.313194444447</v>
      </c>
      <c r="B164" t="s">
        <v>67</v>
      </c>
      <c r="C164" t="s">
        <v>76</v>
      </c>
      <c r="D164" t="s">
        <v>69</v>
      </c>
      <c r="E164" t="s">
        <v>72</v>
      </c>
      <c r="F164" t="s">
        <v>95</v>
      </c>
      <c r="G164" t="s">
        <v>99</v>
      </c>
      <c r="H164" t="s">
        <v>105</v>
      </c>
      <c r="I164">
        <v>10</v>
      </c>
      <c r="J164">
        <v>10</v>
      </c>
      <c r="K164">
        <v>10</v>
      </c>
      <c r="L164">
        <v>10</v>
      </c>
      <c r="M164">
        <v>10</v>
      </c>
      <c r="N164">
        <v>10</v>
      </c>
      <c r="O164">
        <v>10</v>
      </c>
      <c r="P164">
        <v>10</v>
      </c>
      <c r="Q164">
        <v>10</v>
      </c>
    </row>
    <row r="165" spans="1:17" x14ac:dyDescent="0.45">
      <c r="A165" s="19">
        <v>46024.386805555558</v>
      </c>
      <c r="B165" t="s">
        <v>67</v>
      </c>
      <c r="C165" t="s">
        <v>74</v>
      </c>
      <c r="D165" t="s">
        <v>69</v>
      </c>
      <c r="E165" t="s">
        <v>72</v>
      </c>
      <c r="F165" t="s">
        <v>95</v>
      </c>
      <c r="G165" t="s">
        <v>104</v>
      </c>
      <c r="H165" t="s">
        <v>100</v>
      </c>
      <c r="I165">
        <v>8</v>
      </c>
      <c r="J165">
        <v>9</v>
      </c>
      <c r="K165">
        <v>9</v>
      </c>
      <c r="L165">
        <v>9</v>
      </c>
      <c r="M165">
        <v>5</v>
      </c>
      <c r="N165">
        <v>7</v>
      </c>
      <c r="O165">
        <v>5</v>
      </c>
      <c r="P165">
        <v>7</v>
      </c>
      <c r="Q165">
        <v>7</v>
      </c>
    </row>
    <row r="166" spans="1:17" x14ac:dyDescent="0.45">
      <c r="A166" s="19">
        <v>46024.598611111112</v>
      </c>
      <c r="B166" t="s">
        <v>67</v>
      </c>
      <c r="C166" t="s">
        <v>68</v>
      </c>
      <c r="D166" t="s">
        <v>69</v>
      </c>
      <c r="E166" t="s">
        <v>70</v>
      </c>
      <c r="F166" t="s">
        <v>95</v>
      </c>
      <c r="G166" t="s">
        <v>104</v>
      </c>
      <c r="H166" t="s">
        <v>105</v>
      </c>
      <c r="I166">
        <v>5</v>
      </c>
      <c r="J166">
        <v>5</v>
      </c>
      <c r="K166">
        <v>6</v>
      </c>
      <c r="L166">
        <v>6</v>
      </c>
      <c r="M166">
        <v>6</v>
      </c>
      <c r="N166">
        <v>6</v>
      </c>
      <c r="O166">
        <v>5</v>
      </c>
      <c r="P166">
        <v>7</v>
      </c>
      <c r="Q166">
        <v>8</v>
      </c>
    </row>
    <row r="167" spans="1:17" x14ac:dyDescent="0.45">
      <c r="A167" s="19">
        <v>46024.702777777777</v>
      </c>
      <c r="B167" t="s">
        <v>67</v>
      </c>
      <c r="C167" t="s">
        <v>68</v>
      </c>
      <c r="D167" t="s">
        <v>69</v>
      </c>
      <c r="E167" t="s">
        <v>70</v>
      </c>
      <c r="F167" t="s">
        <v>95</v>
      </c>
      <c r="G167" t="s">
        <v>104</v>
      </c>
      <c r="H167" t="s">
        <v>97</v>
      </c>
      <c r="I167">
        <v>10</v>
      </c>
      <c r="J167">
        <v>8</v>
      </c>
      <c r="K167">
        <v>10</v>
      </c>
      <c r="L167">
        <v>10</v>
      </c>
      <c r="M167">
        <v>10</v>
      </c>
      <c r="N167">
        <v>10</v>
      </c>
      <c r="O167">
        <v>10</v>
      </c>
      <c r="P167">
        <v>10</v>
      </c>
      <c r="Q167">
        <v>8</v>
      </c>
    </row>
    <row r="168" spans="1:17" x14ac:dyDescent="0.45">
      <c r="A168" s="19">
        <v>46024.763888888891</v>
      </c>
      <c r="B168" t="s">
        <v>73</v>
      </c>
      <c r="C168" t="s">
        <v>68</v>
      </c>
      <c r="D168" t="s">
        <v>69</v>
      </c>
      <c r="E168" t="s">
        <v>70</v>
      </c>
      <c r="F168" t="s">
        <v>95</v>
      </c>
      <c r="G168" t="s">
        <v>102</v>
      </c>
      <c r="H168" t="s">
        <v>105</v>
      </c>
      <c r="I168">
        <v>5</v>
      </c>
      <c r="J168">
        <v>8</v>
      </c>
      <c r="K168">
        <v>5</v>
      </c>
      <c r="L168">
        <v>8</v>
      </c>
      <c r="M168">
        <v>4</v>
      </c>
      <c r="N168">
        <v>5</v>
      </c>
      <c r="O168">
        <v>1</v>
      </c>
      <c r="P168">
        <v>5</v>
      </c>
      <c r="Q168">
        <v>5</v>
      </c>
    </row>
    <row r="169" spans="1:17" x14ac:dyDescent="0.45">
      <c r="A169" s="19">
        <v>46025.34097222222</v>
      </c>
      <c r="B169" t="s">
        <v>67</v>
      </c>
      <c r="C169" t="s">
        <v>76</v>
      </c>
      <c r="D169" t="s">
        <v>69</v>
      </c>
      <c r="E169" t="s">
        <v>72</v>
      </c>
      <c r="F169" t="s">
        <v>95</v>
      </c>
      <c r="G169" t="s">
        <v>192</v>
      </c>
      <c r="H169" t="s">
        <v>105</v>
      </c>
      <c r="I169">
        <v>7</v>
      </c>
      <c r="J169">
        <v>7</v>
      </c>
      <c r="K169">
        <v>8</v>
      </c>
      <c r="L169">
        <v>8</v>
      </c>
      <c r="M169">
        <v>7</v>
      </c>
      <c r="N169">
        <v>8</v>
      </c>
      <c r="O169">
        <v>8</v>
      </c>
      <c r="P169">
        <v>8</v>
      </c>
      <c r="Q169">
        <v>9</v>
      </c>
    </row>
    <row r="170" spans="1:17" x14ac:dyDescent="0.45">
      <c r="A170" s="19">
        <v>46025.374305555553</v>
      </c>
      <c r="B170" t="s">
        <v>73</v>
      </c>
      <c r="C170" t="s">
        <v>74</v>
      </c>
      <c r="D170" t="s">
        <v>69</v>
      </c>
      <c r="E170" t="s">
        <v>72</v>
      </c>
      <c r="F170" t="s">
        <v>95</v>
      </c>
      <c r="G170" t="s">
        <v>104</v>
      </c>
      <c r="H170" t="s">
        <v>105</v>
      </c>
      <c r="I170">
        <v>8</v>
      </c>
      <c r="J170">
        <v>8</v>
      </c>
      <c r="K170">
        <v>7</v>
      </c>
      <c r="L170">
        <v>8</v>
      </c>
      <c r="M170">
        <v>7</v>
      </c>
      <c r="N170">
        <v>7</v>
      </c>
      <c r="O170">
        <v>7</v>
      </c>
      <c r="P170">
        <v>8</v>
      </c>
      <c r="Q170">
        <v>8</v>
      </c>
    </row>
    <row r="171" spans="1:17" x14ac:dyDescent="0.45">
      <c r="A171" s="19">
        <v>46026.574999999997</v>
      </c>
      <c r="B171" t="s">
        <v>73</v>
      </c>
      <c r="C171" t="s">
        <v>76</v>
      </c>
      <c r="D171" t="s">
        <v>69</v>
      </c>
      <c r="E171" t="s">
        <v>72</v>
      </c>
      <c r="F171" t="s">
        <v>98</v>
      </c>
      <c r="G171" t="s">
        <v>99</v>
      </c>
      <c r="H171" t="s">
        <v>105</v>
      </c>
      <c r="I171">
        <v>5</v>
      </c>
      <c r="J171">
        <v>8</v>
      </c>
      <c r="K171">
        <v>7</v>
      </c>
      <c r="L171">
        <v>8</v>
      </c>
      <c r="M171">
        <v>1</v>
      </c>
      <c r="N171">
        <v>2</v>
      </c>
      <c r="O171">
        <v>3</v>
      </c>
      <c r="P171">
        <v>3</v>
      </c>
      <c r="Q171">
        <v>7</v>
      </c>
    </row>
    <row r="172" spans="1:17" x14ac:dyDescent="0.45">
      <c r="A172" s="19">
        <v>46026.576388888891</v>
      </c>
      <c r="B172" t="s">
        <v>73</v>
      </c>
      <c r="C172" t="s">
        <v>184</v>
      </c>
      <c r="D172" t="s">
        <v>69</v>
      </c>
      <c r="E172" t="s">
        <v>72</v>
      </c>
      <c r="F172" t="s">
        <v>95</v>
      </c>
      <c r="G172" t="s">
        <v>190</v>
      </c>
      <c r="H172" t="s">
        <v>105</v>
      </c>
      <c r="I172">
        <v>6</v>
      </c>
      <c r="J172">
        <v>7</v>
      </c>
      <c r="K172">
        <v>5</v>
      </c>
      <c r="L172">
        <v>7</v>
      </c>
      <c r="M172">
        <v>7</v>
      </c>
      <c r="N172">
        <v>7</v>
      </c>
      <c r="O172">
        <v>5</v>
      </c>
      <c r="P172">
        <v>7</v>
      </c>
      <c r="Q172">
        <v>7</v>
      </c>
    </row>
    <row r="173" spans="1:17" x14ac:dyDescent="0.45">
      <c r="A173" s="19">
        <v>46026.57708333333</v>
      </c>
      <c r="B173" t="s">
        <v>73</v>
      </c>
      <c r="C173" t="s">
        <v>187</v>
      </c>
      <c r="D173" t="s">
        <v>69</v>
      </c>
      <c r="E173" t="s">
        <v>70</v>
      </c>
      <c r="F173" t="s">
        <v>95</v>
      </c>
      <c r="G173" t="s">
        <v>103</v>
      </c>
      <c r="H173" t="s">
        <v>191</v>
      </c>
      <c r="I173">
        <v>8</v>
      </c>
      <c r="J173">
        <v>8</v>
      </c>
      <c r="K173">
        <v>8</v>
      </c>
      <c r="L173">
        <v>9</v>
      </c>
      <c r="M173">
        <v>9</v>
      </c>
      <c r="N173">
        <v>5</v>
      </c>
      <c r="O173">
        <v>5</v>
      </c>
      <c r="P173">
        <v>8</v>
      </c>
      <c r="Q173">
        <v>6</v>
      </c>
    </row>
    <row r="174" spans="1:17" x14ac:dyDescent="0.45">
      <c r="A174" s="19">
        <v>46026.577777777777</v>
      </c>
      <c r="B174" t="s">
        <v>67</v>
      </c>
      <c r="C174" t="s">
        <v>74</v>
      </c>
      <c r="D174" t="s">
        <v>69</v>
      </c>
      <c r="E174" t="s">
        <v>72</v>
      </c>
      <c r="F174" t="s">
        <v>95</v>
      </c>
      <c r="G174" t="s">
        <v>102</v>
      </c>
      <c r="H174" t="s">
        <v>101</v>
      </c>
      <c r="I174">
        <v>5</v>
      </c>
      <c r="J174">
        <v>5</v>
      </c>
      <c r="K174">
        <v>4</v>
      </c>
      <c r="L174">
        <v>6</v>
      </c>
      <c r="M174">
        <v>5</v>
      </c>
      <c r="N174">
        <v>4</v>
      </c>
      <c r="O174">
        <v>4</v>
      </c>
      <c r="P174">
        <v>5</v>
      </c>
      <c r="Q174">
        <v>5</v>
      </c>
    </row>
    <row r="175" spans="1:17" x14ac:dyDescent="0.45">
      <c r="A175" s="19">
        <v>46026.578472222223</v>
      </c>
      <c r="B175" t="s">
        <v>67</v>
      </c>
      <c r="C175" t="s">
        <v>76</v>
      </c>
      <c r="D175" t="s">
        <v>69</v>
      </c>
      <c r="E175" t="s">
        <v>72</v>
      </c>
      <c r="F175" t="s">
        <v>95</v>
      </c>
      <c r="G175" t="s">
        <v>104</v>
      </c>
      <c r="H175" t="s">
        <v>97</v>
      </c>
      <c r="I175">
        <v>6</v>
      </c>
      <c r="J175">
        <v>6</v>
      </c>
      <c r="K175">
        <v>6</v>
      </c>
      <c r="L175">
        <v>6</v>
      </c>
      <c r="M175">
        <v>7</v>
      </c>
      <c r="N175">
        <v>7</v>
      </c>
      <c r="O175">
        <v>5</v>
      </c>
      <c r="P175">
        <v>7</v>
      </c>
      <c r="Q175">
        <v>6</v>
      </c>
    </row>
    <row r="176" spans="1:17" x14ac:dyDescent="0.45">
      <c r="A176" s="19">
        <v>46026.57916666667</v>
      </c>
      <c r="B176" t="s">
        <v>67</v>
      </c>
      <c r="C176" t="s">
        <v>187</v>
      </c>
      <c r="D176" t="s">
        <v>69</v>
      </c>
      <c r="E176" t="s">
        <v>70</v>
      </c>
      <c r="F176" t="s">
        <v>95</v>
      </c>
      <c r="G176" t="s">
        <v>103</v>
      </c>
      <c r="H176" t="s">
        <v>101</v>
      </c>
      <c r="I176">
        <v>4</v>
      </c>
      <c r="J176">
        <v>5</v>
      </c>
      <c r="K176">
        <v>4</v>
      </c>
      <c r="L176">
        <v>6</v>
      </c>
      <c r="M176">
        <v>4</v>
      </c>
      <c r="N176">
        <v>4</v>
      </c>
      <c r="O176">
        <v>4</v>
      </c>
      <c r="P176">
        <v>5</v>
      </c>
      <c r="Q176">
        <v>4</v>
      </c>
    </row>
    <row r="177" spans="1:17" x14ac:dyDescent="0.45">
      <c r="A177" s="19">
        <v>46026.57916666667</v>
      </c>
      <c r="B177" t="s">
        <v>67</v>
      </c>
      <c r="C177" t="s">
        <v>189</v>
      </c>
      <c r="D177" t="s">
        <v>75</v>
      </c>
      <c r="E177" t="s">
        <v>70</v>
      </c>
      <c r="F177" t="s">
        <v>95</v>
      </c>
      <c r="G177" t="s">
        <v>103</v>
      </c>
      <c r="H177" t="s">
        <v>105</v>
      </c>
      <c r="I177">
        <v>2</v>
      </c>
      <c r="J177">
        <v>4</v>
      </c>
      <c r="K177">
        <v>3</v>
      </c>
      <c r="L177">
        <v>5</v>
      </c>
      <c r="M177">
        <v>4</v>
      </c>
      <c r="N177">
        <v>1</v>
      </c>
      <c r="O177">
        <v>1</v>
      </c>
      <c r="P177">
        <v>4</v>
      </c>
      <c r="Q177">
        <v>4</v>
      </c>
    </row>
    <row r="178" spans="1:17" x14ac:dyDescent="0.45">
      <c r="A178" s="19">
        <v>46026.580555555556</v>
      </c>
      <c r="B178" t="s">
        <v>67</v>
      </c>
      <c r="C178" t="s">
        <v>187</v>
      </c>
      <c r="D178" t="s">
        <v>69</v>
      </c>
      <c r="E178" t="s">
        <v>70</v>
      </c>
      <c r="F178" t="s">
        <v>95</v>
      </c>
      <c r="G178" t="s">
        <v>102</v>
      </c>
      <c r="H178" t="s">
        <v>100</v>
      </c>
      <c r="I178">
        <v>4</v>
      </c>
      <c r="J178">
        <v>4</v>
      </c>
      <c r="K178">
        <v>3</v>
      </c>
      <c r="L178">
        <v>5</v>
      </c>
      <c r="M178">
        <v>3</v>
      </c>
      <c r="N178">
        <v>2</v>
      </c>
      <c r="O178">
        <v>1</v>
      </c>
      <c r="P178">
        <v>1</v>
      </c>
      <c r="Q178">
        <v>1</v>
      </c>
    </row>
    <row r="179" spans="1:17" x14ac:dyDescent="0.45">
      <c r="A179" s="19">
        <v>46026.580555555556</v>
      </c>
      <c r="B179" t="s">
        <v>67</v>
      </c>
      <c r="C179" t="s">
        <v>189</v>
      </c>
      <c r="D179" t="s">
        <v>69</v>
      </c>
      <c r="E179" t="s">
        <v>72</v>
      </c>
      <c r="F179" t="s">
        <v>95</v>
      </c>
      <c r="G179" t="s">
        <v>104</v>
      </c>
      <c r="H179" t="s">
        <v>191</v>
      </c>
      <c r="I179">
        <v>6</v>
      </c>
      <c r="J179">
        <v>7</v>
      </c>
      <c r="K179">
        <v>6</v>
      </c>
      <c r="L179">
        <v>6</v>
      </c>
      <c r="M179">
        <v>6</v>
      </c>
      <c r="N179">
        <v>7</v>
      </c>
      <c r="O179">
        <v>5</v>
      </c>
      <c r="P179">
        <v>6</v>
      </c>
      <c r="Q179">
        <v>7</v>
      </c>
    </row>
    <row r="180" spans="1:17" x14ac:dyDescent="0.45">
      <c r="A180" s="19">
        <v>46026.581944444442</v>
      </c>
      <c r="B180" t="s">
        <v>67</v>
      </c>
      <c r="C180" t="s">
        <v>68</v>
      </c>
      <c r="D180" t="s">
        <v>69</v>
      </c>
      <c r="E180" t="s">
        <v>70</v>
      </c>
      <c r="F180" t="s">
        <v>95</v>
      </c>
      <c r="G180" t="s">
        <v>96</v>
      </c>
      <c r="H180" t="s">
        <v>97</v>
      </c>
      <c r="I180">
        <v>7</v>
      </c>
      <c r="J180">
        <v>7</v>
      </c>
      <c r="K180">
        <v>7</v>
      </c>
      <c r="L180">
        <v>8</v>
      </c>
      <c r="M180">
        <v>7</v>
      </c>
      <c r="N180">
        <v>8</v>
      </c>
      <c r="O180">
        <v>7</v>
      </c>
      <c r="P180">
        <v>7</v>
      </c>
      <c r="Q180">
        <v>8</v>
      </c>
    </row>
    <row r="181" spans="1:17" x14ac:dyDescent="0.45">
      <c r="A181" s="19">
        <v>46026.582638888889</v>
      </c>
      <c r="B181" t="s">
        <v>67</v>
      </c>
      <c r="C181" t="s">
        <v>74</v>
      </c>
      <c r="D181" t="s">
        <v>69</v>
      </c>
      <c r="E181" t="s">
        <v>72</v>
      </c>
      <c r="F181" t="s">
        <v>95</v>
      </c>
      <c r="G181" t="s">
        <v>106</v>
      </c>
      <c r="H181" t="s">
        <v>97</v>
      </c>
      <c r="I181">
        <v>5</v>
      </c>
      <c r="J181">
        <v>5</v>
      </c>
      <c r="K181">
        <v>5</v>
      </c>
      <c r="L181">
        <v>7</v>
      </c>
      <c r="M181">
        <v>5</v>
      </c>
      <c r="N181">
        <v>6</v>
      </c>
      <c r="O181">
        <v>5</v>
      </c>
      <c r="P181">
        <v>7</v>
      </c>
      <c r="Q181">
        <v>7</v>
      </c>
    </row>
    <row r="182" spans="1:17" x14ac:dyDescent="0.45">
      <c r="A182" s="19">
        <v>46026.7</v>
      </c>
      <c r="B182" t="s">
        <v>67</v>
      </c>
      <c r="C182" t="s">
        <v>68</v>
      </c>
      <c r="D182" t="s">
        <v>69</v>
      </c>
      <c r="E182" t="s">
        <v>70</v>
      </c>
      <c r="F182" t="s">
        <v>95</v>
      </c>
      <c r="G182" t="s">
        <v>106</v>
      </c>
      <c r="H182" t="s">
        <v>100</v>
      </c>
      <c r="I182">
        <v>6</v>
      </c>
      <c r="J182">
        <v>7</v>
      </c>
      <c r="K182">
        <v>7</v>
      </c>
      <c r="L182">
        <v>8</v>
      </c>
      <c r="M182">
        <v>8</v>
      </c>
      <c r="N182">
        <v>7</v>
      </c>
      <c r="O182">
        <v>5</v>
      </c>
      <c r="P182">
        <v>7</v>
      </c>
      <c r="Q182">
        <v>7</v>
      </c>
    </row>
    <row r="183" spans="1:17" x14ac:dyDescent="0.45">
      <c r="A183" s="19">
        <v>46026.700694444444</v>
      </c>
      <c r="B183" t="s">
        <v>67</v>
      </c>
      <c r="C183" t="s">
        <v>76</v>
      </c>
      <c r="D183" t="s">
        <v>69</v>
      </c>
      <c r="E183" t="s">
        <v>72</v>
      </c>
      <c r="F183" t="s">
        <v>95</v>
      </c>
      <c r="G183" t="s">
        <v>96</v>
      </c>
      <c r="H183" t="s">
        <v>105</v>
      </c>
      <c r="I183">
        <v>8</v>
      </c>
      <c r="J183">
        <v>8</v>
      </c>
      <c r="K183">
        <v>5</v>
      </c>
      <c r="L183">
        <v>8</v>
      </c>
      <c r="M183">
        <v>6</v>
      </c>
      <c r="N183">
        <v>8</v>
      </c>
      <c r="O183">
        <v>6</v>
      </c>
      <c r="P183">
        <v>7</v>
      </c>
      <c r="Q183">
        <v>7</v>
      </c>
    </row>
    <row r="184" spans="1:17" x14ac:dyDescent="0.45">
      <c r="A184" s="19">
        <v>46026.701388888891</v>
      </c>
      <c r="B184" t="s">
        <v>73</v>
      </c>
      <c r="C184" t="s">
        <v>189</v>
      </c>
      <c r="D184" t="s">
        <v>69</v>
      </c>
      <c r="E184" t="s">
        <v>70</v>
      </c>
      <c r="F184" t="s">
        <v>95</v>
      </c>
      <c r="G184" t="s">
        <v>103</v>
      </c>
      <c r="H184" t="s">
        <v>101</v>
      </c>
      <c r="I184">
        <v>2</v>
      </c>
      <c r="J184">
        <v>5</v>
      </c>
      <c r="K184">
        <v>3</v>
      </c>
      <c r="L184">
        <v>5</v>
      </c>
      <c r="M184">
        <v>3</v>
      </c>
      <c r="N184">
        <v>2</v>
      </c>
      <c r="O184">
        <v>1</v>
      </c>
      <c r="P184">
        <v>5</v>
      </c>
      <c r="Q184">
        <v>5</v>
      </c>
    </row>
    <row r="185" spans="1:17" x14ac:dyDescent="0.45">
      <c r="A185" s="19">
        <v>46026.70208333333</v>
      </c>
      <c r="B185" t="s">
        <v>73</v>
      </c>
      <c r="C185" t="s">
        <v>184</v>
      </c>
      <c r="D185" t="s">
        <v>69</v>
      </c>
      <c r="E185" t="s">
        <v>72</v>
      </c>
      <c r="F185" t="s">
        <v>95</v>
      </c>
      <c r="G185" t="s">
        <v>99</v>
      </c>
      <c r="H185" t="s">
        <v>105</v>
      </c>
      <c r="I185">
        <v>6</v>
      </c>
      <c r="J185">
        <v>6</v>
      </c>
      <c r="K185">
        <v>5</v>
      </c>
      <c r="L185">
        <v>9</v>
      </c>
      <c r="M185">
        <v>7</v>
      </c>
      <c r="N185">
        <v>8</v>
      </c>
      <c r="O185">
        <v>5</v>
      </c>
      <c r="P185">
        <v>7</v>
      </c>
      <c r="Q185">
        <v>7</v>
      </c>
    </row>
    <row r="186" spans="1:17" x14ac:dyDescent="0.45">
      <c r="A186" s="19">
        <v>46026.702777777777</v>
      </c>
      <c r="B186" t="s">
        <v>67</v>
      </c>
      <c r="C186" t="s">
        <v>74</v>
      </c>
      <c r="D186" t="s">
        <v>75</v>
      </c>
      <c r="E186" t="s">
        <v>72</v>
      </c>
      <c r="F186" t="s">
        <v>98</v>
      </c>
      <c r="G186" t="s">
        <v>104</v>
      </c>
      <c r="H186" t="s">
        <v>101</v>
      </c>
      <c r="I186">
        <v>7</v>
      </c>
      <c r="J186">
        <v>7</v>
      </c>
      <c r="K186">
        <v>6</v>
      </c>
      <c r="L186">
        <v>8</v>
      </c>
      <c r="M186">
        <v>5</v>
      </c>
      <c r="N186">
        <v>5</v>
      </c>
      <c r="O186">
        <v>5</v>
      </c>
      <c r="P186">
        <v>6</v>
      </c>
      <c r="Q186">
        <v>5</v>
      </c>
    </row>
    <row r="187" spans="1:17" x14ac:dyDescent="0.45">
      <c r="A187" s="19">
        <v>46026.70416666667</v>
      </c>
      <c r="B187" t="s">
        <v>67</v>
      </c>
      <c r="C187" t="s">
        <v>189</v>
      </c>
      <c r="D187" t="s">
        <v>69</v>
      </c>
      <c r="E187" t="s">
        <v>72</v>
      </c>
      <c r="F187" t="s">
        <v>193</v>
      </c>
      <c r="G187" t="s">
        <v>99</v>
      </c>
      <c r="H187" t="s">
        <v>105</v>
      </c>
      <c r="I187">
        <v>7</v>
      </c>
      <c r="J187">
        <v>7</v>
      </c>
      <c r="K187">
        <v>5</v>
      </c>
      <c r="L187">
        <v>7</v>
      </c>
      <c r="M187">
        <v>5</v>
      </c>
      <c r="N187">
        <v>5</v>
      </c>
      <c r="O187">
        <v>5</v>
      </c>
      <c r="P187">
        <v>5</v>
      </c>
      <c r="Q187">
        <v>6</v>
      </c>
    </row>
    <row r="188" spans="1:17" x14ac:dyDescent="0.45">
      <c r="A188" s="19">
        <v>46026.709027777775</v>
      </c>
      <c r="B188" t="s">
        <v>73</v>
      </c>
      <c r="C188" t="s">
        <v>74</v>
      </c>
      <c r="D188" t="s">
        <v>69</v>
      </c>
      <c r="E188" t="s">
        <v>70</v>
      </c>
      <c r="F188" t="s">
        <v>95</v>
      </c>
      <c r="G188" t="s">
        <v>104</v>
      </c>
      <c r="H188" t="s">
        <v>100</v>
      </c>
      <c r="I188">
        <v>6</v>
      </c>
      <c r="J188">
        <v>7</v>
      </c>
      <c r="K188">
        <v>6</v>
      </c>
      <c r="L188">
        <v>7</v>
      </c>
      <c r="M188">
        <v>6</v>
      </c>
      <c r="N188">
        <v>6</v>
      </c>
      <c r="O188">
        <v>5</v>
      </c>
      <c r="P188">
        <v>5</v>
      </c>
      <c r="Q188">
        <v>6</v>
      </c>
    </row>
    <row r="189" spans="1:17" x14ac:dyDescent="0.45">
      <c r="A189" s="19">
        <v>46026.729861111111</v>
      </c>
      <c r="B189" t="s">
        <v>73</v>
      </c>
      <c r="C189" t="s">
        <v>76</v>
      </c>
      <c r="D189" t="s">
        <v>69</v>
      </c>
      <c r="E189" t="s">
        <v>72</v>
      </c>
      <c r="F189" t="s">
        <v>95</v>
      </c>
      <c r="G189" t="s">
        <v>96</v>
      </c>
      <c r="H189" t="s">
        <v>97</v>
      </c>
      <c r="I189">
        <v>5</v>
      </c>
      <c r="J189">
        <v>5</v>
      </c>
      <c r="K189">
        <v>4</v>
      </c>
      <c r="L189">
        <v>6</v>
      </c>
      <c r="M189">
        <v>5</v>
      </c>
      <c r="N189">
        <v>5</v>
      </c>
      <c r="O189">
        <v>5</v>
      </c>
      <c r="P189">
        <v>5</v>
      </c>
      <c r="Q189">
        <v>5</v>
      </c>
    </row>
    <row r="190" spans="1:17" x14ac:dyDescent="0.45">
      <c r="A190" s="19">
        <v>46026.955555555556</v>
      </c>
      <c r="B190" t="s">
        <v>73</v>
      </c>
      <c r="C190" t="s">
        <v>74</v>
      </c>
      <c r="D190" t="s">
        <v>69</v>
      </c>
      <c r="E190" t="s">
        <v>72</v>
      </c>
      <c r="F190" t="s">
        <v>95</v>
      </c>
      <c r="G190" t="s">
        <v>106</v>
      </c>
      <c r="H190" t="s">
        <v>100</v>
      </c>
      <c r="I190">
        <v>8</v>
      </c>
      <c r="J190">
        <v>8</v>
      </c>
      <c r="K190">
        <v>5</v>
      </c>
      <c r="L190">
        <v>7</v>
      </c>
      <c r="M190">
        <v>6</v>
      </c>
      <c r="N190">
        <v>8</v>
      </c>
      <c r="O190">
        <v>5</v>
      </c>
      <c r="P190">
        <v>7</v>
      </c>
      <c r="Q190">
        <v>8</v>
      </c>
    </row>
    <row r="191" spans="1:17" x14ac:dyDescent="0.45">
      <c r="A191" s="19">
        <v>46027.578472222223</v>
      </c>
      <c r="B191" t="s">
        <v>73</v>
      </c>
      <c r="C191" t="s">
        <v>76</v>
      </c>
      <c r="D191" t="s">
        <v>69</v>
      </c>
      <c r="E191" t="s">
        <v>70</v>
      </c>
      <c r="F191" t="s">
        <v>95</v>
      </c>
      <c r="G191" t="s">
        <v>96</v>
      </c>
      <c r="H191" t="s">
        <v>105</v>
      </c>
      <c r="I191">
        <v>7</v>
      </c>
      <c r="J191">
        <v>7</v>
      </c>
      <c r="K191">
        <v>7</v>
      </c>
      <c r="L191">
        <v>8</v>
      </c>
      <c r="M191">
        <v>3</v>
      </c>
      <c r="N191">
        <v>3</v>
      </c>
      <c r="O191">
        <v>2</v>
      </c>
      <c r="P191">
        <v>3</v>
      </c>
      <c r="Q191">
        <v>8</v>
      </c>
    </row>
    <row r="192" spans="1:17" x14ac:dyDescent="0.45">
      <c r="A192" s="19">
        <v>46029.68472222222</v>
      </c>
      <c r="B192" t="s">
        <v>73</v>
      </c>
      <c r="C192" t="s">
        <v>68</v>
      </c>
      <c r="D192" t="s">
        <v>69</v>
      </c>
      <c r="E192" t="s">
        <v>70</v>
      </c>
      <c r="F192" t="s">
        <v>95</v>
      </c>
      <c r="G192" t="s">
        <v>106</v>
      </c>
      <c r="H192" t="s">
        <v>101</v>
      </c>
      <c r="I192">
        <v>7</v>
      </c>
      <c r="J192">
        <v>7</v>
      </c>
      <c r="K192">
        <v>6</v>
      </c>
      <c r="L192">
        <v>8</v>
      </c>
      <c r="M192">
        <v>7</v>
      </c>
      <c r="N192">
        <v>8</v>
      </c>
      <c r="O192">
        <v>7</v>
      </c>
      <c r="P192">
        <v>7</v>
      </c>
      <c r="Q192">
        <v>7</v>
      </c>
    </row>
    <row r="193" spans="1:17" x14ac:dyDescent="0.45">
      <c r="A193" s="19">
        <v>46029.685416666667</v>
      </c>
      <c r="B193" t="s">
        <v>67</v>
      </c>
      <c r="C193" t="s">
        <v>184</v>
      </c>
      <c r="D193" t="s">
        <v>69</v>
      </c>
      <c r="E193" t="s">
        <v>72</v>
      </c>
      <c r="F193" t="s">
        <v>95</v>
      </c>
      <c r="G193" t="s">
        <v>192</v>
      </c>
      <c r="H193" t="s">
        <v>105</v>
      </c>
      <c r="I193">
        <v>8</v>
      </c>
      <c r="J193">
        <v>8</v>
      </c>
      <c r="K193">
        <v>9</v>
      </c>
      <c r="L193">
        <v>9</v>
      </c>
      <c r="M193">
        <v>9</v>
      </c>
      <c r="N193">
        <v>9</v>
      </c>
      <c r="O193">
        <v>8</v>
      </c>
      <c r="P193">
        <v>8</v>
      </c>
      <c r="Q193">
        <v>9</v>
      </c>
    </row>
    <row r="194" spans="1:17" x14ac:dyDescent="0.45">
      <c r="A194" s="19">
        <v>46030.411111111112</v>
      </c>
      <c r="B194" t="s">
        <v>67</v>
      </c>
      <c r="C194" t="s">
        <v>74</v>
      </c>
      <c r="D194" t="s">
        <v>69</v>
      </c>
      <c r="E194" t="s">
        <v>72</v>
      </c>
      <c r="F194" t="s">
        <v>95</v>
      </c>
      <c r="G194" t="s">
        <v>96</v>
      </c>
      <c r="H194" t="s">
        <v>100</v>
      </c>
      <c r="I194">
        <v>1</v>
      </c>
      <c r="J194">
        <v>1</v>
      </c>
      <c r="K194">
        <v>7</v>
      </c>
      <c r="L194">
        <v>5</v>
      </c>
      <c r="M194">
        <v>5</v>
      </c>
      <c r="N194">
        <v>7</v>
      </c>
      <c r="O194">
        <v>2</v>
      </c>
      <c r="P194">
        <v>5</v>
      </c>
      <c r="Q194">
        <v>5</v>
      </c>
    </row>
    <row r="195" spans="1:17" x14ac:dyDescent="0.45">
      <c r="A195" s="19">
        <v>46030.574305555558</v>
      </c>
      <c r="B195" t="s">
        <v>67</v>
      </c>
      <c r="C195" t="s">
        <v>68</v>
      </c>
      <c r="D195" t="s">
        <v>69</v>
      </c>
      <c r="E195" t="s">
        <v>72</v>
      </c>
      <c r="F195" t="s">
        <v>95</v>
      </c>
      <c r="G195" t="s">
        <v>192</v>
      </c>
      <c r="H195" t="s">
        <v>97</v>
      </c>
      <c r="I195">
        <v>10</v>
      </c>
      <c r="J195">
        <v>10</v>
      </c>
      <c r="K195">
        <v>6</v>
      </c>
      <c r="L195">
        <v>4</v>
      </c>
      <c r="M195">
        <v>8</v>
      </c>
      <c r="N195">
        <v>3</v>
      </c>
      <c r="O195">
        <v>10</v>
      </c>
      <c r="P195">
        <v>10</v>
      </c>
      <c r="Q195">
        <v>10</v>
      </c>
    </row>
    <row r="196" spans="1:17" x14ac:dyDescent="0.45">
      <c r="A196" s="19">
        <v>46030.636805555558</v>
      </c>
      <c r="B196" t="s">
        <v>67</v>
      </c>
      <c r="C196" t="s">
        <v>76</v>
      </c>
      <c r="D196" t="s">
        <v>69</v>
      </c>
      <c r="E196" t="s">
        <v>72</v>
      </c>
      <c r="F196" t="s">
        <v>95</v>
      </c>
      <c r="G196" t="s">
        <v>99</v>
      </c>
      <c r="H196" t="s">
        <v>97</v>
      </c>
      <c r="I196">
        <v>9</v>
      </c>
      <c r="J196">
        <v>9</v>
      </c>
      <c r="K196">
        <v>5</v>
      </c>
      <c r="L196">
        <v>5</v>
      </c>
      <c r="M196">
        <v>7</v>
      </c>
      <c r="N196">
        <v>7</v>
      </c>
      <c r="O196">
        <v>8</v>
      </c>
      <c r="P196">
        <v>8</v>
      </c>
      <c r="Q196">
        <v>8</v>
      </c>
    </row>
    <row r="197" spans="1:17" x14ac:dyDescent="0.45">
      <c r="A197" s="19">
        <v>46030.640277777777</v>
      </c>
      <c r="B197" t="s">
        <v>73</v>
      </c>
      <c r="C197" t="s">
        <v>74</v>
      </c>
      <c r="D197" t="s">
        <v>69</v>
      </c>
      <c r="E197" t="s">
        <v>72</v>
      </c>
      <c r="F197" t="s">
        <v>95</v>
      </c>
      <c r="G197" t="s">
        <v>99</v>
      </c>
      <c r="H197" t="s">
        <v>100</v>
      </c>
      <c r="I197">
        <v>9</v>
      </c>
      <c r="J197">
        <v>9</v>
      </c>
      <c r="K197">
        <v>9</v>
      </c>
      <c r="L197">
        <v>9</v>
      </c>
      <c r="M197">
        <v>9</v>
      </c>
      <c r="N197">
        <v>9</v>
      </c>
      <c r="O197">
        <v>9</v>
      </c>
      <c r="P197">
        <v>9</v>
      </c>
      <c r="Q197">
        <v>9</v>
      </c>
    </row>
    <row r="198" spans="1:17" x14ac:dyDescent="0.45">
      <c r="A198" s="19">
        <v>46030.640972222223</v>
      </c>
      <c r="B198" t="s">
        <v>67</v>
      </c>
      <c r="C198" t="s">
        <v>74</v>
      </c>
      <c r="D198" t="s">
        <v>69</v>
      </c>
      <c r="E198" t="s">
        <v>70</v>
      </c>
      <c r="F198" t="s">
        <v>95</v>
      </c>
      <c r="G198" t="s">
        <v>99</v>
      </c>
      <c r="H198" t="s">
        <v>101</v>
      </c>
      <c r="I198">
        <v>9</v>
      </c>
      <c r="J198">
        <v>10</v>
      </c>
      <c r="K198">
        <v>10</v>
      </c>
      <c r="L198">
        <v>9</v>
      </c>
      <c r="M198">
        <v>10</v>
      </c>
      <c r="N198">
        <v>10</v>
      </c>
      <c r="O198">
        <v>10</v>
      </c>
      <c r="P198">
        <v>9</v>
      </c>
      <c r="Q198">
        <v>10</v>
      </c>
    </row>
    <row r="199" spans="1:17" x14ac:dyDescent="0.45">
      <c r="A199" s="19">
        <v>46030.681250000001</v>
      </c>
      <c r="B199" t="s">
        <v>67</v>
      </c>
      <c r="C199" t="s">
        <v>74</v>
      </c>
      <c r="D199" t="s">
        <v>69</v>
      </c>
      <c r="E199" t="s">
        <v>70</v>
      </c>
      <c r="F199" t="s">
        <v>95</v>
      </c>
      <c r="G199" t="s">
        <v>99</v>
      </c>
      <c r="H199" t="s">
        <v>100</v>
      </c>
      <c r="I199">
        <v>5</v>
      </c>
      <c r="J199">
        <v>5</v>
      </c>
      <c r="K199">
        <v>5</v>
      </c>
      <c r="L199">
        <v>5</v>
      </c>
      <c r="M199">
        <v>5</v>
      </c>
      <c r="N199">
        <v>5</v>
      </c>
      <c r="O199">
        <v>5</v>
      </c>
      <c r="P199">
        <v>4</v>
      </c>
      <c r="Q199">
        <v>5</v>
      </c>
    </row>
    <row r="200" spans="1:17" x14ac:dyDescent="0.45">
      <c r="A200" s="19">
        <v>46031.374305555553</v>
      </c>
      <c r="B200" t="s">
        <v>67</v>
      </c>
      <c r="C200" t="s">
        <v>189</v>
      </c>
      <c r="D200" t="s">
        <v>69</v>
      </c>
      <c r="E200" t="s">
        <v>70</v>
      </c>
      <c r="F200" t="s">
        <v>193</v>
      </c>
      <c r="G200" t="s">
        <v>190</v>
      </c>
      <c r="H200" t="s">
        <v>97</v>
      </c>
      <c r="I200">
        <v>9</v>
      </c>
      <c r="J200">
        <v>8</v>
      </c>
      <c r="K200">
        <v>9</v>
      </c>
      <c r="L200">
        <v>9</v>
      </c>
      <c r="M200">
        <v>8</v>
      </c>
      <c r="N200">
        <v>9</v>
      </c>
      <c r="O200">
        <v>10</v>
      </c>
      <c r="P200">
        <v>9</v>
      </c>
      <c r="Q200">
        <v>10</v>
      </c>
    </row>
    <row r="201" spans="1:17" x14ac:dyDescent="0.45">
      <c r="A201" s="19">
        <v>46031.390277777777</v>
      </c>
      <c r="B201" t="s">
        <v>73</v>
      </c>
      <c r="C201" t="s">
        <v>187</v>
      </c>
      <c r="D201" t="s">
        <v>69</v>
      </c>
      <c r="E201" t="s">
        <v>72</v>
      </c>
      <c r="F201" t="s">
        <v>95</v>
      </c>
      <c r="G201" t="s">
        <v>102</v>
      </c>
      <c r="H201" t="s">
        <v>101</v>
      </c>
      <c r="I201">
        <v>4</v>
      </c>
      <c r="J201">
        <v>4</v>
      </c>
      <c r="K201">
        <v>3</v>
      </c>
      <c r="L201">
        <v>5</v>
      </c>
      <c r="M201">
        <v>4</v>
      </c>
      <c r="N201">
        <v>5</v>
      </c>
      <c r="O201">
        <v>1</v>
      </c>
      <c r="P201">
        <v>5</v>
      </c>
      <c r="Q201">
        <v>5</v>
      </c>
    </row>
    <row r="202" spans="1:17" x14ac:dyDescent="0.45">
      <c r="A202" s="19">
        <v>46031.390972222223</v>
      </c>
      <c r="B202" t="s">
        <v>67</v>
      </c>
      <c r="C202" t="s">
        <v>189</v>
      </c>
      <c r="D202" t="s">
        <v>69</v>
      </c>
      <c r="E202" t="s">
        <v>70</v>
      </c>
      <c r="F202" t="s">
        <v>95</v>
      </c>
      <c r="G202" t="s">
        <v>106</v>
      </c>
      <c r="H202" t="s">
        <v>97</v>
      </c>
      <c r="I202">
        <v>5</v>
      </c>
      <c r="J202">
        <v>5</v>
      </c>
      <c r="K202">
        <v>1</v>
      </c>
      <c r="L202">
        <v>5</v>
      </c>
      <c r="M202">
        <v>4</v>
      </c>
      <c r="N202">
        <v>2</v>
      </c>
      <c r="O202">
        <v>2</v>
      </c>
      <c r="P202">
        <v>5</v>
      </c>
      <c r="Q202">
        <v>4</v>
      </c>
    </row>
    <row r="203" spans="1:17" x14ac:dyDescent="0.45">
      <c r="A203" s="19">
        <v>46031.39166666667</v>
      </c>
      <c r="B203" t="s">
        <v>67</v>
      </c>
      <c r="C203" t="s">
        <v>74</v>
      </c>
      <c r="D203" t="s">
        <v>69</v>
      </c>
      <c r="E203" t="s">
        <v>72</v>
      </c>
      <c r="F203" t="s">
        <v>95</v>
      </c>
      <c r="G203" t="s">
        <v>102</v>
      </c>
      <c r="H203" t="s">
        <v>191</v>
      </c>
      <c r="I203">
        <v>6</v>
      </c>
      <c r="J203">
        <v>8</v>
      </c>
      <c r="K203">
        <v>8</v>
      </c>
      <c r="L203">
        <v>9</v>
      </c>
      <c r="M203">
        <v>7</v>
      </c>
      <c r="N203">
        <v>7</v>
      </c>
      <c r="O203">
        <v>7</v>
      </c>
      <c r="P203">
        <v>8</v>
      </c>
      <c r="Q203">
        <v>8</v>
      </c>
    </row>
    <row r="204" spans="1:17" x14ac:dyDescent="0.45">
      <c r="A204" s="19">
        <v>46031.39166666667</v>
      </c>
      <c r="B204" t="s">
        <v>67</v>
      </c>
      <c r="C204" t="s">
        <v>187</v>
      </c>
      <c r="D204" t="s">
        <v>69</v>
      </c>
      <c r="E204" t="s">
        <v>70</v>
      </c>
      <c r="F204" t="s">
        <v>95</v>
      </c>
      <c r="G204" t="s">
        <v>103</v>
      </c>
      <c r="H204" t="s">
        <v>101</v>
      </c>
      <c r="I204">
        <v>5</v>
      </c>
      <c r="J204">
        <v>5</v>
      </c>
      <c r="K204">
        <v>5</v>
      </c>
      <c r="L204">
        <v>5</v>
      </c>
      <c r="M204">
        <v>5</v>
      </c>
      <c r="N204">
        <v>5</v>
      </c>
      <c r="O204">
        <v>5</v>
      </c>
      <c r="P204">
        <v>5</v>
      </c>
      <c r="Q204">
        <v>5</v>
      </c>
    </row>
    <row r="205" spans="1:17" x14ac:dyDescent="0.45">
      <c r="A205" s="19">
        <v>46031.392361111109</v>
      </c>
      <c r="B205" t="s">
        <v>67</v>
      </c>
      <c r="C205" t="s">
        <v>68</v>
      </c>
      <c r="D205" t="s">
        <v>69</v>
      </c>
      <c r="E205" t="s">
        <v>72</v>
      </c>
      <c r="F205" t="s">
        <v>95</v>
      </c>
      <c r="G205" t="s">
        <v>104</v>
      </c>
      <c r="H205" t="s">
        <v>97</v>
      </c>
      <c r="I205">
        <v>7</v>
      </c>
      <c r="J205">
        <v>7</v>
      </c>
      <c r="K205">
        <v>7</v>
      </c>
      <c r="L205">
        <v>8</v>
      </c>
      <c r="M205">
        <v>7</v>
      </c>
      <c r="N205">
        <v>7</v>
      </c>
      <c r="O205">
        <v>7</v>
      </c>
      <c r="P205">
        <v>7</v>
      </c>
      <c r="Q205">
        <v>7</v>
      </c>
    </row>
    <row r="206" spans="1:17" x14ac:dyDescent="0.45">
      <c r="A206" s="19">
        <v>46031.393055555556</v>
      </c>
      <c r="B206" t="s">
        <v>67</v>
      </c>
      <c r="C206" t="s">
        <v>68</v>
      </c>
      <c r="D206" t="s">
        <v>69</v>
      </c>
      <c r="E206" t="s">
        <v>70</v>
      </c>
      <c r="F206" t="s">
        <v>95</v>
      </c>
      <c r="G206" t="s">
        <v>96</v>
      </c>
      <c r="H206" t="s">
        <v>105</v>
      </c>
      <c r="I206">
        <v>3</v>
      </c>
      <c r="J206">
        <v>1</v>
      </c>
      <c r="K206">
        <v>1</v>
      </c>
      <c r="L206">
        <v>5</v>
      </c>
      <c r="M206">
        <v>1</v>
      </c>
      <c r="N206">
        <v>1</v>
      </c>
      <c r="O206">
        <v>1</v>
      </c>
      <c r="P206">
        <v>4</v>
      </c>
      <c r="Q206">
        <v>5</v>
      </c>
    </row>
    <row r="207" spans="1:17" x14ac:dyDescent="0.45">
      <c r="A207" s="19">
        <v>46031.395833333336</v>
      </c>
      <c r="B207" t="s">
        <v>67</v>
      </c>
      <c r="C207" t="s">
        <v>74</v>
      </c>
      <c r="D207" t="s">
        <v>69</v>
      </c>
      <c r="E207" t="s">
        <v>72</v>
      </c>
      <c r="F207" t="s">
        <v>95</v>
      </c>
      <c r="G207" t="s">
        <v>106</v>
      </c>
      <c r="H207" t="s">
        <v>97</v>
      </c>
      <c r="I207">
        <v>8</v>
      </c>
      <c r="J207">
        <v>8</v>
      </c>
      <c r="K207">
        <v>5</v>
      </c>
      <c r="L207">
        <v>7</v>
      </c>
      <c r="M207">
        <v>7</v>
      </c>
      <c r="N207">
        <v>6</v>
      </c>
      <c r="O207">
        <v>6</v>
      </c>
      <c r="P207">
        <v>7</v>
      </c>
      <c r="Q207">
        <v>7</v>
      </c>
    </row>
    <row r="208" spans="1:17" x14ac:dyDescent="0.45">
      <c r="A208" s="19">
        <v>46031.397222222222</v>
      </c>
      <c r="B208" t="s">
        <v>73</v>
      </c>
      <c r="C208" t="s">
        <v>68</v>
      </c>
      <c r="D208" t="s">
        <v>69</v>
      </c>
      <c r="E208" t="s">
        <v>72</v>
      </c>
      <c r="F208" t="s">
        <v>95</v>
      </c>
      <c r="G208" t="s">
        <v>106</v>
      </c>
      <c r="H208" t="s">
        <v>100</v>
      </c>
      <c r="I208">
        <v>4</v>
      </c>
      <c r="J208">
        <v>3</v>
      </c>
      <c r="K208">
        <v>1</v>
      </c>
      <c r="L208">
        <v>2</v>
      </c>
      <c r="M208">
        <v>1</v>
      </c>
      <c r="N208">
        <v>1</v>
      </c>
      <c r="O208">
        <v>1</v>
      </c>
      <c r="P208">
        <v>4</v>
      </c>
      <c r="Q208">
        <v>2</v>
      </c>
    </row>
    <row r="209" spans="1:17" x14ac:dyDescent="0.45">
      <c r="A209" s="19">
        <v>46031.397222222222</v>
      </c>
      <c r="B209" t="s">
        <v>67</v>
      </c>
      <c r="C209" t="s">
        <v>68</v>
      </c>
      <c r="D209" t="s">
        <v>69</v>
      </c>
      <c r="E209" t="s">
        <v>70</v>
      </c>
      <c r="F209" t="s">
        <v>95</v>
      </c>
      <c r="G209" t="s">
        <v>104</v>
      </c>
      <c r="H209" t="s">
        <v>97</v>
      </c>
      <c r="I209">
        <v>7</v>
      </c>
      <c r="J209">
        <v>8</v>
      </c>
      <c r="K209">
        <v>6</v>
      </c>
      <c r="L209">
        <v>7</v>
      </c>
      <c r="M209">
        <v>6</v>
      </c>
      <c r="N209">
        <v>7</v>
      </c>
      <c r="O209">
        <v>6</v>
      </c>
      <c r="P209">
        <v>6</v>
      </c>
      <c r="Q209">
        <v>6</v>
      </c>
    </row>
    <row r="210" spans="1:17" x14ac:dyDescent="0.45">
      <c r="A210" s="19">
        <v>46031.397916666669</v>
      </c>
      <c r="B210" t="s">
        <v>67</v>
      </c>
      <c r="C210" t="s">
        <v>68</v>
      </c>
      <c r="D210" t="s">
        <v>69</v>
      </c>
      <c r="E210" t="s">
        <v>72</v>
      </c>
      <c r="F210" t="s">
        <v>95</v>
      </c>
      <c r="G210" t="s">
        <v>104</v>
      </c>
      <c r="H210" t="s">
        <v>105</v>
      </c>
      <c r="I210">
        <v>6</v>
      </c>
      <c r="J210">
        <v>6</v>
      </c>
      <c r="K210">
        <v>6</v>
      </c>
      <c r="L210">
        <v>6</v>
      </c>
      <c r="M210">
        <v>6</v>
      </c>
      <c r="N210">
        <v>5</v>
      </c>
      <c r="O210">
        <v>6</v>
      </c>
      <c r="P210">
        <v>6</v>
      </c>
      <c r="Q210">
        <v>6</v>
      </c>
    </row>
    <row r="211" spans="1:17" x14ac:dyDescent="0.45">
      <c r="A211" s="19">
        <v>46031.398611111108</v>
      </c>
      <c r="B211" t="s">
        <v>73</v>
      </c>
      <c r="C211" t="s">
        <v>68</v>
      </c>
      <c r="D211" t="s">
        <v>69</v>
      </c>
      <c r="E211" t="s">
        <v>72</v>
      </c>
      <c r="F211" t="s">
        <v>95</v>
      </c>
      <c r="G211" t="s">
        <v>96</v>
      </c>
      <c r="H211" t="s">
        <v>105</v>
      </c>
      <c r="I211">
        <v>7</v>
      </c>
      <c r="J211">
        <v>7</v>
      </c>
      <c r="K211">
        <v>8</v>
      </c>
      <c r="L211">
        <v>8</v>
      </c>
      <c r="M211">
        <v>8</v>
      </c>
      <c r="N211">
        <v>9</v>
      </c>
      <c r="O211">
        <v>8</v>
      </c>
      <c r="P211">
        <v>8</v>
      </c>
      <c r="Q211">
        <v>8</v>
      </c>
    </row>
    <row r="212" spans="1:17" x14ac:dyDescent="0.45">
      <c r="A212" s="19">
        <v>46031.399305555555</v>
      </c>
      <c r="B212" t="s">
        <v>67</v>
      </c>
      <c r="C212" t="s">
        <v>68</v>
      </c>
      <c r="D212" t="s">
        <v>69</v>
      </c>
      <c r="E212" t="s">
        <v>72</v>
      </c>
      <c r="F212" t="s">
        <v>95</v>
      </c>
      <c r="G212" t="s">
        <v>106</v>
      </c>
      <c r="H212" t="s">
        <v>97</v>
      </c>
      <c r="I212">
        <v>7</v>
      </c>
      <c r="J212">
        <v>7</v>
      </c>
      <c r="K212">
        <v>7</v>
      </c>
      <c r="L212">
        <v>7</v>
      </c>
      <c r="M212">
        <v>7</v>
      </c>
      <c r="N212">
        <v>7</v>
      </c>
      <c r="O212">
        <v>7</v>
      </c>
      <c r="P212">
        <v>7</v>
      </c>
      <c r="Q212">
        <v>7</v>
      </c>
    </row>
    <row r="213" spans="1:17" x14ac:dyDescent="0.45">
      <c r="A213" s="19">
        <v>46031.399305555555</v>
      </c>
      <c r="B213" t="s">
        <v>67</v>
      </c>
      <c r="C213" t="s">
        <v>68</v>
      </c>
      <c r="D213" t="s">
        <v>69</v>
      </c>
      <c r="E213" t="s">
        <v>72</v>
      </c>
      <c r="F213" t="s">
        <v>95</v>
      </c>
      <c r="G213" t="s">
        <v>106</v>
      </c>
      <c r="H213" t="s">
        <v>105</v>
      </c>
      <c r="I213">
        <v>5</v>
      </c>
      <c r="J213">
        <v>5</v>
      </c>
      <c r="K213">
        <v>1</v>
      </c>
      <c r="L213">
        <v>5</v>
      </c>
      <c r="M213">
        <v>5</v>
      </c>
      <c r="N213">
        <v>5</v>
      </c>
      <c r="O213">
        <v>4</v>
      </c>
      <c r="P213">
        <v>5</v>
      </c>
      <c r="Q213">
        <v>5</v>
      </c>
    </row>
    <row r="214" spans="1:17" x14ac:dyDescent="0.45">
      <c r="A214" s="19">
        <v>46031.4</v>
      </c>
      <c r="B214" t="s">
        <v>67</v>
      </c>
      <c r="C214" t="s">
        <v>68</v>
      </c>
      <c r="D214" t="s">
        <v>69</v>
      </c>
      <c r="E214" t="s">
        <v>72</v>
      </c>
      <c r="F214" t="s">
        <v>95</v>
      </c>
      <c r="G214" t="s">
        <v>106</v>
      </c>
      <c r="H214" t="s">
        <v>191</v>
      </c>
      <c r="I214">
        <v>7</v>
      </c>
      <c r="J214">
        <v>8</v>
      </c>
      <c r="K214">
        <v>8</v>
      </c>
      <c r="L214">
        <v>8</v>
      </c>
      <c r="M214">
        <v>8</v>
      </c>
      <c r="N214">
        <v>8</v>
      </c>
      <c r="O214">
        <v>8</v>
      </c>
      <c r="P214">
        <v>8</v>
      </c>
      <c r="Q214">
        <v>8</v>
      </c>
    </row>
    <row r="215" spans="1:17" x14ac:dyDescent="0.45">
      <c r="A215" s="19">
        <v>46031.400694444441</v>
      </c>
      <c r="B215" t="s">
        <v>67</v>
      </c>
      <c r="C215" t="s">
        <v>68</v>
      </c>
      <c r="D215" t="s">
        <v>69</v>
      </c>
      <c r="E215" t="s">
        <v>70</v>
      </c>
      <c r="F215" t="s">
        <v>95</v>
      </c>
      <c r="G215" t="s">
        <v>106</v>
      </c>
      <c r="H215" t="s">
        <v>191</v>
      </c>
      <c r="I215">
        <v>9</v>
      </c>
      <c r="J215">
        <v>9</v>
      </c>
      <c r="K215">
        <v>9</v>
      </c>
      <c r="L215">
        <v>9</v>
      </c>
      <c r="M215">
        <v>9</v>
      </c>
      <c r="N215">
        <v>9</v>
      </c>
      <c r="O215">
        <v>9</v>
      </c>
      <c r="P215">
        <v>9</v>
      </c>
      <c r="Q215">
        <v>9</v>
      </c>
    </row>
    <row r="216" spans="1:17" x14ac:dyDescent="0.45">
      <c r="A216" s="19">
        <v>46031.400694444441</v>
      </c>
      <c r="B216" t="s">
        <v>67</v>
      </c>
      <c r="C216" t="s">
        <v>68</v>
      </c>
      <c r="D216" t="s">
        <v>69</v>
      </c>
      <c r="E216" t="s">
        <v>70</v>
      </c>
      <c r="F216" t="s">
        <v>95</v>
      </c>
      <c r="G216" t="s">
        <v>192</v>
      </c>
      <c r="H216" t="s">
        <v>100</v>
      </c>
      <c r="I216">
        <v>5</v>
      </c>
      <c r="J216">
        <v>5</v>
      </c>
      <c r="K216">
        <v>5</v>
      </c>
      <c r="L216">
        <v>5</v>
      </c>
      <c r="M216">
        <v>5</v>
      </c>
      <c r="N216">
        <v>5</v>
      </c>
      <c r="O216">
        <v>5</v>
      </c>
      <c r="P216">
        <v>5</v>
      </c>
      <c r="Q216">
        <v>5</v>
      </c>
    </row>
    <row r="217" spans="1:17" x14ac:dyDescent="0.45">
      <c r="A217" s="19">
        <v>46031.400694444441</v>
      </c>
      <c r="B217" t="s">
        <v>67</v>
      </c>
      <c r="C217" t="s">
        <v>68</v>
      </c>
      <c r="D217" t="s">
        <v>69</v>
      </c>
      <c r="E217" t="s">
        <v>70</v>
      </c>
      <c r="F217" t="s">
        <v>95</v>
      </c>
      <c r="G217" t="s">
        <v>104</v>
      </c>
      <c r="H217" t="s">
        <v>97</v>
      </c>
      <c r="I217">
        <v>6</v>
      </c>
      <c r="J217">
        <v>7</v>
      </c>
      <c r="K217">
        <v>7</v>
      </c>
      <c r="L217">
        <v>7</v>
      </c>
      <c r="M217">
        <v>6</v>
      </c>
      <c r="N217">
        <v>7</v>
      </c>
      <c r="O217">
        <v>7</v>
      </c>
      <c r="P217">
        <v>7</v>
      </c>
      <c r="Q217">
        <v>7</v>
      </c>
    </row>
    <row r="218" spans="1:17" x14ac:dyDescent="0.45">
      <c r="A218" s="19">
        <v>46031.401388888888</v>
      </c>
      <c r="B218" t="s">
        <v>73</v>
      </c>
      <c r="C218" t="s">
        <v>68</v>
      </c>
      <c r="D218" t="s">
        <v>69</v>
      </c>
      <c r="E218" t="s">
        <v>72</v>
      </c>
      <c r="F218" t="s">
        <v>95</v>
      </c>
      <c r="G218" t="s">
        <v>104</v>
      </c>
      <c r="H218" t="s">
        <v>105</v>
      </c>
      <c r="I218">
        <v>5</v>
      </c>
      <c r="J218">
        <v>5</v>
      </c>
      <c r="K218">
        <v>5</v>
      </c>
      <c r="L218">
        <v>6</v>
      </c>
      <c r="M218">
        <v>5</v>
      </c>
      <c r="N218">
        <v>5</v>
      </c>
      <c r="O218">
        <v>5</v>
      </c>
      <c r="P218">
        <v>5</v>
      </c>
      <c r="Q218">
        <v>5</v>
      </c>
    </row>
    <row r="219" spans="1:17" x14ac:dyDescent="0.45">
      <c r="A219" s="19">
        <v>46031.402083333334</v>
      </c>
      <c r="B219" t="s">
        <v>67</v>
      </c>
      <c r="C219" t="s">
        <v>68</v>
      </c>
      <c r="D219" t="s">
        <v>69</v>
      </c>
      <c r="E219" t="s">
        <v>72</v>
      </c>
      <c r="F219" t="s">
        <v>95</v>
      </c>
      <c r="G219" t="s">
        <v>106</v>
      </c>
      <c r="H219" t="s">
        <v>101</v>
      </c>
      <c r="I219">
        <v>6</v>
      </c>
      <c r="J219">
        <v>7</v>
      </c>
      <c r="K219">
        <v>7</v>
      </c>
      <c r="L219">
        <v>7</v>
      </c>
      <c r="M219">
        <v>7</v>
      </c>
      <c r="N219">
        <v>7</v>
      </c>
      <c r="O219">
        <v>7</v>
      </c>
      <c r="P219">
        <v>7</v>
      </c>
      <c r="Q219">
        <v>7</v>
      </c>
    </row>
    <row r="220" spans="1:17" x14ac:dyDescent="0.45">
      <c r="A220" s="19">
        <v>46031.402777777781</v>
      </c>
      <c r="B220" t="s">
        <v>73</v>
      </c>
      <c r="C220" t="s">
        <v>189</v>
      </c>
      <c r="D220" t="s">
        <v>69</v>
      </c>
      <c r="E220" t="s">
        <v>70</v>
      </c>
      <c r="F220" t="s">
        <v>95</v>
      </c>
      <c r="G220" t="s">
        <v>103</v>
      </c>
      <c r="H220" t="s">
        <v>100</v>
      </c>
      <c r="I220">
        <v>7</v>
      </c>
      <c r="J220">
        <v>8</v>
      </c>
      <c r="K220">
        <v>8</v>
      </c>
      <c r="L220">
        <v>8</v>
      </c>
      <c r="M220">
        <v>8</v>
      </c>
      <c r="N220">
        <v>5</v>
      </c>
      <c r="O220">
        <v>5</v>
      </c>
      <c r="P220">
        <v>7</v>
      </c>
      <c r="Q220">
        <v>6</v>
      </c>
    </row>
    <row r="221" spans="1:17" x14ac:dyDescent="0.45">
      <c r="A221" s="19">
        <v>46031.402777777781</v>
      </c>
      <c r="B221" t="s">
        <v>67</v>
      </c>
      <c r="C221" t="s">
        <v>187</v>
      </c>
      <c r="D221" t="s">
        <v>69</v>
      </c>
      <c r="E221" t="s">
        <v>70</v>
      </c>
      <c r="F221" t="s">
        <v>95</v>
      </c>
      <c r="G221" t="s">
        <v>103</v>
      </c>
      <c r="H221" t="s">
        <v>97</v>
      </c>
      <c r="I221">
        <v>10</v>
      </c>
      <c r="J221">
        <v>10</v>
      </c>
      <c r="K221">
        <v>6</v>
      </c>
      <c r="L221">
        <v>9</v>
      </c>
      <c r="M221">
        <v>9</v>
      </c>
      <c r="N221">
        <v>9</v>
      </c>
      <c r="O221">
        <v>9</v>
      </c>
      <c r="P221">
        <v>8</v>
      </c>
      <c r="Q221">
        <v>8</v>
      </c>
    </row>
    <row r="222" spans="1:17" x14ac:dyDescent="0.45">
      <c r="A222" s="19">
        <v>46031.40347222222</v>
      </c>
      <c r="B222" t="s">
        <v>67</v>
      </c>
      <c r="C222" t="s">
        <v>74</v>
      </c>
      <c r="D222" t="s">
        <v>69</v>
      </c>
      <c r="E222" t="s">
        <v>72</v>
      </c>
      <c r="F222" t="s">
        <v>95</v>
      </c>
      <c r="G222" t="s">
        <v>106</v>
      </c>
      <c r="H222" t="s">
        <v>97</v>
      </c>
      <c r="I222">
        <v>4</v>
      </c>
      <c r="J222">
        <v>4</v>
      </c>
      <c r="K222">
        <v>4</v>
      </c>
      <c r="L222">
        <v>6</v>
      </c>
      <c r="M222">
        <v>5</v>
      </c>
      <c r="N222">
        <v>6</v>
      </c>
      <c r="O222">
        <v>5</v>
      </c>
      <c r="P222">
        <v>6</v>
      </c>
      <c r="Q222">
        <v>5</v>
      </c>
    </row>
    <row r="223" spans="1:17" x14ac:dyDescent="0.45">
      <c r="A223" s="19">
        <v>46031.404861111114</v>
      </c>
      <c r="B223" t="s">
        <v>67</v>
      </c>
      <c r="C223" t="s">
        <v>187</v>
      </c>
      <c r="D223" t="s">
        <v>69</v>
      </c>
      <c r="E223" t="s">
        <v>72</v>
      </c>
      <c r="F223" t="s">
        <v>95</v>
      </c>
      <c r="G223" t="s">
        <v>106</v>
      </c>
      <c r="H223" t="s">
        <v>100</v>
      </c>
      <c r="I223">
        <v>4</v>
      </c>
      <c r="J223">
        <v>5</v>
      </c>
      <c r="K223">
        <v>4</v>
      </c>
      <c r="L223">
        <v>5</v>
      </c>
      <c r="M223">
        <v>5</v>
      </c>
      <c r="N223">
        <v>5</v>
      </c>
      <c r="O223">
        <v>5</v>
      </c>
      <c r="P223">
        <v>5</v>
      </c>
      <c r="Q223">
        <v>5</v>
      </c>
    </row>
    <row r="224" spans="1:17" x14ac:dyDescent="0.45">
      <c r="A224" s="19">
        <v>46031.405555555553</v>
      </c>
      <c r="B224" t="s">
        <v>73</v>
      </c>
      <c r="C224" t="s">
        <v>68</v>
      </c>
      <c r="D224" t="s">
        <v>69</v>
      </c>
      <c r="E224" t="s">
        <v>72</v>
      </c>
      <c r="F224" t="s">
        <v>95</v>
      </c>
      <c r="G224" t="s">
        <v>106</v>
      </c>
      <c r="H224" t="s">
        <v>100</v>
      </c>
      <c r="I224">
        <v>6</v>
      </c>
      <c r="J224">
        <v>6</v>
      </c>
      <c r="K224">
        <v>7</v>
      </c>
      <c r="L224">
        <v>7</v>
      </c>
      <c r="M224">
        <v>6</v>
      </c>
      <c r="N224">
        <v>6</v>
      </c>
      <c r="O224">
        <v>8</v>
      </c>
      <c r="P224">
        <v>8</v>
      </c>
      <c r="Q224">
        <v>7</v>
      </c>
    </row>
    <row r="225" spans="1:17" x14ac:dyDescent="0.45">
      <c r="A225" s="19">
        <v>46031.405555555553</v>
      </c>
      <c r="B225" t="s">
        <v>67</v>
      </c>
      <c r="C225" t="s">
        <v>68</v>
      </c>
      <c r="D225" t="s">
        <v>69</v>
      </c>
      <c r="E225" t="s">
        <v>70</v>
      </c>
      <c r="F225" t="s">
        <v>95</v>
      </c>
      <c r="G225" t="s">
        <v>106</v>
      </c>
      <c r="H225" t="s">
        <v>105</v>
      </c>
      <c r="I225">
        <v>7</v>
      </c>
      <c r="J225">
        <v>7</v>
      </c>
      <c r="K225">
        <v>7</v>
      </c>
      <c r="L225">
        <v>7</v>
      </c>
      <c r="M225">
        <v>7</v>
      </c>
      <c r="N225">
        <v>7</v>
      </c>
      <c r="O225">
        <v>7</v>
      </c>
      <c r="P225">
        <v>7</v>
      </c>
      <c r="Q225">
        <v>7</v>
      </c>
    </row>
    <row r="226" spans="1:17" x14ac:dyDescent="0.45">
      <c r="A226" s="19">
        <v>46031.40625</v>
      </c>
      <c r="B226" t="s">
        <v>67</v>
      </c>
      <c r="C226" t="s">
        <v>68</v>
      </c>
      <c r="D226" t="s">
        <v>69</v>
      </c>
      <c r="E226" t="s">
        <v>72</v>
      </c>
      <c r="F226" t="s">
        <v>95</v>
      </c>
      <c r="G226" t="s">
        <v>104</v>
      </c>
      <c r="H226" t="s">
        <v>97</v>
      </c>
      <c r="I226">
        <v>6</v>
      </c>
      <c r="J226">
        <v>6</v>
      </c>
      <c r="K226">
        <v>7</v>
      </c>
      <c r="L226">
        <v>7</v>
      </c>
      <c r="M226">
        <v>5</v>
      </c>
      <c r="N226">
        <v>6</v>
      </c>
      <c r="O226">
        <v>6</v>
      </c>
      <c r="P226">
        <v>6</v>
      </c>
      <c r="Q226">
        <v>7</v>
      </c>
    </row>
    <row r="227" spans="1:17" x14ac:dyDescent="0.45">
      <c r="A227" s="19">
        <v>46031.406944444447</v>
      </c>
      <c r="B227" t="s">
        <v>67</v>
      </c>
      <c r="C227" t="s">
        <v>189</v>
      </c>
      <c r="D227" t="s">
        <v>69</v>
      </c>
      <c r="E227" t="s">
        <v>70</v>
      </c>
      <c r="F227" t="s">
        <v>95</v>
      </c>
      <c r="G227" t="s">
        <v>102</v>
      </c>
      <c r="H227" t="s">
        <v>100</v>
      </c>
      <c r="I227">
        <v>7</v>
      </c>
      <c r="J227">
        <v>7</v>
      </c>
      <c r="K227">
        <v>6</v>
      </c>
      <c r="L227">
        <v>7</v>
      </c>
      <c r="M227">
        <v>7</v>
      </c>
      <c r="N227">
        <v>7</v>
      </c>
      <c r="O227">
        <v>7</v>
      </c>
      <c r="P227">
        <v>7</v>
      </c>
      <c r="Q227">
        <v>7</v>
      </c>
    </row>
    <row r="228" spans="1:17" x14ac:dyDescent="0.45">
      <c r="A228" s="19">
        <v>46031.407638888886</v>
      </c>
      <c r="B228" t="s">
        <v>67</v>
      </c>
      <c r="C228" t="s">
        <v>76</v>
      </c>
      <c r="D228" t="s">
        <v>69</v>
      </c>
      <c r="E228" t="s">
        <v>72</v>
      </c>
      <c r="F228" t="s">
        <v>95</v>
      </c>
      <c r="G228" t="s">
        <v>96</v>
      </c>
      <c r="H228" t="s">
        <v>105</v>
      </c>
      <c r="I228">
        <v>6</v>
      </c>
      <c r="J228">
        <v>6</v>
      </c>
      <c r="K228">
        <v>6</v>
      </c>
      <c r="L228">
        <v>6</v>
      </c>
      <c r="M228">
        <v>6</v>
      </c>
      <c r="N228">
        <v>6</v>
      </c>
      <c r="O228">
        <v>6</v>
      </c>
      <c r="P228">
        <v>6</v>
      </c>
      <c r="Q228">
        <v>6</v>
      </c>
    </row>
    <row r="229" spans="1:17" x14ac:dyDescent="0.45">
      <c r="A229" s="19">
        <v>46031.407638888886</v>
      </c>
      <c r="B229" t="s">
        <v>67</v>
      </c>
      <c r="C229" t="s">
        <v>76</v>
      </c>
      <c r="D229" t="s">
        <v>69</v>
      </c>
      <c r="E229" t="s">
        <v>72</v>
      </c>
      <c r="F229" t="s">
        <v>95</v>
      </c>
      <c r="G229" t="s">
        <v>192</v>
      </c>
      <c r="H229" t="s">
        <v>100</v>
      </c>
      <c r="I229">
        <v>8</v>
      </c>
      <c r="J229">
        <v>9</v>
      </c>
      <c r="K229">
        <v>7</v>
      </c>
      <c r="L229">
        <v>8</v>
      </c>
      <c r="M229">
        <v>9</v>
      </c>
      <c r="N229">
        <v>8</v>
      </c>
      <c r="O229">
        <v>8</v>
      </c>
      <c r="P229">
        <v>8</v>
      </c>
      <c r="Q229">
        <v>8</v>
      </c>
    </row>
    <row r="230" spans="1:17" x14ac:dyDescent="0.45">
      <c r="A230" s="19">
        <v>46031.408333333333</v>
      </c>
      <c r="B230" t="s">
        <v>67</v>
      </c>
      <c r="C230" t="s">
        <v>68</v>
      </c>
      <c r="D230" t="s">
        <v>69</v>
      </c>
      <c r="E230" t="s">
        <v>72</v>
      </c>
      <c r="F230" t="s">
        <v>95</v>
      </c>
      <c r="G230" t="s">
        <v>106</v>
      </c>
      <c r="H230" t="s">
        <v>100</v>
      </c>
      <c r="I230">
        <v>6</v>
      </c>
      <c r="J230">
        <v>6</v>
      </c>
      <c r="K230">
        <v>6</v>
      </c>
      <c r="L230">
        <v>6</v>
      </c>
      <c r="M230">
        <v>6</v>
      </c>
      <c r="N230">
        <v>7</v>
      </c>
      <c r="O230">
        <v>6</v>
      </c>
      <c r="P230">
        <v>6</v>
      </c>
      <c r="Q230">
        <v>7</v>
      </c>
    </row>
    <row r="231" spans="1:17" x14ac:dyDescent="0.45">
      <c r="A231" s="19">
        <v>46031.40902777778</v>
      </c>
      <c r="B231" t="s">
        <v>67</v>
      </c>
      <c r="C231" t="s">
        <v>74</v>
      </c>
      <c r="D231" t="s">
        <v>69</v>
      </c>
      <c r="E231" t="s">
        <v>70</v>
      </c>
      <c r="F231" t="s">
        <v>95</v>
      </c>
      <c r="G231" t="s">
        <v>102</v>
      </c>
      <c r="H231" t="s">
        <v>191</v>
      </c>
      <c r="I231">
        <v>4</v>
      </c>
      <c r="J231">
        <v>5</v>
      </c>
      <c r="K231">
        <v>1</v>
      </c>
      <c r="L231">
        <v>6</v>
      </c>
      <c r="M231">
        <v>4</v>
      </c>
      <c r="N231">
        <v>4</v>
      </c>
      <c r="O231">
        <v>5</v>
      </c>
      <c r="P231">
        <v>5</v>
      </c>
      <c r="Q231">
        <v>5</v>
      </c>
    </row>
    <row r="232" spans="1:17" x14ac:dyDescent="0.45">
      <c r="A232" s="19">
        <v>46031.40902777778</v>
      </c>
      <c r="B232" t="s">
        <v>73</v>
      </c>
      <c r="C232" t="s">
        <v>189</v>
      </c>
      <c r="D232" t="s">
        <v>69</v>
      </c>
      <c r="E232" t="s">
        <v>70</v>
      </c>
      <c r="F232" t="s">
        <v>95</v>
      </c>
      <c r="G232" t="s">
        <v>103</v>
      </c>
      <c r="H232" t="s">
        <v>191</v>
      </c>
      <c r="I232">
        <v>8</v>
      </c>
      <c r="J232">
        <v>8</v>
      </c>
      <c r="K232">
        <v>8</v>
      </c>
      <c r="L232">
        <v>8</v>
      </c>
      <c r="M232">
        <v>7</v>
      </c>
      <c r="N232">
        <v>7</v>
      </c>
      <c r="O232">
        <v>8</v>
      </c>
      <c r="P232">
        <v>7</v>
      </c>
      <c r="Q232">
        <v>8</v>
      </c>
    </row>
    <row r="233" spans="1:17" x14ac:dyDescent="0.45">
      <c r="A233" s="19">
        <v>46031.409722222219</v>
      </c>
      <c r="B233" t="s">
        <v>73</v>
      </c>
      <c r="C233" t="s">
        <v>68</v>
      </c>
      <c r="D233" t="s">
        <v>69</v>
      </c>
      <c r="E233" t="s">
        <v>72</v>
      </c>
      <c r="F233" t="s">
        <v>95</v>
      </c>
      <c r="G233" t="s">
        <v>106</v>
      </c>
      <c r="H233" t="s">
        <v>100</v>
      </c>
      <c r="I233">
        <v>6</v>
      </c>
      <c r="J233">
        <v>6</v>
      </c>
      <c r="K233">
        <v>6</v>
      </c>
      <c r="L233">
        <v>6</v>
      </c>
      <c r="M233">
        <v>6</v>
      </c>
      <c r="N233">
        <v>6</v>
      </c>
      <c r="O233">
        <v>6</v>
      </c>
      <c r="P233">
        <v>6</v>
      </c>
      <c r="Q233">
        <v>6</v>
      </c>
    </row>
    <row r="234" spans="1:17" x14ac:dyDescent="0.45">
      <c r="A234" s="19">
        <v>46031.409722222219</v>
      </c>
      <c r="B234" t="s">
        <v>67</v>
      </c>
      <c r="C234" t="s">
        <v>74</v>
      </c>
      <c r="D234" t="s">
        <v>69</v>
      </c>
      <c r="E234" t="s">
        <v>72</v>
      </c>
      <c r="F234" t="s">
        <v>95</v>
      </c>
      <c r="G234" t="s">
        <v>99</v>
      </c>
      <c r="H234" t="s">
        <v>97</v>
      </c>
      <c r="I234">
        <v>8</v>
      </c>
      <c r="J234">
        <v>8</v>
      </c>
      <c r="K234">
        <v>8</v>
      </c>
      <c r="L234">
        <v>8</v>
      </c>
      <c r="M234">
        <v>9</v>
      </c>
      <c r="N234">
        <v>8</v>
      </c>
      <c r="O234">
        <v>8</v>
      </c>
      <c r="P234">
        <v>8</v>
      </c>
      <c r="Q234">
        <v>10</v>
      </c>
    </row>
    <row r="235" spans="1:17" x14ac:dyDescent="0.45">
      <c r="A235" s="19">
        <v>46031.409722222219</v>
      </c>
      <c r="B235" t="s">
        <v>67</v>
      </c>
      <c r="C235" t="s">
        <v>187</v>
      </c>
      <c r="D235" t="s">
        <v>69</v>
      </c>
      <c r="E235" t="s">
        <v>70</v>
      </c>
      <c r="F235" t="s">
        <v>95</v>
      </c>
      <c r="G235" t="s">
        <v>102</v>
      </c>
      <c r="H235" t="s">
        <v>101</v>
      </c>
      <c r="I235">
        <v>4</v>
      </c>
      <c r="J235">
        <v>4</v>
      </c>
      <c r="K235">
        <v>4</v>
      </c>
      <c r="L235">
        <v>4</v>
      </c>
      <c r="M235">
        <v>1</v>
      </c>
      <c r="N235">
        <v>3</v>
      </c>
      <c r="O235">
        <v>1</v>
      </c>
      <c r="P235">
        <v>1</v>
      </c>
      <c r="Q235">
        <v>1</v>
      </c>
    </row>
    <row r="236" spans="1:17" x14ac:dyDescent="0.45">
      <c r="A236" s="19">
        <v>46031.410416666666</v>
      </c>
      <c r="B236" t="s">
        <v>67</v>
      </c>
      <c r="C236" t="s">
        <v>68</v>
      </c>
      <c r="D236" t="s">
        <v>69</v>
      </c>
      <c r="E236" t="s">
        <v>72</v>
      </c>
      <c r="F236" t="s">
        <v>95</v>
      </c>
      <c r="G236" t="s">
        <v>104</v>
      </c>
      <c r="H236" t="s">
        <v>105</v>
      </c>
      <c r="I236">
        <v>6</v>
      </c>
      <c r="J236">
        <v>6</v>
      </c>
      <c r="K236">
        <v>1</v>
      </c>
      <c r="L236">
        <v>6</v>
      </c>
      <c r="M236">
        <v>5</v>
      </c>
      <c r="N236">
        <v>6</v>
      </c>
      <c r="O236">
        <v>5</v>
      </c>
      <c r="P236">
        <v>6</v>
      </c>
      <c r="Q236">
        <v>6</v>
      </c>
    </row>
    <row r="237" spans="1:17" x14ac:dyDescent="0.45">
      <c r="A237" s="19">
        <v>46031.411111111112</v>
      </c>
      <c r="B237" t="s">
        <v>67</v>
      </c>
      <c r="C237" t="s">
        <v>68</v>
      </c>
      <c r="D237" t="s">
        <v>69</v>
      </c>
      <c r="E237" t="s">
        <v>70</v>
      </c>
      <c r="F237" t="s">
        <v>95</v>
      </c>
      <c r="G237" t="s">
        <v>106</v>
      </c>
      <c r="H237" t="s">
        <v>101</v>
      </c>
      <c r="I237">
        <v>7</v>
      </c>
      <c r="J237">
        <v>7</v>
      </c>
      <c r="K237">
        <v>7</v>
      </c>
      <c r="L237">
        <v>7</v>
      </c>
      <c r="M237">
        <v>7</v>
      </c>
      <c r="N237">
        <v>7</v>
      </c>
      <c r="O237">
        <v>7</v>
      </c>
      <c r="P237">
        <v>7</v>
      </c>
      <c r="Q237">
        <v>7</v>
      </c>
    </row>
    <row r="238" spans="1:17" x14ac:dyDescent="0.45">
      <c r="A238" s="19">
        <v>46031.418749999997</v>
      </c>
      <c r="B238" t="s">
        <v>73</v>
      </c>
      <c r="C238" t="s">
        <v>68</v>
      </c>
      <c r="D238" t="s">
        <v>69</v>
      </c>
      <c r="E238" t="s">
        <v>70</v>
      </c>
      <c r="F238" t="s">
        <v>98</v>
      </c>
      <c r="G238" t="s">
        <v>99</v>
      </c>
      <c r="H238" t="s">
        <v>101</v>
      </c>
      <c r="I238">
        <v>10</v>
      </c>
      <c r="J238">
        <v>10</v>
      </c>
      <c r="K238">
        <v>4</v>
      </c>
      <c r="L238">
        <v>6</v>
      </c>
      <c r="M238">
        <v>3</v>
      </c>
      <c r="N238">
        <v>1</v>
      </c>
      <c r="O238">
        <v>1</v>
      </c>
      <c r="P238">
        <v>3</v>
      </c>
      <c r="Q238">
        <v>1</v>
      </c>
    </row>
    <row r="239" spans="1:17" x14ac:dyDescent="0.45">
      <c r="A239" s="19">
        <v>46031.427083333336</v>
      </c>
      <c r="B239" t="s">
        <v>67</v>
      </c>
      <c r="C239" t="s">
        <v>68</v>
      </c>
      <c r="D239" t="s">
        <v>69</v>
      </c>
      <c r="E239" t="s">
        <v>70</v>
      </c>
      <c r="F239" t="s">
        <v>95</v>
      </c>
      <c r="G239" t="s">
        <v>96</v>
      </c>
      <c r="H239" t="s">
        <v>97</v>
      </c>
      <c r="I239">
        <v>8</v>
      </c>
      <c r="J239">
        <v>10</v>
      </c>
      <c r="K239">
        <v>8</v>
      </c>
      <c r="L239">
        <v>10</v>
      </c>
      <c r="M239">
        <v>9</v>
      </c>
      <c r="N239">
        <v>8</v>
      </c>
      <c r="O239">
        <v>7</v>
      </c>
      <c r="P239">
        <v>9</v>
      </c>
      <c r="Q239">
        <v>9</v>
      </c>
    </row>
    <row r="240" spans="1:17" x14ac:dyDescent="0.45">
      <c r="A240" s="19">
        <v>46031.440972222219</v>
      </c>
      <c r="B240" t="s">
        <v>73</v>
      </c>
      <c r="C240" t="s">
        <v>189</v>
      </c>
      <c r="D240" t="s">
        <v>69</v>
      </c>
      <c r="E240" t="s">
        <v>70</v>
      </c>
      <c r="F240" t="s">
        <v>95</v>
      </c>
      <c r="G240" t="s">
        <v>102</v>
      </c>
      <c r="H240" t="s">
        <v>191</v>
      </c>
      <c r="I240">
        <v>6</v>
      </c>
      <c r="J240">
        <v>6</v>
      </c>
      <c r="K240">
        <v>6</v>
      </c>
      <c r="L240">
        <v>6</v>
      </c>
      <c r="M240">
        <v>6</v>
      </c>
      <c r="N240">
        <v>6</v>
      </c>
      <c r="O240">
        <v>6</v>
      </c>
      <c r="P240">
        <v>7</v>
      </c>
      <c r="Q240">
        <v>6</v>
      </c>
    </row>
    <row r="241" spans="1:17" x14ac:dyDescent="0.45">
      <c r="A241" s="19">
        <v>46031.441666666666</v>
      </c>
      <c r="B241" t="s">
        <v>67</v>
      </c>
      <c r="C241" t="s">
        <v>68</v>
      </c>
      <c r="D241" t="s">
        <v>69</v>
      </c>
      <c r="E241" t="s">
        <v>72</v>
      </c>
      <c r="F241" t="s">
        <v>95</v>
      </c>
      <c r="G241" t="s">
        <v>106</v>
      </c>
      <c r="H241" t="s">
        <v>101</v>
      </c>
      <c r="I241">
        <v>8</v>
      </c>
      <c r="J241">
        <v>8</v>
      </c>
      <c r="K241">
        <v>8</v>
      </c>
      <c r="L241">
        <v>8</v>
      </c>
      <c r="M241">
        <v>8</v>
      </c>
      <c r="N241">
        <v>8</v>
      </c>
      <c r="O241">
        <v>8</v>
      </c>
      <c r="P241">
        <v>8</v>
      </c>
      <c r="Q241">
        <v>8</v>
      </c>
    </row>
    <row r="242" spans="1:17" x14ac:dyDescent="0.45">
      <c r="A242" s="19">
        <v>46031.441666666666</v>
      </c>
      <c r="B242" t="s">
        <v>67</v>
      </c>
      <c r="C242" t="s">
        <v>68</v>
      </c>
      <c r="D242" t="s">
        <v>69</v>
      </c>
      <c r="E242" t="s">
        <v>70</v>
      </c>
      <c r="F242" t="s">
        <v>95</v>
      </c>
      <c r="G242" t="s">
        <v>106</v>
      </c>
      <c r="H242" t="s">
        <v>97</v>
      </c>
      <c r="I242">
        <v>7</v>
      </c>
      <c r="J242">
        <v>6</v>
      </c>
      <c r="K242">
        <v>7</v>
      </c>
      <c r="L242">
        <v>7</v>
      </c>
      <c r="M242">
        <v>8</v>
      </c>
      <c r="N242">
        <v>8</v>
      </c>
      <c r="O242">
        <v>8</v>
      </c>
      <c r="P242">
        <v>8</v>
      </c>
      <c r="Q242">
        <v>8</v>
      </c>
    </row>
    <row r="243" spans="1:17" x14ac:dyDescent="0.45">
      <c r="A243" s="19">
        <v>46031.441666666666</v>
      </c>
      <c r="B243" t="s">
        <v>73</v>
      </c>
      <c r="C243" t="s">
        <v>68</v>
      </c>
      <c r="D243" t="s">
        <v>69</v>
      </c>
      <c r="E243" t="s">
        <v>72</v>
      </c>
      <c r="F243" t="s">
        <v>95</v>
      </c>
      <c r="G243" t="s">
        <v>106</v>
      </c>
      <c r="H243" t="s">
        <v>100</v>
      </c>
      <c r="I243">
        <v>6</v>
      </c>
      <c r="J243">
        <v>5</v>
      </c>
      <c r="K243">
        <v>5</v>
      </c>
      <c r="L243">
        <v>7</v>
      </c>
      <c r="M243">
        <v>7</v>
      </c>
      <c r="N243">
        <v>7</v>
      </c>
      <c r="O243">
        <v>7</v>
      </c>
      <c r="P243">
        <v>8</v>
      </c>
      <c r="Q243">
        <v>8</v>
      </c>
    </row>
    <row r="244" spans="1:17" x14ac:dyDescent="0.45">
      <c r="A244" s="19">
        <v>46031.442361111112</v>
      </c>
      <c r="B244" t="s">
        <v>73</v>
      </c>
      <c r="C244" t="s">
        <v>187</v>
      </c>
      <c r="D244" t="s">
        <v>69</v>
      </c>
      <c r="E244" t="s">
        <v>72</v>
      </c>
      <c r="F244" t="s">
        <v>95</v>
      </c>
      <c r="G244" t="s">
        <v>102</v>
      </c>
      <c r="H244" t="s">
        <v>100</v>
      </c>
      <c r="I244">
        <v>6</v>
      </c>
      <c r="J244">
        <v>6</v>
      </c>
      <c r="K244">
        <v>6</v>
      </c>
      <c r="L244">
        <v>6</v>
      </c>
      <c r="M244">
        <v>6</v>
      </c>
      <c r="N244">
        <v>6</v>
      </c>
      <c r="O244">
        <v>6</v>
      </c>
      <c r="P244">
        <v>6</v>
      </c>
      <c r="Q244">
        <v>6</v>
      </c>
    </row>
    <row r="245" spans="1:17" x14ac:dyDescent="0.45">
      <c r="A245" s="19">
        <v>46031.442361111112</v>
      </c>
      <c r="B245" t="s">
        <v>67</v>
      </c>
      <c r="C245" t="s">
        <v>74</v>
      </c>
      <c r="D245" t="s">
        <v>69</v>
      </c>
      <c r="E245" t="s">
        <v>70</v>
      </c>
      <c r="F245" t="s">
        <v>95</v>
      </c>
      <c r="G245" t="s">
        <v>106</v>
      </c>
      <c r="H245" t="s">
        <v>101</v>
      </c>
      <c r="I245">
        <v>7</v>
      </c>
      <c r="J245">
        <v>6</v>
      </c>
      <c r="K245">
        <v>6</v>
      </c>
      <c r="L245">
        <v>8</v>
      </c>
      <c r="M245">
        <v>6</v>
      </c>
      <c r="N245">
        <v>6</v>
      </c>
      <c r="O245">
        <v>6</v>
      </c>
      <c r="P245">
        <v>6</v>
      </c>
      <c r="Q245">
        <v>6</v>
      </c>
    </row>
    <row r="246" spans="1:17" x14ac:dyDescent="0.45">
      <c r="A246" s="19">
        <v>46031.443055555559</v>
      </c>
      <c r="B246" t="s">
        <v>73</v>
      </c>
      <c r="C246" t="s">
        <v>74</v>
      </c>
      <c r="D246" t="s">
        <v>69</v>
      </c>
      <c r="E246" t="s">
        <v>70</v>
      </c>
      <c r="F246" t="s">
        <v>95</v>
      </c>
      <c r="G246" t="s">
        <v>103</v>
      </c>
      <c r="H246" t="s">
        <v>105</v>
      </c>
      <c r="I246">
        <v>4</v>
      </c>
      <c r="J246">
        <v>4</v>
      </c>
      <c r="K246">
        <v>1</v>
      </c>
      <c r="L246">
        <v>4</v>
      </c>
      <c r="M246">
        <v>4</v>
      </c>
      <c r="N246">
        <v>4</v>
      </c>
      <c r="O246">
        <v>5</v>
      </c>
      <c r="P246">
        <v>5</v>
      </c>
      <c r="Q246">
        <v>5</v>
      </c>
    </row>
    <row r="247" spans="1:17" x14ac:dyDescent="0.45">
      <c r="A247" s="19">
        <v>46031.443749999999</v>
      </c>
      <c r="B247" t="s">
        <v>73</v>
      </c>
      <c r="C247" t="s">
        <v>68</v>
      </c>
      <c r="D247" t="s">
        <v>69</v>
      </c>
      <c r="E247" t="s">
        <v>72</v>
      </c>
      <c r="F247" t="s">
        <v>95</v>
      </c>
      <c r="G247" t="s">
        <v>96</v>
      </c>
      <c r="H247" t="s">
        <v>105</v>
      </c>
      <c r="I247">
        <v>6</v>
      </c>
      <c r="J247">
        <v>7</v>
      </c>
      <c r="K247">
        <v>7</v>
      </c>
      <c r="L247">
        <v>7</v>
      </c>
      <c r="M247">
        <v>7</v>
      </c>
      <c r="N247">
        <v>7</v>
      </c>
      <c r="O247">
        <v>7</v>
      </c>
      <c r="P247">
        <v>7</v>
      </c>
      <c r="Q247">
        <v>7</v>
      </c>
    </row>
    <row r="248" spans="1:17" x14ac:dyDescent="0.45">
      <c r="A248" s="19">
        <v>46031.444444444445</v>
      </c>
      <c r="B248" t="s">
        <v>67</v>
      </c>
      <c r="C248" t="s">
        <v>187</v>
      </c>
      <c r="D248" t="s">
        <v>69</v>
      </c>
      <c r="E248" t="s">
        <v>70</v>
      </c>
      <c r="F248" t="s">
        <v>95</v>
      </c>
      <c r="G248" t="s">
        <v>106</v>
      </c>
      <c r="H248" t="s">
        <v>191</v>
      </c>
      <c r="I248">
        <v>8</v>
      </c>
      <c r="J248">
        <v>8</v>
      </c>
      <c r="K248">
        <v>8</v>
      </c>
      <c r="L248">
        <v>8</v>
      </c>
      <c r="M248">
        <v>8</v>
      </c>
      <c r="N248">
        <v>8</v>
      </c>
      <c r="O248">
        <v>8</v>
      </c>
      <c r="P248">
        <v>8</v>
      </c>
      <c r="Q248">
        <v>8</v>
      </c>
    </row>
    <row r="249" spans="1:17" x14ac:dyDescent="0.45">
      <c r="A249" s="19">
        <v>46031.464583333334</v>
      </c>
      <c r="B249" t="s">
        <v>67</v>
      </c>
      <c r="C249" t="s">
        <v>74</v>
      </c>
      <c r="D249" t="s">
        <v>69</v>
      </c>
      <c r="E249" t="s">
        <v>72</v>
      </c>
      <c r="F249" t="s">
        <v>95</v>
      </c>
      <c r="G249" t="s">
        <v>104</v>
      </c>
      <c r="H249" t="s">
        <v>97</v>
      </c>
      <c r="I249">
        <v>7</v>
      </c>
      <c r="J249">
        <v>7</v>
      </c>
      <c r="K249">
        <v>7</v>
      </c>
      <c r="L249">
        <v>7</v>
      </c>
      <c r="M249">
        <v>7</v>
      </c>
      <c r="N249">
        <v>7</v>
      </c>
      <c r="O249">
        <v>7</v>
      </c>
      <c r="P249">
        <v>7</v>
      </c>
      <c r="Q249">
        <v>7</v>
      </c>
    </row>
    <row r="250" spans="1:17" x14ac:dyDescent="0.45">
      <c r="A250" s="19">
        <v>46031.464583333334</v>
      </c>
      <c r="B250" t="s">
        <v>73</v>
      </c>
      <c r="C250" t="s">
        <v>189</v>
      </c>
      <c r="D250" t="s">
        <v>69</v>
      </c>
      <c r="E250" t="s">
        <v>70</v>
      </c>
      <c r="F250" t="s">
        <v>95</v>
      </c>
      <c r="G250" t="s">
        <v>102</v>
      </c>
      <c r="H250" t="s">
        <v>101</v>
      </c>
      <c r="I250">
        <v>9</v>
      </c>
      <c r="J250">
        <v>9</v>
      </c>
      <c r="K250">
        <v>9</v>
      </c>
      <c r="L250">
        <v>9</v>
      </c>
      <c r="M250">
        <v>9</v>
      </c>
      <c r="N250">
        <v>9</v>
      </c>
      <c r="O250">
        <v>9</v>
      </c>
      <c r="P250">
        <v>9</v>
      </c>
      <c r="Q250">
        <v>9</v>
      </c>
    </row>
    <row r="251" spans="1:17" x14ac:dyDescent="0.45">
      <c r="A251" s="19">
        <v>46031.465277777781</v>
      </c>
      <c r="B251" t="s">
        <v>67</v>
      </c>
      <c r="C251" t="s">
        <v>68</v>
      </c>
      <c r="D251" t="s">
        <v>69</v>
      </c>
      <c r="E251" t="s">
        <v>72</v>
      </c>
      <c r="F251" t="s">
        <v>95</v>
      </c>
      <c r="G251" t="s">
        <v>106</v>
      </c>
      <c r="H251" t="s">
        <v>101</v>
      </c>
      <c r="I251">
        <v>7</v>
      </c>
      <c r="J251">
        <v>6</v>
      </c>
      <c r="K251">
        <v>5</v>
      </c>
      <c r="L251">
        <v>6</v>
      </c>
      <c r="M251">
        <v>6</v>
      </c>
      <c r="N251">
        <v>6</v>
      </c>
      <c r="O251">
        <v>6</v>
      </c>
      <c r="P251">
        <v>6</v>
      </c>
      <c r="Q251">
        <v>7</v>
      </c>
    </row>
    <row r="252" spans="1:17" x14ac:dyDescent="0.45">
      <c r="A252" s="19">
        <v>46031.465277777781</v>
      </c>
      <c r="B252" t="s">
        <v>67</v>
      </c>
      <c r="C252" t="s">
        <v>68</v>
      </c>
      <c r="D252" t="s">
        <v>69</v>
      </c>
      <c r="E252" t="s">
        <v>72</v>
      </c>
      <c r="F252" t="s">
        <v>95</v>
      </c>
      <c r="G252" t="s">
        <v>104</v>
      </c>
      <c r="H252" t="s">
        <v>191</v>
      </c>
      <c r="I252">
        <v>8</v>
      </c>
      <c r="J252">
        <v>8</v>
      </c>
      <c r="K252">
        <v>8</v>
      </c>
      <c r="L252">
        <v>9</v>
      </c>
      <c r="M252">
        <v>8</v>
      </c>
      <c r="N252">
        <v>10</v>
      </c>
      <c r="O252">
        <v>7</v>
      </c>
      <c r="P252">
        <v>7</v>
      </c>
      <c r="Q252">
        <v>10</v>
      </c>
    </row>
    <row r="253" spans="1:17" x14ac:dyDescent="0.45">
      <c r="A253" s="19">
        <v>46031.46597222222</v>
      </c>
      <c r="B253" t="s">
        <v>67</v>
      </c>
      <c r="C253" t="s">
        <v>187</v>
      </c>
      <c r="D253" t="s">
        <v>69</v>
      </c>
      <c r="E253" t="s">
        <v>72</v>
      </c>
      <c r="F253" t="s">
        <v>95</v>
      </c>
      <c r="G253" t="s">
        <v>106</v>
      </c>
      <c r="H253" t="s">
        <v>101</v>
      </c>
      <c r="I253">
        <v>6</v>
      </c>
      <c r="J253">
        <v>6</v>
      </c>
      <c r="K253">
        <v>1</v>
      </c>
      <c r="L253">
        <v>6</v>
      </c>
      <c r="M253">
        <v>5</v>
      </c>
      <c r="N253">
        <v>6</v>
      </c>
      <c r="O253">
        <v>6</v>
      </c>
      <c r="P253">
        <v>6</v>
      </c>
      <c r="Q253">
        <v>6</v>
      </c>
    </row>
    <row r="254" spans="1:17" x14ac:dyDescent="0.45">
      <c r="A254" s="19">
        <v>46031.466666666667</v>
      </c>
      <c r="B254" t="s">
        <v>73</v>
      </c>
      <c r="C254" t="s">
        <v>74</v>
      </c>
      <c r="D254" t="s">
        <v>69</v>
      </c>
      <c r="E254" t="s">
        <v>70</v>
      </c>
      <c r="F254" t="s">
        <v>95</v>
      </c>
      <c r="G254" t="s">
        <v>102</v>
      </c>
      <c r="H254" t="s">
        <v>191</v>
      </c>
      <c r="I254">
        <v>8</v>
      </c>
      <c r="J254">
        <v>8</v>
      </c>
      <c r="K254">
        <v>3</v>
      </c>
      <c r="L254">
        <v>9</v>
      </c>
      <c r="M254">
        <v>8</v>
      </c>
      <c r="N254">
        <v>8</v>
      </c>
      <c r="O254">
        <v>8</v>
      </c>
      <c r="P254">
        <v>8</v>
      </c>
      <c r="Q254">
        <v>8</v>
      </c>
    </row>
    <row r="255" spans="1:17" x14ac:dyDescent="0.45">
      <c r="A255" s="19">
        <v>46031.466666666667</v>
      </c>
      <c r="B255" t="s">
        <v>73</v>
      </c>
      <c r="C255" t="s">
        <v>74</v>
      </c>
      <c r="D255" t="s">
        <v>69</v>
      </c>
      <c r="E255" t="s">
        <v>70</v>
      </c>
      <c r="F255" t="s">
        <v>95</v>
      </c>
      <c r="G255" t="s">
        <v>102</v>
      </c>
      <c r="H255" t="s">
        <v>97</v>
      </c>
      <c r="I255">
        <v>4</v>
      </c>
      <c r="J255">
        <v>3</v>
      </c>
      <c r="K255">
        <v>1</v>
      </c>
      <c r="L255">
        <v>7</v>
      </c>
      <c r="M255">
        <v>3</v>
      </c>
      <c r="N255">
        <v>6</v>
      </c>
      <c r="O255">
        <v>5</v>
      </c>
      <c r="P255">
        <v>6</v>
      </c>
      <c r="Q255">
        <v>6</v>
      </c>
    </row>
    <row r="256" spans="1:17" x14ac:dyDescent="0.45">
      <c r="A256" s="19">
        <v>46031.467361111114</v>
      </c>
      <c r="B256" t="s">
        <v>67</v>
      </c>
      <c r="C256" t="s">
        <v>68</v>
      </c>
      <c r="D256" t="s">
        <v>69</v>
      </c>
      <c r="E256" t="s">
        <v>70</v>
      </c>
      <c r="F256" t="s">
        <v>95</v>
      </c>
      <c r="G256" t="s">
        <v>106</v>
      </c>
      <c r="H256" t="s">
        <v>97</v>
      </c>
      <c r="I256">
        <v>6</v>
      </c>
      <c r="J256">
        <v>6</v>
      </c>
      <c r="K256">
        <v>1</v>
      </c>
      <c r="L256">
        <v>7</v>
      </c>
      <c r="M256">
        <v>5</v>
      </c>
      <c r="N256">
        <v>6</v>
      </c>
      <c r="O256">
        <v>6</v>
      </c>
      <c r="P256">
        <v>6</v>
      </c>
      <c r="Q256">
        <v>6</v>
      </c>
    </row>
    <row r="257" spans="1:17" x14ac:dyDescent="0.45">
      <c r="A257" s="19">
        <v>46031.468055555553</v>
      </c>
      <c r="B257" t="s">
        <v>67</v>
      </c>
      <c r="C257" t="s">
        <v>187</v>
      </c>
      <c r="D257" t="s">
        <v>69</v>
      </c>
      <c r="E257" t="s">
        <v>72</v>
      </c>
      <c r="F257" t="s">
        <v>95</v>
      </c>
      <c r="G257" t="s">
        <v>103</v>
      </c>
      <c r="H257" t="s">
        <v>191</v>
      </c>
      <c r="I257">
        <v>8</v>
      </c>
      <c r="J257">
        <v>8</v>
      </c>
      <c r="K257">
        <v>5</v>
      </c>
      <c r="L257">
        <v>8</v>
      </c>
      <c r="M257">
        <v>8</v>
      </c>
      <c r="N257">
        <v>7</v>
      </c>
      <c r="O257">
        <v>7</v>
      </c>
      <c r="P257">
        <v>7</v>
      </c>
      <c r="Q257">
        <v>7</v>
      </c>
    </row>
    <row r="258" spans="1:17" x14ac:dyDescent="0.45">
      <c r="A258" s="19">
        <v>46031.46875</v>
      </c>
      <c r="B258" t="s">
        <v>67</v>
      </c>
      <c r="C258" t="s">
        <v>76</v>
      </c>
      <c r="D258" t="s">
        <v>69</v>
      </c>
      <c r="E258" t="s">
        <v>72</v>
      </c>
      <c r="F258" t="s">
        <v>95</v>
      </c>
      <c r="G258" t="s">
        <v>104</v>
      </c>
      <c r="H258" t="s">
        <v>97</v>
      </c>
      <c r="I258">
        <v>7</v>
      </c>
      <c r="J258">
        <v>8</v>
      </c>
      <c r="K258">
        <v>4</v>
      </c>
      <c r="L258">
        <v>8</v>
      </c>
      <c r="M258">
        <v>5</v>
      </c>
      <c r="N258">
        <v>7</v>
      </c>
      <c r="O258">
        <v>5</v>
      </c>
      <c r="P258">
        <v>6</v>
      </c>
      <c r="Q258">
        <v>6</v>
      </c>
    </row>
    <row r="259" spans="1:17" x14ac:dyDescent="0.45">
      <c r="A259" s="19">
        <v>46031.46875</v>
      </c>
      <c r="B259" t="s">
        <v>73</v>
      </c>
      <c r="C259" t="s">
        <v>74</v>
      </c>
      <c r="D259" t="s">
        <v>69</v>
      </c>
      <c r="E259" t="s">
        <v>72</v>
      </c>
      <c r="F259" t="s">
        <v>95</v>
      </c>
      <c r="G259" t="s">
        <v>106</v>
      </c>
      <c r="H259" t="s">
        <v>100</v>
      </c>
      <c r="I259">
        <v>6</v>
      </c>
      <c r="J259">
        <v>7</v>
      </c>
      <c r="K259">
        <v>2</v>
      </c>
      <c r="L259">
        <v>7</v>
      </c>
      <c r="M259">
        <v>5</v>
      </c>
      <c r="N259">
        <v>5</v>
      </c>
      <c r="O259">
        <v>5</v>
      </c>
      <c r="P259">
        <v>6</v>
      </c>
      <c r="Q259">
        <v>5</v>
      </c>
    </row>
    <row r="260" spans="1:17" x14ac:dyDescent="0.45">
      <c r="A260" s="19">
        <v>46031.469444444447</v>
      </c>
      <c r="B260" t="s">
        <v>73</v>
      </c>
      <c r="C260" t="s">
        <v>187</v>
      </c>
      <c r="D260" t="s">
        <v>69</v>
      </c>
      <c r="E260" t="s">
        <v>70</v>
      </c>
      <c r="F260" t="s">
        <v>95</v>
      </c>
      <c r="G260" t="s">
        <v>103</v>
      </c>
      <c r="H260" t="s">
        <v>191</v>
      </c>
      <c r="I260">
        <v>2</v>
      </c>
      <c r="J260">
        <v>1</v>
      </c>
      <c r="K260">
        <v>1</v>
      </c>
      <c r="L260">
        <v>6</v>
      </c>
      <c r="M260">
        <v>2</v>
      </c>
      <c r="N260">
        <v>3</v>
      </c>
      <c r="O260">
        <v>1</v>
      </c>
      <c r="P260">
        <v>5</v>
      </c>
      <c r="Q260">
        <v>4</v>
      </c>
    </row>
    <row r="261" spans="1:17" x14ac:dyDescent="0.45">
      <c r="A261" s="19">
        <v>46031.470138888886</v>
      </c>
      <c r="B261" t="s">
        <v>67</v>
      </c>
      <c r="C261" t="s">
        <v>68</v>
      </c>
      <c r="D261" t="s">
        <v>75</v>
      </c>
      <c r="E261" t="s">
        <v>72</v>
      </c>
      <c r="F261" t="s">
        <v>95</v>
      </c>
      <c r="G261" t="s">
        <v>104</v>
      </c>
      <c r="H261" t="s">
        <v>100</v>
      </c>
      <c r="I261">
        <v>6</v>
      </c>
      <c r="J261">
        <v>6</v>
      </c>
      <c r="K261">
        <v>7</v>
      </c>
      <c r="L261">
        <v>6</v>
      </c>
      <c r="M261">
        <v>5</v>
      </c>
      <c r="N261">
        <v>6</v>
      </c>
      <c r="O261">
        <v>5</v>
      </c>
      <c r="P261">
        <v>6</v>
      </c>
      <c r="Q261">
        <v>6</v>
      </c>
    </row>
    <row r="262" spans="1:17" x14ac:dyDescent="0.45">
      <c r="A262" s="19">
        <v>46031.470833333333</v>
      </c>
      <c r="B262" t="s">
        <v>73</v>
      </c>
      <c r="C262" t="s">
        <v>68</v>
      </c>
      <c r="D262" t="s">
        <v>69</v>
      </c>
      <c r="E262" t="s">
        <v>72</v>
      </c>
      <c r="F262" t="s">
        <v>95</v>
      </c>
      <c r="G262" t="s">
        <v>104</v>
      </c>
      <c r="H262" t="s">
        <v>97</v>
      </c>
      <c r="I262">
        <v>6</v>
      </c>
      <c r="J262">
        <v>7</v>
      </c>
      <c r="K262">
        <v>1</v>
      </c>
      <c r="L262">
        <v>9</v>
      </c>
      <c r="M262">
        <v>5</v>
      </c>
      <c r="N262">
        <v>4</v>
      </c>
      <c r="O262">
        <v>4</v>
      </c>
      <c r="P262">
        <v>5</v>
      </c>
      <c r="Q262">
        <v>5</v>
      </c>
    </row>
    <row r="263" spans="1:17" x14ac:dyDescent="0.45">
      <c r="A263" s="19">
        <v>46031.47152777778</v>
      </c>
      <c r="B263" t="s">
        <v>73</v>
      </c>
      <c r="C263" t="s">
        <v>68</v>
      </c>
      <c r="D263" t="s">
        <v>69</v>
      </c>
      <c r="E263" t="s">
        <v>72</v>
      </c>
      <c r="F263" t="s">
        <v>95</v>
      </c>
      <c r="G263" t="s">
        <v>106</v>
      </c>
      <c r="H263" t="s">
        <v>191</v>
      </c>
      <c r="I263">
        <v>9</v>
      </c>
      <c r="J263">
        <v>9</v>
      </c>
      <c r="K263">
        <v>8</v>
      </c>
      <c r="L263">
        <v>9</v>
      </c>
      <c r="M263">
        <v>8</v>
      </c>
      <c r="N263">
        <v>9</v>
      </c>
      <c r="O263">
        <v>9</v>
      </c>
      <c r="P263">
        <v>8</v>
      </c>
      <c r="Q263">
        <v>8</v>
      </c>
    </row>
    <row r="264" spans="1:17" x14ac:dyDescent="0.45">
      <c r="A264" s="19">
        <v>46031.472222222219</v>
      </c>
      <c r="B264" t="s">
        <v>73</v>
      </c>
      <c r="C264" t="s">
        <v>68</v>
      </c>
      <c r="D264" t="s">
        <v>69</v>
      </c>
      <c r="E264" t="s">
        <v>70</v>
      </c>
      <c r="F264" t="s">
        <v>95</v>
      </c>
      <c r="G264" t="s">
        <v>102</v>
      </c>
      <c r="H264" t="s">
        <v>101</v>
      </c>
      <c r="I264">
        <v>8</v>
      </c>
      <c r="J264">
        <v>8</v>
      </c>
      <c r="K264">
        <v>5</v>
      </c>
      <c r="L264">
        <v>7</v>
      </c>
      <c r="M264">
        <v>7</v>
      </c>
      <c r="N264">
        <v>5</v>
      </c>
      <c r="O264">
        <v>5</v>
      </c>
      <c r="P264">
        <v>6</v>
      </c>
      <c r="Q264">
        <v>6</v>
      </c>
    </row>
    <row r="265" spans="1:17" x14ac:dyDescent="0.45">
      <c r="A265" s="19">
        <v>46031.472222222219</v>
      </c>
      <c r="B265" t="s">
        <v>73</v>
      </c>
      <c r="C265" t="s">
        <v>74</v>
      </c>
      <c r="D265" t="s">
        <v>69</v>
      </c>
      <c r="E265" t="s">
        <v>70</v>
      </c>
      <c r="F265" t="s">
        <v>95</v>
      </c>
      <c r="G265" t="s">
        <v>103</v>
      </c>
      <c r="H265" t="s">
        <v>101</v>
      </c>
      <c r="I265">
        <v>7</v>
      </c>
      <c r="J265">
        <v>7</v>
      </c>
      <c r="K265">
        <v>7</v>
      </c>
      <c r="L265">
        <v>8</v>
      </c>
      <c r="M265">
        <v>7</v>
      </c>
      <c r="N265">
        <v>7</v>
      </c>
      <c r="O265">
        <v>7</v>
      </c>
      <c r="P265">
        <v>7</v>
      </c>
      <c r="Q265">
        <v>7</v>
      </c>
    </row>
    <row r="266" spans="1:17" x14ac:dyDescent="0.45">
      <c r="A266" s="19">
        <v>46031.472916666666</v>
      </c>
      <c r="B266" t="s">
        <v>67</v>
      </c>
      <c r="C266" t="s">
        <v>68</v>
      </c>
      <c r="D266" t="s">
        <v>69</v>
      </c>
      <c r="E266" t="s">
        <v>72</v>
      </c>
      <c r="F266" t="s">
        <v>95</v>
      </c>
      <c r="G266" t="s">
        <v>96</v>
      </c>
      <c r="H266" t="s">
        <v>105</v>
      </c>
      <c r="I266">
        <v>6</v>
      </c>
      <c r="J266">
        <v>5</v>
      </c>
      <c r="K266">
        <v>5</v>
      </c>
      <c r="L266">
        <v>7</v>
      </c>
      <c r="M266">
        <v>6</v>
      </c>
      <c r="N266">
        <v>7</v>
      </c>
      <c r="O266">
        <v>5</v>
      </c>
      <c r="P266">
        <v>6</v>
      </c>
      <c r="Q266">
        <v>6</v>
      </c>
    </row>
    <row r="267" spans="1:17" x14ac:dyDescent="0.45">
      <c r="A267" s="19">
        <v>46031.473611111112</v>
      </c>
      <c r="B267" t="s">
        <v>67</v>
      </c>
      <c r="C267" t="s">
        <v>187</v>
      </c>
      <c r="D267" t="s">
        <v>69</v>
      </c>
      <c r="E267" t="s">
        <v>72</v>
      </c>
      <c r="F267" t="s">
        <v>95</v>
      </c>
      <c r="G267" t="s">
        <v>106</v>
      </c>
      <c r="H267" t="s">
        <v>101</v>
      </c>
      <c r="I267">
        <v>7</v>
      </c>
      <c r="J267">
        <v>6</v>
      </c>
      <c r="K267">
        <v>6</v>
      </c>
      <c r="L267">
        <v>6</v>
      </c>
      <c r="M267">
        <v>7</v>
      </c>
      <c r="N267">
        <v>7</v>
      </c>
      <c r="O267">
        <v>7</v>
      </c>
      <c r="P267">
        <v>7</v>
      </c>
      <c r="Q267">
        <v>7</v>
      </c>
    </row>
    <row r="268" spans="1:17" x14ac:dyDescent="0.45">
      <c r="A268" s="19">
        <v>46031.473611111112</v>
      </c>
      <c r="B268" t="s">
        <v>73</v>
      </c>
      <c r="C268" t="s">
        <v>74</v>
      </c>
      <c r="D268" t="s">
        <v>69</v>
      </c>
      <c r="E268" t="s">
        <v>70</v>
      </c>
      <c r="F268" t="s">
        <v>95</v>
      </c>
      <c r="G268" t="s">
        <v>106</v>
      </c>
      <c r="H268" t="s">
        <v>100</v>
      </c>
      <c r="I268">
        <v>6</v>
      </c>
      <c r="J268">
        <v>7</v>
      </c>
      <c r="K268">
        <v>7</v>
      </c>
      <c r="L268">
        <v>6</v>
      </c>
      <c r="M268">
        <v>6</v>
      </c>
      <c r="N268">
        <v>6</v>
      </c>
      <c r="O268">
        <v>6</v>
      </c>
      <c r="P268">
        <v>7</v>
      </c>
      <c r="Q268">
        <v>7</v>
      </c>
    </row>
    <row r="269" spans="1:17" x14ac:dyDescent="0.45">
      <c r="A269" s="19">
        <v>46031.474305555559</v>
      </c>
      <c r="B269" t="s">
        <v>67</v>
      </c>
      <c r="C269" t="s">
        <v>76</v>
      </c>
      <c r="D269" t="s">
        <v>69</v>
      </c>
      <c r="E269" t="s">
        <v>72</v>
      </c>
      <c r="F269" t="s">
        <v>95</v>
      </c>
      <c r="G269" t="s">
        <v>96</v>
      </c>
      <c r="H269" t="s">
        <v>100</v>
      </c>
      <c r="I269">
        <v>7</v>
      </c>
      <c r="J269">
        <v>7</v>
      </c>
      <c r="K269">
        <v>2</v>
      </c>
      <c r="L269">
        <v>7</v>
      </c>
      <c r="M269">
        <v>7</v>
      </c>
      <c r="N269">
        <v>7</v>
      </c>
      <c r="O269">
        <v>7</v>
      </c>
      <c r="P269">
        <v>7</v>
      </c>
      <c r="Q269">
        <v>7</v>
      </c>
    </row>
    <row r="270" spans="1:17" x14ac:dyDescent="0.45">
      <c r="A270" s="19">
        <v>46031.474999999999</v>
      </c>
      <c r="B270" t="s">
        <v>73</v>
      </c>
      <c r="C270" t="s">
        <v>74</v>
      </c>
      <c r="D270" t="s">
        <v>69</v>
      </c>
      <c r="E270" t="s">
        <v>70</v>
      </c>
      <c r="F270" t="s">
        <v>95</v>
      </c>
      <c r="G270" t="s">
        <v>102</v>
      </c>
      <c r="H270" t="s">
        <v>191</v>
      </c>
      <c r="I270">
        <v>4</v>
      </c>
      <c r="J270">
        <v>5</v>
      </c>
      <c r="K270">
        <v>2</v>
      </c>
      <c r="L270">
        <v>6</v>
      </c>
      <c r="M270">
        <v>3</v>
      </c>
      <c r="N270">
        <v>3</v>
      </c>
      <c r="O270">
        <v>1</v>
      </c>
      <c r="P270">
        <v>3</v>
      </c>
      <c r="Q270">
        <v>1</v>
      </c>
    </row>
    <row r="271" spans="1:17" x14ac:dyDescent="0.45">
      <c r="A271" s="19">
        <v>46031.525000000001</v>
      </c>
      <c r="B271" t="s">
        <v>67</v>
      </c>
      <c r="C271" t="s">
        <v>68</v>
      </c>
      <c r="D271" t="s">
        <v>69</v>
      </c>
      <c r="E271" t="s">
        <v>70</v>
      </c>
      <c r="F271" t="s">
        <v>98</v>
      </c>
      <c r="G271" t="s">
        <v>106</v>
      </c>
      <c r="H271" t="s">
        <v>105</v>
      </c>
      <c r="I271">
        <v>8</v>
      </c>
      <c r="J271">
        <v>8</v>
      </c>
      <c r="K271">
        <v>3</v>
      </c>
      <c r="L271">
        <v>8</v>
      </c>
      <c r="M271">
        <v>3</v>
      </c>
      <c r="N271">
        <v>1</v>
      </c>
      <c r="O271">
        <v>8</v>
      </c>
      <c r="P271">
        <v>6</v>
      </c>
      <c r="Q271">
        <v>7</v>
      </c>
    </row>
    <row r="272" spans="1:17" x14ac:dyDescent="0.45">
      <c r="A272" s="19">
        <v>46031.607638888891</v>
      </c>
      <c r="B272" t="s">
        <v>67</v>
      </c>
      <c r="C272" t="s">
        <v>68</v>
      </c>
      <c r="D272" t="s">
        <v>69</v>
      </c>
      <c r="E272" t="s">
        <v>70</v>
      </c>
      <c r="F272" t="s">
        <v>95</v>
      </c>
      <c r="G272" t="s">
        <v>106</v>
      </c>
      <c r="H272" t="s">
        <v>100</v>
      </c>
      <c r="I272">
        <v>7</v>
      </c>
      <c r="J272">
        <v>7</v>
      </c>
      <c r="K272">
        <v>4</v>
      </c>
      <c r="L272">
        <v>7</v>
      </c>
      <c r="M272">
        <v>7</v>
      </c>
      <c r="N272">
        <v>6</v>
      </c>
      <c r="O272">
        <v>5</v>
      </c>
      <c r="P272">
        <v>7</v>
      </c>
      <c r="Q272">
        <v>6</v>
      </c>
    </row>
    <row r="273" spans="1:17" x14ac:dyDescent="0.45">
      <c r="A273" s="19">
        <v>46031.607638888891</v>
      </c>
      <c r="B273" t="s">
        <v>73</v>
      </c>
      <c r="C273" t="s">
        <v>68</v>
      </c>
      <c r="D273" t="s">
        <v>69</v>
      </c>
      <c r="E273" t="s">
        <v>72</v>
      </c>
      <c r="F273" t="s">
        <v>95</v>
      </c>
      <c r="G273" t="s">
        <v>104</v>
      </c>
      <c r="H273" t="s">
        <v>97</v>
      </c>
      <c r="I273">
        <v>7</v>
      </c>
      <c r="J273">
        <v>8</v>
      </c>
      <c r="K273">
        <v>2</v>
      </c>
      <c r="L273">
        <v>6</v>
      </c>
      <c r="M273">
        <v>6</v>
      </c>
      <c r="N273">
        <v>6</v>
      </c>
      <c r="O273">
        <v>5</v>
      </c>
      <c r="P273">
        <v>5</v>
      </c>
      <c r="Q273">
        <v>6</v>
      </c>
    </row>
    <row r="274" spans="1:17" x14ac:dyDescent="0.45">
      <c r="A274" s="19">
        <v>46031.60833333333</v>
      </c>
      <c r="B274" t="s">
        <v>67</v>
      </c>
      <c r="C274" t="s">
        <v>187</v>
      </c>
      <c r="D274" t="s">
        <v>69</v>
      </c>
      <c r="E274" t="s">
        <v>70</v>
      </c>
      <c r="F274" t="s">
        <v>95</v>
      </c>
      <c r="G274" t="s">
        <v>102</v>
      </c>
      <c r="H274" t="s">
        <v>191</v>
      </c>
      <c r="I274">
        <v>3</v>
      </c>
      <c r="J274">
        <v>3</v>
      </c>
      <c r="K274">
        <v>1</v>
      </c>
      <c r="L274">
        <v>6</v>
      </c>
      <c r="M274">
        <v>1</v>
      </c>
      <c r="N274">
        <v>1</v>
      </c>
      <c r="O274">
        <v>1</v>
      </c>
      <c r="P274">
        <v>1</v>
      </c>
      <c r="Q274">
        <v>1</v>
      </c>
    </row>
    <row r="275" spans="1:17" x14ac:dyDescent="0.45">
      <c r="A275" s="19">
        <v>46031.609027777777</v>
      </c>
      <c r="B275" t="s">
        <v>67</v>
      </c>
      <c r="C275" t="s">
        <v>68</v>
      </c>
      <c r="D275" t="s">
        <v>69</v>
      </c>
      <c r="E275" t="s">
        <v>72</v>
      </c>
      <c r="F275" t="s">
        <v>95</v>
      </c>
      <c r="G275" t="s">
        <v>106</v>
      </c>
      <c r="H275" t="s">
        <v>100</v>
      </c>
      <c r="I275">
        <v>6</v>
      </c>
      <c r="J275">
        <v>6</v>
      </c>
      <c r="K275">
        <v>5</v>
      </c>
      <c r="L275">
        <v>6</v>
      </c>
      <c r="M275">
        <v>6</v>
      </c>
      <c r="N275">
        <v>6</v>
      </c>
      <c r="O275">
        <v>6</v>
      </c>
      <c r="P275">
        <v>6</v>
      </c>
      <c r="Q275">
        <v>6</v>
      </c>
    </row>
    <row r="276" spans="1:17" x14ac:dyDescent="0.45">
      <c r="A276" s="19">
        <v>46031.609027777777</v>
      </c>
      <c r="B276" t="s">
        <v>67</v>
      </c>
      <c r="C276" t="s">
        <v>74</v>
      </c>
      <c r="D276" t="s">
        <v>69</v>
      </c>
      <c r="E276" t="s">
        <v>70</v>
      </c>
      <c r="F276" t="s">
        <v>95</v>
      </c>
      <c r="G276" t="s">
        <v>106</v>
      </c>
      <c r="H276" t="s">
        <v>100</v>
      </c>
      <c r="I276">
        <v>8</v>
      </c>
      <c r="J276">
        <v>9</v>
      </c>
      <c r="K276">
        <v>5</v>
      </c>
      <c r="L276">
        <v>7</v>
      </c>
      <c r="M276">
        <v>6</v>
      </c>
      <c r="N276">
        <v>7</v>
      </c>
      <c r="O276">
        <v>7</v>
      </c>
      <c r="P276">
        <v>7</v>
      </c>
      <c r="Q276">
        <v>7</v>
      </c>
    </row>
    <row r="277" spans="1:17" x14ac:dyDescent="0.45">
      <c r="A277" s="19">
        <v>46031.609722222223</v>
      </c>
      <c r="B277" t="s">
        <v>73</v>
      </c>
      <c r="C277" t="s">
        <v>68</v>
      </c>
      <c r="D277" t="s">
        <v>69</v>
      </c>
      <c r="E277" t="s">
        <v>72</v>
      </c>
      <c r="F277" t="s">
        <v>95</v>
      </c>
      <c r="G277" t="s">
        <v>104</v>
      </c>
      <c r="H277" t="s">
        <v>97</v>
      </c>
      <c r="I277">
        <v>6</v>
      </c>
      <c r="J277">
        <v>6</v>
      </c>
      <c r="K277">
        <v>3</v>
      </c>
      <c r="L277">
        <v>7</v>
      </c>
      <c r="M277">
        <v>7</v>
      </c>
      <c r="N277">
        <v>7</v>
      </c>
      <c r="O277">
        <v>5</v>
      </c>
      <c r="P277">
        <v>7</v>
      </c>
      <c r="Q277">
        <v>7</v>
      </c>
    </row>
    <row r="278" spans="1:17" x14ac:dyDescent="0.45">
      <c r="A278" s="19">
        <v>46031.61041666667</v>
      </c>
      <c r="B278" t="s">
        <v>67</v>
      </c>
      <c r="C278" t="s">
        <v>74</v>
      </c>
      <c r="D278" t="s">
        <v>69</v>
      </c>
      <c r="E278" t="s">
        <v>72</v>
      </c>
      <c r="F278" t="s">
        <v>95</v>
      </c>
      <c r="G278" t="s">
        <v>102</v>
      </c>
      <c r="H278" t="s">
        <v>191</v>
      </c>
      <c r="I278">
        <v>8</v>
      </c>
      <c r="J278">
        <v>8</v>
      </c>
      <c r="K278">
        <v>6</v>
      </c>
      <c r="L278">
        <v>7</v>
      </c>
      <c r="M278">
        <v>7</v>
      </c>
      <c r="N278">
        <v>4</v>
      </c>
      <c r="O278">
        <v>5</v>
      </c>
      <c r="P278">
        <v>5</v>
      </c>
      <c r="Q278">
        <v>5</v>
      </c>
    </row>
    <row r="279" spans="1:17" x14ac:dyDescent="0.45">
      <c r="A279" s="19">
        <v>46031.61041666667</v>
      </c>
      <c r="B279" t="s">
        <v>67</v>
      </c>
      <c r="C279" t="s">
        <v>68</v>
      </c>
      <c r="D279" t="s">
        <v>69</v>
      </c>
      <c r="E279" t="s">
        <v>72</v>
      </c>
      <c r="F279" t="s">
        <v>95</v>
      </c>
      <c r="G279" t="s">
        <v>106</v>
      </c>
      <c r="H279" t="s">
        <v>101</v>
      </c>
      <c r="I279">
        <v>6</v>
      </c>
      <c r="J279">
        <v>7</v>
      </c>
      <c r="K279">
        <v>5</v>
      </c>
      <c r="L279">
        <v>7</v>
      </c>
      <c r="M279">
        <v>6</v>
      </c>
      <c r="N279">
        <v>6</v>
      </c>
      <c r="O279">
        <v>6</v>
      </c>
      <c r="P279">
        <v>6</v>
      </c>
      <c r="Q279">
        <v>6</v>
      </c>
    </row>
    <row r="280" spans="1:17" x14ac:dyDescent="0.45">
      <c r="A280" s="19">
        <v>46031.618750000001</v>
      </c>
      <c r="B280" t="s">
        <v>73</v>
      </c>
      <c r="C280" t="s">
        <v>68</v>
      </c>
      <c r="D280" t="s">
        <v>69</v>
      </c>
      <c r="E280" t="s">
        <v>70</v>
      </c>
      <c r="F280" t="s">
        <v>98</v>
      </c>
      <c r="G280" t="s">
        <v>102</v>
      </c>
      <c r="H280" t="s">
        <v>105</v>
      </c>
      <c r="I280">
        <v>6</v>
      </c>
      <c r="J280">
        <v>7</v>
      </c>
      <c r="K280">
        <v>5</v>
      </c>
      <c r="L280">
        <v>8</v>
      </c>
      <c r="M280">
        <v>6</v>
      </c>
      <c r="N280">
        <v>3</v>
      </c>
      <c r="O280">
        <v>6</v>
      </c>
      <c r="P280">
        <v>8</v>
      </c>
      <c r="Q280">
        <v>6</v>
      </c>
    </row>
    <row r="281" spans="1:17" x14ac:dyDescent="0.45">
      <c r="A281" s="19">
        <v>46031.635416666664</v>
      </c>
      <c r="B281" t="s">
        <v>67</v>
      </c>
      <c r="C281" t="s">
        <v>68</v>
      </c>
      <c r="D281" t="s">
        <v>69</v>
      </c>
      <c r="E281" t="s">
        <v>70</v>
      </c>
      <c r="F281" t="s">
        <v>95</v>
      </c>
      <c r="G281" t="s">
        <v>102</v>
      </c>
      <c r="H281" t="s">
        <v>100</v>
      </c>
      <c r="I281">
        <v>4</v>
      </c>
      <c r="J281">
        <v>4</v>
      </c>
      <c r="K281">
        <v>1</v>
      </c>
      <c r="L281">
        <v>6</v>
      </c>
      <c r="M281">
        <v>3</v>
      </c>
      <c r="N281">
        <v>2</v>
      </c>
      <c r="O281">
        <v>1</v>
      </c>
      <c r="P281">
        <v>5</v>
      </c>
      <c r="Q281">
        <v>4</v>
      </c>
    </row>
    <row r="282" spans="1:17" x14ac:dyDescent="0.45">
      <c r="A282" s="19">
        <v>46031.636111111111</v>
      </c>
      <c r="B282" t="s">
        <v>67</v>
      </c>
      <c r="C282" t="s">
        <v>74</v>
      </c>
      <c r="D282" t="s">
        <v>69</v>
      </c>
      <c r="E282" t="s">
        <v>70</v>
      </c>
      <c r="F282" t="s">
        <v>95</v>
      </c>
      <c r="G282" t="s">
        <v>102</v>
      </c>
      <c r="H282" t="s">
        <v>101</v>
      </c>
      <c r="I282">
        <v>6</v>
      </c>
      <c r="J282">
        <v>7</v>
      </c>
      <c r="K282">
        <v>4</v>
      </c>
      <c r="L282">
        <v>8</v>
      </c>
      <c r="M282">
        <v>6</v>
      </c>
      <c r="N282">
        <v>6</v>
      </c>
      <c r="O282">
        <v>5</v>
      </c>
      <c r="P282">
        <v>7</v>
      </c>
      <c r="Q282">
        <v>6</v>
      </c>
    </row>
    <row r="283" spans="1:17" x14ac:dyDescent="0.45">
      <c r="A283" s="19">
        <v>46031.636111111111</v>
      </c>
      <c r="B283" t="s">
        <v>67</v>
      </c>
      <c r="C283" t="s">
        <v>189</v>
      </c>
      <c r="D283" t="s">
        <v>69</v>
      </c>
      <c r="E283" t="s">
        <v>70</v>
      </c>
      <c r="F283" t="s">
        <v>95</v>
      </c>
      <c r="G283" t="s">
        <v>103</v>
      </c>
      <c r="H283" t="s">
        <v>191</v>
      </c>
      <c r="I283">
        <v>8</v>
      </c>
      <c r="J283">
        <v>8</v>
      </c>
      <c r="K283">
        <v>9</v>
      </c>
      <c r="L283">
        <v>9</v>
      </c>
      <c r="M283">
        <v>7</v>
      </c>
      <c r="N283">
        <v>8</v>
      </c>
      <c r="O283">
        <v>8</v>
      </c>
      <c r="P283">
        <v>8</v>
      </c>
      <c r="Q283">
        <v>7</v>
      </c>
    </row>
    <row r="284" spans="1:17" x14ac:dyDescent="0.45">
      <c r="A284" s="19">
        <v>46031.636805555558</v>
      </c>
      <c r="B284" t="s">
        <v>67</v>
      </c>
      <c r="C284" t="s">
        <v>74</v>
      </c>
      <c r="D284" t="s">
        <v>69</v>
      </c>
      <c r="E284" t="s">
        <v>72</v>
      </c>
      <c r="F284" t="s">
        <v>95</v>
      </c>
      <c r="G284" t="s">
        <v>106</v>
      </c>
      <c r="H284" t="s">
        <v>100</v>
      </c>
      <c r="I284">
        <v>5</v>
      </c>
      <c r="J284">
        <v>5</v>
      </c>
      <c r="K284">
        <v>2</v>
      </c>
      <c r="L284">
        <v>6</v>
      </c>
      <c r="M284">
        <v>5</v>
      </c>
      <c r="N284">
        <v>4</v>
      </c>
      <c r="O284">
        <v>5</v>
      </c>
      <c r="P284">
        <v>5</v>
      </c>
      <c r="Q284">
        <v>4</v>
      </c>
    </row>
    <row r="285" spans="1:17" x14ac:dyDescent="0.45">
      <c r="A285" s="19">
        <v>46031.637499999997</v>
      </c>
      <c r="B285" t="s">
        <v>73</v>
      </c>
      <c r="C285" t="s">
        <v>68</v>
      </c>
      <c r="D285" t="s">
        <v>69</v>
      </c>
      <c r="E285" t="s">
        <v>72</v>
      </c>
      <c r="F285" t="s">
        <v>95</v>
      </c>
      <c r="G285" t="s">
        <v>106</v>
      </c>
      <c r="H285" t="s">
        <v>100</v>
      </c>
      <c r="I285">
        <v>7</v>
      </c>
      <c r="J285">
        <v>7</v>
      </c>
      <c r="K285">
        <v>5</v>
      </c>
      <c r="L285">
        <v>7</v>
      </c>
      <c r="M285">
        <v>5</v>
      </c>
      <c r="N285">
        <v>6</v>
      </c>
      <c r="O285">
        <v>5</v>
      </c>
      <c r="P285">
        <v>7</v>
      </c>
      <c r="Q285">
        <v>6</v>
      </c>
    </row>
    <row r="286" spans="1:17" x14ac:dyDescent="0.45">
      <c r="A286" s="19">
        <v>46031.640277777777</v>
      </c>
      <c r="B286" t="s">
        <v>73</v>
      </c>
      <c r="C286" t="s">
        <v>187</v>
      </c>
      <c r="D286" t="s">
        <v>69</v>
      </c>
      <c r="E286" t="s">
        <v>72</v>
      </c>
      <c r="F286" t="s">
        <v>95</v>
      </c>
      <c r="G286" t="s">
        <v>102</v>
      </c>
      <c r="H286" t="s">
        <v>101</v>
      </c>
      <c r="I286">
        <v>7</v>
      </c>
      <c r="J286">
        <v>7</v>
      </c>
      <c r="K286">
        <v>5</v>
      </c>
      <c r="L286">
        <v>8</v>
      </c>
      <c r="M286">
        <v>6</v>
      </c>
      <c r="N286">
        <v>6</v>
      </c>
      <c r="O286">
        <v>6</v>
      </c>
      <c r="P286">
        <v>7</v>
      </c>
      <c r="Q286">
        <v>7</v>
      </c>
    </row>
    <row r="287" spans="1:17" x14ac:dyDescent="0.45">
      <c r="A287" s="19">
        <v>46031.640972222223</v>
      </c>
      <c r="B287" t="s">
        <v>67</v>
      </c>
      <c r="C287" t="s">
        <v>68</v>
      </c>
      <c r="D287" t="s">
        <v>69</v>
      </c>
      <c r="E287" t="s">
        <v>72</v>
      </c>
      <c r="F287" t="s">
        <v>95</v>
      </c>
      <c r="G287" t="s">
        <v>104</v>
      </c>
      <c r="H287" t="s">
        <v>105</v>
      </c>
      <c r="I287">
        <v>4</v>
      </c>
      <c r="J287">
        <v>4</v>
      </c>
      <c r="K287">
        <v>2</v>
      </c>
      <c r="L287">
        <v>8</v>
      </c>
      <c r="M287">
        <v>5</v>
      </c>
      <c r="N287">
        <v>5</v>
      </c>
      <c r="O287">
        <v>4</v>
      </c>
      <c r="P287">
        <v>6</v>
      </c>
      <c r="Q287">
        <v>5</v>
      </c>
    </row>
    <row r="288" spans="1:17" x14ac:dyDescent="0.45">
      <c r="A288" s="19">
        <v>46031.64166666667</v>
      </c>
      <c r="B288" t="s">
        <v>67</v>
      </c>
      <c r="C288" t="s">
        <v>187</v>
      </c>
      <c r="D288" t="s">
        <v>69</v>
      </c>
      <c r="E288" t="s">
        <v>72</v>
      </c>
      <c r="F288" t="s">
        <v>95</v>
      </c>
      <c r="G288" t="s">
        <v>106</v>
      </c>
      <c r="H288" t="s">
        <v>191</v>
      </c>
      <c r="I288">
        <v>10</v>
      </c>
      <c r="J288">
        <v>10</v>
      </c>
      <c r="K288">
        <v>7</v>
      </c>
      <c r="L288">
        <v>7</v>
      </c>
      <c r="M288">
        <v>8</v>
      </c>
      <c r="N288">
        <v>7</v>
      </c>
      <c r="O288">
        <v>8</v>
      </c>
      <c r="P288">
        <v>8</v>
      </c>
      <c r="Q288">
        <v>8</v>
      </c>
    </row>
    <row r="289" spans="1:17" x14ac:dyDescent="0.45">
      <c r="A289" s="19">
        <v>46031.642361111109</v>
      </c>
      <c r="B289" t="s">
        <v>73</v>
      </c>
      <c r="C289" t="s">
        <v>76</v>
      </c>
      <c r="D289" t="s">
        <v>69</v>
      </c>
      <c r="E289" t="s">
        <v>72</v>
      </c>
      <c r="F289" t="s">
        <v>95</v>
      </c>
      <c r="G289" t="s">
        <v>96</v>
      </c>
      <c r="H289" t="s">
        <v>105</v>
      </c>
      <c r="I289">
        <v>8</v>
      </c>
      <c r="J289">
        <v>8</v>
      </c>
      <c r="K289">
        <v>5</v>
      </c>
      <c r="L289">
        <v>9</v>
      </c>
      <c r="M289">
        <v>10</v>
      </c>
      <c r="N289">
        <v>10</v>
      </c>
      <c r="O289">
        <v>9</v>
      </c>
      <c r="P289">
        <v>9</v>
      </c>
      <c r="Q289">
        <v>10</v>
      </c>
    </row>
    <row r="290" spans="1:17" x14ac:dyDescent="0.45">
      <c r="A290" s="19">
        <v>46031.642361111109</v>
      </c>
      <c r="B290" t="s">
        <v>67</v>
      </c>
      <c r="C290" t="s">
        <v>68</v>
      </c>
      <c r="D290" t="s">
        <v>69</v>
      </c>
      <c r="E290" t="s">
        <v>186</v>
      </c>
      <c r="F290" t="s">
        <v>95</v>
      </c>
      <c r="G290" t="s">
        <v>96</v>
      </c>
      <c r="H290" t="s">
        <v>97</v>
      </c>
      <c r="I290">
        <v>7</v>
      </c>
      <c r="J290">
        <v>7</v>
      </c>
      <c r="K290">
        <v>5</v>
      </c>
      <c r="L290">
        <v>6</v>
      </c>
      <c r="M290">
        <v>5</v>
      </c>
      <c r="N290">
        <v>5</v>
      </c>
      <c r="O290">
        <v>5</v>
      </c>
      <c r="P290">
        <v>5</v>
      </c>
      <c r="Q290">
        <v>6</v>
      </c>
    </row>
    <row r="291" spans="1:17" x14ac:dyDescent="0.45">
      <c r="A291" s="19">
        <v>46031.643055555556</v>
      </c>
      <c r="B291" t="s">
        <v>73</v>
      </c>
      <c r="C291" t="s">
        <v>68</v>
      </c>
      <c r="D291" t="s">
        <v>69</v>
      </c>
      <c r="E291" t="s">
        <v>72</v>
      </c>
      <c r="F291" t="s">
        <v>95</v>
      </c>
      <c r="G291" t="s">
        <v>104</v>
      </c>
      <c r="H291" t="s">
        <v>100</v>
      </c>
      <c r="I291">
        <v>8</v>
      </c>
      <c r="J291">
        <v>8</v>
      </c>
      <c r="K291">
        <v>8</v>
      </c>
      <c r="L291">
        <v>8</v>
      </c>
      <c r="M291">
        <v>8</v>
      </c>
      <c r="N291">
        <v>8</v>
      </c>
      <c r="O291">
        <v>8</v>
      </c>
      <c r="P291">
        <v>8</v>
      </c>
      <c r="Q291">
        <v>8</v>
      </c>
    </row>
    <row r="292" spans="1:17" x14ac:dyDescent="0.45">
      <c r="A292" s="19">
        <v>46031.643055555556</v>
      </c>
      <c r="B292" t="s">
        <v>73</v>
      </c>
      <c r="C292" t="s">
        <v>76</v>
      </c>
      <c r="D292" t="s">
        <v>69</v>
      </c>
      <c r="E292" t="s">
        <v>72</v>
      </c>
      <c r="F292" t="s">
        <v>95</v>
      </c>
      <c r="G292" t="s">
        <v>106</v>
      </c>
      <c r="H292" t="s">
        <v>100</v>
      </c>
      <c r="I292">
        <v>9</v>
      </c>
      <c r="J292">
        <v>9</v>
      </c>
      <c r="K292">
        <v>3</v>
      </c>
      <c r="L292">
        <v>10</v>
      </c>
      <c r="M292">
        <v>8</v>
      </c>
      <c r="N292">
        <v>8</v>
      </c>
      <c r="O292">
        <v>6</v>
      </c>
      <c r="P292">
        <v>8</v>
      </c>
      <c r="Q292">
        <v>8</v>
      </c>
    </row>
    <row r="293" spans="1:17" x14ac:dyDescent="0.45">
      <c r="A293" s="19">
        <v>46031.643750000003</v>
      </c>
      <c r="B293" t="s">
        <v>67</v>
      </c>
      <c r="C293" t="s">
        <v>189</v>
      </c>
      <c r="D293" t="s">
        <v>69</v>
      </c>
      <c r="E293" t="s">
        <v>70</v>
      </c>
      <c r="F293" t="s">
        <v>193</v>
      </c>
      <c r="G293" t="s">
        <v>106</v>
      </c>
      <c r="H293" t="s">
        <v>100</v>
      </c>
      <c r="I293">
        <v>6</v>
      </c>
      <c r="J293">
        <v>6</v>
      </c>
      <c r="K293">
        <v>1</v>
      </c>
      <c r="L293">
        <v>6</v>
      </c>
      <c r="M293">
        <v>5</v>
      </c>
      <c r="N293">
        <v>6</v>
      </c>
      <c r="O293">
        <v>5</v>
      </c>
      <c r="P293">
        <v>6</v>
      </c>
      <c r="Q293">
        <v>6</v>
      </c>
    </row>
    <row r="294" spans="1:17" x14ac:dyDescent="0.45">
      <c r="A294" s="19">
        <v>46031.645833333336</v>
      </c>
      <c r="B294" t="s">
        <v>67</v>
      </c>
      <c r="C294" t="s">
        <v>76</v>
      </c>
      <c r="D294" t="s">
        <v>69</v>
      </c>
      <c r="E294" t="s">
        <v>72</v>
      </c>
      <c r="F294" t="s">
        <v>95</v>
      </c>
      <c r="G294" t="s">
        <v>104</v>
      </c>
      <c r="H294" t="s">
        <v>97</v>
      </c>
      <c r="I294">
        <v>8</v>
      </c>
      <c r="J294">
        <v>8</v>
      </c>
      <c r="K294">
        <v>5</v>
      </c>
      <c r="L294">
        <v>8</v>
      </c>
      <c r="M294">
        <v>5</v>
      </c>
      <c r="N294">
        <v>6</v>
      </c>
      <c r="O294">
        <v>5</v>
      </c>
      <c r="P294">
        <v>6</v>
      </c>
      <c r="Q294">
        <v>6</v>
      </c>
    </row>
    <row r="295" spans="1:17" x14ac:dyDescent="0.45">
      <c r="A295" s="19">
        <v>46031.646527777775</v>
      </c>
      <c r="B295" t="s">
        <v>67</v>
      </c>
      <c r="C295" t="s">
        <v>76</v>
      </c>
      <c r="D295" t="s">
        <v>69</v>
      </c>
      <c r="E295" t="s">
        <v>72</v>
      </c>
      <c r="F295" t="s">
        <v>95</v>
      </c>
      <c r="G295" t="s">
        <v>106</v>
      </c>
      <c r="H295" t="s">
        <v>101</v>
      </c>
      <c r="I295">
        <v>6</v>
      </c>
      <c r="J295">
        <v>6</v>
      </c>
      <c r="K295">
        <v>3</v>
      </c>
      <c r="L295">
        <v>7</v>
      </c>
      <c r="M295">
        <v>5</v>
      </c>
      <c r="N295">
        <v>6</v>
      </c>
      <c r="O295">
        <v>5</v>
      </c>
      <c r="P295">
        <v>5</v>
      </c>
      <c r="Q295">
        <v>6</v>
      </c>
    </row>
    <row r="296" spans="1:17" x14ac:dyDescent="0.45">
      <c r="A296" s="19">
        <v>46031.647222222222</v>
      </c>
      <c r="B296" t="s">
        <v>73</v>
      </c>
      <c r="C296" t="s">
        <v>184</v>
      </c>
      <c r="D296" t="s">
        <v>69</v>
      </c>
      <c r="E296" t="s">
        <v>72</v>
      </c>
      <c r="F296" t="s">
        <v>95</v>
      </c>
      <c r="G296" t="s">
        <v>96</v>
      </c>
      <c r="H296" t="s">
        <v>105</v>
      </c>
      <c r="I296">
        <v>8</v>
      </c>
      <c r="J296">
        <v>9</v>
      </c>
      <c r="K296">
        <v>9</v>
      </c>
      <c r="L296">
        <v>10</v>
      </c>
      <c r="M296">
        <v>8</v>
      </c>
      <c r="N296">
        <v>8</v>
      </c>
      <c r="O296">
        <v>9</v>
      </c>
      <c r="P296">
        <v>10</v>
      </c>
      <c r="Q296">
        <v>10</v>
      </c>
    </row>
    <row r="297" spans="1:17" x14ac:dyDescent="0.45">
      <c r="A297" s="19">
        <v>46031.684027777781</v>
      </c>
      <c r="B297" t="s">
        <v>73</v>
      </c>
      <c r="C297" t="s">
        <v>189</v>
      </c>
      <c r="D297" t="s">
        <v>69</v>
      </c>
      <c r="E297" t="s">
        <v>72</v>
      </c>
      <c r="F297" t="s">
        <v>95</v>
      </c>
      <c r="G297" t="s">
        <v>190</v>
      </c>
      <c r="H297" t="s">
        <v>105</v>
      </c>
      <c r="I297">
        <v>7</v>
      </c>
      <c r="J297">
        <v>7</v>
      </c>
      <c r="K297">
        <v>6</v>
      </c>
      <c r="L297">
        <v>7</v>
      </c>
      <c r="M297">
        <v>7</v>
      </c>
      <c r="N297">
        <v>1</v>
      </c>
      <c r="O297">
        <v>5</v>
      </c>
      <c r="P297">
        <v>7</v>
      </c>
      <c r="Q297">
        <v>7</v>
      </c>
    </row>
    <row r="298" spans="1:17" x14ac:dyDescent="0.45">
      <c r="A298" s="19">
        <v>46031.701388888891</v>
      </c>
      <c r="B298" t="s">
        <v>67</v>
      </c>
      <c r="C298" t="s">
        <v>68</v>
      </c>
      <c r="D298" t="s">
        <v>69</v>
      </c>
      <c r="E298" t="s">
        <v>72</v>
      </c>
      <c r="F298" t="s">
        <v>95</v>
      </c>
      <c r="G298" t="s">
        <v>106</v>
      </c>
      <c r="H298" t="s">
        <v>100</v>
      </c>
      <c r="I298">
        <v>5</v>
      </c>
      <c r="J298">
        <v>10</v>
      </c>
      <c r="K298">
        <v>5</v>
      </c>
      <c r="L298">
        <v>5</v>
      </c>
      <c r="M298">
        <v>2</v>
      </c>
      <c r="N298">
        <v>3</v>
      </c>
      <c r="O298">
        <v>2</v>
      </c>
      <c r="P298">
        <v>5</v>
      </c>
      <c r="Q298">
        <v>5</v>
      </c>
    </row>
    <row r="299" spans="1:17" x14ac:dyDescent="0.45">
      <c r="A299" s="19">
        <v>46031.705555555556</v>
      </c>
      <c r="B299" t="s">
        <v>73</v>
      </c>
      <c r="C299" t="s">
        <v>68</v>
      </c>
      <c r="D299" t="s">
        <v>69</v>
      </c>
      <c r="E299" t="s">
        <v>72</v>
      </c>
      <c r="F299" t="s">
        <v>193</v>
      </c>
      <c r="G299" t="s">
        <v>190</v>
      </c>
      <c r="H299" t="s">
        <v>105</v>
      </c>
      <c r="I299">
        <v>5</v>
      </c>
      <c r="J299">
        <v>5</v>
      </c>
      <c r="K299">
        <v>5</v>
      </c>
      <c r="L299">
        <v>10</v>
      </c>
      <c r="M299">
        <v>10</v>
      </c>
      <c r="N299">
        <v>5</v>
      </c>
      <c r="O299">
        <v>5</v>
      </c>
      <c r="P299">
        <v>5</v>
      </c>
      <c r="Q299">
        <v>5</v>
      </c>
    </row>
    <row r="300" spans="1:17" x14ac:dyDescent="0.45">
      <c r="A300" s="19">
        <v>46031.716666666667</v>
      </c>
      <c r="B300" t="s">
        <v>73</v>
      </c>
      <c r="C300" t="s">
        <v>68</v>
      </c>
      <c r="D300" t="s">
        <v>69</v>
      </c>
      <c r="E300" t="s">
        <v>70</v>
      </c>
      <c r="F300" t="s">
        <v>95</v>
      </c>
      <c r="G300" t="s">
        <v>104</v>
      </c>
      <c r="H300" t="s">
        <v>105</v>
      </c>
      <c r="I300">
        <v>10</v>
      </c>
      <c r="J300">
        <v>10</v>
      </c>
      <c r="K300">
        <v>10</v>
      </c>
      <c r="L300">
        <v>10</v>
      </c>
      <c r="M300">
        <v>10</v>
      </c>
      <c r="N300">
        <v>10</v>
      </c>
      <c r="O300">
        <v>10</v>
      </c>
      <c r="P300">
        <v>10</v>
      </c>
      <c r="Q300">
        <v>10</v>
      </c>
    </row>
    <row r="301" spans="1:17" x14ac:dyDescent="0.45">
      <c r="A301" s="19">
        <v>46031.716666666667</v>
      </c>
      <c r="B301" t="s">
        <v>73</v>
      </c>
      <c r="C301" t="s">
        <v>68</v>
      </c>
      <c r="D301" t="s">
        <v>69</v>
      </c>
      <c r="E301" t="s">
        <v>72</v>
      </c>
      <c r="F301" t="s">
        <v>95</v>
      </c>
      <c r="G301" t="s">
        <v>96</v>
      </c>
      <c r="H301" t="s">
        <v>97</v>
      </c>
      <c r="I301">
        <v>9</v>
      </c>
      <c r="J301">
        <v>9</v>
      </c>
      <c r="K301">
        <v>8</v>
      </c>
      <c r="L301">
        <v>10</v>
      </c>
      <c r="M301">
        <v>8</v>
      </c>
      <c r="N301">
        <v>8</v>
      </c>
      <c r="O301">
        <v>10</v>
      </c>
      <c r="P301">
        <v>9</v>
      </c>
      <c r="Q301">
        <v>9</v>
      </c>
    </row>
    <row r="302" spans="1:17" x14ac:dyDescent="0.45">
      <c r="A302" s="19">
        <v>46031.774305555555</v>
      </c>
      <c r="B302" t="s">
        <v>73</v>
      </c>
      <c r="C302" t="s">
        <v>76</v>
      </c>
      <c r="D302" t="s">
        <v>69</v>
      </c>
      <c r="E302" t="s">
        <v>72</v>
      </c>
      <c r="F302" t="s">
        <v>95</v>
      </c>
      <c r="G302" t="s">
        <v>190</v>
      </c>
      <c r="H302" t="s">
        <v>105</v>
      </c>
      <c r="I302">
        <v>8</v>
      </c>
      <c r="J302">
        <v>7</v>
      </c>
      <c r="K302">
        <v>9</v>
      </c>
      <c r="L302">
        <v>5</v>
      </c>
      <c r="M302">
        <v>7</v>
      </c>
      <c r="N302">
        <v>7</v>
      </c>
      <c r="O302">
        <v>7</v>
      </c>
      <c r="P302">
        <v>6</v>
      </c>
      <c r="Q302">
        <v>7</v>
      </c>
    </row>
    <row r="303" spans="1:17" x14ac:dyDescent="0.45">
      <c r="A303" s="19">
        <v>46031.786111111112</v>
      </c>
      <c r="B303" t="s">
        <v>67</v>
      </c>
      <c r="C303" t="s">
        <v>68</v>
      </c>
      <c r="D303" t="s">
        <v>69</v>
      </c>
      <c r="E303" t="s">
        <v>72</v>
      </c>
      <c r="F303" t="s">
        <v>95</v>
      </c>
      <c r="G303" t="s">
        <v>96</v>
      </c>
      <c r="H303" t="s">
        <v>105</v>
      </c>
      <c r="I303">
        <v>7</v>
      </c>
      <c r="J303">
        <v>7</v>
      </c>
      <c r="K303">
        <v>4</v>
      </c>
      <c r="L303">
        <v>8</v>
      </c>
      <c r="M303">
        <v>7</v>
      </c>
      <c r="N303">
        <v>7</v>
      </c>
      <c r="O303">
        <v>5</v>
      </c>
      <c r="P303">
        <v>5</v>
      </c>
      <c r="Q303">
        <v>7</v>
      </c>
    </row>
    <row r="304" spans="1:17" x14ac:dyDescent="0.45">
      <c r="A304" s="19">
        <v>46031.789583333331</v>
      </c>
      <c r="B304" t="s">
        <v>73</v>
      </c>
      <c r="C304" t="s">
        <v>68</v>
      </c>
      <c r="D304" t="s">
        <v>69</v>
      </c>
      <c r="E304" t="s">
        <v>72</v>
      </c>
      <c r="F304" t="s">
        <v>95</v>
      </c>
      <c r="G304" t="s">
        <v>96</v>
      </c>
      <c r="H304" t="s">
        <v>100</v>
      </c>
      <c r="I304">
        <v>6</v>
      </c>
      <c r="J304">
        <v>10</v>
      </c>
      <c r="K304">
        <v>5</v>
      </c>
      <c r="L304">
        <v>4</v>
      </c>
      <c r="M304">
        <v>3</v>
      </c>
      <c r="N304">
        <v>7</v>
      </c>
      <c r="O304">
        <v>4</v>
      </c>
      <c r="P304">
        <v>4</v>
      </c>
      <c r="Q304">
        <v>5</v>
      </c>
    </row>
    <row r="305" spans="1:17" x14ac:dyDescent="0.45">
      <c r="A305" s="19">
        <v>46031.790277777778</v>
      </c>
      <c r="B305" t="s">
        <v>73</v>
      </c>
      <c r="C305" t="s">
        <v>76</v>
      </c>
      <c r="D305" t="s">
        <v>69</v>
      </c>
      <c r="E305" t="s">
        <v>70</v>
      </c>
      <c r="F305" t="s">
        <v>95</v>
      </c>
      <c r="G305" t="s">
        <v>190</v>
      </c>
      <c r="H305" t="s">
        <v>105</v>
      </c>
      <c r="I305">
        <v>10</v>
      </c>
      <c r="J305">
        <v>10</v>
      </c>
      <c r="K305">
        <v>10</v>
      </c>
      <c r="L305">
        <v>10</v>
      </c>
      <c r="M305">
        <v>10</v>
      </c>
      <c r="N305">
        <v>10</v>
      </c>
      <c r="O305">
        <v>10</v>
      </c>
      <c r="P305">
        <v>10</v>
      </c>
      <c r="Q305">
        <v>10</v>
      </c>
    </row>
    <row r="306" spans="1:17" x14ac:dyDescent="0.45">
      <c r="A306" s="19">
        <v>46031.79791666667</v>
      </c>
      <c r="B306" t="s">
        <v>73</v>
      </c>
      <c r="C306" t="s">
        <v>68</v>
      </c>
      <c r="D306" t="s">
        <v>69</v>
      </c>
      <c r="E306" t="s">
        <v>72</v>
      </c>
      <c r="F306" t="s">
        <v>95</v>
      </c>
      <c r="G306" t="s">
        <v>104</v>
      </c>
      <c r="H306" t="s">
        <v>105</v>
      </c>
      <c r="I306">
        <v>7</v>
      </c>
      <c r="J306">
        <v>9</v>
      </c>
      <c r="K306">
        <v>8</v>
      </c>
      <c r="L306">
        <v>6</v>
      </c>
      <c r="M306">
        <v>5</v>
      </c>
      <c r="N306">
        <v>3</v>
      </c>
      <c r="O306">
        <v>9</v>
      </c>
      <c r="P306">
        <v>3</v>
      </c>
      <c r="Q306">
        <v>4</v>
      </c>
    </row>
    <row r="307" spans="1:17" x14ac:dyDescent="0.45">
      <c r="A307" s="19">
        <v>46031.8</v>
      </c>
      <c r="B307" t="s">
        <v>67</v>
      </c>
      <c r="C307" t="s">
        <v>74</v>
      </c>
      <c r="D307" t="s">
        <v>69</v>
      </c>
      <c r="E307" t="s">
        <v>72</v>
      </c>
      <c r="F307" t="s">
        <v>95</v>
      </c>
      <c r="G307" t="s">
        <v>106</v>
      </c>
      <c r="H307" t="s">
        <v>101</v>
      </c>
      <c r="I307">
        <v>3</v>
      </c>
      <c r="J307">
        <v>8</v>
      </c>
      <c r="K307">
        <v>8</v>
      </c>
      <c r="L307">
        <v>4</v>
      </c>
      <c r="M307">
        <v>4</v>
      </c>
      <c r="N307">
        <v>3</v>
      </c>
      <c r="O307">
        <v>7</v>
      </c>
      <c r="P307">
        <v>5</v>
      </c>
      <c r="Q307">
        <v>5</v>
      </c>
    </row>
    <row r="308" spans="1:17" x14ac:dyDescent="0.45">
      <c r="A308" s="19">
        <v>46031.804861111108</v>
      </c>
      <c r="B308" t="s">
        <v>67</v>
      </c>
      <c r="C308" t="s">
        <v>189</v>
      </c>
      <c r="D308" t="s">
        <v>69</v>
      </c>
      <c r="E308" t="s">
        <v>70</v>
      </c>
      <c r="F308" t="s">
        <v>193</v>
      </c>
      <c r="G308" t="s">
        <v>99</v>
      </c>
      <c r="H308" t="s">
        <v>100</v>
      </c>
      <c r="I308">
        <v>2</v>
      </c>
      <c r="J308">
        <v>2</v>
      </c>
      <c r="K308">
        <v>2</v>
      </c>
      <c r="L308">
        <v>1</v>
      </c>
      <c r="M308">
        <v>2</v>
      </c>
      <c r="N308">
        <v>2</v>
      </c>
      <c r="O308">
        <v>2</v>
      </c>
      <c r="P308">
        <v>2</v>
      </c>
      <c r="Q308">
        <v>2</v>
      </c>
    </row>
    <row r="309" spans="1:17" x14ac:dyDescent="0.45">
      <c r="A309" s="19">
        <v>46032.306944444441</v>
      </c>
      <c r="B309" t="s">
        <v>67</v>
      </c>
      <c r="C309" t="s">
        <v>74</v>
      </c>
      <c r="D309" t="s">
        <v>69</v>
      </c>
      <c r="E309" t="s">
        <v>70</v>
      </c>
      <c r="F309" t="s">
        <v>95</v>
      </c>
      <c r="G309" t="s">
        <v>103</v>
      </c>
      <c r="H309" t="s">
        <v>100</v>
      </c>
      <c r="I309">
        <v>10</v>
      </c>
      <c r="J309">
        <v>8</v>
      </c>
      <c r="K309">
        <v>8</v>
      </c>
      <c r="L309">
        <v>8</v>
      </c>
      <c r="M309">
        <v>10</v>
      </c>
      <c r="N309">
        <v>10</v>
      </c>
      <c r="O309">
        <v>6</v>
      </c>
      <c r="P309">
        <v>8</v>
      </c>
      <c r="Q309">
        <v>8</v>
      </c>
    </row>
    <row r="310" spans="1:17" x14ac:dyDescent="0.45">
      <c r="A310" s="19">
        <v>46032.379166666666</v>
      </c>
      <c r="B310" t="s">
        <v>73</v>
      </c>
      <c r="C310" t="s">
        <v>68</v>
      </c>
      <c r="D310" t="s">
        <v>69</v>
      </c>
      <c r="E310" t="s">
        <v>72</v>
      </c>
      <c r="F310" t="s">
        <v>95</v>
      </c>
      <c r="G310" t="s">
        <v>106</v>
      </c>
      <c r="H310" t="s">
        <v>97</v>
      </c>
      <c r="I310">
        <v>10</v>
      </c>
      <c r="J310">
        <v>10</v>
      </c>
      <c r="K310">
        <v>10</v>
      </c>
      <c r="L310">
        <v>10</v>
      </c>
      <c r="M310">
        <v>10</v>
      </c>
      <c r="N310">
        <v>9</v>
      </c>
      <c r="O310">
        <v>9</v>
      </c>
      <c r="P310">
        <v>10</v>
      </c>
      <c r="Q310">
        <v>10</v>
      </c>
    </row>
    <row r="311" spans="1:17" x14ac:dyDescent="0.45">
      <c r="A311" s="19">
        <v>46032.577777777777</v>
      </c>
      <c r="B311" t="s">
        <v>67</v>
      </c>
      <c r="C311" t="s">
        <v>184</v>
      </c>
      <c r="D311" t="s">
        <v>69</v>
      </c>
      <c r="E311" t="s">
        <v>72</v>
      </c>
      <c r="F311" t="s">
        <v>95</v>
      </c>
      <c r="G311" t="s">
        <v>192</v>
      </c>
      <c r="H311" t="s">
        <v>105</v>
      </c>
      <c r="I311">
        <v>7</v>
      </c>
      <c r="J311">
        <v>7</v>
      </c>
      <c r="K311">
        <v>5</v>
      </c>
      <c r="L311">
        <v>8</v>
      </c>
      <c r="M311">
        <v>8</v>
      </c>
      <c r="N311">
        <v>9</v>
      </c>
      <c r="O311">
        <v>9</v>
      </c>
      <c r="P311">
        <v>9</v>
      </c>
      <c r="Q311">
        <v>10</v>
      </c>
    </row>
    <row r="312" spans="1:17" x14ac:dyDescent="0.45">
      <c r="A312" s="19">
        <v>46032.577777777777</v>
      </c>
      <c r="B312" t="s">
        <v>67</v>
      </c>
      <c r="C312" t="s">
        <v>184</v>
      </c>
      <c r="D312" t="s">
        <v>69</v>
      </c>
      <c r="E312" t="s">
        <v>72</v>
      </c>
      <c r="F312" t="s">
        <v>95</v>
      </c>
      <c r="G312" t="s">
        <v>99</v>
      </c>
      <c r="H312" t="s">
        <v>105</v>
      </c>
      <c r="I312">
        <v>6</v>
      </c>
      <c r="J312">
        <v>5</v>
      </c>
      <c r="K312">
        <v>4</v>
      </c>
      <c r="L312">
        <v>7</v>
      </c>
      <c r="M312">
        <v>5</v>
      </c>
      <c r="N312">
        <v>6</v>
      </c>
      <c r="O312">
        <v>6</v>
      </c>
      <c r="P312">
        <v>7</v>
      </c>
      <c r="Q312">
        <v>7</v>
      </c>
    </row>
    <row r="313" spans="1:17" x14ac:dyDescent="0.45">
      <c r="A313" s="19">
        <v>46032.581250000003</v>
      </c>
      <c r="B313" t="s">
        <v>73</v>
      </c>
      <c r="C313" t="s">
        <v>76</v>
      </c>
      <c r="D313" t="s">
        <v>69</v>
      </c>
      <c r="E313" t="s">
        <v>72</v>
      </c>
      <c r="F313" t="s">
        <v>95</v>
      </c>
      <c r="G313" t="s">
        <v>192</v>
      </c>
      <c r="H313" t="s">
        <v>105</v>
      </c>
      <c r="I313">
        <v>8</v>
      </c>
      <c r="J313">
        <v>9</v>
      </c>
      <c r="K313">
        <v>10</v>
      </c>
      <c r="L313">
        <v>10</v>
      </c>
      <c r="M313">
        <v>8</v>
      </c>
      <c r="N313">
        <v>9</v>
      </c>
      <c r="O313">
        <v>8</v>
      </c>
      <c r="P313">
        <v>8</v>
      </c>
      <c r="Q313">
        <v>10</v>
      </c>
    </row>
    <row r="314" spans="1:17" x14ac:dyDescent="0.45">
      <c r="A314" s="19">
        <v>46033.399305555555</v>
      </c>
      <c r="B314" t="s">
        <v>73</v>
      </c>
      <c r="C314" t="s">
        <v>184</v>
      </c>
      <c r="D314" t="s">
        <v>69</v>
      </c>
      <c r="E314" t="s">
        <v>72</v>
      </c>
      <c r="F314" t="s">
        <v>95</v>
      </c>
      <c r="G314" t="s">
        <v>99</v>
      </c>
      <c r="H314" t="s">
        <v>105</v>
      </c>
      <c r="I314">
        <v>6</v>
      </c>
      <c r="J314">
        <v>6</v>
      </c>
      <c r="K314">
        <v>7</v>
      </c>
      <c r="L314">
        <v>7</v>
      </c>
      <c r="M314">
        <v>7</v>
      </c>
      <c r="N314">
        <v>8</v>
      </c>
      <c r="O314">
        <v>5</v>
      </c>
      <c r="P314">
        <v>5</v>
      </c>
      <c r="Q314">
        <v>8</v>
      </c>
    </row>
    <row r="315" spans="1:17" x14ac:dyDescent="0.45">
      <c r="A315" s="19">
        <v>46033.431250000001</v>
      </c>
      <c r="B315" t="s">
        <v>67</v>
      </c>
      <c r="C315" t="s">
        <v>184</v>
      </c>
      <c r="D315" t="s">
        <v>69</v>
      </c>
      <c r="E315" t="s">
        <v>72</v>
      </c>
      <c r="F315" t="s">
        <v>95</v>
      </c>
      <c r="G315" t="s">
        <v>99</v>
      </c>
      <c r="H315" t="s">
        <v>105</v>
      </c>
      <c r="I315">
        <v>7</v>
      </c>
      <c r="J315">
        <v>8</v>
      </c>
      <c r="K315">
        <v>8</v>
      </c>
      <c r="L315">
        <v>8</v>
      </c>
      <c r="M315">
        <v>5</v>
      </c>
      <c r="N315">
        <v>8</v>
      </c>
      <c r="O315">
        <v>6</v>
      </c>
      <c r="P315">
        <v>6</v>
      </c>
      <c r="Q315">
        <v>8</v>
      </c>
    </row>
    <row r="316" spans="1:17" x14ac:dyDescent="0.45">
      <c r="A316" s="19">
        <v>46033.888194444444</v>
      </c>
      <c r="B316" t="s">
        <v>73</v>
      </c>
      <c r="C316" t="s">
        <v>184</v>
      </c>
      <c r="D316" t="s">
        <v>69</v>
      </c>
      <c r="E316" t="s">
        <v>72</v>
      </c>
      <c r="F316" t="s">
        <v>95</v>
      </c>
      <c r="G316" t="s">
        <v>192</v>
      </c>
      <c r="H316" t="s">
        <v>105</v>
      </c>
      <c r="I316">
        <v>4</v>
      </c>
      <c r="J316">
        <v>5</v>
      </c>
      <c r="K316">
        <v>5</v>
      </c>
      <c r="L316">
        <v>7</v>
      </c>
      <c r="M316">
        <v>5</v>
      </c>
      <c r="N316">
        <v>8</v>
      </c>
      <c r="O316">
        <v>5</v>
      </c>
      <c r="P316">
        <v>6</v>
      </c>
      <c r="Q316">
        <v>8</v>
      </c>
    </row>
    <row r="317" spans="1:17" x14ac:dyDescent="0.45">
      <c r="A317" s="19">
        <v>46033.888888888891</v>
      </c>
      <c r="B317" t="s">
        <v>67</v>
      </c>
      <c r="C317" t="s">
        <v>76</v>
      </c>
      <c r="D317" t="s">
        <v>69</v>
      </c>
      <c r="E317" t="s">
        <v>72</v>
      </c>
      <c r="F317" t="s">
        <v>95</v>
      </c>
      <c r="G317" t="s">
        <v>96</v>
      </c>
      <c r="H317" t="s">
        <v>105</v>
      </c>
      <c r="I317">
        <v>6</v>
      </c>
      <c r="J317">
        <v>8</v>
      </c>
      <c r="K317">
        <v>5</v>
      </c>
      <c r="L317">
        <v>6</v>
      </c>
      <c r="M317">
        <v>6</v>
      </c>
      <c r="N317">
        <v>7</v>
      </c>
      <c r="O317">
        <v>6</v>
      </c>
      <c r="P317">
        <v>7</v>
      </c>
      <c r="Q317">
        <v>7</v>
      </c>
    </row>
    <row r="318" spans="1:17" x14ac:dyDescent="0.45">
      <c r="A318" s="19">
        <v>46034.478472222225</v>
      </c>
      <c r="B318" t="s">
        <v>67</v>
      </c>
      <c r="C318" t="s">
        <v>184</v>
      </c>
      <c r="D318" t="s">
        <v>69</v>
      </c>
      <c r="E318" t="s">
        <v>72</v>
      </c>
      <c r="F318" t="s">
        <v>95</v>
      </c>
      <c r="G318" t="s">
        <v>99</v>
      </c>
      <c r="H318" t="s">
        <v>105</v>
      </c>
      <c r="I318">
        <v>7</v>
      </c>
      <c r="J318">
        <v>7</v>
      </c>
      <c r="K318">
        <v>5</v>
      </c>
      <c r="L318">
        <v>8</v>
      </c>
      <c r="M318">
        <v>5</v>
      </c>
      <c r="N318">
        <v>8</v>
      </c>
      <c r="O318">
        <v>5</v>
      </c>
      <c r="P318">
        <v>7</v>
      </c>
      <c r="Q318">
        <v>8</v>
      </c>
    </row>
    <row r="319" spans="1:17" x14ac:dyDescent="0.45">
      <c r="A319" s="19">
        <v>46034.479166666664</v>
      </c>
      <c r="B319" t="s">
        <v>67</v>
      </c>
      <c r="C319" t="s">
        <v>76</v>
      </c>
      <c r="D319" t="s">
        <v>69</v>
      </c>
      <c r="E319" t="s">
        <v>70</v>
      </c>
      <c r="F319" t="s">
        <v>95</v>
      </c>
      <c r="G319" t="s">
        <v>192</v>
      </c>
      <c r="H319" t="s">
        <v>105</v>
      </c>
      <c r="I319">
        <v>4</v>
      </c>
      <c r="J319">
        <v>4</v>
      </c>
      <c r="K319">
        <v>6</v>
      </c>
      <c r="L319">
        <v>7</v>
      </c>
      <c r="M319">
        <v>5</v>
      </c>
      <c r="N319">
        <v>8</v>
      </c>
      <c r="O319">
        <v>5</v>
      </c>
      <c r="P319">
        <v>5</v>
      </c>
      <c r="Q319">
        <v>8</v>
      </c>
    </row>
    <row r="320" spans="1:17" x14ac:dyDescent="0.45">
      <c r="A320" s="19">
        <v>46034.479861111111</v>
      </c>
      <c r="B320" t="s">
        <v>67</v>
      </c>
      <c r="C320" t="s">
        <v>184</v>
      </c>
      <c r="D320" t="s">
        <v>69</v>
      </c>
      <c r="E320" t="s">
        <v>72</v>
      </c>
      <c r="F320" t="s">
        <v>95</v>
      </c>
      <c r="G320" t="s">
        <v>99</v>
      </c>
      <c r="H320" t="s">
        <v>105</v>
      </c>
      <c r="I320">
        <v>8</v>
      </c>
      <c r="J320">
        <v>8</v>
      </c>
      <c r="K320">
        <v>10</v>
      </c>
      <c r="L320">
        <v>10</v>
      </c>
      <c r="M320">
        <v>9</v>
      </c>
      <c r="N320">
        <v>10</v>
      </c>
      <c r="O320">
        <v>8</v>
      </c>
      <c r="P320">
        <v>8</v>
      </c>
      <c r="Q320">
        <v>10</v>
      </c>
    </row>
    <row r="321" spans="1:17" x14ac:dyDescent="0.45">
      <c r="A321" s="19">
        <v>46034.480555555558</v>
      </c>
      <c r="B321" t="s">
        <v>73</v>
      </c>
      <c r="C321" t="s">
        <v>68</v>
      </c>
      <c r="D321" t="s">
        <v>69</v>
      </c>
      <c r="E321" t="s">
        <v>70</v>
      </c>
      <c r="F321" t="s">
        <v>95</v>
      </c>
      <c r="G321" t="s">
        <v>96</v>
      </c>
      <c r="H321" t="s">
        <v>105</v>
      </c>
      <c r="I321">
        <v>5</v>
      </c>
      <c r="J321">
        <v>7</v>
      </c>
      <c r="K321">
        <v>7</v>
      </c>
      <c r="L321">
        <v>9</v>
      </c>
      <c r="M321">
        <v>5</v>
      </c>
      <c r="N321">
        <v>6</v>
      </c>
      <c r="O321">
        <v>5</v>
      </c>
      <c r="P321">
        <v>7</v>
      </c>
      <c r="Q321">
        <v>7</v>
      </c>
    </row>
    <row r="322" spans="1:17" x14ac:dyDescent="0.45">
      <c r="A322" s="19">
        <v>46034.481249999997</v>
      </c>
      <c r="B322" t="s">
        <v>67</v>
      </c>
      <c r="C322" t="s">
        <v>184</v>
      </c>
      <c r="D322" t="s">
        <v>69</v>
      </c>
      <c r="E322" t="s">
        <v>72</v>
      </c>
      <c r="F322" t="s">
        <v>95</v>
      </c>
      <c r="G322" t="s">
        <v>99</v>
      </c>
      <c r="H322" t="s">
        <v>105</v>
      </c>
      <c r="I322">
        <v>8</v>
      </c>
      <c r="J322">
        <v>8</v>
      </c>
      <c r="K322">
        <v>7</v>
      </c>
      <c r="L322">
        <v>9</v>
      </c>
      <c r="M322">
        <v>9</v>
      </c>
      <c r="N322">
        <v>9</v>
      </c>
      <c r="O322">
        <v>7</v>
      </c>
      <c r="P322">
        <v>9</v>
      </c>
      <c r="Q322">
        <v>9</v>
      </c>
    </row>
    <row r="323" spans="1:17" x14ac:dyDescent="0.45">
      <c r="A323" s="19">
        <v>46034.481944444444</v>
      </c>
      <c r="B323" t="s">
        <v>73</v>
      </c>
      <c r="C323" t="s">
        <v>76</v>
      </c>
      <c r="D323" t="s">
        <v>69</v>
      </c>
      <c r="E323" t="s">
        <v>72</v>
      </c>
      <c r="F323" t="s">
        <v>95</v>
      </c>
      <c r="G323" t="s">
        <v>96</v>
      </c>
      <c r="H323" t="s">
        <v>105</v>
      </c>
      <c r="I323">
        <v>5</v>
      </c>
      <c r="J323">
        <v>5</v>
      </c>
      <c r="K323">
        <v>5</v>
      </c>
      <c r="L323">
        <v>7</v>
      </c>
      <c r="M323">
        <v>5</v>
      </c>
      <c r="N323">
        <v>7</v>
      </c>
      <c r="O323">
        <v>5</v>
      </c>
      <c r="P323">
        <v>5</v>
      </c>
      <c r="Q323">
        <v>7</v>
      </c>
    </row>
    <row r="324" spans="1:17" x14ac:dyDescent="0.45">
      <c r="A324" s="19">
        <v>46034.484027777777</v>
      </c>
      <c r="B324" t="s">
        <v>73</v>
      </c>
      <c r="C324" t="s">
        <v>76</v>
      </c>
      <c r="D324" t="s">
        <v>69</v>
      </c>
      <c r="E324" t="s">
        <v>70</v>
      </c>
      <c r="F324" t="s">
        <v>95</v>
      </c>
      <c r="G324" t="s">
        <v>96</v>
      </c>
      <c r="H324" t="s">
        <v>105</v>
      </c>
      <c r="I324">
        <v>7</v>
      </c>
      <c r="J324">
        <v>7</v>
      </c>
      <c r="K324">
        <v>8</v>
      </c>
      <c r="L324">
        <v>8</v>
      </c>
      <c r="M324">
        <v>6</v>
      </c>
      <c r="N324">
        <v>7</v>
      </c>
      <c r="O324">
        <v>6</v>
      </c>
      <c r="P324">
        <v>7</v>
      </c>
      <c r="Q324">
        <v>7</v>
      </c>
    </row>
    <row r="325" spans="1:17" x14ac:dyDescent="0.45">
      <c r="A325" s="19">
        <v>46034.484722222223</v>
      </c>
      <c r="B325" t="s">
        <v>67</v>
      </c>
      <c r="C325" t="s">
        <v>184</v>
      </c>
      <c r="D325" t="s">
        <v>69</v>
      </c>
      <c r="E325" t="s">
        <v>72</v>
      </c>
      <c r="F325" t="s">
        <v>95</v>
      </c>
      <c r="G325" t="s">
        <v>190</v>
      </c>
      <c r="H325" t="s">
        <v>105</v>
      </c>
      <c r="I325">
        <v>7</v>
      </c>
      <c r="J325">
        <v>7</v>
      </c>
      <c r="K325">
        <v>5</v>
      </c>
      <c r="L325">
        <v>7</v>
      </c>
      <c r="M325">
        <v>7</v>
      </c>
      <c r="N325">
        <v>7</v>
      </c>
      <c r="O325">
        <v>5</v>
      </c>
      <c r="P325">
        <v>5</v>
      </c>
      <c r="Q325">
        <v>8</v>
      </c>
    </row>
    <row r="326" spans="1:17" x14ac:dyDescent="0.45">
      <c r="A326" s="19">
        <v>46034.48541666667</v>
      </c>
      <c r="B326" t="s">
        <v>73</v>
      </c>
      <c r="C326" t="s">
        <v>68</v>
      </c>
      <c r="D326" t="s">
        <v>69</v>
      </c>
      <c r="E326" t="s">
        <v>72</v>
      </c>
      <c r="F326" t="s">
        <v>95</v>
      </c>
      <c r="G326" t="s">
        <v>104</v>
      </c>
      <c r="H326" t="s">
        <v>97</v>
      </c>
      <c r="I326">
        <v>2</v>
      </c>
      <c r="J326">
        <v>2</v>
      </c>
      <c r="K326">
        <v>6</v>
      </c>
      <c r="L326">
        <v>7</v>
      </c>
      <c r="M326">
        <v>2</v>
      </c>
      <c r="N326">
        <v>5</v>
      </c>
      <c r="O326">
        <v>5</v>
      </c>
      <c r="P326">
        <v>6</v>
      </c>
      <c r="Q326">
        <v>5</v>
      </c>
    </row>
    <row r="327" spans="1:17" x14ac:dyDescent="0.45">
      <c r="A327" s="19">
        <v>46034.486111111109</v>
      </c>
      <c r="B327" t="s">
        <v>67</v>
      </c>
      <c r="C327" t="s">
        <v>74</v>
      </c>
      <c r="D327" t="s">
        <v>69</v>
      </c>
      <c r="E327" t="s">
        <v>72</v>
      </c>
      <c r="F327" t="s">
        <v>95</v>
      </c>
      <c r="G327" t="s">
        <v>106</v>
      </c>
      <c r="H327" t="s">
        <v>100</v>
      </c>
      <c r="I327">
        <v>8</v>
      </c>
      <c r="J327">
        <v>9</v>
      </c>
      <c r="K327">
        <v>9</v>
      </c>
      <c r="L327">
        <v>10</v>
      </c>
      <c r="M327">
        <v>8</v>
      </c>
      <c r="N327">
        <v>10</v>
      </c>
      <c r="O327">
        <v>9</v>
      </c>
      <c r="P327">
        <v>9</v>
      </c>
      <c r="Q327">
        <v>10</v>
      </c>
    </row>
    <row r="328" spans="1:17" x14ac:dyDescent="0.45">
      <c r="A328" s="19">
        <v>46034.486805555556</v>
      </c>
      <c r="B328" t="s">
        <v>67</v>
      </c>
      <c r="C328" t="s">
        <v>76</v>
      </c>
      <c r="D328" t="s">
        <v>69</v>
      </c>
      <c r="E328" t="s">
        <v>72</v>
      </c>
      <c r="F328" t="s">
        <v>95</v>
      </c>
      <c r="G328" t="s">
        <v>192</v>
      </c>
      <c r="H328" t="s">
        <v>105</v>
      </c>
      <c r="I328">
        <v>7</v>
      </c>
      <c r="J328">
        <v>7</v>
      </c>
      <c r="K328">
        <v>7</v>
      </c>
      <c r="L328">
        <v>9</v>
      </c>
      <c r="M328">
        <v>7</v>
      </c>
      <c r="N328">
        <v>8</v>
      </c>
      <c r="O328">
        <v>5</v>
      </c>
      <c r="P328">
        <v>7</v>
      </c>
      <c r="Q328">
        <v>8</v>
      </c>
    </row>
    <row r="329" spans="1:17" x14ac:dyDescent="0.45">
      <c r="A329" s="19">
        <v>46034.488888888889</v>
      </c>
      <c r="B329" t="s">
        <v>73</v>
      </c>
      <c r="C329" t="s">
        <v>74</v>
      </c>
      <c r="D329" t="s">
        <v>69</v>
      </c>
      <c r="E329" t="s">
        <v>70</v>
      </c>
      <c r="F329" t="s">
        <v>95</v>
      </c>
      <c r="G329" t="s">
        <v>102</v>
      </c>
      <c r="H329" t="s">
        <v>101</v>
      </c>
      <c r="I329">
        <v>7</v>
      </c>
      <c r="J329">
        <v>8</v>
      </c>
      <c r="K329">
        <v>9</v>
      </c>
      <c r="L329">
        <v>9</v>
      </c>
      <c r="M329">
        <v>9</v>
      </c>
      <c r="N329">
        <v>8</v>
      </c>
      <c r="O329">
        <v>7</v>
      </c>
      <c r="P329">
        <v>7</v>
      </c>
      <c r="Q329">
        <v>9</v>
      </c>
    </row>
    <row r="330" spans="1:17" x14ac:dyDescent="0.45">
      <c r="A330" s="19">
        <v>46034.490972222222</v>
      </c>
      <c r="B330" t="s">
        <v>67</v>
      </c>
      <c r="C330" t="s">
        <v>76</v>
      </c>
      <c r="D330" t="s">
        <v>69</v>
      </c>
      <c r="E330" t="s">
        <v>72</v>
      </c>
      <c r="F330" t="s">
        <v>95</v>
      </c>
      <c r="G330" t="s">
        <v>99</v>
      </c>
      <c r="H330" t="s">
        <v>105</v>
      </c>
      <c r="I330">
        <v>7</v>
      </c>
      <c r="J330">
        <v>7</v>
      </c>
      <c r="K330">
        <v>9</v>
      </c>
      <c r="L330">
        <v>9</v>
      </c>
      <c r="M330">
        <v>9</v>
      </c>
      <c r="N330">
        <v>9</v>
      </c>
      <c r="O330">
        <v>5</v>
      </c>
      <c r="P330">
        <v>6</v>
      </c>
      <c r="Q330">
        <v>9</v>
      </c>
    </row>
    <row r="331" spans="1:17" x14ac:dyDescent="0.45">
      <c r="A331" s="19">
        <v>46034.490972222222</v>
      </c>
      <c r="B331" t="s">
        <v>73</v>
      </c>
      <c r="C331" t="s">
        <v>184</v>
      </c>
      <c r="D331" t="s">
        <v>69</v>
      </c>
      <c r="E331" t="s">
        <v>72</v>
      </c>
      <c r="F331" t="s">
        <v>95</v>
      </c>
      <c r="G331" t="s">
        <v>99</v>
      </c>
      <c r="H331" t="s">
        <v>105</v>
      </c>
      <c r="I331">
        <v>3</v>
      </c>
      <c r="J331">
        <v>3</v>
      </c>
      <c r="K331">
        <v>5</v>
      </c>
      <c r="L331">
        <v>6</v>
      </c>
      <c r="M331">
        <v>4</v>
      </c>
      <c r="N331">
        <v>5</v>
      </c>
      <c r="O331">
        <v>5</v>
      </c>
      <c r="P331">
        <v>5</v>
      </c>
      <c r="Q331">
        <v>5</v>
      </c>
    </row>
    <row r="332" spans="1:17" x14ac:dyDescent="0.45">
      <c r="A332" s="19">
        <v>46034.507638888892</v>
      </c>
      <c r="B332" t="s">
        <v>73</v>
      </c>
      <c r="C332" t="s">
        <v>68</v>
      </c>
      <c r="D332" t="s">
        <v>69</v>
      </c>
      <c r="E332" t="s">
        <v>72</v>
      </c>
      <c r="F332" t="s">
        <v>95</v>
      </c>
      <c r="G332" t="s">
        <v>96</v>
      </c>
      <c r="H332" t="s">
        <v>97</v>
      </c>
      <c r="I332">
        <v>4</v>
      </c>
      <c r="J332">
        <v>4</v>
      </c>
      <c r="K332">
        <v>5</v>
      </c>
      <c r="L332">
        <v>6</v>
      </c>
      <c r="M332">
        <v>4</v>
      </c>
      <c r="N332">
        <v>5</v>
      </c>
      <c r="O332">
        <v>3</v>
      </c>
      <c r="P332">
        <v>4</v>
      </c>
      <c r="Q332">
        <v>5</v>
      </c>
    </row>
    <row r="333" spans="1:17" x14ac:dyDescent="0.45">
      <c r="A333" s="19">
        <v>46034.508333333331</v>
      </c>
      <c r="B333" t="s">
        <v>67</v>
      </c>
      <c r="C333" t="s">
        <v>184</v>
      </c>
      <c r="D333" t="s">
        <v>69</v>
      </c>
      <c r="E333" t="s">
        <v>72</v>
      </c>
      <c r="F333" t="s">
        <v>95</v>
      </c>
      <c r="G333" t="s">
        <v>192</v>
      </c>
      <c r="H333" t="s">
        <v>105</v>
      </c>
      <c r="I333">
        <v>7</v>
      </c>
      <c r="J333">
        <v>7</v>
      </c>
      <c r="K333">
        <v>9</v>
      </c>
      <c r="L333">
        <v>9</v>
      </c>
      <c r="M333">
        <v>8</v>
      </c>
      <c r="N333">
        <v>9</v>
      </c>
      <c r="O333">
        <v>7</v>
      </c>
      <c r="P333">
        <v>9</v>
      </c>
      <c r="Q333">
        <v>9</v>
      </c>
    </row>
    <row r="334" spans="1:17" x14ac:dyDescent="0.45">
      <c r="A334" s="19">
        <v>46034.509027777778</v>
      </c>
      <c r="B334" t="s">
        <v>73</v>
      </c>
      <c r="C334" t="s">
        <v>74</v>
      </c>
      <c r="D334" t="s">
        <v>69</v>
      </c>
      <c r="E334" t="s">
        <v>70</v>
      </c>
      <c r="F334" t="s">
        <v>95</v>
      </c>
      <c r="G334" t="s">
        <v>102</v>
      </c>
      <c r="H334" t="s">
        <v>97</v>
      </c>
      <c r="I334">
        <v>6</v>
      </c>
      <c r="J334">
        <v>6</v>
      </c>
      <c r="K334">
        <v>8</v>
      </c>
      <c r="L334">
        <v>8</v>
      </c>
      <c r="M334">
        <v>6</v>
      </c>
      <c r="N334">
        <v>7</v>
      </c>
      <c r="O334">
        <v>6</v>
      </c>
      <c r="P334">
        <v>7</v>
      </c>
      <c r="Q334">
        <v>7</v>
      </c>
    </row>
    <row r="335" spans="1:17" x14ac:dyDescent="0.45">
      <c r="A335" s="19">
        <v>46034.509722222225</v>
      </c>
      <c r="B335" t="s">
        <v>67</v>
      </c>
      <c r="C335" t="s">
        <v>187</v>
      </c>
      <c r="D335" t="s">
        <v>69</v>
      </c>
      <c r="E335" t="s">
        <v>70</v>
      </c>
      <c r="F335" t="s">
        <v>98</v>
      </c>
      <c r="G335" t="s">
        <v>103</v>
      </c>
      <c r="H335" t="s">
        <v>101</v>
      </c>
      <c r="I335">
        <v>2</v>
      </c>
      <c r="J335">
        <v>2</v>
      </c>
      <c r="K335">
        <v>3</v>
      </c>
      <c r="L335">
        <v>5</v>
      </c>
      <c r="M335">
        <v>1</v>
      </c>
      <c r="N335">
        <v>1</v>
      </c>
      <c r="O335">
        <v>1</v>
      </c>
      <c r="P335">
        <v>3</v>
      </c>
      <c r="Q335">
        <v>1</v>
      </c>
    </row>
    <row r="336" spans="1:17" x14ac:dyDescent="0.45">
      <c r="A336" s="19">
        <v>46034.513888888891</v>
      </c>
      <c r="B336" t="s">
        <v>73</v>
      </c>
      <c r="C336" t="s">
        <v>184</v>
      </c>
      <c r="D336" t="s">
        <v>69</v>
      </c>
      <c r="E336" t="s">
        <v>72</v>
      </c>
      <c r="F336" t="s">
        <v>95</v>
      </c>
      <c r="G336" t="s">
        <v>99</v>
      </c>
      <c r="H336" t="s">
        <v>105</v>
      </c>
      <c r="I336">
        <v>7</v>
      </c>
      <c r="J336">
        <v>7</v>
      </c>
      <c r="K336">
        <v>8</v>
      </c>
      <c r="L336">
        <v>10</v>
      </c>
      <c r="M336">
        <v>9</v>
      </c>
      <c r="N336">
        <v>10</v>
      </c>
      <c r="O336">
        <v>8</v>
      </c>
      <c r="P336">
        <v>8</v>
      </c>
      <c r="Q336">
        <v>10</v>
      </c>
    </row>
    <row r="337" spans="1:17" x14ac:dyDescent="0.45">
      <c r="A337" s="19">
        <v>46034.51458333333</v>
      </c>
      <c r="B337" t="s">
        <v>67</v>
      </c>
      <c r="C337" t="s">
        <v>76</v>
      </c>
      <c r="D337" t="s">
        <v>69</v>
      </c>
      <c r="E337" t="s">
        <v>72</v>
      </c>
      <c r="F337" t="s">
        <v>95</v>
      </c>
      <c r="G337" t="s">
        <v>192</v>
      </c>
      <c r="H337" t="s">
        <v>105</v>
      </c>
      <c r="I337">
        <v>4</v>
      </c>
      <c r="J337">
        <v>5</v>
      </c>
      <c r="K337">
        <v>5</v>
      </c>
      <c r="L337">
        <v>6</v>
      </c>
      <c r="M337">
        <v>5</v>
      </c>
      <c r="N337">
        <v>6</v>
      </c>
      <c r="O337">
        <v>5</v>
      </c>
      <c r="P337">
        <v>5</v>
      </c>
      <c r="Q337">
        <v>6</v>
      </c>
    </row>
    <row r="338" spans="1:17" x14ac:dyDescent="0.45">
      <c r="A338" s="19">
        <v>46034.515277777777</v>
      </c>
      <c r="B338" t="s">
        <v>73</v>
      </c>
      <c r="C338" t="s">
        <v>68</v>
      </c>
      <c r="D338" t="s">
        <v>69</v>
      </c>
      <c r="E338" t="s">
        <v>72</v>
      </c>
      <c r="F338" t="s">
        <v>95</v>
      </c>
      <c r="G338" t="s">
        <v>96</v>
      </c>
      <c r="H338" t="s">
        <v>105</v>
      </c>
      <c r="I338">
        <v>7</v>
      </c>
      <c r="J338">
        <v>8</v>
      </c>
      <c r="K338">
        <v>7</v>
      </c>
      <c r="L338">
        <v>7</v>
      </c>
      <c r="M338">
        <v>6</v>
      </c>
      <c r="N338">
        <v>8</v>
      </c>
      <c r="O338">
        <v>6</v>
      </c>
      <c r="P338">
        <v>8</v>
      </c>
      <c r="Q338">
        <v>8</v>
      </c>
    </row>
    <row r="339" spans="1:17" x14ac:dyDescent="0.45">
      <c r="A339" s="19">
        <v>46034.515972222223</v>
      </c>
      <c r="B339" t="s">
        <v>73</v>
      </c>
      <c r="C339" t="s">
        <v>184</v>
      </c>
      <c r="D339" t="s">
        <v>69</v>
      </c>
      <c r="E339" t="s">
        <v>72</v>
      </c>
      <c r="F339" t="s">
        <v>95</v>
      </c>
      <c r="G339" t="s">
        <v>99</v>
      </c>
      <c r="H339" t="s">
        <v>105</v>
      </c>
      <c r="I339">
        <v>8</v>
      </c>
      <c r="J339">
        <v>8</v>
      </c>
      <c r="K339">
        <v>9</v>
      </c>
      <c r="L339">
        <v>9</v>
      </c>
      <c r="M339">
        <v>8</v>
      </c>
      <c r="N339">
        <v>9</v>
      </c>
      <c r="O339">
        <v>10</v>
      </c>
      <c r="P339">
        <v>9</v>
      </c>
      <c r="Q339">
        <v>10</v>
      </c>
    </row>
    <row r="340" spans="1:17" x14ac:dyDescent="0.45">
      <c r="A340" s="19">
        <v>46034.515972222223</v>
      </c>
      <c r="B340" t="s">
        <v>67</v>
      </c>
      <c r="C340" t="s">
        <v>184</v>
      </c>
      <c r="D340" t="s">
        <v>69</v>
      </c>
      <c r="E340" t="s">
        <v>72</v>
      </c>
      <c r="F340" t="s">
        <v>95</v>
      </c>
      <c r="G340" t="s">
        <v>99</v>
      </c>
      <c r="H340" t="s">
        <v>105</v>
      </c>
      <c r="I340">
        <v>7</v>
      </c>
      <c r="J340">
        <v>7</v>
      </c>
      <c r="K340">
        <v>8</v>
      </c>
      <c r="L340">
        <v>8</v>
      </c>
      <c r="M340">
        <v>6</v>
      </c>
      <c r="N340">
        <v>7</v>
      </c>
      <c r="O340">
        <v>6</v>
      </c>
      <c r="P340">
        <v>6</v>
      </c>
      <c r="Q340">
        <v>7</v>
      </c>
    </row>
    <row r="341" spans="1:17" x14ac:dyDescent="0.45">
      <c r="A341" s="19">
        <v>46034.591666666667</v>
      </c>
      <c r="B341" t="s">
        <v>73</v>
      </c>
      <c r="C341" t="s">
        <v>76</v>
      </c>
      <c r="D341" t="s">
        <v>69</v>
      </c>
      <c r="E341" t="s">
        <v>72</v>
      </c>
      <c r="F341" t="s">
        <v>95</v>
      </c>
      <c r="G341" t="s">
        <v>99</v>
      </c>
      <c r="H341" t="s">
        <v>105</v>
      </c>
      <c r="I341">
        <v>7</v>
      </c>
      <c r="J341">
        <v>8</v>
      </c>
      <c r="K341">
        <v>8</v>
      </c>
      <c r="L341">
        <v>8</v>
      </c>
      <c r="M341">
        <v>5</v>
      </c>
      <c r="N341">
        <v>8</v>
      </c>
      <c r="O341">
        <v>5</v>
      </c>
      <c r="P341">
        <v>8</v>
      </c>
      <c r="Q341">
        <v>8</v>
      </c>
    </row>
    <row r="342" spans="1:17" x14ac:dyDescent="0.45">
      <c r="A342" s="19">
        <v>46034.592361111114</v>
      </c>
      <c r="B342" t="s">
        <v>67</v>
      </c>
      <c r="C342" t="s">
        <v>184</v>
      </c>
      <c r="D342" t="s">
        <v>69</v>
      </c>
      <c r="E342" t="s">
        <v>72</v>
      </c>
      <c r="F342" t="s">
        <v>95</v>
      </c>
      <c r="G342" t="s">
        <v>190</v>
      </c>
      <c r="H342" t="s">
        <v>105</v>
      </c>
      <c r="I342">
        <v>8</v>
      </c>
      <c r="J342">
        <v>8</v>
      </c>
      <c r="K342">
        <v>8</v>
      </c>
      <c r="L342">
        <v>9</v>
      </c>
      <c r="M342">
        <v>8</v>
      </c>
      <c r="N342">
        <v>8</v>
      </c>
      <c r="O342">
        <v>7</v>
      </c>
      <c r="P342">
        <v>7</v>
      </c>
      <c r="Q342">
        <v>8</v>
      </c>
    </row>
    <row r="343" spans="1:17" x14ac:dyDescent="0.45">
      <c r="A343" s="19">
        <v>46034.593055555553</v>
      </c>
      <c r="B343" t="s">
        <v>73</v>
      </c>
      <c r="C343" t="s">
        <v>184</v>
      </c>
      <c r="D343" t="s">
        <v>69</v>
      </c>
      <c r="E343" t="s">
        <v>72</v>
      </c>
      <c r="F343" t="s">
        <v>95</v>
      </c>
      <c r="G343" t="s">
        <v>190</v>
      </c>
      <c r="H343" t="s">
        <v>105</v>
      </c>
      <c r="I343">
        <v>5</v>
      </c>
      <c r="J343">
        <v>5</v>
      </c>
      <c r="K343">
        <v>6</v>
      </c>
      <c r="L343">
        <v>7</v>
      </c>
      <c r="M343">
        <v>5</v>
      </c>
      <c r="N343">
        <v>8</v>
      </c>
      <c r="O343">
        <v>6</v>
      </c>
      <c r="P343">
        <v>6</v>
      </c>
      <c r="Q343">
        <v>7</v>
      </c>
    </row>
    <row r="344" spans="1:17" x14ac:dyDescent="0.45">
      <c r="A344" s="19">
        <v>46034.59375</v>
      </c>
      <c r="B344" t="s">
        <v>73</v>
      </c>
      <c r="C344" t="s">
        <v>76</v>
      </c>
      <c r="D344" t="s">
        <v>69</v>
      </c>
      <c r="E344" t="s">
        <v>72</v>
      </c>
      <c r="F344" t="s">
        <v>95</v>
      </c>
      <c r="G344" t="s">
        <v>99</v>
      </c>
      <c r="H344" t="s">
        <v>105</v>
      </c>
      <c r="I344">
        <v>7</v>
      </c>
      <c r="J344">
        <v>7</v>
      </c>
      <c r="K344">
        <v>8</v>
      </c>
      <c r="L344">
        <v>7</v>
      </c>
      <c r="M344">
        <v>8</v>
      </c>
      <c r="N344">
        <v>8</v>
      </c>
      <c r="O344">
        <v>8</v>
      </c>
      <c r="P344">
        <v>7</v>
      </c>
      <c r="Q344">
        <v>8</v>
      </c>
    </row>
    <row r="345" spans="1:17" x14ac:dyDescent="0.45">
      <c r="A345" s="19">
        <v>46034.594444444447</v>
      </c>
      <c r="B345" t="s">
        <v>73</v>
      </c>
      <c r="C345" t="s">
        <v>68</v>
      </c>
      <c r="D345" t="s">
        <v>69</v>
      </c>
      <c r="E345" t="s">
        <v>70</v>
      </c>
      <c r="F345" t="s">
        <v>95</v>
      </c>
      <c r="G345" t="s">
        <v>106</v>
      </c>
      <c r="H345" t="s">
        <v>100</v>
      </c>
      <c r="I345">
        <v>7</v>
      </c>
      <c r="J345">
        <v>7</v>
      </c>
      <c r="K345">
        <v>5</v>
      </c>
      <c r="L345">
        <v>8</v>
      </c>
      <c r="M345">
        <v>6</v>
      </c>
      <c r="N345">
        <v>5</v>
      </c>
      <c r="O345">
        <v>5</v>
      </c>
      <c r="P345">
        <v>6</v>
      </c>
      <c r="Q345">
        <v>5</v>
      </c>
    </row>
    <row r="346" spans="1:17" x14ac:dyDescent="0.45">
      <c r="A346" s="19">
        <v>46034.602777777778</v>
      </c>
      <c r="B346" t="s">
        <v>67</v>
      </c>
      <c r="C346" t="s">
        <v>76</v>
      </c>
      <c r="D346" t="s">
        <v>69</v>
      </c>
      <c r="E346" t="s">
        <v>72</v>
      </c>
      <c r="F346" t="s">
        <v>95</v>
      </c>
      <c r="G346" t="s">
        <v>99</v>
      </c>
      <c r="H346" t="s">
        <v>105</v>
      </c>
      <c r="I346">
        <v>7</v>
      </c>
      <c r="J346">
        <v>7</v>
      </c>
      <c r="K346">
        <v>5</v>
      </c>
      <c r="L346">
        <v>8</v>
      </c>
      <c r="M346">
        <v>7</v>
      </c>
      <c r="N346">
        <v>7</v>
      </c>
      <c r="O346">
        <v>6</v>
      </c>
      <c r="P346">
        <v>7</v>
      </c>
      <c r="Q346">
        <v>7</v>
      </c>
    </row>
    <row r="347" spans="1:17" x14ac:dyDescent="0.45">
      <c r="A347" s="19">
        <v>46034.603472222225</v>
      </c>
      <c r="B347" t="s">
        <v>67</v>
      </c>
      <c r="C347" t="s">
        <v>68</v>
      </c>
      <c r="D347" t="s">
        <v>69</v>
      </c>
      <c r="E347" t="s">
        <v>72</v>
      </c>
      <c r="F347" t="s">
        <v>95</v>
      </c>
      <c r="G347" t="s">
        <v>96</v>
      </c>
      <c r="H347" t="s">
        <v>97</v>
      </c>
      <c r="I347">
        <v>9</v>
      </c>
      <c r="J347">
        <v>8</v>
      </c>
      <c r="K347">
        <v>8</v>
      </c>
      <c r="L347">
        <v>9</v>
      </c>
      <c r="M347">
        <v>7</v>
      </c>
      <c r="N347">
        <v>8</v>
      </c>
      <c r="O347">
        <v>7</v>
      </c>
      <c r="P347">
        <v>7</v>
      </c>
      <c r="Q347">
        <v>8</v>
      </c>
    </row>
    <row r="348" spans="1:17" x14ac:dyDescent="0.45">
      <c r="A348" s="19">
        <v>46034.606249999997</v>
      </c>
      <c r="B348" t="s">
        <v>67</v>
      </c>
      <c r="C348" t="s">
        <v>76</v>
      </c>
      <c r="D348" t="s">
        <v>69</v>
      </c>
      <c r="E348" t="s">
        <v>72</v>
      </c>
      <c r="F348" t="s">
        <v>95</v>
      </c>
      <c r="G348" t="s">
        <v>192</v>
      </c>
      <c r="H348" t="s">
        <v>105</v>
      </c>
      <c r="I348">
        <v>8</v>
      </c>
      <c r="J348">
        <v>8</v>
      </c>
      <c r="K348">
        <v>7</v>
      </c>
      <c r="L348">
        <v>8</v>
      </c>
      <c r="M348">
        <v>6</v>
      </c>
      <c r="N348">
        <v>8</v>
      </c>
      <c r="O348">
        <v>6</v>
      </c>
      <c r="P348">
        <v>6</v>
      </c>
      <c r="Q348">
        <v>8</v>
      </c>
    </row>
    <row r="349" spans="1:17" x14ac:dyDescent="0.45">
      <c r="A349" s="19">
        <v>46034.652083333334</v>
      </c>
      <c r="B349" t="s">
        <v>67</v>
      </c>
      <c r="C349" t="s">
        <v>76</v>
      </c>
      <c r="D349" t="s">
        <v>69</v>
      </c>
      <c r="E349" t="s">
        <v>72</v>
      </c>
      <c r="F349" t="s">
        <v>95</v>
      </c>
      <c r="G349" t="s">
        <v>192</v>
      </c>
      <c r="H349" t="s">
        <v>105</v>
      </c>
      <c r="I349">
        <v>8</v>
      </c>
      <c r="J349">
        <v>8</v>
      </c>
      <c r="K349">
        <v>7</v>
      </c>
      <c r="L349">
        <v>7</v>
      </c>
      <c r="M349">
        <v>6</v>
      </c>
      <c r="N349">
        <v>7</v>
      </c>
      <c r="O349">
        <v>6</v>
      </c>
      <c r="P349">
        <v>6</v>
      </c>
      <c r="Q349">
        <v>7</v>
      </c>
    </row>
    <row r="350" spans="1:17" x14ac:dyDescent="0.45">
      <c r="A350" s="19">
        <v>46034.654166666667</v>
      </c>
      <c r="B350" t="s">
        <v>67</v>
      </c>
      <c r="C350" t="s">
        <v>76</v>
      </c>
      <c r="D350" t="s">
        <v>69</v>
      </c>
      <c r="E350" t="s">
        <v>72</v>
      </c>
      <c r="F350" t="s">
        <v>95</v>
      </c>
      <c r="G350" t="s">
        <v>192</v>
      </c>
      <c r="H350" t="s">
        <v>105</v>
      </c>
      <c r="I350">
        <v>4</v>
      </c>
      <c r="J350">
        <v>4</v>
      </c>
      <c r="K350">
        <v>5</v>
      </c>
      <c r="L350">
        <v>7</v>
      </c>
      <c r="M350">
        <v>5</v>
      </c>
      <c r="N350">
        <v>6</v>
      </c>
      <c r="O350">
        <v>6</v>
      </c>
      <c r="P350">
        <v>6</v>
      </c>
      <c r="Q350">
        <v>6</v>
      </c>
    </row>
    <row r="351" spans="1:17" x14ac:dyDescent="0.45">
      <c r="A351" s="19">
        <v>46034.654166666667</v>
      </c>
      <c r="B351" t="s">
        <v>67</v>
      </c>
      <c r="C351" t="s">
        <v>76</v>
      </c>
      <c r="D351" t="s">
        <v>69</v>
      </c>
      <c r="E351" t="s">
        <v>72</v>
      </c>
      <c r="F351" t="s">
        <v>95</v>
      </c>
      <c r="G351" t="s">
        <v>96</v>
      </c>
      <c r="H351" t="s">
        <v>105</v>
      </c>
      <c r="I351">
        <v>7</v>
      </c>
      <c r="J351">
        <v>7</v>
      </c>
      <c r="K351">
        <v>8</v>
      </c>
      <c r="L351">
        <v>8</v>
      </c>
      <c r="M351">
        <v>7</v>
      </c>
      <c r="N351">
        <v>7</v>
      </c>
      <c r="O351">
        <v>8</v>
      </c>
      <c r="P351">
        <v>7</v>
      </c>
      <c r="Q351">
        <v>8</v>
      </c>
    </row>
    <row r="352" spans="1:17" x14ac:dyDescent="0.45">
      <c r="A352" s="19">
        <v>46034.654861111114</v>
      </c>
      <c r="B352" t="s">
        <v>67</v>
      </c>
      <c r="C352" t="s">
        <v>68</v>
      </c>
      <c r="D352" t="s">
        <v>69</v>
      </c>
      <c r="E352" t="s">
        <v>72</v>
      </c>
      <c r="F352" t="s">
        <v>95</v>
      </c>
      <c r="G352" t="s">
        <v>104</v>
      </c>
      <c r="H352" t="s">
        <v>100</v>
      </c>
      <c r="I352">
        <v>8</v>
      </c>
      <c r="J352">
        <v>8</v>
      </c>
      <c r="K352">
        <v>6</v>
      </c>
      <c r="L352">
        <v>7</v>
      </c>
      <c r="M352">
        <v>6</v>
      </c>
      <c r="N352">
        <v>7</v>
      </c>
      <c r="O352">
        <v>5</v>
      </c>
      <c r="P352">
        <v>7</v>
      </c>
      <c r="Q352">
        <v>7</v>
      </c>
    </row>
    <row r="353" spans="1:17" x14ac:dyDescent="0.45">
      <c r="A353" s="19">
        <v>46034.7</v>
      </c>
      <c r="B353" t="s">
        <v>67</v>
      </c>
      <c r="C353" t="s">
        <v>68</v>
      </c>
      <c r="D353" t="s">
        <v>69</v>
      </c>
      <c r="E353" t="s">
        <v>72</v>
      </c>
      <c r="F353" t="s">
        <v>95</v>
      </c>
      <c r="G353" t="s">
        <v>96</v>
      </c>
      <c r="H353" t="s">
        <v>97</v>
      </c>
      <c r="I353">
        <v>6</v>
      </c>
      <c r="J353">
        <v>6</v>
      </c>
      <c r="K353">
        <v>8</v>
      </c>
      <c r="L353">
        <v>7</v>
      </c>
      <c r="M353">
        <v>7</v>
      </c>
      <c r="N353">
        <v>7</v>
      </c>
      <c r="O353">
        <v>5</v>
      </c>
      <c r="P353">
        <v>6</v>
      </c>
      <c r="Q353">
        <v>7</v>
      </c>
    </row>
    <row r="354" spans="1:17" x14ac:dyDescent="0.45">
      <c r="A354" s="19">
        <v>46034.700694444444</v>
      </c>
      <c r="B354" t="s">
        <v>73</v>
      </c>
      <c r="C354" t="s">
        <v>74</v>
      </c>
      <c r="D354" t="s">
        <v>69</v>
      </c>
      <c r="E354" t="s">
        <v>72</v>
      </c>
      <c r="F354" t="s">
        <v>95</v>
      </c>
      <c r="G354" t="s">
        <v>102</v>
      </c>
      <c r="H354" t="s">
        <v>191</v>
      </c>
      <c r="I354">
        <v>7</v>
      </c>
      <c r="J354">
        <v>7</v>
      </c>
      <c r="K354">
        <v>8</v>
      </c>
      <c r="L354">
        <v>8</v>
      </c>
      <c r="M354">
        <v>6</v>
      </c>
      <c r="N354">
        <v>7</v>
      </c>
      <c r="O354">
        <v>5</v>
      </c>
      <c r="P354">
        <v>7</v>
      </c>
      <c r="Q354">
        <v>7</v>
      </c>
    </row>
    <row r="355" spans="1:17" x14ac:dyDescent="0.45">
      <c r="A355" s="19">
        <v>46034.701388888891</v>
      </c>
      <c r="B355" t="s">
        <v>67</v>
      </c>
      <c r="C355" t="s">
        <v>184</v>
      </c>
      <c r="D355" t="s">
        <v>69</v>
      </c>
      <c r="E355" t="s">
        <v>72</v>
      </c>
      <c r="F355" t="s">
        <v>95</v>
      </c>
      <c r="G355" t="s">
        <v>99</v>
      </c>
      <c r="H355" t="s">
        <v>105</v>
      </c>
      <c r="I355">
        <v>9</v>
      </c>
      <c r="J355">
        <v>9</v>
      </c>
      <c r="K355">
        <v>10</v>
      </c>
      <c r="L355">
        <v>10</v>
      </c>
      <c r="M355">
        <v>9</v>
      </c>
      <c r="N355">
        <v>10</v>
      </c>
      <c r="O355">
        <v>8</v>
      </c>
      <c r="P355">
        <v>8</v>
      </c>
      <c r="Q355">
        <v>9</v>
      </c>
    </row>
    <row r="356" spans="1:17" x14ac:dyDescent="0.45">
      <c r="A356" s="19">
        <v>46034.720138888886</v>
      </c>
      <c r="B356" t="s">
        <v>73</v>
      </c>
      <c r="C356" t="s">
        <v>184</v>
      </c>
      <c r="D356" t="s">
        <v>69</v>
      </c>
      <c r="E356" t="s">
        <v>72</v>
      </c>
      <c r="F356" t="s">
        <v>95</v>
      </c>
      <c r="G356" t="s">
        <v>99</v>
      </c>
      <c r="H356" t="s">
        <v>105</v>
      </c>
      <c r="I356">
        <v>7</v>
      </c>
      <c r="J356">
        <v>8</v>
      </c>
      <c r="K356">
        <v>8</v>
      </c>
      <c r="L356">
        <v>9</v>
      </c>
      <c r="M356">
        <v>8</v>
      </c>
      <c r="N356">
        <v>10</v>
      </c>
      <c r="O356">
        <v>8</v>
      </c>
      <c r="P356">
        <v>8</v>
      </c>
      <c r="Q356">
        <v>9</v>
      </c>
    </row>
    <row r="357" spans="1:17" x14ac:dyDescent="0.45">
      <c r="A357" s="19">
        <v>46034.753472222219</v>
      </c>
      <c r="B357" t="s">
        <v>73</v>
      </c>
      <c r="C357" t="s">
        <v>184</v>
      </c>
      <c r="D357" t="s">
        <v>69</v>
      </c>
      <c r="E357" t="s">
        <v>72</v>
      </c>
      <c r="F357" t="s">
        <v>95</v>
      </c>
      <c r="G357" t="s">
        <v>99</v>
      </c>
      <c r="H357" t="s">
        <v>105</v>
      </c>
      <c r="I357">
        <v>7</v>
      </c>
      <c r="J357">
        <v>7</v>
      </c>
      <c r="K357">
        <v>8</v>
      </c>
      <c r="L357">
        <v>10</v>
      </c>
      <c r="M357">
        <v>9</v>
      </c>
      <c r="N357">
        <v>10</v>
      </c>
      <c r="O357">
        <v>8</v>
      </c>
      <c r="P357">
        <v>8</v>
      </c>
      <c r="Q357">
        <v>10</v>
      </c>
    </row>
    <row r="358" spans="1:17" x14ac:dyDescent="0.45">
      <c r="A358" s="19">
        <v>46034.769444444442</v>
      </c>
      <c r="B358" t="s">
        <v>73</v>
      </c>
      <c r="C358" t="s">
        <v>76</v>
      </c>
      <c r="D358" t="s">
        <v>69</v>
      </c>
      <c r="E358" t="s">
        <v>72</v>
      </c>
      <c r="F358" t="s">
        <v>95</v>
      </c>
      <c r="G358" t="s">
        <v>96</v>
      </c>
      <c r="H358" t="s">
        <v>105</v>
      </c>
      <c r="I358">
        <v>9</v>
      </c>
      <c r="J358">
        <v>9</v>
      </c>
      <c r="K358">
        <v>8</v>
      </c>
      <c r="L358">
        <v>9</v>
      </c>
      <c r="M358">
        <v>8</v>
      </c>
      <c r="N358">
        <v>8</v>
      </c>
      <c r="O358">
        <v>7</v>
      </c>
      <c r="P358">
        <v>7</v>
      </c>
      <c r="Q358">
        <v>8</v>
      </c>
    </row>
    <row r="359" spans="1:17" x14ac:dyDescent="0.45">
      <c r="A359" s="19">
        <v>46034.770138888889</v>
      </c>
      <c r="B359" t="s">
        <v>67</v>
      </c>
      <c r="C359" t="s">
        <v>184</v>
      </c>
      <c r="D359" t="s">
        <v>69</v>
      </c>
      <c r="E359" t="s">
        <v>72</v>
      </c>
      <c r="F359" t="s">
        <v>95</v>
      </c>
      <c r="G359" t="s">
        <v>99</v>
      </c>
      <c r="H359" t="s">
        <v>105</v>
      </c>
      <c r="I359">
        <v>7</v>
      </c>
      <c r="J359">
        <v>7</v>
      </c>
      <c r="K359">
        <v>7</v>
      </c>
      <c r="L359">
        <v>8</v>
      </c>
      <c r="M359">
        <v>7</v>
      </c>
      <c r="N359">
        <v>9</v>
      </c>
      <c r="O359">
        <v>8</v>
      </c>
      <c r="P359">
        <v>8</v>
      </c>
      <c r="Q359">
        <v>8</v>
      </c>
    </row>
    <row r="360" spans="1:17" x14ac:dyDescent="0.45">
      <c r="A360" s="19">
        <v>46034.770833333336</v>
      </c>
      <c r="B360" t="s">
        <v>67</v>
      </c>
      <c r="C360" t="s">
        <v>76</v>
      </c>
      <c r="D360" t="s">
        <v>69</v>
      </c>
      <c r="E360" t="s">
        <v>72</v>
      </c>
      <c r="F360" t="s">
        <v>95</v>
      </c>
      <c r="G360" t="s">
        <v>192</v>
      </c>
      <c r="H360" t="s">
        <v>97</v>
      </c>
      <c r="I360">
        <v>4</v>
      </c>
      <c r="J360">
        <v>5</v>
      </c>
      <c r="K360">
        <v>6</v>
      </c>
      <c r="L360">
        <v>7</v>
      </c>
      <c r="M360">
        <v>7</v>
      </c>
      <c r="N360">
        <v>6</v>
      </c>
      <c r="O360">
        <v>4</v>
      </c>
      <c r="P360">
        <v>6</v>
      </c>
      <c r="Q360">
        <v>7</v>
      </c>
    </row>
    <row r="361" spans="1:17" x14ac:dyDescent="0.45">
      <c r="A361" s="19">
        <v>46034.893750000003</v>
      </c>
      <c r="B361" t="s">
        <v>73</v>
      </c>
      <c r="C361" t="s">
        <v>76</v>
      </c>
      <c r="D361" t="s">
        <v>69</v>
      </c>
      <c r="E361" t="s">
        <v>72</v>
      </c>
      <c r="F361" t="s">
        <v>95</v>
      </c>
      <c r="G361" t="s">
        <v>192</v>
      </c>
      <c r="H361" t="s">
        <v>105</v>
      </c>
      <c r="I361">
        <v>9</v>
      </c>
      <c r="J361">
        <v>8</v>
      </c>
      <c r="K361">
        <v>8</v>
      </c>
      <c r="L361">
        <v>8</v>
      </c>
      <c r="M361">
        <v>7</v>
      </c>
      <c r="N361">
        <v>7</v>
      </c>
      <c r="O361">
        <v>6</v>
      </c>
      <c r="P361">
        <v>7</v>
      </c>
      <c r="Q361">
        <v>8</v>
      </c>
    </row>
    <row r="362" spans="1:17" x14ac:dyDescent="0.45">
      <c r="A362" s="19">
        <v>46034.894444444442</v>
      </c>
      <c r="B362" t="s">
        <v>67</v>
      </c>
      <c r="C362" t="s">
        <v>184</v>
      </c>
      <c r="D362" t="s">
        <v>69</v>
      </c>
      <c r="E362" t="s">
        <v>72</v>
      </c>
      <c r="F362" t="s">
        <v>95</v>
      </c>
      <c r="G362" t="s">
        <v>190</v>
      </c>
      <c r="H362" t="s">
        <v>105</v>
      </c>
      <c r="I362">
        <v>7</v>
      </c>
      <c r="J362">
        <v>7</v>
      </c>
      <c r="K362">
        <v>8</v>
      </c>
      <c r="L362">
        <v>9</v>
      </c>
      <c r="M362">
        <v>7</v>
      </c>
      <c r="N362">
        <v>10</v>
      </c>
      <c r="O362">
        <v>8</v>
      </c>
      <c r="P362">
        <v>8</v>
      </c>
      <c r="Q362">
        <v>10</v>
      </c>
    </row>
    <row r="363" spans="1:17" x14ac:dyDescent="0.45">
      <c r="A363" s="19">
        <v>46034.895138888889</v>
      </c>
      <c r="B363" t="s">
        <v>67</v>
      </c>
      <c r="C363" t="s">
        <v>184</v>
      </c>
      <c r="D363" t="s">
        <v>69</v>
      </c>
      <c r="E363" t="s">
        <v>72</v>
      </c>
      <c r="F363" t="s">
        <v>95</v>
      </c>
      <c r="G363" t="s">
        <v>99</v>
      </c>
      <c r="H363" t="s">
        <v>105</v>
      </c>
      <c r="I363">
        <v>3</v>
      </c>
      <c r="J363">
        <v>3</v>
      </c>
      <c r="K363">
        <v>5</v>
      </c>
      <c r="L363">
        <v>6</v>
      </c>
      <c r="M363">
        <v>5</v>
      </c>
      <c r="N363">
        <v>6</v>
      </c>
      <c r="O363">
        <v>4</v>
      </c>
      <c r="P363">
        <v>6</v>
      </c>
      <c r="Q363">
        <v>6</v>
      </c>
    </row>
    <row r="364" spans="1:17" x14ac:dyDescent="0.45">
      <c r="A364" s="19">
        <v>46034.9</v>
      </c>
      <c r="B364" t="s">
        <v>73</v>
      </c>
      <c r="C364" t="s">
        <v>76</v>
      </c>
      <c r="D364" t="s">
        <v>69</v>
      </c>
      <c r="E364" t="s">
        <v>72</v>
      </c>
      <c r="F364" t="s">
        <v>95</v>
      </c>
      <c r="G364" t="s">
        <v>96</v>
      </c>
      <c r="H364" t="s">
        <v>97</v>
      </c>
      <c r="I364">
        <v>8</v>
      </c>
      <c r="J364">
        <v>8</v>
      </c>
      <c r="K364">
        <v>5</v>
      </c>
      <c r="L364">
        <v>7</v>
      </c>
      <c r="M364">
        <v>5</v>
      </c>
      <c r="N364">
        <v>8</v>
      </c>
      <c r="O364">
        <v>5</v>
      </c>
      <c r="P364">
        <v>7</v>
      </c>
      <c r="Q364">
        <v>8</v>
      </c>
    </row>
    <row r="365" spans="1:17" x14ac:dyDescent="0.45">
      <c r="A365" s="19">
        <v>46034.900694444441</v>
      </c>
      <c r="B365" t="s">
        <v>73</v>
      </c>
      <c r="C365" t="s">
        <v>68</v>
      </c>
      <c r="D365" t="s">
        <v>69</v>
      </c>
      <c r="E365" t="s">
        <v>72</v>
      </c>
      <c r="F365" t="s">
        <v>95</v>
      </c>
      <c r="G365" t="s">
        <v>192</v>
      </c>
      <c r="H365" t="s">
        <v>97</v>
      </c>
      <c r="I365">
        <v>4</v>
      </c>
      <c r="J365">
        <v>5</v>
      </c>
      <c r="K365">
        <v>5</v>
      </c>
      <c r="L365">
        <v>7</v>
      </c>
      <c r="M365">
        <v>5</v>
      </c>
      <c r="N365">
        <v>7</v>
      </c>
      <c r="O365">
        <v>5</v>
      </c>
      <c r="P365">
        <v>6</v>
      </c>
      <c r="Q365">
        <v>7</v>
      </c>
    </row>
    <row r="366" spans="1:17" x14ac:dyDescent="0.45">
      <c r="A366" s="19">
        <v>46034.901388888888</v>
      </c>
      <c r="B366" t="s">
        <v>67</v>
      </c>
      <c r="C366" t="s">
        <v>76</v>
      </c>
      <c r="D366" t="s">
        <v>69</v>
      </c>
      <c r="E366" t="s">
        <v>72</v>
      </c>
      <c r="F366" t="s">
        <v>95</v>
      </c>
      <c r="G366" t="s">
        <v>104</v>
      </c>
      <c r="H366" t="s">
        <v>105</v>
      </c>
      <c r="I366">
        <v>9</v>
      </c>
      <c r="J366">
        <v>9</v>
      </c>
      <c r="K366">
        <v>8</v>
      </c>
      <c r="L366">
        <v>9</v>
      </c>
      <c r="M366">
        <v>9</v>
      </c>
      <c r="N366">
        <v>7</v>
      </c>
      <c r="O366">
        <v>7</v>
      </c>
      <c r="P366">
        <v>7</v>
      </c>
      <c r="Q366">
        <v>7</v>
      </c>
    </row>
    <row r="367" spans="1:17" x14ac:dyDescent="0.45">
      <c r="A367" s="19">
        <v>46034.90347222222</v>
      </c>
      <c r="B367" t="s">
        <v>73</v>
      </c>
      <c r="C367" t="s">
        <v>68</v>
      </c>
      <c r="D367" t="s">
        <v>69</v>
      </c>
      <c r="E367" t="s">
        <v>70</v>
      </c>
      <c r="F367" t="s">
        <v>95</v>
      </c>
      <c r="G367" t="s">
        <v>106</v>
      </c>
      <c r="H367" t="s">
        <v>97</v>
      </c>
      <c r="I367">
        <v>7</v>
      </c>
      <c r="J367">
        <v>8</v>
      </c>
      <c r="K367">
        <v>8</v>
      </c>
      <c r="L367">
        <v>8</v>
      </c>
      <c r="M367">
        <v>5</v>
      </c>
      <c r="N367">
        <v>6</v>
      </c>
      <c r="O367">
        <v>5</v>
      </c>
      <c r="P367">
        <v>6</v>
      </c>
      <c r="Q367">
        <v>6</v>
      </c>
    </row>
    <row r="368" spans="1:17" x14ac:dyDescent="0.45">
      <c r="A368" s="19">
        <v>46034.904861111114</v>
      </c>
      <c r="B368" t="s">
        <v>67</v>
      </c>
      <c r="C368" t="s">
        <v>184</v>
      </c>
      <c r="D368" t="s">
        <v>69</v>
      </c>
      <c r="E368" t="s">
        <v>72</v>
      </c>
      <c r="F368" t="s">
        <v>95</v>
      </c>
      <c r="G368" t="s">
        <v>99</v>
      </c>
      <c r="H368" t="s">
        <v>105</v>
      </c>
      <c r="I368">
        <v>8</v>
      </c>
      <c r="J368">
        <v>9</v>
      </c>
      <c r="K368">
        <v>8</v>
      </c>
      <c r="L368">
        <v>8</v>
      </c>
      <c r="M368">
        <v>9</v>
      </c>
      <c r="N368">
        <v>10</v>
      </c>
      <c r="O368">
        <v>10</v>
      </c>
      <c r="P368">
        <v>9</v>
      </c>
      <c r="Q368">
        <v>10</v>
      </c>
    </row>
    <row r="369" spans="1:17" x14ac:dyDescent="0.45">
      <c r="A369" s="19">
        <v>46034.904861111114</v>
      </c>
      <c r="B369" t="s">
        <v>67</v>
      </c>
      <c r="C369" t="s">
        <v>76</v>
      </c>
      <c r="D369" t="s">
        <v>69</v>
      </c>
      <c r="E369" t="s">
        <v>70</v>
      </c>
      <c r="F369" t="s">
        <v>95</v>
      </c>
      <c r="G369" t="s">
        <v>96</v>
      </c>
      <c r="H369" t="s">
        <v>100</v>
      </c>
      <c r="I369">
        <v>7</v>
      </c>
      <c r="J369">
        <v>7</v>
      </c>
      <c r="K369">
        <v>8</v>
      </c>
      <c r="L369">
        <v>8</v>
      </c>
      <c r="M369">
        <v>6</v>
      </c>
      <c r="N369">
        <v>8</v>
      </c>
      <c r="O369">
        <v>6</v>
      </c>
      <c r="P369">
        <v>7</v>
      </c>
      <c r="Q369">
        <v>8</v>
      </c>
    </row>
    <row r="370" spans="1:17" x14ac:dyDescent="0.45">
      <c r="A370" s="19">
        <v>46034.907638888886</v>
      </c>
      <c r="B370" t="s">
        <v>73</v>
      </c>
      <c r="C370" t="s">
        <v>76</v>
      </c>
      <c r="D370" t="s">
        <v>69</v>
      </c>
      <c r="E370" t="s">
        <v>72</v>
      </c>
      <c r="F370" t="s">
        <v>95</v>
      </c>
      <c r="G370" t="s">
        <v>99</v>
      </c>
      <c r="H370" t="s">
        <v>105</v>
      </c>
      <c r="I370">
        <v>6</v>
      </c>
      <c r="J370">
        <v>6</v>
      </c>
      <c r="K370">
        <v>8</v>
      </c>
      <c r="L370">
        <v>9</v>
      </c>
      <c r="M370">
        <v>8</v>
      </c>
      <c r="N370">
        <v>8</v>
      </c>
      <c r="O370">
        <v>5</v>
      </c>
      <c r="P370">
        <v>7</v>
      </c>
      <c r="Q370">
        <v>8</v>
      </c>
    </row>
    <row r="371" spans="1:17" x14ac:dyDescent="0.45">
      <c r="A371" s="19">
        <v>46034.908333333333</v>
      </c>
      <c r="B371" t="s">
        <v>73</v>
      </c>
      <c r="C371" t="s">
        <v>184</v>
      </c>
      <c r="D371" t="s">
        <v>69</v>
      </c>
      <c r="E371" t="s">
        <v>72</v>
      </c>
      <c r="F371" t="s">
        <v>95</v>
      </c>
      <c r="G371" t="s">
        <v>192</v>
      </c>
      <c r="H371" t="s">
        <v>105</v>
      </c>
      <c r="I371">
        <v>6</v>
      </c>
      <c r="J371">
        <v>7</v>
      </c>
      <c r="K371">
        <v>7</v>
      </c>
      <c r="L371">
        <v>9</v>
      </c>
      <c r="M371">
        <v>7</v>
      </c>
      <c r="N371">
        <v>9</v>
      </c>
      <c r="O371">
        <v>9</v>
      </c>
      <c r="P371">
        <v>9</v>
      </c>
      <c r="Q371">
        <v>9</v>
      </c>
    </row>
    <row r="372" spans="1:17" x14ac:dyDescent="0.45">
      <c r="A372" s="19">
        <v>46034.90902777778</v>
      </c>
      <c r="B372" t="s">
        <v>73</v>
      </c>
      <c r="C372" t="s">
        <v>74</v>
      </c>
      <c r="D372" t="s">
        <v>69</v>
      </c>
      <c r="E372" t="s">
        <v>70</v>
      </c>
      <c r="F372" t="s">
        <v>95</v>
      </c>
      <c r="G372" t="s">
        <v>106</v>
      </c>
      <c r="H372" t="s">
        <v>101</v>
      </c>
      <c r="I372">
        <v>4</v>
      </c>
      <c r="J372">
        <v>4</v>
      </c>
      <c r="K372">
        <v>5</v>
      </c>
      <c r="L372">
        <v>5</v>
      </c>
      <c r="M372">
        <v>5</v>
      </c>
      <c r="N372">
        <v>4</v>
      </c>
      <c r="O372">
        <v>5</v>
      </c>
      <c r="P372">
        <v>6</v>
      </c>
      <c r="Q372">
        <v>5</v>
      </c>
    </row>
    <row r="373" spans="1:17" x14ac:dyDescent="0.45">
      <c r="A373" s="19">
        <v>46034.909722222219</v>
      </c>
      <c r="B373" t="s">
        <v>67</v>
      </c>
      <c r="C373" t="s">
        <v>68</v>
      </c>
      <c r="D373" t="s">
        <v>69</v>
      </c>
      <c r="E373" t="s">
        <v>72</v>
      </c>
      <c r="F373" t="s">
        <v>95</v>
      </c>
      <c r="G373" t="s">
        <v>104</v>
      </c>
      <c r="H373" t="s">
        <v>100</v>
      </c>
      <c r="I373">
        <v>6</v>
      </c>
      <c r="J373">
        <v>6</v>
      </c>
      <c r="K373">
        <v>8</v>
      </c>
      <c r="L373">
        <v>8</v>
      </c>
      <c r="M373">
        <v>6</v>
      </c>
      <c r="N373">
        <v>7</v>
      </c>
      <c r="O373">
        <v>5</v>
      </c>
      <c r="P373">
        <v>6</v>
      </c>
      <c r="Q373">
        <v>6</v>
      </c>
    </row>
    <row r="374" spans="1:17" x14ac:dyDescent="0.45">
      <c r="A374" s="19">
        <v>46034.910416666666</v>
      </c>
      <c r="B374" t="s">
        <v>67</v>
      </c>
      <c r="C374" t="s">
        <v>68</v>
      </c>
      <c r="D374" t="s">
        <v>69</v>
      </c>
      <c r="E374" t="s">
        <v>72</v>
      </c>
      <c r="F374" t="s">
        <v>95</v>
      </c>
      <c r="G374" t="s">
        <v>102</v>
      </c>
      <c r="H374" t="s">
        <v>100</v>
      </c>
      <c r="I374">
        <v>8</v>
      </c>
      <c r="J374">
        <v>8</v>
      </c>
      <c r="K374">
        <v>9</v>
      </c>
      <c r="L374">
        <v>9</v>
      </c>
      <c r="M374">
        <v>5</v>
      </c>
      <c r="N374">
        <v>5</v>
      </c>
      <c r="O374">
        <v>5</v>
      </c>
      <c r="P374">
        <v>6</v>
      </c>
      <c r="Q374">
        <v>5</v>
      </c>
    </row>
    <row r="375" spans="1:17" x14ac:dyDescent="0.45">
      <c r="A375" s="19">
        <v>46034.940972222219</v>
      </c>
      <c r="B375" t="s">
        <v>67</v>
      </c>
      <c r="C375" t="s">
        <v>68</v>
      </c>
      <c r="D375" t="s">
        <v>69</v>
      </c>
      <c r="E375" t="s">
        <v>72</v>
      </c>
      <c r="F375" t="s">
        <v>95</v>
      </c>
      <c r="G375" t="s">
        <v>104</v>
      </c>
      <c r="H375" t="s">
        <v>97</v>
      </c>
      <c r="I375">
        <v>6</v>
      </c>
      <c r="J375">
        <v>6</v>
      </c>
      <c r="K375">
        <v>7</v>
      </c>
      <c r="L375">
        <v>7</v>
      </c>
      <c r="M375">
        <v>6</v>
      </c>
      <c r="N375">
        <v>6</v>
      </c>
      <c r="O375">
        <v>6</v>
      </c>
      <c r="P375">
        <v>6</v>
      </c>
      <c r="Q375">
        <v>6</v>
      </c>
    </row>
    <row r="376" spans="1:17" x14ac:dyDescent="0.45">
      <c r="A376" s="19">
        <v>46034.96875</v>
      </c>
      <c r="B376" t="s">
        <v>67</v>
      </c>
      <c r="C376" t="s">
        <v>68</v>
      </c>
      <c r="D376" t="s">
        <v>69</v>
      </c>
      <c r="E376" t="s">
        <v>72</v>
      </c>
      <c r="F376" t="s">
        <v>95</v>
      </c>
      <c r="G376" t="s">
        <v>106</v>
      </c>
      <c r="H376" t="s">
        <v>97</v>
      </c>
      <c r="I376">
        <v>8</v>
      </c>
      <c r="J376">
        <v>8</v>
      </c>
      <c r="K376">
        <v>8</v>
      </c>
      <c r="L376">
        <v>8</v>
      </c>
      <c r="M376">
        <v>7</v>
      </c>
      <c r="N376">
        <v>6</v>
      </c>
      <c r="O376">
        <v>6</v>
      </c>
      <c r="P376">
        <v>5</v>
      </c>
      <c r="Q376">
        <v>7</v>
      </c>
    </row>
    <row r="377" spans="1:17" x14ac:dyDescent="0.45">
      <c r="A377" s="19">
        <v>46035.28125</v>
      </c>
      <c r="B377" t="s">
        <v>67</v>
      </c>
      <c r="C377" t="s">
        <v>76</v>
      </c>
      <c r="D377" t="s">
        <v>69</v>
      </c>
      <c r="E377" t="s">
        <v>72</v>
      </c>
      <c r="F377" t="s">
        <v>95</v>
      </c>
      <c r="G377" t="s">
        <v>192</v>
      </c>
      <c r="H377" t="s">
        <v>105</v>
      </c>
      <c r="I377">
        <v>6</v>
      </c>
      <c r="J377">
        <v>6</v>
      </c>
      <c r="K377">
        <v>5</v>
      </c>
      <c r="L377">
        <v>7</v>
      </c>
      <c r="M377">
        <v>6</v>
      </c>
      <c r="N377">
        <v>7</v>
      </c>
      <c r="O377">
        <v>5</v>
      </c>
      <c r="P377">
        <v>6</v>
      </c>
      <c r="Q377">
        <v>7</v>
      </c>
    </row>
    <row r="378" spans="1:17" x14ac:dyDescent="0.45">
      <c r="A378" s="19">
        <v>46035.343055555553</v>
      </c>
      <c r="B378" t="s">
        <v>73</v>
      </c>
      <c r="C378" t="s">
        <v>76</v>
      </c>
      <c r="D378" t="s">
        <v>69</v>
      </c>
      <c r="E378" t="s">
        <v>72</v>
      </c>
      <c r="F378" t="s">
        <v>95</v>
      </c>
      <c r="G378" t="s">
        <v>99</v>
      </c>
      <c r="H378" t="s">
        <v>105</v>
      </c>
      <c r="I378">
        <v>7</v>
      </c>
      <c r="J378">
        <v>8</v>
      </c>
      <c r="K378">
        <v>7</v>
      </c>
      <c r="L378">
        <v>7</v>
      </c>
      <c r="M378">
        <v>8</v>
      </c>
      <c r="N378">
        <v>9</v>
      </c>
      <c r="O378">
        <v>7</v>
      </c>
      <c r="P378">
        <v>7</v>
      </c>
      <c r="Q378">
        <v>8</v>
      </c>
    </row>
    <row r="379" spans="1:17" x14ac:dyDescent="0.45">
      <c r="A379" s="19">
        <v>46035.34375</v>
      </c>
      <c r="B379" t="s">
        <v>67</v>
      </c>
      <c r="C379" t="s">
        <v>184</v>
      </c>
      <c r="D379" t="s">
        <v>69</v>
      </c>
      <c r="E379" t="s">
        <v>72</v>
      </c>
      <c r="F379" t="s">
        <v>95</v>
      </c>
      <c r="G379" t="s">
        <v>192</v>
      </c>
      <c r="H379" t="s">
        <v>105</v>
      </c>
      <c r="I379">
        <v>6</v>
      </c>
      <c r="J379">
        <v>7</v>
      </c>
      <c r="K379">
        <v>5</v>
      </c>
      <c r="L379">
        <v>8</v>
      </c>
      <c r="M379">
        <v>7</v>
      </c>
      <c r="N379">
        <v>7</v>
      </c>
      <c r="O379">
        <v>7</v>
      </c>
      <c r="P379">
        <v>7</v>
      </c>
      <c r="Q379">
        <v>8</v>
      </c>
    </row>
    <row r="380" spans="1:17" x14ac:dyDescent="0.45">
      <c r="A380" s="19">
        <v>46035.345138888886</v>
      </c>
      <c r="B380" t="s">
        <v>67</v>
      </c>
      <c r="C380" t="s">
        <v>184</v>
      </c>
      <c r="D380" t="s">
        <v>69</v>
      </c>
      <c r="E380" t="s">
        <v>72</v>
      </c>
      <c r="F380" t="s">
        <v>95</v>
      </c>
      <c r="G380" t="s">
        <v>99</v>
      </c>
      <c r="H380" t="s">
        <v>105</v>
      </c>
      <c r="I380">
        <v>8</v>
      </c>
      <c r="J380">
        <v>8</v>
      </c>
      <c r="K380">
        <v>9</v>
      </c>
      <c r="L380">
        <v>9</v>
      </c>
      <c r="M380">
        <v>7</v>
      </c>
      <c r="N380">
        <v>9</v>
      </c>
      <c r="O380">
        <v>7</v>
      </c>
      <c r="P380">
        <v>7</v>
      </c>
      <c r="Q380">
        <v>9</v>
      </c>
    </row>
    <row r="381" spans="1:17" x14ac:dyDescent="0.45">
      <c r="A381" s="19">
        <v>46035.354861111111</v>
      </c>
      <c r="B381" t="s">
        <v>73</v>
      </c>
      <c r="C381" t="s">
        <v>184</v>
      </c>
      <c r="D381" t="s">
        <v>69</v>
      </c>
      <c r="E381" t="s">
        <v>72</v>
      </c>
      <c r="F381" t="s">
        <v>95</v>
      </c>
      <c r="G381" t="s">
        <v>192</v>
      </c>
      <c r="H381" t="s">
        <v>105</v>
      </c>
      <c r="I381">
        <v>8</v>
      </c>
      <c r="J381">
        <v>8</v>
      </c>
      <c r="K381">
        <v>5</v>
      </c>
      <c r="L381">
        <v>8</v>
      </c>
      <c r="M381">
        <v>6</v>
      </c>
      <c r="N381">
        <v>9</v>
      </c>
      <c r="O381">
        <v>5</v>
      </c>
      <c r="P381">
        <v>7</v>
      </c>
      <c r="Q381">
        <v>8</v>
      </c>
    </row>
    <row r="382" spans="1:17" x14ac:dyDescent="0.45">
      <c r="A382" s="19">
        <v>46035.370138888888</v>
      </c>
      <c r="B382" t="s">
        <v>73</v>
      </c>
      <c r="C382" t="s">
        <v>184</v>
      </c>
      <c r="D382" t="s">
        <v>69</v>
      </c>
      <c r="E382" t="s">
        <v>186</v>
      </c>
      <c r="F382" t="s">
        <v>95</v>
      </c>
      <c r="G382" t="s">
        <v>99</v>
      </c>
      <c r="H382" t="s">
        <v>105</v>
      </c>
      <c r="I382">
        <v>9</v>
      </c>
      <c r="J382">
        <v>9</v>
      </c>
      <c r="K382">
        <v>8</v>
      </c>
      <c r="L382">
        <v>9</v>
      </c>
      <c r="M382">
        <v>8</v>
      </c>
      <c r="N382">
        <v>10</v>
      </c>
      <c r="O382">
        <v>8</v>
      </c>
      <c r="P382">
        <v>8</v>
      </c>
      <c r="Q382">
        <v>10</v>
      </c>
    </row>
    <row r="383" spans="1:17" x14ac:dyDescent="0.45">
      <c r="A383" s="19">
        <v>46035.370833333334</v>
      </c>
      <c r="B383" t="s">
        <v>67</v>
      </c>
      <c r="C383" t="s">
        <v>184</v>
      </c>
      <c r="D383" t="s">
        <v>69</v>
      </c>
      <c r="E383" t="s">
        <v>72</v>
      </c>
      <c r="F383" t="s">
        <v>95</v>
      </c>
      <c r="G383" t="s">
        <v>192</v>
      </c>
      <c r="H383" t="s">
        <v>97</v>
      </c>
      <c r="I383">
        <v>5</v>
      </c>
      <c r="J383">
        <v>5</v>
      </c>
      <c r="K383">
        <v>4</v>
      </c>
      <c r="L383">
        <v>8</v>
      </c>
      <c r="M383">
        <v>4</v>
      </c>
      <c r="N383">
        <v>8</v>
      </c>
      <c r="O383">
        <v>4</v>
      </c>
      <c r="P383">
        <v>5</v>
      </c>
      <c r="Q383">
        <v>7</v>
      </c>
    </row>
    <row r="384" spans="1:17" x14ac:dyDescent="0.45">
      <c r="A384" s="19">
        <v>46035.371527777781</v>
      </c>
      <c r="B384" t="s">
        <v>73</v>
      </c>
      <c r="C384" t="s">
        <v>187</v>
      </c>
      <c r="D384" t="s">
        <v>69</v>
      </c>
      <c r="E384" t="s">
        <v>70</v>
      </c>
      <c r="F384" t="s">
        <v>95</v>
      </c>
      <c r="G384" t="s">
        <v>102</v>
      </c>
      <c r="H384" t="s">
        <v>100</v>
      </c>
      <c r="I384">
        <v>1</v>
      </c>
      <c r="J384">
        <v>1</v>
      </c>
      <c r="K384">
        <v>4</v>
      </c>
      <c r="L384">
        <v>5</v>
      </c>
      <c r="M384">
        <v>5</v>
      </c>
      <c r="N384">
        <v>4</v>
      </c>
      <c r="O384">
        <v>4</v>
      </c>
      <c r="P384">
        <v>5</v>
      </c>
      <c r="Q384">
        <v>3</v>
      </c>
    </row>
    <row r="385" spans="1:17" x14ac:dyDescent="0.45">
      <c r="A385" s="19">
        <v>46035.388888888891</v>
      </c>
      <c r="B385" t="s">
        <v>73</v>
      </c>
      <c r="C385" t="s">
        <v>184</v>
      </c>
      <c r="D385" t="s">
        <v>69</v>
      </c>
      <c r="E385" t="s">
        <v>72</v>
      </c>
      <c r="F385" t="s">
        <v>95</v>
      </c>
      <c r="G385" t="s">
        <v>190</v>
      </c>
      <c r="H385" t="s">
        <v>105</v>
      </c>
      <c r="I385">
        <v>7</v>
      </c>
      <c r="J385">
        <v>7</v>
      </c>
      <c r="K385">
        <v>7</v>
      </c>
      <c r="L385">
        <v>9</v>
      </c>
      <c r="M385">
        <v>8</v>
      </c>
      <c r="N385">
        <v>10</v>
      </c>
      <c r="O385">
        <v>8</v>
      </c>
      <c r="P385">
        <v>7</v>
      </c>
      <c r="Q385">
        <v>10</v>
      </c>
    </row>
    <row r="386" spans="1:17" x14ac:dyDescent="0.45">
      <c r="A386" s="19">
        <v>46035.40625</v>
      </c>
      <c r="B386" t="s">
        <v>73</v>
      </c>
      <c r="C386" t="s">
        <v>74</v>
      </c>
      <c r="D386" t="s">
        <v>69</v>
      </c>
      <c r="E386" t="s">
        <v>72</v>
      </c>
      <c r="F386" t="s">
        <v>95</v>
      </c>
      <c r="G386" t="s">
        <v>104</v>
      </c>
      <c r="H386" t="s">
        <v>100</v>
      </c>
      <c r="I386">
        <v>3</v>
      </c>
      <c r="J386">
        <v>3</v>
      </c>
      <c r="K386">
        <v>4</v>
      </c>
      <c r="L386">
        <v>6</v>
      </c>
      <c r="M386">
        <v>4</v>
      </c>
      <c r="N386">
        <v>5</v>
      </c>
      <c r="O386">
        <v>4</v>
      </c>
      <c r="P386">
        <v>5</v>
      </c>
      <c r="Q386">
        <v>5</v>
      </c>
    </row>
    <row r="387" spans="1:17" x14ac:dyDescent="0.45">
      <c r="A387" s="19">
        <v>46035.406944444447</v>
      </c>
      <c r="B387" t="s">
        <v>67</v>
      </c>
      <c r="C387" t="s">
        <v>76</v>
      </c>
      <c r="D387" t="s">
        <v>69</v>
      </c>
      <c r="E387" t="s">
        <v>70</v>
      </c>
      <c r="F387" t="s">
        <v>95</v>
      </c>
      <c r="G387" t="s">
        <v>96</v>
      </c>
      <c r="H387" t="s">
        <v>105</v>
      </c>
      <c r="I387">
        <v>8</v>
      </c>
      <c r="J387">
        <v>8</v>
      </c>
      <c r="K387">
        <v>9</v>
      </c>
      <c r="L387">
        <v>8</v>
      </c>
      <c r="M387">
        <v>7</v>
      </c>
      <c r="N387">
        <v>8</v>
      </c>
      <c r="O387">
        <v>7</v>
      </c>
      <c r="P387">
        <v>7</v>
      </c>
      <c r="Q387">
        <v>8</v>
      </c>
    </row>
    <row r="388" spans="1:17" x14ac:dyDescent="0.45">
      <c r="A388" s="19">
        <v>46035.431250000001</v>
      </c>
      <c r="B388" t="s">
        <v>73</v>
      </c>
      <c r="C388" t="s">
        <v>68</v>
      </c>
      <c r="D388" t="s">
        <v>69</v>
      </c>
      <c r="E388" t="s">
        <v>72</v>
      </c>
      <c r="F388" t="s">
        <v>95</v>
      </c>
      <c r="G388" t="s">
        <v>106</v>
      </c>
      <c r="H388" t="s">
        <v>100</v>
      </c>
      <c r="I388">
        <v>5</v>
      </c>
      <c r="J388">
        <v>5</v>
      </c>
      <c r="K388">
        <v>5</v>
      </c>
      <c r="L388">
        <v>5</v>
      </c>
      <c r="M388">
        <v>5</v>
      </c>
      <c r="N388">
        <v>5</v>
      </c>
      <c r="O388">
        <v>5</v>
      </c>
      <c r="P388">
        <v>5</v>
      </c>
      <c r="Q388">
        <v>5</v>
      </c>
    </row>
    <row r="389" spans="1:17" x14ac:dyDescent="0.45">
      <c r="A389" s="19">
        <v>46035.459722222222</v>
      </c>
      <c r="B389" t="s">
        <v>73</v>
      </c>
      <c r="C389" t="s">
        <v>184</v>
      </c>
      <c r="D389" t="s">
        <v>69</v>
      </c>
      <c r="E389" t="s">
        <v>72</v>
      </c>
      <c r="F389" t="s">
        <v>95</v>
      </c>
      <c r="G389" t="s">
        <v>99</v>
      </c>
      <c r="H389" t="s">
        <v>105</v>
      </c>
      <c r="I389">
        <v>7</v>
      </c>
      <c r="J389">
        <v>7</v>
      </c>
      <c r="K389">
        <v>5</v>
      </c>
      <c r="L389">
        <v>8</v>
      </c>
      <c r="M389">
        <v>6</v>
      </c>
      <c r="N389">
        <v>8</v>
      </c>
      <c r="O389">
        <v>5</v>
      </c>
      <c r="P389">
        <v>5</v>
      </c>
      <c r="Q389">
        <v>8</v>
      </c>
    </row>
    <row r="390" spans="1:17" x14ac:dyDescent="0.45">
      <c r="A390" s="19">
        <v>46035.465277777781</v>
      </c>
      <c r="B390" t="s">
        <v>73</v>
      </c>
      <c r="C390" t="s">
        <v>76</v>
      </c>
      <c r="D390" t="s">
        <v>69</v>
      </c>
      <c r="E390" t="s">
        <v>72</v>
      </c>
      <c r="F390" t="s">
        <v>95</v>
      </c>
      <c r="G390" t="s">
        <v>192</v>
      </c>
      <c r="H390" t="s">
        <v>105</v>
      </c>
      <c r="I390">
        <v>6</v>
      </c>
      <c r="J390">
        <v>8</v>
      </c>
      <c r="K390">
        <v>7</v>
      </c>
      <c r="L390">
        <v>8</v>
      </c>
      <c r="M390">
        <v>6</v>
      </c>
      <c r="N390">
        <v>8</v>
      </c>
      <c r="O390">
        <v>5</v>
      </c>
      <c r="P390">
        <v>5</v>
      </c>
      <c r="Q390">
        <v>8</v>
      </c>
    </row>
    <row r="391" spans="1:17" x14ac:dyDescent="0.45">
      <c r="A391" s="19">
        <v>46035.46597222222</v>
      </c>
      <c r="B391" t="s">
        <v>67</v>
      </c>
      <c r="C391" t="s">
        <v>74</v>
      </c>
      <c r="D391" t="s">
        <v>69</v>
      </c>
      <c r="E391" t="s">
        <v>70</v>
      </c>
      <c r="F391" t="s">
        <v>95</v>
      </c>
      <c r="G391" t="s">
        <v>104</v>
      </c>
      <c r="H391" t="s">
        <v>101</v>
      </c>
      <c r="I391">
        <v>10</v>
      </c>
      <c r="J391">
        <v>10</v>
      </c>
      <c r="K391">
        <v>5</v>
      </c>
      <c r="L391">
        <v>9</v>
      </c>
      <c r="M391">
        <v>7</v>
      </c>
      <c r="N391">
        <v>8</v>
      </c>
      <c r="O391">
        <v>5</v>
      </c>
      <c r="P391">
        <v>5</v>
      </c>
      <c r="Q391">
        <v>8</v>
      </c>
    </row>
    <row r="392" spans="1:17" x14ac:dyDescent="0.45">
      <c r="A392" s="19">
        <v>46035.466666666667</v>
      </c>
      <c r="B392" t="s">
        <v>73</v>
      </c>
      <c r="C392" t="s">
        <v>76</v>
      </c>
      <c r="D392" t="s">
        <v>69</v>
      </c>
      <c r="E392" t="s">
        <v>72</v>
      </c>
      <c r="F392" t="s">
        <v>95</v>
      </c>
      <c r="G392" t="s">
        <v>99</v>
      </c>
      <c r="H392" t="s">
        <v>105</v>
      </c>
      <c r="I392">
        <v>4</v>
      </c>
      <c r="J392">
        <v>5</v>
      </c>
      <c r="K392">
        <v>7</v>
      </c>
      <c r="L392">
        <v>7</v>
      </c>
      <c r="M392">
        <v>5</v>
      </c>
      <c r="N392">
        <v>7</v>
      </c>
      <c r="O392">
        <v>5</v>
      </c>
      <c r="P392">
        <v>5</v>
      </c>
      <c r="Q392">
        <v>7</v>
      </c>
    </row>
    <row r="393" spans="1:17" x14ac:dyDescent="0.45">
      <c r="A393" s="19">
        <v>46035.467361111114</v>
      </c>
      <c r="B393" t="s">
        <v>67</v>
      </c>
      <c r="C393" t="s">
        <v>189</v>
      </c>
      <c r="D393" t="s">
        <v>69</v>
      </c>
      <c r="E393" t="s">
        <v>70</v>
      </c>
      <c r="F393" t="s">
        <v>95</v>
      </c>
      <c r="G393" t="s">
        <v>103</v>
      </c>
      <c r="H393" t="s">
        <v>191</v>
      </c>
      <c r="I393">
        <v>2</v>
      </c>
      <c r="J393">
        <v>3</v>
      </c>
      <c r="K393">
        <v>3</v>
      </c>
      <c r="L393">
        <v>6</v>
      </c>
      <c r="M393">
        <v>5</v>
      </c>
      <c r="N393">
        <v>5</v>
      </c>
      <c r="O393">
        <v>5</v>
      </c>
      <c r="P393">
        <v>5</v>
      </c>
      <c r="Q393">
        <v>5</v>
      </c>
    </row>
    <row r="394" spans="1:17" x14ac:dyDescent="0.45">
      <c r="A394" s="19">
        <v>46035.468055555553</v>
      </c>
      <c r="B394" t="s">
        <v>67</v>
      </c>
      <c r="C394" t="s">
        <v>68</v>
      </c>
      <c r="D394" t="s">
        <v>69</v>
      </c>
      <c r="E394" t="s">
        <v>72</v>
      </c>
      <c r="F394" t="s">
        <v>95</v>
      </c>
      <c r="G394" t="s">
        <v>96</v>
      </c>
      <c r="H394" t="s">
        <v>100</v>
      </c>
      <c r="I394">
        <v>7</v>
      </c>
      <c r="J394">
        <v>7</v>
      </c>
      <c r="K394">
        <v>5</v>
      </c>
      <c r="L394">
        <v>8</v>
      </c>
      <c r="M394">
        <v>7</v>
      </c>
      <c r="N394">
        <v>7</v>
      </c>
      <c r="O394">
        <v>5</v>
      </c>
      <c r="P394">
        <v>6</v>
      </c>
      <c r="Q394">
        <v>7</v>
      </c>
    </row>
    <row r="395" spans="1:17" x14ac:dyDescent="0.45">
      <c r="A395" s="19">
        <v>46035.476388888892</v>
      </c>
      <c r="B395" t="s">
        <v>73</v>
      </c>
      <c r="C395" t="s">
        <v>76</v>
      </c>
      <c r="D395" t="s">
        <v>69</v>
      </c>
      <c r="E395" t="s">
        <v>72</v>
      </c>
      <c r="F395" t="s">
        <v>95</v>
      </c>
      <c r="G395" t="s">
        <v>190</v>
      </c>
      <c r="H395" t="s">
        <v>97</v>
      </c>
      <c r="I395">
        <v>9</v>
      </c>
      <c r="J395">
        <v>9</v>
      </c>
      <c r="K395">
        <v>9</v>
      </c>
      <c r="L395">
        <v>7</v>
      </c>
      <c r="M395">
        <v>8</v>
      </c>
      <c r="N395">
        <v>6</v>
      </c>
      <c r="O395">
        <v>8</v>
      </c>
      <c r="P395">
        <v>10</v>
      </c>
      <c r="Q395">
        <v>10</v>
      </c>
    </row>
    <row r="396" spans="1:17" x14ac:dyDescent="0.45">
      <c r="A396" s="19">
        <v>46035.526388888888</v>
      </c>
      <c r="B396" t="s">
        <v>73</v>
      </c>
      <c r="C396" t="s">
        <v>187</v>
      </c>
      <c r="D396" t="s">
        <v>69</v>
      </c>
      <c r="E396" t="s">
        <v>72</v>
      </c>
      <c r="F396" t="s">
        <v>95</v>
      </c>
      <c r="G396" t="s">
        <v>104</v>
      </c>
      <c r="H396" t="s">
        <v>97</v>
      </c>
      <c r="I396">
        <v>7</v>
      </c>
      <c r="J396">
        <v>7</v>
      </c>
      <c r="K396">
        <v>5</v>
      </c>
      <c r="L396">
        <v>7</v>
      </c>
      <c r="M396">
        <v>5</v>
      </c>
      <c r="N396">
        <v>6</v>
      </c>
      <c r="O396">
        <v>5</v>
      </c>
      <c r="P396">
        <v>6</v>
      </c>
      <c r="Q396">
        <v>6</v>
      </c>
    </row>
    <row r="397" spans="1:17" x14ac:dyDescent="0.45">
      <c r="A397" s="19">
        <v>46035.527083333334</v>
      </c>
      <c r="B397" t="s">
        <v>67</v>
      </c>
      <c r="C397" t="s">
        <v>68</v>
      </c>
      <c r="D397" t="s">
        <v>69</v>
      </c>
      <c r="E397" t="s">
        <v>186</v>
      </c>
      <c r="F397" t="s">
        <v>95</v>
      </c>
      <c r="G397" t="s">
        <v>96</v>
      </c>
      <c r="H397" t="s">
        <v>97</v>
      </c>
      <c r="I397">
        <v>2</v>
      </c>
      <c r="J397">
        <v>2</v>
      </c>
      <c r="K397">
        <v>4</v>
      </c>
      <c r="L397">
        <v>5</v>
      </c>
      <c r="M397">
        <v>5</v>
      </c>
      <c r="N397">
        <v>3</v>
      </c>
      <c r="O397">
        <v>5</v>
      </c>
      <c r="P397">
        <v>5</v>
      </c>
      <c r="Q397">
        <v>5</v>
      </c>
    </row>
    <row r="398" spans="1:17" x14ac:dyDescent="0.45">
      <c r="A398" s="19">
        <v>46035.527777777781</v>
      </c>
      <c r="B398" t="s">
        <v>67</v>
      </c>
      <c r="C398" t="s">
        <v>76</v>
      </c>
      <c r="D398" t="s">
        <v>69</v>
      </c>
      <c r="E398" t="s">
        <v>72</v>
      </c>
      <c r="F398" t="s">
        <v>95</v>
      </c>
      <c r="G398" t="s">
        <v>96</v>
      </c>
      <c r="H398" t="s">
        <v>105</v>
      </c>
      <c r="I398">
        <v>8</v>
      </c>
      <c r="J398">
        <v>8</v>
      </c>
      <c r="K398">
        <v>7</v>
      </c>
      <c r="L398">
        <v>7</v>
      </c>
      <c r="M398">
        <v>7</v>
      </c>
      <c r="N398">
        <v>8</v>
      </c>
      <c r="O398">
        <v>7</v>
      </c>
      <c r="P398">
        <v>8</v>
      </c>
      <c r="Q398">
        <v>8</v>
      </c>
    </row>
    <row r="399" spans="1:17" x14ac:dyDescent="0.45">
      <c r="A399" s="19">
        <v>46035.527777777781</v>
      </c>
      <c r="B399" t="s">
        <v>67</v>
      </c>
      <c r="C399" t="s">
        <v>184</v>
      </c>
      <c r="D399" t="s">
        <v>69</v>
      </c>
      <c r="E399" t="s">
        <v>72</v>
      </c>
      <c r="F399" t="s">
        <v>95</v>
      </c>
      <c r="G399" t="s">
        <v>190</v>
      </c>
      <c r="H399" t="s">
        <v>105</v>
      </c>
      <c r="I399">
        <v>9</v>
      </c>
      <c r="J399">
        <v>9</v>
      </c>
      <c r="K399">
        <v>8</v>
      </c>
      <c r="L399">
        <v>9</v>
      </c>
      <c r="M399">
        <v>7</v>
      </c>
      <c r="N399">
        <v>9</v>
      </c>
      <c r="O399">
        <v>8</v>
      </c>
      <c r="P399">
        <v>8</v>
      </c>
      <c r="Q399">
        <v>8</v>
      </c>
    </row>
    <row r="400" spans="1:17" x14ac:dyDescent="0.45">
      <c r="A400" s="19">
        <v>46035.52847222222</v>
      </c>
      <c r="B400" t="s">
        <v>67</v>
      </c>
      <c r="C400" t="s">
        <v>76</v>
      </c>
      <c r="D400" t="s">
        <v>69</v>
      </c>
      <c r="E400" t="s">
        <v>70</v>
      </c>
      <c r="F400" t="s">
        <v>95</v>
      </c>
      <c r="G400" t="s">
        <v>96</v>
      </c>
      <c r="H400" t="s">
        <v>105</v>
      </c>
      <c r="I400">
        <v>7</v>
      </c>
      <c r="J400">
        <v>7</v>
      </c>
      <c r="K400">
        <v>5</v>
      </c>
      <c r="L400">
        <v>8</v>
      </c>
      <c r="M400">
        <v>7</v>
      </c>
      <c r="N400">
        <v>8</v>
      </c>
      <c r="O400">
        <v>6</v>
      </c>
      <c r="P400">
        <v>6</v>
      </c>
      <c r="Q400">
        <v>8</v>
      </c>
    </row>
    <row r="401" spans="1:17" x14ac:dyDescent="0.45">
      <c r="A401" s="19">
        <v>46035.529166666667</v>
      </c>
      <c r="B401" t="s">
        <v>67</v>
      </c>
      <c r="C401" t="s">
        <v>74</v>
      </c>
      <c r="D401" t="s">
        <v>69</v>
      </c>
      <c r="E401" t="s">
        <v>72</v>
      </c>
      <c r="F401" t="s">
        <v>95</v>
      </c>
      <c r="G401" t="s">
        <v>104</v>
      </c>
      <c r="H401" t="s">
        <v>101</v>
      </c>
      <c r="I401">
        <v>8</v>
      </c>
      <c r="J401">
        <v>9</v>
      </c>
      <c r="K401">
        <v>8</v>
      </c>
      <c r="L401">
        <v>8</v>
      </c>
      <c r="M401">
        <v>7</v>
      </c>
      <c r="N401">
        <v>7</v>
      </c>
      <c r="O401">
        <v>7</v>
      </c>
      <c r="P401">
        <v>7</v>
      </c>
      <c r="Q401">
        <v>8</v>
      </c>
    </row>
    <row r="402" spans="1:17" x14ac:dyDescent="0.45">
      <c r="A402" s="19">
        <v>46035.529166666667</v>
      </c>
      <c r="B402" t="s">
        <v>67</v>
      </c>
      <c r="C402" t="s">
        <v>76</v>
      </c>
      <c r="D402" t="s">
        <v>75</v>
      </c>
      <c r="E402" t="s">
        <v>72</v>
      </c>
      <c r="F402" t="s">
        <v>95</v>
      </c>
      <c r="G402" t="s">
        <v>99</v>
      </c>
      <c r="H402" t="s">
        <v>105</v>
      </c>
      <c r="I402">
        <v>4</v>
      </c>
      <c r="J402">
        <v>4</v>
      </c>
      <c r="K402">
        <v>3</v>
      </c>
      <c r="L402">
        <v>5</v>
      </c>
      <c r="M402">
        <v>5</v>
      </c>
      <c r="N402">
        <v>2</v>
      </c>
      <c r="O402">
        <v>2</v>
      </c>
      <c r="P402">
        <v>5</v>
      </c>
      <c r="Q402">
        <v>2</v>
      </c>
    </row>
    <row r="403" spans="1:17" x14ac:dyDescent="0.45">
      <c r="A403" s="19">
        <v>46035.532638888886</v>
      </c>
      <c r="B403" t="s">
        <v>73</v>
      </c>
      <c r="C403" t="s">
        <v>189</v>
      </c>
      <c r="D403" t="s">
        <v>69</v>
      </c>
      <c r="E403" t="s">
        <v>70</v>
      </c>
      <c r="F403" t="s">
        <v>95</v>
      </c>
      <c r="G403" t="s">
        <v>103</v>
      </c>
      <c r="H403" t="s">
        <v>191</v>
      </c>
      <c r="I403">
        <v>7</v>
      </c>
      <c r="J403">
        <v>7</v>
      </c>
      <c r="K403">
        <v>4</v>
      </c>
      <c r="L403">
        <v>6</v>
      </c>
      <c r="M403">
        <v>5</v>
      </c>
      <c r="N403">
        <v>4</v>
      </c>
      <c r="O403">
        <v>5</v>
      </c>
      <c r="P403">
        <v>5</v>
      </c>
      <c r="Q403">
        <v>5</v>
      </c>
    </row>
    <row r="404" spans="1:17" x14ac:dyDescent="0.45">
      <c r="A404" s="19">
        <v>46035.53402777778</v>
      </c>
      <c r="B404" t="s">
        <v>67</v>
      </c>
      <c r="C404" t="s">
        <v>76</v>
      </c>
      <c r="D404" t="s">
        <v>69</v>
      </c>
      <c r="E404" t="s">
        <v>72</v>
      </c>
      <c r="F404" t="s">
        <v>95</v>
      </c>
      <c r="G404" t="s">
        <v>96</v>
      </c>
      <c r="H404" t="s">
        <v>105</v>
      </c>
      <c r="I404">
        <v>7</v>
      </c>
      <c r="J404">
        <v>7</v>
      </c>
      <c r="K404">
        <v>7</v>
      </c>
      <c r="L404">
        <v>7</v>
      </c>
      <c r="M404">
        <v>7</v>
      </c>
      <c r="N404">
        <v>7</v>
      </c>
      <c r="O404">
        <v>7</v>
      </c>
      <c r="P404">
        <v>7</v>
      </c>
      <c r="Q404">
        <v>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E10F7-2B84-40C6-9388-EA08AD4F398E}">
  <sheetPr filterMode="1"/>
  <dimension ref="A1:BI409"/>
  <sheetViews>
    <sheetView topLeftCell="AP1" workbookViewId="0">
      <selection activeCell="BH1" sqref="BH1"/>
    </sheetView>
  </sheetViews>
  <sheetFormatPr defaultRowHeight="14.25" x14ac:dyDescent="0.45"/>
  <cols>
    <col min="7" max="8" width="0" hidden="1" customWidth="1"/>
    <col min="12" max="12" width="25" customWidth="1"/>
  </cols>
  <sheetData>
    <row r="1" spans="1:61" s="23" customFormat="1" x14ac:dyDescent="0.45">
      <c r="A1" s="17" t="s">
        <v>32</v>
      </c>
      <c r="B1" s="18" t="s">
        <v>194</v>
      </c>
      <c r="C1" s="18" t="s">
        <v>107</v>
      </c>
      <c r="D1" s="18" t="s">
        <v>108</v>
      </c>
      <c r="E1" s="18" t="s">
        <v>109</v>
      </c>
      <c r="F1" s="18" t="s">
        <v>110</v>
      </c>
      <c r="G1" s="18" t="s">
        <v>111</v>
      </c>
      <c r="H1" s="18" t="s">
        <v>112</v>
      </c>
      <c r="I1" s="18" t="s">
        <v>113</v>
      </c>
      <c r="J1" s="18" t="s">
        <v>114</v>
      </c>
      <c r="K1" s="18" t="s">
        <v>115</v>
      </c>
      <c r="L1" s="18" t="s">
        <v>116</v>
      </c>
      <c r="M1" s="18" t="s">
        <v>117</v>
      </c>
      <c r="N1" s="18" t="s">
        <v>118</v>
      </c>
      <c r="O1" s="18" t="s">
        <v>119</v>
      </c>
      <c r="P1" s="18" t="s">
        <v>120</v>
      </c>
      <c r="Q1" s="21" t="s">
        <v>40</v>
      </c>
      <c r="R1" s="21" t="s">
        <v>122</v>
      </c>
      <c r="S1" s="21" t="s">
        <v>121</v>
      </c>
      <c r="T1" s="21" t="s">
        <v>123</v>
      </c>
      <c r="U1" s="18" t="s">
        <v>124</v>
      </c>
      <c r="V1" s="22" t="s">
        <v>43</v>
      </c>
      <c r="W1" s="22" t="s">
        <v>125</v>
      </c>
      <c r="X1" s="22" t="s">
        <v>126</v>
      </c>
      <c r="Y1" s="22" t="s">
        <v>127</v>
      </c>
      <c r="Z1" s="20" t="s">
        <v>128</v>
      </c>
      <c r="AA1" s="21" t="s">
        <v>46</v>
      </c>
      <c r="AB1" s="21" t="s">
        <v>129</v>
      </c>
      <c r="AC1" s="21" t="s">
        <v>130</v>
      </c>
      <c r="AD1" s="21" t="s">
        <v>131</v>
      </c>
      <c r="AE1" s="18" t="s">
        <v>132</v>
      </c>
      <c r="AF1" s="22" t="s">
        <v>49</v>
      </c>
      <c r="AG1" s="22" t="s">
        <v>133</v>
      </c>
      <c r="AH1" s="22" t="s">
        <v>134</v>
      </c>
      <c r="AI1" s="22" t="s">
        <v>135</v>
      </c>
      <c r="AJ1" s="22" t="s">
        <v>136</v>
      </c>
      <c r="AK1" s="21" t="s">
        <v>52</v>
      </c>
      <c r="AL1" s="21" t="s">
        <v>137</v>
      </c>
      <c r="AM1" s="21" t="s">
        <v>138</v>
      </c>
      <c r="AN1" s="21" t="s">
        <v>139</v>
      </c>
      <c r="AO1" s="21" t="s">
        <v>140</v>
      </c>
      <c r="AP1" s="22" t="s">
        <v>55</v>
      </c>
      <c r="AQ1" s="22" t="s">
        <v>141</v>
      </c>
      <c r="AR1" s="22" t="s">
        <v>142</v>
      </c>
      <c r="AS1" s="22" t="s">
        <v>143</v>
      </c>
      <c r="AT1" s="22" t="s">
        <v>144</v>
      </c>
      <c r="AU1" s="21" t="s">
        <v>58</v>
      </c>
      <c r="AV1" s="21" t="s">
        <v>145</v>
      </c>
      <c r="AW1" s="21" t="s">
        <v>146</v>
      </c>
      <c r="AX1" s="21" t="s">
        <v>147</v>
      </c>
      <c r="AY1" s="21" t="s">
        <v>148</v>
      </c>
      <c r="AZ1" s="22" t="s">
        <v>61</v>
      </c>
      <c r="BA1" s="22" t="s">
        <v>149</v>
      </c>
      <c r="BB1" s="22" t="s">
        <v>150</v>
      </c>
      <c r="BC1" s="22" t="s">
        <v>151</v>
      </c>
      <c r="BD1" s="22" t="s">
        <v>152</v>
      </c>
      <c r="BE1" s="21" t="s">
        <v>64</v>
      </c>
      <c r="BF1" s="21" t="s">
        <v>153</v>
      </c>
      <c r="BG1" s="21" t="s">
        <v>154</v>
      </c>
      <c r="BH1" s="21" t="s">
        <v>155</v>
      </c>
      <c r="BI1" s="21" t="s">
        <v>156</v>
      </c>
    </row>
    <row r="2" spans="1:61" hidden="1" x14ac:dyDescent="0.45">
      <c r="A2" s="29">
        <f>step3_validation[[#This Row],[Persona_ID]]</f>
        <v>1</v>
      </c>
      <c r="B2" s="30">
        <f>step3_validation[[#This Row],[Used_Seed]]</f>
        <v>42</v>
      </c>
      <c r="C2" t="str">
        <f>step3_validation[[#This Row],[Gender]]</f>
        <v>Nữ</v>
      </c>
      <c r="D2" t="str">
        <f>survey_responses[[#This Row],[Giới tính của bạn:]]</f>
        <v>Nữ</v>
      </c>
      <c r="E2" t="str">
        <f>step3_validation[[#This Row],[Age_Group]]</f>
        <v>25 - 29</v>
      </c>
      <c r="F2" t="str">
        <f>survey_responses[[#This Row],[Độ tuổi của bạn:]]</f>
        <v>25 - 29</v>
      </c>
      <c r="G2" t="str">
        <f>step3_validation[[#This Row],[Region]]</f>
        <v>Thành thị</v>
      </c>
      <c r="H2" t="str">
        <f>survey_responses[[#This Row],[Khu vực bạn đang sinh sống:]]</f>
        <v>Thành thị</v>
      </c>
      <c r="I2" t="str">
        <f>step3_validation[[#This Row],[Education]]</f>
        <v>Đại học</v>
      </c>
      <c r="J2" t="str">
        <f>survey_responses[[#This Row],[Trình độ học vấn cao nhất:]]</f>
        <v>Đại học</v>
      </c>
      <c r="K2" t="str">
        <f>step3_validation[[#This Row],[Employment]]</f>
        <v>Chính thức</v>
      </c>
      <c r="L2" t="str">
        <f>survey_responses[[#This Row],[Tình trạng việc làm chính:]]</f>
        <v>Khu vực chính thức (Có Hợp đồng lao động, đóng BHXH)</v>
      </c>
      <c r="M2">
        <f>step3_validation[[#This Row],[Income_Mil]]</f>
        <v>15.708500157795985</v>
      </c>
      <c r="N2" t="str">
        <f>survey_responses[[#This Row],[Thu nhập bình quân tháng theo Hợp đồng lao động của bạn là bao nhiêu? (Vui lòng điền tổng thu nhập trước khi khấu trừ các loại Bảo hiểm (BHXH, BHYT, BHTN) và Thuế TNCN)]]</f>
        <v>Từ 12 - 18 triệu VNĐ</v>
      </c>
      <c r="O2">
        <f>step3_validation[[#This Row],[Dependents]]</f>
        <v>1</v>
      </c>
      <c r="P2" t="str">
        <f>survey_responses[[#This Row],[Số người phụ thuộc (con nhỏ, cha mẹ già...) đủ điều kiện giảm trừ gia cảnh:]]</f>
        <v>1 người</v>
      </c>
      <c r="Q2">
        <f>step3_validation[[#This Row],[AI_ENF1]]</f>
        <v>7</v>
      </c>
      <c r="R2" t="str">
        <f>IF(AND(Q2&gt;=1,Q2&lt;5),"Oppose",IF(AND(Q2&gt;=5,Q2&lt;8),"Neutral",IF(AND(Q2&gt;=8,Q2&lt;=10),"Support","")))</f>
        <v>Neutral</v>
      </c>
      <c r="S2">
        <f>survey_responses[[#This Row],[Tôi tin rằng với các quy định quản lý thuế hiện nay, hành vi gian lận hoặc trốn thuế sẽ dễ dàng bị phát hiện và xử lý nghiêm. - HUMAN-ENF1]]</f>
        <v>10</v>
      </c>
      <c r="T2" t="str">
        <f>IF(AND(S2&gt;=1,S2&lt;5),"Oppose",IF(AND(S2&gt;=5,S2&lt;8),"Neutral",IF(AND(S2&gt;=8,S2&lt;=10),"Support","")))</f>
        <v>Support</v>
      </c>
      <c r="U2" s="31">
        <f>ABS(S2-Q2)</f>
        <v>3</v>
      </c>
      <c r="V2">
        <f>step3_validation[[#This Row],[AI_ENF2]]</f>
        <v>8</v>
      </c>
      <c r="W2" t="str">
        <f>IF(AND(V2&gt;=1,V2&lt;5),"Oppose",IF(AND(V2&gt;=5,V2&lt;8),"Neutral",IF(AND(V2&gt;=8,V2&lt;=10),"Support","")))</f>
        <v>Support</v>
      </c>
      <c r="X2">
        <f>survey_responses[[#This Row],[Tôi tin rằng Nhà nước, cơ quan thuế có đủ khả năng và công nghệ để phát hiện, xử lý nghiêm các hành vi trốn thuế. - HUMAN-ENF2]]</f>
        <v>8</v>
      </c>
      <c r="Y2" t="str">
        <f>IF(AND(X2&gt;=1,X2&lt;5),"Oppose",IF(AND(X2&gt;=5,X2&lt;8),"Neutral",IF(AND(X2&gt;=8,X2&lt;=10),"Support","")))</f>
        <v>Support</v>
      </c>
      <c r="Z2" s="31">
        <f>ABS(X2-V2)</f>
        <v>0</v>
      </c>
      <c r="AA2">
        <f>step3_validation[[#This Row],[AI_FAC1]]</f>
        <v>9</v>
      </c>
      <c r="AB2" t="str">
        <f>IF(AND(AA2&gt;=1,AA2&lt;5),"Oppose",IF(AND(AA2&gt;=5,AA2&lt;8),"Neutral",IF(AND(AA2&gt;=8,AA2&lt;=10),"Support","")))</f>
        <v>Support</v>
      </c>
      <c r="AC2">
        <f>survey_responses[[#This Row],[Các thủ tục khai báo thuế VÀ/HOẶC quy trình làm việc với cơ quan thuế đơn giản, tiện lợi, nhanh chóng hơn so với trước đây. - HUMAN-FAC1]]</f>
        <v>5</v>
      </c>
      <c r="AD2" t="str">
        <f>IF(AND(AC2&gt;=1,AC2&lt;5),"Oppose",IF(AND(AC2&gt;=5,AC2&lt;8),"Neutral",IF(AND(AC2&gt;=8,AC2&lt;=10),"Support","")))</f>
        <v>Neutral</v>
      </c>
      <c r="AE2" s="31">
        <f>ABS(AC2-AA2)</f>
        <v>4</v>
      </c>
      <c r="AF2">
        <f>step3_validation[[#This Row],[AI_FAC2]]</f>
        <v>9</v>
      </c>
      <c r="AG2" t="str">
        <f>IF(AND(AF2&gt;=1,AF2&lt;5),"Oppose",IF(AND(AF2&gt;=5,AF2&lt;8),"Neutral",IF(AND(AF2&gt;=8,AF2&lt;=10),"Support","")))</f>
        <v>Support</v>
      </c>
      <c r="AH2">
        <f>survey_responses[[#This Row],[So với trước đây, tôi thấy cách tính thuế và các bậc thuế trong phương án mới đơn giản, dễ hiểu và dễ thực hiện hơn. - HUMAN-FAC2]]</f>
        <v>5</v>
      </c>
      <c r="AI2" t="str">
        <f>IF(AND(AH2&gt;=1,AH2&lt;5),"Oppose",IF(AND(AH2&gt;=5,AH2&lt;8),"Neutral",IF(AND(AH2&gt;=8,AH2&lt;=10),"Support","")))</f>
        <v>Neutral</v>
      </c>
      <c r="AJ2" s="31">
        <f>ABS(AH2-AF2)</f>
        <v>4</v>
      </c>
      <c r="AK2">
        <f>step3_validation[[#This Row],[AI_TRU1]]</f>
        <v>8</v>
      </c>
      <c r="AL2" t="str">
        <f>IF(AND(AK2&gt;=1,AK2&lt;5),"Oppose",IF(AND(AK2&gt;=5,AK2&lt;8),"Neutral",IF(AND(AK2&gt;=8,AK2&lt;=10),"Support","")))</f>
        <v>Support</v>
      </c>
      <c r="AM2">
        <f>survey_responses[[#This Row],[Tôi tin rằng Nhà nước, cơ quan thuế sẽ thực thi chính sách mới một cách khách quan, công tâm và đối xử bình đẳng với mọi người nộp thuế.  - HUMAN-TRU1]]</f>
        <v>10</v>
      </c>
      <c r="AN2" t="str">
        <f>IF(AND(AM2&gt;=1,AM2&lt;5),"Oppose",IF(AND(AM2&gt;=5,AM2&lt;8),"Neutral",IF(AND(AM2&gt;=8,AM2&lt;=10),"Support","")))</f>
        <v>Support</v>
      </c>
      <c r="AO2" s="31">
        <f>ABS(AM2-AK2)</f>
        <v>2</v>
      </c>
      <c r="AP2">
        <f>step3_validation[[#This Row],[AI_TRU2]]</f>
        <v>9</v>
      </c>
      <c r="AQ2" t="str">
        <f>IF(AND(AP2&gt;=1,AP2&lt;5),"Oppose",IF(AND(AP2&gt;=5,AP2&lt;8),"Neutral",IF(AND(AP2&gt;=8,AP2&lt;=10),"Support","")))</f>
        <v>Support</v>
      </c>
      <c r="AR2">
        <f>survey_responses[[#This Row],[Tôi thấy mức thuế tôi phải đóng theo phương án mới là công bằng (người thu nhập như tôi đóng mức này là hợp lý). - HUMAN-TRU2]]</f>
        <v>10</v>
      </c>
      <c r="AS2" t="str">
        <f>IF(AND(AR2&gt;=1,AR2&lt;5),"Oppose",IF(AND(AR2&gt;=5,AR2&lt;8),"Neutral",IF(AND(AR2&gt;=8,AR2&lt;=10),"Support","")))</f>
        <v>Support</v>
      </c>
      <c r="AT2" s="31">
        <f>ABS(AR2-AP2)</f>
        <v>1</v>
      </c>
      <c r="AU2">
        <f>step3_validation[[#This Row],[AI_TRU3]]</f>
        <v>8</v>
      </c>
      <c r="AV2" t="str">
        <f>IF(AND(AU2&gt;=1,AU2&lt;5),"Oppose",IF(AND(AU2&gt;=5,AU2&lt;8),"Neutral",IF(AND(AU2&gt;=8,AU2&lt;=10),"Support","")))</f>
        <v>Support</v>
      </c>
      <c r="AW2">
        <f>survey_responses[[#This Row],[Tôi tin tưởng số tiền thuế tôi đóng sẽ được Nhà nước sử dụng hiệu quả để cải thiện dịch vụ công (y tế, đường xá...). - HUMAN-TRU3]]</f>
        <v>10</v>
      </c>
      <c r="AX2" t="str">
        <f>IF(AND(AW2&gt;=1,AW2&lt;5),"Oppose",IF(AND(AW2&gt;=5,AW2&lt;8),"Neutral",IF(AND(AW2&gt;=8,AW2&lt;=10),"Support","")))</f>
        <v>Support</v>
      </c>
      <c r="AY2" s="31">
        <f>ABS(AW2-AU2)</f>
        <v>2</v>
      </c>
      <c r="AZ2">
        <f>step3_validation[[#This Row],[AI_TRU4]]</f>
        <v>7</v>
      </c>
      <c r="BA2" t="str">
        <f>IF(AND(AZ2&gt;=1,AZ2&lt;5),"Oppose",IF(AND(AZ2&gt;=5,AZ2&lt;8),"Neutral",IF(AND(AZ2&gt;=8,AZ2&lt;=10),"Support","")))</f>
        <v>Neutral</v>
      </c>
      <c r="BB2">
        <f>survey_responses[[#This Row],[Tôi thấy Nhà nước đã giải thích rõ ràng, minh bạch về lý do và mục tiêu của việc sửa đổi thuế lần này. - HUMAN-TRU4]]</f>
        <v>10</v>
      </c>
      <c r="BC2" t="str">
        <f>IF(AND(BB2&gt;=1,BB2&lt;5),"Oppose",IF(AND(BB2&gt;=5,BB2&lt;8),"Neutral",IF(AND(BB2&gt;=8,BB2&lt;=10),"Support","")))</f>
        <v>Support</v>
      </c>
      <c r="BD2" s="31">
        <f>ABS(BB2-AZ2)</f>
        <v>3</v>
      </c>
      <c r="BE2">
        <f>step3_validation[[#This Row],[AI_OUT1]]</f>
        <v>9</v>
      </c>
      <c r="BF2" t="str">
        <f>IF(AND(BE2&gt;=1,BE2&lt;5),"Oppose",IF(AND(BE2&gt;=5,BE2&lt;8),"Neutral",IF(AND(BE2&gt;=8,BE2&lt;=10),"Support","")))</f>
        <v>Support</v>
      </c>
      <c r="BG2">
        <f>survey_responses[[#This Row],[Sau khi xem xét các quyền lợi và nghĩa vụ, bạn có ủng hộ và tuân thủ chính sách mới hiện nay? - HUMAN-OUT1]]</f>
        <v>10</v>
      </c>
      <c r="BH2" t="str">
        <f>IF(AND(BG2&gt;=1,BG2&lt;5),"Oppose",IF(AND(BG2&gt;=5,BG2&lt;8),"Neutral",IF(AND(BG2&gt;=8,BG2&lt;=10),"Support","")))</f>
        <v>Support</v>
      </c>
      <c r="BI2" s="31">
        <f>ABS(BG2-BE2)</f>
        <v>1</v>
      </c>
    </row>
    <row r="3" spans="1:61" hidden="1" x14ac:dyDescent="0.45">
      <c r="A3" s="29">
        <f>step3_validation[[#This Row],[Persona_ID]]</f>
        <v>2</v>
      </c>
      <c r="B3" s="30">
        <f>step3_validation[[#This Row],[Used_Seed]]</f>
        <v>43</v>
      </c>
      <c r="C3" t="str">
        <f>step3_validation[[#This Row],[Gender]]</f>
        <v>Nữ</v>
      </c>
      <c r="D3" t="str">
        <f>survey_responses[[#This Row],[Giới tính của bạn:]]</f>
        <v>Nữ</v>
      </c>
      <c r="E3" t="str">
        <f>step3_validation[[#This Row],[Age_Group]]</f>
        <v>25 - 29</v>
      </c>
      <c r="F3" t="str">
        <f>survey_responses[[#This Row],[Độ tuổi của bạn:]]</f>
        <v>25 - 29</v>
      </c>
      <c r="G3" t="str">
        <f>step3_validation[[#This Row],[Region]]</f>
        <v>Thành thị</v>
      </c>
      <c r="H3" t="str">
        <f>survey_responses[[#This Row],[Khu vực bạn đang sinh sống:]]</f>
        <v>Thành thị</v>
      </c>
      <c r="I3" t="str">
        <f>step3_validation[[#This Row],[Education]]</f>
        <v>Đại học</v>
      </c>
      <c r="J3" t="str">
        <f>survey_responses[[#This Row],[Trình độ học vấn cao nhất:]]</f>
        <v>Đại học</v>
      </c>
      <c r="K3" t="str">
        <f>step3_validation[[#This Row],[Employment]]</f>
        <v>Chính thức</v>
      </c>
      <c r="L3" t="str">
        <f>survey_responses[[#This Row],[Tình trạng việc làm chính:]]</f>
        <v>Khu vực chính thức (Có Hợp đồng lao động, đóng BHXH)</v>
      </c>
      <c r="M3">
        <f>step3_validation[[#This Row],[Income_Mil]]</f>
        <v>15.684853202480896</v>
      </c>
      <c r="N3" t="str">
        <f>survey_responses[[#This Row],[Thu nhập bình quân tháng theo Hợp đồng lao động của bạn là bao nhiêu? (Vui lòng điền tổng thu nhập trước khi khấu trừ các loại Bảo hiểm (BHXH, BHYT, BHTN) và Thuế TNCN)]]</f>
        <v>Từ 12 - 18 triệu VNĐ</v>
      </c>
      <c r="O3">
        <f>step3_validation[[#This Row],[Dependents]]</f>
        <v>0</v>
      </c>
      <c r="P3" t="str">
        <f>survey_responses[[#This Row],[Số người phụ thuộc (con nhỏ, cha mẹ già...) đủ điều kiện giảm trừ gia cảnh:]]</f>
        <v>0 người</v>
      </c>
      <c r="Q3">
        <f>step3_validation[[#This Row],[AI_ENF1]]</f>
        <v>7</v>
      </c>
      <c r="R3" t="str">
        <f t="shared" ref="R3:R66" si="0">IF(AND(Q3&gt;=1,Q3&lt;5),"Oppose",IF(AND(Q3&gt;=5,Q3&lt;8),"Neutral",IF(AND(Q3&gt;=8,Q3&lt;=10),"Support","")))</f>
        <v>Neutral</v>
      </c>
      <c r="S3">
        <f>survey_responses[[#This Row],[Tôi tin rằng với các quy định quản lý thuế hiện nay, hành vi gian lận hoặc trốn thuế sẽ dễ dàng bị phát hiện và xử lý nghiêm. - HUMAN-ENF1]]</f>
        <v>8</v>
      </c>
      <c r="T3" t="str">
        <f t="shared" ref="T3:T66" si="1">IF(AND(S3&gt;=1,S3&lt;5),"Oppose",IF(AND(S3&gt;=5,S3&lt;8),"Neutral",IF(AND(S3&gt;=8,S3&lt;=10),"Support","")))</f>
        <v>Support</v>
      </c>
      <c r="U3" s="31">
        <f t="shared" ref="U3:U66" si="2">ABS(S3-Q3)</f>
        <v>1</v>
      </c>
      <c r="V3">
        <f>step3_validation[[#This Row],[AI_ENF2]]</f>
        <v>6</v>
      </c>
      <c r="W3" t="str">
        <f t="shared" ref="W3:W66" si="3">IF(AND(V3&gt;=1,V3&lt;5),"Oppose",IF(AND(V3&gt;=5,V3&lt;8),"Neutral",IF(AND(V3&gt;=8,V3&lt;=10),"Support","")))</f>
        <v>Neutral</v>
      </c>
      <c r="X3">
        <f>survey_responses[[#This Row],[Tôi tin rằng Nhà nước, cơ quan thuế có đủ khả năng và công nghệ để phát hiện, xử lý nghiêm các hành vi trốn thuế. - HUMAN-ENF2]]</f>
        <v>8</v>
      </c>
      <c r="Y3" t="str">
        <f t="shared" ref="Y3:Y66" si="4">IF(AND(X3&gt;=1,X3&lt;5),"Oppose",IF(AND(X3&gt;=5,X3&lt;8),"Neutral",IF(AND(X3&gt;=8,X3&lt;=10),"Support","")))</f>
        <v>Support</v>
      </c>
      <c r="Z3" s="31">
        <f t="shared" ref="Z3:Z66" si="5">ABS(X3-V3)</f>
        <v>2</v>
      </c>
      <c r="AA3">
        <f>step3_validation[[#This Row],[AI_FAC1]]</f>
        <v>8</v>
      </c>
      <c r="AB3" t="str">
        <f t="shared" ref="AB3:AB66" si="6">IF(AND(AA3&gt;=1,AA3&lt;5),"Oppose",IF(AND(AA3&gt;=5,AA3&lt;8),"Neutral",IF(AND(AA3&gt;=8,AA3&lt;=10),"Support","")))</f>
        <v>Support</v>
      </c>
      <c r="AC3">
        <f>survey_responses[[#This Row],[Các thủ tục khai báo thuế VÀ/HOẶC quy trình làm việc với cơ quan thuế đơn giản, tiện lợi, nhanh chóng hơn so với trước đây. - HUMAN-FAC1]]</f>
        <v>6</v>
      </c>
      <c r="AD3" t="str">
        <f t="shared" ref="AD3:AD66" si="7">IF(AND(AC3&gt;=1,AC3&lt;5),"Oppose",IF(AND(AC3&gt;=5,AC3&lt;8),"Neutral",IF(AND(AC3&gt;=8,AC3&lt;=10),"Support","")))</f>
        <v>Neutral</v>
      </c>
      <c r="AE3" s="31">
        <f t="shared" ref="AE3:AE66" si="8">ABS(AC3-AA3)</f>
        <v>2</v>
      </c>
      <c r="AF3">
        <f>step3_validation[[#This Row],[AI_FAC2]]</f>
        <v>9</v>
      </c>
      <c r="AG3" t="str">
        <f t="shared" ref="AG3:AG66" si="9">IF(AND(AF3&gt;=1,AF3&lt;5),"Oppose",IF(AND(AF3&gt;=5,AF3&lt;8),"Neutral",IF(AND(AF3&gt;=8,AF3&lt;=10),"Support","")))</f>
        <v>Support</v>
      </c>
      <c r="AH3">
        <f>survey_responses[[#This Row],[So với trước đây, tôi thấy cách tính thuế và các bậc thuế trong phương án mới đơn giản, dễ hiểu và dễ thực hiện hơn. - HUMAN-FAC2]]</f>
        <v>9</v>
      </c>
      <c r="AI3" t="str">
        <f t="shared" ref="AI3:AI66" si="10">IF(AND(AH3&gt;=1,AH3&lt;5),"Oppose",IF(AND(AH3&gt;=5,AH3&lt;8),"Neutral",IF(AND(AH3&gt;=8,AH3&lt;=10),"Support","")))</f>
        <v>Support</v>
      </c>
      <c r="AJ3" s="31">
        <f t="shared" ref="AJ3:AJ66" si="11">ABS(AH3-AF3)</f>
        <v>0</v>
      </c>
      <c r="AK3">
        <f>step3_validation[[#This Row],[AI_TRU1]]</f>
        <v>7</v>
      </c>
      <c r="AL3" t="str">
        <f t="shared" ref="AL3:AL66" si="12">IF(AND(AK3&gt;=1,AK3&lt;5),"Oppose",IF(AND(AK3&gt;=5,AK3&lt;8),"Neutral",IF(AND(AK3&gt;=8,AK3&lt;=10),"Support","")))</f>
        <v>Neutral</v>
      </c>
      <c r="AM3">
        <f>survey_responses[[#This Row],[Tôi tin rằng Nhà nước, cơ quan thuế sẽ thực thi chính sách mới một cách khách quan, công tâm và đối xử bình đẳng với mọi người nộp thuế.  - HUMAN-TRU1]]</f>
        <v>10</v>
      </c>
      <c r="AN3" t="str">
        <f t="shared" ref="AN3:AN66" si="13">IF(AND(AM3&gt;=1,AM3&lt;5),"Oppose",IF(AND(AM3&gt;=5,AM3&lt;8),"Neutral",IF(AND(AM3&gt;=8,AM3&lt;=10),"Support","")))</f>
        <v>Support</v>
      </c>
      <c r="AO3" s="31">
        <f t="shared" ref="AO3:AO66" si="14">ABS(AM3-AK3)</f>
        <v>3</v>
      </c>
      <c r="AP3">
        <f>step3_validation[[#This Row],[AI_TRU2]]</f>
        <v>9</v>
      </c>
      <c r="AQ3" t="str">
        <f t="shared" ref="AQ3:AQ66" si="15">IF(AND(AP3&gt;=1,AP3&lt;5),"Oppose",IF(AND(AP3&gt;=5,AP3&lt;8),"Neutral",IF(AND(AP3&gt;=8,AP3&lt;=10),"Support","")))</f>
        <v>Support</v>
      </c>
      <c r="AR3">
        <f>survey_responses[[#This Row],[Tôi thấy mức thuế tôi phải đóng theo phương án mới là công bằng (người thu nhập như tôi đóng mức này là hợp lý). - HUMAN-TRU2]]</f>
        <v>9</v>
      </c>
      <c r="AS3" t="str">
        <f t="shared" ref="AS3:AS66" si="16">IF(AND(AR3&gt;=1,AR3&lt;5),"Oppose",IF(AND(AR3&gt;=5,AR3&lt;8),"Neutral",IF(AND(AR3&gt;=8,AR3&lt;=10),"Support","")))</f>
        <v>Support</v>
      </c>
      <c r="AT3" s="31">
        <f t="shared" ref="AT3:AT66" si="17">ABS(AR3-AP3)</f>
        <v>0</v>
      </c>
      <c r="AU3">
        <f>step3_validation[[#This Row],[AI_TRU3]]</f>
        <v>8</v>
      </c>
      <c r="AV3" t="str">
        <f t="shared" ref="AV3:AV66" si="18">IF(AND(AU3&gt;=1,AU3&lt;5),"Oppose",IF(AND(AU3&gt;=5,AU3&lt;8),"Neutral",IF(AND(AU3&gt;=8,AU3&lt;=10),"Support","")))</f>
        <v>Support</v>
      </c>
      <c r="AW3">
        <f>survey_responses[[#This Row],[Tôi tin tưởng số tiền thuế tôi đóng sẽ được Nhà nước sử dụng hiệu quả để cải thiện dịch vụ công (y tế, đường xá...). - HUMAN-TRU3]]</f>
        <v>8</v>
      </c>
      <c r="AX3" t="str">
        <f t="shared" ref="AX3:AX66" si="19">IF(AND(AW3&gt;=1,AW3&lt;5),"Oppose",IF(AND(AW3&gt;=5,AW3&lt;8),"Neutral",IF(AND(AW3&gt;=8,AW3&lt;=10),"Support","")))</f>
        <v>Support</v>
      </c>
      <c r="AY3" s="31">
        <f t="shared" ref="AY3:AY66" si="20">ABS(AW3-AU3)</f>
        <v>0</v>
      </c>
      <c r="AZ3">
        <f>step3_validation[[#This Row],[AI_TRU4]]</f>
        <v>7</v>
      </c>
      <c r="BA3" t="str">
        <f t="shared" ref="BA3:BA66" si="21">IF(AND(AZ3&gt;=1,AZ3&lt;5),"Oppose",IF(AND(AZ3&gt;=5,AZ3&lt;8),"Neutral",IF(AND(AZ3&gt;=8,AZ3&lt;=10),"Support","")))</f>
        <v>Neutral</v>
      </c>
      <c r="BB3">
        <f>survey_responses[[#This Row],[Tôi thấy Nhà nước đã giải thích rõ ràng, minh bạch về lý do và mục tiêu của việc sửa đổi thuế lần này. - HUMAN-TRU4]]</f>
        <v>9</v>
      </c>
      <c r="BC3" t="str">
        <f t="shared" ref="BC3:BC66" si="22">IF(AND(BB3&gt;=1,BB3&lt;5),"Oppose",IF(AND(BB3&gt;=5,BB3&lt;8),"Neutral",IF(AND(BB3&gt;=8,BB3&lt;=10),"Support","")))</f>
        <v>Support</v>
      </c>
      <c r="BD3" s="31">
        <f t="shared" ref="BD3:BD66" si="23">ABS(BB3-AZ3)</f>
        <v>2</v>
      </c>
      <c r="BE3">
        <f>step3_validation[[#This Row],[AI_OUT1]]</f>
        <v>8</v>
      </c>
      <c r="BF3" t="str">
        <f t="shared" ref="BF3:BF66" si="24">IF(AND(BE3&gt;=1,BE3&lt;5),"Oppose",IF(AND(BE3&gt;=5,BE3&lt;8),"Neutral",IF(AND(BE3&gt;=8,BE3&lt;=10),"Support","")))</f>
        <v>Support</v>
      </c>
      <c r="BG3">
        <f>survey_responses[[#This Row],[Sau khi xem xét các quyền lợi và nghĩa vụ, bạn có ủng hộ và tuân thủ chính sách mới hiện nay? - HUMAN-OUT1]]</f>
        <v>10</v>
      </c>
      <c r="BH3" t="str">
        <f t="shared" ref="BH3:BH66" si="25">IF(AND(BG3&gt;=1,BG3&lt;5),"Oppose",IF(AND(BG3&gt;=5,BG3&lt;8),"Neutral",IF(AND(BG3&gt;=8,BG3&lt;=10),"Support","")))</f>
        <v>Support</v>
      </c>
      <c r="BI3" s="31">
        <f t="shared" ref="BI3:BI66" si="26">ABS(BG3-BE3)</f>
        <v>2</v>
      </c>
    </row>
    <row r="4" spans="1:61" hidden="1" x14ac:dyDescent="0.45">
      <c r="A4" s="29">
        <f>step3_validation[[#This Row],[Persona_ID]]</f>
        <v>3</v>
      </c>
      <c r="B4" s="30">
        <f>step3_validation[[#This Row],[Used_Seed]]</f>
        <v>44</v>
      </c>
      <c r="C4" t="str">
        <f>step3_validation[[#This Row],[Gender]]</f>
        <v>Nam</v>
      </c>
      <c r="D4" t="str">
        <f>survey_responses[[#This Row],[Giới tính của bạn:]]</f>
        <v>Nam</v>
      </c>
      <c r="E4" t="str">
        <f>step3_validation[[#This Row],[Age_Group]]</f>
        <v>40 - 49</v>
      </c>
      <c r="F4" t="str">
        <f>survey_responses[[#This Row],[Độ tuổi của bạn:]]</f>
        <v>40 - 49</v>
      </c>
      <c r="G4" t="str">
        <f>step3_validation[[#This Row],[Region]]</f>
        <v>Thành thị</v>
      </c>
      <c r="H4" t="str">
        <f>survey_responses[[#This Row],[Khu vực bạn đang sinh sống:]]</f>
        <v>Thành thị</v>
      </c>
      <c r="I4" t="str">
        <f>step3_validation[[#This Row],[Education]]</f>
        <v>Sau Đại học</v>
      </c>
      <c r="J4" t="str">
        <f>survey_responses[[#This Row],[Trình độ học vấn cao nhất:]]</f>
        <v>Sau Đại học</v>
      </c>
      <c r="K4" t="str">
        <f>step3_validation[[#This Row],[Employment]]</f>
        <v>Chính thức</v>
      </c>
      <c r="L4" t="str">
        <f>survey_responses[[#This Row],[Tình trạng việc làm chính:]]</f>
        <v>Khu vực chính thức (Có Hợp đồng lao động, đóng BHXH)</v>
      </c>
      <c r="M4">
        <f>step3_validation[[#This Row],[Income_Mil]]</f>
        <v>61.974847384930733</v>
      </c>
      <c r="N4" t="str">
        <f>survey_responses[[#This Row],[Thu nhập bình quân tháng theo Hợp đồng lao động của bạn là bao nhiêu? (Vui lòng điền tổng thu nhập trước khi khấu trừ các loại Bảo hiểm (BHXH, BHYT, BHTN) và Thuế TNCN)]]</f>
        <v>Từ 48 - 70 triệu VNĐ</v>
      </c>
      <c r="O4">
        <f>step3_validation[[#This Row],[Dependents]]</f>
        <v>3</v>
      </c>
      <c r="P4" t="str">
        <f>survey_responses[[#This Row],[Số người phụ thuộc (con nhỏ, cha mẹ già...) đủ điều kiện giảm trừ gia cảnh:]]</f>
        <v>3 người</v>
      </c>
      <c r="Q4">
        <f>step3_validation[[#This Row],[AI_ENF1]]</f>
        <v>7</v>
      </c>
      <c r="R4" t="str">
        <f t="shared" si="0"/>
        <v>Neutral</v>
      </c>
      <c r="S4">
        <f>survey_responses[[#This Row],[Tôi tin rằng với các quy định quản lý thuế hiện nay, hành vi gian lận hoặc trốn thuế sẽ dễ dàng bị phát hiện và xử lý nghiêm. - HUMAN-ENF1]]</f>
        <v>6</v>
      </c>
      <c r="T4" t="str">
        <f t="shared" si="1"/>
        <v>Neutral</v>
      </c>
      <c r="U4" s="31">
        <f t="shared" si="2"/>
        <v>1</v>
      </c>
      <c r="V4">
        <f>step3_validation[[#This Row],[AI_ENF2]]</f>
        <v>8</v>
      </c>
      <c r="W4" t="str">
        <f t="shared" si="3"/>
        <v>Support</v>
      </c>
      <c r="X4">
        <f>survey_responses[[#This Row],[Tôi tin rằng Nhà nước, cơ quan thuế có đủ khả năng và công nghệ để phát hiện, xử lý nghiêm các hành vi trốn thuế. - HUMAN-ENF2]]</f>
        <v>5</v>
      </c>
      <c r="Y4" t="str">
        <f t="shared" si="4"/>
        <v>Neutral</v>
      </c>
      <c r="Z4" s="31">
        <f t="shared" si="5"/>
        <v>3</v>
      </c>
      <c r="AA4">
        <f>step3_validation[[#This Row],[AI_FAC1]]</f>
        <v>9</v>
      </c>
      <c r="AB4" t="str">
        <f t="shared" si="6"/>
        <v>Support</v>
      </c>
      <c r="AC4">
        <f>survey_responses[[#This Row],[Các thủ tục khai báo thuế VÀ/HOẶC quy trình làm việc với cơ quan thuế đơn giản, tiện lợi, nhanh chóng hơn so với trước đây. - HUMAN-FAC1]]</f>
        <v>4</v>
      </c>
      <c r="AD4" t="str">
        <f t="shared" si="7"/>
        <v>Oppose</v>
      </c>
      <c r="AE4" s="31">
        <f t="shared" si="8"/>
        <v>5</v>
      </c>
      <c r="AF4">
        <f>step3_validation[[#This Row],[AI_FAC2]]</f>
        <v>9</v>
      </c>
      <c r="AG4" t="str">
        <f t="shared" si="9"/>
        <v>Support</v>
      </c>
      <c r="AH4">
        <f>survey_responses[[#This Row],[So với trước đây, tôi thấy cách tính thuế và các bậc thuế trong phương án mới đơn giản, dễ hiểu và dễ thực hiện hơn. - HUMAN-FAC2]]</f>
        <v>5</v>
      </c>
      <c r="AI4" t="str">
        <f t="shared" si="10"/>
        <v>Neutral</v>
      </c>
      <c r="AJ4" s="31">
        <f t="shared" si="11"/>
        <v>4</v>
      </c>
      <c r="AK4">
        <f>step3_validation[[#This Row],[AI_TRU1]]</f>
        <v>8</v>
      </c>
      <c r="AL4" t="str">
        <f t="shared" si="12"/>
        <v>Support</v>
      </c>
      <c r="AM4">
        <f>survey_responses[[#This Row],[Tôi tin rằng Nhà nước, cơ quan thuế sẽ thực thi chính sách mới một cách khách quan, công tâm và đối xử bình đẳng với mọi người nộp thuế.  - HUMAN-TRU1]]</f>
        <v>4</v>
      </c>
      <c r="AN4" t="str">
        <f t="shared" si="13"/>
        <v>Oppose</v>
      </c>
      <c r="AO4" s="31">
        <f t="shared" si="14"/>
        <v>4</v>
      </c>
      <c r="AP4">
        <f>step3_validation[[#This Row],[AI_TRU2]]</f>
        <v>9</v>
      </c>
      <c r="AQ4" t="str">
        <f t="shared" si="15"/>
        <v>Support</v>
      </c>
      <c r="AR4">
        <f>survey_responses[[#This Row],[Tôi thấy mức thuế tôi phải đóng theo phương án mới là công bằng (người thu nhập như tôi đóng mức này là hợp lý). - HUMAN-TRU2]]</f>
        <v>4</v>
      </c>
      <c r="AS4" t="str">
        <f t="shared" si="16"/>
        <v>Oppose</v>
      </c>
      <c r="AT4" s="31">
        <f t="shared" si="17"/>
        <v>5</v>
      </c>
      <c r="AU4">
        <f>step3_validation[[#This Row],[AI_TRU3]]</f>
        <v>7</v>
      </c>
      <c r="AV4" t="str">
        <f t="shared" si="18"/>
        <v>Neutral</v>
      </c>
      <c r="AW4">
        <f>survey_responses[[#This Row],[Tôi tin tưởng số tiền thuế tôi đóng sẽ được Nhà nước sử dụng hiệu quả để cải thiện dịch vụ công (y tế, đường xá...). - HUMAN-TRU3]]</f>
        <v>4</v>
      </c>
      <c r="AX4" t="str">
        <f t="shared" si="19"/>
        <v>Oppose</v>
      </c>
      <c r="AY4" s="31">
        <f t="shared" si="20"/>
        <v>3</v>
      </c>
      <c r="AZ4">
        <f>step3_validation[[#This Row],[AI_TRU4]]</f>
        <v>6</v>
      </c>
      <c r="BA4" t="str">
        <f t="shared" si="21"/>
        <v>Neutral</v>
      </c>
      <c r="BB4">
        <f>survey_responses[[#This Row],[Tôi thấy Nhà nước đã giải thích rõ ràng, minh bạch về lý do và mục tiêu của việc sửa đổi thuế lần này. - HUMAN-TRU4]]</f>
        <v>10</v>
      </c>
      <c r="BC4" t="str">
        <f t="shared" si="22"/>
        <v>Support</v>
      </c>
      <c r="BD4" s="31">
        <f t="shared" si="23"/>
        <v>4</v>
      </c>
      <c r="BE4">
        <f>step3_validation[[#This Row],[AI_OUT1]]</f>
        <v>9</v>
      </c>
      <c r="BF4" t="str">
        <f t="shared" si="24"/>
        <v>Support</v>
      </c>
      <c r="BG4">
        <f>survey_responses[[#This Row],[Sau khi xem xét các quyền lợi và nghĩa vụ, bạn có ủng hộ và tuân thủ chính sách mới hiện nay? - HUMAN-OUT1]]</f>
        <v>4</v>
      </c>
      <c r="BH4" t="str">
        <f t="shared" si="25"/>
        <v>Oppose</v>
      </c>
      <c r="BI4" s="31">
        <f t="shared" si="26"/>
        <v>5</v>
      </c>
    </row>
    <row r="5" spans="1:61" x14ac:dyDescent="0.45">
      <c r="A5" s="29">
        <f>step3_validation[[#This Row],[Persona_ID]]</f>
        <v>4</v>
      </c>
      <c r="B5" s="30">
        <f>step3_validation[[#This Row],[Used_Seed]]</f>
        <v>45</v>
      </c>
      <c r="C5" t="str">
        <f>step3_validation[[#This Row],[Gender]]</f>
        <v>Nữ</v>
      </c>
      <c r="D5" t="str">
        <f>survey_responses[[#This Row],[Giới tính của bạn:]]</f>
        <v>Nữ</v>
      </c>
      <c r="E5" t="str">
        <f>step3_validation[[#This Row],[Age_Group]]</f>
        <v>18 - 24</v>
      </c>
      <c r="F5" t="str">
        <f>survey_responses[[#This Row],[Độ tuổi của bạn:]]</f>
        <v>18 - 24</v>
      </c>
      <c r="G5" t="str">
        <f>step3_validation[[#This Row],[Region]]</f>
        <v>Thành thị</v>
      </c>
      <c r="H5" t="str">
        <f>survey_responses[[#This Row],[Khu vực bạn đang sinh sống:]]</f>
        <v>Thành thị</v>
      </c>
      <c r="I5" t="str">
        <f>step3_validation[[#This Row],[Education]]</f>
        <v>Đại học</v>
      </c>
      <c r="J5" t="str">
        <f>survey_responses[[#This Row],[Trình độ học vấn cao nhất:]]</f>
        <v>Đại học</v>
      </c>
      <c r="K5" t="str">
        <f>step3_validation[[#This Row],[Employment]]</f>
        <v>Chính thức</v>
      </c>
      <c r="L5" t="str">
        <f>survey_responses[[#This Row],[Tình trạng việc làm chính:]]</f>
        <v>Khu vực chính thức (Có Hợp đồng lao động, đóng BHXH)</v>
      </c>
      <c r="M5">
        <f>step3_validation[[#This Row],[Income_Mil]]</f>
        <v>12</v>
      </c>
      <c r="N5" t="str">
        <f>survey_responses[[#This Row],[Thu nhập bình quân tháng theo Hợp đồng lao động của bạn là bao nhiêu? (Vui lòng điền tổng thu nhập trước khi khấu trừ các loại Bảo hiểm (BHXH, BHYT, BHTN) và Thuế TNCN)]]</f>
        <v>Dưới 12 triệu VNĐ</v>
      </c>
      <c r="O5">
        <f>step3_validation[[#This Row],[Dependents]]</f>
        <v>0</v>
      </c>
      <c r="P5" t="str">
        <f>survey_responses[[#This Row],[Số người phụ thuộc (con nhỏ, cha mẹ già...) đủ điều kiện giảm trừ gia cảnh:]]</f>
        <v>0 người</v>
      </c>
      <c r="Q5">
        <f>step3_validation[[#This Row],[AI_ENF1]]</f>
        <v>7</v>
      </c>
      <c r="R5" t="str">
        <f t="shared" si="0"/>
        <v>Neutral</v>
      </c>
      <c r="S5">
        <f>survey_responses[[#This Row],[Tôi tin rằng với các quy định quản lý thuế hiện nay, hành vi gian lận hoặc trốn thuế sẽ dễ dàng bị phát hiện và xử lý nghiêm. - HUMAN-ENF1]]</f>
        <v>10</v>
      </c>
      <c r="T5" t="str">
        <f t="shared" si="1"/>
        <v>Support</v>
      </c>
      <c r="U5" s="31">
        <f t="shared" si="2"/>
        <v>3</v>
      </c>
      <c r="V5">
        <f>step3_validation[[#This Row],[AI_ENF2]]</f>
        <v>6</v>
      </c>
      <c r="W5" t="str">
        <f t="shared" si="3"/>
        <v>Neutral</v>
      </c>
      <c r="X5">
        <f>survey_responses[[#This Row],[Tôi tin rằng Nhà nước, cơ quan thuế có đủ khả năng và công nghệ để phát hiện, xử lý nghiêm các hành vi trốn thuế. - HUMAN-ENF2]]</f>
        <v>10</v>
      </c>
      <c r="Y5" t="str">
        <f t="shared" si="4"/>
        <v>Support</v>
      </c>
      <c r="Z5" s="31">
        <f t="shared" si="5"/>
        <v>4</v>
      </c>
      <c r="AA5">
        <f>step3_validation[[#This Row],[AI_FAC1]]</f>
        <v>5</v>
      </c>
      <c r="AB5" t="str">
        <f t="shared" si="6"/>
        <v>Neutral</v>
      </c>
      <c r="AC5">
        <f>survey_responses[[#This Row],[Các thủ tục khai báo thuế VÀ/HOẶC quy trình làm việc với cơ quan thuế đơn giản, tiện lợi, nhanh chóng hơn so với trước đây. - HUMAN-FAC1]]</f>
        <v>8</v>
      </c>
      <c r="AD5" t="str">
        <f t="shared" si="7"/>
        <v>Support</v>
      </c>
      <c r="AE5" s="31">
        <f t="shared" si="8"/>
        <v>3</v>
      </c>
      <c r="AF5">
        <f>step3_validation[[#This Row],[AI_FAC2]]</f>
        <v>8</v>
      </c>
      <c r="AG5" t="str">
        <f t="shared" si="9"/>
        <v>Support</v>
      </c>
      <c r="AH5">
        <f>survey_responses[[#This Row],[So với trước đây, tôi thấy cách tính thuế và các bậc thuế trong phương án mới đơn giản, dễ hiểu và dễ thực hiện hơn. - HUMAN-FAC2]]</f>
        <v>9</v>
      </c>
      <c r="AI5" t="str">
        <f t="shared" si="10"/>
        <v>Support</v>
      </c>
      <c r="AJ5" s="31">
        <f t="shared" si="11"/>
        <v>1</v>
      </c>
      <c r="AK5">
        <f>step3_validation[[#This Row],[AI_TRU1]]</f>
        <v>7</v>
      </c>
      <c r="AL5" t="str">
        <f t="shared" si="12"/>
        <v>Neutral</v>
      </c>
      <c r="AM5">
        <f>survey_responses[[#This Row],[Tôi tin rằng Nhà nước, cơ quan thuế sẽ thực thi chính sách mới một cách khách quan, công tâm và đối xử bình đẳng với mọi người nộp thuế.  - HUMAN-TRU1]]</f>
        <v>9</v>
      </c>
      <c r="AN5" t="str">
        <f t="shared" si="13"/>
        <v>Support</v>
      </c>
      <c r="AO5" s="31">
        <f t="shared" si="14"/>
        <v>2</v>
      </c>
      <c r="AP5">
        <f>step3_validation[[#This Row],[AI_TRU2]]</f>
        <v>9</v>
      </c>
      <c r="AQ5" t="str">
        <f t="shared" si="15"/>
        <v>Support</v>
      </c>
      <c r="AR5">
        <f>survey_responses[[#This Row],[Tôi thấy mức thuế tôi phải đóng theo phương án mới là công bằng (người thu nhập như tôi đóng mức này là hợp lý). - HUMAN-TRU2]]</f>
        <v>7</v>
      </c>
      <c r="AS5" t="str">
        <f t="shared" si="16"/>
        <v>Neutral</v>
      </c>
      <c r="AT5" s="31">
        <f t="shared" si="17"/>
        <v>2</v>
      </c>
      <c r="AU5">
        <f>step3_validation[[#This Row],[AI_TRU3]]</f>
        <v>6</v>
      </c>
      <c r="AV5" t="str">
        <f t="shared" si="18"/>
        <v>Neutral</v>
      </c>
      <c r="AW5">
        <f>survey_responses[[#This Row],[Tôi tin tưởng số tiền thuế tôi đóng sẽ được Nhà nước sử dụng hiệu quả để cải thiện dịch vụ công (y tế, đường xá...). - HUMAN-TRU3]]</f>
        <v>10</v>
      </c>
      <c r="AX5" t="str">
        <f t="shared" si="19"/>
        <v>Support</v>
      </c>
      <c r="AY5" s="31">
        <f t="shared" si="20"/>
        <v>4</v>
      </c>
      <c r="AZ5">
        <f>step3_validation[[#This Row],[AI_TRU4]]</f>
        <v>7</v>
      </c>
      <c r="BA5" t="str">
        <f t="shared" si="21"/>
        <v>Neutral</v>
      </c>
      <c r="BB5">
        <f>survey_responses[[#This Row],[Tôi thấy Nhà nước đã giải thích rõ ràng, minh bạch về lý do và mục tiêu của việc sửa đổi thuế lần này. - HUMAN-TRU4]]</f>
        <v>7</v>
      </c>
      <c r="BC5" t="str">
        <f t="shared" si="22"/>
        <v>Neutral</v>
      </c>
      <c r="BD5" s="31">
        <f t="shared" si="23"/>
        <v>0</v>
      </c>
      <c r="BE5">
        <f>step3_validation[[#This Row],[AI_OUT1]]</f>
        <v>9</v>
      </c>
      <c r="BF5" t="str">
        <f t="shared" si="24"/>
        <v>Support</v>
      </c>
      <c r="BG5">
        <f>survey_responses[[#This Row],[Sau khi xem xét các quyền lợi và nghĩa vụ, bạn có ủng hộ và tuân thủ chính sách mới hiện nay? - HUMAN-OUT1]]</f>
        <v>10</v>
      </c>
      <c r="BH5" t="str">
        <f t="shared" si="25"/>
        <v>Support</v>
      </c>
      <c r="BI5" s="31">
        <f t="shared" si="26"/>
        <v>1</v>
      </c>
    </row>
    <row r="6" spans="1:61" x14ac:dyDescent="0.45">
      <c r="A6" s="29">
        <f>step3_validation[[#This Row],[Persona_ID]]</f>
        <v>5</v>
      </c>
      <c r="B6" s="30">
        <f>step3_validation[[#This Row],[Used_Seed]]</f>
        <v>46</v>
      </c>
      <c r="C6" t="str">
        <f>step3_validation[[#This Row],[Gender]]</f>
        <v>Nữ</v>
      </c>
      <c r="D6" t="str">
        <f>survey_responses[[#This Row],[Giới tính của bạn:]]</f>
        <v>Nữ</v>
      </c>
      <c r="E6" t="str">
        <f>step3_validation[[#This Row],[Age_Group]]</f>
        <v>25 - 29</v>
      </c>
      <c r="F6" t="str">
        <f>survey_responses[[#This Row],[Độ tuổi của bạn:]]</f>
        <v>25 - 29</v>
      </c>
      <c r="G6" t="str">
        <f>step3_validation[[#This Row],[Region]]</f>
        <v>Thành thị</v>
      </c>
      <c r="H6" t="str">
        <f>survey_responses[[#This Row],[Khu vực bạn đang sinh sống:]]</f>
        <v>Thành thị</v>
      </c>
      <c r="I6" t="str">
        <f>step3_validation[[#This Row],[Education]]</f>
        <v>Đại học</v>
      </c>
      <c r="J6" t="str">
        <f>survey_responses[[#This Row],[Trình độ học vấn cao nhất:]]</f>
        <v>Đại học</v>
      </c>
      <c r="K6" t="str">
        <f>step3_validation[[#This Row],[Employment]]</f>
        <v>Chính thức</v>
      </c>
      <c r="L6" t="str">
        <f>survey_responses[[#This Row],[Tình trạng việc làm chính:]]</f>
        <v>Khu vực chính thức (Có Hợp đồng lao động, đóng BHXH)</v>
      </c>
      <c r="M6">
        <f>step3_validation[[#This Row],[Income_Mil]]</f>
        <v>12</v>
      </c>
      <c r="N6" t="str">
        <f>survey_responses[[#This Row],[Thu nhập bình quân tháng theo Hợp đồng lao động của bạn là bao nhiêu? (Vui lòng điền tổng thu nhập trước khi khấu trừ các loại Bảo hiểm (BHXH, BHYT, BHTN) và Thuế TNCN)]]</f>
        <v>Dưới 12 triệu VNĐ</v>
      </c>
      <c r="O6">
        <f>step3_validation[[#This Row],[Dependents]]</f>
        <v>0</v>
      </c>
      <c r="P6" t="str">
        <f>survey_responses[[#This Row],[Số người phụ thuộc (con nhỏ, cha mẹ già...) đủ điều kiện giảm trừ gia cảnh:]]</f>
        <v>0 người</v>
      </c>
      <c r="Q6">
        <f>step3_validation[[#This Row],[AI_ENF1]]</f>
        <v>8</v>
      </c>
      <c r="R6" t="str">
        <f t="shared" si="0"/>
        <v>Support</v>
      </c>
      <c r="S6">
        <f>survey_responses[[#This Row],[Tôi tin rằng với các quy định quản lý thuế hiện nay, hành vi gian lận hoặc trốn thuế sẽ dễ dàng bị phát hiện và xử lý nghiêm. - HUMAN-ENF1]]</f>
        <v>9</v>
      </c>
      <c r="T6" t="str">
        <f t="shared" si="1"/>
        <v>Support</v>
      </c>
      <c r="U6" s="31">
        <f t="shared" si="2"/>
        <v>1</v>
      </c>
      <c r="V6">
        <f>step3_validation[[#This Row],[AI_ENF2]]</f>
        <v>9</v>
      </c>
      <c r="W6" t="str">
        <f t="shared" si="3"/>
        <v>Support</v>
      </c>
      <c r="X6">
        <f>survey_responses[[#This Row],[Tôi tin rằng Nhà nước, cơ quan thuế có đủ khả năng và công nghệ để phát hiện, xử lý nghiêm các hành vi trốn thuế. - HUMAN-ENF2]]</f>
        <v>9</v>
      </c>
      <c r="Y6" t="str">
        <f t="shared" si="4"/>
        <v>Support</v>
      </c>
      <c r="Z6" s="31">
        <f t="shared" si="5"/>
        <v>0</v>
      </c>
      <c r="AA6">
        <f>step3_validation[[#This Row],[AI_FAC1]]</f>
        <v>7</v>
      </c>
      <c r="AB6" t="str">
        <f t="shared" si="6"/>
        <v>Neutral</v>
      </c>
      <c r="AC6">
        <f>survey_responses[[#This Row],[Các thủ tục khai báo thuế VÀ/HOẶC quy trình làm việc với cơ quan thuế đơn giản, tiện lợi, nhanh chóng hơn so với trước đây. - HUMAN-FAC1]]</f>
        <v>10</v>
      </c>
      <c r="AD6" t="str">
        <f t="shared" si="7"/>
        <v>Support</v>
      </c>
      <c r="AE6" s="31">
        <f t="shared" si="8"/>
        <v>3</v>
      </c>
      <c r="AF6">
        <f>step3_validation[[#This Row],[AI_FAC2]]</f>
        <v>9</v>
      </c>
      <c r="AG6" t="str">
        <f t="shared" si="9"/>
        <v>Support</v>
      </c>
      <c r="AH6">
        <f>survey_responses[[#This Row],[So với trước đây, tôi thấy cách tính thuế và các bậc thuế trong phương án mới đơn giản, dễ hiểu và dễ thực hiện hơn. - HUMAN-FAC2]]</f>
        <v>9</v>
      </c>
      <c r="AI6" t="str">
        <f t="shared" si="10"/>
        <v>Support</v>
      </c>
      <c r="AJ6" s="31">
        <f t="shared" si="11"/>
        <v>0</v>
      </c>
      <c r="AK6">
        <f>step3_validation[[#This Row],[AI_TRU1]]</f>
        <v>8</v>
      </c>
      <c r="AL6" t="str">
        <f t="shared" si="12"/>
        <v>Support</v>
      </c>
      <c r="AM6">
        <f>survey_responses[[#This Row],[Tôi tin rằng Nhà nước, cơ quan thuế sẽ thực thi chính sách mới một cách khách quan, công tâm và đối xử bình đẳng với mọi người nộp thuế.  - HUMAN-TRU1]]</f>
        <v>9</v>
      </c>
      <c r="AN6" t="str">
        <f t="shared" si="13"/>
        <v>Support</v>
      </c>
      <c r="AO6" s="31">
        <f t="shared" si="14"/>
        <v>1</v>
      </c>
      <c r="AP6">
        <f>step3_validation[[#This Row],[AI_TRU2]]</f>
        <v>9</v>
      </c>
      <c r="AQ6" t="str">
        <f t="shared" si="15"/>
        <v>Support</v>
      </c>
      <c r="AR6">
        <f>survey_responses[[#This Row],[Tôi thấy mức thuế tôi phải đóng theo phương án mới là công bằng (người thu nhập như tôi đóng mức này là hợp lý). - HUMAN-TRU2]]</f>
        <v>9</v>
      </c>
      <c r="AS6" t="str">
        <f t="shared" si="16"/>
        <v>Support</v>
      </c>
      <c r="AT6" s="31">
        <f t="shared" si="17"/>
        <v>0</v>
      </c>
      <c r="AU6">
        <f>step3_validation[[#This Row],[AI_TRU3]]</f>
        <v>8</v>
      </c>
      <c r="AV6" t="str">
        <f t="shared" si="18"/>
        <v>Support</v>
      </c>
      <c r="AW6">
        <f>survey_responses[[#This Row],[Tôi tin tưởng số tiền thuế tôi đóng sẽ được Nhà nước sử dụng hiệu quả để cải thiện dịch vụ công (y tế, đường xá...). - HUMAN-TRU3]]</f>
        <v>9</v>
      </c>
      <c r="AX6" t="str">
        <f t="shared" si="19"/>
        <v>Support</v>
      </c>
      <c r="AY6" s="31">
        <f t="shared" si="20"/>
        <v>1</v>
      </c>
      <c r="AZ6">
        <f>step3_validation[[#This Row],[AI_TRU4]]</f>
        <v>9</v>
      </c>
      <c r="BA6" t="str">
        <f t="shared" si="21"/>
        <v>Support</v>
      </c>
      <c r="BB6">
        <f>survey_responses[[#This Row],[Tôi thấy Nhà nước đã giải thích rõ ràng, minh bạch về lý do và mục tiêu của việc sửa đổi thuế lần này. - HUMAN-TRU4]]</f>
        <v>9</v>
      </c>
      <c r="BC6" t="str">
        <f t="shared" si="22"/>
        <v>Support</v>
      </c>
      <c r="BD6" s="31">
        <f t="shared" si="23"/>
        <v>0</v>
      </c>
      <c r="BE6">
        <f>step3_validation[[#This Row],[AI_OUT1]]</f>
        <v>8</v>
      </c>
      <c r="BF6" t="str">
        <f t="shared" si="24"/>
        <v>Support</v>
      </c>
      <c r="BG6">
        <f>survey_responses[[#This Row],[Sau khi xem xét các quyền lợi và nghĩa vụ, bạn có ủng hộ và tuân thủ chính sách mới hiện nay? - HUMAN-OUT1]]</f>
        <v>9</v>
      </c>
      <c r="BH6" t="str">
        <f t="shared" si="25"/>
        <v>Support</v>
      </c>
      <c r="BI6" s="31">
        <f t="shared" si="26"/>
        <v>1</v>
      </c>
    </row>
    <row r="7" spans="1:61" hidden="1" x14ac:dyDescent="0.45">
      <c r="A7" s="29">
        <f>step3_validation[[#This Row],[Persona_ID]]</f>
        <v>6</v>
      </c>
      <c r="B7" s="30">
        <f>step3_validation[[#This Row],[Used_Seed]]</f>
        <v>47</v>
      </c>
      <c r="C7" t="str">
        <f>step3_validation[[#This Row],[Gender]]</f>
        <v>Nữ</v>
      </c>
      <c r="D7" t="str">
        <f>survey_responses[[#This Row],[Giới tính của bạn:]]</f>
        <v>Nữ</v>
      </c>
      <c r="E7" t="str">
        <f>step3_validation[[#This Row],[Age_Group]]</f>
        <v>30 - 39</v>
      </c>
      <c r="F7" t="str">
        <f>survey_responses[[#This Row],[Độ tuổi của bạn:]]</f>
        <v>30 - 39</v>
      </c>
      <c r="G7" t="str">
        <f>step3_validation[[#This Row],[Region]]</f>
        <v>Thành thị</v>
      </c>
      <c r="H7" t="str">
        <f>survey_responses[[#This Row],[Khu vực bạn đang sinh sống:]]</f>
        <v>Thành thị</v>
      </c>
      <c r="I7" t="str">
        <f>step3_validation[[#This Row],[Education]]</f>
        <v>Sau Đại học</v>
      </c>
      <c r="J7" t="str">
        <f>survey_responses[[#This Row],[Trình độ học vấn cao nhất:]]</f>
        <v>Sau Đại học</v>
      </c>
      <c r="K7" t="str">
        <f>step3_validation[[#This Row],[Employment]]</f>
        <v>Chính thức</v>
      </c>
      <c r="L7" t="str">
        <f>survey_responses[[#This Row],[Tình trạng việc làm chính:]]</f>
        <v>Khu vực chính thức (Có Hợp đồng lao động, đóng BHXH)</v>
      </c>
      <c r="M7">
        <f>step3_validation[[#This Row],[Income_Mil]]</f>
        <v>89.18610610127881</v>
      </c>
      <c r="N7" t="str">
        <f>survey_responses[[#This Row],[Thu nhập bình quân tháng theo Hợp đồng lao động của bạn là bao nhiêu? (Vui lòng điền tổng thu nhập trước khi khấu trừ các loại Bảo hiểm (BHXH, BHYT, BHTN) và Thuế TNCN)]]</f>
        <v>Từ 70 - 102 triệu VNĐ</v>
      </c>
      <c r="O7">
        <f>step3_validation[[#This Row],[Dependents]]</f>
        <v>4</v>
      </c>
      <c r="P7" t="str">
        <f>survey_responses[[#This Row],[Số người phụ thuộc (con nhỏ, cha mẹ già...) đủ điều kiện giảm trừ gia cảnh:]]</f>
        <v>4 người trở lên</v>
      </c>
      <c r="Q7">
        <f>step3_validation[[#This Row],[AI_ENF1]]</f>
        <v>7</v>
      </c>
      <c r="R7" t="str">
        <f t="shared" si="0"/>
        <v>Neutral</v>
      </c>
      <c r="S7">
        <f>survey_responses[[#This Row],[Tôi tin rằng với các quy định quản lý thuế hiện nay, hành vi gian lận hoặc trốn thuế sẽ dễ dàng bị phát hiện và xử lý nghiêm. - HUMAN-ENF1]]</f>
        <v>8</v>
      </c>
      <c r="T7" t="str">
        <f t="shared" si="1"/>
        <v>Support</v>
      </c>
      <c r="U7" s="31">
        <f t="shared" si="2"/>
        <v>1</v>
      </c>
      <c r="V7">
        <f>step3_validation[[#This Row],[AI_ENF2]]</f>
        <v>6</v>
      </c>
      <c r="W7" t="str">
        <f t="shared" si="3"/>
        <v>Neutral</v>
      </c>
      <c r="X7">
        <f>survey_responses[[#This Row],[Tôi tin rằng Nhà nước, cơ quan thuế có đủ khả năng và công nghệ để phát hiện, xử lý nghiêm các hành vi trốn thuế. - HUMAN-ENF2]]</f>
        <v>8</v>
      </c>
      <c r="Y7" t="str">
        <f t="shared" si="4"/>
        <v>Support</v>
      </c>
      <c r="Z7" s="31">
        <f t="shared" si="5"/>
        <v>2</v>
      </c>
      <c r="AA7">
        <f>step3_validation[[#This Row],[AI_FAC1]]</f>
        <v>8</v>
      </c>
      <c r="AB7" t="str">
        <f t="shared" si="6"/>
        <v>Support</v>
      </c>
      <c r="AC7">
        <f>survey_responses[[#This Row],[Các thủ tục khai báo thuế VÀ/HOẶC quy trình làm việc với cơ quan thuế đơn giản, tiện lợi, nhanh chóng hơn so với trước đây. - HUMAN-FAC1]]</f>
        <v>5</v>
      </c>
      <c r="AD7" t="str">
        <f t="shared" si="7"/>
        <v>Neutral</v>
      </c>
      <c r="AE7" s="31">
        <f t="shared" si="8"/>
        <v>3</v>
      </c>
      <c r="AF7">
        <f>step3_validation[[#This Row],[AI_FAC2]]</f>
        <v>9</v>
      </c>
      <c r="AG7" t="str">
        <f t="shared" si="9"/>
        <v>Support</v>
      </c>
      <c r="AH7">
        <f>survey_responses[[#This Row],[So với trước đây, tôi thấy cách tính thuế và các bậc thuế trong phương án mới đơn giản, dễ hiểu và dễ thực hiện hơn. - HUMAN-FAC2]]</f>
        <v>8</v>
      </c>
      <c r="AI7" t="str">
        <f t="shared" si="10"/>
        <v>Support</v>
      </c>
      <c r="AJ7" s="31">
        <f t="shared" si="11"/>
        <v>1</v>
      </c>
      <c r="AK7">
        <f>step3_validation[[#This Row],[AI_TRU1]]</f>
        <v>8</v>
      </c>
      <c r="AL7" t="str">
        <f t="shared" si="12"/>
        <v>Support</v>
      </c>
      <c r="AM7">
        <f>survey_responses[[#This Row],[Tôi tin rằng Nhà nước, cơ quan thuế sẽ thực thi chính sách mới một cách khách quan, công tâm và đối xử bình đẳng với mọi người nộp thuế.  - HUMAN-TRU1]]</f>
        <v>6</v>
      </c>
      <c r="AN7" t="str">
        <f t="shared" si="13"/>
        <v>Neutral</v>
      </c>
      <c r="AO7" s="31">
        <f t="shared" si="14"/>
        <v>2</v>
      </c>
      <c r="AP7">
        <f>step3_validation[[#This Row],[AI_TRU2]]</f>
        <v>9</v>
      </c>
      <c r="AQ7" t="str">
        <f t="shared" si="15"/>
        <v>Support</v>
      </c>
      <c r="AR7">
        <f>survey_responses[[#This Row],[Tôi thấy mức thuế tôi phải đóng theo phương án mới là công bằng (người thu nhập như tôi đóng mức này là hợp lý). - HUMAN-TRU2]]</f>
        <v>6</v>
      </c>
      <c r="AS7" t="str">
        <f t="shared" si="16"/>
        <v>Neutral</v>
      </c>
      <c r="AT7" s="31">
        <f t="shared" si="17"/>
        <v>3</v>
      </c>
      <c r="AU7">
        <f>step3_validation[[#This Row],[AI_TRU3]]</f>
        <v>8</v>
      </c>
      <c r="AV7" t="str">
        <f t="shared" si="18"/>
        <v>Support</v>
      </c>
      <c r="AW7">
        <f>survey_responses[[#This Row],[Tôi tin tưởng số tiền thuế tôi đóng sẽ được Nhà nước sử dụng hiệu quả để cải thiện dịch vụ công (y tế, đường xá...). - HUMAN-TRU3]]</f>
        <v>4</v>
      </c>
      <c r="AX7" t="str">
        <f t="shared" si="19"/>
        <v>Oppose</v>
      </c>
      <c r="AY7" s="31">
        <f t="shared" si="20"/>
        <v>4</v>
      </c>
      <c r="AZ7">
        <f>step3_validation[[#This Row],[AI_TRU4]]</f>
        <v>7</v>
      </c>
      <c r="BA7" t="str">
        <f t="shared" si="21"/>
        <v>Neutral</v>
      </c>
      <c r="BB7">
        <f>survey_responses[[#This Row],[Tôi thấy Nhà nước đã giải thích rõ ràng, minh bạch về lý do và mục tiêu của việc sửa đổi thuế lần này. - HUMAN-TRU4]]</f>
        <v>5</v>
      </c>
      <c r="BC7" t="str">
        <f t="shared" si="22"/>
        <v>Neutral</v>
      </c>
      <c r="BD7" s="31">
        <f t="shared" si="23"/>
        <v>2</v>
      </c>
      <c r="BE7">
        <f>step3_validation[[#This Row],[AI_OUT1]]</f>
        <v>9</v>
      </c>
      <c r="BF7" t="str">
        <f t="shared" si="24"/>
        <v>Support</v>
      </c>
      <c r="BG7">
        <f>survey_responses[[#This Row],[Sau khi xem xét các quyền lợi và nghĩa vụ, bạn có ủng hộ và tuân thủ chính sách mới hiện nay? - HUMAN-OUT1]]</f>
        <v>6</v>
      </c>
      <c r="BH7" t="str">
        <f t="shared" si="25"/>
        <v>Neutral</v>
      </c>
      <c r="BI7" s="31">
        <f t="shared" si="26"/>
        <v>3</v>
      </c>
    </row>
    <row r="8" spans="1:61" hidden="1" x14ac:dyDescent="0.45">
      <c r="A8" s="29">
        <f>step3_validation[[#This Row],[Persona_ID]]</f>
        <v>7</v>
      </c>
      <c r="B8" s="30">
        <f>step3_validation[[#This Row],[Used_Seed]]</f>
        <v>48</v>
      </c>
      <c r="C8" t="str">
        <f>step3_validation[[#This Row],[Gender]]</f>
        <v>Nữ</v>
      </c>
      <c r="D8" t="str">
        <f>survey_responses[[#This Row],[Giới tính của bạn:]]</f>
        <v>Nữ</v>
      </c>
      <c r="E8" t="str">
        <f>step3_validation[[#This Row],[Age_Group]]</f>
        <v>30 - 39</v>
      </c>
      <c r="F8" t="str">
        <f>survey_responses[[#This Row],[Độ tuổi của bạn:]]</f>
        <v>30 - 39</v>
      </c>
      <c r="G8" t="str">
        <f>step3_validation[[#This Row],[Region]]</f>
        <v>Thành thị</v>
      </c>
      <c r="H8" t="str">
        <f>survey_responses[[#This Row],[Khu vực bạn đang sinh sống:]]</f>
        <v>Thành thị</v>
      </c>
      <c r="I8" t="str">
        <f>step3_validation[[#This Row],[Education]]</f>
        <v>Đại học</v>
      </c>
      <c r="J8" t="str">
        <f>survey_responses[[#This Row],[Trình độ học vấn cao nhất:]]</f>
        <v>Đại học</v>
      </c>
      <c r="K8" t="str">
        <f>step3_validation[[#This Row],[Employment]]</f>
        <v>Chính thức</v>
      </c>
      <c r="L8" t="str">
        <f>survey_responses[[#This Row],[Tình trạng việc làm chính:]]</f>
        <v>Khu vực chính thức (Có Hợp đồng lao động, đóng BHXH)</v>
      </c>
      <c r="M8">
        <f>step3_validation[[#This Row],[Income_Mil]]</f>
        <v>21.534681572110244</v>
      </c>
      <c r="N8" t="str">
        <f>survey_responses[[#This Row],[Thu nhập bình quân tháng theo Hợp đồng lao động của bạn là bao nhiêu? (Vui lòng điền tổng thu nhập trước khi khấu trừ các loại Bảo hiểm (BHXH, BHYT, BHTN) và Thuế TNCN)]]</f>
        <v>Từ 18 - 23 triệu VNĐ</v>
      </c>
      <c r="O8">
        <f>step3_validation[[#This Row],[Dependents]]</f>
        <v>2</v>
      </c>
      <c r="P8" t="str">
        <f>survey_responses[[#This Row],[Số người phụ thuộc (con nhỏ, cha mẹ già...) đủ điều kiện giảm trừ gia cảnh:]]</f>
        <v>2 người</v>
      </c>
      <c r="Q8">
        <f>step3_validation[[#This Row],[AI_ENF1]]</f>
        <v>7</v>
      </c>
      <c r="R8" t="str">
        <f t="shared" si="0"/>
        <v>Neutral</v>
      </c>
      <c r="S8">
        <f>survey_responses[[#This Row],[Tôi tin rằng với các quy định quản lý thuế hiện nay, hành vi gian lận hoặc trốn thuế sẽ dễ dàng bị phát hiện và xử lý nghiêm. - HUMAN-ENF1]]</f>
        <v>5</v>
      </c>
      <c r="T8" t="str">
        <f t="shared" si="1"/>
        <v>Neutral</v>
      </c>
      <c r="U8" s="31">
        <f t="shared" si="2"/>
        <v>2</v>
      </c>
      <c r="V8">
        <f>step3_validation[[#This Row],[AI_ENF2]]</f>
        <v>6</v>
      </c>
      <c r="W8" t="str">
        <f t="shared" si="3"/>
        <v>Neutral</v>
      </c>
      <c r="X8">
        <f>survey_responses[[#This Row],[Tôi tin rằng Nhà nước, cơ quan thuế có đủ khả năng và công nghệ để phát hiện, xử lý nghiêm các hành vi trốn thuế. - HUMAN-ENF2]]</f>
        <v>4</v>
      </c>
      <c r="Y8" t="str">
        <f t="shared" si="4"/>
        <v>Oppose</v>
      </c>
      <c r="Z8" s="31">
        <f t="shared" si="5"/>
        <v>2</v>
      </c>
      <c r="AA8">
        <f>step3_validation[[#This Row],[AI_FAC1]]</f>
        <v>9</v>
      </c>
      <c r="AB8" t="str">
        <f t="shared" si="6"/>
        <v>Support</v>
      </c>
      <c r="AC8">
        <f>survey_responses[[#This Row],[Các thủ tục khai báo thuế VÀ/HOẶC quy trình làm việc với cơ quan thuế đơn giản, tiện lợi, nhanh chóng hơn so với trước đây. - HUMAN-FAC1]]</f>
        <v>4</v>
      </c>
      <c r="AD8" t="str">
        <f t="shared" si="7"/>
        <v>Oppose</v>
      </c>
      <c r="AE8" s="31">
        <f t="shared" si="8"/>
        <v>5</v>
      </c>
      <c r="AF8">
        <f>step3_validation[[#This Row],[AI_FAC2]]</f>
        <v>8</v>
      </c>
      <c r="AG8" t="str">
        <f t="shared" si="9"/>
        <v>Support</v>
      </c>
      <c r="AH8">
        <f>survey_responses[[#This Row],[So với trước đây, tôi thấy cách tính thuế và các bậc thuế trong phương án mới đơn giản, dễ hiểu và dễ thực hiện hơn. - HUMAN-FAC2]]</f>
        <v>6</v>
      </c>
      <c r="AI8" t="str">
        <f t="shared" si="10"/>
        <v>Neutral</v>
      </c>
      <c r="AJ8" s="31">
        <f t="shared" si="11"/>
        <v>2</v>
      </c>
      <c r="AK8">
        <f>step3_validation[[#This Row],[AI_TRU1]]</f>
        <v>7</v>
      </c>
      <c r="AL8" t="str">
        <f t="shared" si="12"/>
        <v>Neutral</v>
      </c>
      <c r="AM8">
        <f>survey_responses[[#This Row],[Tôi tin rằng Nhà nước, cơ quan thuế sẽ thực thi chính sách mới một cách khách quan, công tâm và đối xử bình đẳng với mọi người nộp thuế.  - HUMAN-TRU1]]</f>
        <v>6</v>
      </c>
      <c r="AN8" t="str">
        <f t="shared" si="13"/>
        <v>Neutral</v>
      </c>
      <c r="AO8" s="31">
        <f t="shared" si="14"/>
        <v>1</v>
      </c>
      <c r="AP8">
        <f>step3_validation[[#This Row],[AI_TRU2]]</f>
        <v>8</v>
      </c>
      <c r="AQ8" t="str">
        <f t="shared" si="15"/>
        <v>Support</v>
      </c>
      <c r="AR8">
        <f>survey_responses[[#This Row],[Tôi thấy mức thuế tôi phải đóng theo phương án mới là công bằng (người thu nhập như tôi đóng mức này là hợp lý). - HUMAN-TRU2]]</f>
        <v>7</v>
      </c>
      <c r="AS8" t="str">
        <f t="shared" si="16"/>
        <v>Neutral</v>
      </c>
      <c r="AT8" s="31">
        <f t="shared" si="17"/>
        <v>1</v>
      </c>
      <c r="AU8">
        <f>step3_validation[[#This Row],[AI_TRU3]]</f>
        <v>7</v>
      </c>
      <c r="AV8" t="str">
        <f t="shared" si="18"/>
        <v>Neutral</v>
      </c>
      <c r="AW8">
        <f>survey_responses[[#This Row],[Tôi tin tưởng số tiền thuế tôi đóng sẽ được Nhà nước sử dụng hiệu quả để cải thiện dịch vụ công (y tế, đường xá...). - HUMAN-TRU3]]</f>
        <v>2</v>
      </c>
      <c r="AX8" t="str">
        <f t="shared" si="19"/>
        <v>Oppose</v>
      </c>
      <c r="AY8" s="31">
        <f t="shared" si="20"/>
        <v>5</v>
      </c>
      <c r="AZ8">
        <f>step3_validation[[#This Row],[AI_TRU4]]</f>
        <v>8</v>
      </c>
      <c r="BA8" t="str">
        <f t="shared" si="21"/>
        <v>Support</v>
      </c>
      <c r="BB8">
        <f>survey_responses[[#This Row],[Tôi thấy Nhà nước đã giải thích rõ ràng, minh bạch về lý do và mục tiêu của việc sửa đổi thuế lần này. - HUMAN-TRU4]]</f>
        <v>4</v>
      </c>
      <c r="BC8" t="str">
        <f t="shared" si="22"/>
        <v>Oppose</v>
      </c>
      <c r="BD8" s="31">
        <f t="shared" si="23"/>
        <v>4</v>
      </c>
      <c r="BE8">
        <f>step3_validation[[#This Row],[AI_OUT1]]</f>
        <v>9</v>
      </c>
      <c r="BF8" t="str">
        <f t="shared" si="24"/>
        <v>Support</v>
      </c>
      <c r="BG8">
        <f>survey_responses[[#This Row],[Sau khi xem xét các quyền lợi và nghĩa vụ, bạn có ủng hộ và tuân thủ chính sách mới hiện nay? - HUMAN-OUT1]]</f>
        <v>4</v>
      </c>
      <c r="BH8" t="str">
        <f t="shared" si="25"/>
        <v>Oppose</v>
      </c>
      <c r="BI8" s="31">
        <f t="shared" si="26"/>
        <v>5</v>
      </c>
    </row>
    <row r="9" spans="1:61" x14ac:dyDescent="0.45">
      <c r="A9" s="29">
        <f>step3_validation[[#This Row],[Persona_ID]]</f>
        <v>8</v>
      </c>
      <c r="B9" s="30">
        <f>step3_validation[[#This Row],[Used_Seed]]</f>
        <v>49</v>
      </c>
      <c r="C9" t="str">
        <f>step3_validation[[#This Row],[Gender]]</f>
        <v>Nam</v>
      </c>
      <c r="D9" t="str">
        <f>survey_responses[[#This Row],[Giới tính của bạn:]]</f>
        <v>Nam</v>
      </c>
      <c r="E9" t="str">
        <f>step3_validation[[#This Row],[Age_Group]]</f>
        <v>40 - 49</v>
      </c>
      <c r="F9" t="str">
        <f>survey_responses[[#This Row],[Độ tuổi của bạn:]]</f>
        <v>40 - 49</v>
      </c>
      <c r="G9" t="str">
        <f>step3_validation[[#This Row],[Region]]</f>
        <v>Thành thị</v>
      </c>
      <c r="H9" t="str">
        <f>survey_responses[[#This Row],[Khu vực bạn đang sinh sống:]]</f>
        <v>Thành thị</v>
      </c>
      <c r="I9" t="str">
        <f>step3_validation[[#This Row],[Education]]</f>
        <v>Sau Đại học</v>
      </c>
      <c r="J9" t="str">
        <f>survey_responses[[#This Row],[Trình độ học vấn cao nhất:]]</f>
        <v>Sau Đại học</v>
      </c>
      <c r="K9" t="str">
        <f>step3_validation[[#This Row],[Employment]]</f>
        <v>Chính thức</v>
      </c>
      <c r="L9" t="str">
        <f>survey_responses[[#This Row],[Tình trạng việc làm chính:]]</f>
        <v>Khu vực chính thức (Có Hợp đồng lao động, đóng BHXH)</v>
      </c>
      <c r="M9">
        <f>step3_validation[[#This Row],[Income_Mil]]</f>
        <v>12</v>
      </c>
      <c r="N9" t="str">
        <f>survey_responses[[#This Row],[Thu nhập bình quân tháng theo Hợp đồng lao động của bạn là bao nhiêu? (Vui lòng điền tổng thu nhập trước khi khấu trừ các loại Bảo hiểm (BHXH, BHYT, BHTN) và Thuế TNCN)]]</f>
        <v>Dưới 12 triệu VNĐ</v>
      </c>
      <c r="O9">
        <f>step3_validation[[#This Row],[Dependents]]</f>
        <v>2</v>
      </c>
      <c r="P9" t="str">
        <f>survey_responses[[#This Row],[Số người phụ thuộc (con nhỏ, cha mẹ già...) đủ điều kiện giảm trừ gia cảnh:]]</f>
        <v>2 người</v>
      </c>
      <c r="Q9">
        <f>step3_validation[[#This Row],[AI_ENF1]]</f>
        <v>6</v>
      </c>
      <c r="R9" t="str">
        <f t="shared" si="0"/>
        <v>Neutral</v>
      </c>
      <c r="S9">
        <f>survey_responses[[#This Row],[Tôi tin rằng với các quy định quản lý thuế hiện nay, hành vi gian lận hoặc trốn thuế sẽ dễ dàng bị phát hiện và xử lý nghiêm. - HUMAN-ENF1]]</f>
        <v>1</v>
      </c>
      <c r="T9" t="str">
        <f t="shared" si="1"/>
        <v>Oppose</v>
      </c>
      <c r="U9" s="31">
        <f t="shared" si="2"/>
        <v>5</v>
      </c>
      <c r="V9">
        <f>step3_validation[[#This Row],[AI_ENF2]]</f>
        <v>7</v>
      </c>
      <c r="W9" t="str">
        <f t="shared" si="3"/>
        <v>Neutral</v>
      </c>
      <c r="X9">
        <f>survey_responses[[#This Row],[Tôi tin rằng Nhà nước, cơ quan thuế có đủ khả năng và công nghệ để phát hiện, xử lý nghiêm các hành vi trốn thuế. - HUMAN-ENF2]]</f>
        <v>1</v>
      </c>
      <c r="Y9" t="str">
        <f t="shared" si="4"/>
        <v>Oppose</v>
      </c>
      <c r="Z9" s="31">
        <f t="shared" si="5"/>
        <v>6</v>
      </c>
      <c r="AA9">
        <f>step3_validation[[#This Row],[AI_FAC1]]</f>
        <v>9</v>
      </c>
      <c r="AB9" t="str">
        <f t="shared" si="6"/>
        <v>Support</v>
      </c>
      <c r="AC9">
        <f>survey_responses[[#This Row],[Các thủ tục khai báo thuế VÀ/HOẶC quy trình làm việc với cơ quan thuế đơn giản, tiện lợi, nhanh chóng hơn so với trước đây. - HUMAN-FAC1]]</f>
        <v>2</v>
      </c>
      <c r="AD9" t="str">
        <f t="shared" si="7"/>
        <v>Oppose</v>
      </c>
      <c r="AE9" s="31">
        <f t="shared" si="8"/>
        <v>7</v>
      </c>
      <c r="AF9">
        <f>step3_validation[[#This Row],[AI_FAC2]]</f>
        <v>8</v>
      </c>
      <c r="AG9" t="str">
        <f t="shared" si="9"/>
        <v>Support</v>
      </c>
      <c r="AH9">
        <f>survey_responses[[#This Row],[So với trước đây, tôi thấy cách tính thuế và các bậc thuế trong phương án mới đơn giản, dễ hiểu và dễ thực hiện hơn. - HUMAN-FAC2]]</f>
        <v>3</v>
      </c>
      <c r="AI9" t="str">
        <f t="shared" si="10"/>
        <v>Oppose</v>
      </c>
      <c r="AJ9" s="31">
        <f t="shared" si="11"/>
        <v>5</v>
      </c>
      <c r="AK9">
        <f>step3_validation[[#This Row],[AI_TRU1]]</f>
        <v>9</v>
      </c>
      <c r="AL9" t="str">
        <f t="shared" si="12"/>
        <v>Support</v>
      </c>
      <c r="AM9">
        <f>survey_responses[[#This Row],[Tôi tin rằng Nhà nước, cơ quan thuế sẽ thực thi chính sách mới một cách khách quan, công tâm và đối xử bình đẳng với mọi người nộp thuế.  - HUMAN-TRU1]]</f>
        <v>6</v>
      </c>
      <c r="AN9" t="str">
        <f t="shared" si="13"/>
        <v>Neutral</v>
      </c>
      <c r="AO9" s="31">
        <f t="shared" si="14"/>
        <v>3</v>
      </c>
      <c r="AP9">
        <f>step3_validation[[#This Row],[AI_TRU2]]</f>
        <v>8</v>
      </c>
      <c r="AQ9" t="str">
        <f t="shared" si="15"/>
        <v>Support</v>
      </c>
      <c r="AR9">
        <f>survey_responses[[#This Row],[Tôi thấy mức thuế tôi phải đóng theo phương án mới là công bằng (người thu nhập như tôi đóng mức này là hợp lý). - HUMAN-TRU2]]</f>
        <v>2</v>
      </c>
      <c r="AS9" t="str">
        <f t="shared" si="16"/>
        <v>Oppose</v>
      </c>
      <c r="AT9" s="31">
        <f t="shared" si="17"/>
        <v>6</v>
      </c>
      <c r="AU9">
        <f>step3_validation[[#This Row],[AI_TRU3]]</f>
        <v>9</v>
      </c>
      <c r="AV9" t="str">
        <f t="shared" si="18"/>
        <v>Support</v>
      </c>
      <c r="AW9">
        <f>survey_responses[[#This Row],[Tôi tin tưởng số tiền thuế tôi đóng sẽ được Nhà nước sử dụng hiệu quả để cải thiện dịch vụ công (y tế, đường xá...). - HUMAN-TRU3]]</f>
        <v>7</v>
      </c>
      <c r="AX9" t="str">
        <f t="shared" si="19"/>
        <v>Neutral</v>
      </c>
      <c r="AY9" s="31">
        <f t="shared" si="20"/>
        <v>2</v>
      </c>
      <c r="AZ9">
        <f>step3_validation[[#This Row],[AI_TRU4]]</f>
        <v>8</v>
      </c>
      <c r="BA9" t="str">
        <f t="shared" si="21"/>
        <v>Support</v>
      </c>
      <c r="BB9">
        <f>survey_responses[[#This Row],[Tôi thấy Nhà nước đã giải thích rõ ràng, minh bạch về lý do và mục tiêu của việc sửa đổi thuế lần này. - HUMAN-TRU4]]</f>
        <v>3</v>
      </c>
      <c r="BC9" t="str">
        <f t="shared" si="22"/>
        <v>Oppose</v>
      </c>
      <c r="BD9" s="31">
        <f t="shared" si="23"/>
        <v>5</v>
      </c>
      <c r="BE9">
        <f>step3_validation[[#This Row],[AI_OUT1]]</f>
        <v>9</v>
      </c>
      <c r="BF9" t="str">
        <f t="shared" si="24"/>
        <v>Support</v>
      </c>
      <c r="BG9">
        <f>survey_responses[[#This Row],[Sau khi xem xét các quyền lợi và nghĩa vụ, bạn có ủng hộ và tuân thủ chính sách mới hiện nay? - HUMAN-OUT1]]</f>
        <v>3</v>
      </c>
      <c r="BH9" t="str">
        <f t="shared" si="25"/>
        <v>Oppose</v>
      </c>
      <c r="BI9" s="31">
        <f t="shared" si="26"/>
        <v>6</v>
      </c>
    </row>
    <row r="10" spans="1:61" hidden="1" x14ac:dyDescent="0.45">
      <c r="A10" s="29">
        <f>step3_validation[[#This Row],[Persona_ID]]</f>
        <v>9</v>
      </c>
      <c r="B10" s="30">
        <f>step3_validation[[#This Row],[Used_Seed]]</f>
        <v>50</v>
      </c>
      <c r="C10" t="str">
        <f>step3_validation[[#This Row],[Gender]]</f>
        <v>Nữ</v>
      </c>
      <c r="D10" t="str">
        <f>survey_responses[[#This Row],[Giới tính của bạn:]]</f>
        <v>Nữ</v>
      </c>
      <c r="E10" t="str">
        <f>step3_validation[[#This Row],[Age_Group]]</f>
        <v>25 - 29</v>
      </c>
      <c r="F10" t="str">
        <f>survey_responses[[#This Row],[Độ tuổi của bạn:]]</f>
        <v>25 - 29</v>
      </c>
      <c r="G10" t="str">
        <f>step3_validation[[#This Row],[Region]]</f>
        <v>Nông thôn</v>
      </c>
      <c r="H10" t="str">
        <f>survey_responses[[#This Row],[Khu vực bạn đang sinh sống:]]</f>
        <v>Nông thôn</v>
      </c>
      <c r="I10" t="str">
        <f>step3_validation[[#This Row],[Education]]</f>
        <v>Đại học</v>
      </c>
      <c r="J10" t="str">
        <f>survey_responses[[#This Row],[Trình độ học vấn cao nhất:]]</f>
        <v>Đại học</v>
      </c>
      <c r="K10" t="str">
        <f>step3_validation[[#This Row],[Employment]]</f>
        <v>Phi chính thức</v>
      </c>
      <c r="L10" t="str">
        <f>survey_responses[[#This Row],[Tình trạng việc làm chính:]]</f>
        <v>Khu vực phi chính thức (Lao động tự do, không có HĐLĐ)</v>
      </c>
      <c r="M10">
        <f>step3_validation[[#This Row],[Income_Mil]]</f>
        <v>15.095756759677263</v>
      </c>
      <c r="N10" t="str">
        <f>survey_responses[[#This Row],[Thu nhập bình quân tháng theo Hợp đồng lao động của bạn là bao nhiêu? (Vui lòng điền tổng thu nhập trước khi khấu trừ các loại Bảo hiểm (BHXH, BHYT, BHTN) và Thuế TNCN)]]</f>
        <v>Từ 12 - 18 triệu VNĐ</v>
      </c>
      <c r="O10">
        <f>step3_validation[[#This Row],[Dependents]]</f>
        <v>1</v>
      </c>
      <c r="P10" t="str">
        <f>survey_responses[[#This Row],[Số người phụ thuộc (con nhỏ, cha mẹ già...) đủ điều kiện giảm trừ gia cảnh:]]</f>
        <v>1 người</v>
      </c>
      <c r="Q10">
        <f>step3_validation[[#This Row],[AI_ENF1]]</f>
        <v>6</v>
      </c>
      <c r="R10" t="str">
        <f t="shared" si="0"/>
        <v>Neutral</v>
      </c>
      <c r="S10">
        <f>survey_responses[[#This Row],[Tôi tin rằng với các quy định quản lý thuế hiện nay, hành vi gian lận hoặc trốn thuế sẽ dễ dàng bị phát hiện và xử lý nghiêm. - HUMAN-ENF1]]</f>
        <v>10</v>
      </c>
      <c r="T10" t="str">
        <f t="shared" si="1"/>
        <v>Support</v>
      </c>
      <c r="U10" s="31">
        <f t="shared" si="2"/>
        <v>4</v>
      </c>
      <c r="V10">
        <f>step3_validation[[#This Row],[AI_ENF2]]</f>
        <v>5</v>
      </c>
      <c r="W10" t="str">
        <f t="shared" si="3"/>
        <v>Neutral</v>
      </c>
      <c r="X10">
        <f>survey_responses[[#This Row],[Tôi tin rằng Nhà nước, cơ quan thuế có đủ khả năng và công nghệ để phát hiện, xử lý nghiêm các hành vi trốn thuế. - HUMAN-ENF2]]</f>
        <v>10</v>
      </c>
      <c r="Y10" t="str">
        <f t="shared" si="4"/>
        <v>Support</v>
      </c>
      <c r="Z10" s="31">
        <f t="shared" si="5"/>
        <v>5</v>
      </c>
      <c r="AA10">
        <f>step3_validation[[#This Row],[AI_FAC1]]</f>
        <v>9</v>
      </c>
      <c r="AB10" t="str">
        <f t="shared" si="6"/>
        <v>Support</v>
      </c>
      <c r="AC10">
        <f>survey_responses[[#This Row],[Các thủ tục khai báo thuế VÀ/HOẶC quy trình làm việc với cơ quan thuế đơn giản, tiện lợi, nhanh chóng hơn so với trước đây. - HUMAN-FAC1]]</f>
        <v>8</v>
      </c>
      <c r="AD10" t="str">
        <f t="shared" si="7"/>
        <v>Support</v>
      </c>
      <c r="AE10" s="31">
        <f t="shared" si="8"/>
        <v>1</v>
      </c>
      <c r="AF10">
        <f>step3_validation[[#This Row],[AI_FAC2]]</f>
        <v>8</v>
      </c>
      <c r="AG10" t="str">
        <f t="shared" si="9"/>
        <v>Support</v>
      </c>
      <c r="AH10">
        <f>survey_responses[[#This Row],[So với trước đây, tôi thấy cách tính thuế và các bậc thuế trong phương án mới đơn giản, dễ hiểu và dễ thực hiện hơn. - HUMAN-FAC2]]</f>
        <v>7</v>
      </c>
      <c r="AI10" t="str">
        <f t="shared" si="10"/>
        <v>Neutral</v>
      </c>
      <c r="AJ10" s="31">
        <f t="shared" si="11"/>
        <v>1</v>
      </c>
      <c r="AK10">
        <f>step3_validation[[#This Row],[AI_TRU1]]</f>
        <v>7</v>
      </c>
      <c r="AL10" t="str">
        <f t="shared" si="12"/>
        <v>Neutral</v>
      </c>
      <c r="AM10">
        <f>survey_responses[[#This Row],[Tôi tin rằng Nhà nước, cơ quan thuế sẽ thực thi chính sách mới một cách khách quan, công tâm và đối xử bình đẳng với mọi người nộp thuế.  - HUMAN-TRU1]]</f>
        <v>7</v>
      </c>
      <c r="AN10" t="str">
        <f t="shared" si="13"/>
        <v>Neutral</v>
      </c>
      <c r="AO10" s="31">
        <f t="shared" si="14"/>
        <v>0</v>
      </c>
      <c r="AP10">
        <f>step3_validation[[#This Row],[AI_TRU2]]</f>
        <v>8</v>
      </c>
      <c r="AQ10" t="str">
        <f t="shared" si="15"/>
        <v>Support</v>
      </c>
      <c r="AR10">
        <f>survey_responses[[#This Row],[Tôi thấy mức thuế tôi phải đóng theo phương án mới là công bằng (người thu nhập như tôi đóng mức này là hợp lý). - HUMAN-TRU2]]</f>
        <v>5</v>
      </c>
      <c r="AS10" t="str">
        <f t="shared" si="16"/>
        <v>Neutral</v>
      </c>
      <c r="AT10" s="31">
        <f t="shared" si="17"/>
        <v>3</v>
      </c>
      <c r="AU10">
        <f>step3_validation[[#This Row],[AI_TRU3]]</f>
        <v>7</v>
      </c>
      <c r="AV10" t="str">
        <f t="shared" si="18"/>
        <v>Neutral</v>
      </c>
      <c r="AW10">
        <f>survey_responses[[#This Row],[Tôi tin tưởng số tiền thuế tôi đóng sẽ được Nhà nước sử dụng hiệu quả để cải thiện dịch vụ công (y tế, đường xá...). - HUMAN-TRU3]]</f>
        <v>5</v>
      </c>
      <c r="AX10" t="str">
        <f t="shared" si="19"/>
        <v>Neutral</v>
      </c>
      <c r="AY10" s="31">
        <f t="shared" si="20"/>
        <v>2</v>
      </c>
      <c r="AZ10">
        <f>step3_validation[[#This Row],[AI_TRU4]]</f>
        <v>5</v>
      </c>
      <c r="BA10" t="str">
        <f t="shared" si="21"/>
        <v>Neutral</v>
      </c>
      <c r="BB10">
        <f>survey_responses[[#This Row],[Tôi thấy Nhà nước đã giải thích rõ ràng, minh bạch về lý do và mục tiêu của việc sửa đổi thuế lần này. - HUMAN-TRU4]]</f>
        <v>9</v>
      </c>
      <c r="BC10" t="str">
        <f t="shared" si="22"/>
        <v>Support</v>
      </c>
      <c r="BD10" s="31">
        <f t="shared" si="23"/>
        <v>4</v>
      </c>
      <c r="BE10">
        <f>step3_validation[[#This Row],[AI_OUT1]]</f>
        <v>8</v>
      </c>
      <c r="BF10" t="str">
        <f t="shared" si="24"/>
        <v>Support</v>
      </c>
      <c r="BG10">
        <f>survey_responses[[#This Row],[Sau khi xem xét các quyền lợi và nghĩa vụ, bạn có ủng hộ và tuân thủ chính sách mới hiện nay? - HUMAN-OUT1]]</f>
        <v>8</v>
      </c>
      <c r="BH10" t="str">
        <f t="shared" si="25"/>
        <v>Support</v>
      </c>
      <c r="BI10" s="31">
        <f t="shared" si="26"/>
        <v>0</v>
      </c>
    </row>
    <row r="11" spans="1:61" hidden="1" x14ac:dyDescent="0.45">
      <c r="A11" s="29">
        <f>step3_validation[[#This Row],[Persona_ID]]</f>
        <v>10</v>
      </c>
      <c r="B11" s="30">
        <f>step3_validation[[#This Row],[Used_Seed]]</f>
        <v>51</v>
      </c>
      <c r="C11" t="str">
        <f>step3_validation[[#This Row],[Gender]]</f>
        <v>Nữ</v>
      </c>
      <c r="D11" t="str">
        <f>survey_responses[[#This Row],[Giới tính của bạn:]]</f>
        <v>Nữ</v>
      </c>
      <c r="E11" t="str">
        <f>step3_validation[[#This Row],[Age_Group]]</f>
        <v>25 - 29</v>
      </c>
      <c r="F11" t="str">
        <f>survey_responses[[#This Row],[Độ tuổi của bạn:]]</f>
        <v>25 - 29</v>
      </c>
      <c r="G11" t="str">
        <f>step3_validation[[#This Row],[Region]]</f>
        <v>Thành thị</v>
      </c>
      <c r="H11" t="str">
        <f>survey_responses[[#This Row],[Khu vực bạn đang sinh sống:]]</f>
        <v>Thành thị</v>
      </c>
      <c r="I11" t="str">
        <f>step3_validation[[#This Row],[Education]]</f>
        <v>Đại học</v>
      </c>
      <c r="J11" t="str">
        <f>survey_responses[[#This Row],[Trình độ học vấn cao nhất:]]</f>
        <v>Đại học</v>
      </c>
      <c r="K11" t="str">
        <f>step3_validation[[#This Row],[Employment]]</f>
        <v>Chính thức</v>
      </c>
      <c r="L11" t="str">
        <f>survey_responses[[#This Row],[Tình trạng việc làm chính:]]</f>
        <v>Khu vực chính thức (Có Hợp đồng lao động, đóng BHXH)</v>
      </c>
      <c r="M11">
        <f>step3_validation[[#This Row],[Income_Mil]]</f>
        <v>21.540417785271543</v>
      </c>
      <c r="N11" t="str">
        <f>survey_responses[[#This Row],[Thu nhập bình quân tháng theo Hợp đồng lao động của bạn là bao nhiêu? (Vui lòng điền tổng thu nhập trước khi khấu trừ các loại Bảo hiểm (BHXH, BHYT, BHTN) và Thuế TNCN)]]</f>
        <v>Từ 18 - 23 triệu VNĐ</v>
      </c>
      <c r="O11">
        <f>step3_validation[[#This Row],[Dependents]]</f>
        <v>0</v>
      </c>
      <c r="P11" t="str">
        <f>survey_responses[[#This Row],[Số người phụ thuộc (con nhỏ, cha mẹ già...) đủ điều kiện giảm trừ gia cảnh:]]</f>
        <v>0 người</v>
      </c>
      <c r="Q11">
        <f>step3_validation[[#This Row],[AI_ENF1]]</f>
        <v>8</v>
      </c>
      <c r="R11" t="str">
        <f t="shared" si="0"/>
        <v>Support</v>
      </c>
      <c r="S11">
        <f>survey_responses[[#This Row],[Tôi tin rằng với các quy định quản lý thuế hiện nay, hành vi gian lận hoặc trốn thuế sẽ dễ dàng bị phát hiện và xử lý nghiêm. - HUMAN-ENF1]]</f>
        <v>7</v>
      </c>
      <c r="T11" t="str">
        <f t="shared" si="1"/>
        <v>Neutral</v>
      </c>
      <c r="U11" s="31">
        <f t="shared" si="2"/>
        <v>1</v>
      </c>
      <c r="V11">
        <f>step3_validation[[#This Row],[AI_ENF2]]</f>
        <v>8</v>
      </c>
      <c r="W11" t="str">
        <f t="shared" si="3"/>
        <v>Support</v>
      </c>
      <c r="X11">
        <f>survey_responses[[#This Row],[Tôi tin rằng Nhà nước, cơ quan thuế có đủ khả năng và công nghệ để phát hiện, xử lý nghiêm các hành vi trốn thuế. - HUMAN-ENF2]]</f>
        <v>10</v>
      </c>
      <c r="Y11" t="str">
        <f t="shared" si="4"/>
        <v>Support</v>
      </c>
      <c r="Z11" s="31">
        <f t="shared" si="5"/>
        <v>2</v>
      </c>
      <c r="AA11">
        <f>step3_validation[[#This Row],[AI_FAC1]]</f>
        <v>9</v>
      </c>
      <c r="AB11" t="str">
        <f t="shared" si="6"/>
        <v>Support</v>
      </c>
      <c r="AC11">
        <f>survey_responses[[#This Row],[Các thủ tục khai báo thuế VÀ/HOẶC quy trình làm việc với cơ quan thuế đơn giản, tiện lợi, nhanh chóng hơn so với trước đây. - HUMAN-FAC1]]</f>
        <v>1</v>
      </c>
      <c r="AD11" t="str">
        <f t="shared" si="7"/>
        <v>Oppose</v>
      </c>
      <c r="AE11" s="31">
        <f t="shared" si="8"/>
        <v>8</v>
      </c>
      <c r="AF11">
        <f>step3_validation[[#This Row],[AI_FAC2]]</f>
        <v>9</v>
      </c>
      <c r="AG11" t="str">
        <f t="shared" si="9"/>
        <v>Support</v>
      </c>
      <c r="AH11">
        <f>survey_responses[[#This Row],[So với trước đây, tôi thấy cách tính thuế và các bậc thuế trong phương án mới đơn giản, dễ hiểu và dễ thực hiện hơn. - HUMAN-FAC2]]</f>
        <v>5</v>
      </c>
      <c r="AI11" t="str">
        <f t="shared" si="10"/>
        <v>Neutral</v>
      </c>
      <c r="AJ11" s="31">
        <f t="shared" si="11"/>
        <v>4</v>
      </c>
      <c r="AK11">
        <f>step3_validation[[#This Row],[AI_TRU1]]</f>
        <v>8</v>
      </c>
      <c r="AL11" t="str">
        <f t="shared" si="12"/>
        <v>Support</v>
      </c>
      <c r="AM11">
        <f>survey_responses[[#This Row],[Tôi tin rằng Nhà nước, cơ quan thuế sẽ thực thi chính sách mới một cách khách quan, công tâm và đối xử bình đẳng với mọi người nộp thuế.  - HUMAN-TRU1]]</f>
        <v>8</v>
      </c>
      <c r="AN11" t="str">
        <f t="shared" si="13"/>
        <v>Support</v>
      </c>
      <c r="AO11" s="31">
        <f t="shared" si="14"/>
        <v>0</v>
      </c>
      <c r="AP11">
        <f>step3_validation[[#This Row],[AI_TRU2]]</f>
        <v>9</v>
      </c>
      <c r="AQ11" t="str">
        <f t="shared" si="15"/>
        <v>Support</v>
      </c>
      <c r="AR11">
        <f>survey_responses[[#This Row],[Tôi thấy mức thuế tôi phải đóng theo phương án mới là công bằng (người thu nhập như tôi đóng mức này là hợp lý). - HUMAN-TRU2]]</f>
        <v>5</v>
      </c>
      <c r="AS11" t="str">
        <f t="shared" si="16"/>
        <v>Neutral</v>
      </c>
      <c r="AT11" s="31">
        <f t="shared" si="17"/>
        <v>4</v>
      </c>
      <c r="AU11">
        <f>step3_validation[[#This Row],[AI_TRU3]]</f>
        <v>8</v>
      </c>
      <c r="AV11" t="str">
        <f t="shared" si="18"/>
        <v>Support</v>
      </c>
      <c r="AW11">
        <f>survey_responses[[#This Row],[Tôi tin tưởng số tiền thuế tôi đóng sẽ được Nhà nước sử dụng hiệu quả để cải thiện dịch vụ công (y tế, đường xá...). - HUMAN-TRU3]]</f>
        <v>5</v>
      </c>
      <c r="AX11" t="str">
        <f t="shared" si="19"/>
        <v>Neutral</v>
      </c>
      <c r="AY11" s="31">
        <f t="shared" si="20"/>
        <v>3</v>
      </c>
      <c r="AZ11">
        <f>step3_validation[[#This Row],[AI_TRU4]]</f>
        <v>9</v>
      </c>
      <c r="BA11" t="str">
        <f t="shared" si="21"/>
        <v>Support</v>
      </c>
      <c r="BB11">
        <f>survey_responses[[#This Row],[Tôi thấy Nhà nước đã giải thích rõ ràng, minh bạch về lý do và mục tiêu của việc sửa đổi thuế lần này. - HUMAN-TRU4]]</f>
        <v>5</v>
      </c>
      <c r="BC11" t="str">
        <f t="shared" si="22"/>
        <v>Neutral</v>
      </c>
      <c r="BD11" s="31">
        <f t="shared" si="23"/>
        <v>4</v>
      </c>
      <c r="BE11">
        <f>step3_validation[[#This Row],[AI_OUT1]]</f>
        <v>10</v>
      </c>
      <c r="BF11" t="str">
        <f t="shared" si="24"/>
        <v>Support</v>
      </c>
      <c r="BG11">
        <f>survey_responses[[#This Row],[Sau khi xem xét các quyền lợi và nghĩa vụ, bạn có ủng hộ và tuân thủ chính sách mới hiện nay? - HUMAN-OUT1]]</f>
        <v>10</v>
      </c>
      <c r="BH11" t="str">
        <f t="shared" si="25"/>
        <v>Support</v>
      </c>
      <c r="BI11" s="31">
        <f t="shared" si="26"/>
        <v>0</v>
      </c>
    </row>
    <row r="12" spans="1:61" hidden="1" x14ac:dyDescent="0.45">
      <c r="A12" s="29">
        <f>step3_validation[[#This Row],[Persona_ID]]</f>
        <v>11</v>
      </c>
      <c r="B12" s="30">
        <f>step3_validation[[#This Row],[Used_Seed]]</f>
        <v>52</v>
      </c>
      <c r="C12" t="str">
        <f>step3_validation[[#This Row],[Gender]]</f>
        <v>Nam</v>
      </c>
      <c r="D12" t="str">
        <f>survey_responses[[#This Row],[Giới tính của bạn:]]</f>
        <v>Nam</v>
      </c>
      <c r="E12" t="str">
        <f>step3_validation[[#This Row],[Age_Group]]</f>
        <v>30 - 39</v>
      </c>
      <c r="F12" t="str">
        <f>survey_responses[[#This Row],[Độ tuổi của bạn:]]</f>
        <v>30 - 39</v>
      </c>
      <c r="G12" t="str">
        <f>step3_validation[[#This Row],[Region]]</f>
        <v>Thành thị</v>
      </c>
      <c r="H12" t="str">
        <f>survey_responses[[#This Row],[Khu vực bạn đang sinh sống:]]</f>
        <v>Thành thị</v>
      </c>
      <c r="I12" t="str">
        <f>step3_validation[[#This Row],[Education]]</f>
        <v>Sau Đại học</v>
      </c>
      <c r="J12" t="str">
        <f>survey_responses[[#This Row],[Trình độ học vấn cao nhất:]]</f>
        <v>Sau Đại học</v>
      </c>
      <c r="K12" t="str">
        <f>step3_validation[[#This Row],[Employment]]</f>
        <v>Phi chính thức</v>
      </c>
      <c r="L12" t="str">
        <f>survey_responses[[#This Row],[Tình trạng việc làm chính:]]</f>
        <v>Khu vực phi chính thức (Lao động tự do, không có HĐLĐ)</v>
      </c>
      <c r="M12">
        <f>step3_validation[[#This Row],[Income_Mil]]</f>
        <v>41.474603139272951</v>
      </c>
      <c r="N12" t="str">
        <f>survey_responses[[#This Row],[Thu nhập bình quân tháng theo Hợp đồng lao động của bạn là bao nhiêu? (Vui lòng điền tổng thu nhập trước khi khấu trừ các loại Bảo hiểm (BHXH, BHYT, BHTN) và Thuế TNCN)]]</f>
        <v>Từ 32 - 48 triệu VNĐ</v>
      </c>
      <c r="O12">
        <f>step3_validation[[#This Row],[Dependents]]</f>
        <v>4</v>
      </c>
      <c r="P12" t="str">
        <f>survey_responses[[#This Row],[Số người phụ thuộc (con nhỏ, cha mẹ già...) đủ điều kiện giảm trừ gia cảnh:]]</f>
        <v>4 người trở lên</v>
      </c>
      <c r="Q12">
        <f>step3_validation[[#This Row],[AI_ENF1]]</f>
        <v>7</v>
      </c>
      <c r="R12" t="str">
        <f t="shared" si="0"/>
        <v>Neutral</v>
      </c>
      <c r="S12">
        <f>survey_responses[[#This Row],[Tôi tin rằng với các quy định quản lý thuế hiện nay, hành vi gian lận hoặc trốn thuế sẽ dễ dàng bị phát hiện và xử lý nghiêm. - HUMAN-ENF1]]</f>
        <v>10</v>
      </c>
      <c r="T12" t="str">
        <f t="shared" si="1"/>
        <v>Support</v>
      </c>
      <c r="U12" s="31">
        <f t="shared" si="2"/>
        <v>3</v>
      </c>
      <c r="V12">
        <f>step3_validation[[#This Row],[AI_ENF2]]</f>
        <v>8</v>
      </c>
      <c r="W12" t="str">
        <f t="shared" si="3"/>
        <v>Support</v>
      </c>
      <c r="X12">
        <f>survey_responses[[#This Row],[Tôi tin rằng Nhà nước, cơ quan thuế có đủ khả năng và công nghệ để phát hiện, xử lý nghiêm các hành vi trốn thuế. - HUMAN-ENF2]]</f>
        <v>3</v>
      </c>
      <c r="Y12" t="str">
        <f t="shared" si="4"/>
        <v>Oppose</v>
      </c>
      <c r="Z12" s="31">
        <f t="shared" si="5"/>
        <v>5</v>
      </c>
      <c r="AA12">
        <f>step3_validation[[#This Row],[AI_FAC1]]</f>
        <v>9</v>
      </c>
      <c r="AB12" t="str">
        <f t="shared" si="6"/>
        <v>Support</v>
      </c>
      <c r="AC12">
        <f>survey_responses[[#This Row],[Các thủ tục khai báo thuế VÀ/HOẶC quy trình làm việc với cơ quan thuế đơn giản, tiện lợi, nhanh chóng hơn so với trước đây. - HUMAN-FAC1]]</f>
        <v>1</v>
      </c>
      <c r="AD12" t="str">
        <f t="shared" si="7"/>
        <v>Oppose</v>
      </c>
      <c r="AE12" s="31">
        <f t="shared" si="8"/>
        <v>8</v>
      </c>
      <c r="AF12">
        <f>step3_validation[[#This Row],[AI_FAC2]]</f>
        <v>9</v>
      </c>
      <c r="AG12" t="str">
        <f t="shared" si="9"/>
        <v>Support</v>
      </c>
      <c r="AH12">
        <f>survey_responses[[#This Row],[So với trước đây, tôi thấy cách tính thuế và các bậc thuế trong phương án mới đơn giản, dễ hiểu và dễ thực hiện hơn. - HUMAN-FAC2]]</f>
        <v>7</v>
      </c>
      <c r="AI12" t="str">
        <f t="shared" si="10"/>
        <v>Neutral</v>
      </c>
      <c r="AJ12" s="31">
        <f t="shared" si="11"/>
        <v>2</v>
      </c>
      <c r="AK12">
        <f>step3_validation[[#This Row],[AI_TRU1]]</f>
        <v>8</v>
      </c>
      <c r="AL12" t="str">
        <f t="shared" si="12"/>
        <v>Support</v>
      </c>
      <c r="AM12">
        <f>survey_responses[[#This Row],[Tôi tin rằng Nhà nước, cơ quan thuế sẽ thực thi chính sách mới một cách khách quan, công tâm và đối xử bình đẳng với mọi người nộp thuế.  - HUMAN-TRU1]]</f>
        <v>1</v>
      </c>
      <c r="AN12" t="str">
        <f t="shared" si="13"/>
        <v>Oppose</v>
      </c>
      <c r="AO12" s="31">
        <f t="shared" si="14"/>
        <v>7</v>
      </c>
      <c r="AP12">
        <f>step3_validation[[#This Row],[AI_TRU2]]</f>
        <v>9</v>
      </c>
      <c r="AQ12" t="str">
        <f t="shared" si="15"/>
        <v>Support</v>
      </c>
      <c r="AR12">
        <f>survey_responses[[#This Row],[Tôi thấy mức thuế tôi phải đóng theo phương án mới là công bằng (người thu nhập như tôi đóng mức này là hợp lý). - HUMAN-TRU2]]</f>
        <v>5</v>
      </c>
      <c r="AS12" t="str">
        <f t="shared" si="16"/>
        <v>Neutral</v>
      </c>
      <c r="AT12" s="31">
        <f t="shared" si="17"/>
        <v>4</v>
      </c>
      <c r="AU12">
        <f>step3_validation[[#This Row],[AI_TRU3]]</f>
        <v>8</v>
      </c>
      <c r="AV12" t="str">
        <f t="shared" si="18"/>
        <v>Support</v>
      </c>
      <c r="AW12">
        <f>survey_responses[[#This Row],[Tôi tin tưởng số tiền thuế tôi đóng sẽ được Nhà nước sử dụng hiệu quả để cải thiện dịch vụ công (y tế, đường xá...). - HUMAN-TRU3]]</f>
        <v>1</v>
      </c>
      <c r="AX12" t="str">
        <f t="shared" si="19"/>
        <v>Oppose</v>
      </c>
      <c r="AY12" s="31">
        <f t="shared" si="20"/>
        <v>7</v>
      </c>
      <c r="AZ12">
        <f>step3_validation[[#This Row],[AI_TRU4]]</f>
        <v>9</v>
      </c>
      <c r="BA12" t="str">
        <f t="shared" si="21"/>
        <v>Support</v>
      </c>
      <c r="BB12">
        <f>survey_responses[[#This Row],[Tôi thấy Nhà nước đã giải thích rõ ràng, minh bạch về lý do và mục tiêu của việc sửa đổi thuế lần này. - HUMAN-TRU4]]</f>
        <v>8</v>
      </c>
      <c r="BC12" t="str">
        <f t="shared" si="22"/>
        <v>Support</v>
      </c>
      <c r="BD12" s="31">
        <f t="shared" si="23"/>
        <v>1</v>
      </c>
      <c r="BE12">
        <f>step3_validation[[#This Row],[AI_OUT1]]</f>
        <v>10</v>
      </c>
      <c r="BF12" t="str">
        <f t="shared" si="24"/>
        <v>Support</v>
      </c>
      <c r="BG12">
        <f>survey_responses[[#This Row],[Sau khi xem xét các quyền lợi và nghĩa vụ, bạn có ủng hộ và tuân thủ chính sách mới hiện nay? - HUMAN-OUT1]]</f>
        <v>6</v>
      </c>
      <c r="BH12" t="str">
        <f t="shared" si="25"/>
        <v>Neutral</v>
      </c>
      <c r="BI12" s="31">
        <f t="shared" si="26"/>
        <v>4</v>
      </c>
    </row>
    <row r="13" spans="1:61" x14ac:dyDescent="0.45">
      <c r="A13" s="29">
        <f>step3_validation[[#This Row],[Persona_ID]]</f>
        <v>12</v>
      </c>
      <c r="B13" s="30">
        <f>step3_validation[[#This Row],[Used_Seed]]</f>
        <v>53</v>
      </c>
      <c r="C13" t="str">
        <f>step3_validation[[#This Row],[Gender]]</f>
        <v>Nữ</v>
      </c>
      <c r="D13" t="str">
        <f>survey_responses[[#This Row],[Giới tính của bạn:]]</f>
        <v>Nữ</v>
      </c>
      <c r="E13" t="str">
        <f>step3_validation[[#This Row],[Age_Group]]</f>
        <v>18 - 24</v>
      </c>
      <c r="F13" t="str">
        <f>survey_responses[[#This Row],[Độ tuổi của bạn:]]</f>
        <v>18 - 24</v>
      </c>
      <c r="G13" t="str">
        <f>step3_validation[[#This Row],[Region]]</f>
        <v>Thành thị</v>
      </c>
      <c r="H13" t="str">
        <f>survey_responses[[#This Row],[Khu vực bạn đang sinh sống:]]</f>
        <v>Thành thị</v>
      </c>
      <c r="I13" t="str">
        <f>step3_validation[[#This Row],[Education]]</f>
        <v>Đại học</v>
      </c>
      <c r="J13" t="str">
        <f>survey_responses[[#This Row],[Trình độ học vấn cao nhất:]]</f>
        <v>Đại học</v>
      </c>
      <c r="K13" t="str">
        <f>step3_validation[[#This Row],[Employment]]</f>
        <v>Chính thức</v>
      </c>
      <c r="L13" t="str">
        <f>survey_responses[[#This Row],[Tình trạng việc làm chính:]]</f>
        <v>Khu vực chính thức (Có Hợp đồng lao động, đóng BHXH)</v>
      </c>
      <c r="M13">
        <f>step3_validation[[#This Row],[Income_Mil]]</f>
        <v>12</v>
      </c>
      <c r="N13" t="str">
        <f>survey_responses[[#This Row],[Thu nhập bình quân tháng theo Hợp đồng lao động của bạn là bao nhiêu? (Vui lòng điền tổng thu nhập trước khi khấu trừ các loại Bảo hiểm (BHXH, BHYT, BHTN) và Thuế TNCN)]]</f>
        <v>Dưới 12 triệu VNĐ</v>
      </c>
      <c r="O13">
        <f>step3_validation[[#This Row],[Dependents]]</f>
        <v>0</v>
      </c>
      <c r="P13" t="str">
        <f>survey_responses[[#This Row],[Số người phụ thuộc (con nhỏ, cha mẹ già...) đủ điều kiện giảm trừ gia cảnh:]]</f>
        <v>0 người</v>
      </c>
      <c r="Q13">
        <f>step3_validation[[#This Row],[AI_ENF1]]</f>
        <v>9</v>
      </c>
      <c r="R13" t="str">
        <f t="shared" si="0"/>
        <v>Support</v>
      </c>
      <c r="S13">
        <f>survey_responses[[#This Row],[Tôi tin rằng với các quy định quản lý thuế hiện nay, hành vi gian lận hoặc trốn thuế sẽ dễ dàng bị phát hiện và xử lý nghiêm. - HUMAN-ENF1]]</f>
        <v>5</v>
      </c>
      <c r="T13" t="str">
        <f t="shared" si="1"/>
        <v>Neutral</v>
      </c>
      <c r="U13" s="31">
        <f t="shared" si="2"/>
        <v>4</v>
      </c>
      <c r="V13">
        <f>step3_validation[[#This Row],[AI_ENF2]]</f>
        <v>8</v>
      </c>
      <c r="W13" t="str">
        <f t="shared" si="3"/>
        <v>Support</v>
      </c>
      <c r="X13">
        <f>survey_responses[[#This Row],[Tôi tin rằng Nhà nước, cơ quan thuế có đủ khả năng và công nghệ để phát hiện, xử lý nghiêm các hành vi trốn thuế. - HUMAN-ENF2]]</f>
        <v>8</v>
      </c>
      <c r="Y13" t="str">
        <f t="shared" si="4"/>
        <v>Support</v>
      </c>
      <c r="Z13" s="31">
        <f t="shared" si="5"/>
        <v>0</v>
      </c>
      <c r="AA13">
        <f>step3_validation[[#This Row],[AI_FAC1]]</f>
        <v>9</v>
      </c>
      <c r="AB13" t="str">
        <f t="shared" si="6"/>
        <v>Support</v>
      </c>
      <c r="AC13">
        <f>survey_responses[[#This Row],[Các thủ tục khai báo thuế VÀ/HOẶC quy trình làm việc với cơ quan thuế đơn giản, tiện lợi, nhanh chóng hơn so với trước đây. - HUMAN-FAC1]]</f>
        <v>5</v>
      </c>
      <c r="AD13" t="str">
        <f t="shared" si="7"/>
        <v>Neutral</v>
      </c>
      <c r="AE13" s="31">
        <f t="shared" si="8"/>
        <v>4</v>
      </c>
      <c r="AF13">
        <f>step3_validation[[#This Row],[AI_FAC2]]</f>
        <v>8</v>
      </c>
      <c r="AG13" t="str">
        <f t="shared" si="9"/>
        <v>Support</v>
      </c>
      <c r="AH13">
        <f>survey_responses[[#This Row],[So với trước đây, tôi thấy cách tính thuế và các bậc thuế trong phương án mới đơn giản, dễ hiểu và dễ thực hiện hơn. - HUMAN-FAC2]]</f>
        <v>5</v>
      </c>
      <c r="AI13" t="str">
        <f t="shared" si="10"/>
        <v>Neutral</v>
      </c>
      <c r="AJ13" s="31">
        <f t="shared" si="11"/>
        <v>3</v>
      </c>
      <c r="AK13">
        <f>step3_validation[[#This Row],[AI_TRU1]]</f>
        <v>9</v>
      </c>
      <c r="AL13" t="str">
        <f t="shared" si="12"/>
        <v>Support</v>
      </c>
      <c r="AM13">
        <f>survey_responses[[#This Row],[Tôi tin rằng Nhà nước, cơ quan thuế sẽ thực thi chính sách mới một cách khách quan, công tâm và đối xử bình đẳng với mọi người nộp thuế.  - HUMAN-TRU1]]</f>
        <v>6</v>
      </c>
      <c r="AN13" t="str">
        <f t="shared" si="13"/>
        <v>Neutral</v>
      </c>
      <c r="AO13" s="31">
        <f t="shared" si="14"/>
        <v>3</v>
      </c>
      <c r="AP13">
        <f>step3_validation[[#This Row],[AI_TRU2]]</f>
        <v>8</v>
      </c>
      <c r="AQ13" t="str">
        <f t="shared" si="15"/>
        <v>Support</v>
      </c>
      <c r="AR13">
        <f>survey_responses[[#This Row],[Tôi thấy mức thuế tôi phải đóng theo phương án mới là công bằng (người thu nhập như tôi đóng mức này là hợp lý). - HUMAN-TRU2]]</f>
        <v>5</v>
      </c>
      <c r="AS13" t="str">
        <f t="shared" si="16"/>
        <v>Neutral</v>
      </c>
      <c r="AT13" s="31">
        <f t="shared" si="17"/>
        <v>3</v>
      </c>
      <c r="AU13">
        <f>step3_validation[[#This Row],[AI_TRU3]]</f>
        <v>9</v>
      </c>
      <c r="AV13" t="str">
        <f t="shared" si="18"/>
        <v>Support</v>
      </c>
      <c r="AW13">
        <f>survey_responses[[#This Row],[Tôi tin tưởng số tiền thuế tôi đóng sẽ được Nhà nước sử dụng hiệu quả để cải thiện dịch vụ công (y tế, đường xá...). - HUMAN-TRU3]]</f>
        <v>5</v>
      </c>
      <c r="AX13" t="str">
        <f t="shared" si="19"/>
        <v>Neutral</v>
      </c>
      <c r="AY13" s="31">
        <f t="shared" si="20"/>
        <v>4</v>
      </c>
      <c r="AZ13">
        <f>step3_validation[[#This Row],[AI_TRU4]]</f>
        <v>8</v>
      </c>
      <c r="BA13" t="str">
        <f t="shared" si="21"/>
        <v>Support</v>
      </c>
      <c r="BB13">
        <f>survey_responses[[#This Row],[Tôi thấy Nhà nước đã giải thích rõ ràng, minh bạch về lý do và mục tiêu của việc sửa đổi thuế lần này. - HUMAN-TRU4]]</f>
        <v>5</v>
      </c>
      <c r="BC13" t="str">
        <f t="shared" si="22"/>
        <v>Neutral</v>
      </c>
      <c r="BD13" s="31">
        <f t="shared" si="23"/>
        <v>3</v>
      </c>
      <c r="BE13">
        <f>step3_validation[[#This Row],[AI_OUT1]]</f>
        <v>9</v>
      </c>
      <c r="BF13" t="str">
        <f t="shared" si="24"/>
        <v>Support</v>
      </c>
      <c r="BG13">
        <f>survey_responses[[#This Row],[Sau khi xem xét các quyền lợi và nghĩa vụ, bạn có ủng hộ và tuân thủ chính sách mới hiện nay? - HUMAN-OUT1]]</f>
        <v>5</v>
      </c>
      <c r="BH13" t="str">
        <f t="shared" si="25"/>
        <v>Neutral</v>
      </c>
      <c r="BI13" s="31">
        <f t="shared" si="26"/>
        <v>4</v>
      </c>
    </row>
    <row r="14" spans="1:61" x14ac:dyDescent="0.45">
      <c r="A14" s="29">
        <f>step3_validation[[#This Row],[Persona_ID]]</f>
        <v>13</v>
      </c>
      <c r="B14" s="30">
        <f>step3_validation[[#This Row],[Used_Seed]]</f>
        <v>54</v>
      </c>
      <c r="C14" t="str">
        <f>step3_validation[[#This Row],[Gender]]</f>
        <v>Nữ</v>
      </c>
      <c r="D14" t="str">
        <f>survey_responses[[#This Row],[Giới tính của bạn:]]</f>
        <v>Nữ</v>
      </c>
      <c r="E14" t="str">
        <f>step3_validation[[#This Row],[Age_Group]]</f>
        <v>18 - 24</v>
      </c>
      <c r="F14" t="str">
        <f>survey_responses[[#This Row],[Độ tuổi của bạn:]]</f>
        <v>18 - 24</v>
      </c>
      <c r="G14" t="str">
        <f>step3_validation[[#This Row],[Region]]</f>
        <v>Thành thị</v>
      </c>
      <c r="H14" t="str">
        <f>survey_responses[[#This Row],[Khu vực bạn đang sinh sống:]]</f>
        <v>Thành thị</v>
      </c>
      <c r="I14" t="str">
        <f>step3_validation[[#This Row],[Education]]</f>
        <v>Đại học</v>
      </c>
      <c r="J14" t="str">
        <f>survey_responses[[#This Row],[Trình độ học vấn cao nhất:]]</f>
        <v>Đại học</v>
      </c>
      <c r="K14" t="str">
        <f>step3_validation[[#This Row],[Employment]]</f>
        <v>Chính thức</v>
      </c>
      <c r="L14" t="str">
        <f>survey_responses[[#This Row],[Tình trạng việc làm chính:]]</f>
        <v>Khu vực chính thức (Có Hợp đồng lao động, đóng BHXH)</v>
      </c>
      <c r="M14">
        <f>step3_validation[[#This Row],[Income_Mil]]</f>
        <v>12</v>
      </c>
      <c r="N14" t="str">
        <f>survey_responses[[#This Row],[Thu nhập bình quân tháng theo Hợp đồng lao động của bạn là bao nhiêu? (Vui lòng điền tổng thu nhập trước khi khấu trừ các loại Bảo hiểm (BHXH, BHYT, BHTN) và Thuế TNCN)]]</f>
        <v>Dưới 12 triệu VNĐ</v>
      </c>
      <c r="O14">
        <f>step3_validation[[#This Row],[Dependents]]</f>
        <v>0</v>
      </c>
      <c r="P14" t="str">
        <f>survey_responses[[#This Row],[Số người phụ thuộc (con nhỏ, cha mẹ già...) đủ điều kiện giảm trừ gia cảnh:]]</f>
        <v>0 người</v>
      </c>
      <c r="Q14">
        <f>step3_validation[[#This Row],[AI_ENF1]]</f>
        <v>5</v>
      </c>
      <c r="R14" t="str">
        <f t="shared" si="0"/>
        <v>Neutral</v>
      </c>
      <c r="S14">
        <f>survey_responses[[#This Row],[Tôi tin rằng với các quy định quản lý thuế hiện nay, hành vi gian lận hoặc trốn thuế sẽ dễ dàng bị phát hiện và xử lý nghiêm. - HUMAN-ENF1]]</f>
        <v>8</v>
      </c>
      <c r="T14" t="str">
        <f t="shared" si="1"/>
        <v>Support</v>
      </c>
      <c r="U14" s="31">
        <f t="shared" si="2"/>
        <v>3</v>
      </c>
      <c r="V14">
        <f>step3_validation[[#This Row],[AI_ENF2]]</f>
        <v>6</v>
      </c>
      <c r="W14" t="str">
        <f t="shared" si="3"/>
        <v>Neutral</v>
      </c>
      <c r="X14">
        <f>survey_responses[[#This Row],[Tôi tin rằng Nhà nước, cơ quan thuế có đủ khả năng và công nghệ để phát hiện, xử lý nghiêm các hành vi trốn thuế. - HUMAN-ENF2]]</f>
        <v>7</v>
      </c>
      <c r="Y14" t="str">
        <f t="shared" si="4"/>
        <v>Neutral</v>
      </c>
      <c r="Z14" s="31">
        <f t="shared" si="5"/>
        <v>1</v>
      </c>
      <c r="AA14">
        <f>step3_validation[[#This Row],[AI_FAC1]]</f>
        <v>8</v>
      </c>
      <c r="AB14" t="str">
        <f t="shared" si="6"/>
        <v>Support</v>
      </c>
      <c r="AC14">
        <f>survey_responses[[#This Row],[Các thủ tục khai báo thuế VÀ/HOẶC quy trình làm việc với cơ quan thuế đơn giản, tiện lợi, nhanh chóng hơn so với trước đây. - HUMAN-FAC1]]</f>
        <v>7</v>
      </c>
      <c r="AD14" t="str">
        <f t="shared" si="7"/>
        <v>Neutral</v>
      </c>
      <c r="AE14" s="31">
        <f t="shared" si="8"/>
        <v>1</v>
      </c>
      <c r="AF14">
        <f>step3_validation[[#This Row],[AI_FAC2]]</f>
        <v>7</v>
      </c>
      <c r="AG14" t="str">
        <f t="shared" si="9"/>
        <v>Neutral</v>
      </c>
      <c r="AH14">
        <f>survey_responses[[#This Row],[So với trước đây, tôi thấy cách tính thuế và các bậc thuế trong phương án mới đơn giản, dễ hiểu và dễ thực hiện hơn. - HUMAN-FAC2]]</f>
        <v>7</v>
      </c>
      <c r="AI14" t="str">
        <f t="shared" si="10"/>
        <v>Neutral</v>
      </c>
      <c r="AJ14" s="31">
        <f t="shared" si="11"/>
        <v>0</v>
      </c>
      <c r="AK14">
        <f>step3_validation[[#This Row],[AI_TRU1]]</f>
        <v>9</v>
      </c>
      <c r="AL14" t="str">
        <f t="shared" si="12"/>
        <v>Support</v>
      </c>
      <c r="AM14">
        <f>survey_responses[[#This Row],[Tôi tin rằng Nhà nước, cơ quan thuế sẽ thực thi chính sách mới một cách khách quan, công tâm và đối xử bình đẳng với mọi người nộp thuế.  - HUMAN-TRU1]]</f>
        <v>7</v>
      </c>
      <c r="AN14" t="str">
        <f t="shared" si="13"/>
        <v>Neutral</v>
      </c>
      <c r="AO14" s="31">
        <f t="shared" si="14"/>
        <v>2</v>
      </c>
      <c r="AP14">
        <f>step3_validation[[#This Row],[AI_TRU2]]</f>
        <v>8</v>
      </c>
      <c r="AQ14" t="str">
        <f t="shared" si="15"/>
        <v>Support</v>
      </c>
      <c r="AR14">
        <f>survey_responses[[#This Row],[Tôi thấy mức thuế tôi phải đóng theo phương án mới là công bằng (người thu nhập như tôi đóng mức này là hợp lý). - HUMAN-TRU2]]</f>
        <v>8</v>
      </c>
      <c r="AS14" t="str">
        <f t="shared" si="16"/>
        <v>Support</v>
      </c>
      <c r="AT14" s="31">
        <f t="shared" si="17"/>
        <v>0</v>
      </c>
      <c r="AU14">
        <f>step3_validation[[#This Row],[AI_TRU3]]</f>
        <v>9</v>
      </c>
      <c r="AV14" t="str">
        <f t="shared" si="18"/>
        <v>Support</v>
      </c>
      <c r="AW14">
        <f>survey_responses[[#This Row],[Tôi tin tưởng số tiền thuế tôi đóng sẽ được Nhà nước sử dụng hiệu quả để cải thiện dịch vụ công (y tế, đường xá...). - HUMAN-TRU3]]</f>
        <v>7</v>
      </c>
      <c r="AX14" t="str">
        <f t="shared" si="19"/>
        <v>Neutral</v>
      </c>
      <c r="AY14" s="31">
        <f t="shared" si="20"/>
        <v>2</v>
      </c>
      <c r="AZ14">
        <f>step3_validation[[#This Row],[AI_TRU4]]</f>
        <v>7</v>
      </c>
      <c r="BA14" t="str">
        <f t="shared" si="21"/>
        <v>Neutral</v>
      </c>
      <c r="BB14">
        <f>survey_responses[[#This Row],[Tôi thấy Nhà nước đã giải thích rõ ràng, minh bạch về lý do và mục tiêu của việc sửa đổi thuế lần này. - HUMAN-TRU4]]</f>
        <v>7</v>
      </c>
      <c r="BC14" t="str">
        <f t="shared" si="22"/>
        <v>Neutral</v>
      </c>
      <c r="BD14" s="31">
        <f t="shared" si="23"/>
        <v>0</v>
      </c>
      <c r="BE14">
        <f>step3_validation[[#This Row],[AI_OUT1]]</f>
        <v>9</v>
      </c>
      <c r="BF14" t="str">
        <f t="shared" si="24"/>
        <v>Support</v>
      </c>
      <c r="BG14">
        <f>survey_responses[[#This Row],[Sau khi xem xét các quyền lợi và nghĩa vụ, bạn có ủng hộ và tuân thủ chính sách mới hiện nay? - HUMAN-OUT1]]</f>
        <v>7</v>
      </c>
      <c r="BH14" t="str">
        <f t="shared" si="25"/>
        <v>Neutral</v>
      </c>
      <c r="BI14" s="31">
        <f t="shared" si="26"/>
        <v>2</v>
      </c>
    </row>
    <row r="15" spans="1:61" hidden="1" x14ac:dyDescent="0.45">
      <c r="A15" s="29">
        <f>step3_validation[[#This Row],[Persona_ID]]</f>
        <v>14</v>
      </c>
      <c r="B15" s="30">
        <f>step3_validation[[#This Row],[Used_Seed]]</f>
        <v>55</v>
      </c>
      <c r="C15" t="str">
        <f>step3_validation[[#This Row],[Gender]]</f>
        <v>Nữ</v>
      </c>
      <c r="D15" t="str">
        <f>survey_responses[[#This Row],[Giới tính của bạn:]]</f>
        <v>Nữ</v>
      </c>
      <c r="E15" t="str">
        <f>step3_validation[[#This Row],[Age_Group]]</f>
        <v>30 - 39</v>
      </c>
      <c r="F15" t="str">
        <f>survey_responses[[#This Row],[Độ tuổi của bạn:]]</f>
        <v>30 - 39</v>
      </c>
      <c r="G15" t="str">
        <f>step3_validation[[#This Row],[Region]]</f>
        <v>Thành thị</v>
      </c>
      <c r="H15" t="str">
        <f>survey_responses[[#This Row],[Khu vực bạn đang sinh sống:]]</f>
        <v>Thành thị</v>
      </c>
      <c r="I15" t="str">
        <f>step3_validation[[#This Row],[Education]]</f>
        <v>Sau Đại học</v>
      </c>
      <c r="J15" t="str">
        <f>survey_responses[[#This Row],[Trình độ học vấn cao nhất:]]</f>
        <v>Sau Đại học</v>
      </c>
      <c r="K15" t="str">
        <f>step3_validation[[#This Row],[Employment]]</f>
        <v>Chính thức</v>
      </c>
      <c r="L15" t="str">
        <f>survey_responses[[#This Row],[Tình trạng việc làm chính:]]</f>
        <v>Khu vực chính thức (Có Hợp đồng lao động, đóng BHXH)</v>
      </c>
      <c r="M15">
        <f>step3_validation[[#This Row],[Income_Mil]]</f>
        <v>19.483840115751267</v>
      </c>
      <c r="N15" t="str">
        <f>survey_responses[[#This Row],[Thu nhập bình quân tháng theo Hợp đồng lao động của bạn là bao nhiêu? (Vui lòng điền tổng thu nhập trước khi khấu trừ các loại Bảo hiểm (BHXH, BHYT, BHTN) và Thuế TNCN)]]</f>
        <v>Từ 18 - 23 triệu VNĐ</v>
      </c>
      <c r="O15">
        <f>step3_validation[[#This Row],[Dependents]]</f>
        <v>0</v>
      </c>
      <c r="P15" t="str">
        <f>survey_responses[[#This Row],[Số người phụ thuộc (con nhỏ, cha mẹ già...) đủ điều kiện giảm trừ gia cảnh:]]</f>
        <v>0 người</v>
      </c>
      <c r="Q15">
        <f>step3_validation[[#This Row],[AI_ENF1]]</f>
        <v>7</v>
      </c>
      <c r="R15" t="str">
        <f t="shared" si="0"/>
        <v>Neutral</v>
      </c>
      <c r="S15">
        <f>survey_responses[[#This Row],[Tôi tin rằng với các quy định quản lý thuế hiện nay, hành vi gian lận hoặc trốn thuế sẽ dễ dàng bị phát hiện và xử lý nghiêm. - HUMAN-ENF1]]</f>
        <v>10</v>
      </c>
      <c r="T15" t="str">
        <f t="shared" si="1"/>
        <v>Support</v>
      </c>
      <c r="U15" s="31">
        <f t="shared" si="2"/>
        <v>3</v>
      </c>
      <c r="V15">
        <f>step3_validation[[#This Row],[AI_ENF2]]</f>
        <v>6</v>
      </c>
      <c r="W15" t="str">
        <f t="shared" si="3"/>
        <v>Neutral</v>
      </c>
      <c r="X15">
        <f>survey_responses[[#This Row],[Tôi tin rằng Nhà nước, cơ quan thuế có đủ khả năng và công nghệ để phát hiện, xử lý nghiêm các hành vi trốn thuế. - HUMAN-ENF2]]</f>
        <v>10</v>
      </c>
      <c r="Y15" t="str">
        <f t="shared" si="4"/>
        <v>Support</v>
      </c>
      <c r="Z15" s="31">
        <f t="shared" si="5"/>
        <v>4</v>
      </c>
      <c r="AA15">
        <f>step3_validation[[#This Row],[AI_FAC1]]</f>
        <v>9</v>
      </c>
      <c r="AB15" t="str">
        <f t="shared" si="6"/>
        <v>Support</v>
      </c>
      <c r="AC15">
        <f>survey_responses[[#This Row],[Các thủ tục khai báo thuế VÀ/HOẶC quy trình làm việc với cơ quan thuế đơn giản, tiện lợi, nhanh chóng hơn so với trước đây. - HUMAN-FAC1]]</f>
        <v>8</v>
      </c>
      <c r="AD15" t="str">
        <f t="shared" si="7"/>
        <v>Support</v>
      </c>
      <c r="AE15" s="31">
        <f t="shared" si="8"/>
        <v>1</v>
      </c>
      <c r="AF15">
        <f>step3_validation[[#This Row],[AI_FAC2]]</f>
        <v>9</v>
      </c>
      <c r="AG15" t="str">
        <f t="shared" si="9"/>
        <v>Support</v>
      </c>
      <c r="AH15">
        <f>survey_responses[[#This Row],[So với trước đây, tôi thấy cách tính thuế và các bậc thuế trong phương án mới đơn giản, dễ hiểu và dễ thực hiện hơn. - HUMAN-FAC2]]</f>
        <v>8</v>
      </c>
      <c r="AI15" t="str">
        <f t="shared" si="10"/>
        <v>Support</v>
      </c>
      <c r="AJ15" s="31">
        <f t="shared" si="11"/>
        <v>1</v>
      </c>
      <c r="AK15">
        <f>step3_validation[[#This Row],[AI_TRU1]]</f>
        <v>4</v>
      </c>
      <c r="AL15" t="str">
        <f t="shared" si="12"/>
        <v>Oppose</v>
      </c>
      <c r="AM15">
        <f>survey_responses[[#This Row],[Tôi tin rằng Nhà nước, cơ quan thuế sẽ thực thi chính sách mới một cách khách quan, công tâm và đối xử bình đẳng với mọi người nộp thuế.  - HUMAN-TRU1]]</f>
        <v>8</v>
      </c>
      <c r="AN15" t="str">
        <f t="shared" si="13"/>
        <v>Support</v>
      </c>
      <c r="AO15" s="31">
        <f t="shared" si="14"/>
        <v>4</v>
      </c>
      <c r="AP15">
        <f>step3_validation[[#This Row],[AI_TRU2]]</f>
        <v>5</v>
      </c>
      <c r="AQ15" t="str">
        <f t="shared" si="15"/>
        <v>Neutral</v>
      </c>
      <c r="AR15">
        <f>survey_responses[[#This Row],[Tôi thấy mức thuế tôi phải đóng theo phương án mới là công bằng (người thu nhập như tôi đóng mức này là hợp lý). - HUMAN-TRU2]]</f>
        <v>6</v>
      </c>
      <c r="AS15" t="str">
        <f t="shared" si="16"/>
        <v>Neutral</v>
      </c>
      <c r="AT15" s="31">
        <f t="shared" si="17"/>
        <v>1</v>
      </c>
      <c r="AU15">
        <f>step3_validation[[#This Row],[AI_TRU3]]</f>
        <v>6</v>
      </c>
      <c r="AV15" t="str">
        <f t="shared" si="18"/>
        <v>Neutral</v>
      </c>
      <c r="AW15">
        <f>survey_responses[[#This Row],[Tôi tin tưởng số tiền thuế tôi đóng sẽ được Nhà nước sử dụng hiệu quả để cải thiện dịch vụ công (y tế, đường xá...). - HUMAN-TRU3]]</f>
        <v>6</v>
      </c>
      <c r="AX15" t="str">
        <f t="shared" si="19"/>
        <v>Neutral</v>
      </c>
      <c r="AY15" s="31">
        <f t="shared" si="20"/>
        <v>0</v>
      </c>
      <c r="AZ15">
        <f>step3_validation[[#This Row],[AI_TRU4]]</f>
        <v>8</v>
      </c>
      <c r="BA15" t="str">
        <f t="shared" si="21"/>
        <v>Support</v>
      </c>
      <c r="BB15">
        <f>survey_responses[[#This Row],[Tôi thấy Nhà nước đã giải thích rõ ràng, minh bạch về lý do và mục tiêu của việc sửa đổi thuế lần này. - HUMAN-TRU4]]</f>
        <v>5</v>
      </c>
      <c r="BC15" t="str">
        <f t="shared" si="22"/>
        <v>Neutral</v>
      </c>
      <c r="BD15" s="31">
        <f t="shared" si="23"/>
        <v>3</v>
      </c>
      <c r="BE15">
        <f>step3_validation[[#This Row],[AI_OUT1]]</f>
        <v>6</v>
      </c>
      <c r="BF15" t="str">
        <f t="shared" si="24"/>
        <v>Neutral</v>
      </c>
      <c r="BG15">
        <f>survey_responses[[#This Row],[Sau khi xem xét các quyền lợi và nghĩa vụ, bạn có ủng hộ và tuân thủ chính sách mới hiện nay? - HUMAN-OUT1]]</f>
        <v>5</v>
      </c>
      <c r="BH15" t="str">
        <f t="shared" si="25"/>
        <v>Neutral</v>
      </c>
      <c r="BI15" s="31">
        <f t="shared" si="26"/>
        <v>1</v>
      </c>
    </row>
    <row r="16" spans="1:61" hidden="1" x14ac:dyDescent="0.45">
      <c r="A16" s="29">
        <f>step3_validation[[#This Row],[Persona_ID]]</f>
        <v>15</v>
      </c>
      <c r="B16" s="30">
        <f>step3_validation[[#This Row],[Used_Seed]]</f>
        <v>56</v>
      </c>
      <c r="C16" t="str">
        <f>step3_validation[[#This Row],[Gender]]</f>
        <v>Nam</v>
      </c>
      <c r="D16" t="str">
        <f>survey_responses[[#This Row],[Giới tính của bạn:]]</f>
        <v>Nam</v>
      </c>
      <c r="E16" t="str">
        <f>step3_validation[[#This Row],[Age_Group]]</f>
        <v>30 - 39</v>
      </c>
      <c r="F16" t="str">
        <f>survey_responses[[#This Row],[Độ tuổi của bạn:]]</f>
        <v>30 - 39</v>
      </c>
      <c r="G16" t="str">
        <f>step3_validation[[#This Row],[Region]]</f>
        <v>Thành thị</v>
      </c>
      <c r="H16" t="str">
        <f>survey_responses[[#This Row],[Khu vực bạn đang sinh sống:]]</f>
        <v>Thành thị</v>
      </c>
      <c r="I16" t="str">
        <f>step3_validation[[#This Row],[Education]]</f>
        <v>Sau Đại học</v>
      </c>
      <c r="J16" t="str">
        <f>survey_responses[[#This Row],[Trình độ học vấn cao nhất:]]</f>
        <v>Sau Đại học</v>
      </c>
      <c r="K16" t="str">
        <f>step3_validation[[#This Row],[Employment]]</f>
        <v>Chính thức</v>
      </c>
      <c r="L16" t="str">
        <f>survey_responses[[#This Row],[Tình trạng việc làm chính:]]</f>
        <v>Khu vực chính thức (Có Hợp đồng lao động, đóng BHXH)</v>
      </c>
      <c r="M16">
        <f>step3_validation[[#This Row],[Income_Mil]]</f>
        <v>36.542032616513914</v>
      </c>
      <c r="N16" t="str">
        <f>survey_responses[[#This Row],[Thu nhập bình quân tháng theo Hợp đồng lao động của bạn là bao nhiêu? (Vui lòng điền tổng thu nhập trước khi khấu trừ các loại Bảo hiểm (BHXH, BHYT, BHTN) và Thuế TNCN)]]</f>
        <v>Từ 32 - 48 triệu VNĐ</v>
      </c>
      <c r="O16">
        <f>step3_validation[[#This Row],[Dependents]]</f>
        <v>2</v>
      </c>
      <c r="P16" t="str">
        <f>survey_responses[[#This Row],[Số người phụ thuộc (con nhỏ, cha mẹ già...) đủ điều kiện giảm trừ gia cảnh:]]</f>
        <v>2 người</v>
      </c>
      <c r="Q16">
        <f>step3_validation[[#This Row],[AI_ENF1]]</f>
        <v>7</v>
      </c>
      <c r="R16" t="str">
        <f t="shared" si="0"/>
        <v>Neutral</v>
      </c>
      <c r="S16">
        <f>survey_responses[[#This Row],[Tôi tin rằng với các quy định quản lý thuế hiện nay, hành vi gian lận hoặc trốn thuế sẽ dễ dàng bị phát hiện và xử lý nghiêm. - HUMAN-ENF1]]</f>
        <v>7</v>
      </c>
      <c r="T16" t="str">
        <f t="shared" si="1"/>
        <v>Neutral</v>
      </c>
      <c r="U16" s="31">
        <f t="shared" si="2"/>
        <v>0</v>
      </c>
      <c r="V16">
        <f>step3_validation[[#This Row],[AI_ENF2]]</f>
        <v>7</v>
      </c>
      <c r="W16" t="str">
        <f t="shared" si="3"/>
        <v>Neutral</v>
      </c>
      <c r="X16">
        <f>survey_responses[[#This Row],[Tôi tin rằng Nhà nước, cơ quan thuế có đủ khả năng và công nghệ để phát hiện, xử lý nghiêm các hành vi trốn thuế. - HUMAN-ENF2]]</f>
        <v>9</v>
      </c>
      <c r="Y16" t="str">
        <f t="shared" si="4"/>
        <v>Support</v>
      </c>
      <c r="Z16" s="31">
        <f t="shared" si="5"/>
        <v>2</v>
      </c>
      <c r="AA16">
        <f>step3_validation[[#This Row],[AI_FAC1]]</f>
        <v>6</v>
      </c>
      <c r="AB16" t="str">
        <f t="shared" si="6"/>
        <v>Neutral</v>
      </c>
      <c r="AC16">
        <f>survey_responses[[#This Row],[Các thủ tục khai báo thuế VÀ/HOẶC quy trình làm việc với cơ quan thuế đơn giản, tiện lợi, nhanh chóng hơn so với trước đây. - HUMAN-FAC1]]</f>
        <v>3</v>
      </c>
      <c r="AD16" t="str">
        <f t="shared" si="7"/>
        <v>Oppose</v>
      </c>
      <c r="AE16" s="31">
        <f t="shared" si="8"/>
        <v>3</v>
      </c>
      <c r="AF16">
        <f>step3_validation[[#This Row],[AI_FAC2]]</f>
        <v>8</v>
      </c>
      <c r="AG16" t="str">
        <f t="shared" si="9"/>
        <v>Support</v>
      </c>
      <c r="AH16">
        <f>survey_responses[[#This Row],[So với trước đây, tôi thấy cách tính thuế và các bậc thuế trong phương án mới đơn giản, dễ hiểu và dễ thực hiện hơn. - HUMAN-FAC2]]</f>
        <v>6</v>
      </c>
      <c r="AI16" t="str">
        <f t="shared" si="10"/>
        <v>Neutral</v>
      </c>
      <c r="AJ16" s="31">
        <f t="shared" si="11"/>
        <v>2</v>
      </c>
      <c r="AK16">
        <f>step3_validation[[#This Row],[AI_TRU1]]</f>
        <v>7</v>
      </c>
      <c r="AL16" t="str">
        <f t="shared" si="12"/>
        <v>Neutral</v>
      </c>
      <c r="AM16">
        <f>survey_responses[[#This Row],[Tôi tin rằng Nhà nước, cơ quan thuế sẽ thực thi chính sách mới một cách khách quan, công tâm và đối xử bình đẳng với mọi người nộp thuế.  - HUMAN-TRU1]]</f>
        <v>1</v>
      </c>
      <c r="AN16" t="str">
        <f t="shared" si="13"/>
        <v>Oppose</v>
      </c>
      <c r="AO16" s="31">
        <f t="shared" si="14"/>
        <v>6</v>
      </c>
      <c r="AP16">
        <f>step3_validation[[#This Row],[AI_TRU2]]</f>
        <v>7</v>
      </c>
      <c r="AQ16" t="str">
        <f t="shared" si="15"/>
        <v>Neutral</v>
      </c>
      <c r="AR16">
        <f>survey_responses[[#This Row],[Tôi thấy mức thuế tôi phải đóng theo phương án mới là công bằng (người thu nhập như tôi đóng mức này là hợp lý). - HUMAN-TRU2]]</f>
        <v>1</v>
      </c>
      <c r="AS16" t="str">
        <f t="shared" si="16"/>
        <v>Oppose</v>
      </c>
      <c r="AT16" s="31">
        <f t="shared" si="17"/>
        <v>6</v>
      </c>
      <c r="AU16">
        <f>step3_validation[[#This Row],[AI_TRU3]]</f>
        <v>6</v>
      </c>
      <c r="AV16" t="str">
        <f t="shared" si="18"/>
        <v>Neutral</v>
      </c>
      <c r="AW16">
        <f>survey_responses[[#This Row],[Tôi tin tưởng số tiền thuế tôi đóng sẽ được Nhà nước sử dụng hiệu quả để cải thiện dịch vụ công (y tế, đường xá...). - HUMAN-TRU3]]</f>
        <v>1</v>
      </c>
      <c r="AX16" t="str">
        <f t="shared" si="19"/>
        <v>Oppose</v>
      </c>
      <c r="AY16" s="31">
        <f t="shared" si="20"/>
        <v>5</v>
      </c>
      <c r="AZ16">
        <f>step3_validation[[#This Row],[AI_TRU4]]</f>
        <v>7</v>
      </c>
      <c r="BA16" t="str">
        <f t="shared" si="21"/>
        <v>Neutral</v>
      </c>
      <c r="BB16">
        <f>survey_responses[[#This Row],[Tôi thấy Nhà nước đã giải thích rõ ràng, minh bạch về lý do và mục tiêu của việc sửa đổi thuế lần này. - HUMAN-TRU4]]</f>
        <v>1</v>
      </c>
      <c r="BC16" t="str">
        <f t="shared" si="22"/>
        <v>Oppose</v>
      </c>
      <c r="BD16" s="31">
        <f t="shared" si="23"/>
        <v>6</v>
      </c>
      <c r="BE16">
        <f>step3_validation[[#This Row],[AI_OUT1]]</f>
        <v>8</v>
      </c>
      <c r="BF16" t="str">
        <f t="shared" si="24"/>
        <v>Support</v>
      </c>
      <c r="BG16">
        <f>survey_responses[[#This Row],[Sau khi xem xét các quyền lợi và nghĩa vụ, bạn có ủng hộ và tuân thủ chính sách mới hiện nay? - HUMAN-OUT1]]</f>
        <v>1</v>
      </c>
      <c r="BH16" t="str">
        <f t="shared" si="25"/>
        <v>Oppose</v>
      </c>
      <c r="BI16" s="31">
        <f t="shared" si="26"/>
        <v>7</v>
      </c>
    </row>
    <row r="17" spans="1:61" hidden="1" x14ac:dyDescent="0.45">
      <c r="A17" s="29">
        <f>step3_validation[[#This Row],[Persona_ID]]</f>
        <v>16</v>
      </c>
      <c r="B17" s="30">
        <f>step3_validation[[#This Row],[Used_Seed]]</f>
        <v>57</v>
      </c>
      <c r="C17" t="str">
        <f>step3_validation[[#This Row],[Gender]]</f>
        <v>Nam</v>
      </c>
      <c r="D17" t="str">
        <f>survey_responses[[#This Row],[Giới tính của bạn:]]</f>
        <v>Nam</v>
      </c>
      <c r="E17" t="str">
        <f>step3_validation[[#This Row],[Age_Group]]</f>
        <v>40 - 49</v>
      </c>
      <c r="F17" t="str">
        <f>survey_responses[[#This Row],[Độ tuổi của bạn:]]</f>
        <v>40 - 49</v>
      </c>
      <c r="G17" t="str">
        <f>step3_validation[[#This Row],[Region]]</f>
        <v>Thành thị</v>
      </c>
      <c r="H17" t="str">
        <f>survey_responses[[#This Row],[Khu vực bạn đang sinh sống:]]</f>
        <v>Thành thị</v>
      </c>
      <c r="I17" t="str">
        <f>step3_validation[[#This Row],[Education]]</f>
        <v>Sau Đại học</v>
      </c>
      <c r="J17" t="str">
        <f>survey_responses[[#This Row],[Trình độ học vấn cao nhất:]]</f>
        <v>Sau Đại học</v>
      </c>
      <c r="K17" t="str">
        <f>step3_validation[[#This Row],[Employment]]</f>
        <v>Chính thức</v>
      </c>
      <c r="L17" t="str">
        <f>survey_responses[[#This Row],[Tình trạng việc làm chính:]]</f>
        <v>Khu vực chính thức (Có Hợp đồng lao động, đóng BHXH)</v>
      </c>
      <c r="M17">
        <f>step3_validation[[#This Row],[Income_Mil]]</f>
        <v>91.383156706793713</v>
      </c>
      <c r="N17" t="str">
        <f>survey_responses[[#This Row],[Thu nhập bình quân tháng theo Hợp đồng lao động của bạn là bao nhiêu? (Vui lòng điền tổng thu nhập trước khi khấu trừ các loại Bảo hiểm (BHXH, BHYT, BHTN) và Thuế TNCN)]]</f>
        <v>Từ 70 - 102 triệu VNĐ</v>
      </c>
      <c r="O17">
        <f>step3_validation[[#This Row],[Dependents]]</f>
        <v>4</v>
      </c>
      <c r="P17" t="str">
        <f>survey_responses[[#This Row],[Số người phụ thuộc (con nhỏ, cha mẹ già...) đủ điều kiện giảm trừ gia cảnh:]]</f>
        <v>4 người trở lên</v>
      </c>
      <c r="Q17">
        <f>step3_validation[[#This Row],[AI_ENF1]]</f>
        <v>8</v>
      </c>
      <c r="R17" t="str">
        <f t="shared" si="0"/>
        <v>Support</v>
      </c>
      <c r="S17">
        <f>survey_responses[[#This Row],[Tôi tin rằng với các quy định quản lý thuế hiện nay, hành vi gian lận hoặc trốn thuế sẽ dễ dàng bị phát hiện và xử lý nghiêm. - HUMAN-ENF1]]</f>
        <v>8</v>
      </c>
      <c r="T17" t="str">
        <f t="shared" si="1"/>
        <v>Support</v>
      </c>
      <c r="U17" s="31">
        <f t="shared" si="2"/>
        <v>0</v>
      </c>
      <c r="V17">
        <f>step3_validation[[#This Row],[AI_ENF2]]</f>
        <v>9</v>
      </c>
      <c r="W17" t="str">
        <f t="shared" si="3"/>
        <v>Support</v>
      </c>
      <c r="X17">
        <f>survey_responses[[#This Row],[Tôi tin rằng Nhà nước, cơ quan thuế có đủ khả năng và công nghệ để phát hiện, xử lý nghiêm các hành vi trốn thuế. - HUMAN-ENF2]]</f>
        <v>8</v>
      </c>
      <c r="Y17" t="str">
        <f t="shared" si="4"/>
        <v>Support</v>
      </c>
      <c r="Z17" s="31">
        <f t="shared" si="5"/>
        <v>1</v>
      </c>
      <c r="AA17">
        <f>step3_validation[[#This Row],[AI_FAC1]]</f>
        <v>7</v>
      </c>
      <c r="AB17" t="str">
        <f t="shared" si="6"/>
        <v>Neutral</v>
      </c>
      <c r="AC17">
        <f>survey_responses[[#This Row],[Các thủ tục khai báo thuế VÀ/HOẶC quy trình làm việc với cơ quan thuế đơn giản, tiện lợi, nhanh chóng hơn so với trước đây. - HUMAN-FAC1]]</f>
        <v>8</v>
      </c>
      <c r="AD17" t="str">
        <f t="shared" si="7"/>
        <v>Support</v>
      </c>
      <c r="AE17" s="31">
        <f t="shared" si="8"/>
        <v>1</v>
      </c>
      <c r="AF17">
        <f>step3_validation[[#This Row],[AI_FAC2]]</f>
        <v>9</v>
      </c>
      <c r="AG17" t="str">
        <f t="shared" si="9"/>
        <v>Support</v>
      </c>
      <c r="AH17">
        <f>survey_responses[[#This Row],[So với trước đây, tôi thấy cách tính thuế và các bậc thuế trong phương án mới đơn giản, dễ hiểu và dễ thực hiện hơn. - HUMAN-FAC2]]</f>
        <v>9</v>
      </c>
      <c r="AI17" t="str">
        <f t="shared" si="10"/>
        <v>Support</v>
      </c>
      <c r="AJ17" s="31">
        <f t="shared" si="11"/>
        <v>0</v>
      </c>
      <c r="AK17">
        <f>step3_validation[[#This Row],[AI_TRU1]]</f>
        <v>8</v>
      </c>
      <c r="AL17" t="str">
        <f t="shared" si="12"/>
        <v>Support</v>
      </c>
      <c r="AM17">
        <f>survey_responses[[#This Row],[Tôi tin rằng Nhà nước, cơ quan thuế sẽ thực thi chính sách mới một cách khách quan, công tâm và đối xử bình đẳng với mọi người nộp thuế.  - HUMAN-TRU1]]</f>
        <v>7</v>
      </c>
      <c r="AN17" t="str">
        <f t="shared" si="13"/>
        <v>Neutral</v>
      </c>
      <c r="AO17" s="31">
        <f t="shared" si="14"/>
        <v>1</v>
      </c>
      <c r="AP17">
        <f>step3_validation[[#This Row],[AI_TRU2]]</f>
        <v>9</v>
      </c>
      <c r="AQ17" t="str">
        <f t="shared" si="15"/>
        <v>Support</v>
      </c>
      <c r="AR17">
        <f>survey_responses[[#This Row],[Tôi thấy mức thuế tôi phải đóng theo phương án mới là công bằng (người thu nhập như tôi đóng mức này là hợp lý). - HUMAN-TRU2]]</f>
        <v>7</v>
      </c>
      <c r="AS17" t="str">
        <f t="shared" si="16"/>
        <v>Neutral</v>
      </c>
      <c r="AT17" s="31">
        <f t="shared" si="17"/>
        <v>2</v>
      </c>
      <c r="AU17">
        <f>step3_validation[[#This Row],[AI_TRU3]]</f>
        <v>8</v>
      </c>
      <c r="AV17" t="str">
        <f t="shared" si="18"/>
        <v>Support</v>
      </c>
      <c r="AW17">
        <f>survey_responses[[#This Row],[Tôi tin tưởng số tiền thuế tôi đóng sẽ được Nhà nước sử dụng hiệu quả để cải thiện dịch vụ công (y tế, đường xá...). - HUMAN-TRU3]]</f>
        <v>9</v>
      </c>
      <c r="AX17" t="str">
        <f t="shared" si="19"/>
        <v>Support</v>
      </c>
      <c r="AY17" s="31">
        <f t="shared" si="20"/>
        <v>1</v>
      </c>
      <c r="AZ17">
        <f>step3_validation[[#This Row],[AI_TRU4]]</f>
        <v>7</v>
      </c>
      <c r="BA17" t="str">
        <f t="shared" si="21"/>
        <v>Neutral</v>
      </c>
      <c r="BB17">
        <f>survey_responses[[#This Row],[Tôi thấy Nhà nước đã giải thích rõ ràng, minh bạch về lý do và mục tiêu của việc sửa đổi thuế lần này. - HUMAN-TRU4]]</f>
        <v>8</v>
      </c>
      <c r="BC17" t="str">
        <f t="shared" si="22"/>
        <v>Support</v>
      </c>
      <c r="BD17" s="31">
        <f t="shared" si="23"/>
        <v>1</v>
      </c>
      <c r="BE17">
        <f>step3_validation[[#This Row],[AI_OUT1]]</f>
        <v>9</v>
      </c>
      <c r="BF17" t="str">
        <f t="shared" si="24"/>
        <v>Support</v>
      </c>
      <c r="BG17">
        <f>survey_responses[[#This Row],[Sau khi xem xét các quyền lợi và nghĩa vụ, bạn có ủng hộ và tuân thủ chính sách mới hiện nay? - HUMAN-OUT1]]</f>
        <v>7</v>
      </c>
      <c r="BH17" t="str">
        <f t="shared" si="25"/>
        <v>Neutral</v>
      </c>
      <c r="BI17" s="31">
        <f t="shared" si="26"/>
        <v>2</v>
      </c>
    </row>
    <row r="18" spans="1:61" hidden="1" x14ac:dyDescent="0.45">
      <c r="A18" s="29">
        <f>step3_validation[[#This Row],[Persona_ID]]</f>
        <v>17</v>
      </c>
      <c r="B18" s="30">
        <f>step3_validation[[#This Row],[Used_Seed]]</f>
        <v>58</v>
      </c>
      <c r="C18" t="str">
        <f>step3_validation[[#This Row],[Gender]]</f>
        <v>Nữ</v>
      </c>
      <c r="D18" t="str">
        <f>survey_responses[[#This Row],[Giới tính của bạn:]]</f>
        <v>Nữ</v>
      </c>
      <c r="E18" t="str">
        <f>step3_validation[[#This Row],[Age_Group]]</f>
        <v>25 - 29</v>
      </c>
      <c r="F18" t="str">
        <f>survey_responses[[#This Row],[Độ tuổi của bạn:]]</f>
        <v>25 - 29</v>
      </c>
      <c r="G18" t="str">
        <f>step3_validation[[#This Row],[Region]]</f>
        <v>Thành thị</v>
      </c>
      <c r="H18" t="str">
        <f>survey_responses[[#This Row],[Khu vực bạn đang sinh sống:]]</f>
        <v>Thành thị</v>
      </c>
      <c r="I18" t="str">
        <f>step3_validation[[#This Row],[Education]]</f>
        <v>Đại học</v>
      </c>
      <c r="J18" t="str">
        <f>survey_responses[[#This Row],[Trình độ học vấn cao nhất:]]</f>
        <v>Đại học</v>
      </c>
      <c r="K18" t="str">
        <f>step3_validation[[#This Row],[Employment]]</f>
        <v>Chính thức</v>
      </c>
      <c r="L18" t="str">
        <f>survey_responses[[#This Row],[Tình trạng việc làm chính:]]</f>
        <v>Khu vực chính thức (Có Hợp đồng lao động, đóng BHXH)</v>
      </c>
      <c r="M18">
        <f>step3_validation[[#This Row],[Income_Mil]]</f>
        <v>19.406149604180847</v>
      </c>
      <c r="N18" t="str">
        <f>survey_responses[[#This Row],[Thu nhập bình quân tháng theo Hợp đồng lao động của bạn là bao nhiêu? (Vui lòng điền tổng thu nhập trước khi khấu trừ các loại Bảo hiểm (BHXH, BHYT, BHTN) và Thuế TNCN)]]</f>
        <v>Từ 18 - 23 triệu VNĐ</v>
      </c>
      <c r="O18">
        <f>step3_validation[[#This Row],[Dependents]]</f>
        <v>2</v>
      </c>
      <c r="P18" t="str">
        <f>survey_responses[[#This Row],[Số người phụ thuộc (con nhỏ, cha mẹ già...) đủ điều kiện giảm trừ gia cảnh:]]</f>
        <v>2 người</v>
      </c>
      <c r="Q18">
        <f>step3_validation[[#This Row],[AI_ENF1]]</f>
        <v>8</v>
      </c>
      <c r="R18" t="str">
        <f t="shared" si="0"/>
        <v>Support</v>
      </c>
      <c r="S18">
        <f>survey_responses[[#This Row],[Tôi tin rằng với các quy định quản lý thuế hiện nay, hành vi gian lận hoặc trốn thuế sẽ dễ dàng bị phát hiện và xử lý nghiêm. - HUMAN-ENF1]]</f>
        <v>6</v>
      </c>
      <c r="T18" t="str">
        <f t="shared" si="1"/>
        <v>Neutral</v>
      </c>
      <c r="U18" s="31">
        <f t="shared" si="2"/>
        <v>2</v>
      </c>
      <c r="V18">
        <f>step3_validation[[#This Row],[AI_ENF2]]</f>
        <v>9</v>
      </c>
      <c r="W18" t="str">
        <f t="shared" si="3"/>
        <v>Support</v>
      </c>
      <c r="X18">
        <f>survey_responses[[#This Row],[Tôi tin rằng Nhà nước, cơ quan thuế có đủ khả năng và công nghệ để phát hiện, xử lý nghiêm các hành vi trốn thuế. - HUMAN-ENF2]]</f>
        <v>7</v>
      </c>
      <c r="Y18" t="str">
        <f t="shared" si="4"/>
        <v>Neutral</v>
      </c>
      <c r="Z18" s="31">
        <f t="shared" si="5"/>
        <v>2</v>
      </c>
      <c r="AA18">
        <f>step3_validation[[#This Row],[AI_FAC1]]</f>
        <v>7</v>
      </c>
      <c r="AB18" t="str">
        <f t="shared" si="6"/>
        <v>Neutral</v>
      </c>
      <c r="AC18">
        <f>survey_responses[[#This Row],[Các thủ tục khai báo thuế VÀ/HOẶC quy trình làm việc với cơ quan thuế đơn giản, tiện lợi, nhanh chóng hơn so với trước đây. - HUMAN-FAC1]]</f>
        <v>5</v>
      </c>
      <c r="AD18" t="str">
        <f t="shared" si="7"/>
        <v>Neutral</v>
      </c>
      <c r="AE18" s="31">
        <f t="shared" si="8"/>
        <v>2</v>
      </c>
      <c r="AF18">
        <f>step3_validation[[#This Row],[AI_FAC2]]</f>
        <v>8</v>
      </c>
      <c r="AG18" t="str">
        <f t="shared" si="9"/>
        <v>Support</v>
      </c>
      <c r="AH18">
        <f>survey_responses[[#This Row],[So với trước đây, tôi thấy cách tính thuế và các bậc thuế trong phương án mới đơn giản, dễ hiểu và dễ thực hiện hơn. - HUMAN-FAC2]]</f>
        <v>5</v>
      </c>
      <c r="AI18" t="str">
        <f t="shared" si="10"/>
        <v>Neutral</v>
      </c>
      <c r="AJ18" s="31">
        <f t="shared" si="11"/>
        <v>3</v>
      </c>
      <c r="AK18">
        <f>step3_validation[[#This Row],[AI_TRU1]]</f>
        <v>7</v>
      </c>
      <c r="AL18" t="str">
        <f t="shared" si="12"/>
        <v>Neutral</v>
      </c>
      <c r="AM18">
        <f>survey_responses[[#This Row],[Tôi tin rằng Nhà nước, cơ quan thuế sẽ thực thi chính sách mới một cách khách quan, công tâm và đối xử bình đẳng với mọi người nộp thuế.  - HUMAN-TRU1]]</f>
        <v>6</v>
      </c>
      <c r="AN18" t="str">
        <f t="shared" si="13"/>
        <v>Neutral</v>
      </c>
      <c r="AO18" s="31">
        <f t="shared" si="14"/>
        <v>1</v>
      </c>
      <c r="AP18">
        <f>step3_validation[[#This Row],[AI_TRU2]]</f>
        <v>9</v>
      </c>
      <c r="AQ18" t="str">
        <f t="shared" si="15"/>
        <v>Support</v>
      </c>
      <c r="AR18">
        <f>survey_responses[[#This Row],[Tôi thấy mức thuế tôi phải đóng theo phương án mới là công bằng (người thu nhập như tôi đóng mức này là hợp lý). - HUMAN-TRU2]]</f>
        <v>7</v>
      </c>
      <c r="AS18" t="str">
        <f t="shared" si="16"/>
        <v>Neutral</v>
      </c>
      <c r="AT18" s="31">
        <f t="shared" si="17"/>
        <v>2</v>
      </c>
      <c r="AU18">
        <f>step3_validation[[#This Row],[AI_TRU3]]</f>
        <v>8</v>
      </c>
      <c r="AV18" t="str">
        <f t="shared" si="18"/>
        <v>Support</v>
      </c>
      <c r="AW18">
        <f>survey_responses[[#This Row],[Tôi tin tưởng số tiền thuế tôi đóng sẽ được Nhà nước sử dụng hiệu quả để cải thiện dịch vụ công (y tế, đường xá...). - HUMAN-TRU3]]</f>
        <v>3</v>
      </c>
      <c r="AX18" t="str">
        <f t="shared" si="19"/>
        <v>Oppose</v>
      </c>
      <c r="AY18" s="31">
        <f t="shared" si="20"/>
        <v>5</v>
      </c>
      <c r="AZ18">
        <f>step3_validation[[#This Row],[AI_TRU4]]</f>
        <v>7</v>
      </c>
      <c r="BA18" t="str">
        <f t="shared" si="21"/>
        <v>Neutral</v>
      </c>
      <c r="BB18">
        <f>survey_responses[[#This Row],[Tôi thấy Nhà nước đã giải thích rõ ràng, minh bạch về lý do và mục tiêu của việc sửa đổi thuế lần này. - HUMAN-TRU4]]</f>
        <v>4</v>
      </c>
      <c r="BC18" t="str">
        <f t="shared" si="22"/>
        <v>Oppose</v>
      </c>
      <c r="BD18" s="31">
        <f t="shared" si="23"/>
        <v>3</v>
      </c>
      <c r="BE18">
        <f>step3_validation[[#This Row],[AI_OUT1]]</f>
        <v>9</v>
      </c>
      <c r="BF18" t="str">
        <f t="shared" si="24"/>
        <v>Support</v>
      </c>
      <c r="BG18">
        <f>survey_responses[[#This Row],[Sau khi xem xét các quyền lợi và nghĩa vụ, bạn có ủng hộ và tuân thủ chính sách mới hiện nay? - HUMAN-OUT1]]</f>
        <v>5</v>
      </c>
      <c r="BH18" t="str">
        <f t="shared" si="25"/>
        <v>Neutral</v>
      </c>
      <c r="BI18" s="31">
        <f t="shared" si="26"/>
        <v>4</v>
      </c>
    </row>
    <row r="19" spans="1:61" hidden="1" x14ac:dyDescent="0.45">
      <c r="A19" s="29">
        <f>step3_validation[[#This Row],[Persona_ID]]</f>
        <v>18</v>
      </c>
      <c r="B19" s="30">
        <f>step3_validation[[#This Row],[Used_Seed]]</f>
        <v>59</v>
      </c>
      <c r="C19" t="str">
        <f>step3_validation[[#This Row],[Gender]]</f>
        <v>Nam</v>
      </c>
      <c r="D19" t="str">
        <f>survey_responses[[#This Row],[Giới tính của bạn:]]</f>
        <v>Nam</v>
      </c>
      <c r="E19" t="str">
        <f>step3_validation[[#This Row],[Age_Group]]</f>
        <v>40 - 49</v>
      </c>
      <c r="F19" t="str">
        <f>survey_responses[[#This Row],[Độ tuổi của bạn:]]</f>
        <v>40 - 49</v>
      </c>
      <c r="G19" t="str">
        <f>step3_validation[[#This Row],[Region]]</f>
        <v>Thành thị</v>
      </c>
      <c r="H19" t="str">
        <f>survey_responses[[#This Row],[Khu vực bạn đang sinh sống:]]</f>
        <v>Thành thị</v>
      </c>
      <c r="I19" t="str">
        <f>step3_validation[[#This Row],[Education]]</f>
        <v>Đại học</v>
      </c>
      <c r="J19" t="str">
        <f>survey_responses[[#This Row],[Trình độ học vấn cao nhất:]]</f>
        <v>Đại học</v>
      </c>
      <c r="K19" t="str">
        <f>step3_validation[[#This Row],[Employment]]</f>
        <v>Phi chính thức</v>
      </c>
      <c r="L19" t="str">
        <f>survey_responses[[#This Row],[Tình trạng việc làm chính:]]</f>
        <v>Khu vực phi chính thức (Lao động tự do, không có HĐLĐ)</v>
      </c>
      <c r="M19">
        <f>step3_validation[[#This Row],[Income_Mil]]</f>
        <v>15.487894146924615</v>
      </c>
      <c r="N19" t="str">
        <f>survey_responses[[#This Row],[Thu nhập bình quân tháng theo Hợp đồng lao động của bạn là bao nhiêu? (Vui lòng điền tổng thu nhập trước khi khấu trừ các loại Bảo hiểm (BHXH, BHYT, BHTN) và Thuế TNCN)]]</f>
        <v>Từ 12 - 18 triệu VNĐ</v>
      </c>
      <c r="O19">
        <f>step3_validation[[#This Row],[Dependents]]</f>
        <v>0</v>
      </c>
      <c r="P19" t="str">
        <f>survey_responses[[#This Row],[Số người phụ thuộc (con nhỏ, cha mẹ già...) đủ điều kiện giảm trừ gia cảnh:]]</f>
        <v>0 người</v>
      </c>
      <c r="Q19">
        <f>step3_validation[[#This Row],[AI_ENF1]]</f>
        <v>6</v>
      </c>
      <c r="R19" t="str">
        <f t="shared" si="0"/>
        <v>Neutral</v>
      </c>
      <c r="S19">
        <f>survey_responses[[#This Row],[Tôi tin rằng với các quy định quản lý thuế hiện nay, hành vi gian lận hoặc trốn thuế sẽ dễ dàng bị phát hiện và xử lý nghiêm. - HUMAN-ENF1]]</f>
        <v>6</v>
      </c>
      <c r="T19" t="str">
        <f t="shared" si="1"/>
        <v>Neutral</v>
      </c>
      <c r="U19" s="31">
        <f t="shared" si="2"/>
        <v>0</v>
      </c>
      <c r="V19">
        <f>step3_validation[[#This Row],[AI_ENF2]]</f>
        <v>5</v>
      </c>
      <c r="W19" t="str">
        <f t="shared" si="3"/>
        <v>Neutral</v>
      </c>
      <c r="X19">
        <f>survey_responses[[#This Row],[Tôi tin rằng Nhà nước, cơ quan thuế có đủ khả năng và công nghệ để phát hiện, xử lý nghiêm các hành vi trốn thuế. - HUMAN-ENF2]]</f>
        <v>8</v>
      </c>
      <c r="Y19" t="str">
        <f t="shared" si="4"/>
        <v>Support</v>
      </c>
      <c r="Z19" s="31">
        <f t="shared" si="5"/>
        <v>3</v>
      </c>
      <c r="AA19">
        <f>step3_validation[[#This Row],[AI_FAC1]]</f>
        <v>7</v>
      </c>
      <c r="AB19" t="str">
        <f t="shared" si="6"/>
        <v>Neutral</v>
      </c>
      <c r="AC19">
        <f>survey_responses[[#This Row],[Các thủ tục khai báo thuế VÀ/HOẶC quy trình làm việc với cơ quan thuế đơn giản, tiện lợi, nhanh chóng hơn so với trước đây. - HUMAN-FAC1]]</f>
        <v>7</v>
      </c>
      <c r="AD19" t="str">
        <f t="shared" si="7"/>
        <v>Neutral</v>
      </c>
      <c r="AE19" s="31">
        <f t="shared" si="8"/>
        <v>0</v>
      </c>
      <c r="AF19">
        <f>step3_validation[[#This Row],[AI_FAC2]]</f>
        <v>9</v>
      </c>
      <c r="AG19" t="str">
        <f t="shared" si="9"/>
        <v>Support</v>
      </c>
      <c r="AH19">
        <f>survey_responses[[#This Row],[So với trước đây, tôi thấy cách tính thuế và các bậc thuế trong phương án mới đơn giản, dễ hiểu và dễ thực hiện hơn. - HUMAN-FAC2]]</f>
        <v>8</v>
      </c>
      <c r="AI19" t="str">
        <f t="shared" si="10"/>
        <v>Support</v>
      </c>
      <c r="AJ19" s="31">
        <f t="shared" si="11"/>
        <v>1</v>
      </c>
      <c r="AK19">
        <f>step3_validation[[#This Row],[AI_TRU1]]</f>
        <v>7</v>
      </c>
      <c r="AL19" t="str">
        <f t="shared" si="12"/>
        <v>Neutral</v>
      </c>
      <c r="AM19">
        <f>survey_responses[[#This Row],[Tôi tin rằng Nhà nước, cơ quan thuế sẽ thực thi chính sách mới một cách khách quan, công tâm và đối xử bình đẳng với mọi người nộp thuế.  - HUMAN-TRU1]]</f>
        <v>8</v>
      </c>
      <c r="AN19" t="str">
        <f t="shared" si="13"/>
        <v>Support</v>
      </c>
      <c r="AO19" s="31">
        <f t="shared" si="14"/>
        <v>1</v>
      </c>
      <c r="AP19">
        <f>step3_validation[[#This Row],[AI_TRU2]]</f>
        <v>8</v>
      </c>
      <c r="AQ19" t="str">
        <f t="shared" si="15"/>
        <v>Support</v>
      </c>
      <c r="AR19">
        <f>survey_responses[[#This Row],[Tôi thấy mức thuế tôi phải đóng theo phương án mới là công bằng (người thu nhập như tôi đóng mức này là hợp lý). - HUMAN-TRU2]]</f>
        <v>7</v>
      </c>
      <c r="AS19" t="str">
        <f t="shared" si="16"/>
        <v>Neutral</v>
      </c>
      <c r="AT19" s="31">
        <f t="shared" si="17"/>
        <v>1</v>
      </c>
      <c r="AU19">
        <f>step3_validation[[#This Row],[AI_TRU3]]</f>
        <v>7</v>
      </c>
      <c r="AV19" t="str">
        <f t="shared" si="18"/>
        <v>Neutral</v>
      </c>
      <c r="AW19">
        <f>survey_responses[[#This Row],[Tôi tin tưởng số tiền thuế tôi đóng sẽ được Nhà nước sử dụng hiệu quả để cải thiện dịch vụ công (y tế, đường xá...). - HUMAN-TRU3]]</f>
        <v>7</v>
      </c>
      <c r="AX19" t="str">
        <f t="shared" si="19"/>
        <v>Neutral</v>
      </c>
      <c r="AY19" s="31">
        <f t="shared" si="20"/>
        <v>0</v>
      </c>
      <c r="AZ19">
        <f>step3_validation[[#This Row],[AI_TRU4]]</f>
        <v>6</v>
      </c>
      <c r="BA19" t="str">
        <f t="shared" si="21"/>
        <v>Neutral</v>
      </c>
      <c r="BB19">
        <f>survey_responses[[#This Row],[Tôi thấy Nhà nước đã giải thích rõ ràng, minh bạch về lý do và mục tiêu của việc sửa đổi thuế lần này. - HUMAN-TRU4]]</f>
        <v>6</v>
      </c>
      <c r="BC19" t="str">
        <f t="shared" si="22"/>
        <v>Neutral</v>
      </c>
      <c r="BD19" s="31">
        <f t="shared" si="23"/>
        <v>0</v>
      </c>
      <c r="BE19">
        <f>step3_validation[[#This Row],[AI_OUT1]]</f>
        <v>8</v>
      </c>
      <c r="BF19" t="str">
        <f t="shared" si="24"/>
        <v>Support</v>
      </c>
      <c r="BG19">
        <f>survey_responses[[#This Row],[Sau khi xem xét các quyền lợi và nghĩa vụ, bạn có ủng hộ và tuân thủ chính sách mới hiện nay? - HUMAN-OUT1]]</f>
        <v>8</v>
      </c>
      <c r="BH19" t="str">
        <f t="shared" si="25"/>
        <v>Support</v>
      </c>
      <c r="BI19" s="31">
        <f t="shared" si="26"/>
        <v>0</v>
      </c>
    </row>
    <row r="20" spans="1:61" hidden="1" x14ac:dyDescent="0.45">
      <c r="A20" s="29">
        <f>step3_validation[[#This Row],[Persona_ID]]</f>
        <v>19</v>
      </c>
      <c r="B20" s="30">
        <f>step3_validation[[#This Row],[Used_Seed]]</f>
        <v>60</v>
      </c>
      <c r="C20" t="str">
        <f>step3_validation[[#This Row],[Gender]]</f>
        <v>Nam</v>
      </c>
      <c r="D20" t="str">
        <f>survey_responses[[#This Row],[Giới tính của bạn:]]</f>
        <v>Nam</v>
      </c>
      <c r="E20" t="str">
        <f>step3_validation[[#This Row],[Age_Group]]</f>
        <v>40 - 49</v>
      </c>
      <c r="F20" t="str">
        <f>survey_responses[[#This Row],[Độ tuổi của bạn:]]</f>
        <v>40 - 49</v>
      </c>
      <c r="G20" t="str">
        <f>step3_validation[[#This Row],[Region]]</f>
        <v>Thành thị</v>
      </c>
      <c r="H20" t="str">
        <f>survey_responses[[#This Row],[Khu vực bạn đang sinh sống:]]</f>
        <v>Thành thị</v>
      </c>
      <c r="I20" t="str">
        <f>step3_validation[[#This Row],[Education]]</f>
        <v>Đại học</v>
      </c>
      <c r="J20" t="str">
        <f>survey_responses[[#This Row],[Trình độ học vấn cao nhất:]]</f>
        <v>Đại học</v>
      </c>
      <c r="K20" t="str">
        <f>step3_validation[[#This Row],[Employment]]</f>
        <v>Chính thức</v>
      </c>
      <c r="L20" t="str">
        <f>survey_responses[[#This Row],[Tình trạng việc làm chính:]]</f>
        <v>Khu vực chính thức (Có Hợp đồng lao động, đóng BHXH)</v>
      </c>
      <c r="M20">
        <f>step3_validation[[#This Row],[Income_Mil]]</f>
        <v>210.91384645517641</v>
      </c>
      <c r="N20" t="str">
        <f>survey_responses[[#This Row],[Thu nhập bình quân tháng theo Hợp đồng lao động của bạn là bao nhiêu? (Vui lòng điền tổng thu nhập trước khi khấu trừ các loại Bảo hiểm (BHXH, BHYT, BHTN) và Thuế TNCN)]]</f>
        <v>Trên 102 triệu VNĐ</v>
      </c>
      <c r="O20">
        <f>step3_validation[[#This Row],[Dependents]]</f>
        <v>4</v>
      </c>
      <c r="P20" t="str">
        <f>survey_responses[[#This Row],[Số người phụ thuộc (con nhỏ, cha mẹ già...) đủ điều kiện giảm trừ gia cảnh:]]</f>
        <v>4 người trở lên</v>
      </c>
      <c r="Q20">
        <f>step3_validation[[#This Row],[AI_ENF1]]</f>
        <v>7</v>
      </c>
      <c r="R20" t="str">
        <f t="shared" si="0"/>
        <v>Neutral</v>
      </c>
      <c r="S20">
        <f>survey_responses[[#This Row],[Tôi tin rằng với các quy định quản lý thuế hiện nay, hành vi gian lận hoặc trốn thuế sẽ dễ dàng bị phát hiện và xử lý nghiêm. - HUMAN-ENF1]]</f>
        <v>10</v>
      </c>
      <c r="T20" t="str">
        <f t="shared" si="1"/>
        <v>Support</v>
      </c>
      <c r="U20" s="31">
        <f t="shared" si="2"/>
        <v>3</v>
      </c>
      <c r="V20">
        <f>step3_validation[[#This Row],[AI_ENF2]]</f>
        <v>8</v>
      </c>
      <c r="W20" t="str">
        <f t="shared" si="3"/>
        <v>Support</v>
      </c>
      <c r="X20">
        <f>survey_responses[[#This Row],[Tôi tin rằng Nhà nước, cơ quan thuế có đủ khả năng và công nghệ để phát hiện, xử lý nghiêm các hành vi trốn thuế. - HUMAN-ENF2]]</f>
        <v>10</v>
      </c>
      <c r="Y20" t="str">
        <f t="shared" si="4"/>
        <v>Support</v>
      </c>
      <c r="Z20" s="31">
        <f t="shared" si="5"/>
        <v>2</v>
      </c>
      <c r="AA20">
        <f>step3_validation[[#This Row],[AI_FAC1]]</f>
        <v>9</v>
      </c>
      <c r="AB20" t="str">
        <f t="shared" si="6"/>
        <v>Support</v>
      </c>
      <c r="AC20">
        <f>survey_responses[[#This Row],[Các thủ tục khai báo thuế VÀ/HOẶC quy trình làm việc với cơ quan thuế đơn giản, tiện lợi, nhanh chóng hơn so với trước đây. - HUMAN-FAC1]]</f>
        <v>5</v>
      </c>
      <c r="AD20" t="str">
        <f t="shared" si="7"/>
        <v>Neutral</v>
      </c>
      <c r="AE20" s="31">
        <f t="shared" si="8"/>
        <v>4</v>
      </c>
      <c r="AF20">
        <f>step3_validation[[#This Row],[AI_FAC2]]</f>
        <v>8</v>
      </c>
      <c r="AG20" t="str">
        <f t="shared" si="9"/>
        <v>Support</v>
      </c>
      <c r="AH20">
        <f>survey_responses[[#This Row],[So với trước đây, tôi thấy cách tính thuế và các bậc thuế trong phương án mới đơn giản, dễ hiểu và dễ thực hiện hơn. - HUMAN-FAC2]]</f>
        <v>5</v>
      </c>
      <c r="AI20" t="str">
        <f t="shared" si="10"/>
        <v>Neutral</v>
      </c>
      <c r="AJ20" s="31">
        <f t="shared" si="11"/>
        <v>3</v>
      </c>
      <c r="AK20">
        <f>step3_validation[[#This Row],[AI_TRU1]]</f>
        <v>7</v>
      </c>
      <c r="AL20" t="str">
        <f t="shared" si="12"/>
        <v>Neutral</v>
      </c>
      <c r="AM20">
        <f>survey_responses[[#This Row],[Tôi tin rằng Nhà nước, cơ quan thuế sẽ thực thi chính sách mới một cách khách quan, công tâm và đối xử bình đẳng với mọi người nộp thuế.  - HUMAN-TRU1]]</f>
        <v>5</v>
      </c>
      <c r="AN20" t="str">
        <f t="shared" si="13"/>
        <v>Neutral</v>
      </c>
      <c r="AO20" s="31">
        <f t="shared" si="14"/>
        <v>2</v>
      </c>
      <c r="AP20">
        <f>step3_validation[[#This Row],[AI_TRU2]]</f>
        <v>8</v>
      </c>
      <c r="AQ20" t="str">
        <f t="shared" si="15"/>
        <v>Support</v>
      </c>
      <c r="AR20">
        <f>survey_responses[[#This Row],[Tôi thấy mức thuế tôi phải đóng theo phương án mới là công bằng (người thu nhập như tôi đóng mức này là hợp lý). - HUMAN-TRU2]]</f>
        <v>3</v>
      </c>
      <c r="AS20" t="str">
        <f t="shared" si="16"/>
        <v>Oppose</v>
      </c>
      <c r="AT20" s="31">
        <f t="shared" si="17"/>
        <v>5</v>
      </c>
      <c r="AU20">
        <f>step3_validation[[#This Row],[AI_TRU3]]</f>
        <v>7</v>
      </c>
      <c r="AV20" t="str">
        <f t="shared" si="18"/>
        <v>Neutral</v>
      </c>
      <c r="AW20">
        <f>survey_responses[[#This Row],[Tôi tin tưởng số tiền thuế tôi đóng sẽ được Nhà nước sử dụng hiệu quả để cải thiện dịch vụ công (y tế, đường xá...). - HUMAN-TRU3]]</f>
        <v>2</v>
      </c>
      <c r="AX20" t="str">
        <f t="shared" si="19"/>
        <v>Oppose</v>
      </c>
      <c r="AY20" s="31">
        <f t="shared" si="20"/>
        <v>5</v>
      </c>
      <c r="AZ20">
        <f>step3_validation[[#This Row],[AI_TRU4]]</f>
        <v>6</v>
      </c>
      <c r="BA20" t="str">
        <f t="shared" si="21"/>
        <v>Neutral</v>
      </c>
      <c r="BB20">
        <f>survey_responses[[#This Row],[Tôi thấy Nhà nước đã giải thích rõ ràng, minh bạch về lý do và mục tiêu của việc sửa đổi thuế lần này. - HUMAN-TRU4]]</f>
        <v>5</v>
      </c>
      <c r="BC20" t="str">
        <f t="shared" si="22"/>
        <v>Neutral</v>
      </c>
      <c r="BD20" s="31">
        <f t="shared" si="23"/>
        <v>1</v>
      </c>
      <c r="BE20">
        <f>step3_validation[[#This Row],[AI_OUT1]]</f>
        <v>7</v>
      </c>
      <c r="BF20" t="str">
        <f t="shared" si="24"/>
        <v>Neutral</v>
      </c>
      <c r="BG20">
        <f>survey_responses[[#This Row],[Sau khi xem xét các quyền lợi và nghĩa vụ, bạn có ủng hộ và tuân thủ chính sách mới hiện nay? - HUMAN-OUT1]]</f>
        <v>8</v>
      </c>
      <c r="BH20" t="str">
        <f t="shared" si="25"/>
        <v>Support</v>
      </c>
      <c r="BI20" s="31">
        <f t="shared" si="26"/>
        <v>1</v>
      </c>
    </row>
    <row r="21" spans="1:61" hidden="1" x14ac:dyDescent="0.45">
      <c r="A21" s="29">
        <f>step3_validation[[#This Row],[Persona_ID]]</f>
        <v>20</v>
      </c>
      <c r="B21" s="30">
        <f>step3_validation[[#This Row],[Used_Seed]]</f>
        <v>61</v>
      </c>
      <c r="C21" t="str">
        <f>step3_validation[[#This Row],[Gender]]</f>
        <v>Nam</v>
      </c>
      <c r="D21" t="str">
        <f>survey_responses[[#This Row],[Giới tính của bạn:]]</f>
        <v>Nam</v>
      </c>
      <c r="E21" t="str">
        <f>step3_validation[[#This Row],[Age_Group]]</f>
        <v>30 - 39</v>
      </c>
      <c r="F21" t="str">
        <f>survey_responses[[#This Row],[Độ tuổi của bạn:]]</f>
        <v>30 - 39</v>
      </c>
      <c r="G21" t="str">
        <f>step3_validation[[#This Row],[Region]]</f>
        <v>Thành thị</v>
      </c>
      <c r="H21" t="str">
        <f>survey_responses[[#This Row],[Khu vực bạn đang sinh sống:]]</f>
        <v>Thành thị</v>
      </c>
      <c r="I21" t="str">
        <f>step3_validation[[#This Row],[Education]]</f>
        <v>Sau Đại học</v>
      </c>
      <c r="J21" t="str">
        <f>survey_responses[[#This Row],[Trình độ học vấn cao nhất:]]</f>
        <v>Sau Đại học</v>
      </c>
      <c r="K21" t="str">
        <f>step3_validation[[#This Row],[Employment]]</f>
        <v>Chính thức</v>
      </c>
      <c r="L21" t="str">
        <f>survey_responses[[#This Row],[Tình trạng việc làm chính:]]</f>
        <v>Khu vực chính thức (Có Hợp đồng lao động, đóng BHXH)</v>
      </c>
      <c r="M21">
        <f>step3_validation[[#This Row],[Income_Mil]]</f>
        <v>65.060057414795708</v>
      </c>
      <c r="N21" t="str">
        <f>survey_responses[[#This Row],[Thu nhập bình quân tháng theo Hợp đồng lao động của bạn là bao nhiêu? (Vui lòng điền tổng thu nhập trước khi khấu trừ các loại Bảo hiểm (BHXH, BHYT, BHTN) và Thuế TNCN)]]</f>
        <v>Từ 48 - 70 triệu VNĐ</v>
      </c>
      <c r="O21">
        <f>step3_validation[[#This Row],[Dependents]]</f>
        <v>2</v>
      </c>
      <c r="P21" t="str">
        <f>survey_responses[[#This Row],[Số người phụ thuộc (con nhỏ, cha mẹ già...) đủ điều kiện giảm trừ gia cảnh:]]</f>
        <v>2 người</v>
      </c>
      <c r="Q21">
        <f>step3_validation[[#This Row],[AI_ENF1]]</f>
        <v>8</v>
      </c>
      <c r="R21" t="str">
        <f t="shared" si="0"/>
        <v>Support</v>
      </c>
      <c r="S21">
        <f>survey_responses[[#This Row],[Tôi tin rằng với các quy định quản lý thuế hiện nay, hành vi gian lận hoặc trốn thuế sẽ dễ dàng bị phát hiện và xử lý nghiêm. - HUMAN-ENF1]]</f>
        <v>9</v>
      </c>
      <c r="T21" t="str">
        <f t="shared" si="1"/>
        <v>Support</v>
      </c>
      <c r="U21" s="31">
        <f t="shared" si="2"/>
        <v>1</v>
      </c>
      <c r="V21">
        <f>step3_validation[[#This Row],[AI_ENF2]]</f>
        <v>9</v>
      </c>
      <c r="W21" t="str">
        <f t="shared" si="3"/>
        <v>Support</v>
      </c>
      <c r="X21">
        <f>survey_responses[[#This Row],[Tôi tin rằng Nhà nước, cơ quan thuế có đủ khả năng và công nghệ để phát hiện, xử lý nghiêm các hành vi trốn thuế. - HUMAN-ENF2]]</f>
        <v>9</v>
      </c>
      <c r="Y21" t="str">
        <f t="shared" si="4"/>
        <v>Support</v>
      </c>
      <c r="Z21" s="31">
        <f t="shared" si="5"/>
        <v>0</v>
      </c>
      <c r="AA21">
        <f>step3_validation[[#This Row],[AI_FAC1]]</f>
        <v>8</v>
      </c>
      <c r="AB21" t="str">
        <f t="shared" si="6"/>
        <v>Support</v>
      </c>
      <c r="AC21">
        <f>survey_responses[[#This Row],[Các thủ tục khai báo thuế VÀ/HOẶC quy trình làm việc với cơ quan thuế đơn giản, tiện lợi, nhanh chóng hơn so với trước đây. - HUMAN-FAC1]]</f>
        <v>7</v>
      </c>
      <c r="AD21" t="str">
        <f t="shared" si="7"/>
        <v>Neutral</v>
      </c>
      <c r="AE21" s="31">
        <f t="shared" si="8"/>
        <v>1</v>
      </c>
      <c r="AF21">
        <f>step3_validation[[#This Row],[AI_FAC2]]</f>
        <v>9</v>
      </c>
      <c r="AG21" t="str">
        <f t="shared" si="9"/>
        <v>Support</v>
      </c>
      <c r="AH21">
        <f>survey_responses[[#This Row],[So với trước đây, tôi thấy cách tính thuế và các bậc thuế trong phương án mới đơn giản, dễ hiểu và dễ thực hiện hơn. - HUMAN-FAC2]]</f>
        <v>9</v>
      </c>
      <c r="AI21" t="str">
        <f t="shared" si="10"/>
        <v>Support</v>
      </c>
      <c r="AJ21" s="31">
        <f t="shared" si="11"/>
        <v>0</v>
      </c>
      <c r="AK21">
        <f>step3_validation[[#This Row],[AI_TRU1]]</f>
        <v>8</v>
      </c>
      <c r="AL21" t="str">
        <f t="shared" si="12"/>
        <v>Support</v>
      </c>
      <c r="AM21">
        <f>survey_responses[[#This Row],[Tôi tin rằng Nhà nước, cơ quan thuế sẽ thực thi chính sách mới một cách khách quan, công tâm và đối xử bình đẳng với mọi người nộp thuế.  - HUMAN-TRU1]]</f>
        <v>7</v>
      </c>
      <c r="AN21" t="str">
        <f t="shared" si="13"/>
        <v>Neutral</v>
      </c>
      <c r="AO21" s="31">
        <f t="shared" si="14"/>
        <v>1</v>
      </c>
      <c r="AP21">
        <f>step3_validation[[#This Row],[AI_TRU2]]</f>
        <v>9</v>
      </c>
      <c r="AQ21" t="str">
        <f t="shared" si="15"/>
        <v>Support</v>
      </c>
      <c r="AR21">
        <f>survey_responses[[#This Row],[Tôi thấy mức thuế tôi phải đóng theo phương án mới là công bằng (người thu nhập như tôi đóng mức này là hợp lý). - HUMAN-TRU2]]</f>
        <v>8</v>
      </c>
      <c r="AS21" t="str">
        <f t="shared" si="16"/>
        <v>Support</v>
      </c>
      <c r="AT21" s="31">
        <f t="shared" si="17"/>
        <v>1</v>
      </c>
      <c r="AU21">
        <f>step3_validation[[#This Row],[AI_TRU3]]</f>
        <v>8</v>
      </c>
      <c r="AV21" t="str">
        <f t="shared" si="18"/>
        <v>Support</v>
      </c>
      <c r="AW21">
        <f>survey_responses[[#This Row],[Tôi tin tưởng số tiền thuế tôi đóng sẽ được Nhà nước sử dụng hiệu quả để cải thiện dịch vụ công (y tế, đường xá...). - HUMAN-TRU3]]</f>
        <v>5</v>
      </c>
      <c r="AX21" t="str">
        <f t="shared" si="19"/>
        <v>Neutral</v>
      </c>
      <c r="AY21" s="31">
        <f t="shared" si="20"/>
        <v>3</v>
      </c>
      <c r="AZ21">
        <f>step3_validation[[#This Row],[AI_TRU4]]</f>
        <v>9</v>
      </c>
      <c r="BA21" t="str">
        <f t="shared" si="21"/>
        <v>Support</v>
      </c>
      <c r="BB21">
        <f>survey_responses[[#This Row],[Tôi thấy Nhà nước đã giải thích rõ ràng, minh bạch về lý do và mục tiêu của việc sửa đổi thuế lần này. - HUMAN-TRU4]]</f>
        <v>5</v>
      </c>
      <c r="BC21" t="str">
        <f t="shared" si="22"/>
        <v>Neutral</v>
      </c>
      <c r="BD21" s="31">
        <f t="shared" si="23"/>
        <v>4</v>
      </c>
      <c r="BE21">
        <f>step3_validation[[#This Row],[AI_OUT1]]</f>
        <v>8</v>
      </c>
      <c r="BF21" t="str">
        <f t="shared" si="24"/>
        <v>Support</v>
      </c>
      <c r="BG21">
        <f>survey_responses[[#This Row],[Sau khi xem xét các quyền lợi và nghĩa vụ, bạn có ủng hộ và tuân thủ chính sách mới hiện nay? - HUMAN-OUT1]]</f>
        <v>6</v>
      </c>
      <c r="BH21" t="str">
        <f t="shared" si="25"/>
        <v>Neutral</v>
      </c>
      <c r="BI21" s="31">
        <f t="shared" si="26"/>
        <v>2</v>
      </c>
    </row>
    <row r="22" spans="1:61" hidden="1" x14ac:dyDescent="0.45">
      <c r="A22" s="29">
        <f>step3_validation[[#This Row],[Persona_ID]]</f>
        <v>21</v>
      </c>
      <c r="B22" s="30">
        <f>step3_validation[[#This Row],[Used_Seed]]</f>
        <v>62</v>
      </c>
      <c r="C22" t="str">
        <f>step3_validation[[#This Row],[Gender]]</f>
        <v>Nữ</v>
      </c>
      <c r="D22" t="str">
        <f>survey_responses[[#This Row],[Giới tính của bạn:]]</f>
        <v>Nữ</v>
      </c>
      <c r="E22" t="str">
        <f>step3_validation[[#This Row],[Age_Group]]</f>
        <v>40 - 49</v>
      </c>
      <c r="F22" t="str">
        <f>survey_responses[[#This Row],[Độ tuổi của bạn:]]</f>
        <v>40 - 49</v>
      </c>
      <c r="G22" t="str">
        <f>step3_validation[[#This Row],[Region]]</f>
        <v>Thành thị</v>
      </c>
      <c r="H22" t="str">
        <f>survey_responses[[#This Row],[Khu vực bạn đang sinh sống:]]</f>
        <v>Thành thị</v>
      </c>
      <c r="I22" t="str">
        <f>step3_validation[[#This Row],[Education]]</f>
        <v>Đại học</v>
      </c>
      <c r="J22" t="str">
        <f>survey_responses[[#This Row],[Trình độ học vấn cao nhất:]]</f>
        <v>Đại học</v>
      </c>
      <c r="K22" t="str">
        <f>step3_validation[[#This Row],[Employment]]</f>
        <v>Chính thức</v>
      </c>
      <c r="L22" t="str">
        <f>survey_responses[[#This Row],[Tình trạng việc làm chính:]]</f>
        <v>Khu vực chính thức (Có Hợp đồng lao động, đóng BHXH)</v>
      </c>
      <c r="M22">
        <f>step3_validation[[#This Row],[Income_Mil]]</f>
        <v>156.3407739523318</v>
      </c>
      <c r="N22" t="str">
        <f>survey_responses[[#This Row],[Thu nhập bình quân tháng theo Hợp đồng lao động của bạn là bao nhiêu? (Vui lòng điền tổng thu nhập trước khi khấu trừ các loại Bảo hiểm (BHXH, BHYT, BHTN) và Thuế TNCN)]]</f>
        <v>Trên 102 triệu VNĐ</v>
      </c>
      <c r="O22">
        <f>step3_validation[[#This Row],[Dependents]]</f>
        <v>3</v>
      </c>
      <c r="P22" t="str">
        <f>survey_responses[[#This Row],[Số người phụ thuộc (con nhỏ, cha mẹ già...) đủ điều kiện giảm trừ gia cảnh:]]</f>
        <v>3 người</v>
      </c>
      <c r="Q22">
        <f>step3_validation[[#This Row],[AI_ENF1]]</f>
        <v>7</v>
      </c>
      <c r="R22" t="str">
        <f t="shared" si="0"/>
        <v>Neutral</v>
      </c>
      <c r="S22">
        <f>survey_responses[[#This Row],[Tôi tin rằng với các quy định quản lý thuế hiện nay, hành vi gian lận hoặc trốn thuế sẽ dễ dàng bị phát hiện và xử lý nghiêm. - HUMAN-ENF1]]</f>
        <v>10</v>
      </c>
      <c r="T22" t="str">
        <f t="shared" si="1"/>
        <v>Support</v>
      </c>
      <c r="U22" s="31">
        <f t="shared" si="2"/>
        <v>3</v>
      </c>
      <c r="V22">
        <f>step3_validation[[#This Row],[AI_ENF2]]</f>
        <v>8</v>
      </c>
      <c r="W22" t="str">
        <f t="shared" si="3"/>
        <v>Support</v>
      </c>
      <c r="X22">
        <f>survey_responses[[#This Row],[Tôi tin rằng Nhà nước, cơ quan thuế có đủ khả năng và công nghệ để phát hiện, xử lý nghiêm các hành vi trốn thuế. - HUMAN-ENF2]]</f>
        <v>10</v>
      </c>
      <c r="Y22" t="str">
        <f t="shared" si="4"/>
        <v>Support</v>
      </c>
      <c r="Z22" s="31">
        <f t="shared" si="5"/>
        <v>2</v>
      </c>
      <c r="AA22">
        <f>step3_validation[[#This Row],[AI_FAC1]]</f>
        <v>7</v>
      </c>
      <c r="AB22" t="str">
        <f t="shared" si="6"/>
        <v>Neutral</v>
      </c>
      <c r="AC22">
        <f>survey_responses[[#This Row],[Các thủ tục khai báo thuế VÀ/HOẶC quy trình làm việc với cơ quan thuế đơn giản, tiện lợi, nhanh chóng hơn so với trước đây. - HUMAN-FAC1]]</f>
        <v>8</v>
      </c>
      <c r="AD22" t="str">
        <f t="shared" si="7"/>
        <v>Support</v>
      </c>
      <c r="AE22" s="31">
        <f t="shared" si="8"/>
        <v>1</v>
      </c>
      <c r="AF22">
        <f>step3_validation[[#This Row],[AI_FAC2]]</f>
        <v>9</v>
      </c>
      <c r="AG22" t="str">
        <f t="shared" si="9"/>
        <v>Support</v>
      </c>
      <c r="AH22">
        <f>survey_responses[[#This Row],[So với trước đây, tôi thấy cách tính thuế và các bậc thuế trong phương án mới đơn giản, dễ hiểu và dễ thực hiện hơn. - HUMAN-FAC2]]</f>
        <v>7</v>
      </c>
      <c r="AI22" t="str">
        <f t="shared" si="10"/>
        <v>Neutral</v>
      </c>
      <c r="AJ22" s="31">
        <f t="shared" si="11"/>
        <v>2</v>
      </c>
      <c r="AK22">
        <f>step3_validation[[#This Row],[AI_TRU1]]</f>
        <v>6</v>
      </c>
      <c r="AL22" t="str">
        <f t="shared" si="12"/>
        <v>Neutral</v>
      </c>
      <c r="AM22">
        <f>survey_responses[[#This Row],[Tôi tin rằng Nhà nước, cơ quan thuế sẽ thực thi chính sách mới một cách khách quan, công tâm và đối xử bình đẳng với mọi người nộp thuế.  - HUMAN-TRU1]]</f>
        <v>7</v>
      </c>
      <c r="AN22" t="str">
        <f t="shared" si="13"/>
        <v>Neutral</v>
      </c>
      <c r="AO22" s="31">
        <f t="shared" si="14"/>
        <v>1</v>
      </c>
      <c r="AP22">
        <f>step3_validation[[#This Row],[AI_TRU2]]</f>
        <v>8</v>
      </c>
      <c r="AQ22" t="str">
        <f t="shared" si="15"/>
        <v>Support</v>
      </c>
      <c r="AR22">
        <f>survey_responses[[#This Row],[Tôi thấy mức thuế tôi phải đóng theo phương án mới là công bằng (người thu nhập như tôi đóng mức này là hợp lý). - HUMAN-TRU2]]</f>
        <v>7</v>
      </c>
      <c r="AS22" t="str">
        <f t="shared" si="16"/>
        <v>Neutral</v>
      </c>
      <c r="AT22" s="31">
        <f t="shared" si="17"/>
        <v>1</v>
      </c>
      <c r="AU22">
        <f>step3_validation[[#This Row],[AI_TRU3]]</f>
        <v>7</v>
      </c>
      <c r="AV22" t="str">
        <f t="shared" si="18"/>
        <v>Neutral</v>
      </c>
      <c r="AW22">
        <f>survey_responses[[#This Row],[Tôi tin tưởng số tiền thuế tôi đóng sẽ được Nhà nước sử dụng hiệu quả để cải thiện dịch vụ công (y tế, đường xá...). - HUMAN-TRU3]]</f>
        <v>2</v>
      </c>
      <c r="AX22" t="str">
        <f t="shared" si="19"/>
        <v>Oppose</v>
      </c>
      <c r="AY22" s="31">
        <f t="shared" si="20"/>
        <v>5</v>
      </c>
      <c r="AZ22">
        <f>step3_validation[[#This Row],[AI_TRU4]]</f>
        <v>8</v>
      </c>
      <c r="BA22" t="str">
        <f t="shared" si="21"/>
        <v>Support</v>
      </c>
      <c r="BB22">
        <f>survey_responses[[#This Row],[Tôi thấy Nhà nước đã giải thích rõ ràng, minh bạch về lý do và mục tiêu của việc sửa đổi thuế lần này. - HUMAN-TRU4]]</f>
        <v>3</v>
      </c>
      <c r="BC22" t="str">
        <f t="shared" si="22"/>
        <v>Oppose</v>
      </c>
      <c r="BD22" s="31">
        <f t="shared" si="23"/>
        <v>5</v>
      </c>
      <c r="BE22">
        <f>step3_validation[[#This Row],[AI_OUT1]]</f>
        <v>9</v>
      </c>
      <c r="BF22" t="str">
        <f t="shared" si="24"/>
        <v>Support</v>
      </c>
      <c r="BG22">
        <f>survey_responses[[#This Row],[Sau khi xem xét các quyền lợi và nghĩa vụ, bạn có ủng hộ và tuân thủ chính sách mới hiện nay? - HUMAN-OUT1]]</f>
        <v>3</v>
      </c>
      <c r="BH22" t="str">
        <f t="shared" si="25"/>
        <v>Oppose</v>
      </c>
      <c r="BI22" s="31">
        <f t="shared" si="26"/>
        <v>6</v>
      </c>
    </row>
    <row r="23" spans="1:61" hidden="1" x14ac:dyDescent="0.45">
      <c r="A23" s="29">
        <f>step3_validation[[#This Row],[Persona_ID]]</f>
        <v>22</v>
      </c>
      <c r="B23" s="30">
        <f>step3_validation[[#This Row],[Used_Seed]]</f>
        <v>63</v>
      </c>
      <c r="C23" t="str">
        <f>step3_validation[[#This Row],[Gender]]</f>
        <v>Nữ</v>
      </c>
      <c r="D23" t="str">
        <f>survey_responses[[#This Row],[Giới tính của bạn:]]</f>
        <v>Nữ</v>
      </c>
      <c r="E23" t="str">
        <f>step3_validation[[#This Row],[Age_Group]]</f>
        <v>18 - 24</v>
      </c>
      <c r="F23" t="str">
        <f>survey_responses[[#This Row],[Độ tuổi của bạn:]]</f>
        <v>18 - 24</v>
      </c>
      <c r="G23" t="str">
        <f>step3_validation[[#This Row],[Region]]</f>
        <v>Thành thị</v>
      </c>
      <c r="H23" t="str">
        <f>survey_responses[[#This Row],[Khu vực bạn đang sinh sống:]]</f>
        <v>Thành thị</v>
      </c>
      <c r="I23" t="str">
        <f>step3_validation[[#This Row],[Education]]</f>
        <v>Đại học</v>
      </c>
      <c r="J23" t="str">
        <f>survey_responses[[#This Row],[Trình độ học vấn cao nhất:]]</f>
        <v>Đại học</v>
      </c>
      <c r="K23" t="str">
        <f>step3_validation[[#This Row],[Employment]]</f>
        <v>Chính thức</v>
      </c>
      <c r="L23" t="str">
        <f>survey_responses[[#This Row],[Tình trạng việc làm chính:]]</f>
        <v>Khu vực chính thức (Có Hợp đồng lao động, đóng BHXH)</v>
      </c>
      <c r="M23">
        <f>step3_validation[[#This Row],[Income_Mil]]</f>
        <v>15.17780202053744</v>
      </c>
      <c r="N23" t="str">
        <f>survey_responses[[#This Row],[Thu nhập bình quân tháng theo Hợp đồng lao động của bạn là bao nhiêu? (Vui lòng điền tổng thu nhập trước khi khấu trừ các loại Bảo hiểm (BHXH, BHYT, BHTN) và Thuế TNCN)]]</f>
        <v>Từ 12 - 18 triệu VNĐ</v>
      </c>
      <c r="O23">
        <f>step3_validation[[#This Row],[Dependents]]</f>
        <v>0</v>
      </c>
      <c r="P23" t="str">
        <f>survey_responses[[#This Row],[Số người phụ thuộc (con nhỏ, cha mẹ già...) đủ điều kiện giảm trừ gia cảnh:]]</f>
        <v>0 người</v>
      </c>
      <c r="Q23">
        <f>step3_validation[[#This Row],[AI_ENF1]]</f>
        <v>7</v>
      </c>
      <c r="R23" t="str">
        <f t="shared" si="0"/>
        <v>Neutral</v>
      </c>
      <c r="S23">
        <f>survey_responses[[#This Row],[Tôi tin rằng với các quy định quản lý thuế hiện nay, hành vi gian lận hoặc trốn thuế sẽ dễ dàng bị phát hiện và xử lý nghiêm. - HUMAN-ENF1]]</f>
        <v>8</v>
      </c>
      <c r="T23" t="str">
        <f t="shared" si="1"/>
        <v>Support</v>
      </c>
      <c r="U23" s="31">
        <f t="shared" si="2"/>
        <v>1</v>
      </c>
      <c r="V23">
        <f>step3_validation[[#This Row],[AI_ENF2]]</f>
        <v>6</v>
      </c>
      <c r="W23" t="str">
        <f t="shared" si="3"/>
        <v>Neutral</v>
      </c>
      <c r="X23">
        <f>survey_responses[[#This Row],[Tôi tin rằng Nhà nước, cơ quan thuế có đủ khả năng và công nghệ để phát hiện, xử lý nghiêm các hành vi trốn thuế. - HUMAN-ENF2]]</f>
        <v>8</v>
      </c>
      <c r="Y23" t="str">
        <f t="shared" si="4"/>
        <v>Support</v>
      </c>
      <c r="Z23" s="31">
        <f t="shared" si="5"/>
        <v>2</v>
      </c>
      <c r="AA23">
        <f>step3_validation[[#This Row],[AI_FAC1]]</f>
        <v>8</v>
      </c>
      <c r="AB23" t="str">
        <f t="shared" si="6"/>
        <v>Support</v>
      </c>
      <c r="AC23">
        <f>survey_responses[[#This Row],[Các thủ tục khai báo thuế VÀ/HOẶC quy trình làm việc với cơ quan thuế đơn giản, tiện lợi, nhanh chóng hơn so với trước đây. - HUMAN-FAC1]]</f>
        <v>5</v>
      </c>
      <c r="AD23" t="str">
        <f t="shared" si="7"/>
        <v>Neutral</v>
      </c>
      <c r="AE23" s="31">
        <f t="shared" si="8"/>
        <v>3</v>
      </c>
      <c r="AF23">
        <f>step3_validation[[#This Row],[AI_FAC2]]</f>
        <v>9</v>
      </c>
      <c r="AG23" t="str">
        <f t="shared" si="9"/>
        <v>Support</v>
      </c>
      <c r="AH23">
        <f>survey_responses[[#This Row],[So với trước đây, tôi thấy cách tính thuế và các bậc thuế trong phương án mới đơn giản, dễ hiểu và dễ thực hiện hơn. - HUMAN-FAC2]]</f>
        <v>8</v>
      </c>
      <c r="AI23" t="str">
        <f t="shared" si="10"/>
        <v>Support</v>
      </c>
      <c r="AJ23" s="31">
        <f t="shared" si="11"/>
        <v>1</v>
      </c>
      <c r="AK23">
        <f>step3_validation[[#This Row],[AI_TRU1]]</f>
        <v>8</v>
      </c>
      <c r="AL23" t="str">
        <f t="shared" si="12"/>
        <v>Support</v>
      </c>
      <c r="AM23">
        <f>survey_responses[[#This Row],[Tôi tin rằng Nhà nước, cơ quan thuế sẽ thực thi chính sách mới một cách khách quan, công tâm và đối xử bình đẳng với mọi người nộp thuế.  - HUMAN-TRU1]]</f>
        <v>8</v>
      </c>
      <c r="AN23" t="str">
        <f t="shared" si="13"/>
        <v>Support</v>
      </c>
      <c r="AO23" s="31">
        <f t="shared" si="14"/>
        <v>0</v>
      </c>
      <c r="AP23">
        <f>step3_validation[[#This Row],[AI_TRU2]]</f>
        <v>9</v>
      </c>
      <c r="AQ23" t="str">
        <f t="shared" si="15"/>
        <v>Support</v>
      </c>
      <c r="AR23">
        <f>survey_responses[[#This Row],[Tôi thấy mức thuế tôi phải đóng theo phương án mới là công bằng (người thu nhập như tôi đóng mức này là hợp lý). - HUMAN-TRU2]]</f>
        <v>8</v>
      </c>
      <c r="AS23" t="str">
        <f t="shared" si="16"/>
        <v>Support</v>
      </c>
      <c r="AT23" s="31">
        <f t="shared" si="17"/>
        <v>1</v>
      </c>
      <c r="AU23">
        <f>step3_validation[[#This Row],[AI_TRU3]]</f>
        <v>8</v>
      </c>
      <c r="AV23" t="str">
        <f t="shared" si="18"/>
        <v>Support</v>
      </c>
      <c r="AW23">
        <f>survey_responses[[#This Row],[Tôi tin tưởng số tiền thuế tôi đóng sẽ được Nhà nước sử dụng hiệu quả để cải thiện dịch vụ công (y tế, đường xá...). - HUMAN-TRU3]]</f>
        <v>8</v>
      </c>
      <c r="AX23" t="str">
        <f t="shared" si="19"/>
        <v>Support</v>
      </c>
      <c r="AY23" s="31">
        <f t="shared" si="20"/>
        <v>0</v>
      </c>
      <c r="AZ23">
        <f>step3_validation[[#This Row],[AI_TRU4]]</f>
        <v>7</v>
      </c>
      <c r="BA23" t="str">
        <f t="shared" si="21"/>
        <v>Neutral</v>
      </c>
      <c r="BB23">
        <f>survey_responses[[#This Row],[Tôi thấy Nhà nước đã giải thích rõ ràng, minh bạch về lý do và mục tiêu của việc sửa đổi thuế lần này. - HUMAN-TRU4]]</f>
        <v>8</v>
      </c>
      <c r="BC23" t="str">
        <f t="shared" si="22"/>
        <v>Support</v>
      </c>
      <c r="BD23" s="31">
        <f t="shared" si="23"/>
        <v>1</v>
      </c>
      <c r="BE23">
        <f>step3_validation[[#This Row],[AI_OUT1]]</f>
        <v>9</v>
      </c>
      <c r="BF23" t="str">
        <f t="shared" si="24"/>
        <v>Support</v>
      </c>
      <c r="BG23">
        <f>survey_responses[[#This Row],[Sau khi xem xét các quyền lợi và nghĩa vụ, bạn có ủng hộ và tuân thủ chính sách mới hiện nay? - HUMAN-OUT1]]</f>
        <v>8</v>
      </c>
      <c r="BH23" t="str">
        <f t="shared" si="25"/>
        <v>Support</v>
      </c>
      <c r="BI23" s="31">
        <f t="shared" si="26"/>
        <v>1</v>
      </c>
    </row>
    <row r="24" spans="1:61" hidden="1" x14ac:dyDescent="0.45">
      <c r="A24" s="29">
        <f>step3_validation[[#This Row],[Persona_ID]]</f>
        <v>23</v>
      </c>
      <c r="B24" s="30">
        <f>step3_validation[[#This Row],[Used_Seed]]</f>
        <v>64</v>
      </c>
      <c r="C24" t="str">
        <f>step3_validation[[#This Row],[Gender]]</f>
        <v>Nữ</v>
      </c>
      <c r="D24" t="str">
        <f>survey_responses[[#This Row],[Giới tính của bạn:]]</f>
        <v>Nữ</v>
      </c>
      <c r="E24" t="str">
        <f>step3_validation[[#This Row],[Age_Group]]</f>
        <v>40 - 49</v>
      </c>
      <c r="F24" t="str">
        <f>survey_responses[[#This Row],[Độ tuổi của bạn:]]</f>
        <v>40 - 49</v>
      </c>
      <c r="G24" t="str">
        <f>step3_validation[[#This Row],[Region]]</f>
        <v>Thành thị</v>
      </c>
      <c r="H24" t="str">
        <f>survey_responses[[#This Row],[Khu vực bạn đang sinh sống:]]</f>
        <v>Thành thị</v>
      </c>
      <c r="I24" t="str">
        <f>step3_validation[[#This Row],[Education]]</f>
        <v>Sau Đại học</v>
      </c>
      <c r="J24" t="str">
        <f>survey_responses[[#This Row],[Trình độ học vấn cao nhất:]]</f>
        <v>Sau Đại học</v>
      </c>
      <c r="K24" t="str">
        <f>step3_validation[[#This Row],[Employment]]</f>
        <v>Chính thức</v>
      </c>
      <c r="L24" t="str">
        <f>survey_responses[[#This Row],[Tình trạng việc làm chính:]]</f>
        <v>Khu vực chính thức (Có Hợp đồng lao động, đóng BHXH)</v>
      </c>
      <c r="M24">
        <f>step3_validation[[#This Row],[Income_Mil]]</f>
        <v>90.91008276878496</v>
      </c>
      <c r="N24" t="str">
        <f>survey_responses[[#This Row],[Thu nhập bình quân tháng theo Hợp đồng lao động của bạn là bao nhiêu? (Vui lòng điền tổng thu nhập trước khi khấu trừ các loại Bảo hiểm (BHXH, BHYT, BHTN) và Thuế TNCN)]]</f>
        <v>Từ 70 - 102 triệu VNĐ</v>
      </c>
      <c r="O24">
        <f>step3_validation[[#This Row],[Dependents]]</f>
        <v>3</v>
      </c>
      <c r="P24" t="str">
        <f>survey_responses[[#This Row],[Số người phụ thuộc (con nhỏ, cha mẹ già...) đủ điều kiện giảm trừ gia cảnh:]]</f>
        <v>3 người</v>
      </c>
      <c r="Q24">
        <f>step3_validation[[#This Row],[AI_ENF1]]</f>
        <v>7</v>
      </c>
      <c r="R24" t="str">
        <f t="shared" si="0"/>
        <v>Neutral</v>
      </c>
      <c r="S24">
        <f>survey_responses[[#This Row],[Tôi tin rằng với các quy định quản lý thuế hiện nay, hành vi gian lận hoặc trốn thuế sẽ dễ dàng bị phát hiện và xử lý nghiêm. - HUMAN-ENF1]]</f>
        <v>5</v>
      </c>
      <c r="T24" t="str">
        <f t="shared" si="1"/>
        <v>Neutral</v>
      </c>
      <c r="U24" s="31">
        <f t="shared" si="2"/>
        <v>2</v>
      </c>
      <c r="V24">
        <f>step3_validation[[#This Row],[AI_ENF2]]</f>
        <v>8</v>
      </c>
      <c r="W24" t="str">
        <f t="shared" si="3"/>
        <v>Support</v>
      </c>
      <c r="X24">
        <f>survey_responses[[#This Row],[Tôi tin rằng Nhà nước, cơ quan thuế có đủ khả năng và công nghệ để phát hiện, xử lý nghiêm các hành vi trốn thuế. - HUMAN-ENF2]]</f>
        <v>5</v>
      </c>
      <c r="Y24" t="str">
        <f t="shared" si="4"/>
        <v>Neutral</v>
      </c>
      <c r="Z24" s="31">
        <f t="shared" si="5"/>
        <v>3</v>
      </c>
      <c r="AA24">
        <f>step3_validation[[#This Row],[AI_FAC1]]</f>
        <v>9</v>
      </c>
      <c r="AB24" t="str">
        <f t="shared" si="6"/>
        <v>Support</v>
      </c>
      <c r="AC24">
        <f>survey_responses[[#This Row],[Các thủ tục khai báo thuế VÀ/HOẶC quy trình làm việc với cơ quan thuế đơn giản, tiện lợi, nhanh chóng hơn so với trước đây. - HUMAN-FAC1]]</f>
        <v>5</v>
      </c>
      <c r="AD24" t="str">
        <f t="shared" si="7"/>
        <v>Neutral</v>
      </c>
      <c r="AE24" s="31">
        <f t="shared" si="8"/>
        <v>4</v>
      </c>
      <c r="AF24">
        <f>step3_validation[[#This Row],[AI_FAC2]]</f>
        <v>8</v>
      </c>
      <c r="AG24" t="str">
        <f t="shared" si="9"/>
        <v>Support</v>
      </c>
      <c r="AH24">
        <f>survey_responses[[#This Row],[So với trước đây, tôi thấy cách tính thuế và các bậc thuế trong phương án mới đơn giản, dễ hiểu và dễ thực hiện hơn. - HUMAN-FAC2]]</f>
        <v>5</v>
      </c>
      <c r="AI24" t="str">
        <f t="shared" si="10"/>
        <v>Neutral</v>
      </c>
      <c r="AJ24" s="31">
        <f t="shared" si="11"/>
        <v>3</v>
      </c>
      <c r="AK24">
        <f>step3_validation[[#This Row],[AI_TRU1]]</f>
        <v>7</v>
      </c>
      <c r="AL24" t="str">
        <f t="shared" si="12"/>
        <v>Neutral</v>
      </c>
      <c r="AM24">
        <f>survey_responses[[#This Row],[Tôi tin rằng Nhà nước, cơ quan thuế sẽ thực thi chính sách mới một cách khách quan, công tâm và đối xử bình đẳng với mọi người nộp thuế.  - HUMAN-TRU1]]</f>
        <v>5</v>
      </c>
      <c r="AN24" t="str">
        <f t="shared" si="13"/>
        <v>Neutral</v>
      </c>
      <c r="AO24" s="31">
        <f t="shared" si="14"/>
        <v>2</v>
      </c>
      <c r="AP24">
        <f>step3_validation[[#This Row],[AI_TRU2]]</f>
        <v>9</v>
      </c>
      <c r="AQ24" t="str">
        <f t="shared" si="15"/>
        <v>Support</v>
      </c>
      <c r="AR24">
        <f>survey_responses[[#This Row],[Tôi thấy mức thuế tôi phải đóng theo phương án mới là công bằng (người thu nhập như tôi đóng mức này là hợp lý). - HUMAN-TRU2]]</f>
        <v>5</v>
      </c>
      <c r="AS24" t="str">
        <f t="shared" si="16"/>
        <v>Neutral</v>
      </c>
      <c r="AT24" s="31">
        <f t="shared" si="17"/>
        <v>4</v>
      </c>
      <c r="AU24">
        <f>step3_validation[[#This Row],[AI_TRU3]]</f>
        <v>6</v>
      </c>
      <c r="AV24" t="str">
        <f t="shared" si="18"/>
        <v>Neutral</v>
      </c>
      <c r="AW24">
        <f>survey_responses[[#This Row],[Tôi tin tưởng số tiền thuế tôi đóng sẽ được Nhà nước sử dụng hiệu quả để cải thiện dịch vụ công (y tế, đường xá...). - HUMAN-TRU3]]</f>
        <v>5</v>
      </c>
      <c r="AX24" t="str">
        <f t="shared" si="19"/>
        <v>Neutral</v>
      </c>
      <c r="AY24" s="31">
        <f t="shared" si="20"/>
        <v>1</v>
      </c>
      <c r="AZ24">
        <f>step3_validation[[#This Row],[AI_TRU4]]</f>
        <v>8</v>
      </c>
      <c r="BA24" t="str">
        <f t="shared" si="21"/>
        <v>Support</v>
      </c>
      <c r="BB24">
        <f>survey_responses[[#This Row],[Tôi thấy Nhà nước đã giải thích rõ ràng, minh bạch về lý do và mục tiêu của việc sửa đổi thuế lần này. - HUMAN-TRU4]]</f>
        <v>5</v>
      </c>
      <c r="BC24" t="str">
        <f t="shared" si="22"/>
        <v>Neutral</v>
      </c>
      <c r="BD24" s="31">
        <f t="shared" si="23"/>
        <v>3</v>
      </c>
      <c r="BE24">
        <f>step3_validation[[#This Row],[AI_OUT1]]</f>
        <v>9</v>
      </c>
      <c r="BF24" t="str">
        <f t="shared" si="24"/>
        <v>Support</v>
      </c>
      <c r="BG24">
        <f>survey_responses[[#This Row],[Sau khi xem xét các quyền lợi và nghĩa vụ, bạn có ủng hộ và tuân thủ chính sách mới hiện nay? - HUMAN-OUT1]]</f>
        <v>5</v>
      </c>
      <c r="BH24" t="str">
        <f t="shared" si="25"/>
        <v>Neutral</v>
      </c>
      <c r="BI24" s="31">
        <f t="shared" si="26"/>
        <v>4</v>
      </c>
    </row>
    <row r="25" spans="1:61" hidden="1" x14ac:dyDescent="0.45">
      <c r="A25" s="29">
        <f>step3_validation[[#This Row],[Persona_ID]]</f>
        <v>24</v>
      </c>
      <c r="B25" s="30">
        <f>step3_validation[[#This Row],[Used_Seed]]</f>
        <v>65</v>
      </c>
      <c r="C25" t="str">
        <f>step3_validation[[#This Row],[Gender]]</f>
        <v>Nữ</v>
      </c>
      <c r="D25" t="str">
        <f>survey_responses[[#This Row],[Giới tính của bạn:]]</f>
        <v>Nữ</v>
      </c>
      <c r="E25" t="str">
        <f>step3_validation[[#This Row],[Age_Group]]</f>
        <v>30 - 39</v>
      </c>
      <c r="F25" t="str">
        <f>survey_responses[[#This Row],[Độ tuổi của bạn:]]</f>
        <v>30 - 39</v>
      </c>
      <c r="G25" t="str">
        <f>step3_validation[[#This Row],[Region]]</f>
        <v>Nông thôn</v>
      </c>
      <c r="H25" t="str">
        <f>survey_responses[[#This Row],[Khu vực bạn đang sinh sống:]]</f>
        <v>Nông thôn</v>
      </c>
      <c r="I25" t="str">
        <f>step3_validation[[#This Row],[Education]]</f>
        <v>Đại học</v>
      </c>
      <c r="J25" t="str">
        <f>survey_responses[[#This Row],[Trình độ học vấn cao nhất:]]</f>
        <v>Đại học</v>
      </c>
      <c r="K25" t="str">
        <f>step3_validation[[#This Row],[Employment]]</f>
        <v>Chính thức</v>
      </c>
      <c r="L25" t="str">
        <f>survey_responses[[#This Row],[Tình trạng việc làm chính:]]</f>
        <v>Khu vực chính thức (Có Hợp đồng lao động, đóng BHXH)</v>
      </c>
      <c r="M25">
        <f>step3_validation[[#This Row],[Income_Mil]]</f>
        <v>24.600300732680093</v>
      </c>
      <c r="N25" t="str">
        <f>survey_responses[[#This Row],[Thu nhập bình quân tháng theo Hợp đồng lao động của bạn là bao nhiêu? (Vui lòng điền tổng thu nhập trước khi khấu trừ các loại Bảo hiểm (BHXH, BHYT, BHTN) và Thuế TNCN)]]</f>
        <v>Từ 23 - 32 triệu VNĐ</v>
      </c>
      <c r="O25">
        <f>step3_validation[[#This Row],[Dependents]]</f>
        <v>2</v>
      </c>
      <c r="P25" t="str">
        <f>survey_responses[[#This Row],[Số người phụ thuộc (con nhỏ, cha mẹ già...) đủ điều kiện giảm trừ gia cảnh:]]</f>
        <v>2 người</v>
      </c>
      <c r="Q25">
        <f>step3_validation[[#This Row],[AI_ENF1]]</f>
        <v>7</v>
      </c>
      <c r="R25" t="str">
        <f t="shared" si="0"/>
        <v>Neutral</v>
      </c>
      <c r="S25">
        <f>survey_responses[[#This Row],[Tôi tin rằng với các quy định quản lý thuế hiện nay, hành vi gian lận hoặc trốn thuế sẽ dễ dàng bị phát hiện và xử lý nghiêm. - HUMAN-ENF1]]</f>
        <v>9</v>
      </c>
      <c r="T25" t="str">
        <f t="shared" si="1"/>
        <v>Support</v>
      </c>
      <c r="U25" s="31">
        <f t="shared" si="2"/>
        <v>2</v>
      </c>
      <c r="V25">
        <f>step3_validation[[#This Row],[AI_ENF2]]</f>
        <v>8</v>
      </c>
      <c r="W25" t="str">
        <f t="shared" si="3"/>
        <v>Support</v>
      </c>
      <c r="X25">
        <f>survey_responses[[#This Row],[Tôi tin rằng Nhà nước, cơ quan thuế có đủ khả năng và công nghệ để phát hiện, xử lý nghiêm các hành vi trốn thuế. - HUMAN-ENF2]]</f>
        <v>8</v>
      </c>
      <c r="Y25" t="str">
        <f t="shared" si="4"/>
        <v>Support</v>
      </c>
      <c r="Z25" s="31">
        <f t="shared" si="5"/>
        <v>0</v>
      </c>
      <c r="AA25">
        <f>step3_validation[[#This Row],[AI_FAC1]]</f>
        <v>9</v>
      </c>
      <c r="AB25" t="str">
        <f t="shared" si="6"/>
        <v>Support</v>
      </c>
      <c r="AC25">
        <f>survey_responses[[#This Row],[Các thủ tục khai báo thuế VÀ/HOẶC quy trình làm việc với cơ quan thuế đơn giản, tiện lợi, nhanh chóng hơn so với trước đây. - HUMAN-FAC1]]</f>
        <v>6</v>
      </c>
      <c r="AD25" t="str">
        <f t="shared" si="7"/>
        <v>Neutral</v>
      </c>
      <c r="AE25" s="31">
        <f t="shared" si="8"/>
        <v>3</v>
      </c>
      <c r="AF25">
        <f>step3_validation[[#This Row],[AI_FAC2]]</f>
        <v>9</v>
      </c>
      <c r="AG25" t="str">
        <f t="shared" si="9"/>
        <v>Support</v>
      </c>
      <c r="AH25">
        <f>survey_responses[[#This Row],[So với trước đây, tôi thấy cách tính thuế và các bậc thuế trong phương án mới đơn giản, dễ hiểu và dễ thực hiện hơn. - HUMAN-FAC2]]</f>
        <v>9</v>
      </c>
      <c r="AI25" t="str">
        <f t="shared" si="10"/>
        <v>Support</v>
      </c>
      <c r="AJ25" s="31">
        <f t="shared" si="11"/>
        <v>0</v>
      </c>
      <c r="AK25">
        <f>step3_validation[[#This Row],[AI_TRU1]]</f>
        <v>8</v>
      </c>
      <c r="AL25" t="str">
        <f t="shared" si="12"/>
        <v>Support</v>
      </c>
      <c r="AM25">
        <f>survey_responses[[#This Row],[Tôi tin rằng Nhà nước, cơ quan thuế sẽ thực thi chính sách mới một cách khách quan, công tâm và đối xử bình đẳng với mọi người nộp thuế.  - HUMAN-TRU1]]</f>
        <v>8</v>
      </c>
      <c r="AN25" t="str">
        <f t="shared" si="13"/>
        <v>Support</v>
      </c>
      <c r="AO25" s="31">
        <f t="shared" si="14"/>
        <v>0</v>
      </c>
      <c r="AP25">
        <f>step3_validation[[#This Row],[AI_TRU2]]</f>
        <v>9</v>
      </c>
      <c r="AQ25" t="str">
        <f t="shared" si="15"/>
        <v>Support</v>
      </c>
      <c r="AR25">
        <f>survey_responses[[#This Row],[Tôi thấy mức thuế tôi phải đóng theo phương án mới là công bằng (người thu nhập như tôi đóng mức này là hợp lý). - HUMAN-TRU2]]</f>
        <v>10</v>
      </c>
      <c r="AS25" t="str">
        <f t="shared" si="16"/>
        <v>Support</v>
      </c>
      <c r="AT25" s="31">
        <f t="shared" si="17"/>
        <v>1</v>
      </c>
      <c r="AU25">
        <f>step3_validation[[#This Row],[AI_TRU3]]</f>
        <v>8</v>
      </c>
      <c r="AV25" t="str">
        <f t="shared" si="18"/>
        <v>Support</v>
      </c>
      <c r="AW25">
        <f>survey_responses[[#This Row],[Tôi tin tưởng số tiền thuế tôi đóng sẽ được Nhà nước sử dụng hiệu quả để cải thiện dịch vụ công (y tế, đường xá...). - HUMAN-TRU3]]</f>
        <v>6</v>
      </c>
      <c r="AX25" t="str">
        <f t="shared" si="19"/>
        <v>Neutral</v>
      </c>
      <c r="AY25" s="31">
        <f t="shared" si="20"/>
        <v>2</v>
      </c>
      <c r="AZ25">
        <f>step3_validation[[#This Row],[AI_TRU4]]</f>
        <v>7</v>
      </c>
      <c r="BA25" t="str">
        <f t="shared" si="21"/>
        <v>Neutral</v>
      </c>
      <c r="BB25">
        <f>survey_responses[[#This Row],[Tôi thấy Nhà nước đã giải thích rõ ràng, minh bạch về lý do và mục tiêu của việc sửa đổi thuế lần này. - HUMAN-TRU4]]</f>
        <v>6</v>
      </c>
      <c r="BC25" t="str">
        <f t="shared" si="22"/>
        <v>Neutral</v>
      </c>
      <c r="BD25" s="31">
        <f t="shared" si="23"/>
        <v>1</v>
      </c>
      <c r="BE25">
        <f>step3_validation[[#This Row],[AI_OUT1]]</f>
        <v>9</v>
      </c>
      <c r="BF25" t="str">
        <f t="shared" si="24"/>
        <v>Support</v>
      </c>
      <c r="BG25">
        <f>survey_responses[[#This Row],[Sau khi xem xét các quyền lợi và nghĩa vụ, bạn có ủng hộ và tuân thủ chính sách mới hiện nay? - HUMAN-OUT1]]</f>
        <v>8</v>
      </c>
      <c r="BH25" t="str">
        <f t="shared" si="25"/>
        <v>Support</v>
      </c>
      <c r="BI25" s="31">
        <f t="shared" si="26"/>
        <v>1</v>
      </c>
    </row>
    <row r="26" spans="1:61" hidden="1" x14ac:dyDescent="0.45">
      <c r="A26" s="29">
        <f>step3_validation[[#This Row],[Persona_ID]]</f>
        <v>25</v>
      </c>
      <c r="B26" s="30">
        <f>step3_validation[[#This Row],[Used_Seed]]</f>
        <v>66</v>
      </c>
      <c r="C26" t="str">
        <f>step3_validation[[#This Row],[Gender]]</f>
        <v>Nam</v>
      </c>
      <c r="D26" t="str">
        <f>survey_responses[[#This Row],[Giới tính của bạn:]]</f>
        <v>Nam</v>
      </c>
      <c r="E26" t="str">
        <f>step3_validation[[#This Row],[Age_Group]]</f>
        <v>30 - 39</v>
      </c>
      <c r="F26" t="str">
        <f>survey_responses[[#This Row],[Độ tuổi của bạn:]]</f>
        <v>30 - 39</v>
      </c>
      <c r="G26" t="str">
        <f>step3_validation[[#This Row],[Region]]</f>
        <v>Thành thị</v>
      </c>
      <c r="H26" t="str">
        <f>survey_responses[[#This Row],[Khu vực bạn đang sinh sống:]]</f>
        <v>Thành thị</v>
      </c>
      <c r="I26" t="str">
        <f>step3_validation[[#This Row],[Education]]</f>
        <v>Sau Đại học</v>
      </c>
      <c r="J26" t="str">
        <f>survey_responses[[#This Row],[Trình độ học vấn cao nhất:]]</f>
        <v>Sau Đại học</v>
      </c>
      <c r="K26" t="str">
        <f>step3_validation[[#This Row],[Employment]]</f>
        <v>Chính thức</v>
      </c>
      <c r="L26" t="str">
        <f>survey_responses[[#This Row],[Tình trạng việc làm chính:]]</f>
        <v>Khu vực chính thức (Có Hợp đồng lao động, đóng BHXH)</v>
      </c>
      <c r="M26">
        <f>step3_validation[[#This Row],[Income_Mil]]</f>
        <v>33.604279442095795</v>
      </c>
      <c r="N26" t="str">
        <f>survey_responses[[#This Row],[Thu nhập bình quân tháng theo Hợp đồng lao động của bạn là bao nhiêu? (Vui lòng điền tổng thu nhập trước khi khấu trừ các loại Bảo hiểm (BHXH, BHYT, BHTN) và Thuế TNCN)]]</f>
        <v>Từ 32 - 48 triệu VNĐ</v>
      </c>
      <c r="O26">
        <f>step3_validation[[#This Row],[Dependents]]</f>
        <v>1</v>
      </c>
      <c r="P26" t="str">
        <f>survey_responses[[#This Row],[Số người phụ thuộc (con nhỏ, cha mẹ già...) đủ điều kiện giảm trừ gia cảnh:]]</f>
        <v>1 người</v>
      </c>
      <c r="Q26">
        <f>step3_validation[[#This Row],[AI_ENF1]]</f>
        <v>7</v>
      </c>
      <c r="R26" t="str">
        <f t="shared" si="0"/>
        <v>Neutral</v>
      </c>
      <c r="S26">
        <f>survey_responses[[#This Row],[Tôi tin rằng với các quy định quản lý thuế hiện nay, hành vi gian lận hoặc trốn thuế sẽ dễ dàng bị phát hiện và xử lý nghiêm. - HUMAN-ENF1]]</f>
        <v>6</v>
      </c>
      <c r="T26" t="str">
        <f t="shared" si="1"/>
        <v>Neutral</v>
      </c>
      <c r="U26" s="31">
        <f t="shared" si="2"/>
        <v>1</v>
      </c>
      <c r="V26">
        <f>step3_validation[[#This Row],[AI_ENF2]]</f>
        <v>6</v>
      </c>
      <c r="W26" t="str">
        <f t="shared" si="3"/>
        <v>Neutral</v>
      </c>
      <c r="X26">
        <f>survey_responses[[#This Row],[Tôi tin rằng Nhà nước, cơ quan thuế có đủ khả năng và công nghệ để phát hiện, xử lý nghiêm các hành vi trốn thuế. - HUMAN-ENF2]]</f>
        <v>7</v>
      </c>
      <c r="Y26" t="str">
        <f t="shared" si="4"/>
        <v>Neutral</v>
      </c>
      <c r="Z26" s="31">
        <f t="shared" si="5"/>
        <v>1</v>
      </c>
      <c r="AA26">
        <f>step3_validation[[#This Row],[AI_FAC1]]</f>
        <v>7</v>
      </c>
      <c r="AB26" t="str">
        <f t="shared" si="6"/>
        <v>Neutral</v>
      </c>
      <c r="AC26">
        <f>survey_responses[[#This Row],[Các thủ tục khai báo thuế VÀ/HOẶC quy trình làm việc với cơ quan thuế đơn giản, tiện lợi, nhanh chóng hơn so với trước đây. - HUMAN-FAC1]]</f>
        <v>5</v>
      </c>
      <c r="AD26" t="str">
        <f t="shared" si="7"/>
        <v>Neutral</v>
      </c>
      <c r="AE26" s="31">
        <f t="shared" si="8"/>
        <v>2</v>
      </c>
      <c r="AF26">
        <f>step3_validation[[#This Row],[AI_FAC2]]</f>
        <v>8</v>
      </c>
      <c r="AG26" t="str">
        <f t="shared" si="9"/>
        <v>Support</v>
      </c>
      <c r="AH26">
        <f>survey_responses[[#This Row],[So với trước đây, tôi thấy cách tính thuế và các bậc thuế trong phương án mới đơn giản, dễ hiểu và dễ thực hiện hơn. - HUMAN-FAC2]]</f>
        <v>6</v>
      </c>
      <c r="AI26" t="str">
        <f t="shared" si="10"/>
        <v>Neutral</v>
      </c>
      <c r="AJ26" s="31">
        <f t="shared" si="11"/>
        <v>2</v>
      </c>
      <c r="AK26">
        <f>step3_validation[[#This Row],[AI_TRU1]]</f>
        <v>9</v>
      </c>
      <c r="AL26" t="str">
        <f t="shared" si="12"/>
        <v>Support</v>
      </c>
      <c r="AM26">
        <f>survey_responses[[#This Row],[Tôi tin rằng Nhà nước, cơ quan thuế sẽ thực thi chính sách mới một cách khách quan, công tâm và đối xử bình đẳng với mọi người nộp thuế.  - HUMAN-TRU1]]</f>
        <v>7</v>
      </c>
      <c r="AN26" t="str">
        <f t="shared" si="13"/>
        <v>Neutral</v>
      </c>
      <c r="AO26" s="31">
        <f t="shared" si="14"/>
        <v>2</v>
      </c>
      <c r="AP26">
        <f>step3_validation[[#This Row],[AI_TRU2]]</f>
        <v>8</v>
      </c>
      <c r="AQ26" t="str">
        <f t="shared" si="15"/>
        <v>Support</v>
      </c>
      <c r="AR26">
        <f>survey_responses[[#This Row],[Tôi thấy mức thuế tôi phải đóng theo phương án mới là công bằng (người thu nhập như tôi đóng mức này là hợp lý). - HUMAN-TRU2]]</f>
        <v>7</v>
      </c>
      <c r="AS26" t="str">
        <f t="shared" si="16"/>
        <v>Neutral</v>
      </c>
      <c r="AT26" s="31">
        <f t="shared" si="17"/>
        <v>1</v>
      </c>
      <c r="AU26">
        <f>step3_validation[[#This Row],[AI_TRU3]]</f>
        <v>9</v>
      </c>
      <c r="AV26" t="str">
        <f t="shared" si="18"/>
        <v>Support</v>
      </c>
      <c r="AW26">
        <f>survey_responses[[#This Row],[Tôi tin tưởng số tiền thuế tôi đóng sẽ được Nhà nước sử dụng hiệu quả để cải thiện dịch vụ công (y tế, đường xá...). - HUMAN-TRU3]]</f>
        <v>3</v>
      </c>
      <c r="AX26" t="str">
        <f t="shared" si="19"/>
        <v>Oppose</v>
      </c>
      <c r="AY26" s="31">
        <f t="shared" si="20"/>
        <v>6</v>
      </c>
      <c r="AZ26">
        <f>step3_validation[[#This Row],[AI_TRU4]]</f>
        <v>7</v>
      </c>
      <c r="BA26" t="str">
        <f t="shared" si="21"/>
        <v>Neutral</v>
      </c>
      <c r="BB26">
        <f>survey_responses[[#This Row],[Tôi thấy Nhà nước đã giải thích rõ ràng, minh bạch về lý do và mục tiêu của việc sửa đổi thuế lần này. - HUMAN-TRU4]]</f>
        <v>3</v>
      </c>
      <c r="BC26" t="str">
        <f t="shared" si="22"/>
        <v>Oppose</v>
      </c>
      <c r="BD26" s="31">
        <f t="shared" si="23"/>
        <v>4</v>
      </c>
      <c r="BE26">
        <f>step3_validation[[#This Row],[AI_OUT1]]</f>
        <v>9</v>
      </c>
      <c r="BF26" t="str">
        <f t="shared" si="24"/>
        <v>Support</v>
      </c>
      <c r="BG26">
        <f>survey_responses[[#This Row],[Sau khi xem xét các quyền lợi và nghĩa vụ, bạn có ủng hộ và tuân thủ chính sách mới hiện nay? - HUMAN-OUT1]]</f>
        <v>5</v>
      </c>
      <c r="BH26" t="str">
        <f t="shared" si="25"/>
        <v>Neutral</v>
      </c>
      <c r="BI26" s="31">
        <f t="shared" si="26"/>
        <v>4</v>
      </c>
    </row>
    <row r="27" spans="1:61" x14ac:dyDescent="0.45">
      <c r="A27" s="29">
        <f>step3_validation[[#This Row],[Persona_ID]]</f>
        <v>26</v>
      </c>
      <c r="B27" s="30">
        <f>step3_validation[[#This Row],[Used_Seed]]</f>
        <v>67</v>
      </c>
      <c r="C27" t="str">
        <f>step3_validation[[#This Row],[Gender]]</f>
        <v>Nam</v>
      </c>
      <c r="D27" t="str">
        <f>survey_responses[[#This Row],[Giới tính của bạn:]]</f>
        <v>Nam</v>
      </c>
      <c r="E27" t="str">
        <f>step3_validation[[#This Row],[Age_Group]]</f>
        <v>30 - 39</v>
      </c>
      <c r="F27" t="str">
        <f>survey_responses[[#This Row],[Độ tuổi của bạn:]]</f>
        <v>30 - 39</v>
      </c>
      <c r="G27" t="str">
        <f>step3_validation[[#This Row],[Region]]</f>
        <v>Thành thị</v>
      </c>
      <c r="H27" t="str">
        <f>survey_responses[[#This Row],[Khu vực bạn đang sinh sống:]]</f>
        <v>Thành thị</v>
      </c>
      <c r="I27" t="str">
        <f>step3_validation[[#This Row],[Education]]</f>
        <v>Sau Đại học</v>
      </c>
      <c r="J27" t="str">
        <f>survey_responses[[#This Row],[Trình độ học vấn cao nhất:]]</f>
        <v>Sau Đại học</v>
      </c>
      <c r="K27" t="str">
        <f>step3_validation[[#This Row],[Employment]]</f>
        <v>Chính thức</v>
      </c>
      <c r="L27" t="str">
        <f>survey_responses[[#This Row],[Tình trạng việc làm chính:]]</f>
        <v>Khu vực chính thức (Có Hợp đồng lao động, đóng BHXH)</v>
      </c>
      <c r="M27">
        <f>step3_validation[[#This Row],[Income_Mil]]</f>
        <v>12</v>
      </c>
      <c r="N27" t="str">
        <f>survey_responses[[#This Row],[Thu nhập bình quân tháng theo Hợp đồng lao động của bạn là bao nhiêu? (Vui lòng điền tổng thu nhập trước khi khấu trừ các loại Bảo hiểm (BHXH, BHYT, BHTN) và Thuế TNCN)]]</f>
        <v>Dưới 12 triệu VNĐ</v>
      </c>
      <c r="O27">
        <f>step3_validation[[#This Row],[Dependents]]</f>
        <v>4</v>
      </c>
      <c r="P27" t="str">
        <f>survey_responses[[#This Row],[Số người phụ thuộc (con nhỏ, cha mẹ già...) đủ điều kiện giảm trừ gia cảnh:]]</f>
        <v>4 người trở lên</v>
      </c>
      <c r="Q27">
        <f>step3_validation[[#This Row],[AI_ENF1]]</f>
        <v>9</v>
      </c>
      <c r="R27" t="str">
        <f t="shared" si="0"/>
        <v>Support</v>
      </c>
      <c r="S27">
        <f>survey_responses[[#This Row],[Tôi tin rằng với các quy định quản lý thuế hiện nay, hành vi gian lận hoặc trốn thuế sẽ dễ dàng bị phát hiện và xử lý nghiêm. - HUMAN-ENF1]]</f>
        <v>10</v>
      </c>
      <c r="T27" t="str">
        <f t="shared" si="1"/>
        <v>Support</v>
      </c>
      <c r="U27" s="31">
        <f t="shared" si="2"/>
        <v>1</v>
      </c>
      <c r="V27">
        <f>step3_validation[[#This Row],[AI_ENF2]]</f>
        <v>8</v>
      </c>
      <c r="W27" t="str">
        <f t="shared" si="3"/>
        <v>Support</v>
      </c>
      <c r="X27">
        <f>survey_responses[[#This Row],[Tôi tin rằng Nhà nước, cơ quan thuế có đủ khả năng và công nghệ để phát hiện, xử lý nghiêm các hành vi trốn thuế. - HUMAN-ENF2]]</f>
        <v>10</v>
      </c>
      <c r="Y27" t="str">
        <f t="shared" si="4"/>
        <v>Support</v>
      </c>
      <c r="Z27" s="31">
        <f t="shared" si="5"/>
        <v>2</v>
      </c>
      <c r="AA27">
        <f>step3_validation[[#This Row],[AI_FAC1]]</f>
        <v>9</v>
      </c>
      <c r="AB27" t="str">
        <f t="shared" si="6"/>
        <v>Support</v>
      </c>
      <c r="AC27">
        <f>survey_responses[[#This Row],[Các thủ tục khai báo thuế VÀ/HOẶC quy trình làm việc với cơ quan thuế đơn giản, tiện lợi, nhanh chóng hơn so với trước đây. - HUMAN-FAC1]]</f>
        <v>10</v>
      </c>
      <c r="AD27" t="str">
        <f t="shared" si="7"/>
        <v>Support</v>
      </c>
      <c r="AE27" s="31">
        <f t="shared" si="8"/>
        <v>1</v>
      </c>
      <c r="AF27">
        <f>step3_validation[[#This Row],[AI_FAC2]]</f>
        <v>8</v>
      </c>
      <c r="AG27" t="str">
        <f t="shared" si="9"/>
        <v>Support</v>
      </c>
      <c r="AH27">
        <f>survey_responses[[#This Row],[So với trước đây, tôi thấy cách tính thuế và các bậc thuế trong phương án mới đơn giản, dễ hiểu và dễ thực hiện hơn. - HUMAN-FAC2]]</f>
        <v>6</v>
      </c>
      <c r="AI27" t="str">
        <f t="shared" si="10"/>
        <v>Neutral</v>
      </c>
      <c r="AJ27" s="31">
        <f t="shared" si="11"/>
        <v>2</v>
      </c>
      <c r="AK27">
        <f>step3_validation[[#This Row],[AI_TRU1]]</f>
        <v>9</v>
      </c>
      <c r="AL27" t="str">
        <f t="shared" si="12"/>
        <v>Support</v>
      </c>
      <c r="AM27">
        <f>survey_responses[[#This Row],[Tôi tin rằng Nhà nước, cơ quan thuế sẽ thực thi chính sách mới một cách khách quan, công tâm và đối xử bình đẳng với mọi người nộp thuế.  - HUMAN-TRU1]]</f>
        <v>6</v>
      </c>
      <c r="AN27" t="str">
        <f t="shared" si="13"/>
        <v>Neutral</v>
      </c>
      <c r="AO27" s="31">
        <f t="shared" si="14"/>
        <v>3</v>
      </c>
      <c r="AP27">
        <f>step3_validation[[#This Row],[AI_TRU2]]</f>
        <v>8</v>
      </c>
      <c r="AQ27" t="str">
        <f t="shared" si="15"/>
        <v>Support</v>
      </c>
      <c r="AR27">
        <f>survey_responses[[#This Row],[Tôi thấy mức thuế tôi phải đóng theo phương án mới là công bằng (người thu nhập như tôi đóng mức này là hợp lý). - HUMAN-TRU2]]</f>
        <v>10</v>
      </c>
      <c r="AS27" t="str">
        <f t="shared" si="16"/>
        <v>Support</v>
      </c>
      <c r="AT27" s="31">
        <f t="shared" si="17"/>
        <v>2</v>
      </c>
      <c r="AU27">
        <f>step3_validation[[#This Row],[AI_TRU3]]</f>
        <v>9</v>
      </c>
      <c r="AV27" t="str">
        <f t="shared" si="18"/>
        <v>Support</v>
      </c>
      <c r="AW27">
        <f>survey_responses[[#This Row],[Tôi tin tưởng số tiền thuế tôi đóng sẽ được Nhà nước sử dụng hiệu quả để cải thiện dịch vụ công (y tế, đường xá...). - HUMAN-TRU3]]</f>
        <v>1</v>
      </c>
      <c r="AX27" t="str">
        <f t="shared" si="19"/>
        <v>Oppose</v>
      </c>
      <c r="AY27" s="31">
        <f t="shared" si="20"/>
        <v>8</v>
      </c>
      <c r="AZ27">
        <f>step3_validation[[#This Row],[AI_TRU4]]</f>
        <v>8</v>
      </c>
      <c r="BA27" t="str">
        <f t="shared" si="21"/>
        <v>Support</v>
      </c>
      <c r="BB27">
        <f>survey_responses[[#This Row],[Tôi thấy Nhà nước đã giải thích rõ ràng, minh bạch về lý do và mục tiêu của việc sửa đổi thuế lần này. - HUMAN-TRU4]]</f>
        <v>4</v>
      </c>
      <c r="BC27" t="str">
        <f t="shared" si="22"/>
        <v>Oppose</v>
      </c>
      <c r="BD27" s="31">
        <f t="shared" si="23"/>
        <v>4</v>
      </c>
      <c r="BE27">
        <f>step3_validation[[#This Row],[AI_OUT1]]</f>
        <v>9</v>
      </c>
      <c r="BF27" t="str">
        <f t="shared" si="24"/>
        <v>Support</v>
      </c>
      <c r="BG27">
        <f>survey_responses[[#This Row],[Sau khi xem xét các quyền lợi và nghĩa vụ, bạn có ủng hộ và tuân thủ chính sách mới hiện nay? - HUMAN-OUT1]]</f>
        <v>10</v>
      </c>
      <c r="BH27" t="str">
        <f t="shared" si="25"/>
        <v>Support</v>
      </c>
      <c r="BI27" s="31">
        <f t="shared" si="26"/>
        <v>1</v>
      </c>
    </row>
    <row r="28" spans="1:61" x14ac:dyDescent="0.45">
      <c r="A28" s="29">
        <f>step3_validation[[#This Row],[Persona_ID]]</f>
        <v>27</v>
      </c>
      <c r="B28" s="30">
        <f>step3_validation[[#This Row],[Used_Seed]]</f>
        <v>68</v>
      </c>
      <c r="C28" t="str">
        <f>step3_validation[[#This Row],[Gender]]</f>
        <v>Nam</v>
      </c>
      <c r="D28" t="str">
        <f>survey_responses[[#This Row],[Giới tính của bạn:]]</f>
        <v>Nam</v>
      </c>
      <c r="E28" t="str">
        <f>step3_validation[[#This Row],[Age_Group]]</f>
        <v>18 - 24</v>
      </c>
      <c r="F28" t="str">
        <f>survey_responses[[#This Row],[Độ tuổi của bạn:]]</f>
        <v>18 - 24</v>
      </c>
      <c r="G28" t="str">
        <f>step3_validation[[#This Row],[Region]]</f>
        <v>Thành thị</v>
      </c>
      <c r="H28" t="str">
        <f>survey_responses[[#This Row],[Khu vực bạn đang sinh sống:]]</f>
        <v>Thành thị</v>
      </c>
      <c r="I28" t="str">
        <f>step3_validation[[#This Row],[Education]]</f>
        <v>Đại học</v>
      </c>
      <c r="J28" t="str">
        <f>survey_responses[[#This Row],[Trình độ học vấn cao nhất:]]</f>
        <v>Đại học</v>
      </c>
      <c r="K28" t="str">
        <f>step3_validation[[#This Row],[Employment]]</f>
        <v>Chính thức</v>
      </c>
      <c r="L28" t="str">
        <f>survey_responses[[#This Row],[Tình trạng việc làm chính:]]</f>
        <v>Khu vực chính thức (Có Hợp đồng lao động, đóng BHXH)</v>
      </c>
      <c r="M28">
        <f>step3_validation[[#This Row],[Income_Mil]]</f>
        <v>12</v>
      </c>
      <c r="N28" t="str">
        <f>survey_responses[[#This Row],[Thu nhập bình quân tháng theo Hợp đồng lao động của bạn là bao nhiêu? (Vui lòng điền tổng thu nhập trước khi khấu trừ các loại Bảo hiểm (BHXH, BHYT, BHTN) và Thuế TNCN)]]</f>
        <v>Dưới 12 triệu VNĐ</v>
      </c>
      <c r="O28">
        <f>step3_validation[[#This Row],[Dependents]]</f>
        <v>0</v>
      </c>
      <c r="P28" t="str">
        <f>survey_responses[[#This Row],[Số người phụ thuộc (con nhỏ, cha mẹ già...) đủ điều kiện giảm trừ gia cảnh:]]</f>
        <v>0 người</v>
      </c>
      <c r="Q28">
        <f>step3_validation[[#This Row],[AI_ENF1]]</f>
        <v>7</v>
      </c>
      <c r="R28" t="str">
        <f t="shared" si="0"/>
        <v>Neutral</v>
      </c>
      <c r="S28">
        <f>survey_responses[[#This Row],[Tôi tin rằng với các quy định quản lý thuế hiện nay, hành vi gian lận hoặc trốn thuế sẽ dễ dàng bị phát hiện và xử lý nghiêm. - HUMAN-ENF1]]</f>
        <v>1</v>
      </c>
      <c r="T28" t="str">
        <f t="shared" si="1"/>
        <v>Oppose</v>
      </c>
      <c r="U28" s="31">
        <f t="shared" si="2"/>
        <v>6</v>
      </c>
      <c r="V28">
        <f>step3_validation[[#This Row],[AI_ENF2]]</f>
        <v>6</v>
      </c>
      <c r="W28" t="str">
        <f t="shared" si="3"/>
        <v>Neutral</v>
      </c>
      <c r="X28">
        <f>survey_responses[[#This Row],[Tôi tin rằng Nhà nước, cơ quan thuế có đủ khả năng và công nghệ để phát hiện, xử lý nghiêm các hành vi trốn thuế. - HUMAN-ENF2]]</f>
        <v>1</v>
      </c>
      <c r="Y28" t="str">
        <f t="shared" si="4"/>
        <v>Oppose</v>
      </c>
      <c r="Z28" s="31">
        <f t="shared" si="5"/>
        <v>5</v>
      </c>
      <c r="AA28">
        <f>step3_validation[[#This Row],[AI_FAC1]]</f>
        <v>9</v>
      </c>
      <c r="AB28" t="str">
        <f t="shared" si="6"/>
        <v>Support</v>
      </c>
      <c r="AC28">
        <f>survey_responses[[#This Row],[Các thủ tục khai báo thuế VÀ/HOẶC quy trình làm việc với cơ quan thuế đơn giản, tiện lợi, nhanh chóng hơn so với trước đây. - HUMAN-FAC1]]</f>
        <v>1</v>
      </c>
      <c r="AD28" t="str">
        <f t="shared" si="7"/>
        <v>Oppose</v>
      </c>
      <c r="AE28" s="31">
        <f t="shared" si="8"/>
        <v>8</v>
      </c>
      <c r="AF28">
        <f>step3_validation[[#This Row],[AI_FAC2]]</f>
        <v>8</v>
      </c>
      <c r="AG28" t="str">
        <f t="shared" si="9"/>
        <v>Support</v>
      </c>
      <c r="AH28">
        <f>survey_responses[[#This Row],[So với trước đây, tôi thấy cách tính thuế và các bậc thuế trong phương án mới đơn giản, dễ hiểu và dễ thực hiện hơn. - HUMAN-FAC2]]</f>
        <v>1</v>
      </c>
      <c r="AI28" t="str">
        <f t="shared" si="10"/>
        <v>Oppose</v>
      </c>
      <c r="AJ28" s="31">
        <f t="shared" si="11"/>
        <v>7</v>
      </c>
      <c r="AK28">
        <f>step3_validation[[#This Row],[AI_TRU1]]</f>
        <v>7</v>
      </c>
      <c r="AL28" t="str">
        <f t="shared" si="12"/>
        <v>Neutral</v>
      </c>
      <c r="AM28">
        <f>survey_responses[[#This Row],[Tôi tin rằng Nhà nước, cơ quan thuế sẽ thực thi chính sách mới một cách khách quan, công tâm và đối xử bình đẳng với mọi người nộp thuế.  - HUMAN-TRU1]]</f>
        <v>1</v>
      </c>
      <c r="AN28" t="str">
        <f t="shared" si="13"/>
        <v>Oppose</v>
      </c>
      <c r="AO28" s="31">
        <f t="shared" si="14"/>
        <v>6</v>
      </c>
      <c r="AP28">
        <f>step3_validation[[#This Row],[AI_TRU2]]</f>
        <v>9</v>
      </c>
      <c r="AQ28" t="str">
        <f t="shared" si="15"/>
        <v>Support</v>
      </c>
      <c r="AR28">
        <f>survey_responses[[#This Row],[Tôi thấy mức thuế tôi phải đóng theo phương án mới là công bằng (người thu nhập như tôi đóng mức này là hợp lý). - HUMAN-TRU2]]</f>
        <v>1</v>
      </c>
      <c r="AS28" t="str">
        <f t="shared" si="16"/>
        <v>Oppose</v>
      </c>
      <c r="AT28" s="31">
        <f t="shared" si="17"/>
        <v>8</v>
      </c>
      <c r="AU28">
        <f>step3_validation[[#This Row],[AI_TRU3]]</f>
        <v>8</v>
      </c>
      <c r="AV28" t="str">
        <f t="shared" si="18"/>
        <v>Support</v>
      </c>
      <c r="AW28">
        <f>survey_responses[[#This Row],[Tôi tin tưởng số tiền thuế tôi đóng sẽ được Nhà nước sử dụng hiệu quả để cải thiện dịch vụ công (y tế, đường xá...). - HUMAN-TRU3]]</f>
        <v>1</v>
      </c>
      <c r="AX28" t="str">
        <f t="shared" si="19"/>
        <v>Oppose</v>
      </c>
      <c r="AY28" s="31">
        <f t="shared" si="20"/>
        <v>7</v>
      </c>
      <c r="AZ28">
        <f>step3_validation[[#This Row],[AI_TRU4]]</f>
        <v>7</v>
      </c>
      <c r="BA28" t="str">
        <f t="shared" si="21"/>
        <v>Neutral</v>
      </c>
      <c r="BB28">
        <f>survey_responses[[#This Row],[Tôi thấy Nhà nước đã giải thích rõ ràng, minh bạch về lý do và mục tiêu của việc sửa đổi thuế lần này. - HUMAN-TRU4]]</f>
        <v>1</v>
      </c>
      <c r="BC28" t="str">
        <f t="shared" si="22"/>
        <v>Oppose</v>
      </c>
      <c r="BD28" s="31">
        <f t="shared" si="23"/>
        <v>6</v>
      </c>
      <c r="BE28">
        <f>step3_validation[[#This Row],[AI_OUT1]]</f>
        <v>9</v>
      </c>
      <c r="BF28" t="str">
        <f t="shared" si="24"/>
        <v>Support</v>
      </c>
      <c r="BG28">
        <f>survey_responses[[#This Row],[Sau khi xem xét các quyền lợi và nghĩa vụ, bạn có ủng hộ và tuân thủ chính sách mới hiện nay? - HUMAN-OUT1]]</f>
        <v>1</v>
      </c>
      <c r="BH28" t="str">
        <f t="shared" si="25"/>
        <v>Oppose</v>
      </c>
      <c r="BI28" s="31">
        <f t="shared" si="26"/>
        <v>8</v>
      </c>
    </row>
    <row r="29" spans="1:61" hidden="1" x14ac:dyDescent="0.45">
      <c r="A29" s="29">
        <f>step3_validation[[#This Row],[Persona_ID]]</f>
        <v>28</v>
      </c>
      <c r="B29" s="30">
        <f>step3_validation[[#This Row],[Used_Seed]]</f>
        <v>69</v>
      </c>
      <c r="C29" t="str">
        <f>step3_validation[[#This Row],[Gender]]</f>
        <v>Nam</v>
      </c>
      <c r="D29" t="str">
        <f>survey_responses[[#This Row],[Giới tính của bạn:]]</f>
        <v>Nam</v>
      </c>
      <c r="E29" t="str">
        <f>step3_validation[[#This Row],[Age_Group]]</f>
        <v>25 - 29</v>
      </c>
      <c r="F29" t="str">
        <f>survey_responses[[#This Row],[Độ tuổi của bạn:]]</f>
        <v>25 - 29</v>
      </c>
      <c r="G29" t="str">
        <f>step3_validation[[#This Row],[Region]]</f>
        <v>Thành thị</v>
      </c>
      <c r="H29" t="str">
        <f>survey_responses[[#This Row],[Khu vực bạn đang sinh sống:]]</f>
        <v>Thành thị</v>
      </c>
      <c r="I29" t="str">
        <f>step3_validation[[#This Row],[Education]]</f>
        <v>Đại học</v>
      </c>
      <c r="J29" t="str">
        <f>survey_responses[[#This Row],[Trình độ học vấn cao nhất:]]</f>
        <v>Đại học</v>
      </c>
      <c r="K29" t="str">
        <f>step3_validation[[#This Row],[Employment]]</f>
        <v>Chính thức</v>
      </c>
      <c r="L29" t="str">
        <f>survey_responses[[#This Row],[Tình trạng việc làm chính:]]</f>
        <v>Khu vực chính thức (Có Hợp đồng lao động, đóng BHXH)</v>
      </c>
      <c r="M29">
        <f>step3_validation[[#This Row],[Income_Mil]]</f>
        <v>16.336053168367823</v>
      </c>
      <c r="N29" t="str">
        <f>survey_responses[[#This Row],[Thu nhập bình quân tháng theo Hợp đồng lao động của bạn là bao nhiêu? (Vui lòng điền tổng thu nhập trước khi khấu trừ các loại Bảo hiểm (BHXH, BHYT, BHTN) và Thuế TNCN)]]</f>
        <v>Từ 12 - 18 triệu VNĐ</v>
      </c>
      <c r="O29">
        <f>step3_validation[[#This Row],[Dependents]]</f>
        <v>0</v>
      </c>
      <c r="P29" t="str">
        <f>survey_responses[[#This Row],[Số người phụ thuộc (con nhỏ, cha mẹ già...) đủ điều kiện giảm trừ gia cảnh:]]</f>
        <v>0 người</v>
      </c>
      <c r="Q29">
        <f>step3_validation[[#This Row],[AI_ENF1]]</f>
        <v>8</v>
      </c>
      <c r="R29" t="str">
        <f t="shared" si="0"/>
        <v>Support</v>
      </c>
      <c r="S29">
        <f>survey_responses[[#This Row],[Tôi tin rằng với các quy định quản lý thuế hiện nay, hành vi gian lận hoặc trốn thuế sẽ dễ dàng bị phát hiện và xử lý nghiêm. - HUMAN-ENF1]]</f>
        <v>1</v>
      </c>
      <c r="T29" t="str">
        <f t="shared" si="1"/>
        <v>Oppose</v>
      </c>
      <c r="U29" s="31">
        <f t="shared" si="2"/>
        <v>7</v>
      </c>
      <c r="V29">
        <f>step3_validation[[#This Row],[AI_ENF2]]</f>
        <v>9</v>
      </c>
      <c r="W29" t="str">
        <f t="shared" si="3"/>
        <v>Support</v>
      </c>
      <c r="X29">
        <f>survey_responses[[#This Row],[Tôi tin rằng Nhà nước, cơ quan thuế có đủ khả năng và công nghệ để phát hiện, xử lý nghiêm các hành vi trốn thuế. - HUMAN-ENF2]]</f>
        <v>1</v>
      </c>
      <c r="Y29" t="str">
        <f t="shared" si="4"/>
        <v>Oppose</v>
      </c>
      <c r="Z29" s="31">
        <f t="shared" si="5"/>
        <v>8</v>
      </c>
      <c r="AA29">
        <f>step3_validation[[#This Row],[AI_FAC1]]</f>
        <v>8</v>
      </c>
      <c r="AB29" t="str">
        <f t="shared" si="6"/>
        <v>Support</v>
      </c>
      <c r="AC29">
        <f>survey_responses[[#This Row],[Các thủ tục khai báo thuế VÀ/HOẶC quy trình làm việc với cơ quan thuế đơn giản, tiện lợi, nhanh chóng hơn so với trước đây. - HUMAN-FAC1]]</f>
        <v>1</v>
      </c>
      <c r="AD29" t="str">
        <f t="shared" si="7"/>
        <v>Oppose</v>
      </c>
      <c r="AE29" s="31">
        <f t="shared" si="8"/>
        <v>7</v>
      </c>
      <c r="AF29">
        <f>step3_validation[[#This Row],[AI_FAC2]]</f>
        <v>9</v>
      </c>
      <c r="AG29" t="str">
        <f t="shared" si="9"/>
        <v>Support</v>
      </c>
      <c r="AH29">
        <f>survey_responses[[#This Row],[So với trước đây, tôi thấy cách tính thuế và các bậc thuế trong phương án mới đơn giản, dễ hiểu và dễ thực hiện hơn. - HUMAN-FAC2]]</f>
        <v>1</v>
      </c>
      <c r="AI29" t="str">
        <f t="shared" si="10"/>
        <v>Oppose</v>
      </c>
      <c r="AJ29" s="31">
        <f t="shared" si="11"/>
        <v>8</v>
      </c>
      <c r="AK29">
        <f>step3_validation[[#This Row],[AI_TRU1]]</f>
        <v>8</v>
      </c>
      <c r="AL29" t="str">
        <f t="shared" si="12"/>
        <v>Support</v>
      </c>
      <c r="AM29">
        <f>survey_responses[[#This Row],[Tôi tin rằng Nhà nước, cơ quan thuế sẽ thực thi chính sách mới một cách khách quan, công tâm và đối xử bình đẳng với mọi người nộp thuế.  - HUMAN-TRU1]]</f>
        <v>1</v>
      </c>
      <c r="AN29" t="str">
        <f t="shared" si="13"/>
        <v>Oppose</v>
      </c>
      <c r="AO29" s="31">
        <f t="shared" si="14"/>
        <v>7</v>
      </c>
      <c r="AP29">
        <f>step3_validation[[#This Row],[AI_TRU2]]</f>
        <v>9</v>
      </c>
      <c r="AQ29" t="str">
        <f t="shared" si="15"/>
        <v>Support</v>
      </c>
      <c r="AR29">
        <f>survey_responses[[#This Row],[Tôi thấy mức thuế tôi phải đóng theo phương án mới là công bằng (người thu nhập như tôi đóng mức này là hợp lý). - HUMAN-TRU2]]</f>
        <v>1</v>
      </c>
      <c r="AS29" t="str">
        <f t="shared" si="16"/>
        <v>Oppose</v>
      </c>
      <c r="AT29" s="31">
        <f t="shared" si="17"/>
        <v>8</v>
      </c>
      <c r="AU29">
        <f>step3_validation[[#This Row],[AI_TRU3]]</f>
        <v>8</v>
      </c>
      <c r="AV29" t="str">
        <f t="shared" si="18"/>
        <v>Support</v>
      </c>
      <c r="AW29">
        <f>survey_responses[[#This Row],[Tôi tin tưởng số tiền thuế tôi đóng sẽ được Nhà nước sử dụng hiệu quả để cải thiện dịch vụ công (y tế, đường xá...). - HUMAN-TRU3]]</f>
        <v>1</v>
      </c>
      <c r="AX29" t="str">
        <f t="shared" si="19"/>
        <v>Oppose</v>
      </c>
      <c r="AY29" s="31">
        <f t="shared" si="20"/>
        <v>7</v>
      </c>
      <c r="AZ29">
        <f>step3_validation[[#This Row],[AI_TRU4]]</f>
        <v>9</v>
      </c>
      <c r="BA29" t="str">
        <f t="shared" si="21"/>
        <v>Support</v>
      </c>
      <c r="BB29">
        <f>survey_responses[[#This Row],[Tôi thấy Nhà nước đã giải thích rõ ràng, minh bạch về lý do và mục tiêu của việc sửa đổi thuế lần này. - HUMAN-TRU4]]</f>
        <v>1</v>
      </c>
      <c r="BC29" t="str">
        <f t="shared" si="22"/>
        <v>Oppose</v>
      </c>
      <c r="BD29" s="31">
        <f t="shared" si="23"/>
        <v>8</v>
      </c>
      <c r="BE29">
        <f>step3_validation[[#This Row],[AI_OUT1]]</f>
        <v>10</v>
      </c>
      <c r="BF29" t="str">
        <f t="shared" si="24"/>
        <v>Support</v>
      </c>
      <c r="BG29">
        <f>survey_responses[[#This Row],[Sau khi xem xét các quyền lợi và nghĩa vụ, bạn có ủng hộ và tuân thủ chính sách mới hiện nay? - HUMAN-OUT1]]</f>
        <v>1</v>
      </c>
      <c r="BH29" t="str">
        <f t="shared" si="25"/>
        <v>Oppose</v>
      </c>
      <c r="BI29" s="31">
        <f t="shared" si="26"/>
        <v>9</v>
      </c>
    </row>
    <row r="30" spans="1:61" hidden="1" x14ac:dyDescent="0.45">
      <c r="A30" s="29">
        <f>step3_validation[[#This Row],[Persona_ID]]</f>
        <v>29</v>
      </c>
      <c r="B30" s="30">
        <f>step3_validation[[#This Row],[Used_Seed]]</f>
        <v>70</v>
      </c>
      <c r="C30" t="str">
        <f>step3_validation[[#This Row],[Gender]]</f>
        <v>Nữ</v>
      </c>
      <c r="D30" t="str">
        <f>survey_responses[[#This Row],[Giới tính của bạn:]]</f>
        <v>Nữ</v>
      </c>
      <c r="E30" t="str">
        <f>step3_validation[[#This Row],[Age_Group]]</f>
        <v>18 - 24</v>
      </c>
      <c r="F30" t="str">
        <f>survey_responses[[#This Row],[Độ tuổi của bạn:]]</f>
        <v>18 - 24</v>
      </c>
      <c r="G30" t="str">
        <f>step3_validation[[#This Row],[Region]]</f>
        <v>Thành thị</v>
      </c>
      <c r="H30" t="str">
        <f>survey_responses[[#This Row],[Khu vực bạn đang sinh sống:]]</f>
        <v>Thành thị</v>
      </c>
      <c r="I30" t="str">
        <f>step3_validation[[#This Row],[Education]]</f>
        <v>Đại học</v>
      </c>
      <c r="J30" t="str">
        <f>survey_responses[[#This Row],[Trình độ học vấn cao nhất:]]</f>
        <v>Đại học</v>
      </c>
      <c r="K30" t="str">
        <f>step3_validation[[#This Row],[Employment]]</f>
        <v>Chính thức</v>
      </c>
      <c r="L30" t="str">
        <f>survey_responses[[#This Row],[Tình trạng việc làm chính:]]</f>
        <v>Khu vực chính thức (Có Hợp đồng lao động, đóng BHXH)</v>
      </c>
      <c r="M30">
        <f>step3_validation[[#This Row],[Income_Mil]]</f>
        <v>16.4628292036559</v>
      </c>
      <c r="N30" t="str">
        <f>survey_responses[[#This Row],[Thu nhập bình quân tháng theo Hợp đồng lao động của bạn là bao nhiêu? (Vui lòng điền tổng thu nhập trước khi khấu trừ các loại Bảo hiểm (BHXH, BHYT, BHTN) và Thuế TNCN)]]</f>
        <v>Từ 12 - 18 triệu VNĐ</v>
      </c>
      <c r="O30">
        <f>step3_validation[[#This Row],[Dependents]]</f>
        <v>0</v>
      </c>
      <c r="P30" t="str">
        <f>survey_responses[[#This Row],[Số người phụ thuộc (con nhỏ, cha mẹ già...) đủ điều kiện giảm trừ gia cảnh:]]</f>
        <v>0 người</v>
      </c>
      <c r="Q30">
        <f>step3_validation[[#This Row],[AI_ENF1]]</f>
        <v>6</v>
      </c>
      <c r="R30" t="str">
        <f t="shared" si="0"/>
        <v>Neutral</v>
      </c>
      <c r="S30">
        <f>survey_responses[[#This Row],[Tôi tin rằng với các quy định quản lý thuế hiện nay, hành vi gian lận hoặc trốn thuế sẽ dễ dàng bị phát hiện và xử lý nghiêm. - HUMAN-ENF1]]</f>
        <v>10</v>
      </c>
      <c r="T30" t="str">
        <f t="shared" si="1"/>
        <v>Support</v>
      </c>
      <c r="U30" s="31">
        <f t="shared" si="2"/>
        <v>4</v>
      </c>
      <c r="V30">
        <f>step3_validation[[#This Row],[AI_ENF2]]</f>
        <v>8</v>
      </c>
      <c r="W30" t="str">
        <f t="shared" si="3"/>
        <v>Support</v>
      </c>
      <c r="X30">
        <f>survey_responses[[#This Row],[Tôi tin rằng Nhà nước, cơ quan thuế có đủ khả năng và công nghệ để phát hiện, xử lý nghiêm các hành vi trốn thuế. - HUMAN-ENF2]]</f>
        <v>10</v>
      </c>
      <c r="Y30" t="str">
        <f t="shared" si="4"/>
        <v>Support</v>
      </c>
      <c r="Z30" s="31">
        <f t="shared" si="5"/>
        <v>2</v>
      </c>
      <c r="AA30">
        <f>step3_validation[[#This Row],[AI_FAC1]]</f>
        <v>7</v>
      </c>
      <c r="AB30" t="str">
        <f t="shared" si="6"/>
        <v>Neutral</v>
      </c>
      <c r="AC30">
        <f>survey_responses[[#This Row],[Các thủ tục khai báo thuế VÀ/HOẶC quy trình làm việc với cơ quan thuế đơn giản, tiện lợi, nhanh chóng hơn so với trước đây. - HUMAN-FAC1]]</f>
        <v>9</v>
      </c>
      <c r="AD30" t="str">
        <f t="shared" si="7"/>
        <v>Support</v>
      </c>
      <c r="AE30" s="31">
        <f t="shared" si="8"/>
        <v>2</v>
      </c>
      <c r="AF30">
        <f>step3_validation[[#This Row],[AI_FAC2]]</f>
        <v>9</v>
      </c>
      <c r="AG30" t="str">
        <f t="shared" si="9"/>
        <v>Support</v>
      </c>
      <c r="AH30">
        <f>survey_responses[[#This Row],[So với trước đây, tôi thấy cách tính thuế và các bậc thuế trong phương án mới đơn giản, dễ hiểu và dễ thực hiện hơn. - HUMAN-FAC2]]</f>
        <v>10</v>
      </c>
      <c r="AI30" t="str">
        <f t="shared" si="10"/>
        <v>Support</v>
      </c>
      <c r="AJ30" s="31">
        <f t="shared" si="11"/>
        <v>1</v>
      </c>
      <c r="AK30">
        <f>step3_validation[[#This Row],[AI_TRU1]]</f>
        <v>7</v>
      </c>
      <c r="AL30" t="str">
        <f t="shared" si="12"/>
        <v>Neutral</v>
      </c>
      <c r="AM30">
        <f>survey_responses[[#This Row],[Tôi tin rằng Nhà nước, cơ quan thuế sẽ thực thi chính sách mới một cách khách quan, công tâm và đối xử bình đẳng với mọi người nộp thuế.  - HUMAN-TRU1]]</f>
        <v>10</v>
      </c>
      <c r="AN30" t="str">
        <f t="shared" si="13"/>
        <v>Support</v>
      </c>
      <c r="AO30" s="31">
        <f t="shared" si="14"/>
        <v>3</v>
      </c>
      <c r="AP30">
        <f>step3_validation[[#This Row],[AI_TRU2]]</f>
        <v>9</v>
      </c>
      <c r="AQ30" t="str">
        <f t="shared" si="15"/>
        <v>Support</v>
      </c>
      <c r="AR30">
        <f>survey_responses[[#This Row],[Tôi thấy mức thuế tôi phải đóng theo phương án mới là công bằng (người thu nhập như tôi đóng mức này là hợp lý). - HUMAN-TRU2]]</f>
        <v>9</v>
      </c>
      <c r="AS30" t="str">
        <f t="shared" si="16"/>
        <v>Support</v>
      </c>
      <c r="AT30" s="31">
        <f t="shared" si="17"/>
        <v>0</v>
      </c>
      <c r="AU30">
        <f>step3_validation[[#This Row],[AI_TRU3]]</f>
        <v>7</v>
      </c>
      <c r="AV30" t="str">
        <f t="shared" si="18"/>
        <v>Neutral</v>
      </c>
      <c r="AW30">
        <f>survey_responses[[#This Row],[Tôi tin tưởng số tiền thuế tôi đóng sẽ được Nhà nước sử dụng hiệu quả để cải thiện dịch vụ công (y tế, đường xá...). - HUMAN-TRU3]]</f>
        <v>10</v>
      </c>
      <c r="AX30" t="str">
        <f t="shared" si="19"/>
        <v>Support</v>
      </c>
      <c r="AY30" s="31">
        <f t="shared" si="20"/>
        <v>3</v>
      </c>
      <c r="AZ30">
        <f>step3_validation[[#This Row],[AI_TRU4]]</f>
        <v>8</v>
      </c>
      <c r="BA30" t="str">
        <f t="shared" si="21"/>
        <v>Support</v>
      </c>
      <c r="BB30">
        <f>survey_responses[[#This Row],[Tôi thấy Nhà nước đã giải thích rõ ràng, minh bạch về lý do và mục tiêu của việc sửa đổi thuế lần này. - HUMAN-TRU4]]</f>
        <v>10</v>
      </c>
      <c r="BC30" t="str">
        <f t="shared" si="22"/>
        <v>Support</v>
      </c>
      <c r="BD30" s="31">
        <f t="shared" si="23"/>
        <v>2</v>
      </c>
      <c r="BE30">
        <f>step3_validation[[#This Row],[AI_OUT1]]</f>
        <v>7</v>
      </c>
      <c r="BF30" t="str">
        <f t="shared" si="24"/>
        <v>Neutral</v>
      </c>
      <c r="BG30">
        <f>survey_responses[[#This Row],[Sau khi xem xét các quyền lợi và nghĩa vụ, bạn có ủng hộ và tuân thủ chính sách mới hiện nay? - HUMAN-OUT1]]</f>
        <v>10</v>
      </c>
      <c r="BH30" t="str">
        <f t="shared" si="25"/>
        <v>Support</v>
      </c>
      <c r="BI30" s="31">
        <f t="shared" si="26"/>
        <v>3</v>
      </c>
    </row>
    <row r="31" spans="1:61" hidden="1" x14ac:dyDescent="0.45">
      <c r="A31" s="29">
        <f>step3_validation[[#This Row],[Persona_ID]]</f>
        <v>30</v>
      </c>
      <c r="B31" s="30">
        <f>step3_validation[[#This Row],[Used_Seed]]</f>
        <v>71</v>
      </c>
      <c r="C31" t="str">
        <f>step3_validation[[#This Row],[Gender]]</f>
        <v>Nữ</v>
      </c>
      <c r="D31" t="str">
        <f>survey_responses[[#This Row],[Giới tính của bạn:]]</f>
        <v>Nữ</v>
      </c>
      <c r="E31" t="str">
        <f>step3_validation[[#This Row],[Age_Group]]</f>
        <v>18 - 24</v>
      </c>
      <c r="F31" t="str">
        <f>survey_responses[[#This Row],[Độ tuổi của bạn:]]</f>
        <v>18 - 24</v>
      </c>
      <c r="G31" t="str">
        <f>step3_validation[[#This Row],[Region]]</f>
        <v>Thành thị</v>
      </c>
      <c r="H31" t="str">
        <f>survey_responses[[#This Row],[Khu vực bạn đang sinh sống:]]</f>
        <v>Thành thị</v>
      </c>
      <c r="I31" t="str">
        <f>step3_validation[[#This Row],[Education]]</f>
        <v>Đại học</v>
      </c>
      <c r="J31" t="str">
        <f>survey_responses[[#This Row],[Trình độ học vấn cao nhất:]]</f>
        <v>Đại học</v>
      </c>
      <c r="K31" t="str">
        <f>step3_validation[[#This Row],[Employment]]</f>
        <v>Chính thức</v>
      </c>
      <c r="L31" t="str">
        <f>survey_responses[[#This Row],[Tình trạng việc làm chính:]]</f>
        <v>Khu vực chính thức (Có Hợp đồng lao động, đóng BHXH)</v>
      </c>
      <c r="M31">
        <f>step3_validation[[#This Row],[Income_Mil]]</f>
        <v>12.223520163452035</v>
      </c>
      <c r="N31" t="str">
        <f>survey_responses[[#This Row],[Thu nhập bình quân tháng theo Hợp đồng lao động của bạn là bao nhiêu? (Vui lòng điền tổng thu nhập trước khi khấu trừ các loại Bảo hiểm (BHXH, BHYT, BHTN) và Thuế TNCN)]]</f>
        <v>Từ 12 - 18 triệu VNĐ</v>
      </c>
      <c r="O31">
        <f>step3_validation[[#This Row],[Dependents]]</f>
        <v>0</v>
      </c>
      <c r="P31" t="str">
        <f>survey_responses[[#This Row],[Số người phụ thuộc (con nhỏ, cha mẹ già...) đủ điều kiện giảm trừ gia cảnh:]]</f>
        <v>0 người</v>
      </c>
      <c r="Q31">
        <f>step3_validation[[#This Row],[AI_ENF1]]</f>
        <v>8</v>
      </c>
      <c r="R31" t="str">
        <f t="shared" si="0"/>
        <v>Support</v>
      </c>
      <c r="S31">
        <f>survey_responses[[#This Row],[Tôi tin rằng với các quy định quản lý thuế hiện nay, hành vi gian lận hoặc trốn thuế sẽ dễ dàng bị phát hiện và xử lý nghiêm. - HUMAN-ENF1]]</f>
        <v>10</v>
      </c>
      <c r="T31" t="str">
        <f t="shared" si="1"/>
        <v>Support</v>
      </c>
      <c r="U31" s="31">
        <f t="shared" si="2"/>
        <v>2</v>
      </c>
      <c r="V31">
        <f>step3_validation[[#This Row],[AI_ENF2]]</f>
        <v>9</v>
      </c>
      <c r="W31" t="str">
        <f t="shared" si="3"/>
        <v>Support</v>
      </c>
      <c r="X31">
        <f>survey_responses[[#This Row],[Tôi tin rằng Nhà nước, cơ quan thuế có đủ khả năng và công nghệ để phát hiện, xử lý nghiêm các hành vi trốn thuế. - HUMAN-ENF2]]</f>
        <v>10</v>
      </c>
      <c r="Y31" t="str">
        <f t="shared" si="4"/>
        <v>Support</v>
      </c>
      <c r="Z31" s="31">
        <f t="shared" si="5"/>
        <v>1</v>
      </c>
      <c r="AA31">
        <f>step3_validation[[#This Row],[AI_FAC1]]</f>
        <v>8</v>
      </c>
      <c r="AB31" t="str">
        <f t="shared" si="6"/>
        <v>Support</v>
      </c>
      <c r="AC31">
        <f>survey_responses[[#This Row],[Các thủ tục khai báo thuế VÀ/HOẶC quy trình làm việc với cơ quan thuế đơn giản, tiện lợi, nhanh chóng hơn so với trước đây. - HUMAN-FAC1]]</f>
        <v>9</v>
      </c>
      <c r="AD31" t="str">
        <f t="shared" si="7"/>
        <v>Support</v>
      </c>
      <c r="AE31" s="31">
        <f t="shared" si="8"/>
        <v>1</v>
      </c>
      <c r="AF31">
        <f>step3_validation[[#This Row],[AI_FAC2]]</f>
        <v>9</v>
      </c>
      <c r="AG31" t="str">
        <f t="shared" si="9"/>
        <v>Support</v>
      </c>
      <c r="AH31">
        <f>survey_responses[[#This Row],[So với trước đây, tôi thấy cách tính thuế và các bậc thuế trong phương án mới đơn giản, dễ hiểu và dễ thực hiện hơn. - HUMAN-FAC2]]</f>
        <v>10</v>
      </c>
      <c r="AI31" t="str">
        <f t="shared" si="10"/>
        <v>Support</v>
      </c>
      <c r="AJ31" s="31">
        <f t="shared" si="11"/>
        <v>1</v>
      </c>
      <c r="AK31">
        <f>step3_validation[[#This Row],[AI_TRU1]]</f>
        <v>8</v>
      </c>
      <c r="AL31" t="str">
        <f t="shared" si="12"/>
        <v>Support</v>
      </c>
      <c r="AM31">
        <f>survey_responses[[#This Row],[Tôi tin rằng Nhà nước, cơ quan thuế sẽ thực thi chính sách mới một cách khách quan, công tâm và đối xử bình đẳng với mọi người nộp thuế.  - HUMAN-TRU1]]</f>
        <v>10</v>
      </c>
      <c r="AN31" t="str">
        <f t="shared" si="13"/>
        <v>Support</v>
      </c>
      <c r="AO31" s="31">
        <f t="shared" si="14"/>
        <v>2</v>
      </c>
      <c r="AP31">
        <f>step3_validation[[#This Row],[AI_TRU2]]</f>
        <v>9</v>
      </c>
      <c r="AQ31" t="str">
        <f t="shared" si="15"/>
        <v>Support</v>
      </c>
      <c r="AR31">
        <f>survey_responses[[#This Row],[Tôi thấy mức thuế tôi phải đóng theo phương án mới là công bằng (người thu nhập như tôi đóng mức này là hợp lý). - HUMAN-TRU2]]</f>
        <v>10</v>
      </c>
      <c r="AS31" t="str">
        <f t="shared" si="16"/>
        <v>Support</v>
      </c>
      <c r="AT31" s="31">
        <f t="shared" si="17"/>
        <v>1</v>
      </c>
      <c r="AU31">
        <f>step3_validation[[#This Row],[AI_TRU3]]</f>
        <v>8</v>
      </c>
      <c r="AV31" t="str">
        <f t="shared" si="18"/>
        <v>Support</v>
      </c>
      <c r="AW31">
        <f>survey_responses[[#This Row],[Tôi tin tưởng số tiền thuế tôi đóng sẽ được Nhà nước sử dụng hiệu quả để cải thiện dịch vụ công (y tế, đường xá...). - HUMAN-TRU3]]</f>
        <v>10</v>
      </c>
      <c r="AX31" t="str">
        <f t="shared" si="19"/>
        <v>Support</v>
      </c>
      <c r="AY31" s="31">
        <f t="shared" si="20"/>
        <v>2</v>
      </c>
      <c r="AZ31">
        <f>step3_validation[[#This Row],[AI_TRU4]]</f>
        <v>9</v>
      </c>
      <c r="BA31" t="str">
        <f t="shared" si="21"/>
        <v>Support</v>
      </c>
      <c r="BB31">
        <f>survey_responses[[#This Row],[Tôi thấy Nhà nước đã giải thích rõ ràng, minh bạch về lý do và mục tiêu của việc sửa đổi thuế lần này. - HUMAN-TRU4]]</f>
        <v>10</v>
      </c>
      <c r="BC31" t="str">
        <f t="shared" si="22"/>
        <v>Support</v>
      </c>
      <c r="BD31" s="31">
        <f t="shared" si="23"/>
        <v>1</v>
      </c>
      <c r="BE31">
        <f>step3_validation[[#This Row],[AI_OUT1]]</f>
        <v>8</v>
      </c>
      <c r="BF31" t="str">
        <f t="shared" si="24"/>
        <v>Support</v>
      </c>
      <c r="BG31">
        <f>survey_responses[[#This Row],[Sau khi xem xét các quyền lợi và nghĩa vụ, bạn có ủng hộ và tuân thủ chính sách mới hiện nay? - HUMAN-OUT1]]</f>
        <v>10</v>
      </c>
      <c r="BH31" t="str">
        <f t="shared" si="25"/>
        <v>Support</v>
      </c>
      <c r="BI31" s="31">
        <f t="shared" si="26"/>
        <v>2</v>
      </c>
    </row>
    <row r="32" spans="1:61" hidden="1" x14ac:dyDescent="0.45">
      <c r="A32" s="29">
        <f>step3_validation[[#This Row],[Persona_ID]]</f>
        <v>31</v>
      </c>
      <c r="B32" s="30">
        <f>step3_validation[[#This Row],[Used_Seed]]</f>
        <v>72</v>
      </c>
      <c r="C32" t="str">
        <f>step3_validation[[#This Row],[Gender]]</f>
        <v>Nữ</v>
      </c>
      <c r="D32" t="str">
        <f>survey_responses[[#This Row],[Giới tính của bạn:]]</f>
        <v>Nữ</v>
      </c>
      <c r="E32" t="str">
        <f>step3_validation[[#This Row],[Age_Group]]</f>
        <v>25 - 29</v>
      </c>
      <c r="F32" t="str">
        <f>survey_responses[[#This Row],[Độ tuổi của bạn:]]</f>
        <v>25 - 29</v>
      </c>
      <c r="G32" t="str">
        <f>step3_validation[[#This Row],[Region]]</f>
        <v>Thành thị</v>
      </c>
      <c r="H32" t="str">
        <f>survey_responses[[#This Row],[Khu vực bạn đang sinh sống:]]</f>
        <v>Thành thị</v>
      </c>
      <c r="I32" t="str">
        <f>step3_validation[[#This Row],[Education]]</f>
        <v>Đại học</v>
      </c>
      <c r="J32" t="str">
        <f>survey_responses[[#This Row],[Trình độ học vấn cao nhất:]]</f>
        <v>Đại học</v>
      </c>
      <c r="K32" t="str">
        <f>step3_validation[[#This Row],[Employment]]</f>
        <v>Chính thức</v>
      </c>
      <c r="L32" t="str">
        <f>survey_responses[[#This Row],[Tình trạng việc làm chính:]]</f>
        <v>Khu vực chính thức (Có Hợp đồng lao động, đóng BHXH)</v>
      </c>
      <c r="M32">
        <f>step3_validation[[#This Row],[Income_Mil]]</f>
        <v>27.385769839953532</v>
      </c>
      <c r="N32" t="str">
        <f>survey_responses[[#This Row],[Thu nhập bình quân tháng theo Hợp đồng lao động của bạn là bao nhiêu? (Vui lòng điền tổng thu nhập trước khi khấu trừ các loại Bảo hiểm (BHXH, BHYT, BHTN) và Thuế TNCN)]]</f>
        <v>Từ 23 - 32 triệu VNĐ</v>
      </c>
      <c r="O32">
        <f>step3_validation[[#This Row],[Dependents]]</f>
        <v>0</v>
      </c>
      <c r="P32" t="str">
        <f>survey_responses[[#This Row],[Số người phụ thuộc (con nhỏ, cha mẹ già...) đủ điều kiện giảm trừ gia cảnh:]]</f>
        <v>0 người</v>
      </c>
      <c r="Q32">
        <f>step3_validation[[#This Row],[AI_ENF1]]</f>
        <v>9</v>
      </c>
      <c r="R32" t="str">
        <f t="shared" si="0"/>
        <v>Support</v>
      </c>
      <c r="S32">
        <f>survey_responses[[#This Row],[Tôi tin rằng với các quy định quản lý thuế hiện nay, hành vi gian lận hoặc trốn thuế sẽ dễ dàng bị phát hiện và xử lý nghiêm. - HUMAN-ENF1]]</f>
        <v>10</v>
      </c>
      <c r="T32" t="str">
        <f t="shared" si="1"/>
        <v>Support</v>
      </c>
      <c r="U32" s="31">
        <f t="shared" si="2"/>
        <v>1</v>
      </c>
      <c r="V32">
        <f>step3_validation[[#This Row],[AI_ENF2]]</f>
        <v>8</v>
      </c>
      <c r="W32" t="str">
        <f t="shared" si="3"/>
        <v>Support</v>
      </c>
      <c r="X32">
        <f>survey_responses[[#This Row],[Tôi tin rằng Nhà nước, cơ quan thuế có đủ khả năng và công nghệ để phát hiện, xử lý nghiêm các hành vi trốn thuế. - HUMAN-ENF2]]</f>
        <v>7</v>
      </c>
      <c r="Y32" t="str">
        <f t="shared" si="4"/>
        <v>Neutral</v>
      </c>
      <c r="Z32" s="31">
        <f t="shared" si="5"/>
        <v>1</v>
      </c>
      <c r="AA32">
        <f>step3_validation[[#This Row],[AI_FAC1]]</f>
        <v>9</v>
      </c>
      <c r="AB32" t="str">
        <f t="shared" si="6"/>
        <v>Support</v>
      </c>
      <c r="AC32">
        <f>survey_responses[[#This Row],[Các thủ tục khai báo thuế VÀ/HOẶC quy trình làm việc với cơ quan thuế đơn giản, tiện lợi, nhanh chóng hơn so với trước đây. - HUMAN-FAC1]]</f>
        <v>10</v>
      </c>
      <c r="AD32" t="str">
        <f t="shared" si="7"/>
        <v>Support</v>
      </c>
      <c r="AE32" s="31">
        <f t="shared" si="8"/>
        <v>1</v>
      </c>
      <c r="AF32">
        <f>step3_validation[[#This Row],[AI_FAC2]]</f>
        <v>8</v>
      </c>
      <c r="AG32" t="str">
        <f t="shared" si="9"/>
        <v>Support</v>
      </c>
      <c r="AH32">
        <f>survey_responses[[#This Row],[So với trước đây, tôi thấy cách tính thuế và các bậc thuế trong phương án mới đơn giản, dễ hiểu và dễ thực hiện hơn. - HUMAN-FAC2]]</f>
        <v>7</v>
      </c>
      <c r="AI32" t="str">
        <f t="shared" si="10"/>
        <v>Neutral</v>
      </c>
      <c r="AJ32" s="31">
        <f t="shared" si="11"/>
        <v>1</v>
      </c>
      <c r="AK32">
        <f>step3_validation[[#This Row],[AI_TRU1]]</f>
        <v>9</v>
      </c>
      <c r="AL32" t="str">
        <f t="shared" si="12"/>
        <v>Support</v>
      </c>
      <c r="AM32">
        <f>survey_responses[[#This Row],[Tôi tin rằng Nhà nước, cơ quan thuế sẽ thực thi chính sách mới một cách khách quan, công tâm và đối xử bình đẳng với mọi người nộp thuế.  - HUMAN-TRU1]]</f>
        <v>10</v>
      </c>
      <c r="AN32" t="str">
        <f t="shared" si="13"/>
        <v>Support</v>
      </c>
      <c r="AO32" s="31">
        <f t="shared" si="14"/>
        <v>1</v>
      </c>
      <c r="AP32">
        <f>step3_validation[[#This Row],[AI_TRU2]]</f>
        <v>8</v>
      </c>
      <c r="AQ32" t="str">
        <f t="shared" si="15"/>
        <v>Support</v>
      </c>
      <c r="AR32">
        <f>survey_responses[[#This Row],[Tôi thấy mức thuế tôi phải đóng theo phương án mới là công bằng (người thu nhập như tôi đóng mức này là hợp lý). - HUMAN-TRU2]]</f>
        <v>10</v>
      </c>
      <c r="AS32" t="str">
        <f t="shared" si="16"/>
        <v>Support</v>
      </c>
      <c r="AT32" s="31">
        <f t="shared" si="17"/>
        <v>2</v>
      </c>
      <c r="AU32">
        <f>step3_validation[[#This Row],[AI_TRU3]]</f>
        <v>9</v>
      </c>
      <c r="AV32" t="str">
        <f t="shared" si="18"/>
        <v>Support</v>
      </c>
      <c r="AW32">
        <f>survey_responses[[#This Row],[Tôi tin tưởng số tiền thuế tôi đóng sẽ được Nhà nước sử dụng hiệu quả để cải thiện dịch vụ công (y tế, đường xá...). - HUMAN-TRU3]]</f>
        <v>3</v>
      </c>
      <c r="AX32" t="str">
        <f t="shared" si="19"/>
        <v>Oppose</v>
      </c>
      <c r="AY32" s="31">
        <f t="shared" si="20"/>
        <v>6</v>
      </c>
      <c r="AZ32">
        <f>step3_validation[[#This Row],[AI_TRU4]]</f>
        <v>8</v>
      </c>
      <c r="BA32" t="str">
        <f t="shared" si="21"/>
        <v>Support</v>
      </c>
      <c r="BB32">
        <f>survey_responses[[#This Row],[Tôi thấy Nhà nước đã giải thích rõ ràng, minh bạch về lý do và mục tiêu của việc sửa đổi thuế lần này. - HUMAN-TRU4]]</f>
        <v>5</v>
      </c>
      <c r="BC32" t="str">
        <f t="shared" si="22"/>
        <v>Neutral</v>
      </c>
      <c r="BD32" s="31">
        <f t="shared" si="23"/>
        <v>3</v>
      </c>
      <c r="BE32">
        <f>step3_validation[[#This Row],[AI_OUT1]]</f>
        <v>9</v>
      </c>
      <c r="BF32" t="str">
        <f t="shared" si="24"/>
        <v>Support</v>
      </c>
      <c r="BG32">
        <f>survey_responses[[#This Row],[Sau khi xem xét các quyền lợi và nghĩa vụ, bạn có ủng hộ và tuân thủ chính sách mới hiện nay? - HUMAN-OUT1]]</f>
        <v>8</v>
      </c>
      <c r="BH32" t="str">
        <f t="shared" si="25"/>
        <v>Support</v>
      </c>
      <c r="BI32" s="31">
        <f t="shared" si="26"/>
        <v>1</v>
      </c>
    </row>
    <row r="33" spans="1:61" hidden="1" x14ac:dyDescent="0.45">
      <c r="A33" s="29">
        <f>step3_validation[[#This Row],[Persona_ID]]</f>
        <v>32</v>
      </c>
      <c r="B33" s="30">
        <f>step3_validation[[#This Row],[Used_Seed]]</f>
        <v>73</v>
      </c>
      <c r="C33" t="str">
        <f>step3_validation[[#This Row],[Gender]]</f>
        <v>Nữ</v>
      </c>
      <c r="D33" t="str">
        <f>survey_responses[[#This Row],[Giới tính của bạn:]]</f>
        <v>Nữ</v>
      </c>
      <c r="E33" t="str">
        <f>step3_validation[[#This Row],[Age_Group]]</f>
        <v>18 - 24</v>
      </c>
      <c r="F33" t="str">
        <f>survey_responses[[#This Row],[Độ tuổi của bạn:]]</f>
        <v>18 - 24</v>
      </c>
      <c r="G33" t="str">
        <f>step3_validation[[#This Row],[Region]]</f>
        <v>Thành thị</v>
      </c>
      <c r="H33" t="str">
        <f>survey_responses[[#This Row],[Khu vực bạn đang sinh sống:]]</f>
        <v>Thành thị</v>
      </c>
      <c r="I33" t="str">
        <f>step3_validation[[#This Row],[Education]]</f>
        <v>Đại học</v>
      </c>
      <c r="J33" t="str">
        <f>survey_responses[[#This Row],[Trình độ học vấn cao nhất:]]</f>
        <v>Đại học</v>
      </c>
      <c r="K33" t="str">
        <f>step3_validation[[#This Row],[Employment]]</f>
        <v>Chính thức</v>
      </c>
      <c r="L33" t="str">
        <f>survey_responses[[#This Row],[Tình trạng việc làm chính:]]</f>
        <v>Khu vực chính thức (Có Hợp đồng lao động, đóng BHXH)</v>
      </c>
      <c r="M33">
        <f>step3_validation[[#This Row],[Income_Mil]]</f>
        <v>26.973310439591643</v>
      </c>
      <c r="N33" t="str">
        <f>survey_responses[[#This Row],[Thu nhập bình quân tháng theo Hợp đồng lao động của bạn là bao nhiêu? (Vui lòng điền tổng thu nhập trước khi khấu trừ các loại Bảo hiểm (BHXH, BHYT, BHTN) và Thuế TNCN)]]</f>
        <v>Từ 23 - 32 triệu VNĐ</v>
      </c>
      <c r="O33">
        <f>step3_validation[[#This Row],[Dependents]]</f>
        <v>0</v>
      </c>
      <c r="P33" t="str">
        <f>survey_responses[[#This Row],[Số người phụ thuộc (con nhỏ, cha mẹ già...) đủ điều kiện giảm trừ gia cảnh:]]</f>
        <v>0 người</v>
      </c>
      <c r="Q33">
        <f>step3_validation[[#This Row],[AI_ENF1]]</f>
        <v>7</v>
      </c>
      <c r="R33" t="str">
        <f t="shared" si="0"/>
        <v>Neutral</v>
      </c>
      <c r="S33">
        <f>survey_responses[[#This Row],[Tôi tin rằng với các quy định quản lý thuế hiện nay, hành vi gian lận hoặc trốn thuế sẽ dễ dàng bị phát hiện và xử lý nghiêm. - HUMAN-ENF1]]</f>
        <v>5</v>
      </c>
      <c r="T33" t="str">
        <f t="shared" si="1"/>
        <v>Neutral</v>
      </c>
      <c r="U33" s="31">
        <f t="shared" si="2"/>
        <v>2</v>
      </c>
      <c r="V33">
        <f>step3_validation[[#This Row],[AI_ENF2]]</f>
        <v>6</v>
      </c>
      <c r="W33" t="str">
        <f t="shared" si="3"/>
        <v>Neutral</v>
      </c>
      <c r="X33">
        <f>survey_responses[[#This Row],[Tôi tin rằng Nhà nước, cơ quan thuế có đủ khả năng và công nghệ để phát hiện, xử lý nghiêm các hành vi trốn thuế. - HUMAN-ENF2]]</f>
        <v>5</v>
      </c>
      <c r="Y33" t="str">
        <f t="shared" si="4"/>
        <v>Neutral</v>
      </c>
      <c r="Z33" s="31">
        <f t="shared" si="5"/>
        <v>1</v>
      </c>
      <c r="AA33">
        <f>step3_validation[[#This Row],[AI_FAC1]]</f>
        <v>9</v>
      </c>
      <c r="AB33" t="str">
        <f t="shared" si="6"/>
        <v>Support</v>
      </c>
      <c r="AC33">
        <f>survey_responses[[#This Row],[Các thủ tục khai báo thuế VÀ/HOẶC quy trình làm việc với cơ quan thuế đơn giản, tiện lợi, nhanh chóng hơn so với trước đây. - HUMAN-FAC1]]</f>
        <v>5</v>
      </c>
      <c r="AD33" t="str">
        <f t="shared" si="7"/>
        <v>Neutral</v>
      </c>
      <c r="AE33" s="31">
        <f t="shared" si="8"/>
        <v>4</v>
      </c>
      <c r="AF33">
        <f>step3_validation[[#This Row],[AI_FAC2]]</f>
        <v>8</v>
      </c>
      <c r="AG33" t="str">
        <f t="shared" si="9"/>
        <v>Support</v>
      </c>
      <c r="AH33">
        <f>survey_responses[[#This Row],[So với trước đây, tôi thấy cách tính thuế và các bậc thuế trong phương án mới đơn giản, dễ hiểu và dễ thực hiện hơn. - HUMAN-FAC2]]</f>
        <v>5</v>
      </c>
      <c r="AI33" t="str">
        <f t="shared" si="10"/>
        <v>Neutral</v>
      </c>
      <c r="AJ33" s="31">
        <f t="shared" si="11"/>
        <v>3</v>
      </c>
      <c r="AK33">
        <f>step3_validation[[#This Row],[AI_TRU1]]</f>
        <v>7</v>
      </c>
      <c r="AL33" t="str">
        <f t="shared" si="12"/>
        <v>Neutral</v>
      </c>
      <c r="AM33">
        <f>survey_responses[[#This Row],[Tôi tin rằng Nhà nước, cơ quan thuế sẽ thực thi chính sách mới một cách khách quan, công tâm và đối xử bình đẳng với mọi người nộp thuế.  - HUMAN-TRU1]]</f>
        <v>5</v>
      </c>
      <c r="AN33" t="str">
        <f t="shared" si="13"/>
        <v>Neutral</v>
      </c>
      <c r="AO33" s="31">
        <f t="shared" si="14"/>
        <v>2</v>
      </c>
      <c r="AP33">
        <f>step3_validation[[#This Row],[AI_TRU2]]</f>
        <v>8</v>
      </c>
      <c r="AQ33" t="str">
        <f t="shared" si="15"/>
        <v>Support</v>
      </c>
      <c r="AR33">
        <f>survey_responses[[#This Row],[Tôi thấy mức thuế tôi phải đóng theo phương án mới là công bằng (người thu nhập như tôi đóng mức này là hợp lý). - HUMAN-TRU2]]</f>
        <v>5</v>
      </c>
      <c r="AS33" t="str">
        <f t="shared" si="16"/>
        <v>Neutral</v>
      </c>
      <c r="AT33" s="31">
        <f t="shared" si="17"/>
        <v>3</v>
      </c>
      <c r="AU33">
        <f>step3_validation[[#This Row],[AI_TRU3]]</f>
        <v>7</v>
      </c>
      <c r="AV33" t="str">
        <f t="shared" si="18"/>
        <v>Neutral</v>
      </c>
      <c r="AW33">
        <f>survey_responses[[#This Row],[Tôi tin tưởng số tiền thuế tôi đóng sẽ được Nhà nước sử dụng hiệu quả để cải thiện dịch vụ công (y tế, đường xá...). - HUMAN-TRU3]]</f>
        <v>5</v>
      </c>
      <c r="AX33" t="str">
        <f t="shared" si="19"/>
        <v>Neutral</v>
      </c>
      <c r="AY33" s="31">
        <f t="shared" si="20"/>
        <v>2</v>
      </c>
      <c r="AZ33">
        <f>step3_validation[[#This Row],[AI_TRU4]]</f>
        <v>6</v>
      </c>
      <c r="BA33" t="str">
        <f t="shared" si="21"/>
        <v>Neutral</v>
      </c>
      <c r="BB33">
        <f>survey_responses[[#This Row],[Tôi thấy Nhà nước đã giải thích rõ ràng, minh bạch về lý do và mục tiêu của việc sửa đổi thuế lần này. - HUMAN-TRU4]]</f>
        <v>5</v>
      </c>
      <c r="BC33" t="str">
        <f t="shared" si="22"/>
        <v>Neutral</v>
      </c>
      <c r="BD33" s="31">
        <f t="shared" si="23"/>
        <v>1</v>
      </c>
      <c r="BE33">
        <f>step3_validation[[#This Row],[AI_OUT1]]</f>
        <v>8</v>
      </c>
      <c r="BF33" t="str">
        <f t="shared" si="24"/>
        <v>Support</v>
      </c>
      <c r="BG33">
        <f>survey_responses[[#This Row],[Sau khi xem xét các quyền lợi và nghĩa vụ, bạn có ủng hộ và tuân thủ chính sách mới hiện nay? - HUMAN-OUT1]]</f>
        <v>5</v>
      </c>
      <c r="BH33" t="str">
        <f t="shared" si="25"/>
        <v>Neutral</v>
      </c>
      <c r="BI33" s="31">
        <f t="shared" si="26"/>
        <v>3</v>
      </c>
    </row>
    <row r="34" spans="1:61" hidden="1" x14ac:dyDescent="0.45">
      <c r="A34" s="29">
        <f>step3_validation[[#This Row],[Persona_ID]]</f>
        <v>33</v>
      </c>
      <c r="B34" s="30">
        <f>step3_validation[[#This Row],[Used_Seed]]</f>
        <v>74</v>
      </c>
      <c r="C34" t="str">
        <f>step3_validation[[#This Row],[Gender]]</f>
        <v>Nữ</v>
      </c>
      <c r="D34" t="str">
        <f>survey_responses[[#This Row],[Giới tính của bạn:]]</f>
        <v>Nữ</v>
      </c>
      <c r="E34" t="str">
        <f>step3_validation[[#This Row],[Age_Group]]</f>
        <v>25 - 29</v>
      </c>
      <c r="F34" t="str">
        <f>survey_responses[[#This Row],[Độ tuổi của bạn:]]</f>
        <v>25 - 29</v>
      </c>
      <c r="G34" t="str">
        <f>step3_validation[[#This Row],[Region]]</f>
        <v>Thành thị</v>
      </c>
      <c r="H34" t="str">
        <f>survey_responses[[#This Row],[Khu vực bạn đang sinh sống:]]</f>
        <v>Thành thị</v>
      </c>
      <c r="I34" t="str">
        <f>step3_validation[[#This Row],[Education]]</f>
        <v>Đại học</v>
      </c>
      <c r="J34" t="str">
        <f>survey_responses[[#This Row],[Trình độ học vấn cao nhất:]]</f>
        <v>Đại học</v>
      </c>
      <c r="K34" t="str">
        <f>step3_validation[[#This Row],[Employment]]</f>
        <v>Chính thức</v>
      </c>
      <c r="L34" t="str">
        <f>survey_responses[[#This Row],[Tình trạng việc làm chính:]]</f>
        <v>Khu vực chính thức (Có Hợp đồng lao động, đóng BHXH)</v>
      </c>
      <c r="M34">
        <f>step3_validation[[#This Row],[Income_Mil]]</f>
        <v>30.936371302917472</v>
      </c>
      <c r="N34" t="str">
        <f>survey_responses[[#This Row],[Thu nhập bình quân tháng theo Hợp đồng lao động của bạn là bao nhiêu? (Vui lòng điền tổng thu nhập trước khi khấu trừ các loại Bảo hiểm (BHXH, BHYT, BHTN) và Thuế TNCN)]]</f>
        <v>Từ 23 - 32 triệu VNĐ</v>
      </c>
      <c r="O34">
        <f>step3_validation[[#This Row],[Dependents]]</f>
        <v>0</v>
      </c>
      <c r="P34" t="str">
        <f>survey_responses[[#This Row],[Số người phụ thuộc (con nhỏ, cha mẹ già...) đủ điều kiện giảm trừ gia cảnh:]]</f>
        <v>0 người</v>
      </c>
      <c r="Q34">
        <f>step3_validation[[#This Row],[AI_ENF1]]</f>
        <v>8</v>
      </c>
      <c r="R34" t="str">
        <f t="shared" si="0"/>
        <v>Support</v>
      </c>
      <c r="S34">
        <f>survey_responses[[#This Row],[Tôi tin rằng với các quy định quản lý thuế hiện nay, hành vi gian lận hoặc trốn thuế sẽ dễ dàng bị phát hiện và xử lý nghiêm. - HUMAN-ENF1]]</f>
        <v>8</v>
      </c>
      <c r="T34" t="str">
        <f t="shared" si="1"/>
        <v>Support</v>
      </c>
      <c r="U34" s="31">
        <f t="shared" si="2"/>
        <v>0</v>
      </c>
      <c r="V34">
        <f>step3_validation[[#This Row],[AI_ENF2]]</f>
        <v>7</v>
      </c>
      <c r="W34" t="str">
        <f t="shared" si="3"/>
        <v>Neutral</v>
      </c>
      <c r="X34">
        <f>survey_responses[[#This Row],[Tôi tin rằng Nhà nước, cơ quan thuế có đủ khả năng và công nghệ để phát hiện, xử lý nghiêm các hành vi trốn thuế. - HUMAN-ENF2]]</f>
        <v>9</v>
      </c>
      <c r="Y34" t="str">
        <f t="shared" si="4"/>
        <v>Support</v>
      </c>
      <c r="Z34" s="31">
        <f t="shared" si="5"/>
        <v>2</v>
      </c>
      <c r="AA34">
        <f>step3_validation[[#This Row],[AI_FAC1]]</f>
        <v>9</v>
      </c>
      <c r="AB34" t="str">
        <f t="shared" si="6"/>
        <v>Support</v>
      </c>
      <c r="AC34">
        <f>survey_responses[[#This Row],[Các thủ tục khai báo thuế VÀ/HOẶC quy trình làm việc với cơ quan thuế đơn giản, tiện lợi, nhanh chóng hơn so với trước đây. - HUMAN-FAC1]]</f>
        <v>7</v>
      </c>
      <c r="AD34" t="str">
        <f t="shared" si="7"/>
        <v>Neutral</v>
      </c>
      <c r="AE34" s="31">
        <f t="shared" si="8"/>
        <v>2</v>
      </c>
      <c r="AF34">
        <f>step3_validation[[#This Row],[AI_FAC2]]</f>
        <v>8</v>
      </c>
      <c r="AG34" t="str">
        <f t="shared" si="9"/>
        <v>Support</v>
      </c>
      <c r="AH34">
        <f>survey_responses[[#This Row],[So với trước đây, tôi thấy cách tính thuế và các bậc thuế trong phương án mới đơn giản, dễ hiểu và dễ thực hiện hơn. - HUMAN-FAC2]]</f>
        <v>8</v>
      </c>
      <c r="AI34" t="str">
        <f t="shared" si="10"/>
        <v>Support</v>
      </c>
      <c r="AJ34" s="31">
        <f t="shared" si="11"/>
        <v>0</v>
      </c>
      <c r="AK34">
        <f>step3_validation[[#This Row],[AI_TRU1]]</f>
        <v>9</v>
      </c>
      <c r="AL34" t="str">
        <f t="shared" si="12"/>
        <v>Support</v>
      </c>
      <c r="AM34">
        <f>survey_responses[[#This Row],[Tôi tin rằng Nhà nước, cơ quan thuế sẽ thực thi chính sách mới một cách khách quan, công tâm và đối xử bình đẳng với mọi người nộp thuế.  - HUMAN-TRU1]]</f>
        <v>8</v>
      </c>
      <c r="AN34" t="str">
        <f t="shared" si="13"/>
        <v>Support</v>
      </c>
      <c r="AO34" s="31">
        <f t="shared" si="14"/>
        <v>1</v>
      </c>
      <c r="AP34">
        <f>step3_validation[[#This Row],[AI_TRU2]]</f>
        <v>8</v>
      </c>
      <c r="AQ34" t="str">
        <f t="shared" si="15"/>
        <v>Support</v>
      </c>
      <c r="AR34">
        <f>survey_responses[[#This Row],[Tôi thấy mức thuế tôi phải đóng theo phương án mới là công bằng (người thu nhập như tôi đóng mức này là hợp lý). - HUMAN-TRU2]]</f>
        <v>8</v>
      </c>
      <c r="AS34" t="str">
        <f t="shared" si="16"/>
        <v>Support</v>
      </c>
      <c r="AT34" s="31">
        <f t="shared" si="17"/>
        <v>0</v>
      </c>
      <c r="AU34">
        <f>step3_validation[[#This Row],[AI_TRU3]]</f>
        <v>9</v>
      </c>
      <c r="AV34" t="str">
        <f t="shared" si="18"/>
        <v>Support</v>
      </c>
      <c r="AW34">
        <f>survey_responses[[#This Row],[Tôi tin tưởng số tiền thuế tôi đóng sẽ được Nhà nước sử dụng hiệu quả để cải thiện dịch vụ công (y tế, đường xá...). - HUMAN-TRU3]]</f>
        <v>3</v>
      </c>
      <c r="AX34" t="str">
        <f t="shared" si="19"/>
        <v>Oppose</v>
      </c>
      <c r="AY34" s="31">
        <f t="shared" si="20"/>
        <v>6</v>
      </c>
      <c r="AZ34">
        <f>step3_validation[[#This Row],[AI_TRU4]]</f>
        <v>8</v>
      </c>
      <c r="BA34" t="str">
        <f t="shared" si="21"/>
        <v>Support</v>
      </c>
      <c r="BB34">
        <f>survey_responses[[#This Row],[Tôi thấy Nhà nước đã giải thích rõ ràng, minh bạch về lý do và mục tiêu của việc sửa đổi thuế lần này. - HUMAN-TRU4]]</f>
        <v>6</v>
      </c>
      <c r="BC34" t="str">
        <f t="shared" si="22"/>
        <v>Neutral</v>
      </c>
      <c r="BD34" s="31">
        <f t="shared" si="23"/>
        <v>2</v>
      </c>
      <c r="BE34">
        <f>step3_validation[[#This Row],[AI_OUT1]]</f>
        <v>9</v>
      </c>
      <c r="BF34" t="str">
        <f t="shared" si="24"/>
        <v>Support</v>
      </c>
      <c r="BG34">
        <f>survey_responses[[#This Row],[Sau khi xem xét các quyền lợi và nghĩa vụ, bạn có ủng hộ và tuân thủ chính sách mới hiện nay? - HUMAN-OUT1]]</f>
        <v>7</v>
      </c>
      <c r="BH34" t="str">
        <f t="shared" si="25"/>
        <v>Neutral</v>
      </c>
      <c r="BI34" s="31">
        <f t="shared" si="26"/>
        <v>2</v>
      </c>
    </row>
    <row r="35" spans="1:61" hidden="1" x14ac:dyDescent="0.45">
      <c r="A35" s="29">
        <f>step3_validation[[#This Row],[Persona_ID]]</f>
        <v>34</v>
      </c>
      <c r="B35" s="30">
        <f>step3_validation[[#This Row],[Used_Seed]]</f>
        <v>75</v>
      </c>
      <c r="C35" t="str">
        <f>step3_validation[[#This Row],[Gender]]</f>
        <v>Nam</v>
      </c>
      <c r="D35" t="str">
        <f>survey_responses[[#This Row],[Giới tính của bạn:]]</f>
        <v>Nam</v>
      </c>
      <c r="E35" t="str">
        <f>step3_validation[[#This Row],[Age_Group]]</f>
        <v>25 - 29</v>
      </c>
      <c r="F35" t="str">
        <f>survey_responses[[#This Row],[Độ tuổi của bạn:]]</f>
        <v>25 - 29</v>
      </c>
      <c r="G35" t="str">
        <f>step3_validation[[#This Row],[Region]]</f>
        <v>Thành thị</v>
      </c>
      <c r="H35" t="str">
        <f>survey_responses[[#This Row],[Khu vực bạn đang sinh sống:]]</f>
        <v>Thành thị</v>
      </c>
      <c r="I35" t="str">
        <f>step3_validation[[#This Row],[Education]]</f>
        <v>Đại học</v>
      </c>
      <c r="J35" t="str">
        <f>survey_responses[[#This Row],[Trình độ học vấn cao nhất:]]</f>
        <v>Đại học</v>
      </c>
      <c r="K35" t="str">
        <f>step3_validation[[#This Row],[Employment]]</f>
        <v>Chính thức</v>
      </c>
      <c r="L35" t="str">
        <f>survey_responses[[#This Row],[Tình trạng việc làm chính:]]</f>
        <v>Khu vực chính thức (Có Hợp đồng lao động, đóng BHXH)</v>
      </c>
      <c r="M35">
        <f>step3_validation[[#This Row],[Income_Mil]]</f>
        <v>14.135256727553292</v>
      </c>
      <c r="N35" t="str">
        <f>survey_responses[[#This Row],[Thu nhập bình quân tháng theo Hợp đồng lao động của bạn là bao nhiêu? (Vui lòng điền tổng thu nhập trước khi khấu trừ các loại Bảo hiểm (BHXH, BHYT, BHTN) và Thuế TNCN)]]</f>
        <v>Từ 12 - 18 triệu VNĐ</v>
      </c>
      <c r="O35">
        <f>step3_validation[[#This Row],[Dependents]]</f>
        <v>1</v>
      </c>
      <c r="P35" t="str">
        <f>survey_responses[[#This Row],[Số người phụ thuộc (con nhỏ, cha mẹ già...) đủ điều kiện giảm trừ gia cảnh:]]</f>
        <v>1 người</v>
      </c>
      <c r="Q35">
        <f>step3_validation[[#This Row],[AI_ENF1]]</f>
        <v>9</v>
      </c>
      <c r="R35" t="str">
        <f t="shared" si="0"/>
        <v>Support</v>
      </c>
      <c r="S35">
        <f>survey_responses[[#This Row],[Tôi tin rằng với các quy định quản lý thuế hiện nay, hành vi gian lận hoặc trốn thuế sẽ dễ dàng bị phát hiện và xử lý nghiêm. - HUMAN-ENF1]]</f>
        <v>10</v>
      </c>
      <c r="T35" t="str">
        <f t="shared" si="1"/>
        <v>Support</v>
      </c>
      <c r="U35" s="31">
        <f t="shared" si="2"/>
        <v>1</v>
      </c>
      <c r="V35">
        <f>step3_validation[[#This Row],[AI_ENF2]]</f>
        <v>8</v>
      </c>
      <c r="W35" t="str">
        <f t="shared" si="3"/>
        <v>Support</v>
      </c>
      <c r="X35">
        <f>survey_responses[[#This Row],[Tôi tin rằng Nhà nước, cơ quan thuế có đủ khả năng và công nghệ để phát hiện, xử lý nghiêm các hành vi trốn thuế. - HUMAN-ENF2]]</f>
        <v>10</v>
      </c>
      <c r="Y35" t="str">
        <f t="shared" si="4"/>
        <v>Support</v>
      </c>
      <c r="Z35" s="31">
        <f t="shared" si="5"/>
        <v>2</v>
      </c>
      <c r="AA35">
        <f>step3_validation[[#This Row],[AI_FAC1]]</f>
        <v>9</v>
      </c>
      <c r="AB35" t="str">
        <f t="shared" si="6"/>
        <v>Support</v>
      </c>
      <c r="AC35">
        <f>survey_responses[[#This Row],[Các thủ tục khai báo thuế VÀ/HOẶC quy trình làm việc với cơ quan thuế đơn giản, tiện lợi, nhanh chóng hơn so với trước đây. - HUMAN-FAC1]]</f>
        <v>10</v>
      </c>
      <c r="AD35" t="str">
        <f t="shared" si="7"/>
        <v>Support</v>
      </c>
      <c r="AE35" s="31">
        <f t="shared" si="8"/>
        <v>1</v>
      </c>
      <c r="AF35">
        <f>step3_validation[[#This Row],[AI_FAC2]]</f>
        <v>8</v>
      </c>
      <c r="AG35" t="str">
        <f t="shared" si="9"/>
        <v>Support</v>
      </c>
      <c r="AH35">
        <f>survey_responses[[#This Row],[So với trước đây, tôi thấy cách tính thuế và các bậc thuế trong phương án mới đơn giản, dễ hiểu và dễ thực hiện hơn. - HUMAN-FAC2]]</f>
        <v>10</v>
      </c>
      <c r="AI35" t="str">
        <f t="shared" si="10"/>
        <v>Support</v>
      </c>
      <c r="AJ35" s="31">
        <f t="shared" si="11"/>
        <v>2</v>
      </c>
      <c r="AK35">
        <f>step3_validation[[#This Row],[AI_TRU1]]</f>
        <v>9</v>
      </c>
      <c r="AL35" t="str">
        <f t="shared" si="12"/>
        <v>Support</v>
      </c>
      <c r="AM35">
        <f>survey_responses[[#This Row],[Tôi tin rằng Nhà nước, cơ quan thuế sẽ thực thi chính sách mới một cách khách quan, công tâm và đối xử bình đẳng với mọi người nộp thuế.  - HUMAN-TRU1]]</f>
        <v>10</v>
      </c>
      <c r="AN35" t="str">
        <f t="shared" si="13"/>
        <v>Support</v>
      </c>
      <c r="AO35" s="31">
        <f t="shared" si="14"/>
        <v>1</v>
      </c>
      <c r="AP35">
        <f>step3_validation[[#This Row],[AI_TRU2]]</f>
        <v>8</v>
      </c>
      <c r="AQ35" t="str">
        <f t="shared" si="15"/>
        <v>Support</v>
      </c>
      <c r="AR35">
        <f>survey_responses[[#This Row],[Tôi thấy mức thuế tôi phải đóng theo phương án mới là công bằng (người thu nhập như tôi đóng mức này là hợp lý). - HUMAN-TRU2]]</f>
        <v>10</v>
      </c>
      <c r="AS35" t="str">
        <f t="shared" si="16"/>
        <v>Support</v>
      </c>
      <c r="AT35" s="31">
        <f t="shared" si="17"/>
        <v>2</v>
      </c>
      <c r="AU35">
        <f>step3_validation[[#This Row],[AI_TRU3]]</f>
        <v>9</v>
      </c>
      <c r="AV35" t="str">
        <f t="shared" si="18"/>
        <v>Support</v>
      </c>
      <c r="AW35">
        <f>survey_responses[[#This Row],[Tôi tin tưởng số tiền thuế tôi đóng sẽ được Nhà nước sử dụng hiệu quả để cải thiện dịch vụ công (y tế, đường xá...). - HUMAN-TRU3]]</f>
        <v>10</v>
      </c>
      <c r="AX35" t="str">
        <f t="shared" si="19"/>
        <v>Support</v>
      </c>
      <c r="AY35" s="31">
        <f t="shared" si="20"/>
        <v>1</v>
      </c>
      <c r="AZ35">
        <f>step3_validation[[#This Row],[AI_TRU4]]</f>
        <v>8</v>
      </c>
      <c r="BA35" t="str">
        <f t="shared" si="21"/>
        <v>Support</v>
      </c>
      <c r="BB35">
        <f>survey_responses[[#This Row],[Tôi thấy Nhà nước đã giải thích rõ ràng, minh bạch về lý do và mục tiêu của việc sửa đổi thuế lần này. - HUMAN-TRU4]]</f>
        <v>10</v>
      </c>
      <c r="BC35" t="str">
        <f t="shared" si="22"/>
        <v>Support</v>
      </c>
      <c r="BD35" s="31">
        <f t="shared" si="23"/>
        <v>2</v>
      </c>
      <c r="BE35">
        <f>step3_validation[[#This Row],[AI_OUT1]]</f>
        <v>9</v>
      </c>
      <c r="BF35" t="str">
        <f t="shared" si="24"/>
        <v>Support</v>
      </c>
      <c r="BG35">
        <f>survey_responses[[#This Row],[Sau khi xem xét các quyền lợi và nghĩa vụ, bạn có ủng hộ và tuân thủ chính sách mới hiện nay? - HUMAN-OUT1]]</f>
        <v>10</v>
      </c>
      <c r="BH35" t="str">
        <f t="shared" si="25"/>
        <v>Support</v>
      </c>
      <c r="BI35" s="31">
        <f t="shared" si="26"/>
        <v>1</v>
      </c>
    </row>
    <row r="36" spans="1:61" hidden="1" x14ac:dyDescent="0.45">
      <c r="A36" s="29">
        <f>step3_validation[[#This Row],[Persona_ID]]</f>
        <v>35</v>
      </c>
      <c r="B36" s="30">
        <f>step3_validation[[#This Row],[Used_Seed]]</f>
        <v>76</v>
      </c>
      <c r="C36" t="str">
        <f>step3_validation[[#This Row],[Gender]]</f>
        <v>Nữ</v>
      </c>
      <c r="D36" t="str">
        <f>survey_responses[[#This Row],[Giới tính của bạn:]]</f>
        <v>Nữ</v>
      </c>
      <c r="E36" t="str">
        <f>step3_validation[[#This Row],[Age_Group]]</f>
        <v>30 - 39</v>
      </c>
      <c r="F36" t="str">
        <f>survey_responses[[#This Row],[Độ tuổi của bạn:]]</f>
        <v>30 - 39</v>
      </c>
      <c r="G36" t="str">
        <f>step3_validation[[#This Row],[Region]]</f>
        <v>Thành thị</v>
      </c>
      <c r="H36" t="str">
        <f>survey_responses[[#This Row],[Khu vực bạn đang sinh sống:]]</f>
        <v>Thành thị</v>
      </c>
      <c r="I36" t="str">
        <f>step3_validation[[#This Row],[Education]]</f>
        <v>Cao đẳng</v>
      </c>
      <c r="J36" t="str">
        <f>survey_responses[[#This Row],[Trình độ học vấn cao nhất:]]</f>
        <v>Cao đẳng</v>
      </c>
      <c r="K36" t="str">
        <f>step3_validation[[#This Row],[Employment]]</f>
        <v>Chính thức</v>
      </c>
      <c r="L36" t="str">
        <f>survey_responses[[#This Row],[Tình trạng việc làm chính:]]</f>
        <v>Khu vực chính thức (Có Hợp đồng lao động, đóng BHXH)</v>
      </c>
      <c r="M36">
        <f>step3_validation[[#This Row],[Income_Mil]]</f>
        <v>16.728124504466535</v>
      </c>
      <c r="N36" t="str">
        <f>survey_responses[[#This Row],[Thu nhập bình quân tháng theo Hợp đồng lao động của bạn là bao nhiêu? (Vui lòng điền tổng thu nhập trước khi khấu trừ các loại Bảo hiểm (BHXH, BHYT, BHTN) và Thuế TNCN)]]</f>
        <v>Từ 12 - 18 triệu VNĐ</v>
      </c>
      <c r="O36">
        <f>step3_validation[[#This Row],[Dependents]]</f>
        <v>3</v>
      </c>
      <c r="P36" t="str">
        <f>survey_responses[[#This Row],[Số người phụ thuộc (con nhỏ, cha mẹ già...) đủ điều kiện giảm trừ gia cảnh:]]</f>
        <v>3 người</v>
      </c>
      <c r="Q36">
        <f>step3_validation[[#This Row],[AI_ENF1]]</f>
        <v>6</v>
      </c>
      <c r="R36" t="str">
        <f t="shared" si="0"/>
        <v>Neutral</v>
      </c>
      <c r="S36">
        <f>survey_responses[[#This Row],[Tôi tin rằng với các quy định quản lý thuế hiện nay, hành vi gian lận hoặc trốn thuế sẽ dễ dàng bị phát hiện và xử lý nghiêm. - HUMAN-ENF1]]</f>
        <v>10</v>
      </c>
      <c r="T36" t="str">
        <f t="shared" si="1"/>
        <v>Support</v>
      </c>
      <c r="U36" s="31">
        <f t="shared" si="2"/>
        <v>4</v>
      </c>
      <c r="V36">
        <f>step3_validation[[#This Row],[AI_ENF2]]</f>
        <v>6</v>
      </c>
      <c r="W36" t="str">
        <f t="shared" si="3"/>
        <v>Neutral</v>
      </c>
      <c r="X36">
        <f>survey_responses[[#This Row],[Tôi tin rằng Nhà nước, cơ quan thuế có đủ khả năng và công nghệ để phát hiện, xử lý nghiêm các hành vi trốn thuế. - HUMAN-ENF2]]</f>
        <v>10</v>
      </c>
      <c r="Y36" t="str">
        <f t="shared" si="4"/>
        <v>Support</v>
      </c>
      <c r="Z36" s="31">
        <f t="shared" si="5"/>
        <v>4</v>
      </c>
      <c r="AA36">
        <f>step3_validation[[#This Row],[AI_FAC1]]</f>
        <v>8</v>
      </c>
      <c r="AB36" t="str">
        <f t="shared" si="6"/>
        <v>Support</v>
      </c>
      <c r="AC36">
        <f>survey_responses[[#This Row],[Các thủ tục khai báo thuế VÀ/HOẶC quy trình làm việc với cơ quan thuế đơn giản, tiện lợi, nhanh chóng hơn so với trước đây. - HUMAN-FAC1]]</f>
        <v>10</v>
      </c>
      <c r="AD36" t="str">
        <f t="shared" si="7"/>
        <v>Support</v>
      </c>
      <c r="AE36" s="31">
        <f t="shared" si="8"/>
        <v>2</v>
      </c>
      <c r="AF36">
        <f>step3_validation[[#This Row],[AI_FAC2]]</f>
        <v>9</v>
      </c>
      <c r="AG36" t="str">
        <f t="shared" si="9"/>
        <v>Support</v>
      </c>
      <c r="AH36">
        <f>survey_responses[[#This Row],[So với trước đây, tôi thấy cách tính thuế và các bậc thuế trong phương án mới đơn giản, dễ hiểu và dễ thực hiện hơn. - HUMAN-FAC2]]</f>
        <v>10</v>
      </c>
      <c r="AI36" t="str">
        <f t="shared" si="10"/>
        <v>Support</v>
      </c>
      <c r="AJ36" s="31">
        <f t="shared" si="11"/>
        <v>1</v>
      </c>
      <c r="AK36">
        <f>step3_validation[[#This Row],[AI_TRU1]]</f>
        <v>7</v>
      </c>
      <c r="AL36" t="str">
        <f t="shared" si="12"/>
        <v>Neutral</v>
      </c>
      <c r="AM36">
        <f>survey_responses[[#This Row],[Tôi tin rằng Nhà nước, cơ quan thuế sẽ thực thi chính sách mới một cách khách quan, công tâm và đối xử bình đẳng với mọi người nộp thuế.  - HUMAN-TRU1]]</f>
        <v>10</v>
      </c>
      <c r="AN36" t="str">
        <f t="shared" si="13"/>
        <v>Support</v>
      </c>
      <c r="AO36" s="31">
        <f t="shared" si="14"/>
        <v>3</v>
      </c>
      <c r="AP36">
        <f>step3_validation[[#This Row],[AI_TRU2]]</f>
        <v>8</v>
      </c>
      <c r="AQ36" t="str">
        <f t="shared" si="15"/>
        <v>Support</v>
      </c>
      <c r="AR36">
        <f>survey_responses[[#This Row],[Tôi thấy mức thuế tôi phải đóng theo phương án mới là công bằng (người thu nhập như tôi đóng mức này là hợp lý). - HUMAN-TRU2]]</f>
        <v>10</v>
      </c>
      <c r="AS36" t="str">
        <f t="shared" si="16"/>
        <v>Support</v>
      </c>
      <c r="AT36" s="31">
        <f t="shared" si="17"/>
        <v>2</v>
      </c>
      <c r="AU36">
        <f>step3_validation[[#This Row],[AI_TRU3]]</f>
        <v>7</v>
      </c>
      <c r="AV36" t="str">
        <f t="shared" si="18"/>
        <v>Neutral</v>
      </c>
      <c r="AW36">
        <f>survey_responses[[#This Row],[Tôi tin tưởng số tiền thuế tôi đóng sẽ được Nhà nước sử dụng hiệu quả để cải thiện dịch vụ công (y tế, đường xá...). - HUMAN-TRU3]]</f>
        <v>10</v>
      </c>
      <c r="AX36" t="str">
        <f t="shared" si="19"/>
        <v>Support</v>
      </c>
      <c r="AY36" s="31">
        <f t="shared" si="20"/>
        <v>3</v>
      </c>
      <c r="AZ36">
        <f>step3_validation[[#This Row],[AI_TRU4]]</f>
        <v>9</v>
      </c>
      <c r="BA36" t="str">
        <f t="shared" si="21"/>
        <v>Support</v>
      </c>
      <c r="BB36">
        <f>survey_responses[[#This Row],[Tôi thấy Nhà nước đã giải thích rõ ràng, minh bạch về lý do và mục tiêu của việc sửa đổi thuế lần này. - HUMAN-TRU4]]</f>
        <v>10</v>
      </c>
      <c r="BC36" t="str">
        <f t="shared" si="22"/>
        <v>Support</v>
      </c>
      <c r="BD36" s="31">
        <f t="shared" si="23"/>
        <v>1</v>
      </c>
      <c r="BE36">
        <f>step3_validation[[#This Row],[AI_OUT1]]</f>
        <v>8</v>
      </c>
      <c r="BF36" t="str">
        <f t="shared" si="24"/>
        <v>Support</v>
      </c>
      <c r="BG36">
        <f>survey_responses[[#This Row],[Sau khi xem xét các quyền lợi và nghĩa vụ, bạn có ủng hộ và tuân thủ chính sách mới hiện nay? - HUMAN-OUT1]]</f>
        <v>10</v>
      </c>
      <c r="BH36" t="str">
        <f t="shared" si="25"/>
        <v>Support</v>
      </c>
      <c r="BI36" s="31">
        <f t="shared" si="26"/>
        <v>2</v>
      </c>
    </row>
    <row r="37" spans="1:61" hidden="1" x14ac:dyDescent="0.45">
      <c r="A37" s="29">
        <f>step3_validation[[#This Row],[Persona_ID]]</f>
        <v>36</v>
      </c>
      <c r="B37" s="30">
        <f>step3_validation[[#This Row],[Used_Seed]]</f>
        <v>77</v>
      </c>
      <c r="C37" t="str">
        <f>step3_validation[[#This Row],[Gender]]</f>
        <v>Nữ</v>
      </c>
      <c r="D37" t="str">
        <f>survey_responses[[#This Row],[Giới tính của bạn:]]</f>
        <v>Nữ</v>
      </c>
      <c r="E37" t="str">
        <f>step3_validation[[#This Row],[Age_Group]]</f>
        <v>18 - 24</v>
      </c>
      <c r="F37" t="str">
        <f>survey_responses[[#This Row],[Độ tuổi của bạn:]]</f>
        <v>18 - 24</v>
      </c>
      <c r="G37" t="str">
        <f>step3_validation[[#This Row],[Region]]</f>
        <v>Thành thị</v>
      </c>
      <c r="H37" t="str">
        <f>survey_responses[[#This Row],[Khu vực bạn đang sinh sống:]]</f>
        <v>Thành thị</v>
      </c>
      <c r="I37" t="str">
        <f>step3_validation[[#This Row],[Education]]</f>
        <v>Đại học</v>
      </c>
      <c r="J37" t="str">
        <f>survey_responses[[#This Row],[Trình độ học vấn cao nhất:]]</f>
        <v>Đại học</v>
      </c>
      <c r="K37" t="str">
        <f>step3_validation[[#This Row],[Employment]]</f>
        <v>Chính thức</v>
      </c>
      <c r="L37" t="str">
        <f>survey_responses[[#This Row],[Tình trạng việc làm chính:]]</f>
        <v>Khu vực chính thức (Có Hợp đồng lao động, đóng BHXH)</v>
      </c>
      <c r="M37">
        <f>step3_validation[[#This Row],[Income_Mil]]</f>
        <v>13.9578050881882</v>
      </c>
      <c r="N37" t="str">
        <f>survey_responses[[#This Row],[Thu nhập bình quân tháng theo Hợp đồng lao động của bạn là bao nhiêu? (Vui lòng điền tổng thu nhập trước khi khấu trừ các loại Bảo hiểm (BHXH, BHYT, BHTN) và Thuế TNCN)]]</f>
        <v>Từ 12 - 18 triệu VNĐ</v>
      </c>
      <c r="O37">
        <f>step3_validation[[#This Row],[Dependents]]</f>
        <v>0</v>
      </c>
      <c r="P37" t="str">
        <f>survey_responses[[#This Row],[Số người phụ thuộc (con nhỏ, cha mẹ già...) đủ điều kiện giảm trừ gia cảnh:]]</f>
        <v>0 người</v>
      </c>
      <c r="Q37">
        <f>step3_validation[[#This Row],[AI_ENF1]]</f>
        <v>7</v>
      </c>
      <c r="R37" t="str">
        <f t="shared" si="0"/>
        <v>Neutral</v>
      </c>
      <c r="S37">
        <f>survey_responses[[#This Row],[Tôi tin rằng với các quy định quản lý thuế hiện nay, hành vi gian lận hoặc trốn thuế sẽ dễ dàng bị phát hiện và xử lý nghiêm. - HUMAN-ENF1]]</f>
        <v>10</v>
      </c>
      <c r="T37" t="str">
        <f t="shared" si="1"/>
        <v>Support</v>
      </c>
      <c r="U37" s="31">
        <f t="shared" si="2"/>
        <v>3</v>
      </c>
      <c r="V37">
        <f>step3_validation[[#This Row],[AI_ENF2]]</f>
        <v>6</v>
      </c>
      <c r="W37" t="str">
        <f t="shared" si="3"/>
        <v>Neutral</v>
      </c>
      <c r="X37">
        <f>survey_responses[[#This Row],[Tôi tin rằng Nhà nước, cơ quan thuế có đủ khả năng và công nghệ để phát hiện, xử lý nghiêm các hành vi trốn thuế. - HUMAN-ENF2]]</f>
        <v>9</v>
      </c>
      <c r="Y37" t="str">
        <f t="shared" si="4"/>
        <v>Support</v>
      </c>
      <c r="Z37" s="31">
        <f t="shared" si="5"/>
        <v>3</v>
      </c>
      <c r="AA37">
        <f>step3_validation[[#This Row],[AI_FAC1]]</f>
        <v>9</v>
      </c>
      <c r="AB37" t="str">
        <f t="shared" si="6"/>
        <v>Support</v>
      </c>
      <c r="AC37">
        <f>survey_responses[[#This Row],[Các thủ tục khai báo thuế VÀ/HOẶC quy trình làm việc với cơ quan thuế đơn giản, tiện lợi, nhanh chóng hơn so với trước đây. - HUMAN-FAC1]]</f>
        <v>10</v>
      </c>
      <c r="AD37" t="str">
        <f t="shared" si="7"/>
        <v>Support</v>
      </c>
      <c r="AE37" s="31">
        <f t="shared" si="8"/>
        <v>1</v>
      </c>
      <c r="AF37">
        <f>step3_validation[[#This Row],[AI_FAC2]]</f>
        <v>8</v>
      </c>
      <c r="AG37" t="str">
        <f t="shared" si="9"/>
        <v>Support</v>
      </c>
      <c r="AH37">
        <f>survey_responses[[#This Row],[So với trước đây, tôi thấy cách tính thuế và các bậc thuế trong phương án mới đơn giản, dễ hiểu và dễ thực hiện hơn. - HUMAN-FAC2]]</f>
        <v>8</v>
      </c>
      <c r="AI37" t="str">
        <f t="shared" si="10"/>
        <v>Support</v>
      </c>
      <c r="AJ37" s="31">
        <f t="shared" si="11"/>
        <v>0</v>
      </c>
      <c r="AK37">
        <f>step3_validation[[#This Row],[AI_TRU1]]</f>
        <v>7</v>
      </c>
      <c r="AL37" t="str">
        <f t="shared" si="12"/>
        <v>Neutral</v>
      </c>
      <c r="AM37">
        <f>survey_responses[[#This Row],[Tôi tin rằng Nhà nước, cơ quan thuế sẽ thực thi chính sách mới một cách khách quan, công tâm và đối xử bình đẳng với mọi người nộp thuế.  - HUMAN-TRU1]]</f>
        <v>10</v>
      </c>
      <c r="AN37" t="str">
        <f t="shared" si="13"/>
        <v>Support</v>
      </c>
      <c r="AO37" s="31">
        <f t="shared" si="14"/>
        <v>3</v>
      </c>
      <c r="AP37">
        <f>step3_validation[[#This Row],[AI_TRU2]]</f>
        <v>8</v>
      </c>
      <c r="AQ37" t="str">
        <f t="shared" si="15"/>
        <v>Support</v>
      </c>
      <c r="AR37">
        <f>survey_responses[[#This Row],[Tôi thấy mức thuế tôi phải đóng theo phương án mới là công bằng (người thu nhập như tôi đóng mức này là hợp lý). - HUMAN-TRU2]]</f>
        <v>9</v>
      </c>
      <c r="AS37" t="str">
        <f t="shared" si="16"/>
        <v>Support</v>
      </c>
      <c r="AT37" s="31">
        <f t="shared" si="17"/>
        <v>1</v>
      </c>
      <c r="AU37">
        <f>step3_validation[[#This Row],[AI_TRU3]]</f>
        <v>7</v>
      </c>
      <c r="AV37" t="str">
        <f t="shared" si="18"/>
        <v>Neutral</v>
      </c>
      <c r="AW37">
        <f>survey_responses[[#This Row],[Tôi tin tưởng số tiền thuế tôi đóng sẽ được Nhà nước sử dụng hiệu quả để cải thiện dịch vụ công (y tế, đường xá...). - HUMAN-TRU3]]</f>
        <v>10</v>
      </c>
      <c r="AX37" t="str">
        <f t="shared" si="19"/>
        <v>Support</v>
      </c>
      <c r="AY37" s="31">
        <f t="shared" si="20"/>
        <v>3</v>
      </c>
      <c r="AZ37">
        <f>step3_validation[[#This Row],[AI_TRU4]]</f>
        <v>9</v>
      </c>
      <c r="BA37" t="str">
        <f t="shared" si="21"/>
        <v>Support</v>
      </c>
      <c r="BB37">
        <f>survey_responses[[#This Row],[Tôi thấy Nhà nước đã giải thích rõ ràng, minh bạch về lý do và mục tiêu của việc sửa đổi thuế lần này. - HUMAN-TRU4]]</f>
        <v>10</v>
      </c>
      <c r="BC37" t="str">
        <f t="shared" si="22"/>
        <v>Support</v>
      </c>
      <c r="BD37" s="31">
        <f t="shared" si="23"/>
        <v>1</v>
      </c>
      <c r="BE37">
        <f>step3_validation[[#This Row],[AI_OUT1]]</f>
        <v>8</v>
      </c>
      <c r="BF37" t="str">
        <f t="shared" si="24"/>
        <v>Support</v>
      </c>
      <c r="BG37">
        <f>survey_responses[[#This Row],[Sau khi xem xét các quyền lợi và nghĩa vụ, bạn có ủng hộ và tuân thủ chính sách mới hiện nay? - HUMAN-OUT1]]</f>
        <v>10</v>
      </c>
      <c r="BH37" t="str">
        <f t="shared" si="25"/>
        <v>Support</v>
      </c>
      <c r="BI37" s="31">
        <f t="shared" si="26"/>
        <v>2</v>
      </c>
    </row>
    <row r="38" spans="1:61" hidden="1" x14ac:dyDescent="0.45">
      <c r="A38" s="29">
        <f>step3_validation[[#This Row],[Persona_ID]]</f>
        <v>37</v>
      </c>
      <c r="B38" s="30">
        <f>step3_validation[[#This Row],[Used_Seed]]</f>
        <v>78</v>
      </c>
      <c r="C38" t="str">
        <f>step3_validation[[#This Row],[Gender]]</f>
        <v>Nam</v>
      </c>
      <c r="D38" t="str">
        <f>survey_responses[[#This Row],[Giới tính của bạn:]]</f>
        <v>Nam</v>
      </c>
      <c r="E38" t="str">
        <f>step3_validation[[#This Row],[Age_Group]]</f>
        <v>18 - 24</v>
      </c>
      <c r="F38" t="str">
        <f>survey_responses[[#This Row],[Độ tuổi của bạn:]]</f>
        <v>18 - 24</v>
      </c>
      <c r="G38" t="str">
        <f>step3_validation[[#This Row],[Region]]</f>
        <v>Thành thị</v>
      </c>
      <c r="H38" t="str">
        <f>survey_responses[[#This Row],[Khu vực bạn đang sinh sống:]]</f>
        <v>Thành thị</v>
      </c>
      <c r="I38" t="str">
        <f>step3_validation[[#This Row],[Education]]</f>
        <v>Đại học</v>
      </c>
      <c r="J38" t="str">
        <f>survey_responses[[#This Row],[Trình độ học vấn cao nhất:]]</f>
        <v>Đại học</v>
      </c>
      <c r="K38" t="str">
        <f>step3_validation[[#This Row],[Employment]]</f>
        <v>Chính thức</v>
      </c>
      <c r="L38" t="str">
        <f>survey_responses[[#This Row],[Tình trạng việc làm chính:]]</f>
        <v>Khu vực chính thức (Có Hợp đồng lao động, đóng BHXH)</v>
      </c>
      <c r="M38">
        <f>step3_validation[[#This Row],[Income_Mil]]</f>
        <v>12.13204698601211</v>
      </c>
      <c r="N38" t="str">
        <f>survey_responses[[#This Row],[Thu nhập bình quân tháng theo Hợp đồng lao động của bạn là bao nhiêu? (Vui lòng điền tổng thu nhập trước khi khấu trừ các loại Bảo hiểm (BHXH, BHYT, BHTN) và Thuế TNCN)]]</f>
        <v>Từ 12 - 18 triệu VNĐ</v>
      </c>
      <c r="O38">
        <f>step3_validation[[#This Row],[Dependents]]</f>
        <v>0</v>
      </c>
      <c r="P38" t="str">
        <f>survey_responses[[#This Row],[Số người phụ thuộc (con nhỏ, cha mẹ già...) đủ điều kiện giảm trừ gia cảnh:]]</f>
        <v>0 người</v>
      </c>
      <c r="Q38">
        <f>step3_validation[[#This Row],[AI_ENF1]]</f>
        <v>7</v>
      </c>
      <c r="R38" t="str">
        <f t="shared" si="0"/>
        <v>Neutral</v>
      </c>
      <c r="S38">
        <f>survey_responses[[#This Row],[Tôi tin rằng với các quy định quản lý thuế hiện nay, hành vi gian lận hoặc trốn thuế sẽ dễ dàng bị phát hiện và xử lý nghiêm. - HUMAN-ENF1]]</f>
        <v>10</v>
      </c>
      <c r="T38" t="str">
        <f t="shared" si="1"/>
        <v>Support</v>
      </c>
      <c r="U38" s="31">
        <f t="shared" si="2"/>
        <v>3</v>
      </c>
      <c r="V38">
        <f>step3_validation[[#This Row],[AI_ENF2]]</f>
        <v>6</v>
      </c>
      <c r="W38" t="str">
        <f t="shared" si="3"/>
        <v>Neutral</v>
      </c>
      <c r="X38">
        <f>survey_responses[[#This Row],[Tôi tin rằng Nhà nước, cơ quan thuế có đủ khả năng và công nghệ để phát hiện, xử lý nghiêm các hành vi trốn thuế. - HUMAN-ENF2]]</f>
        <v>10</v>
      </c>
      <c r="Y38" t="str">
        <f t="shared" si="4"/>
        <v>Support</v>
      </c>
      <c r="Z38" s="31">
        <f t="shared" si="5"/>
        <v>4</v>
      </c>
      <c r="AA38">
        <f>step3_validation[[#This Row],[AI_FAC1]]</f>
        <v>9</v>
      </c>
      <c r="AB38" t="str">
        <f t="shared" si="6"/>
        <v>Support</v>
      </c>
      <c r="AC38">
        <f>survey_responses[[#This Row],[Các thủ tục khai báo thuế VÀ/HOẶC quy trình làm việc với cơ quan thuế đơn giản, tiện lợi, nhanh chóng hơn so với trước đây. - HUMAN-FAC1]]</f>
        <v>10</v>
      </c>
      <c r="AD38" t="str">
        <f t="shared" si="7"/>
        <v>Support</v>
      </c>
      <c r="AE38" s="31">
        <f t="shared" si="8"/>
        <v>1</v>
      </c>
      <c r="AF38">
        <f>step3_validation[[#This Row],[AI_FAC2]]</f>
        <v>8</v>
      </c>
      <c r="AG38" t="str">
        <f t="shared" si="9"/>
        <v>Support</v>
      </c>
      <c r="AH38">
        <f>survey_responses[[#This Row],[So với trước đây, tôi thấy cách tính thuế và các bậc thuế trong phương án mới đơn giản, dễ hiểu và dễ thực hiện hơn. - HUMAN-FAC2]]</f>
        <v>10</v>
      </c>
      <c r="AI38" t="str">
        <f t="shared" si="10"/>
        <v>Support</v>
      </c>
      <c r="AJ38" s="31">
        <f t="shared" si="11"/>
        <v>2</v>
      </c>
      <c r="AK38">
        <f>step3_validation[[#This Row],[AI_TRU1]]</f>
        <v>9</v>
      </c>
      <c r="AL38" t="str">
        <f t="shared" si="12"/>
        <v>Support</v>
      </c>
      <c r="AM38">
        <f>survey_responses[[#This Row],[Tôi tin rằng Nhà nước, cơ quan thuế sẽ thực thi chính sách mới một cách khách quan, công tâm và đối xử bình đẳng với mọi người nộp thuế.  - HUMAN-TRU1]]</f>
        <v>9</v>
      </c>
      <c r="AN38" t="str">
        <f t="shared" si="13"/>
        <v>Support</v>
      </c>
      <c r="AO38" s="31">
        <f t="shared" si="14"/>
        <v>0</v>
      </c>
      <c r="AP38">
        <f>step3_validation[[#This Row],[AI_TRU2]]</f>
        <v>8</v>
      </c>
      <c r="AQ38" t="str">
        <f t="shared" si="15"/>
        <v>Support</v>
      </c>
      <c r="AR38">
        <f>survey_responses[[#This Row],[Tôi thấy mức thuế tôi phải đóng theo phương án mới là công bằng (người thu nhập như tôi đóng mức này là hợp lý). - HUMAN-TRU2]]</f>
        <v>9</v>
      </c>
      <c r="AS38" t="str">
        <f t="shared" si="16"/>
        <v>Support</v>
      </c>
      <c r="AT38" s="31">
        <f t="shared" si="17"/>
        <v>1</v>
      </c>
      <c r="AU38">
        <f>step3_validation[[#This Row],[AI_TRU3]]</f>
        <v>9</v>
      </c>
      <c r="AV38" t="str">
        <f t="shared" si="18"/>
        <v>Support</v>
      </c>
      <c r="AW38">
        <f>survey_responses[[#This Row],[Tôi tin tưởng số tiền thuế tôi đóng sẽ được Nhà nước sử dụng hiệu quả để cải thiện dịch vụ công (y tế, đường xá...). - HUMAN-TRU3]]</f>
        <v>9</v>
      </c>
      <c r="AX38" t="str">
        <f t="shared" si="19"/>
        <v>Support</v>
      </c>
      <c r="AY38" s="31">
        <f t="shared" si="20"/>
        <v>0</v>
      </c>
      <c r="AZ38">
        <f>step3_validation[[#This Row],[AI_TRU4]]</f>
        <v>7</v>
      </c>
      <c r="BA38" t="str">
        <f t="shared" si="21"/>
        <v>Neutral</v>
      </c>
      <c r="BB38">
        <f>survey_responses[[#This Row],[Tôi thấy Nhà nước đã giải thích rõ ràng, minh bạch về lý do và mục tiêu của việc sửa đổi thuế lần này. - HUMAN-TRU4]]</f>
        <v>9</v>
      </c>
      <c r="BC38" t="str">
        <f t="shared" si="22"/>
        <v>Support</v>
      </c>
      <c r="BD38" s="31">
        <f t="shared" si="23"/>
        <v>2</v>
      </c>
      <c r="BE38">
        <f>step3_validation[[#This Row],[AI_OUT1]]</f>
        <v>9</v>
      </c>
      <c r="BF38" t="str">
        <f t="shared" si="24"/>
        <v>Support</v>
      </c>
      <c r="BG38">
        <f>survey_responses[[#This Row],[Sau khi xem xét các quyền lợi và nghĩa vụ, bạn có ủng hộ và tuân thủ chính sách mới hiện nay? - HUMAN-OUT1]]</f>
        <v>8</v>
      </c>
      <c r="BH38" t="str">
        <f t="shared" si="25"/>
        <v>Support</v>
      </c>
      <c r="BI38" s="31">
        <f t="shared" si="26"/>
        <v>1</v>
      </c>
    </row>
    <row r="39" spans="1:61" hidden="1" x14ac:dyDescent="0.45">
      <c r="A39" s="29">
        <f>step3_validation[[#This Row],[Persona_ID]]</f>
        <v>38</v>
      </c>
      <c r="B39" s="30">
        <f>step3_validation[[#This Row],[Used_Seed]]</f>
        <v>79</v>
      </c>
      <c r="C39" t="str">
        <f>step3_validation[[#This Row],[Gender]]</f>
        <v>Nữ</v>
      </c>
      <c r="D39" t="str">
        <f>survey_responses[[#This Row],[Giới tính của bạn:]]</f>
        <v>Nữ</v>
      </c>
      <c r="E39" t="str">
        <f>step3_validation[[#This Row],[Age_Group]]</f>
        <v>30 - 39</v>
      </c>
      <c r="F39" t="str">
        <f>survey_responses[[#This Row],[Độ tuổi của bạn:]]</f>
        <v>30 - 39</v>
      </c>
      <c r="G39" t="str">
        <f>step3_validation[[#This Row],[Region]]</f>
        <v>Thành thị</v>
      </c>
      <c r="H39" t="str">
        <f>survey_responses[[#This Row],[Khu vực bạn đang sinh sống:]]</f>
        <v>Thành thị</v>
      </c>
      <c r="I39" t="str">
        <f>step3_validation[[#This Row],[Education]]</f>
        <v>Đại học</v>
      </c>
      <c r="J39" t="str">
        <f>survey_responses[[#This Row],[Trình độ học vấn cao nhất:]]</f>
        <v>Đại học</v>
      </c>
      <c r="K39" t="str">
        <f>step3_validation[[#This Row],[Employment]]</f>
        <v>Chính thức</v>
      </c>
      <c r="L39" t="str">
        <f>survey_responses[[#This Row],[Tình trạng việc làm chính:]]</f>
        <v>Khu vực chính thức (Có Hợp đồng lao động, đóng BHXH)</v>
      </c>
      <c r="M39">
        <f>step3_validation[[#This Row],[Income_Mil]]</f>
        <v>41.771205707899007</v>
      </c>
      <c r="N39" t="str">
        <f>survey_responses[[#This Row],[Thu nhập bình quân tháng theo Hợp đồng lao động của bạn là bao nhiêu? (Vui lòng điền tổng thu nhập trước khi khấu trừ các loại Bảo hiểm (BHXH, BHYT, BHTN) và Thuế TNCN)]]</f>
        <v>Từ 32 - 48 triệu VNĐ</v>
      </c>
      <c r="O39">
        <f>step3_validation[[#This Row],[Dependents]]</f>
        <v>1</v>
      </c>
      <c r="P39" t="str">
        <f>survey_responses[[#This Row],[Số người phụ thuộc (con nhỏ, cha mẹ già...) đủ điều kiện giảm trừ gia cảnh:]]</f>
        <v>1 người</v>
      </c>
      <c r="Q39">
        <f>step3_validation[[#This Row],[AI_ENF1]]</f>
        <v>6</v>
      </c>
      <c r="R39" t="str">
        <f t="shared" si="0"/>
        <v>Neutral</v>
      </c>
      <c r="S39">
        <f>survey_responses[[#This Row],[Tôi tin rằng với các quy định quản lý thuế hiện nay, hành vi gian lận hoặc trốn thuế sẽ dễ dàng bị phát hiện và xử lý nghiêm. - HUMAN-ENF1]]</f>
        <v>8</v>
      </c>
      <c r="T39" t="str">
        <f t="shared" si="1"/>
        <v>Support</v>
      </c>
      <c r="U39" s="31">
        <f t="shared" si="2"/>
        <v>2</v>
      </c>
      <c r="V39">
        <f>step3_validation[[#This Row],[AI_ENF2]]</f>
        <v>6</v>
      </c>
      <c r="W39" t="str">
        <f t="shared" si="3"/>
        <v>Neutral</v>
      </c>
      <c r="X39">
        <f>survey_responses[[#This Row],[Tôi tin rằng Nhà nước, cơ quan thuế có đủ khả năng và công nghệ để phát hiện, xử lý nghiêm các hành vi trốn thuế. - HUMAN-ENF2]]</f>
        <v>8</v>
      </c>
      <c r="Y39" t="str">
        <f t="shared" si="4"/>
        <v>Support</v>
      </c>
      <c r="Z39" s="31">
        <f t="shared" si="5"/>
        <v>2</v>
      </c>
      <c r="AA39">
        <f>step3_validation[[#This Row],[AI_FAC1]]</f>
        <v>8</v>
      </c>
      <c r="AB39" t="str">
        <f t="shared" si="6"/>
        <v>Support</v>
      </c>
      <c r="AC39">
        <f>survey_responses[[#This Row],[Các thủ tục khai báo thuế VÀ/HOẶC quy trình làm việc với cơ quan thuế đơn giản, tiện lợi, nhanh chóng hơn so với trước đây. - HUMAN-FAC1]]</f>
        <v>8</v>
      </c>
      <c r="AD39" t="str">
        <f t="shared" si="7"/>
        <v>Support</v>
      </c>
      <c r="AE39" s="31">
        <f t="shared" si="8"/>
        <v>0</v>
      </c>
      <c r="AF39">
        <f>step3_validation[[#This Row],[AI_FAC2]]</f>
        <v>9</v>
      </c>
      <c r="AG39" t="str">
        <f t="shared" si="9"/>
        <v>Support</v>
      </c>
      <c r="AH39">
        <f>survey_responses[[#This Row],[So với trước đây, tôi thấy cách tính thuế và các bậc thuế trong phương án mới đơn giản, dễ hiểu và dễ thực hiện hơn. - HUMAN-FAC2]]</f>
        <v>8</v>
      </c>
      <c r="AI39" t="str">
        <f t="shared" si="10"/>
        <v>Support</v>
      </c>
      <c r="AJ39" s="31">
        <f t="shared" si="11"/>
        <v>1</v>
      </c>
      <c r="AK39">
        <f>step3_validation[[#This Row],[AI_TRU1]]</f>
        <v>8</v>
      </c>
      <c r="AL39" t="str">
        <f t="shared" si="12"/>
        <v>Support</v>
      </c>
      <c r="AM39">
        <f>survey_responses[[#This Row],[Tôi tin rằng Nhà nước, cơ quan thuế sẽ thực thi chính sách mới một cách khách quan, công tâm và đối xử bình đẳng với mọi người nộp thuế.  - HUMAN-TRU1]]</f>
        <v>8</v>
      </c>
      <c r="AN39" t="str">
        <f t="shared" si="13"/>
        <v>Support</v>
      </c>
      <c r="AO39" s="31">
        <f t="shared" si="14"/>
        <v>0</v>
      </c>
      <c r="AP39">
        <f>step3_validation[[#This Row],[AI_TRU2]]</f>
        <v>9</v>
      </c>
      <c r="AQ39" t="str">
        <f t="shared" si="15"/>
        <v>Support</v>
      </c>
      <c r="AR39">
        <f>survey_responses[[#This Row],[Tôi thấy mức thuế tôi phải đóng theo phương án mới là công bằng (người thu nhập như tôi đóng mức này là hợp lý). - HUMAN-TRU2]]</f>
        <v>8</v>
      </c>
      <c r="AS39" t="str">
        <f t="shared" si="16"/>
        <v>Support</v>
      </c>
      <c r="AT39" s="31">
        <f t="shared" si="17"/>
        <v>1</v>
      </c>
      <c r="AU39">
        <f>step3_validation[[#This Row],[AI_TRU3]]</f>
        <v>8</v>
      </c>
      <c r="AV39" t="str">
        <f t="shared" si="18"/>
        <v>Support</v>
      </c>
      <c r="AW39">
        <f>survey_responses[[#This Row],[Tôi tin tưởng số tiền thuế tôi đóng sẽ được Nhà nước sử dụng hiệu quả để cải thiện dịch vụ công (y tế, đường xá...). - HUMAN-TRU3]]</f>
        <v>8</v>
      </c>
      <c r="AX39" t="str">
        <f t="shared" si="19"/>
        <v>Support</v>
      </c>
      <c r="AY39" s="31">
        <f t="shared" si="20"/>
        <v>0</v>
      </c>
      <c r="AZ39">
        <f>step3_validation[[#This Row],[AI_TRU4]]</f>
        <v>7</v>
      </c>
      <c r="BA39" t="str">
        <f t="shared" si="21"/>
        <v>Neutral</v>
      </c>
      <c r="BB39">
        <f>survey_responses[[#This Row],[Tôi thấy Nhà nước đã giải thích rõ ràng, minh bạch về lý do và mục tiêu của việc sửa đổi thuế lần này. - HUMAN-TRU4]]</f>
        <v>8</v>
      </c>
      <c r="BC39" t="str">
        <f t="shared" si="22"/>
        <v>Support</v>
      </c>
      <c r="BD39" s="31">
        <f t="shared" si="23"/>
        <v>1</v>
      </c>
      <c r="BE39">
        <f>step3_validation[[#This Row],[AI_OUT1]]</f>
        <v>9</v>
      </c>
      <c r="BF39" t="str">
        <f t="shared" si="24"/>
        <v>Support</v>
      </c>
      <c r="BG39">
        <f>survey_responses[[#This Row],[Sau khi xem xét các quyền lợi và nghĩa vụ, bạn có ủng hộ và tuân thủ chính sách mới hiện nay? - HUMAN-OUT1]]</f>
        <v>8</v>
      </c>
      <c r="BH39" t="str">
        <f t="shared" si="25"/>
        <v>Support</v>
      </c>
      <c r="BI39" s="31">
        <f t="shared" si="26"/>
        <v>1</v>
      </c>
    </row>
    <row r="40" spans="1:61" hidden="1" x14ac:dyDescent="0.45">
      <c r="A40" s="29">
        <f>step3_validation[[#This Row],[Persona_ID]]</f>
        <v>39</v>
      </c>
      <c r="B40" s="30">
        <f>step3_validation[[#This Row],[Used_Seed]]</f>
        <v>80</v>
      </c>
      <c r="C40" t="str">
        <f>step3_validation[[#This Row],[Gender]]</f>
        <v>Nam</v>
      </c>
      <c r="D40" t="str">
        <f>survey_responses[[#This Row],[Giới tính của bạn:]]</f>
        <v>Nam</v>
      </c>
      <c r="E40" t="str">
        <f>step3_validation[[#This Row],[Age_Group]]</f>
        <v>25 - 29</v>
      </c>
      <c r="F40" t="str">
        <f>survey_responses[[#This Row],[Độ tuổi của bạn:]]</f>
        <v>25 - 29</v>
      </c>
      <c r="G40" t="str">
        <f>step3_validation[[#This Row],[Region]]</f>
        <v>Thành thị</v>
      </c>
      <c r="H40" t="str">
        <f>survey_responses[[#This Row],[Khu vực bạn đang sinh sống:]]</f>
        <v>Thành thị</v>
      </c>
      <c r="I40" t="str">
        <f>step3_validation[[#This Row],[Education]]</f>
        <v>Đại học</v>
      </c>
      <c r="J40" t="str">
        <f>survey_responses[[#This Row],[Trình độ học vấn cao nhất:]]</f>
        <v>Đại học</v>
      </c>
      <c r="K40" t="str">
        <f>step3_validation[[#This Row],[Employment]]</f>
        <v>Chính thức</v>
      </c>
      <c r="L40" t="str">
        <f>survey_responses[[#This Row],[Tình trạng việc làm chính:]]</f>
        <v>Khu vực chính thức (Có Hợp đồng lao động, đóng BHXH)</v>
      </c>
      <c r="M40">
        <f>step3_validation[[#This Row],[Income_Mil]]</f>
        <v>13.578579268931882</v>
      </c>
      <c r="N40" t="str">
        <f>survey_responses[[#This Row],[Thu nhập bình quân tháng theo Hợp đồng lao động của bạn là bao nhiêu? (Vui lòng điền tổng thu nhập trước khi khấu trừ các loại Bảo hiểm (BHXH, BHYT, BHTN) và Thuế TNCN)]]</f>
        <v>Từ 12 - 18 triệu VNĐ</v>
      </c>
      <c r="O40">
        <f>step3_validation[[#This Row],[Dependents]]</f>
        <v>0</v>
      </c>
      <c r="P40" t="str">
        <f>survey_responses[[#This Row],[Số người phụ thuộc (con nhỏ, cha mẹ già...) đủ điều kiện giảm trừ gia cảnh:]]</f>
        <v>0 người</v>
      </c>
      <c r="Q40">
        <f>step3_validation[[#This Row],[AI_ENF1]]</f>
        <v>7</v>
      </c>
      <c r="R40" t="str">
        <f t="shared" si="0"/>
        <v>Neutral</v>
      </c>
      <c r="S40">
        <f>survey_responses[[#This Row],[Tôi tin rằng với các quy định quản lý thuế hiện nay, hành vi gian lận hoặc trốn thuế sẽ dễ dàng bị phát hiện và xử lý nghiêm. - HUMAN-ENF1]]</f>
        <v>10</v>
      </c>
      <c r="T40" t="str">
        <f t="shared" si="1"/>
        <v>Support</v>
      </c>
      <c r="U40" s="31">
        <f t="shared" si="2"/>
        <v>3</v>
      </c>
      <c r="V40">
        <f>step3_validation[[#This Row],[AI_ENF2]]</f>
        <v>8</v>
      </c>
      <c r="W40" t="str">
        <f t="shared" si="3"/>
        <v>Support</v>
      </c>
      <c r="X40">
        <f>survey_responses[[#This Row],[Tôi tin rằng Nhà nước, cơ quan thuế có đủ khả năng và công nghệ để phát hiện, xử lý nghiêm các hành vi trốn thuế. - HUMAN-ENF2]]</f>
        <v>10</v>
      </c>
      <c r="Y40" t="str">
        <f t="shared" si="4"/>
        <v>Support</v>
      </c>
      <c r="Z40" s="31">
        <f t="shared" si="5"/>
        <v>2</v>
      </c>
      <c r="AA40">
        <f>step3_validation[[#This Row],[AI_FAC1]]</f>
        <v>6</v>
      </c>
      <c r="AB40" t="str">
        <f t="shared" si="6"/>
        <v>Neutral</v>
      </c>
      <c r="AC40">
        <f>survey_responses[[#This Row],[Các thủ tục khai báo thuế VÀ/HOẶC quy trình làm việc với cơ quan thuế đơn giản, tiện lợi, nhanh chóng hơn so với trước đây. - HUMAN-FAC1]]</f>
        <v>10</v>
      </c>
      <c r="AD40" t="str">
        <f t="shared" si="7"/>
        <v>Support</v>
      </c>
      <c r="AE40" s="31">
        <f t="shared" si="8"/>
        <v>4</v>
      </c>
      <c r="AF40">
        <f>step3_validation[[#This Row],[AI_FAC2]]</f>
        <v>9</v>
      </c>
      <c r="AG40" t="str">
        <f t="shared" si="9"/>
        <v>Support</v>
      </c>
      <c r="AH40">
        <f>survey_responses[[#This Row],[So với trước đây, tôi thấy cách tính thuế và các bậc thuế trong phương án mới đơn giản, dễ hiểu và dễ thực hiện hơn. - HUMAN-FAC2]]</f>
        <v>10</v>
      </c>
      <c r="AI40" t="str">
        <f t="shared" si="10"/>
        <v>Support</v>
      </c>
      <c r="AJ40" s="31">
        <f t="shared" si="11"/>
        <v>1</v>
      </c>
      <c r="AK40">
        <f>step3_validation[[#This Row],[AI_TRU1]]</f>
        <v>6</v>
      </c>
      <c r="AL40" t="str">
        <f t="shared" si="12"/>
        <v>Neutral</v>
      </c>
      <c r="AM40">
        <f>survey_responses[[#This Row],[Tôi tin rằng Nhà nước, cơ quan thuế sẽ thực thi chính sách mới một cách khách quan, công tâm và đối xử bình đẳng với mọi người nộp thuế.  - HUMAN-TRU1]]</f>
        <v>10</v>
      </c>
      <c r="AN40" t="str">
        <f t="shared" si="13"/>
        <v>Support</v>
      </c>
      <c r="AO40" s="31">
        <f t="shared" si="14"/>
        <v>4</v>
      </c>
      <c r="AP40">
        <f>step3_validation[[#This Row],[AI_TRU2]]</f>
        <v>9</v>
      </c>
      <c r="AQ40" t="str">
        <f t="shared" si="15"/>
        <v>Support</v>
      </c>
      <c r="AR40">
        <f>survey_responses[[#This Row],[Tôi thấy mức thuế tôi phải đóng theo phương án mới là công bằng (người thu nhập như tôi đóng mức này là hợp lý). - HUMAN-TRU2]]</f>
        <v>10</v>
      </c>
      <c r="AS40" t="str">
        <f t="shared" si="16"/>
        <v>Support</v>
      </c>
      <c r="AT40" s="31">
        <f t="shared" si="17"/>
        <v>1</v>
      </c>
      <c r="AU40">
        <f>step3_validation[[#This Row],[AI_TRU3]]</f>
        <v>7</v>
      </c>
      <c r="AV40" t="str">
        <f t="shared" si="18"/>
        <v>Neutral</v>
      </c>
      <c r="AW40">
        <f>survey_responses[[#This Row],[Tôi tin tưởng số tiền thuế tôi đóng sẽ được Nhà nước sử dụng hiệu quả để cải thiện dịch vụ công (y tế, đường xá...). - HUMAN-TRU3]]</f>
        <v>10</v>
      </c>
      <c r="AX40" t="str">
        <f t="shared" si="19"/>
        <v>Support</v>
      </c>
      <c r="AY40" s="31">
        <f t="shared" si="20"/>
        <v>3</v>
      </c>
      <c r="AZ40">
        <f>step3_validation[[#This Row],[AI_TRU4]]</f>
        <v>8</v>
      </c>
      <c r="BA40" t="str">
        <f t="shared" si="21"/>
        <v>Support</v>
      </c>
      <c r="BB40">
        <f>survey_responses[[#This Row],[Tôi thấy Nhà nước đã giải thích rõ ràng, minh bạch về lý do và mục tiêu của việc sửa đổi thuế lần này. - HUMAN-TRU4]]</f>
        <v>10</v>
      </c>
      <c r="BC40" t="str">
        <f t="shared" si="22"/>
        <v>Support</v>
      </c>
      <c r="BD40" s="31">
        <f t="shared" si="23"/>
        <v>2</v>
      </c>
      <c r="BE40">
        <f>step3_validation[[#This Row],[AI_OUT1]]</f>
        <v>9</v>
      </c>
      <c r="BF40" t="str">
        <f t="shared" si="24"/>
        <v>Support</v>
      </c>
      <c r="BG40">
        <f>survey_responses[[#This Row],[Sau khi xem xét các quyền lợi và nghĩa vụ, bạn có ủng hộ và tuân thủ chính sách mới hiện nay? - HUMAN-OUT1]]</f>
        <v>10</v>
      </c>
      <c r="BH40" t="str">
        <f t="shared" si="25"/>
        <v>Support</v>
      </c>
      <c r="BI40" s="31">
        <f t="shared" si="26"/>
        <v>1</v>
      </c>
    </row>
    <row r="41" spans="1:61" hidden="1" x14ac:dyDescent="0.45">
      <c r="A41" s="29">
        <f>step3_validation[[#This Row],[Persona_ID]]</f>
        <v>40</v>
      </c>
      <c r="B41" s="30">
        <f>step3_validation[[#This Row],[Used_Seed]]</f>
        <v>81</v>
      </c>
      <c r="C41" t="str">
        <f>step3_validation[[#This Row],[Gender]]</f>
        <v>Nam</v>
      </c>
      <c r="D41" t="str">
        <f>survey_responses[[#This Row],[Giới tính của bạn:]]</f>
        <v>Nam</v>
      </c>
      <c r="E41" t="str">
        <f>step3_validation[[#This Row],[Age_Group]]</f>
        <v>30 - 39</v>
      </c>
      <c r="F41" t="str">
        <f>survey_responses[[#This Row],[Độ tuổi của bạn:]]</f>
        <v>30 - 39</v>
      </c>
      <c r="G41" t="str">
        <f>step3_validation[[#This Row],[Region]]</f>
        <v>Thành thị</v>
      </c>
      <c r="H41" t="str">
        <f>survey_responses[[#This Row],[Khu vực bạn đang sinh sống:]]</f>
        <v>Thành thị</v>
      </c>
      <c r="I41" t="str">
        <f>step3_validation[[#This Row],[Education]]</f>
        <v>Đại học</v>
      </c>
      <c r="J41" t="str">
        <f>survey_responses[[#This Row],[Trình độ học vấn cao nhất:]]</f>
        <v>Đại học</v>
      </c>
      <c r="K41" t="str">
        <f>step3_validation[[#This Row],[Employment]]</f>
        <v>Chính thức</v>
      </c>
      <c r="L41" t="str">
        <f>survey_responses[[#This Row],[Tình trạng việc làm chính:]]</f>
        <v>Khu vực chính thức (Có Hợp đồng lao động, đóng BHXH)</v>
      </c>
      <c r="M41">
        <f>step3_validation[[#This Row],[Income_Mil]]</f>
        <v>117.43321268791007</v>
      </c>
      <c r="N41" t="str">
        <f>survey_responses[[#This Row],[Thu nhập bình quân tháng theo Hợp đồng lao động của bạn là bao nhiêu? (Vui lòng điền tổng thu nhập trước khi khấu trừ các loại Bảo hiểm (BHXH, BHYT, BHTN) và Thuế TNCN)]]</f>
        <v>Trên 102 triệu VNĐ</v>
      </c>
      <c r="O41">
        <f>step3_validation[[#This Row],[Dependents]]</f>
        <v>1</v>
      </c>
      <c r="P41" t="str">
        <f>survey_responses[[#This Row],[Số người phụ thuộc (con nhỏ, cha mẹ già...) đủ điều kiện giảm trừ gia cảnh:]]</f>
        <v>1 người</v>
      </c>
      <c r="Q41">
        <f>step3_validation[[#This Row],[AI_ENF1]]</f>
        <v>9</v>
      </c>
      <c r="R41" t="str">
        <f t="shared" si="0"/>
        <v>Support</v>
      </c>
      <c r="S41">
        <f>survey_responses[[#This Row],[Tôi tin rằng với các quy định quản lý thuế hiện nay, hành vi gian lận hoặc trốn thuế sẽ dễ dàng bị phát hiện và xử lý nghiêm. - HUMAN-ENF1]]</f>
        <v>8</v>
      </c>
      <c r="T41" t="str">
        <f t="shared" si="1"/>
        <v>Support</v>
      </c>
      <c r="U41" s="31">
        <f t="shared" si="2"/>
        <v>1</v>
      </c>
      <c r="V41">
        <f>step3_validation[[#This Row],[AI_ENF2]]</f>
        <v>8</v>
      </c>
      <c r="W41" t="str">
        <f t="shared" si="3"/>
        <v>Support</v>
      </c>
      <c r="X41">
        <f>survey_responses[[#This Row],[Tôi tin rằng Nhà nước, cơ quan thuế có đủ khả năng và công nghệ để phát hiện, xử lý nghiêm các hành vi trốn thuế. - HUMAN-ENF2]]</f>
        <v>8</v>
      </c>
      <c r="Y41" t="str">
        <f t="shared" si="4"/>
        <v>Support</v>
      </c>
      <c r="Z41" s="31">
        <f t="shared" si="5"/>
        <v>0</v>
      </c>
      <c r="AA41">
        <f>step3_validation[[#This Row],[AI_FAC1]]</f>
        <v>9</v>
      </c>
      <c r="AB41" t="str">
        <f t="shared" si="6"/>
        <v>Support</v>
      </c>
      <c r="AC41">
        <f>survey_responses[[#This Row],[Các thủ tục khai báo thuế VÀ/HOẶC quy trình làm việc với cơ quan thuế đơn giản, tiện lợi, nhanh chóng hơn so với trước đây. - HUMAN-FAC1]]</f>
        <v>6</v>
      </c>
      <c r="AD41" t="str">
        <f t="shared" si="7"/>
        <v>Neutral</v>
      </c>
      <c r="AE41" s="31">
        <f t="shared" si="8"/>
        <v>3</v>
      </c>
      <c r="AF41">
        <f>step3_validation[[#This Row],[AI_FAC2]]</f>
        <v>8</v>
      </c>
      <c r="AG41" t="str">
        <f t="shared" si="9"/>
        <v>Support</v>
      </c>
      <c r="AH41">
        <f>survey_responses[[#This Row],[So với trước đây, tôi thấy cách tính thuế và các bậc thuế trong phương án mới đơn giản, dễ hiểu và dễ thực hiện hơn. - HUMAN-FAC2]]</f>
        <v>8</v>
      </c>
      <c r="AI41" t="str">
        <f t="shared" si="10"/>
        <v>Support</v>
      </c>
      <c r="AJ41" s="31">
        <f t="shared" si="11"/>
        <v>0</v>
      </c>
      <c r="AK41">
        <f>step3_validation[[#This Row],[AI_TRU1]]</f>
        <v>9</v>
      </c>
      <c r="AL41" t="str">
        <f t="shared" si="12"/>
        <v>Support</v>
      </c>
      <c r="AM41">
        <f>survey_responses[[#This Row],[Tôi tin rằng Nhà nước, cơ quan thuế sẽ thực thi chính sách mới một cách khách quan, công tâm và đối xử bình đẳng với mọi người nộp thuế.  - HUMAN-TRU1]]</f>
        <v>7</v>
      </c>
      <c r="AN41" t="str">
        <f t="shared" si="13"/>
        <v>Neutral</v>
      </c>
      <c r="AO41" s="31">
        <f t="shared" si="14"/>
        <v>2</v>
      </c>
      <c r="AP41">
        <f>step3_validation[[#This Row],[AI_TRU2]]</f>
        <v>8</v>
      </c>
      <c r="AQ41" t="str">
        <f t="shared" si="15"/>
        <v>Support</v>
      </c>
      <c r="AR41">
        <f>survey_responses[[#This Row],[Tôi thấy mức thuế tôi phải đóng theo phương án mới là công bằng (người thu nhập như tôi đóng mức này là hợp lý). - HUMAN-TRU2]]</f>
        <v>8</v>
      </c>
      <c r="AS41" t="str">
        <f t="shared" si="16"/>
        <v>Support</v>
      </c>
      <c r="AT41" s="31">
        <f t="shared" si="17"/>
        <v>0</v>
      </c>
      <c r="AU41">
        <f>step3_validation[[#This Row],[AI_TRU3]]</f>
        <v>9</v>
      </c>
      <c r="AV41" t="str">
        <f t="shared" si="18"/>
        <v>Support</v>
      </c>
      <c r="AW41">
        <f>survey_responses[[#This Row],[Tôi tin tưởng số tiền thuế tôi đóng sẽ được Nhà nước sử dụng hiệu quả để cải thiện dịch vụ công (y tế, đường xá...). - HUMAN-TRU3]]</f>
        <v>5</v>
      </c>
      <c r="AX41" t="str">
        <f t="shared" si="19"/>
        <v>Neutral</v>
      </c>
      <c r="AY41" s="31">
        <f t="shared" si="20"/>
        <v>4</v>
      </c>
      <c r="AZ41">
        <f>step3_validation[[#This Row],[AI_TRU4]]</f>
        <v>8</v>
      </c>
      <c r="BA41" t="str">
        <f t="shared" si="21"/>
        <v>Support</v>
      </c>
      <c r="BB41">
        <f>survey_responses[[#This Row],[Tôi thấy Nhà nước đã giải thích rõ ràng, minh bạch về lý do và mục tiêu của việc sửa đổi thuế lần này. - HUMAN-TRU4]]</f>
        <v>6</v>
      </c>
      <c r="BC41" t="str">
        <f t="shared" si="22"/>
        <v>Neutral</v>
      </c>
      <c r="BD41" s="31">
        <f t="shared" si="23"/>
        <v>2</v>
      </c>
      <c r="BE41">
        <f>step3_validation[[#This Row],[AI_OUT1]]</f>
        <v>9</v>
      </c>
      <c r="BF41" t="str">
        <f t="shared" si="24"/>
        <v>Support</v>
      </c>
      <c r="BG41">
        <f>survey_responses[[#This Row],[Sau khi xem xét các quyền lợi và nghĩa vụ, bạn có ủng hộ và tuân thủ chính sách mới hiện nay? - HUMAN-OUT1]]</f>
        <v>7</v>
      </c>
      <c r="BH41" t="str">
        <f t="shared" si="25"/>
        <v>Neutral</v>
      </c>
      <c r="BI41" s="31">
        <f t="shared" si="26"/>
        <v>2</v>
      </c>
    </row>
    <row r="42" spans="1:61" hidden="1" x14ac:dyDescent="0.45">
      <c r="A42" s="29">
        <f>step3_validation[[#This Row],[Persona_ID]]</f>
        <v>41</v>
      </c>
      <c r="B42" s="30">
        <f>step3_validation[[#This Row],[Used_Seed]]</f>
        <v>82</v>
      </c>
      <c r="C42" t="str">
        <f>step3_validation[[#This Row],[Gender]]</f>
        <v>Nam</v>
      </c>
      <c r="D42" t="str">
        <f>survey_responses[[#This Row],[Giới tính của bạn:]]</f>
        <v>Nam</v>
      </c>
      <c r="E42" t="str">
        <f>step3_validation[[#This Row],[Age_Group]]</f>
        <v>30 - 39</v>
      </c>
      <c r="F42" t="str">
        <f>survey_responses[[#This Row],[Độ tuổi của bạn:]]</f>
        <v>30 - 39</v>
      </c>
      <c r="G42" t="str">
        <f>step3_validation[[#This Row],[Region]]</f>
        <v>Thành thị</v>
      </c>
      <c r="H42" t="str">
        <f>survey_responses[[#This Row],[Khu vực bạn đang sinh sống:]]</f>
        <v>Thành thị</v>
      </c>
      <c r="I42" t="str">
        <f>step3_validation[[#This Row],[Education]]</f>
        <v>Đại học</v>
      </c>
      <c r="J42" t="str">
        <f>survey_responses[[#This Row],[Trình độ học vấn cao nhất:]]</f>
        <v>Đại học</v>
      </c>
      <c r="K42" t="str">
        <f>step3_validation[[#This Row],[Employment]]</f>
        <v>Chính thức</v>
      </c>
      <c r="L42" t="str">
        <f>survey_responses[[#This Row],[Tình trạng việc làm chính:]]</f>
        <v>Khu vực chính thức (Có Hợp đồng lao động, đóng BHXH)</v>
      </c>
      <c r="M42">
        <f>step3_validation[[#This Row],[Income_Mil]]</f>
        <v>72.03948453983898</v>
      </c>
      <c r="N42" t="str">
        <f>survey_responses[[#This Row],[Thu nhập bình quân tháng theo Hợp đồng lao động của bạn là bao nhiêu? (Vui lòng điền tổng thu nhập trước khi khấu trừ các loại Bảo hiểm (BHXH, BHYT, BHTN) và Thuế TNCN)]]</f>
        <v>Từ 70 - 102 triệu VNĐ</v>
      </c>
      <c r="O42">
        <f>step3_validation[[#This Row],[Dependents]]</f>
        <v>2</v>
      </c>
      <c r="P42" t="str">
        <f>survey_responses[[#This Row],[Số người phụ thuộc (con nhỏ, cha mẹ già...) đủ điều kiện giảm trừ gia cảnh:]]</f>
        <v>2 người</v>
      </c>
      <c r="Q42">
        <f>step3_validation[[#This Row],[AI_ENF1]]</f>
        <v>6</v>
      </c>
      <c r="R42" t="str">
        <f t="shared" si="0"/>
        <v>Neutral</v>
      </c>
      <c r="S42">
        <f>survey_responses[[#This Row],[Tôi tin rằng với các quy định quản lý thuế hiện nay, hành vi gian lận hoặc trốn thuế sẽ dễ dàng bị phát hiện và xử lý nghiêm. - HUMAN-ENF1]]</f>
        <v>9</v>
      </c>
      <c r="T42" t="str">
        <f t="shared" si="1"/>
        <v>Support</v>
      </c>
      <c r="U42" s="31">
        <f t="shared" si="2"/>
        <v>3</v>
      </c>
      <c r="V42">
        <f>step3_validation[[#This Row],[AI_ENF2]]</f>
        <v>7</v>
      </c>
      <c r="W42" t="str">
        <f t="shared" si="3"/>
        <v>Neutral</v>
      </c>
      <c r="X42">
        <f>survey_responses[[#This Row],[Tôi tin rằng Nhà nước, cơ quan thuế có đủ khả năng và công nghệ để phát hiện, xử lý nghiêm các hành vi trốn thuế. - HUMAN-ENF2]]</f>
        <v>8</v>
      </c>
      <c r="Y42" t="str">
        <f t="shared" si="4"/>
        <v>Support</v>
      </c>
      <c r="Z42" s="31">
        <f t="shared" si="5"/>
        <v>1</v>
      </c>
      <c r="AA42">
        <f>step3_validation[[#This Row],[AI_FAC1]]</f>
        <v>8</v>
      </c>
      <c r="AB42" t="str">
        <f t="shared" si="6"/>
        <v>Support</v>
      </c>
      <c r="AC42">
        <f>survey_responses[[#This Row],[Các thủ tục khai báo thuế VÀ/HOẶC quy trình làm việc với cơ quan thuế đơn giản, tiện lợi, nhanh chóng hơn so với trước đây. - HUMAN-FAC1]]</f>
        <v>7</v>
      </c>
      <c r="AD42" t="str">
        <f t="shared" si="7"/>
        <v>Neutral</v>
      </c>
      <c r="AE42" s="31">
        <f t="shared" si="8"/>
        <v>1</v>
      </c>
      <c r="AF42">
        <f>step3_validation[[#This Row],[AI_FAC2]]</f>
        <v>9</v>
      </c>
      <c r="AG42" t="str">
        <f t="shared" si="9"/>
        <v>Support</v>
      </c>
      <c r="AH42">
        <f>survey_responses[[#This Row],[So với trước đây, tôi thấy cách tính thuế và các bậc thuế trong phương án mới đơn giản, dễ hiểu và dễ thực hiện hơn. - HUMAN-FAC2]]</f>
        <v>8</v>
      </c>
      <c r="AI42" t="str">
        <f t="shared" si="10"/>
        <v>Support</v>
      </c>
      <c r="AJ42" s="31">
        <f t="shared" si="11"/>
        <v>1</v>
      </c>
      <c r="AK42">
        <f>step3_validation[[#This Row],[AI_TRU1]]</f>
        <v>7</v>
      </c>
      <c r="AL42" t="str">
        <f t="shared" si="12"/>
        <v>Neutral</v>
      </c>
      <c r="AM42">
        <f>survey_responses[[#This Row],[Tôi tin rằng Nhà nước, cơ quan thuế sẽ thực thi chính sách mới một cách khách quan, công tâm và đối xử bình đẳng với mọi người nộp thuế.  - HUMAN-TRU1]]</f>
        <v>7</v>
      </c>
      <c r="AN42" t="str">
        <f t="shared" si="13"/>
        <v>Neutral</v>
      </c>
      <c r="AO42" s="31">
        <f t="shared" si="14"/>
        <v>0</v>
      </c>
      <c r="AP42">
        <f>step3_validation[[#This Row],[AI_TRU2]]</f>
        <v>8</v>
      </c>
      <c r="AQ42" t="str">
        <f t="shared" si="15"/>
        <v>Support</v>
      </c>
      <c r="AR42">
        <f>survey_responses[[#This Row],[Tôi thấy mức thuế tôi phải đóng theo phương án mới là công bằng (người thu nhập như tôi đóng mức này là hợp lý). - HUMAN-TRU2]]</f>
        <v>4</v>
      </c>
      <c r="AS42" t="str">
        <f t="shared" si="16"/>
        <v>Oppose</v>
      </c>
      <c r="AT42" s="31">
        <f t="shared" si="17"/>
        <v>4</v>
      </c>
      <c r="AU42">
        <f>step3_validation[[#This Row],[AI_TRU3]]</f>
        <v>7</v>
      </c>
      <c r="AV42" t="str">
        <f t="shared" si="18"/>
        <v>Neutral</v>
      </c>
      <c r="AW42">
        <f>survey_responses[[#This Row],[Tôi tin tưởng số tiền thuế tôi đóng sẽ được Nhà nước sử dụng hiệu quả để cải thiện dịch vụ công (y tế, đường xá...). - HUMAN-TRU3]]</f>
        <v>2</v>
      </c>
      <c r="AX42" t="str">
        <f t="shared" si="19"/>
        <v>Oppose</v>
      </c>
      <c r="AY42" s="31">
        <f t="shared" si="20"/>
        <v>5</v>
      </c>
      <c r="AZ42">
        <f>step3_validation[[#This Row],[AI_TRU4]]</f>
        <v>8</v>
      </c>
      <c r="BA42" t="str">
        <f t="shared" si="21"/>
        <v>Support</v>
      </c>
      <c r="BB42">
        <f>survey_responses[[#This Row],[Tôi thấy Nhà nước đã giải thích rõ ràng, minh bạch về lý do và mục tiêu của việc sửa đổi thuế lần này. - HUMAN-TRU4]]</f>
        <v>8</v>
      </c>
      <c r="BC42" t="str">
        <f t="shared" si="22"/>
        <v>Support</v>
      </c>
      <c r="BD42" s="31">
        <f t="shared" si="23"/>
        <v>0</v>
      </c>
      <c r="BE42">
        <f>step3_validation[[#This Row],[AI_OUT1]]</f>
        <v>9</v>
      </c>
      <c r="BF42" t="str">
        <f t="shared" si="24"/>
        <v>Support</v>
      </c>
      <c r="BG42">
        <f>survey_responses[[#This Row],[Sau khi xem xét các quyền lợi và nghĩa vụ, bạn có ủng hộ và tuân thủ chính sách mới hiện nay? - HUMAN-OUT1]]</f>
        <v>8</v>
      </c>
      <c r="BH42" t="str">
        <f t="shared" si="25"/>
        <v>Support</v>
      </c>
      <c r="BI42" s="31">
        <f t="shared" si="26"/>
        <v>1</v>
      </c>
    </row>
    <row r="43" spans="1:61" hidden="1" x14ac:dyDescent="0.45">
      <c r="A43" s="29">
        <f>step3_validation[[#This Row],[Persona_ID]]</f>
        <v>42</v>
      </c>
      <c r="B43" s="30">
        <f>step3_validation[[#This Row],[Used_Seed]]</f>
        <v>83</v>
      </c>
      <c r="C43" t="str">
        <f>step3_validation[[#This Row],[Gender]]</f>
        <v>Nữ</v>
      </c>
      <c r="D43" t="str">
        <f>survey_responses[[#This Row],[Giới tính của bạn:]]</f>
        <v>Nữ</v>
      </c>
      <c r="E43" t="str">
        <f>step3_validation[[#This Row],[Age_Group]]</f>
        <v>30 - 39</v>
      </c>
      <c r="F43" t="str">
        <f>survey_responses[[#This Row],[Độ tuổi của bạn:]]</f>
        <v>30 - 39</v>
      </c>
      <c r="G43" t="str">
        <f>step3_validation[[#This Row],[Region]]</f>
        <v>Thành thị</v>
      </c>
      <c r="H43" t="str">
        <f>survey_responses[[#This Row],[Khu vực bạn đang sinh sống:]]</f>
        <v>Thành thị</v>
      </c>
      <c r="I43" t="str">
        <f>step3_validation[[#This Row],[Education]]</f>
        <v>Đại học</v>
      </c>
      <c r="J43" t="str">
        <f>survey_responses[[#This Row],[Trình độ học vấn cao nhất:]]</f>
        <v>Đại học</v>
      </c>
      <c r="K43" t="str">
        <f>step3_validation[[#This Row],[Employment]]</f>
        <v>Chính thức</v>
      </c>
      <c r="L43" t="str">
        <f>survey_responses[[#This Row],[Tình trạng việc làm chính:]]</f>
        <v>Khu vực chính thức (Có Hợp đồng lao động, đóng BHXH)</v>
      </c>
      <c r="M43">
        <f>step3_validation[[#This Row],[Income_Mil]]</f>
        <v>34.967759824181542</v>
      </c>
      <c r="N43" t="str">
        <f>survey_responses[[#This Row],[Thu nhập bình quân tháng theo Hợp đồng lao động của bạn là bao nhiêu? (Vui lòng điền tổng thu nhập trước khi khấu trừ các loại Bảo hiểm (BHXH, BHYT, BHTN) và Thuế TNCN)]]</f>
        <v>Từ 32 - 48 triệu VNĐ</v>
      </c>
      <c r="O43">
        <f>step3_validation[[#This Row],[Dependents]]</f>
        <v>3</v>
      </c>
      <c r="P43" t="str">
        <f>survey_responses[[#This Row],[Số người phụ thuộc (con nhỏ, cha mẹ già...) đủ điều kiện giảm trừ gia cảnh:]]</f>
        <v>3 người</v>
      </c>
      <c r="Q43">
        <f>step3_validation[[#This Row],[AI_ENF1]]</f>
        <v>7</v>
      </c>
      <c r="R43" t="str">
        <f t="shared" si="0"/>
        <v>Neutral</v>
      </c>
      <c r="S43">
        <f>survey_responses[[#This Row],[Tôi tin rằng với các quy định quản lý thuế hiện nay, hành vi gian lận hoặc trốn thuế sẽ dễ dàng bị phát hiện và xử lý nghiêm. - HUMAN-ENF1]]</f>
        <v>10</v>
      </c>
      <c r="T43" t="str">
        <f t="shared" si="1"/>
        <v>Support</v>
      </c>
      <c r="U43" s="31">
        <f t="shared" si="2"/>
        <v>3</v>
      </c>
      <c r="V43">
        <f>step3_validation[[#This Row],[AI_ENF2]]</f>
        <v>8</v>
      </c>
      <c r="W43" t="str">
        <f t="shared" si="3"/>
        <v>Support</v>
      </c>
      <c r="X43">
        <f>survey_responses[[#This Row],[Tôi tin rằng Nhà nước, cơ quan thuế có đủ khả năng và công nghệ để phát hiện, xử lý nghiêm các hành vi trốn thuế. - HUMAN-ENF2]]</f>
        <v>10</v>
      </c>
      <c r="Y43" t="str">
        <f t="shared" si="4"/>
        <v>Support</v>
      </c>
      <c r="Z43" s="31">
        <f t="shared" si="5"/>
        <v>2</v>
      </c>
      <c r="AA43">
        <f>step3_validation[[#This Row],[AI_FAC1]]</f>
        <v>6</v>
      </c>
      <c r="AB43" t="str">
        <f t="shared" si="6"/>
        <v>Neutral</v>
      </c>
      <c r="AC43">
        <f>survey_responses[[#This Row],[Các thủ tục khai báo thuế VÀ/HOẶC quy trình làm việc với cơ quan thuế đơn giản, tiện lợi, nhanh chóng hơn so với trước đây. - HUMAN-FAC1]]</f>
        <v>9</v>
      </c>
      <c r="AD43" t="str">
        <f t="shared" si="7"/>
        <v>Support</v>
      </c>
      <c r="AE43" s="31">
        <f t="shared" si="8"/>
        <v>3</v>
      </c>
      <c r="AF43">
        <f>step3_validation[[#This Row],[AI_FAC2]]</f>
        <v>9</v>
      </c>
      <c r="AG43" t="str">
        <f t="shared" si="9"/>
        <v>Support</v>
      </c>
      <c r="AH43">
        <f>survey_responses[[#This Row],[So với trước đây, tôi thấy cách tính thuế và các bậc thuế trong phương án mới đơn giản, dễ hiểu và dễ thực hiện hơn. - HUMAN-FAC2]]</f>
        <v>8</v>
      </c>
      <c r="AI43" t="str">
        <f t="shared" si="10"/>
        <v>Support</v>
      </c>
      <c r="AJ43" s="31">
        <f t="shared" si="11"/>
        <v>1</v>
      </c>
      <c r="AK43">
        <f>step3_validation[[#This Row],[AI_TRU1]]</f>
        <v>6</v>
      </c>
      <c r="AL43" t="str">
        <f t="shared" si="12"/>
        <v>Neutral</v>
      </c>
      <c r="AM43">
        <f>survey_responses[[#This Row],[Tôi tin rằng Nhà nước, cơ quan thuế sẽ thực thi chính sách mới một cách khách quan, công tâm và đối xử bình đẳng với mọi người nộp thuế.  - HUMAN-TRU1]]</f>
        <v>7</v>
      </c>
      <c r="AN43" t="str">
        <f t="shared" si="13"/>
        <v>Neutral</v>
      </c>
      <c r="AO43" s="31">
        <f t="shared" si="14"/>
        <v>1</v>
      </c>
      <c r="AP43">
        <f>step3_validation[[#This Row],[AI_TRU2]]</f>
        <v>8</v>
      </c>
      <c r="AQ43" t="str">
        <f t="shared" si="15"/>
        <v>Support</v>
      </c>
      <c r="AR43">
        <f>survey_responses[[#This Row],[Tôi thấy mức thuế tôi phải đóng theo phương án mới là công bằng (người thu nhập như tôi đóng mức này là hợp lý). - HUMAN-TRU2]]</f>
        <v>9</v>
      </c>
      <c r="AS43" t="str">
        <f t="shared" si="16"/>
        <v>Support</v>
      </c>
      <c r="AT43" s="31">
        <f t="shared" si="17"/>
        <v>1</v>
      </c>
      <c r="AU43">
        <f>step3_validation[[#This Row],[AI_TRU3]]</f>
        <v>7</v>
      </c>
      <c r="AV43" t="str">
        <f t="shared" si="18"/>
        <v>Neutral</v>
      </c>
      <c r="AW43">
        <f>survey_responses[[#This Row],[Tôi tin tưởng số tiền thuế tôi đóng sẽ được Nhà nước sử dụng hiệu quả để cải thiện dịch vụ công (y tế, đường xá...). - HUMAN-TRU3]]</f>
        <v>9</v>
      </c>
      <c r="AX43" t="str">
        <f t="shared" si="19"/>
        <v>Support</v>
      </c>
      <c r="AY43" s="31">
        <f t="shared" si="20"/>
        <v>2</v>
      </c>
      <c r="AZ43">
        <f>step3_validation[[#This Row],[AI_TRU4]]</f>
        <v>6</v>
      </c>
      <c r="BA43" t="str">
        <f t="shared" si="21"/>
        <v>Neutral</v>
      </c>
      <c r="BB43">
        <f>survey_responses[[#This Row],[Tôi thấy Nhà nước đã giải thích rõ ràng, minh bạch về lý do và mục tiêu của việc sửa đổi thuế lần này. - HUMAN-TRU4]]</f>
        <v>8</v>
      </c>
      <c r="BC43" t="str">
        <f t="shared" si="22"/>
        <v>Support</v>
      </c>
      <c r="BD43" s="31">
        <f t="shared" si="23"/>
        <v>2</v>
      </c>
      <c r="BE43">
        <f>step3_validation[[#This Row],[AI_OUT1]]</f>
        <v>7</v>
      </c>
      <c r="BF43" t="str">
        <f t="shared" si="24"/>
        <v>Neutral</v>
      </c>
      <c r="BG43">
        <f>survey_responses[[#This Row],[Sau khi xem xét các quyền lợi và nghĩa vụ, bạn có ủng hộ và tuân thủ chính sách mới hiện nay? - HUMAN-OUT1]]</f>
        <v>8</v>
      </c>
      <c r="BH43" t="str">
        <f t="shared" si="25"/>
        <v>Support</v>
      </c>
      <c r="BI43" s="31">
        <f t="shared" si="26"/>
        <v>1</v>
      </c>
    </row>
    <row r="44" spans="1:61" hidden="1" x14ac:dyDescent="0.45">
      <c r="A44" s="29">
        <f>step3_validation[[#This Row],[Persona_ID]]</f>
        <v>43</v>
      </c>
      <c r="B44" s="30">
        <f>step3_validation[[#This Row],[Used_Seed]]</f>
        <v>84</v>
      </c>
      <c r="C44" t="str">
        <f>step3_validation[[#This Row],[Gender]]</f>
        <v>Nữ</v>
      </c>
      <c r="D44" t="str">
        <f>survey_responses[[#This Row],[Giới tính của bạn:]]</f>
        <v>Nữ</v>
      </c>
      <c r="E44" t="str">
        <f>step3_validation[[#This Row],[Age_Group]]</f>
        <v>30 - 39</v>
      </c>
      <c r="F44" t="str">
        <f>survey_responses[[#This Row],[Độ tuổi của bạn:]]</f>
        <v>30 - 39</v>
      </c>
      <c r="G44" t="str">
        <f>step3_validation[[#This Row],[Region]]</f>
        <v>Thành thị</v>
      </c>
      <c r="H44" t="str">
        <f>survey_responses[[#This Row],[Khu vực bạn đang sinh sống:]]</f>
        <v>Thành thị</v>
      </c>
      <c r="I44" t="str">
        <f>step3_validation[[#This Row],[Education]]</f>
        <v>Đại học</v>
      </c>
      <c r="J44" t="str">
        <f>survey_responses[[#This Row],[Trình độ học vấn cao nhất:]]</f>
        <v>Đại học</v>
      </c>
      <c r="K44" t="str">
        <f>step3_validation[[#This Row],[Employment]]</f>
        <v>Chính thức</v>
      </c>
      <c r="L44" t="str">
        <f>survey_responses[[#This Row],[Tình trạng việc làm chính:]]</f>
        <v>Khu vực chính thức (Có Hợp đồng lao động, đóng BHXH)</v>
      </c>
      <c r="M44">
        <f>step3_validation[[#This Row],[Income_Mil]]</f>
        <v>228.53863771881382</v>
      </c>
      <c r="N44" t="str">
        <f>survey_responses[[#This Row],[Thu nhập bình quân tháng theo Hợp đồng lao động của bạn là bao nhiêu? (Vui lòng điền tổng thu nhập trước khi khấu trừ các loại Bảo hiểm (BHXH, BHYT, BHTN) và Thuế TNCN)]]</f>
        <v>Trên 102 triệu VNĐ</v>
      </c>
      <c r="O44">
        <f>step3_validation[[#This Row],[Dependents]]</f>
        <v>2</v>
      </c>
      <c r="P44" t="str">
        <f>survey_responses[[#This Row],[Số người phụ thuộc (con nhỏ, cha mẹ già...) đủ điều kiện giảm trừ gia cảnh:]]</f>
        <v>2 người</v>
      </c>
      <c r="Q44">
        <f>step3_validation[[#This Row],[AI_ENF1]]</f>
        <v>7</v>
      </c>
      <c r="R44" t="str">
        <f t="shared" si="0"/>
        <v>Neutral</v>
      </c>
      <c r="S44">
        <f>survey_responses[[#This Row],[Tôi tin rằng với các quy định quản lý thuế hiện nay, hành vi gian lận hoặc trốn thuế sẽ dễ dàng bị phát hiện và xử lý nghiêm. - HUMAN-ENF1]]</f>
        <v>6</v>
      </c>
      <c r="T44" t="str">
        <f t="shared" si="1"/>
        <v>Neutral</v>
      </c>
      <c r="U44" s="31">
        <f t="shared" si="2"/>
        <v>1</v>
      </c>
      <c r="V44">
        <f>step3_validation[[#This Row],[AI_ENF2]]</f>
        <v>7</v>
      </c>
      <c r="W44" t="str">
        <f t="shared" si="3"/>
        <v>Neutral</v>
      </c>
      <c r="X44">
        <f>survey_responses[[#This Row],[Tôi tin rằng Nhà nước, cơ quan thuế có đủ khả năng và công nghệ để phát hiện, xử lý nghiêm các hành vi trốn thuế. - HUMAN-ENF2]]</f>
        <v>6</v>
      </c>
      <c r="Y44" t="str">
        <f t="shared" si="4"/>
        <v>Neutral</v>
      </c>
      <c r="Z44" s="31">
        <f t="shared" si="5"/>
        <v>1</v>
      </c>
      <c r="AA44">
        <f>step3_validation[[#This Row],[AI_FAC1]]</f>
        <v>8</v>
      </c>
      <c r="AB44" t="str">
        <f t="shared" si="6"/>
        <v>Support</v>
      </c>
      <c r="AC44">
        <f>survey_responses[[#This Row],[Các thủ tục khai báo thuế VÀ/HOẶC quy trình làm việc với cơ quan thuế đơn giản, tiện lợi, nhanh chóng hơn so với trước đây. - HUMAN-FAC1]]</f>
        <v>8</v>
      </c>
      <c r="AD44" t="str">
        <f t="shared" si="7"/>
        <v>Support</v>
      </c>
      <c r="AE44" s="31">
        <f t="shared" si="8"/>
        <v>0</v>
      </c>
      <c r="AF44">
        <f>step3_validation[[#This Row],[AI_FAC2]]</f>
        <v>9</v>
      </c>
      <c r="AG44" t="str">
        <f t="shared" si="9"/>
        <v>Support</v>
      </c>
      <c r="AH44">
        <f>survey_responses[[#This Row],[So với trước đây, tôi thấy cách tính thuế và các bậc thuế trong phương án mới đơn giản, dễ hiểu và dễ thực hiện hơn. - HUMAN-FAC2]]</f>
        <v>10</v>
      </c>
      <c r="AI44" t="str">
        <f t="shared" si="10"/>
        <v>Support</v>
      </c>
      <c r="AJ44" s="31">
        <f t="shared" si="11"/>
        <v>1</v>
      </c>
      <c r="AK44">
        <f>step3_validation[[#This Row],[AI_TRU1]]</f>
        <v>8</v>
      </c>
      <c r="AL44" t="str">
        <f t="shared" si="12"/>
        <v>Support</v>
      </c>
      <c r="AM44">
        <f>survey_responses[[#This Row],[Tôi tin rằng Nhà nước, cơ quan thuế sẽ thực thi chính sách mới một cách khách quan, công tâm và đối xử bình đẳng với mọi người nộp thuế.  - HUMAN-TRU1]]</f>
        <v>9</v>
      </c>
      <c r="AN44" t="str">
        <f t="shared" si="13"/>
        <v>Support</v>
      </c>
      <c r="AO44" s="31">
        <f t="shared" si="14"/>
        <v>1</v>
      </c>
      <c r="AP44">
        <f>step3_validation[[#This Row],[AI_TRU2]]</f>
        <v>9</v>
      </c>
      <c r="AQ44" t="str">
        <f t="shared" si="15"/>
        <v>Support</v>
      </c>
      <c r="AR44">
        <f>survey_responses[[#This Row],[Tôi thấy mức thuế tôi phải đóng theo phương án mới là công bằng (người thu nhập như tôi đóng mức này là hợp lý). - HUMAN-TRU2]]</f>
        <v>1</v>
      </c>
      <c r="AS44" t="str">
        <f t="shared" si="16"/>
        <v>Oppose</v>
      </c>
      <c r="AT44" s="31">
        <f t="shared" si="17"/>
        <v>8</v>
      </c>
      <c r="AU44">
        <f>step3_validation[[#This Row],[AI_TRU3]]</f>
        <v>7</v>
      </c>
      <c r="AV44" t="str">
        <f t="shared" si="18"/>
        <v>Neutral</v>
      </c>
      <c r="AW44">
        <f>survey_responses[[#This Row],[Tôi tin tưởng số tiền thuế tôi đóng sẽ được Nhà nước sử dụng hiệu quả để cải thiện dịch vụ công (y tế, đường xá...). - HUMAN-TRU3]]</f>
        <v>7</v>
      </c>
      <c r="AX44" t="str">
        <f t="shared" si="19"/>
        <v>Neutral</v>
      </c>
      <c r="AY44" s="31">
        <f t="shared" si="20"/>
        <v>0</v>
      </c>
      <c r="AZ44">
        <f>step3_validation[[#This Row],[AI_TRU4]]</f>
        <v>6</v>
      </c>
      <c r="BA44" t="str">
        <f t="shared" si="21"/>
        <v>Neutral</v>
      </c>
      <c r="BB44">
        <f>survey_responses[[#This Row],[Tôi thấy Nhà nước đã giải thích rõ ràng, minh bạch về lý do và mục tiêu của việc sửa đổi thuế lần này. - HUMAN-TRU4]]</f>
        <v>7</v>
      </c>
      <c r="BC44" t="str">
        <f t="shared" si="22"/>
        <v>Neutral</v>
      </c>
      <c r="BD44" s="31">
        <f t="shared" si="23"/>
        <v>1</v>
      </c>
      <c r="BE44">
        <f>step3_validation[[#This Row],[AI_OUT1]]</f>
        <v>9</v>
      </c>
      <c r="BF44" t="str">
        <f t="shared" si="24"/>
        <v>Support</v>
      </c>
      <c r="BG44">
        <f>survey_responses[[#This Row],[Sau khi xem xét các quyền lợi và nghĩa vụ, bạn có ủng hộ và tuân thủ chính sách mới hiện nay? - HUMAN-OUT1]]</f>
        <v>8</v>
      </c>
      <c r="BH44" t="str">
        <f t="shared" si="25"/>
        <v>Support</v>
      </c>
      <c r="BI44" s="31">
        <f t="shared" si="26"/>
        <v>1</v>
      </c>
    </row>
    <row r="45" spans="1:61" hidden="1" x14ac:dyDescent="0.45">
      <c r="A45" s="29">
        <f>step3_validation[[#This Row],[Persona_ID]]</f>
        <v>44</v>
      </c>
      <c r="B45" s="30">
        <f>step3_validation[[#This Row],[Used_Seed]]</f>
        <v>85</v>
      </c>
      <c r="C45" t="str">
        <f>step3_validation[[#This Row],[Gender]]</f>
        <v>Nam</v>
      </c>
      <c r="D45" t="str">
        <f>survey_responses[[#This Row],[Giới tính của bạn:]]</f>
        <v>Nam</v>
      </c>
      <c r="E45" t="str">
        <f>step3_validation[[#This Row],[Age_Group]]</f>
        <v>30 - 39</v>
      </c>
      <c r="F45" t="str">
        <f>survey_responses[[#This Row],[Độ tuổi của bạn:]]</f>
        <v>30 - 39</v>
      </c>
      <c r="G45" t="str">
        <f>step3_validation[[#This Row],[Region]]</f>
        <v>Thành thị</v>
      </c>
      <c r="H45" t="str">
        <f>survey_responses[[#This Row],[Khu vực bạn đang sinh sống:]]</f>
        <v>Thành thị</v>
      </c>
      <c r="I45" t="str">
        <f>step3_validation[[#This Row],[Education]]</f>
        <v>Đại học</v>
      </c>
      <c r="J45" t="str">
        <f>survey_responses[[#This Row],[Trình độ học vấn cao nhất:]]</f>
        <v>Đại học</v>
      </c>
      <c r="K45" t="str">
        <f>step3_validation[[#This Row],[Employment]]</f>
        <v>Chính thức</v>
      </c>
      <c r="L45" t="str">
        <f>survey_responses[[#This Row],[Tình trạng việc làm chính:]]</f>
        <v>Khu vực chính thức (Có Hợp đồng lao động, đóng BHXH)</v>
      </c>
      <c r="M45">
        <f>step3_validation[[#This Row],[Income_Mil]]</f>
        <v>28.865878073135946</v>
      </c>
      <c r="N45" t="str">
        <f>survey_responses[[#This Row],[Thu nhập bình quân tháng theo Hợp đồng lao động của bạn là bao nhiêu? (Vui lòng điền tổng thu nhập trước khi khấu trừ các loại Bảo hiểm (BHXH, BHYT, BHTN) và Thuế TNCN)]]</f>
        <v>Từ 23 - 32 triệu VNĐ</v>
      </c>
      <c r="O45">
        <f>step3_validation[[#This Row],[Dependents]]</f>
        <v>1</v>
      </c>
      <c r="P45" t="str">
        <f>survey_responses[[#This Row],[Số người phụ thuộc (con nhỏ, cha mẹ già...) đủ điều kiện giảm trừ gia cảnh:]]</f>
        <v>1 người</v>
      </c>
      <c r="Q45">
        <f>step3_validation[[#This Row],[AI_ENF1]]</f>
        <v>6</v>
      </c>
      <c r="R45" t="str">
        <f t="shared" si="0"/>
        <v>Neutral</v>
      </c>
      <c r="S45">
        <f>survey_responses[[#This Row],[Tôi tin rằng với các quy định quản lý thuế hiện nay, hành vi gian lận hoặc trốn thuế sẽ dễ dàng bị phát hiện và xử lý nghiêm. - HUMAN-ENF1]]</f>
        <v>8</v>
      </c>
      <c r="T45" t="str">
        <f t="shared" si="1"/>
        <v>Support</v>
      </c>
      <c r="U45" s="31">
        <f t="shared" si="2"/>
        <v>2</v>
      </c>
      <c r="V45">
        <f>step3_validation[[#This Row],[AI_ENF2]]</f>
        <v>6</v>
      </c>
      <c r="W45" t="str">
        <f t="shared" si="3"/>
        <v>Neutral</v>
      </c>
      <c r="X45">
        <f>survey_responses[[#This Row],[Tôi tin rằng Nhà nước, cơ quan thuế có đủ khả năng và công nghệ để phát hiện, xử lý nghiêm các hành vi trốn thuế. - HUMAN-ENF2]]</f>
        <v>8</v>
      </c>
      <c r="Y45" t="str">
        <f t="shared" si="4"/>
        <v>Support</v>
      </c>
      <c r="Z45" s="31">
        <f t="shared" si="5"/>
        <v>2</v>
      </c>
      <c r="AA45">
        <f>step3_validation[[#This Row],[AI_FAC1]]</f>
        <v>9</v>
      </c>
      <c r="AB45" t="str">
        <f t="shared" si="6"/>
        <v>Support</v>
      </c>
      <c r="AC45">
        <f>survey_responses[[#This Row],[Các thủ tục khai báo thuế VÀ/HOẶC quy trình làm việc với cơ quan thuế đơn giản, tiện lợi, nhanh chóng hơn so với trước đây. - HUMAN-FAC1]]</f>
        <v>8</v>
      </c>
      <c r="AD45" t="str">
        <f t="shared" si="7"/>
        <v>Support</v>
      </c>
      <c r="AE45" s="31">
        <f t="shared" si="8"/>
        <v>1</v>
      </c>
      <c r="AF45">
        <f>step3_validation[[#This Row],[AI_FAC2]]</f>
        <v>9</v>
      </c>
      <c r="AG45" t="str">
        <f t="shared" si="9"/>
        <v>Support</v>
      </c>
      <c r="AH45">
        <f>survey_responses[[#This Row],[So với trước đây, tôi thấy cách tính thuế và các bậc thuế trong phương án mới đơn giản, dễ hiểu và dễ thực hiện hơn. - HUMAN-FAC2]]</f>
        <v>8</v>
      </c>
      <c r="AI45" t="str">
        <f t="shared" si="10"/>
        <v>Support</v>
      </c>
      <c r="AJ45" s="31">
        <f t="shared" si="11"/>
        <v>1</v>
      </c>
      <c r="AK45">
        <f>step3_validation[[#This Row],[AI_TRU1]]</f>
        <v>8</v>
      </c>
      <c r="AL45" t="str">
        <f t="shared" si="12"/>
        <v>Support</v>
      </c>
      <c r="AM45">
        <f>survey_responses[[#This Row],[Tôi tin rằng Nhà nước, cơ quan thuế sẽ thực thi chính sách mới một cách khách quan, công tâm và đối xử bình đẳng với mọi người nộp thuế.  - HUMAN-TRU1]]</f>
        <v>8</v>
      </c>
      <c r="AN45" t="str">
        <f t="shared" si="13"/>
        <v>Support</v>
      </c>
      <c r="AO45" s="31">
        <f t="shared" si="14"/>
        <v>0</v>
      </c>
      <c r="AP45">
        <f>step3_validation[[#This Row],[AI_TRU2]]</f>
        <v>8</v>
      </c>
      <c r="AQ45" t="str">
        <f t="shared" si="15"/>
        <v>Support</v>
      </c>
      <c r="AR45">
        <f>survey_responses[[#This Row],[Tôi thấy mức thuế tôi phải đóng theo phương án mới là công bằng (người thu nhập như tôi đóng mức này là hợp lý). - HUMAN-TRU2]]</f>
        <v>8</v>
      </c>
      <c r="AS45" t="str">
        <f t="shared" si="16"/>
        <v>Support</v>
      </c>
      <c r="AT45" s="31">
        <f t="shared" si="17"/>
        <v>0</v>
      </c>
      <c r="AU45">
        <f>step3_validation[[#This Row],[AI_TRU3]]</f>
        <v>7</v>
      </c>
      <c r="AV45" t="str">
        <f t="shared" si="18"/>
        <v>Neutral</v>
      </c>
      <c r="AW45">
        <f>survey_responses[[#This Row],[Tôi tin tưởng số tiền thuế tôi đóng sẽ được Nhà nước sử dụng hiệu quả để cải thiện dịch vụ công (y tế, đường xá...). - HUMAN-TRU3]]</f>
        <v>9</v>
      </c>
      <c r="AX45" t="str">
        <f t="shared" si="19"/>
        <v>Support</v>
      </c>
      <c r="AY45" s="31">
        <f t="shared" si="20"/>
        <v>2</v>
      </c>
      <c r="AZ45">
        <f>step3_validation[[#This Row],[AI_TRU4]]</f>
        <v>6</v>
      </c>
      <c r="BA45" t="str">
        <f t="shared" si="21"/>
        <v>Neutral</v>
      </c>
      <c r="BB45">
        <f>survey_responses[[#This Row],[Tôi thấy Nhà nước đã giải thích rõ ràng, minh bạch về lý do và mục tiêu của việc sửa đổi thuế lần này. - HUMAN-TRU4]]</f>
        <v>5</v>
      </c>
      <c r="BC45" t="str">
        <f t="shared" si="22"/>
        <v>Neutral</v>
      </c>
      <c r="BD45" s="31">
        <f t="shared" si="23"/>
        <v>1</v>
      </c>
      <c r="BE45">
        <f>step3_validation[[#This Row],[AI_OUT1]]</f>
        <v>8</v>
      </c>
      <c r="BF45" t="str">
        <f t="shared" si="24"/>
        <v>Support</v>
      </c>
      <c r="BG45">
        <f>survey_responses[[#This Row],[Sau khi xem xét các quyền lợi và nghĩa vụ, bạn có ủng hộ và tuân thủ chính sách mới hiện nay? - HUMAN-OUT1]]</f>
        <v>9</v>
      </c>
      <c r="BH45" t="str">
        <f t="shared" si="25"/>
        <v>Support</v>
      </c>
      <c r="BI45" s="31">
        <f t="shared" si="26"/>
        <v>1</v>
      </c>
    </row>
    <row r="46" spans="1:61" hidden="1" x14ac:dyDescent="0.45">
      <c r="A46" s="29">
        <f>step3_validation[[#This Row],[Persona_ID]]</f>
        <v>45</v>
      </c>
      <c r="B46" s="30">
        <f>step3_validation[[#This Row],[Used_Seed]]</f>
        <v>86</v>
      </c>
      <c r="C46" t="str">
        <f>step3_validation[[#This Row],[Gender]]</f>
        <v>Nữ</v>
      </c>
      <c r="D46" t="str">
        <f>survey_responses[[#This Row],[Giới tính của bạn:]]</f>
        <v>Nữ</v>
      </c>
      <c r="E46" t="str">
        <f>step3_validation[[#This Row],[Age_Group]]</f>
        <v>40 - 49</v>
      </c>
      <c r="F46" t="str">
        <f>survey_responses[[#This Row],[Độ tuổi của bạn:]]</f>
        <v>40 - 49</v>
      </c>
      <c r="G46" t="str">
        <f>step3_validation[[#This Row],[Region]]</f>
        <v>Thành thị</v>
      </c>
      <c r="H46" t="str">
        <f>survey_responses[[#This Row],[Khu vực bạn đang sinh sống:]]</f>
        <v>Thành thị</v>
      </c>
      <c r="I46" t="str">
        <f>step3_validation[[#This Row],[Education]]</f>
        <v>Đại học</v>
      </c>
      <c r="J46" t="str">
        <f>survey_responses[[#This Row],[Trình độ học vấn cao nhất:]]</f>
        <v>Đại học</v>
      </c>
      <c r="K46" t="str">
        <f>step3_validation[[#This Row],[Employment]]</f>
        <v>Chính thức</v>
      </c>
      <c r="L46" t="str">
        <f>survey_responses[[#This Row],[Tình trạng việc làm chính:]]</f>
        <v>Khu vực chính thức (Có Hợp đồng lao động, đóng BHXH)</v>
      </c>
      <c r="M46">
        <f>step3_validation[[#This Row],[Income_Mil]]</f>
        <v>26.74468054587323</v>
      </c>
      <c r="N46" t="str">
        <f>survey_responses[[#This Row],[Thu nhập bình quân tháng theo Hợp đồng lao động của bạn là bao nhiêu? (Vui lòng điền tổng thu nhập trước khi khấu trừ các loại Bảo hiểm (BHXH, BHYT, BHTN) và Thuế TNCN)]]</f>
        <v>Từ 23 - 32 triệu VNĐ</v>
      </c>
      <c r="O46">
        <f>step3_validation[[#This Row],[Dependents]]</f>
        <v>2</v>
      </c>
      <c r="P46" t="str">
        <f>survey_responses[[#This Row],[Số người phụ thuộc (con nhỏ, cha mẹ già...) đủ điều kiện giảm trừ gia cảnh:]]</f>
        <v>2 người</v>
      </c>
      <c r="Q46">
        <f>step3_validation[[#This Row],[AI_ENF1]]</f>
        <v>7</v>
      </c>
      <c r="R46" t="str">
        <f t="shared" si="0"/>
        <v>Neutral</v>
      </c>
      <c r="S46">
        <f>survey_responses[[#This Row],[Tôi tin rằng với các quy định quản lý thuế hiện nay, hành vi gian lận hoặc trốn thuế sẽ dễ dàng bị phát hiện và xử lý nghiêm. - HUMAN-ENF1]]</f>
        <v>10</v>
      </c>
      <c r="T46" t="str">
        <f t="shared" si="1"/>
        <v>Support</v>
      </c>
      <c r="U46" s="31">
        <f t="shared" si="2"/>
        <v>3</v>
      </c>
      <c r="V46">
        <f>step3_validation[[#This Row],[AI_ENF2]]</f>
        <v>8</v>
      </c>
      <c r="W46" t="str">
        <f t="shared" si="3"/>
        <v>Support</v>
      </c>
      <c r="X46">
        <f>survey_responses[[#This Row],[Tôi tin rằng Nhà nước, cơ quan thuế có đủ khả năng và công nghệ để phát hiện, xử lý nghiêm các hành vi trốn thuế. - HUMAN-ENF2]]</f>
        <v>10</v>
      </c>
      <c r="Y46" t="str">
        <f t="shared" si="4"/>
        <v>Support</v>
      </c>
      <c r="Z46" s="31">
        <f t="shared" si="5"/>
        <v>2</v>
      </c>
      <c r="AA46">
        <f>step3_validation[[#This Row],[AI_FAC1]]</f>
        <v>9</v>
      </c>
      <c r="AB46" t="str">
        <f t="shared" si="6"/>
        <v>Support</v>
      </c>
      <c r="AC46">
        <f>survey_responses[[#This Row],[Các thủ tục khai báo thuế VÀ/HOẶC quy trình làm việc với cơ quan thuế đơn giản, tiện lợi, nhanh chóng hơn so với trước đây. - HUMAN-FAC1]]</f>
        <v>10</v>
      </c>
      <c r="AD46" t="str">
        <f t="shared" si="7"/>
        <v>Support</v>
      </c>
      <c r="AE46" s="31">
        <f t="shared" si="8"/>
        <v>1</v>
      </c>
      <c r="AF46">
        <f>step3_validation[[#This Row],[AI_FAC2]]</f>
        <v>10</v>
      </c>
      <c r="AG46" t="str">
        <f t="shared" si="9"/>
        <v>Support</v>
      </c>
      <c r="AH46">
        <f>survey_responses[[#This Row],[So với trước đây, tôi thấy cách tính thuế và các bậc thuế trong phương án mới đơn giản, dễ hiểu và dễ thực hiện hơn. - HUMAN-FAC2]]</f>
        <v>9</v>
      </c>
      <c r="AI46" t="str">
        <f t="shared" si="10"/>
        <v>Support</v>
      </c>
      <c r="AJ46" s="31">
        <f t="shared" si="11"/>
        <v>1</v>
      </c>
      <c r="AK46">
        <f>step3_validation[[#This Row],[AI_TRU1]]</f>
        <v>9</v>
      </c>
      <c r="AL46" t="str">
        <f t="shared" si="12"/>
        <v>Support</v>
      </c>
      <c r="AM46">
        <f>survey_responses[[#This Row],[Tôi tin rằng Nhà nước, cơ quan thuế sẽ thực thi chính sách mới một cách khách quan, công tâm và đối xử bình đẳng với mọi người nộp thuế.  - HUMAN-TRU1]]</f>
        <v>10</v>
      </c>
      <c r="AN46" t="str">
        <f t="shared" si="13"/>
        <v>Support</v>
      </c>
      <c r="AO46" s="31">
        <f t="shared" si="14"/>
        <v>1</v>
      </c>
      <c r="AP46">
        <f>step3_validation[[#This Row],[AI_TRU2]]</f>
        <v>8</v>
      </c>
      <c r="AQ46" t="str">
        <f t="shared" si="15"/>
        <v>Support</v>
      </c>
      <c r="AR46">
        <f>survey_responses[[#This Row],[Tôi thấy mức thuế tôi phải đóng theo phương án mới là công bằng (người thu nhập như tôi đóng mức này là hợp lý). - HUMAN-TRU2]]</f>
        <v>10</v>
      </c>
      <c r="AS46" t="str">
        <f t="shared" si="16"/>
        <v>Support</v>
      </c>
      <c r="AT46" s="31">
        <f t="shared" si="17"/>
        <v>2</v>
      </c>
      <c r="AU46">
        <f>step3_validation[[#This Row],[AI_TRU3]]</f>
        <v>9</v>
      </c>
      <c r="AV46" t="str">
        <f t="shared" si="18"/>
        <v>Support</v>
      </c>
      <c r="AW46">
        <f>survey_responses[[#This Row],[Tôi tin tưởng số tiền thuế tôi đóng sẽ được Nhà nước sử dụng hiệu quả để cải thiện dịch vụ công (y tế, đường xá...). - HUMAN-TRU3]]</f>
        <v>10</v>
      </c>
      <c r="AX46" t="str">
        <f t="shared" si="19"/>
        <v>Support</v>
      </c>
      <c r="AY46" s="31">
        <f t="shared" si="20"/>
        <v>1</v>
      </c>
      <c r="AZ46">
        <f>step3_validation[[#This Row],[AI_TRU4]]</f>
        <v>8</v>
      </c>
      <c r="BA46" t="str">
        <f t="shared" si="21"/>
        <v>Support</v>
      </c>
      <c r="BB46">
        <f>survey_responses[[#This Row],[Tôi thấy Nhà nước đã giải thích rõ ràng, minh bạch về lý do và mục tiêu của việc sửa đổi thuế lần này. - HUMAN-TRU4]]</f>
        <v>10</v>
      </c>
      <c r="BC46" t="str">
        <f t="shared" si="22"/>
        <v>Support</v>
      </c>
      <c r="BD46" s="31">
        <f t="shared" si="23"/>
        <v>2</v>
      </c>
      <c r="BE46">
        <f>step3_validation[[#This Row],[AI_OUT1]]</f>
        <v>9</v>
      </c>
      <c r="BF46" t="str">
        <f t="shared" si="24"/>
        <v>Support</v>
      </c>
      <c r="BG46">
        <f>survey_responses[[#This Row],[Sau khi xem xét các quyền lợi và nghĩa vụ, bạn có ủng hộ và tuân thủ chính sách mới hiện nay? - HUMAN-OUT1]]</f>
        <v>10</v>
      </c>
      <c r="BH46" t="str">
        <f t="shared" si="25"/>
        <v>Support</v>
      </c>
      <c r="BI46" s="31">
        <f t="shared" si="26"/>
        <v>1</v>
      </c>
    </row>
    <row r="47" spans="1:61" x14ac:dyDescent="0.45">
      <c r="A47" s="29">
        <f>step3_validation[[#This Row],[Persona_ID]]</f>
        <v>46</v>
      </c>
      <c r="B47" s="30">
        <f>step3_validation[[#This Row],[Used_Seed]]</f>
        <v>87</v>
      </c>
      <c r="C47" t="str">
        <f>step3_validation[[#This Row],[Gender]]</f>
        <v>Nữ</v>
      </c>
      <c r="D47" t="str">
        <f>survey_responses[[#This Row],[Giới tính của bạn:]]</f>
        <v>Nữ</v>
      </c>
      <c r="E47" t="str">
        <f>step3_validation[[#This Row],[Age_Group]]</f>
        <v>50 - 54</v>
      </c>
      <c r="F47" t="str">
        <f>survey_responses[[#This Row],[Độ tuổi của bạn:]]</f>
        <v>50 - 54</v>
      </c>
      <c r="G47" t="str">
        <f>step3_validation[[#This Row],[Region]]</f>
        <v>Nông thôn</v>
      </c>
      <c r="H47" t="str">
        <f>survey_responses[[#This Row],[Khu vực bạn đang sinh sống:]]</f>
        <v>Nông thôn</v>
      </c>
      <c r="I47" t="str">
        <f>step3_validation[[#This Row],[Education]]</f>
        <v>Đại học</v>
      </c>
      <c r="J47" t="str">
        <f>survey_responses[[#This Row],[Trình độ học vấn cao nhất:]]</f>
        <v>Đại học</v>
      </c>
      <c r="K47" t="str">
        <f>step3_validation[[#This Row],[Employment]]</f>
        <v>Chính thức</v>
      </c>
      <c r="L47" t="str">
        <f>survey_responses[[#This Row],[Tình trạng việc làm chính:]]</f>
        <v>Khu vực chính thức (Có Hợp đồng lao động, đóng BHXH)</v>
      </c>
      <c r="M47">
        <f>step3_validation[[#This Row],[Income_Mil]]</f>
        <v>12</v>
      </c>
      <c r="N47" t="str">
        <f>survey_responses[[#This Row],[Thu nhập bình quân tháng theo Hợp đồng lao động của bạn là bao nhiêu? (Vui lòng điền tổng thu nhập trước khi khấu trừ các loại Bảo hiểm (BHXH, BHYT, BHTN) và Thuế TNCN)]]</f>
        <v>Dưới 12 triệu VNĐ</v>
      </c>
      <c r="O47">
        <f>step3_validation[[#This Row],[Dependents]]</f>
        <v>2</v>
      </c>
      <c r="P47" t="str">
        <f>survey_responses[[#This Row],[Số người phụ thuộc (con nhỏ, cha mẹ già...) đủ điều kiện giảm trừ gia cảnh:]]</f>
        <v>2 người</v>
      </c>
      <c r="Q47">
        <f>step3_validation[[#This Row],[AI_ENF1]]</f>
        <v>6</v>
      </c>
      <c r="R47" t="str">
        <f t="shared" si="0"/>
        <v>Neutral</v>
      </c>
      <c r="S47">
        <f>survey_responses[[#This Row],[Tôi tin rằng với các quy định quản lý thuế hiện nay, hành vi gian lận hoặc trốn thuế sẽ dễ dàng bị phát hiện và xử lý nghiêm. - HUMAN-ENF1]]</f>
        <v>1</v>
      </c>
      <c r="T47" t="str">
        <f t="shared" si="1"/>
        <v>Oppose</v>
      </c>
      <c r="U47" s="31">
        <f t="shared" si="2"/>
        <v>5</v>
      </c>
      <c r="V47">
        <f>step3_validation[[#This Row],[AI_ENF2]]</f>
        <v>6</v>
      </c>
      <c r="W47" t="str">
        <f t="shared" si="3"/>
        <v>Neutral</v>
      </c>
      <c r="X47">
        <f>survey_responses[[#This Row],[Tôi tin rằng Nhà nước, cơ quan thuế có đủ khả năng và công nghệ để phát hiện, xử lý nghiêm các hành vi trốn thuế. - HUMAN-ENF2]]</f>
        <v>1</v>
      </c>
      <c r="Y47" t="str">
        <f t="shared" si="4"/>
        <v>Oppose</v>
      </c>
      <c r="Z47" s="31">
        <f t="shared" si="5"/>
        <v>5</v>
      </c>
      <c r="AA47">
        <f>step3_validation[[#This Row],[AI_FAC1]]</f>
        <v>7</v>
      </c>
      <c r="AB47" t="str">
        <f t="shared" si="6"/>
        <v>Neutral</v>
      </c>
      <c r="AC47">
        <f>survey_responses[[#This Row],[Các thủ tục khai báo thuế VÀ/HOẶC quy trình làm việc với cơ quan thuế đơn giản, tiện lợi, nhanh chóng hơn so với trước đây. - HUMAN-FAC1]]</f>
        <v>2</v>
      </c>
      <c r="AD47" t="str">
        <f t="shared" si="7"/>
        <v>Oppose</v>
      </c>
      <c r="AE47" s="31">
        <f t="shared" si="8"/>
        <v>5</v>
      </c>
      <c r="AF47">
        <f>step3_validation[[#This Row],[AI_FAC2]]</f>
        <v>9</v>
      </c>
      <c r="AG47" t="str">
        <f t="shared" si="9"/>
        <v>Support</v>
      </c>
      <c r="AH47">
        <f>survey_responses[[#This Row],[So với trước đây, tôi thấy cách tính thuế và các bậc thuế trong phương án mới đơn giản, dễ hiểu và dễ thực hiện hơn. - HUMAN-FAC2]]</f>
        <v>1</v>
      </c>
      <c r="AI47" t="str">
        <f t="shared" si="10"/>
        <v>Oppose</v>
      </c>
      <c r="AJ47" s="31">
        <f t="shared" si="11"/>
        <v>8</v>
      </c>
      <c r="AK47">
        <f>step3_validation[[#This Row],[AI_TRU1]]</f>
        <v>8</v>
      </c>
      <c r="AL47" t="str">
        <f t="shared" si="12"/>
        <v>Support</v>
      </c>
      <c r="AM47">
        <f>survey_responses[[#This Row],[Tôi tin rằng Nhà nước, cơ quan thuế sẽ thực thi chính sách mới một cách khách quan, công tâm và đối xử bình đẳng với mọi người nộp thuế.  - HUMAN-TRU1]]</f>
        <v>1</v>
      </c>
      <c r="AN47" t="str">
        <f t="shared" si="13"/>
        <v>Oppose</v>
      </c>
      <c r="AO47" s="31">
        <f t="shared" si="14"/>
        <v>7</v>
      </c>
      <c r="AP47">
        <f>step3_validation[[#This Row],[AI_TRU2]]</f>
        <v>9</v>
      </c>
      <c r="AQ47" t="str">
        <f t="shared" si="15"/>
        <v>Support</v>
      </c>
      <c r="AR47">
        <f>survey_responses[[#This Row],[Tôi thấy mức thuế tôi phải đóng theo phương án mới là công bằng (người thu nhập như tôi đóng mức này là hợp lý). - HUMAN-TRU2]]</f>
        <v>1</v>
      </c>
      <c r="AS47" t="str">
        <f t="shared" si="16"/>
        <v>Oppose</v>
      </c>
      <c r="AT47" s="31">
        <f t="shared" si="17"/>
        <v>8</v>
      </c>
      <c r="AU47">
        <f>step3_validation[[#This Row],[AI_TRU3]]</f>
        <v>8</v>
      </c>
      <c r="AV47" t="str">
        <f t="shared" si="18"/>
        <v>Support</v>
      </c>
      <c r="AW47">
        <f>survey_responses[[#This Row],[Tôi tin tưởng số tiền thuế tôi đóng sẽ được Nhà nước sử dụng hiệu quả để cải thiện dịch vụ công (y tế, đường xá...). - HUMAN-TRU3]]</f>
        <v>1</v>
      </c>
      <c r="AX47" t="str">
        <f t="shared" si="19"/>
        <v>Oppose</v>
      </c>
      <c r="AY47" s="31">
        <f t="shared" si="20"/>
        <v>7</v>
      </c>
      <c r="AZ47">
        <f>step3_validation[[#This Row],[AI_TRU4]]</f>
        <v>7</v>
      </c>
      <c r="BA47" t="str">
        <f t="shared" si="21"/>
        <v>Neutral</v>
      </c>
      <c r="BB47">
        <f>survey_responses[[#This Row],[Tôi thấy Nhà nước đã giải thích rõ ràng, minh bạch về lý do và mục tiêu của việc sửa đổi thuế lần này. - HUMAN-TRU4]]</f>
        <v>1</v>
      </c>
      <c r="BC47" t="str">
        <f t="shared" si="22"/>
        <v>Oppose</v>
      </c>
      <c r="BD47" s="31">
        <f t="shared" si="23"/>
        <v>6</v>
      </c>
      <c r="BE47">
        <f>step3_validation[[#This Row],[AI_OUT1]]</f>
        <v>9</v>
      </c>
      <c r="BF47" t="str">
        <f t="shared" si="24"/>
        <v>Support</v>
      </c>
      <c r="BG47">
        <f>survey_responses[[#This Row],[Sau khi xem xét các quyền lợi và nghĩa vụ, bạn có ủng hộ và tuân thủ chính sách mới hiện nay? - HUMAN-OUT1]]</f>
        <v>1</v>
      </c>
      <c r="BH47" t="str">
        <f t="shared" si="25"/>
        <v>Oppose</v>
      </c>
      <c r="BI47" s="31">
        <f t="shared" si="26"/>
        <v>8</v>
      </c>
    </row>
    <row r="48" spans="1:61" x14ac:dyDescent="0.45">
      <c r="A48" s="29">
        <f>step3_validation[[#This Row],[Persona_ID]]</f>
        <v>47</v>
      </c>
      <c r="B48" s="30">
        <f>step3_validation[[#This Row],[Used_Seed]]</f>
        <v>88</v>
      </c>
      <c r="C48" t="str">
        <f>step3_validation[[#This Row],[Gender]]</f>
        <v>Nam</v>
      </c>
      <c r="D48" t="str">
        <f>survey_responses[[#This Row],[Giới tính của bạn:]]</f>
        <v>Nam</v>
      </c>
      <c r="E48" t="str">
        <f>step3_validation[[#This Row],[Age_Group]]</f>
        <v>30 - 39</v>
      </c>
      <c r="F48" t="str">
        <f>survey_responses[[#This Row],[Độ tuổi của bạn:]]</f>
        <v>30 - 39</v>
      </c>
      <c r="G48" t="str">
        <f>step3_validation[[#This Row],[Region]]</f>
        <v>Thành thị</v>
      </c>
      <c r="H48" t="str">
        <f>survey_responses[[#This Row],[Khu vực bạn đang sinh sống:]]</f>
        <v>Thành thị</v>
      </c>
      <c r="I48" t="str">
        <f>step3_validation[[#This Row],[Education]]</f>
        <v>Đại học</v>
      </c>
      <c r="J48" t="str">
        <f>survey_responses[[#This Row],[Trình độ học vấn cao nhất:]]</f>
        <v>Đại học</v>
      </c>
      <c r="K48" t="str">
        <f>step3_validation[[#This Row],[Employment]]</f>
        <v>Chính thức</v>
      </c>
      <c r="L48" t="str">
        <f>survey_responses[[#This Row],[Tình trạng việc làm chính:]]</f>
        <v>Khu vực chính thức (Có Hợp đồng lao động, đóng BHXH)</v>
      </c>
      <c r="M48">
        <f>step3_validation[[#This Row],[Income_Mil]]</f>
        <v>12</v>
      </c>
      <c r="N48" t="str">
        <f>survey_responses[[#This Row],[Thu nhập bình quân tháng theo Hợp đồng lao động của bạn là bao nhiêu? (Vui lòng điền tổng thu nhập trước khi khấu trừ các loại Bảo hiểm (BHXH, BHYT, BHTN) và Thuế TNCN)]]</f>
        <v>Dưới 12 triệu VNĐ</v>
      </c>
      <c r="O48">
        <f>step3_validation[[#This Row],[Dependents]]</f>
        <v>0</v>
      </c>
      <c r="P48" t="str">
        <f>survey_responses[[#This Row],[Số người phụ thuộc (con nhỏ, cha mẹ già...) đủ điều kiện giảm trừ gia cảnh:]]</f>
        <v>0 người</v>
      </c>
      <c r="Q48">
        <f>step3_validation[[#This Row],[AI_ENF1]]</f>
        <v>8</v>
      </c>
      <c r="R48" t="str">
        <f t="shared" si="0"/>
        <v>Support</v>
      </c>
      <c r="S48">
        <f>survey_responses[[#This Row],[Tôi tin rằng với các quy định quản lý thuế hiện nay, hành vi gian lận hoặc trốn thuế sẽ dễ dàng bị phát hiện và xử lý nghiêm. - HUMAN-ENF1]]</f>
        <v>8</v>
      </c>
      <c r="T48" t="str">
        <f t="shared" si="1"/>
        <v>Support</v>
      </c>
      <c r="U48" s="31">
        <f t="shared" si="2"/>
        <v>0</v>
      </c>
      <c r="V48">
        <f>step3_validation[[#This Row],[AI_ENF2]]</f>
        <v>7</v>
      </c>
      <c r="W48" t="str">
        <f t="shared" si="3"/>
        <v>Neutral</v>
      </c>
      <c r="X48">
        <f>survey_responses[[#This Row],[Tôi tin rằng Nhà nước, cơ quan thuế có đủ khả năng và công nghệ để phát hiện, xử lý nghiêm các hành vi trốn thuế. - HUMAN-ENF2]]</f>
        <v>8</v>
      </c>
      <c r="Y48" t="str">
        <f t="shared" si="4"/>
        <v>Support</v>
      </c>
      <c r="Z48" s="31">
        <f t="shared" si="5"/>
        <v>1</v>
      </c>
      <c r="AA48">
        <f>step3_validation[[#This Row],[AI_FAC1]]</f>
        <v>6</v>
      </c>
      <c r="AB48" t="str">
        <f t="shared" si="6"/>
        <v>Neutral</v>
      </c>
      <c r="AC48">
        <f>survey_responses[[#This Row],[Các thủ tục khai báo thuế VÀ/HOẶC quy trình làm việc với cơ quan thuế đơn giản, tiện lợi, nhanh chóng hơn so với trước đây. - HUMAN-FAC1]]</f>
        <v>8</v>
      </c>
      <c r="AD48" t="str">
        <f t="shared" si="7"/>
        <v>Support</v>
      </c>
      <c r="AE48" s="31">
        <f t="shared" si="8"/>
        <v>2</v>
      </c>
      <c r="AF48">
        <f>step3_validation[[#This Row],[AI_FAC2]]</f>
        <v>9</v>
      </c>
      <c r="AG48" t="str">
        <f t="shared" si="9"/>
        <v>Support</v>
      </c>
      <c r="AH48">
        <f>survey_responses[[#This Row],[So với trước đây, tôi thấy cách tính thuế và các bậc thuế trong phương án mới đơn giản, dễ hiểu và dễ thực hiện hơn. - HUMAN-FAC2]]</f>
        <v>7</v>
      </c>
      <c r="AI48" t="str">
        <f t="shared" si="10"/>
        <v>Neutral</v>
      </c>
      <c r="AJ48" s="31">
        <f t="shared" si="11"/>
        <v>2</v>
      </c>
      <c r="AK48">
        <f>step3_validation[[#This Row],[AI_TRU1]]</f>
        <v>8</v>
      </c>
      <c r="AL48" t="str">
        <f t="shared" si="12"/>
        <v>Support</v>
      </c>
      <c r="AM48">
        <f>survey_responses[[#This Row],[Tôi tin rằng Nhà nước, cơ quan thuế sẽ thực thi chính sách mới một cách khách quan, công tâm và đối xử bình đẳng với mọi người nộp thuế.  - HUMAN-TRU1]]</f>
        <v>6</v>
      </c>
      <c r="AN48" t="str">
        <f t="shared" si="13"/>
        <v>Neutral</v>
      </c>
      <c r="AO48" s="31">
        <f t="shared" si="14"/>
        <v>2</v>
      </c>
      <c r="AP48">
        <f>step3_validation[[#This Row],[AI_TRU2]]</f>
        <v>9</v>
      </c>
      <c r="AQ48" t="str">
        <f t="shared" si="15"/>
        <v>Support</v>
      </c>
      <c r="AR48">
        <f>survey_responses[[#This Row],[Tôi thấy mức thuế tôi phải đóng theo phương án mới là công bằng (người thu nhập như tôi đóng mức này là hợp lý). - HUMAN-TRU2]]</f>
        <v>8</v>
      </c>
      <c r="AS48" t="str">
        <f t="shared" si="16"/>
        <v>Support</v>
      </c>
      <c r="AT48" s="31">
        <f t="shared" si="17"/>
        <v>1</v>
      </c>
      <c r="AU48">
        <f>step3_validation[[#This Row],[AI_TRU3]]</f>
        <v>8</v>
      </c>
      <c r="AV48" t="str">
        <f t="shared" si="18"/>
        <v>Support</v>
      </c>
      <c r="AW48">
        <f>survey_responses[[#This Row],[Tôi tin tưởng số tiền thuế tôi đóng sẽ được Nhà nước sử dụng hiệu quả để cải thiện dịch vụ công (y tế, đường xá...). - HUMAN-TRU3]]</f>
        <v>8</v>
      </c>
      <c r="AX48" t="str">
        <f t="shared" si="19"/>
        <v>Support</v>
      </c>
      <c r="AY48" s="31">
        <f t="shared" si="20"/>
        <v>0</v>
      </c>
      <c r="AZ48">
        <f>step3_validation[[#This Row],[AI_TRU4]]</f>
        <v>7</v>
      </c>
      <c r="BA48" t="str">
        <f t="shared" si="21"/>
        <v>Neutral</v>
      </c>
      <c r="BB48">
        <f>survey_responses[[#This Row],[Tôi thấy Nhà nước đã giải thích rõ ràng, minh bạch về lý do và mục tiêu của việc sửa đổi thuế lần này. - HUMAN-TRU4]]</f>
        <v>9</v>
      </c>
      <c r="BC48" t="str">
        <f t="shared" si="22"/>
        <v>Support</v>
      </c>
      <c r="BD48" s="31">
        <f t="shared" si="23"/>
        <v>2</v>
      </c>
      <c r="BE48">
        <f>step3_validation[[#This Row],[AI_OUT1]]</f>
        <v>9</v>
      </c>
      <c r="BF48" t="str">
        <f t="shared" si="24"/>
        <v>Support</v>
      </c>
      <c r="BG48">
        <f>survey_responses[[#This Row],[Sau khi xem xét các quyền lợi và nghĩa vụ, bạn có ủng hộ và tuân thủ chính sách mới hiện nay? - HUMAN-OUT1]]</f>
        <v>8</v>
      </c>
      <c r="BH48" t="str">
        <f t="shared" si="25"/>
        <v>Support</v>
      </c>
      <c r="BI48" s="31">
        <f t="shared" si="26"/>
        <v>1</v>
      </c>
    </row>
    <row r="49" spans="1:61" hidden="1" x14ac:dyDescent="0.45">
      <c r="A49" s="29">
        <f>step3_validation[[#This Row],[Persona_ID]]</f>
        <v>48</v>
      </c>
      <c r="B49" s="30">
        <f>step3_validation[[#This Row],[Used_Seed]]</f>
        <v>89</v>
      </c>
      <c r="C49" t="str">
        <f>step3_validation[[#This Row],[Gender]]</f>
        <v>Nữ</v>
      </c>
      <c r="D49" t="str">
        <f>survey_responses[[#This Row],[Giới tính của bạn:]]</f>
        <v>Nữ</v>
      </c>
      <c r="E49" t="str">
        <f>step3_validation[[#This Row],[Age_Group]]</f>
        <v>30 - 39</v>
      </c>
      <c r="F49" t="str">
        <f>survey_responses[[#This Row],[Độ tuổi của bạn:]]</f>
        <v>30 - 39</v>
      </c>
      <c r="G49" t="str">
        <f>step3_validation[[#This Row],[Region]]</f>
        <v>Thành thị</v>
      </c>
      <c r="H49" t="str">
        <f>survey_responses[[#This Row],[Khu vực bạn đang sinh sống:]]</f>
        <v>Thành thị</v>
      </c>
      <c r="I49" t="str">
        <f>step3_validation[[#This Row],[Education]]</f>
        <v>Đại học</v>
      </c>
      <c r="J49" t="str">
        <f>survey_responses[[#This Row],[Trình độ học vấn cao nhất:]]</f>
        <v>Đại học</v>
      </c>
      <c r="K49" t="str">
        <f>step3_validation[[#This Row],[Employment]]</f>
        <v>Chính thức</v>
      </c>
      <c r="L49" t="str">
        <f>survey_responses[[#This Row],[Tình trạng việc làm chính:]]</f>
        <v>Khu vực chính thức (Có Hợp đồng lao động, đóng BHXH)</v>
      </c>
      <c r="M49">
        <f>step3_validation[[#This Row],[Income_Mil]]</f>
        <v>35.26686950546128</v>
      </c>
      <c r="N49" t="str">
        <f>survey_responses[[#This Row],[Thu nhập bình quân tháng theo Hợp đồng lao động của bạn là bao nhiêu? (Vui lòng điền tổng thu nhập trước khi khấu trừ các loại Bảo hiểm (BHXH, BHYT, BHTN) và Thuế TNCN)]]</f>
        <v>Từ 32 - 48 triệu VNĐ</v>
      </c>
      <c r="O49">
        <f>step3_validation[[#This Row],[Dependents]]</f>
        <v>3</v>
      </c>
      <c r="P49" t="str">
        <f>survey_responses[[#This Row],[Số người phụ thuộc (con nhỏ, cha mẹ già...) đủ điều kiện giảm trừ gia cảnh:]]</f>
        <v>3 người</v>
      </c>
      <c r="Q49">
        <f>step3_validation[[#This Row],[AI_ENF1]]</f>
        <v>7</v>
      </c>
      <c r="R49" t="str">
        <f t="shared" si="0"/>
        <v>Neutral</v>
      </c>
      <c r="S49">
        <f>survey_responses[[#This Row],[Tôi tin rằng với các quy định quản lý thuế hiện nay, hành vi gian lận hoặc trốn thuế sẽ dễ dàng bị phát hiện và xử lý nghiêm. - HUMAN-ENF1]]</f>
        <v>10</v>
      </c>
      <c r="T49" t="str">
        <f t="shared" si="1"/>
        <v>Support</v>
      </c>
      <c r="U49" s="31">
        <f t="shared" si="2"/>
        <v>3</v>
      </c>
      <c r="V49">
        <f>step3_validation[[#This Row],[AI_ENF2]]</f>
        <v>6</v>
      </c>
      <c r="W49" t="str">
        <f t="shared" si="3"/>
        <v>Neutral</v>
      </c>
      <c r="X49">
        <f>survey_responses[[#This Row],[Tôi tin rằng Nhà nước, cơ quan thuế có đủ khả năng và công nghệ để phát hiện, xử lý nghiêm các hành vi trốn thuế. - HUMAN-ENF2]]</f>
        <v>10</v>
      </c>
      <c r="Y49" t="str">
        <f t="shared" si="4"/>
        <v>Support</v>
      </c>
      <c r="Z49" s="31">
        <f t="shared" si="5"/>
        <v>4</v>
      </c>
      <c r="AA49">
        <f>step3_validation[[#This Row],[AI_FAC1]]</f>
        <v>9</v>
      </c>
      <c r="AB49" t="str">
        <f t="shared" si="6"/>
        <v>Support</v>
      </c>
      <c r="AC49">
        <f>survey_responses[[#This Row],[Các thủ tục khai báo thuế VÀ/HOẶC quy trình làm việc với cơ quan thuế đơn giản, tiện lợi, nhanh chóng hơn so với trước đây. - HUMAN-FAC1]]</f>
        <v>10</v>
      </c>
      <c r="AD49" t="str">
        <f t="shared" si="7"/>
        <v>Support</v>
      </c>
      <c r="AE49" s="31">
        <f t="shared" si="8"/>
        <v>1</v>
      </c>
      <c r="AF49">
        <f>step3_validation[[#This Row],[AI_FAC2]]</f>
        <v>8</v>
      </c>
      <c r="AG49" t="str">
        <f t="shared" si="9"/>
        <v>Support</v>
      </c>
      <c r="AH49">
        <f>survey_responses[[#This Row],[So với trước đây, tôi thấy cách tính thuế và các bậc thuế trong phương án mới đơn giản, dễ hiểu và dễ thực hiện hơn. - HUMAN-FAC2]]</f>
        <v>10</v>
      </c>
      <c r="AI49" t="str">
        <f t="shared" si="10"/>
        <v>Support</v>
      </c>
      <c r="AJ49" s="31">
        <f t="shared" si="11"/>
        <v>2</v>
      </c>
      <c r="AK49">
        <f>step3_validation[[#This Row],[AI_TRU1]]</f>
        <v>6</v>
      </c>
      <c r="AL49" t="str">
        <f t="shared" si="12"/>
        <v>Neutral</v>
      </c>
      <c r="AM49">
        <f>survey_responses[[#This Row],[Tôi tin rằng Nhà nước, cơ quan thuế sẽ thực thi chính sách mới một cách khách quan, công tâm và đối xử bình đẳng với mọi người nộp thuế.  - HUMAN-TRU1]]</f>
        <v>10</v>
      </c>
      <c r="AN49" t="str">
        <f t="shared" si="13"/>
        <v>Support</v>
      </c>
      <c r="AO49" s="31">
        <f t="shared" si="14"/>
        <v>4</v>
      </c>
      <c r="AP49">
        <f>step3_validation[[#This Row],[AI_TRU2]]</f>
        <v>0</v>
      </c>
      <c r="AQ49" t="str">
        <f t="shared" si="15"/>
        <v/>
      </c>
      <c r="AR49">
        <f>survey_responses[[#This Row],[Tôi thấy mức thuế tôi phải đóng theo phương án mới là công bằng (người thu nhập như tôi đóng mức này là hợp lý). - HUMAN-TRU2]]</f>
        <v>10</v>
      </c>
      <c r="AS49" t="str">
        <f t="shared" si="16"/>
        <v>Support</v>
      </c>
      <c r="AT49" s="31">
        <f t="shared" si="17"/>
        <v>10</v>
      </c>
      <c r="AU49">
        <f>step3_validation[[#This Row],[AI_TRU3]]</f>
        <v>0</v>
      </c>
      <c r="AV49" t="str">
        <f t="shared" si="18"/>
        <v/>
      </c>
      <c r="AW49">
        <f>survey_responses[[#This Row],[Tôi tin tưởng số tiền thuế tôi đóng sẽ được Nhà nước sử dụng hiệu quả để cải thiện dịch vụ công (y tế, đường xá...). - HUMAN-TRU3]]</f>
        <v>10</v>
      </c>
      <c r="AX49" t="str">
        <f t="shared" si="19"/>
        <v>Support</v>
      </c>
      <c r="AY49" s="31">
        <f t="shared" si="20"/>
        <v>10</v>
      </c>
      <c r="AZ49">
        <f>step3_validation[[#This Row],[AI_TRU4]]</f>
        <v>0</v>
      </c>
      <c r="BA49" t="str">
        <f t="shared" si="21"/>
        <v/>
      </c>
      <c r="BB49">
        <f>survey_responses[[#This Row],[Tôi thấy Nhà nước đã giải thích rõ ràng, minh bạch về lý do và mục tiêu của việc sửa đổi thuế lần này. - HUMAN-TRU4]]</f>
        <v>10</v>
      </c>
      <c r="BC49" t="str">
        <f t="shared" si="22"/>
        <v>Support</v>
      </c>
      <c r="BD49" s="31">
        <f t="shared" si="23"/>
        <v>10</v>
      </c>
      <c r="BE49">
        <f>step3_validation[[#This Row],[AI_OUT1]]</f>
        <v>0</v>
      </c>
      <c r="BF49" t="str">
        <f t="shared" si="24"/>
        <v/>
      </c>
      <c r="BG49">
        <f>survey_responses[[#This Row],[Sau khi xem xét các quyền lợi và nghĩa vụ, bạn có ủng hộ và tuân thủ chính sách mới hiện nay? - HUMAN-OUT1]]</f>
        <v>10</v>
      </c>
      <c r="BH49" t="str">
        <f t="shared" si="25"/>
        <v>Support</v>
      </c>
      <c r="BI49" s="31">
        <f t="shared" si="26"/>
        <v>10</v>
      </c>
    </row>
    <row r="50" spans="1:61" hidden="1" x14ac:dyDescent="0.45">
      <c r="A50" s="29">
        <f>step3_validation[[#This Row],[Persona_ID]]</f>
        <v>49</v>
      </c>
      <c r="B50" s="30">
        <f>step3_validation[[#This Row],[Used_Seed]]</f>
        <v>90</v>
      </c>
      <c r="C50" t="str">
        <f>step3_validation[[#This Row],[Gender]]</f>
        <v>Nam</v>
      </c>
      <c r="D50" t="str">
        <f>survey_responses[[#This Row],[Giới tính của bạn:]]</f>
        <v>Nam</v>
      </c>
      <c r="E50" t="str">
        <f>step3_validation[[#This Row],[Age_Group]]</f>
        <v>30 - 39</v>
      </c>
      <c r="F50" t="str">
        <f>survey_responses[[#This Row],[Độ tuổi của bạn:]]</f>
        <v>30 - 39</v>
      </c>
      <c r="G50" t="str">
        <f>step3_validation[[#This Row],[Region]]</f>
        <v>Thành thị</v>
      </c>
      <c r="H50" t="str">
        <f>survey_responses[[#This Row],[Khu vực bạn đang sinh sống:]]</f>
        <v>Thành thị</v>
      </c>
      <c r="I50" t="str">
        <f>step3_validation[[#This Row],[Education]]</f>
        <v>Đại học</v>
      </c>
      <c r="J50" t="str">
        <f>survey_responses[[#This Row],[Trình độ học vấn cao nhất:]]</f>
        <v>Đại học</v>
      </c>
      <c r="K50" t="str">
        <f>step3_validation[[#This Row],[Employment]]</f>
        <v>Chính thức</v>
      </c>
      <c r="L50" t="str">
        <f>survey_responses[[#This Row],[Tình trạng việc làm chính:]]</f>
        <v>Khu vực chính thức (Có Hợp đồng lao động, đóng BHXH)</v>
      </c>
      <c r="M50">
        <f>step3_validation[[#This Row],[Income_Mil]]</f>
        <v>191.7935084949938</v>
      </c>
      <c r="N50" t="str">
        <f>survey_responses[[#This Row],[Thu nhập bình quân tháng theo Hợp đồng lao động của bạn là bao nhiêu? (Vui lòng điền tổng thu nhập trước khi khấu trừ các loại Bảo hiểm (BHXH, BHYT, BHTN) và Thuế TNCN)]]</f>
        <v>Trên 102 triệu VNĐ</v>
      </c>
      <c r="O50">
        <f>step3_validation[[#This Row],[Dependents]]</f>
        <v>2</v>
      </c>
      <c r="P50" t="str">
        <f>survey_responses[[#This Row],[Số người phụ thuộc (con nhỏ, cha mẹ già...) đủ điều kiện giảm trừ gia cảnh:]]</f>
        <v>2 người</v>
      </c>
      <c r="Q50">
        <f>step3_validation[[#This Row],[AI_ENF1]]</f>
        <v>6</v>
      </c>
      <c r="R50" t="str">
        <f t="shared" si="0"/>
        <v>Neutral</v>
      </c>
      <c r="S50">
        <f>survey_responses[[#This Row],[Tôi tin rằng với các quy định quản lý thuế hiện nay, hành vi gian lận hoặc trốn thuế sẽ dễ dàng bị phát hiện và xử lý nghiêm. - HUMAN-ENF1]]</f>
        <v>8</v>
      </c>
      <c r="T50" t="str">
        <f t="shared" si="1"/>
        <v>Support</v>
      </c>
      <c r="U50" s="31">
        <f t="shared" si="2"/>
        <v>2</v>
      </c>
      <c r="V50">
        <f>step3_validation[[#This Row],[AI_ENF2]]</f>
        <v>7</v>
      </c>
      <c r="W50" t="str">
        <f t="shared" si="3"/>
        <v>Neutral</v>
      </c>
      <c r="X50">
        <f>survey_responses[[#This Row],[Tôi tin rằng Nhà nước, cơ quan thuế có đủ khả năng và công nghệ để phát hiện, xử lý nghiêm các hành vi trốn thuế. - HUMAN-ENF2]]</f>
        <v>8</v>
      </c>
      <c r="Y50" t="str">
        <f t="shared" si="4"/>
        <v>Support</v>
      </c>
      <c r="Z50" s="31">
        <f t="shared" si="5"/>
        <v>1</v>
      </c>
      <c r="AA50">
        <f>step3_validation[[#This Row],[AI_FAC1]]</f>
        <v>8</v>
      </c>
      <c r="AB50" t="str">
        <f t="shared" si="6"/>
        <v>Support</v>
      </c>
      <c r="AC50">
        <f>survey_responses[[#This Row],[Các thủ tục khai báo thuế VÀ/HOẶC quy trình làm việc với cơ quan thuế đơn giản, tiện lợi, nhanh chóng hơn so với trước đây. - HUMAN-FAC1]]</f>
        <v>7</v>
      </c>
      <c r="AD50" t="str">
        <f t="shared" si="7"/>
        <v>Neutral</v>
      </c>
      <c r="AE50" s="31">
        <f t="shared" si="8"/>
        <v>1</v>
      </c>
      <c r="AF50">
        <f>step3_validation[[#This Row],[AI_FAC2]]</f>
        <v>9</v>
      </c>
      <c r="AG50" t="str">
        <f t="shared" si="9"/>
        <v>Support</v>
      </c>
      <c r="AH50">
        <f>survey_responses[[#This Row],[So với trước đây, tôi thấy cách tính thuế và các bậc thuế trong phương án mới đơn giản, dễ hiểu và dễ thực hiện hơn. - HUMAN-FAC2]]</f>
        <v>8</v>
      </c>
      <c r="AI50" t="str">
        <f t="shared" si="10"/>
        <v>Support</v>
      </c>
      <c r="AJ50" s="31">
        <f t="shared" si="11"/>
        <v>1</v>
      </c>
      <c r="AK50">
        <f>step3_validation[[#This Row],[AI_TRU1]]</f>
        <v>7</v>
      </c>
      <c r="AL50" t="str">
        <f t="shared" si="12"/>
        <v>Neutral</v>
      </c>
      <c r="AM50">
        <f>survey_responses[[#This Row],[Tôi tin rằng Nhà nước, cơ quan thuế sẽ thực thi chính sách mới một cách khách quan, công tâm và đối xử bình đẳng với mọi người nộp thuế.  - HUMAN-TRU1]]</f>
        <v>6</v>
      </c>
      <c r="AN50" t="str">
        <f t="shared" si="13"/>
        <v>Neutral</v>
      </c>
      <c r="AO50" s="31">
        <f t="shared" si="14"/>
        <v>1</v>
      </c>
      <c r="AP50">
        <f>step3_validation[[#This Row],[AI_TRU2]]</f>
        <v>9</v>
      </c>
      <c r="AQ50" t="str">
        <f t="shared" si="15"/>
        <v>Support</v>
      </c>
      <c r="AR50">
        <f>survey_responses[[#This Row],[Tôi thấy mức thuế tôi phải đóng theo phương án mới là công bằng (người thu nhập như tôi đóng mức này là hợp lý). - HUMAN-TRU2]]</f>
        <v>8</v>
      </c>
      <c r="AS50" t="str">
        <f t="shared" si="16"/>
        <v>Support</v>
      </c>
      <c r="AT50" s="31">
        <f t="shared" si="17"/>
        <v>1</v>
      </c>
      <c r="AU50">
        <f>step3_validation[[#This Row],[AI_TRU3]]</f>
        <v>7</v>
      </c>
      <c r="AV50" t="str">
        <f t="shared" si="18"/>
        <v>Neutral</v>
      </c>
      <c r="AW50">
        <f>survey_responses[[#This Row],[Tôi tin tưởng số tiền thuế tôi đóng sẽ được Nhà nước sử dụng hiệu quả để cải thiện dịch vụ công (y tế, đường xá...). - HUMAN-TRU3]]</f>
        <v>6</v>
      </c>
      <c r="AX50" t="str">
        <f t="shared" si="19"/>
        <v>Neutral</v>
      </c>
      <c r="AY50" s="31">
        <f t="shared" si="20"/>
        <v>1</v>
      </c>
      <c r="AZ50">
        <f>step3_validation[[#This Row],[AI_TRU4]]</f>
        <v>6</v>
      </c>
      <c r="BA50" t="str">
        <f t="shared" si="21"/>
        <v>Neutral</v>
      </c>
      <c r="BB50">
        <f>survey_responses[[#This Row],[Tôi thấy Nhà nước đã giải thích rõ ràng, minh bạch về lý do và mục tiêu của việc sửa đổi thuế lần này. - HUMAN-TRU4]]</f>
        <v>5</v>
      </c>
      <c r="BC50" t="str">
        <f t="shared" si="22"/>
        <v>Neutral</v>
      </c>
      <c r="BD50" s="31">
        <f t="shared" si="23"/>
        <v>1</v>
      </c>
      <c r="BE50">
        <f>step3_validation[[#This Row],[AI_OUT1]]</f>
        <v>9</v>
      </c>
      <c r="BF50" t="str">
        <f t="shared" si="24"/>
        <v>Support</v>
      </c>
      <c r="BG50">
        <f>survey_responses[[#This Row],[Sau khi xem xét các quyền lợi và nghĩa vụ, bạn có ủng hộ và tuân thủ chính sách mới hiện nay? - HUMAN-OUT1]]</f>
        <v>8</v>
      </c>
      <c r="BH50" t="str">
        <f t="shared" si="25"/>
        <v>Support</v>
      </c>
      <c r="BI50" s="31">
        <f t="shared" si="26"/>
        <v>1</v>
      </c>
    </row>
    <row r="51" spans="1:61" hidden="1" x14ac:dyDescent="0.45">
      <c r="A51" s="29">
        <f>step3_validation[[#This Row],[Persona_ID]]</f>
        <v>50</v>
      </c>
      <c r="B51" s="30">
        <f>step3_validation[[#This Row],[Used_Seed]]</f>
        <v>91</v>
      </c>
      <c r="C51" t="str">
        <f>step3_validation[[#This Row],[Gender]]</f>
        <v>Nữ</v>
      </c>
      <c r="D51" t="str">
        <f>survey_responses[[#This Row],[Giới tính của bạn:]]</f>
        <v>Nữ</v>
      </c>
      <c r="E51" t="str">
        <f>step3_validation[[#This Row],[Age_Group]]</f>
        <v>30 - 39</v>
      </c>
      <c r="F51" t="str">
        <f>survey_responses[[#This Row],[Độ tuổi của bạn:]]</f>
        <v>30 - 39</v>
      </c>
      <c r="G51" t="str">
        <f>step3_validation[[#This Row],[Region]]</f>
        <v>Thành thị</v>
      </c>
      <c r="H51" t="str">
        <f>survey_responses[[#This Row],[Khu vực bạn đang sinh sống:]]</f>
        <v>Thành thị</v>
      </c>
      <c r="I51" t="str">
        <f>step3_validation[[#This Row],[Education]]</f>
        <v>Đại học</v>
      </c>
      <c r="J51" t="str">
        <f>survey_responses[[#This Row],[Trình độ học vấn cao nhất:]]</f>
        <v>Đại học</v>
      </c>
      <c r="K51" t="str">
        <f>step3_validation[[#This Row],[Employment]]</f>
        <v>Chính thức</v>
      </c>
      <c r="L51" t="str">
        <f>survey_responses[[#This Row],[Tình trạng việc làm chính:]]</f>
        <v>Khu vực chính thức (Có Hợp đồng lao động, đóng BHXH)</v>
      </c>
      <c r="M51">
        <f>step3_validation[[#This Row],[Income_Mil]]</f>
        <v>20.052287499736849</v>
      </c>
      <c r="N51" t="str">
        <f>survey_responses[[#This Row],[Thu nhập bình quân tháng theo Hợp đồng lao động của bạn là bao nhiêu? (Vui lòng điền tổng thu nhập trước khi khấu trừ các loại Bảo hiểm (BHXH, BHYT, BHTN) và Thuế TNCN)]]</f>
        <v>Từ 18 - 23 triệu VNĐ</v>
      </c>
      <c r="O51">
        <f>step3_validation[[#This Row],[Dependents]]</f>
        <v>3</v>
      </c>
      <c r="P51" t="str">
        <f>survey_responses[[#This Row],[Số người phụ thuộc (con nhỏ, cha mẹ già...) đủ điều kiện giảm trừ gia cảnh:]]</f>
        <v>3 người</v>
      </c>
      <c r="Q51">
        <f>step3_validation[[#This Row],[AI_ENF1]]</f>
        <v>7</v>
      </c>
      <c r="R51" t="str">
        <f t="shared" si="0"/>
        <v>Neutral</v>
      </c>
      <c r="S51">
        <f>survey_responses[[#This Row],[Tôi tin rằng với các quy định quản lý thuế hiện nay, hành vi gian lận hoặc trốn thuế sẽ dễ dàng bị phát hiện và xử lý nghiêm. - HUMAN-ENF1]]</f>
        <v>10</v>
      </c>
      <c r="T51" t="str">
        <f t="shared" si="1"/>
        <v>Support</v>
      </c>
      <c r="U51" s="31">
        <f t="shared" si="2"/>
        <v>3</v>
      </c>
      <c r="V51">
        <f>step3_validation[[#This Row],[AI_ENF2]]</f>
        <v>7</v>
      </c>
      <c r="W51" t="str">
        <f t="shared" si="3"/>
        <v>Neutral</v>
      </c>
      <c r="X51">
        <f>survey_responses[[#This Row],[Tôi tin rằng Nhà nước, cơ quan thuế có đủ khả năng và công nghệ để phát hiện, xử lý nghiêm các hành vi trốn thuế. - HUMAN-ENF2]]</f>
        <v>10</v>
      </c>
      <c r="Y51" t="str">
        <f t="shared" si="4"/>
        <v>Support</v>
      </c>
      <c r="Z51" s="31">
        <f t="shared" si="5"/>
        <v>3</v>
      </c>
      <c r="AA51">
        <f>step3_validation[[#This Row],[AI_FAC1]]</f>
        <v>8</v>
      </c>
      <c r="AB51" t="str">
        <f t="shared" si="6"/>
        <v>Support</v>
      </c>
      <c r="AC51">
        <f>survey_responses[[#This Row],[Các thủ tục khai báo thuế VÀ/HOẶC quy trình làm việc với cơ quan thuế đơn giản, tiện lợi, nhanh chóng hơn so với trước đây. - HUMAN-FAC1]]</f>
        <v>10</v>
      </c>
      <c r="AD51" t="str">
        <f t="shared" si="7"/>
        <v>Support</v>
      </c>
      <c r="AE51" s="31">
        <f t="shared" si="8"/>
        <v>2</v>
      </c>
      <c r="AF51">
        <f>step3_validation[[#This Row],[AI_FAC2]]</f>
        <v>7</v>
      </c>
      <c r="AG51" t="str">
        <f t="shared" si="9"/>
        <v>Neutral</v>
      </c>
      <c r="AH51">
        <f>survey_responses[[#This Row],[So với trước đây, tôi thấy cách tính thuế và các bậc thuế trong phương án mới đơn giản, dễ hiểu và dễ thực hiện hơn. - HUMAN-FAC2]]</f>
        <v>8</v>
      </c>
      <c r="AI51" t="str">
        <f t="shared" si="10"/>
        <v>Support</v>
      </c>
      <c r="AJ51" s="31">
        <f t="shared" si="11"/>
        <v>1</v>
      </c>
      <c r="AK51">
        <f>step3_validation[[#This Row],[AI_TRU1]]</f>
        <v>9</v>
      </c>
      <c r="AL51" t="str">
        <f t="shared" si="12"/>
        <v>Support</v>
      </c>
      <c r="AM51">
        <f>survey_responses[[#This Row],[Tôi tin rằng Nhà nước, cơ quan thuế sẽ thực thi chính sách mới một cách khách quan, công tâm và đối xử bình đẳng với mọi người nộp thuế.  - HUMAN-TRU1]]</f>
        <v>8</v>
      </c>
      <c r="AN51" t="str">
        <f t="shared" si="13"/>
        <v>Support</v>
      </c>
      <c r="AO51" s="31">
        <f t="shared" si="14"/>
        <v>1</v>
      </c>
      <c r="AP51">
        <f>step3_validation[[#This Row],[AI_TRU2]]</f>
        <v>9</v>
      </c>
      <c r="AQ51" t="str">
        <f t="shared" si="15"/>
        <v>Support</v>
      </c>
      <c r="AR51">
        <f>survey_responses[[#This Row],[Tôi thấy mức thuế tôi phải đóng theo phương án mới là công bằng (người thu nhập như tôi đóng mức này là hợp lý). - HUMAN-TRU2]]</f>
        <v>8</v>
      </c>
      <c r="AS51" t="str">
        <f t="shared" si="16"/>
        <v>Support</v>
      </c>
      <c r="AT51" s="31">
        <f t="shared" si="17"/>
        <v>1</v>
      </c>
      <c r="AU51">
        <f>step3_validation[[#This Row],[AI_TRU3]]</f>
        <v>8</v>
      </c>
      <c r="AV51" t="str">
        <f t="shared" si="18"/>
        <v>Support</v>
      </c>
      <c r="AW51">
        <f>survey_responses[[#This Row],[Tôi tin tưởng số tiền thuế tôi đóng sẽ được Nhà nước sử dụng hiệu quả để cải thiện dịch vụ công (y tế, đường xá...). - HUMAN-TRU3]]</f>
        <v>8</v>
      </c>
      <c r="AX51" t="str">
        <f t="shared" si="19"/>
        <v>Support</v>
      </c>
      <c r="AY51" s="31">
        <f t="shared" si="20"/>
        <v>0</v>
      </c>
      <c r="AZ51">
        <f>step3_validation[[#This Row],[AI_TRU4]]</f>
        <v>7</v>
      </c>
      <c r="BA51" t="str">
        <f t="shared" si="21"/>
        <v>Neutral</v>
      </c>
      <c r="BB51">
        <f>survey_responses[[#This Row],[Tôi thấy Nhà nước đã giải thích rõ ràng, minh bạch về lý do và mục tiêu của việc sửa đổi thuế lần này. - HUMAN-TRU4]]</f>
        <v>8</v>
      </c>
      <c r="BC51" t="str">
        <f t="shared" si="22"/>
        <v>Support</v>
      </c>
      <c r="BD51" s="31">
        <f t="shared" si="23"/>
        <v>1</v>
      </c>
      <c r="BE51">
        <f>step3_validation[[#This Row],[AI_OUT1]]</f>
        <v>9</v>
      </c>
      <c r="BF51" t="str">
        <f t="shared" si="24"/>
        <v>Support</v>
      </c>
      <c r="BG51">
        <f>survey_responses[[#This Row],[Sau khi xem xét các quyền lợi và nghĩa vụ, bạn có ủng hộ và tuân thủ chính sách mới hiện nay? - HUMAN-OUT1]]</f>
        <v>8</v>
      </c>
      <c r="BH51" t="str">
        <f t="shared" si="25"/>
        <v>Support</v>
      </c>
      <c r="BI51" s="31">
        <f t="shared" si="26"/>
        <v>1</v>
      </c>
    </row>
    <row r="52" spans="1:61" hidden="1" x14ac:dyDescent="0.45">
      <c r="A52" s="29">
        <f>step3_validation[[#This Row],[Persona_ID]]</f>
        <v>51</v>
      </c>
      <c r="B52" s="30">
        <f>step3_validation[[#This Row],[Used_Seed]]</f>
        <v>92</v>
      </c>
      <c r="C52" t="str">
        <f>step3_validation[[#This Row],[Gender]]</f>
        <v>Nam</v>
      </c>
      <c r="D52" t="str">
        <f>survey_responses[[#This Row],[Giới tính của bạn:]]</f>
        <v>Nam</v>
      </c>
      <c r="E52" t="str">
        <f>step3_validation[[#This Row],[Age_Group]]</f>
        <v>25 - 29</v>
      </c>
      <c r="F52" t="str">
        <f>survey_responses[[#This Row],[Độ tuổi của bạn:]]</f>
        <v>25 - 29</v>
      </c>
      <c r="G52" t="str">
        <f>step3_validation[[#This Row],[Region]]</f>
        <v>Thành thị</v>
      </c>
      <c r="H52" t="str">
        <f>survey_responses[[#This Row],[Khu vực bạn đang sinh sống:]]</f>
        <v>Thành thị</v>
      </c>
      <c r="I52" t="str">
        <f>step3_validation[[#This Row],[Education]]</f>
        <v>Đại học</v>
      </c>
      <c r="J52" t="str">
        <f>survey_responses[[#This Row],[Trình độ học vấn cao nhất:]]</f>
        <v>Đại học</v>
      </c>
      <c r="K52" t="str">
        <f>step3_validation[[#This Row],[Employment]]</f>
        <v>Chính thức</v>
      </c>
      <c r="L52" t="str">
        <f>survey_responses[[#This Row],[Tình trạng việc làm chính:]]</f>
        <v>Khu vực chính thức (Có Hợp đồng lao động, đóng BHXH)</v>
      </c>
      <c r="M52">
        <f>step3_validation[[#This Row],[Income_Mil]]</f>
        <v>13.569827545687007</v>
      </c>
      <c r="N52" t="str">
        <f>survey_responses[[#This Row],[Thu nhập bình quân tháng theo Hợp đồng lao động của bạn là bao nhiêu? (Vui lòng điền tổng thu nhập trước khi khấu trừ các loại Bảo hiểm (BHXH, BHYT, BHTN) và Thuế TNCN)]]</f>
        <v>Từ 12 - 18 triệu VNĐ</v>
      </c>
      <c r="O52">
        <f>step3_validation[[#This Row],[Dependents]]</f>
        <v>0</v>
      </c>
      <c r="P52" t="str">
        <f>survey_responses[[#This Row],[Số người phụ thuộc (con nhỏ, cha mẹ già...) đủ điều kiện giảm trừ gia cảnh:]]</f>
        <v>0 người</v>
      </c>
      <c r="Q52">
        <f>step3_validation[[#This Row],[AI_ENF1]]</f>
        <v>7</v>
      </c>
      <c r="R52" t="str">
        <f t="shared" si="0"/>
        <v>Neutral</v>
      </c>
      <c r="S52">
        <f>survey_responses[[#This Row],[Tôi tin rằng với các quy định quản lý thuế hiện nay, hành vi gian lận hoặc trốn thuế sẽ dễ dàng bị phát hiện và xử lý nghiêm. - HUMAN-ENF1]]</f>
        <v>10</v>
      </c>
      <c r="T52" t="str">
        <f t="shared" si="1"/>
        <v>Support</v>
      </c>
      <c r="U52" s="31">
        <f t="shared" si="2"/>
        <v>3</v>
      </c>
      <c r="V52">
        <f>step3_validation[[#This Row],[AI_ENF2]]</f>
        <v>8</v>
      </c>
      <c r="W52" t="str">
        <f t="shared" si="3"/>
        <v>Support</v>
      </c>
      <c r="X52">
        <f>survey_responses[[#This Row],[Tôi tin rằng Nhà nước, cơ quan thuế có đủ khả năng và công nghệ để phát hiện, xử lý nghiêm các hành vi trốn thuế. - HUMAN-ENF2]]</f>
        <v>10</v>
      </c>
      <c r="Y52" t="str">
        <f t="shared" si="4"/>
        <v>Support</v>
      </c>
      <c r="Z52" s="31">
        <f t="shared" si="5"/>
        <v>2</v>
      </c>
      <c r="AA52">
        <f>step3_validation[[#This Row],[AI_FAC1]]</f>
        <v>6</v>
      </c>
      <c r="AB52" t="str">
        <f t="shared" si="6"/>
        <v>Neutral</v>
      </c>
      <c r="AC52">
        <f>survey_responses[[#This Row],[Các thủ tục khai báo thuế VÀ/HOẶC quy trình làm việc với cơ quan thuế đơn giản, tiện lợi, nhanh chóng hơn so với trước đây. - HUMAN-FAC1]]</f>
        <v>10</v>
      </c>
      <c r="AD52" t="str">
        <f t="shared" si="7"/>
        <v>Support</v>
      </c>
      <c r="AE52" s="31">
        <f t="shared" si="8"/>
        <v>4</v>
      </c>
      <c r="AF52">
        <f>step3_validation[[#This Row],[AI_FAC2]]</f>
        <v>9</v>
      </c>
      <c r="AG52" t="str">
        <f t="shared" si="9"/>
        <v>Support</v>
      </c>
      <c r="AH52">
        <f>survey_responses[[#This Row],[So với trước đây, tôi thấy cách tính thuế và các bậc thuế trong phương án mới đơn giản, dễ hiểu và dễ thực hiện hơn. - HUMAN-FAC2]]</f>
        <v>10</v>
      </c>
      <c r="AI52" t="str">
        <f t="shared" si="10"/>
        <v>Support</v>
      </c>
      <c r="AJ52" s="31">
        <f t="shared" si="11"/>
        <v>1</v>
      </c>
      <c r="AK52">
        <f>step3_validation[[#This Row],[AI_TRU1]]</f>
        <v>8</v>
      </c>
      <c r="AL52" t="str">
        <f t="shared" si="12"/>
        <v>Support</v>
      </c>
      <c r="AM52">
        <f>survey_responses[[#This Row],[Tôi tin rằng Nhà nước, cơ quan thuế sẽ thực thi chính sách mới một cách khách quan, công tâm và đối xử bình đẳng với mọi người nộp thuế.  - HUMAN-TRU1]]</f>
        <v>10</v>
      </c>
      <c r="AN52" t="str">
        <f t="shared" si="13"/>
        <v>Support</v>
      </c>
      <c r="AO52" s="31">
        <f t="shared" si="14"/>
        <v>2</v>
      </c>
      <c r="AP52">
        <f>step3_validation[[#This Row],[AI_TRU2]]</f>
        <v>9</v>
      </c>
      <c r="AQ52" t="str">
        <f t="shared" si="15"/>
        <v>Support</v>
      </c>
      <c r="AR52">
        <f>survey_responses[[#This Row],[Tôi thấy mức thuế tôi phải đóng theo phương án mới là công bằng (người thu nhập như tôi đóng mức này là hợp lý). - HUMAN-TRU2]]</f>
        <v>10</v>
      </c>
      <c r="AS52" t="str">
        <f t="shared" si="16"/>
        <v>Support</v>
      </c>
      <c r="AT52" s="31">
        <f t="shared" si="17"/>
        <v>1</v>
      </c>
      <c r="AU52">
        <f>step3_validation[[#This Row],[AI_TRU3]]</f>
        <v>8</v>
      </c>
      <c r="AV52" t="str">
        <f t="shared" si="18"/>
        <v>Support</v>
      </c>
      <c r="AW52">
        <f>survey_responses[[#This Row],[Tôi tin tưởng số tiền thuế tôi đóng sẽ được Nhà nước sử dụng hiệu quả để cải thiện dịch vụ công (y tế, đường xá...). - HUMAN-TRU3]]</f>
        <v>10</v>
      </c>
      <c r="AX52" t="str">
        <f t="shared" si="19"/>
        <v>Support</v>
      </c>
      <c r="AY52" s="31">
        <f t="shared" si="20"/>
        <v>2</v>
      </c>
      <c r="AZ52">
        <f>step3_validation[[#This Row],[AI_TRU4]]</f>
        <v>9</v>
      </c>
      <c r="BA52" t="str">
        <f t="shared" si="21"/>
        <v>Support</v>
      </c>
      <c r="BB52">
        <f>survey_responses[[#This Row],[Tôi thấy Nhà nước đã giải thích rõ ràng, minh bạch về lý do và mục tiêu của việc sửa đổi thuế lần này. - HUMAN-TRU4]]</f>
        <v>10</v>
      </c>
      <c r="BC52" t="str">
        <f t="shared" si="22"/>
        <v>Support</v>
      </c>
      <c r="BD52" s="31">
        <f t="shared" si="23"/>
        <v>1</v>
      </c>
      <c r="BE52">
        <f>step3_validation[[#This Row],[AI_OUT1]]</f>
        <v>10</v>
      </c>
      <c r="BF52" t="str">
        <f t="shared" si="24"/>
        <v>Support</v>
      </c>
      <c r="BG52">
        <f>survey_responses[[#This Row],[Sau khi xem xét các quyền lợi và nghĩa vụ, bạn có ủng hộ và tuân thủ chính sách mới hiện nay? - HUMAN-OUT1]]</f>
        <v>10</v>
      </c>
      <c r="BH52" t="str">
        <f t="shared" si="25"/>
        <v>Support</v>
      </c>
      <c r="BI52" s="31">
        <f t="shared" si="26"/>
        <v>0</v>
      </c>
    </row>
    <row r="53" spans="1:61" hidden="1" x14ac:dyDescent="0.45">
      <c r="A53" s="29">
        <f>step3_validation[[#This Row],[Persona_ID]]</f>
        <v>52</v>
      </c>
      <c r="B53" s="30">
        <f>step3_validation[[#This Row],[Used_Seed]]</f>
        <v>93</v>
      </c>
      <c r="C53" t="str">
        <f>step3_validation[[#This Row],[Gender]]</f>
        <v>Nữ</v>
      </c>
      <c r="D53" t="str">
        <f>survey_responses[[#This Row],[Giới tính của bạn:]]</f>
        <v>Nữ</v>
      </c>
      <c r="E53" t="str">
        <f>step3_validation[[#This Row],[Age_Group]]</f>
        <v>25 - 29</v>
      </c>
      <c r="F53" t="str">
        <f>survey_responses[[#This Row],[Độ tuổi của bạn:]]</f>
        <v>25 - 29</v>
      </c>
      <c r="G53" t="str">
        <f>step3_validation[[#This Row],[Region]]</f>
        <v>Thành thị</v>
      </c>
      <c r="H53" t="str">
        <f>survey_responses[[#This Row],[Khu vực bạn đang sinh sống:]]</f>
        <v>Thành thị</v>
      </c>
      <c r="I53" t="str">
        <f>step3_validation[[#This Row],[Education]]</f>
        <v>Đại học</v>
      </c>
      <c r="J53" t="str">
        <f>survey_responses[[#This Row],[Trình độ học vấn cao nhất:]]</f>
        <v>Đại học</v>
      </c>
      <c r="K53" t="str">
        <f>step3_validation[[#This Row],[Employment]]</f>
        <v>Chính thức</v>
      </c>
      <c r="L53" t="str">
        <f>survey_responses[[#This Row],[Tình trạng việc làm chính:]]</f>
        <v>Khu vực chính thức (Có Hợp đồng lao động, đóng BHXH)</v>
      </c>
      <c r="M53">
        <f>step3_validation[[#This Row],[Income_Mil]]</f>
        <v>20.75462224322278</v>
      </c>
      <c r="N53" t="str">
        <f>survey_responses[[#This Row],[Thu nhập bình quân tháng theo Hợp đồng lao động của bạn là bao nhiêu? (Vui lòng điền tổng thu nhập trước khi khấu trừ các loại Bảo hiểm (BHXH, BHYT, BHTN) và Thuế TNCN)]]</f>
        <v>Từ 18 - 23 triệu VNĐ</v>
      </c>
      <c r="O53">
        <f>step3_validation[[#This Row],[Dependents]]</f>
        <v>1</v>
      </c>
      <c r="P53" t="str">
        <f>survey_responses[[#This Row],[Số người phụ thuộc (con nhỏ, cha mẹ già...) đủ điều kiện giảm trừ gia cảnh:]]</f>
        <v>1 người</v>
      </c>
      <c r="Q53">
        <f>step3_validation[[#This Row],[AI_ENF1]]</f>
        <v>7</v>
      </c>
      <c r="R53" t="str">
        <f t="shared" si="0"/>
        <v>Neutral</v>
      </c>
      <c r="S53">
        <f>survey_responses[[#This Row],[Tôi tin rằng với các quy định quản lý thuế hiện nay, hành vi gian lận hoặc trốn thuế sẽ dễ dàng bị phát hiện và xử lý nghiêm. - HUMAN-ENF1]]</f>
        <v>10</v>
      </c>
      <c r="T53" t="str">
        <f t="shared" si="1"/>
        <v>Support</v>
      </c>
      <c r="U53" s="31">
        <f t="shared" si="2"/>
        <v>3</v>
      </c>
      <c r="V53">
        <f>step3_validation[[#This Row],[AI_ENF2]]</f>
        <v>6</v>
      </c>
      <c r="W53" t="str">
        <f t="shared" si="3"/>
        <v>Neutral</v>
      </c>
      <c r="X53">
        <f>survey_responses[[#This Row],[Tôi tin rằng Nhà nước, cơ quan thuế có đủ khả năng và công nghệ để phát hiện, xử lý nghiêm các hành vi trốn thuế. - HUMAN-ENF2]]</f>
        <v>10</v>
      </c>
      <c r="Y53" t="str">
        <f t="shared" si="4"/>
        <v>Support</v>
      </c>
      <c r="Z53" s="31">
        <f t="shared" si="5"/>
        <v>4</v>
      </c>
      <c r="AA53">
        <f>step3_validation[[#This Row],[AI_FAC1]]</f>
        <v>8</v>
      </c>
      <c r="AB53" t="str">
        <f t="shared" si="6"/>
        <v>Support</v>
      </c>
      <c r="AC53">
        <f>survey_responses[[#This Row],[Các thủ tục khai báo thuế VÀ/HOẶC quy trình làm việc với cơ quan thuế đơn giản, tiện lợi, nhanh chóng hơn so với trước đây. - HUMAN-FAC1]]</f>
        <v>10</v>
      </c>
      <c r="AD53" t="str">
        <f t="shared" si="7"/>
        <v>Support</v>
      </c>
      <c r="AE53" s="31">
        <f t="shared" si="8"/>
        <v>2</v>
      </c>
      <c r="AF53">
        <f>step3_validation[[#This Row],[AI_FAC2]]</f>
        <v>9</v>
      </c>
      <c r="AG53" t="str">
        <f t="shared" si="9"/>
        <v>Support</v>
      </c>
      <c r="AH53">
        <f>survey_responses[[#This Row],[So với trước đây, tôi thấy cách tính thuế và các bậc thuế trong phương án mới đơn giản, dễ hiểu và dễ thực hiện hơn. - HUMAN-FAC2]]</f>
        <v>10</v>
      </c>
      <c r="AI53" t="str">
        <f t="shared" si="10"/>
        <v>Support</v>
      </c>
      <c r="AJ53" s="31">
        <f t="shared" si="11"/>
        <v>1</v>
      </c>
      <c r="AK53">
        <f>step3_validation[[#This Row],[AI_TRU1]]</f>
        <v>7</v>
      </c>
      <c r="AL53" t="str">
        <f t="shared" si="12"/>
        <v>Neutral</v>
      </c>
      <c r="AM53">
        <f>survey_responses[[#This Row],[Tôi tin rằng Nhà nước, cơ quan thuế sẽ thực thi chính sách mới một cách khách quan, công tâm và đối xử bình đẳng với mọi người nộp thuế.  - HUMAN-TRU1]]</f>
        <v>10</v>
      </c>
      <c r="AN53" t="str">
        <f t="shared" si="13"/>
        <v>Support</v>
      </c>
      <c r="AO53" s="31">
        <f t="shared" si="14"/>
        <v>3</v>
      </c>
      <c r="AP53">
        <f>step3_validation[[#This Row],[AI_TRU2]]</f>
        <v>8</v>
      </c>
      <c r="AQ53" t="str">
        <f t="shared" si="15"/>
        <v>Support</v>
      </c>
      <c r="AR53">
        <f>survey_responses[[#This Row],[Tôi thấy mức thuế tôi phải đóng theo phương án mới là công bằng (người thu nhập như tôi đóng mức này là hợp lý). - HUMAN-TRU2]]</f>
        <v>10</v>
      </c>
      <c r="AS53" t="str">
        <f t="shared" si="16"/>
        <v>Support</v>
      </c>
      <c r="AT53" s="31">
        <f t="shared" si="17"/>
        <v>2</v>
      </c>
      <c r="AU53">
        <f>step3_validation[[#This Row],[AI_TRU3]]</f>
        <v>7</v>
      </c>
      <c r="AV53" t="str">
        <f t="shared" si="18"/>
        <v>Neutral</v>
      </c>
      <c r="AW53">
        <f>survey_responses[[#This Row],[Tôi tin tưởng số tiền thuế tôi đóng sẽ được Nhà nước sử dụng hiệu quả để cải thiện dịch vụ công (y tế, đường xá...). - HUMAN-TRU3]]</f>
        <v>10</v>
      </c>
      <c r="AX53" t="str">
        <f t="shared" si="19"/>
        <v>Support</v>
      </c>
      <c r="AY53" s="31">
        <f t="shared" si="20"/>
        <v>3</v>
      </c>
      <c r="AZ53">
        <f>step3_validation[[#This Row],[AI_TRU4]]</f>
        <v>6</v>
      </c>
      <c r="BA53" t="str">
        <f t="shared" si="21"/>
        <v>Neutral</v>
      </c>
      <c r="BB53">
        <f>survey_responses[[#This Row],[Tôi thấy Nhà nước đã giải thích rõ ràng, minh bạch về lý do và mục tiêu của việc sửa đổi thuế lần này. - HUMAN-TRU4]]</f>
        <v>10</v>
      </c>
      <c r="BC53" t="str">
        <f t="shared" si="22"/>
        <v>Support</v>
      </c>
      <c r="BD53" s="31">
        <f t="shared" si="23"/>
        <v>4</v>
      </c>
      <c r="BE53">
        <f>step3_validation[[#This Row],[AI_OUT1]]</f>
        <v>9</v>
      </c>
      <c r="BF53" t="str">
        <f t="shared" si="24"/>
        <v>Support</v>
      </c>
      <c r="BG53">
        <f>survey_responses[[#This Row],[Sau khi xem xét các quyền lợi và nghĩa vụ, bạn có ủng hộ và tuân thủ chính sách mới hiện nay? - HUMAN-OUT1]]</f>
        <v>8</v>
      </c>
      <c r="BH53" t="str">
        <f t="shared" si="25"/>
        <v>Support</v>
      </c>
      <c r="BI53" s="31">
        <f t="shared" si="26"/>
        <v>1</v>
      </c>
    </row>
    <row r="54" spans="1:61" hidden="1" x14ac:dyDescent="0.45">
      <c r="A54" s="29">
        <f>step3_validation[[#This Row],[Persona_ID]]</f>
        <v>53</v>
      </c>
      <c r="B54" s="30">
        <f>step3_validation[[#This Row],[Used_Seed]]</f>
        <v>94</v>
      </c>
      <c r="C54" t="str">
        <f>step3_validation[[#This Row],[Gender]]</f>
        <v>Nam</v>
      </c>
      <c r="D54" t="str">
        <f>survey_responses[[#This Row],[Giới tính của bạn:]]</f>
        <v>Nam</v>
      </c>
      <c r="E54" t="str">
        <f>step3_validation[[#This Row],[Age_Group]]</f>
        <v>25 - 29</v>
      </c>
      <c r="F54" t="str">
        <f>survey_responses[[#This Row],[Độ tuổi của bạn:]]</f>
        <v>25 - 29</v>
      </c>
      <c r="G54" t="str">
        <f>step3_validation[[#This Row],[Region]]</f>
        <v>Thành thị</v>
      </c>
      <c r="H54" t="str">
        <f>survey_responses[[#This Row],[Khu vực bạn đang sinh sống:]]</f>
        <v>Thành thị</v>
      </c>
      <c r="I54" t="str">
        <f>step3_validation[[#This Row],[Education]]</f>
        <v>Sau Đại học</v>
      </c>
      <c r="J54" t="str">
        <f>survey_responses[[#This Row],[Trình độ học vấn cao nhất:]]</f>
        <v>Sau Đại học</v>
      </c>
      <c r="K54" t="str">
        <f>step3_validation[[#This Row],[Employment]]</f>
        <v>Chính thức</v>
      </c>
      <c r="L54" t="str">
        <f>survey_responses[[#This Row],[Tình trạng việc làm chính:]]</f>
        <v>Khu vực chính thức (Có Hợp đồng lao động, đóng BHXH)</v>
      </c>
      <c r="M54">
        <f>step3_validation[[#This Row],[Income_Mil]]</f>
        <v>12.983243945131914</v>
      </c>
      <c r="N54" t="str">
        <f>survey_responses[[#This Row],[Thu nhập bình quân tháng theo Hợp đồng lao động của bạn là bao nhiêu? (Vui lòng điền tổng thu nhập trước khi khấu trừ các loại Bảo hiểm (BHXH, BHYT, BHTN) và Thuế TNCN)]]</f>
        <v>Từ 12 - 18 triệu VNĐ</v>
      </c>
      <c r="O54">
        <f>step3_validation[[#This Row],[Dependents]]</f>
        <v>2</v>
      </c>
      <c r="P54" t="str">
        <f>survey_responses[[#This Row],[Số người phụ thuộc (con nhỏ, cha mẹ già...) đủ điều kiện giảm trừ gia cảnh:]]</f>
        <v>2 người</v>
      </c>
      <c r="Q54">
        <f>step3_validation[[#This Row],[AI_ENF1]]</f>
        <v>8</v>
      </c>
      <c r="R54" t="str">
        <f t="shared" si="0"/>
        <v>Support</v>
      </c>
      <c r="S54">
        <f>survey_responses[[#This Row],[Tôi tin rằng với các quy định quản lý thuế hiện nay, hành vi gian lận hoặc trốn thuế sẽ dễ dàng bị phát hiện và xử lý nghiêm. - HUMAN-ENF1]]</f>
        <v>10</v>
      </c>
      <c r="T54" t="str">
        <f t="shared" si="1"/>
        <v>Support</v>
      </c>
      <c r="U54" s="31">
        <f t="shared" si="2"/>
        <v>2</v>
      </c>
      <c r="V54">
        <f>step3_validation[[#This Row],[AI_ENF2]]</f>
        <v>9</v>
      </c>
      <c r="W54" t="str">
        <f t="shared" si="3"/>
        <v>Support</v>
      </c>
      <c r="X54">
        <f>survey_responses[[#This Row],[Tôi tin rằng Nhà nước, cơ quan thuế có đủ khả năng và công nghệ để phát hiện, xử lý nghiêm các hành vi trốn thuế. - HUMAN-ENF2]]</f>
        <v>10</v>
      </c>
      <c r="Y54" t="str">
        <f t="shared" si="4"/>
        <v>Support</v>
      </c>
      <c r="Z54" s="31">
        <f t="shared" si="5"/>
        <v>1</v>
      </c>
      <c r="AA54">
        <f>step3_validation[[#This Row],[AI_FAC1]]</f>
        <v>8</v>
      </c>
      <c r="AB54" t="str">
        <f t="shared" si="6"/>
        <v>Support</v>
      </c>
      <c r="AC54">
        <f>survey_responses[[#This Row],[Các thủ tục khai báo thuế VÀ/HOẶC quy trình làm việc với cơ quan thuế đơn giản, tiện lợi, nhanh chóng hơn so với trước đây. - HUMAN-FAC1]]</f>
        <v>10</v>
      </c>
      <c r="AD54" t="str">
        <f t="shared" si="7"/>
        <v>Support</v>
      </c>
      <c r="AE54" s="31">
        <f t="shared" si="8"/>
        <v>2</v>
      </c>
      <c r="AF54">
        <f>step3_validation[[#This Row],[AI_FAC2]]</f>
        <v>9</v>
      </c>
      <c r="AG54" t="str">
        <f t="shared" si="9"/>
        <v>Support</v>
      </c>
      <c r="AH54">
        <f>survey_responses[[#This Row],[So với trước đây, tôi thấy cách tính thuế và các bậc thuế trong phương án mới đơn giản, dễ hiểu và dễ thực hiện hơn. - HUMAN-FAC2]]</f>
        <v>10</v>
      </c>
      <c r="AI54" t="str">
        <f t="shared" si="10"/>
        <v>Support</v>
      </c>
      <c r="AJ54" s="31">
        <f t="shared" si="11"/>
        <v>1</v>
      </c>
      <c r="AK54">
        <f>step3_validation[[#This Row],[AI_TRU1]]</f>
        <v>8</v>
      </c>
      <c r="AL54" t="str">
        <f t="shared" si="12"/>
        <v>Support</v>
      </c>
      <c r="AM54">
        <f>survey_responses[[#This Row],[Tôi tin rằng Nhà nước, cơ quan thuế sẽ thực thi chính sách mới một cách khách quan, công tâm và đối xử bình đẳng với mọi người nộp thuế.  - HUMAN-TRU1]]</f>
        <v>10</v>
      </c>
      <c r="AN54" t="str">
        <f t="shared" si="13"/>
        <v>Support</v>
      </c>
      <c r="AO54" s="31">
        <f t="shared" si="14"/>
        <v>2</v>
      </c>
      <c r="AP54">
        <f>step3_validation[[#This Row],[AI_TRU2]]</f>
        <v>9</v>
      </c>
      <c r="AQ54" t="str">
        <f t="shared" si="15"/>
        <v>Support</v>
      </c>
      <c r="AR54">
        <f>survey_responses[[#This Row],[Tôi thấy mức thuế tôi phải đóng theo phương án mới là công bằng (người thu nhập như tôi đóng mức này là hợp lý). - HUMAN-TRU2]]</f>
        <v>10</v>
      </c>
      <c r="AS54" t="str">
        <f t="shared" si="16"/>
        <v>Support</v>
      </c>
      <c r="AT54" s="31">
        <f t="shared" si="17"/>
        <v>1</v>
      </c>
      <c r="AU54">
        <f>step3_validation[[#This Row],[AI_TRU3]]</f>
        <v>8</v>
      </c>
      <c r="AV54" t="str">
        <f t="shared" si="18"/>
        <v>Support</v>
      </c>
      <c r="AW54">
        <f>survey_responses[[#This Row],[Tôi tin tưởng số tiền thuế tôi đóng sẽ được Nhà nước sử dụng hiệu quả để cải thiện dịch vụ công (y tế, đường xá...). - HUMAN-TRU3]]</f>
        <v>10</v>
      </c>
      <c r="AX54" t="str">
        <f t="shared" si="19"/>
        <v>Support</v>
      </c>
      <c r="AY54" s="31">
        <f t="shared" si="20"/>
        <v>2</v>
      </c>
      <c r="AZ54">
        <f>step3_validation[[#This Row],[AI_TRU4]]</f>
        <v>9</v>
      </c>
      <c r="BA54" t="str">
        <f t="shared" si="21"/>
        <v>Support</v>
      </c>
      <c r="BB54">
        <f>survey_responses[[#This Row],[Tôi thấy Nhà nước đã giải thích rõ ràng, minh bạch về lý do và mục tiêu của việc sửa đổi thuế lần này. - HUMAN-TRU4]]</f>
        <v>10</v>
      </c>
      <c r="BC54" t="str">
        <f t="shared" si="22"/>
        <v>Support</v>
      </c>
      <c r="BD54" s="31">
        <f t="shared" si="23"/>
        <v>1</v>
      </c>
      <c r="BE54">
        <f>step3_validation[[#This Row],[AI_OUT1]]</f>
        <v>9</v>
      </c>
      <c r="BF54" t="str">
        <f t="shared" si="24"/>
        <v>Support</v>
      </c>
      <c r="BG54">
        <f>survey_responses[[#This Row],[Sau khi xem xét các quyền lợi và nghĩa vụ, bạn có ủng hộ và tuân thủ chính sách mới hiện nay? - HUMAN-OUT1]]</f>
        <v>10</v>
      </c>
      <c r="BH54" t="str">
        <f t="shared" si="25"/>
        <v>Support</v>
      </c>
      <c r="BI54" s="31">
        <f t="shared" si="26"/>
        <v>1</v>
      </c>
    </row>
    <row r="55" spans="1:61" hidden="1" x14ac:dyDescent="0.45">
      <c r="A55" s="29">
        <f>step3_validation[[#This Row],[Persona_ID]]</f>
        <v>54</v>
      </c>
      <c r="B55" s="30">
        <f>step3_validation[[#This Row],[Used_Seed]]</f>
        <v>95</v>
      </c>
      <c r="C55" t="str">
        <f>step3_validation[[#This Row],[Gender]]</f>
        <v>Nữ</v>
      </c>
      <c r="D55" t="str">
        <f>survey_responses[[#This Row],[Giới tính của bạn:]]</f>
        <v>Nữ</v>
      </c>
      <c r="E55" t="str">
        <f>step3_validation[[#This Row],[Age_Group]]</f>
        <v>40 - 49</v>
      </c>
      <c r="F55" t="str">
        <f>survey_responses[[#This Row],[Độ tuổi của bạn:]]</f>
        <v>40 - 49</v>
      </c>
      <c r="G55" t="str">
        <f>step3_validation[[#This Row],[Region]]</f>
        <v>Thành thị</v>
      </c>
      <c r="H55" t="str">
        <f>survey_responses[[#This Row],[Khu vực bạn đang sinh sống:]]</f>
        <v>Thành thị</v>
      </c>
      <c r="I55" t="str">
        <f>step3_validation[[#This Row],[Education]]</f>
        <v>Đại học</v>
      </c>
      <c r="J55" t="str">
        <f>survey_responses[[#This Row],[Trình độ học vấn cao nhất:]]</f>
        <v>Đại học</v>
      </c>
      <c r="K55" t="str">
        <f>step3_validation[[#This Row],[Employment]]</f>
        <v>Chính thức</v>
      </c>
      <c r="L55" t="str">
        <f>survey_responses[[#This Row],[Tình trạng việc làm chính:]]</f>
        <v>Khu vực chính thức (Có Hợp đồng lao động, đóng BHXH)</v>
      </c>
      <c r="M55">
        <f>step3_validation[[#This Row],[Income_Mil]]</f>
        <v>35.681028915547671</v>
      </c>
      <c r="N55" t="str">
        <f>survey_responses[[#This Row],[Thu nhập bình quân tháng theo Hợp đồng lao động của bạn là bao nhiêu? (Vui lòng điền tổng thu nhập trước khi khấu trừ các loại Bảo hiểm (BHXH, BHYT, BHTN) và Thuế TNCN)]]</f>
        <v>Từ 32 - 48 triệu VNĐ</v>
      </c>
      <c r="O55">
        <f>step3_validation[[#This Row],[Dependents]]</f>
        <v>2</v>
      </c>
      <c r="P55" t="str">
        <f>survey_responses[[#This Row],[Số người phụ thuộc (con nhỏ, cha mẹ già...) đủ điều kiện giảm trừ gia cảnh:]]</f>
        <v>2 người</v>
      </c>
      <c r="Q55">
        <f>step3_validation[[#This Row],[AI_ENF1]]</f>
        <v>7</v>
      </c>
      <c r="R55" t="str">
        <f t="shared" si="0"/>
        <v>Neutral</v>
      </c>
      <c r="S55">
        <f>survey_responses[[#This Row],[Tôi tin rằng với các quy định quản lý thuế hiện nay, hành vi gian lận hoặc trốn thuế sẽ dễ dàng bị phát hiện và xử lý nghiêm. - HUMAN-ENF1]]</f>
        <v>8</v>
      </c>
      <c r="T55" t="str">
        <f t="shared" si="1"/>
        <v>Support</v>
      </c>
      <c r="U55" s="31">
        <f t="shared" si="2"/>
        <v>1</v>
      </c>
      <c r="V55">
        <f>step3_validation[[#This Row],[AI_ENF2]]</f>
        <v>8</v>
      </c>
      <c r="W55" t="str">
        <f t="shared" si="3"/>
        <v>Support</v>
      </c>
      <c r="X55">
        <f>survey_responses[[#This Row],[Tôi tin rằng Nhà nước, cơ quan thuế có đủ khả năng và công nghệ để phát hiện, xử lý nghiêm các hành vi trốn thuế. - HUMAN-ENF2]]</f>
        <v>7</v>
      </c>
      <c r="Y55" t="str">
        <f t="shared" si="4"/>
        <v>Neutral</v>
      </c>
      <c r="Z55" s="31">
        <f t="shared" si="5"/>
        <v>1</v>
      </c>
      <c r="AA55">
        <f>step3_validation[[#This Row],[AI_FAC1]]</f>
        <v>9</v>
      </c>
      <c r="AB55" t="str">
        <f t="shared" si="6"/>
        <v>Support</v>
      </c>
      <c r="AC55">
        <f>survey_responses[[#This Row],[Các thủ tục khai báo thuế VÀ/HOẶC quy trình làm việc với cơ quan thuế đơn giản, tiện lợi, nhanh chóng hơn so với trước đây. - HUMAN-FAC1]]</f>
        <v>7</v>
      </c>
      <c r="AD55" t="str">
        <f t="shared" si="7"/>
        <v>Neutral</v>
      </c>
      <c r="AE55" s="31">
        <f t="shared" si="8"/>
        <v>2</v>
      </c>
      <c r="AF55">
        <f>step3_validation[[#This Row],[AI_FAC2]]</f>
        <v>10</v>
      </c>
      <c r="AG55" t="str">
        <f t="shared" si="9"/>
        <v>Support</v>
      </c>
      <c r="AH55">
        <f>survey_responses[[#This Row],[So với trước đây, tôi thấy cách tính thuế và các bậc thuế trong phương án mới đơn giản, dễ hiểu và dễ thực hiện hơn. - HUMAN-FAC2]]</f>
        <v>8</v>
      </c>
      <c r="AI55" t="str">
        <f t="shared" si="10"/>
        <v>Support</v>
      </c>
      <c r="AJ55" s="31">
        <f t="shared" si="11"/>
        <v>2</v>
      </c>
      <c r="AK55">
        <f>step3_validation[[#This Row],[AI_TRU1]]</f>
        <v>7</v>
      </c>
      <c r="AL55" t="str">
        <f t="shared" si="12"/>
        <v>Neutral</v>
      </c>
      <c r="AM55">
        <f>survey_responses[[#This Row],[Tôi tin rằng Nhà nước, cơ quan thuế sẽ thực thi chính sách mới một cách khách quan, công tâm và đối xử bình đẳng với mọi người nộp thuế.  - HUMAN-TRU1]]</f>
        <v>7</v>
      </c>
      <c r="AN55" t="str">
        <f t="shared" si="13"/>
        <v>Neutral</v>
      </c>
      <c r="AO55" s="31">
        <f t="shared" si="14"/>
        <v>0</v>
      </c>
      <c r="AP55">
        <f>step3_validation[[#This Row],[AI_TRU2]]</f>
        <v>9</v>
      </c>
      <c r="AQ55" t="str">
        <f t="shared" si="15"/>
        <v>Support</v>
      </c>
      <c r="AR55">
        <f>survey_responses[[#This Row],[Tôi thấy mức thuế tôi phải đóng theo phương án mới là công bằng (người thu nhập như tôi đóng mức này là hợp lý). - HUMAN-TRU2]]</f>
        <v>8</v>
      </c>
      <c r="AS55" t="str">
        <f t="shared" si="16"/>
        <v>Support</v>
      </c>
      <c r="AT55" s="31">
        <f t="shared" si="17"/>
        <v>1</v>
      </c>
      <c r="AU55">
        <f>step3_validation[[#This Row],[AI_TRU3]]</f>
        <v>8</v>
      </c>
      <c r="AV55" t="str">
        <f t="shared" si="18"/>
        <v>Support</v>
      </c>
      <c r="AW55">
        <f>survey_responses[[#This Row],[Tôi tin tưởng số tiền thuế tôi đóng sẽ được Nhà nước sử dụng hiệu quả để cải thiện dịch vụ công (y tế, đường xá...). - HUMAN-TRU3]]</f>
        <v>7</v>
      </c>
      <c r="AX55" t="str">
        <f t="shared" si="19"/>
        <v>Neutral</v>
      </c>
      <c r="AY55" s="31">
        <f t="shared" si="20"/>
        <v>1</v>
      </c>
      <c r="AZ55">
        <f>step3_validation[[#This Row],[AI_TRU4]]</f>
        <v>7</v>
      </c>
      <c r="BA55" t="str">
        <f t="shared" si="21"/>
        <v>Neutral</v>
      </c>
      <c r="BB55">
        <f>survey_responses[[#This Row],[Tôi thấy Nhà nước đã giải thích rõ ràng, minh bạch về lý do và mục tiêu của việc sửa đổi thuế lần này. - HUMAN-TRU4]]</f>
        <v>7</v>
      </c>
      <c r="BC55" t="str">
        <f t="shared" si="22"/>
        <v>Neutral</v>
      </c>
      <c r="BD55" s="31">
        <f t="shared" si="23"/>
        <v>0</v>
      </c>
      <c r="BE55">
        <f>step3_validation[[#This Row],[AI_OUT1]]</f>
        <v>9</v>
      </c>
      <c r="BF55" t="str">
        <f t="shared" si="24"/>
        <v>Support</v>
      </c>
      <c r="BG55">
        <f>survey_responses[[#This Row],[Sau khi xem xét các quyền lợi và nghĩa vụ, bạn có ủng hộ và tuân thủ chính sách mới hiện nay? - HUMAN-OUT1]]</f>
        <v>8</v>
      </c>
      <c r="BH55" t="str">
        <f t="shared" si="25"/>
        <v>Support</v>
      </c>
      <c r="BI55" s="31">
        <f t="shared" si="26"/>
        <v>1</v>
      </c>
    </row>
    <row r="56" spans="1:61" hidden="1" x14ac:dyDescent="0.45">
      <c r="A56" s="29">
        <f>step3_validation[[#This Row],[Persona_ID]]</f>
        <v>55</v>
      </c>
      <c r="B56" s="30">
        <f>step3_validation[[#This Row],[Used_Seed]]</f>
        <v>96</v>
      </c>
      <c r="C56" t="str">
        <f>step3_validation[[#This Row],[Gender]]</f>
        <v>Nữ</v>
      </c>
      <c r="D56" t="str">
        <f>survey_responses[[#This Row],[Giới tính của bạn:]]</f>
        <v>Nữ</v>
      </c>
      <c r="E56" t="str">
        <f>step3_validation[[#This Row],[Age_Group]]</f>
        <v>30 - 39</v>
      </c>
      <c r="F56" t="str">
        <f>survey_responses[[#This Row],[Độ tuổi của bạn:]]</f>
        <v>30 - 39</v>
      </c>
      <c r="G56" t="str">
        <f>step3_validation[[#This Row],[Region]]</f>
        <v>Thành thị</v>
      </c>
      <c r="H56" t="str">
        <f>survey_responses[[#This Row],[Khu vực bạn đang sinh sống:]]</f>
        <v>Thành thị</v>
      </c>
      <c r="I56" t="str">
        <f>step3_validation[[#This Row],[Education]]</f>
        <v>Đại học</v>
      </c>
      <c r="J56" t="str">
        <f>survey_responses[[#This Row],[Trình độ học vấn cao nhất:]]</f>
        <v>Đại học</v>
      </c>
      <c r="K56" t="str">
        <f>step3_validation[[#This Row],[Employment]]</f>
        <v>Chính thức</v>
      </c>
      <c r="L56" t="str">
        <f>survey_responses[[#This Row],[Tình trạng việc làm chính:]]</f>
        <v>Khu vực chính thức (Có Hợp đồng lao động, đóng BHXH)</v>
      </c>
      <c r="M56">
        <f>step3_validation[[#This Row],[Income_Mil]]</f>
        <v>37.498117157864044</v>
      </c>
      <c r="N56" t="str">
        <f>survey_responses[[#This Row],[Thu nhập bình quân tháng theo Hợp đồng lao động của bạn là bao nhiêu? (Vui lòng điền tổng thu nhập trước khi khấu trừ các loại Bảo hiểm (BHXH, BHYT, BHTN) và Thuế TNCN)]]</f>
        <v>Từ 32 - 48 triệu VNĐ</v>
      </c>
      <c r="O56">
        <f>step3_validation[[#This Row],[Dependents]]</f>
        <v>1</v>
      </c>
      <c r="P56" t="str">
        <f>survey_responses[[#This Row],[Số người phụ thuộc (con nhỏ, cha mẹ già...) đủ điều kiện giảm trừ gia cảnh:]]</f>
        <v>1 người</v>
      </c>
      <c r="Q56">
        <f>step3_validation[[#This Row],[AI_ENF1]]</f>
        <v>8</v>
      </c>
      <c r="R56" t="str">
        <f t="shared" si="0"/>
        <v>Support</v>
      </c>
      <c r="S56">
        <f>survey_responses[[#This Row],[Tôi tin rằng với các quy định quản lý thuế hiện nay, hành vi gian lận hoặc trốn thuế sẽ dễ dàng bị phát hiện và xử lý nghiêm. - HUMAN-ENF1]]</f>
        <v>10</v>
      </c>
      <c r="T56" t="str">
        <f t="shared" si="1"/>
        <v>Support</v>
      </c>
      <c r="U56" s="31">
        <f t="shared" si="2"/>
        <v>2</v>
      </c>
      <c r="V56">
        <f>step3_validation[[#This Row],[AI_ENF2]]</f>
        <v>7</v>
      </c>
      <c r="W56" t="str">
        <f t="shared" si="3"/>
        <v>Neutral</v>
      </c>
      <c r="X56">
        <f>survey_responses[[#This Row],[Tôi tin rằng Nhà nước, cơ quan thuế có đủ khả năng và công nghệ để phát hiện, xử lý nghiêm các hành vi trốn thuế. - HUMAN-ENF2]]</f>
        <v>9</v>
      </c>
      <c r="Y56" t="str">
        <f t="shared" si="4"/>
        <v>Support</v>
      </c>
      <c r="Z56" s="31">
        <f t="shared" si="5"/>
        <v>2</v>
      </c>
      <c r="AA56">
        <f>step3_validation[[#This Row],[AI_FAC1]]</f>
        <v>9</v>
      </c>
      <c r="AB56" t="str">
        <f t="shared" si="6"/>
        <v>Support</v>
      </c>
      <c r="AC56">
        <f>survey_responses[[#This Row],[Các thủ tục khai báo thuế VÀ/HOẶC quy trình làm việc với cơ quan thuế đơn giản, tiện lợi, nhanh chóng hơn so với trước đây. - HUMAN-FAC1]]</f>
        <v>3</v>
      </c>
      <c r="AD56" t="str">
        <f t="shared" si="7"/>
        <v>Oppose</v>
      </c>
      <c r="AE56" s="31">
        <f t="shared" si="8"/>
        <v>6</v>
      </c>
      <c r="AF56">
        <f>step3_validation[[#This Row],[AI_FAC2]]</f>
        <v>8</v>
      </c>
      <c r="AG56" t="str">
        <f t="shared" si="9"/>
        <v>Support</v>
      </c>
      <c r="AH56">
        <f>survey_responses[[#This Row],[So với trước đây, tôi thấy cách tính thuế và các bậc thuế trong phương án mới đơn giản, dễ hiểu và dễ thực hiện hơn. - HUMAN-FAC2]]</f>
        <v>4</v>
      </c>
      <c r="AI56" t="str">
        <f t="shared" si="10"/>
        <v>Oppose</v>
      </c>
      <c r="AJ56" s="31">
        <f t="shared" si="11"/>
        <v>4</v>
      </c>
      <c r="AK56">
        <f>step3_validation[[#This Row],[AI_TRU1]]</f>
        <v>9</v>
      </c>
      <c r="AL56" t="str">
        <f t="shared" si="12"/>
        <v>Support</v>
      </c>
      <c r="AM56">
        <f>survey_responses[[#This Row],[Tôi tin rằng Nhà nước, cơ quan thuế sẽ thực thi chính sách mới một cách khách quan, công tâm và đối xử bình đẳng với mọi người nộp thuế.  - HUMAN-TRU1]]</f>
        <v>3</v>
      </c>
      <c r="AN56" t="str">
        <f t="shared" si="13"/>
        <v>Oppose</v>
      </c>
      <c r="AO56" s="31">
        <f t="shared" si="14"/>
        <v>6</v>
      </c>
      <c r="AP56">
        <f>step3_validation[[#This Row],[AI_TRU2]]</f>
        <v>8</v>
      </c>
      <c r="AQ56" t="str">
        <f t="shared" si="15"/>
        <v>Support</v>
      </c>
      <c r="AR56">
        <f>survey_responses[[#This Row],[Tôi thấy mức thuế tôi phải đóng theo phương án mới là công bằng (người thu nhập như tôi đóng mức này là hợp lý). - HUMAN-TRU2]]</f>
        <v>3</v>
      </c>
      <c r="AS56" t="str">
        <f t="shared" si="16"/>
        <v>Oppose</v>
      </c>
      <c r="AT56" s="31">
        <f t="shared" si="17"/>
        <v>5</v>
      </c>
      <c r="AU56">
        <f>step3_validation[[#This Row],[AI_TRU3]]</f>
        <v>9</v>
      </c>
      <c r="AV56" t="str">
        <f t="shared" si="18"/>
        <v>Support</v>
      </c>
      <c r="AW56">
        <f>survey_responses[[#This Row],[Tôi tin tưởng số tiền thuế tôi đóng sẽ được Nhà nước sử dụng hiệu quả để cải thiện dịch vụ công (y tế, đường xá...). - HUMAN-TRU3]]</f>
        <v>1</v>
      </c>
      <c r="AX56" t="str">
        <f t="shared" si="19"/>
        <v>Oppose</v>
      </c>
      <c r="AY56" s="31">
        <f t="shared" si="20"/>
        <v>8</v>
      </c>
      <c r="AZ56">
        <f>step3_validation[[#This Row],[AI_TRU4]]</f>
        <v>7</v>
      </c>
      <c r="BA56" t="str">
        <f t="shared" si="21"/>
        <v>Neutral</v>
      </c>
      <c r="BB56">
        <f>survey_responses[[#This Row],[Tôi thấy Nhà nước đã giải thích rõ ràng, minh bạch về lý do và mục tiêu của việc sửa đổi thuế lần này. - HUMAN-TRU4]]</f>
        <v>1</v>
      </c>
      <c r="BC56" t="str">
        <f t="shared" si="22"/>
        <v>Oppose</v>
      </c>
      <c r="BD56" s="31">
        <f t="shared" si="23"/>
        <v>6</v>
      </c>
      <c r="BE56">
        <f>step3_validation[[#This Row],[AI_OUT1]]</f>
        <v>9</v>
      </c>
      <c r="BF56" t="str">
        <f t="shared" si="24"/>
        <v>Support</v>
      </c>
      <c r="BG56">
        <f>survey_responses[[#This Row],[Sau khi xem xét các quyền lợi và nghĩa vụ, bạn có ủng hộ và tuân thủ chính sách mới hiện nay? - HUMAN-OUT1]]</f>
        <v>3</v>
      </c>
      <c r="BH56" t="str">
        <f t="shared" si="25"/>
        <v>Oppose</v>
      </c>
      <c r="BI56" s="31">
        <f t="shared" si="26"/>
        <v>6</v>
      </c>
    </row>
    <row r="57" spans="1:61" x14ac:dyDescent="0.45">
      <c r="A57" s="29">
        <f>step3_validation[[#This Row],[Persona_ID]]</f>
        <v>56</v>
      </c>
      <c r="B57" s="30">
        <f>step3_validation[[#This Row],[Used_Seed]]</f>
        <v>97</v>
      </c>
      <c r="C57" t="str">
        <f>step3_validation[[#This Row],[Gender]]</f>
        <v>Nam</v>
      </c>
      <c r="D57" t="str">
        <f>survey_responses[[#This Row],[Giới tính của bạn:]]</f>
        <v>Nam</v>
      </c>
      <c r="E57" t="str">
        <f>step3_validation[[#This Row],[Age_Group]]</f>
        <v>25 - 29</v>
      </c>
      <c r="F57" t="str">
        <f>survey_responses[[#This Row],[Độ tuổi của bạn:]]</f>
        <v>25 - 29</v>
      </c>
      <c r="G57" t="str">
        <f>step3_validation[[#This Row],[Region]]</f>
        <v>Thành thị</v>
      </c>
      <c r="H57" t="str">
        <f>survey_responses[[#This Row],[Khu vực bạn đang sinh sống:]]</f>
        <v>Thành thị</v>
      </c>
      <c r="I57" t="str">
        <f>step3_validation[[#This Row],[Education]]</f>
        <v>Đại học</v>
      </c>
      <c r="J57" t="str">
        <f>survey_responses[[#This Row],[Trình độ học vấn cao nhất:]]</f>
        <v>Đại học</v>
      </c>
      <c r="K57" t="str">
        <f>step3_validation[[#This Row],[Employment]]</f>
        <v>Chính thức</v>
      </c>
      <c r="L57" t="str">
        <f>survey_responses[[#This Row],[Tình trạng việc làm chính:]]</f>
        <v>Khu vực chính thức (Có Hợp đồng lao động, đóng BHXH)</v>
      </c>
      <c r="M57">
        <f>step3_validation[[#This Row],[Income_Mil]]</f>
        <v>12</v>
      </c>
      <c r="N57" t="str">
        <f>survey_responses[[#This Row],[Thu nhập bình quân tháng theo Hợp đồng lao động của bạn là bao nhiêu? (Vui lòng điền tổng thu nhập trước khi khấu trừ các loại Bảo hiểm (BHXH, BHYT, BHTN) và Thuế TNCN)]]</f>
        <v>Dưới 12 triệu VNĐ</v>
      </c>
      <c r="O57">
        <f>step3_validation[[#This Row],[Dependents]]</f>
        <v>0</v>
      </c>
      <c r="P57" t="str">
        <f>survey_responses[[#This Row],[Số người phụ thuộc (con nhỏ, cha mẹ già...) đủ điều kiện giảm trừ gia cảnh:]]</f>
        <v>0 người</v>
      </c>
      <c r="Q57">
        <f>step3_validation[[#This Row],[AI_ENF1]]</f>
        <v>7</v>
      </c>
      <c r="R57" t="str">
        <f t="shared" si="0"/>
        <v>Neutral</v>
      </c>
      <c r="S57">
        <f>survey_responses[[#This Row],[Tôi tin rằng với các quy định quản lý thuế hiện nay, hành vi gian lận hoặc trốn thuế sẽ dễ dàng bị phát hiện và xử lý nghiêm. - HUMAN-ENF1]]</f>
        <v>10</v>
      </c>
      <c r="T57" t="str">
        <f t="shared" si="1"/>
        <v>Support</v>
      </c>
      <c r="U57" s="31">
        <f t="shared" si="2"/>
        <v>3</v>
      </c>
      <c r="V57">
        <f>step3_validation[[#This Row],[AI_ENF2]]</f>
        <v>8</v>
      </c>
      <c r="W57" t="str">
        <f t="shared" si="3"/>
        <v>Support</v>
      </c>
      <c r="X57">
        <f>survey_responses[[#This Row],[Tôi tin rằng Nhà nước, cơ quan thuế có đủ khả năng và công nghệ để phát hiện, xử lý nghiêm các hành vi trốn thuế. - HUMAN-ENF2]]</f>
        <v>10</v>
      </c>
      <c r="Y57" t="str">
        <f t="shared" si="4"/>
        <v>Support</v>
      </c>
      <c r="Z57" s="31">
        <f t="shared" si="5"/>
        <v>2</v>
      </c>
      <c r="AA57">
        <f>step3_validation[[#This Row],[AI_FAC1]]</f>
        <v>7</v>
      </c>
      <c r="AB57" t="str">
        <f t="shared" si="6"/>
        <v>Neutral</v>
      </c>
      <c r="AC57">
        <f>survey_responses[[#This Row],[Các thủ tục khai báo thuế VÀ/HOẶC quy trình làm việc với cơ quan thuế đơn giản, tiện lợi, nhanh chóng hơn so với trước đây. - HUMAN-FAC1]]</f>
        <v>9</v>
      </c>
      <c r="AD57" t="str">
        <f t="shared" si="7"/>
        <v>Support</v>
      </c>
      <c r="AE57" s="31">
        <f t="shared" si="8"/>
        <v>2</v>
      </c>
      <c r="AF57">
        <f>step3_validation[[#This Row],[AI_FAC2]]</f>
        <v>9</v>
      </c>
      <c r="AG57" t="str">
        <f t="shared" si="9"/>
        <v>Support</v>
      </c>
      <c r="AH57">
        <f>survey_responses[[#This Row],[So với trước đây, tôi thấy cách tính thuế và các bậc thuế trong phương án mới đơn giản, dễ hiểu và dễ thực hiện hơn. - HUMAN-FAC2]]</f>
        <v>10</v>
      </c>
      <c r="AI57" t="str">
        <f t="shared" si="10"/>
        <v>Support</v>
      </c>
      <c r="AJ57" s="31">
        <f t="shared" si="11"/>
        <v>1</v>
      </c>
      <c r="AK57">
        <f>step3_validation[[#This Row],[AI_TRU1]]</f>
        <v>7</v>
      </c>
      <c r="AL57" t="str">
        <f t="shared" si="12"/>
        <v>Neutral</v>
      </c>
      <c r="AM57">
        <f>survey_responses[[#This Row],[Tôi tin rằng Nhà nước, cơ quan thuế sẽ thực thi chính sách mới một cách khách quan, công tâm và đối xử bình đẳng với mọi người nộp thuế.  - HUMAN-TRU1]]</f>
        <v>9</v>
      </c>
      <c r="AN57" t="str">
        <f t="shared" si="13"/>
        <v>Support</v>
      </c>
      <c r="AO57" s="31">
        <f t="shared" si="14"/>
        <v>2</v>
      </c>
      <c r="AP57">
        <f>step3_validation[[#This Row],[AI_TRU2]]</f>
        <v>8</v>
      </c>
      <c r="AQ57" t="str">
        <f t="shared" si="15"/>
        <v>Support</v>
      </c>
      <c r="AR57">
        <f>survey_responses[[#This Row],[Tôi thấy mức thuế tôi phải đóng theo phương án mới là công bằng (người thu nhập như tôi đóng mức này là hợp lý). - HUMAN-TRU2]]</f>
        <v>10</v>
      </c>
      <c r="AS57" t="str">
        <f t="shared" si="16"/>
        <v>Support</v>
      </c>
      <c r="AT57" s="31">
        <f t="shared" si="17"/>
        <v>2</v>
      </c>
      <c r="AU57">
        <f>step3_validation[[#This Row],[AI_TRU3]]</f>
        <v>7</v>
      </c>
      <c r="AV57" t="str">
        <f t="shared" si="18"/>
        <v>Neutral</v>
      </c>
      <c r="AW57">
        <f>survey_responses[[#This Row],[Tôi tin tưởng số tiền thuế tôi đóng sẽ được Nhà nước sử dụng hiệu quả để cải thiện dịch vụ công (y tế, đường xá...). - HUMAN-TRU3]]</f>
        <v>9</v>
      </c>
      <c r="AX57" t="str">
        <f t="shared" si="19"/>
        <v>Support</v>
      </c>
      <c r="AY57" s="31">
        <f t="shared" si="20"/>
        <v>2</v>
      </c>
      <c r="AZ57">
        <f>step3_validation[[#This Row],[AI_TRU4]]</f>
        <v>8</v>
      </c>
      <c r="BA57" t="str">
        <f t="shared" si="21"/>
        <v>Support</v>
      </c>
      <c r="BB57">
        <f>survey_responses[[#This Row],[Tôi thấy Nhà nước đã giải thích rõ ràng, minh bạch về lý do và mục tiêu của việc sửa đổi thuế lần này. - HUMAN-TRU4]]</f>
        <v>10</v>
      </c>
      <c r="BC57" t="str">
        <f t="shared" si="22"/>
        <v>Support</v>
      </c>
      <c r="BD57" s="31">
        <f t="shared" si="23"/>
        <v>2</v>
      </c>
      <c r="BE57">
        <f>step3_validation[[#This Row],[AI_OUT1]]</f>
        <v>9</v>
      </c>
      <c r="BF57" t="str">
        <f t="shared" si="24"/>
        <v>Support</v>
      </c>
      <c r="BG57">
        <f>survey_responses[[#This Row],[Sau khi xem xét các quyền lợi và nghĩa vụ, bạn có ủng hộ và tuân thủ chính sách mới hiện nay? - HUMAN-OUT1]]</f>
        <v>9</v>
      </c>
      <c r="BH57" t="str">
        <f t="shared" si="25"/>
        <v>Support</v>
      </c>
      <c r="BI57" s="31">
        <f t="shared" si="26"/>
        <v>0</v>
      </c>
    </row>
    <row r="58" spans="1:61" hidden="1" x14ac:dyDescent="0.45">
      <c r="A58" s="29">
        <f>step3_validation[[#This Row],[Persona_ID]]</f>
        <v>57</v>
      </c>
      <c r="B58" s="30">
        <f>step3_validation[[#This Row],[Used_Seed]]</f>
        <v>98</v>
      </c>
      <c r="C58" t="str">
        <f>step3_validation[[#This Row],[Gender]]</f>
        <v>Nữ</v>
      </c>
      <c r="D58" t="str">
        <f>survey_responses[[#This Row],[Giới tính của bạn:]]</f>
        <v>Nữ</v>
      </c>
      <c r="E58" t="str">
        <f>step3_validation[[#This Row],[Age_Group]]</f>
        <v>30 - 39</v>
      </c>
      <c r="F58" t="str">
        <f>survey_responses[[#This Row],[Độ tuổi của bạn:]]</f>
        <v>30 - 39</v>
      </c>
      <c r="G58" t="str">
        <f>step3_validation[[#This Row],[Region]]</f>
        <v>Thành thị</v>
      </c>
      <c r="H58" t="str">
        <f>survey_responses[[#This Row],[Khu vực bạn đang sinh sống:]]</f>
        <v>Thành thị</v>
      </c>
      <c r="I58" t="str">
        <f>step3_validation[[#This Row],[Education]]</f>
        <v>Đại học</v>
      </c>
      <c r="J58" t="str">
        <f>survey_responses[[#This Row],[Trình độ học vấn cao nhất:]]</f>
        <v>Đại học</v>
      </c>
      <c r="K58" t="str">
        <f>step3_validation[[#This Row],[Employment]]</f>
        <v>Chính thức</v>
      </c>
      <c r="L58" t="str">
        <f>survey_responses[[#This Row],[Tình trạng việc làm chính:]]</f>
        <v>Khu vực chính thức (Có Hợp đồng lao động, đóng BHXH)</v>
      </c>
      <c r="M58">
        <f>step3_validation[[#This Row],[Income_Mil]]</f>
        <v>12.203375060822989</v>
      </c>
      <c r="N58" t="str">
        <f>survey_responses[[#This Row],[Thu nhập bình quân tháng theo Hợp đồng lao động của bạn là bao nhiêu? (Vui lòng điền tổng thu nhập trước khi khấu trừ các loại Bảo hiểm (BHXH, BHYT, BHTN) và Thuế TNCN)]]</f>
        <v>Từ 12 - 18 triệu VNĐ</v>
      </c>
      <c r="O58">
        <f>step3_validation[[#This Row],[Dependents]]</f>
        <v>2</v>
      </c>
      <c r="P58" t="str">
        <f>survey_responses[[#This Row],[Số người phụ thuộc (con nhỏ, cha mẹ già...) đủ điều kiện giảm trừ gia cảnh:]]</f>
        <v>2 người</v>
      </c>
      <c r="Q58">
        <f>step3_validation[[#This Row],[AI_ENF1]]</f>
        <v>6</v>
      </c>
      <c r="R58" t="str">
        <f t="shared" si="0"/>
        <v>Neutral</v>
      </c>
      <c r="S58">
        <f>survey_responses[[#This Row],[Tôi tin rằng với các quy định quản lý thuế hiện nay, hành vi gian lận hoặc trốn thuế sẽ dễ dàng bị phát hiện và xử lý nghiêm. - HUMAN-ENF1]]</f>
        <v>10</v>
      </c>
      <c r="T58" t="str">
        <f t="shared" si="1"/>
        <v>Support</v>
      </c>
      <c r="U58" s="31">
        <f t="shared" si="2"/>
        <v>4</v>
      </c>
      <c r="V58">
        <f>step3_validation[[#This Row],[AI_ENF2]]</f>
        <v>5</v>
      </c>
      <c r="W58" t="str">
        <f t="shared" si="3"/>
        <v>Neutral</v>
      </c>
      <c r="X58">
        <f>survey_responses[[#This Row],[Tôi tin rằng Nhà nước, cơ quan thuế có đủ khả năng và công nghệ để phát hiện, xử lý nghiêm các hành vi trốn thuế. - HUMAN-ENF2]]</f>
        <v>10</v>
      </c>
      <c r="Y58" t="str">
        <f t="shared" si="4"/>
        <v>Support</v>
      </c>
      <c r="Z58" s="31">
        <f t="shared" si="5"/>
        <v>5</v>
      </c>
      <c r="AA58">
        <f>step3_validation[[#This Row],[AI_FAC1]]</f>
        <v>7</v>
      </c>
      <c r="AB58" t="str">
        <f t="shared" si="6"/>
        <v>Neutral</v>
      </c>
      <c r="AC58">
        <f>survey_responses[[#This Row],[Các thủ tục khai báo thuế VÀ/HOẶC quy trình làm việc với cơ quan thuế đơn giản, tiện lợi, nhanh chóng hơn so với trước đây. - HUMAN-FAC1]]</f>
        <v>1</v>
      </c>
      <c r="AD58" t="str">
        <f t="shared" si="7"/>
        <v>Oppose</v>
      </c>
      <c r="AE58" s="31">
        <f t="shared" si="8"/>
        <v>6</v>
      </c>
      <c r="AF58">
        <f>step3_validation[[#This Row],[AI_FAC2]]</f>
        <v>8</v>
      </c>
      <c r="AG58" t="str">
        <f t="shared" si="9"/>
        <v>Support</v>
      </c>
      <c r="AH58">
        <f>survey_responses[[#This Row],[So với trước đây, tôi thấy cách tính thuế và các bậc thuế trong phương án mới đơn giản, dễ hiểu và dễ thực hiện hơn. - HUMAN-FAC2]]</f>
        <v>5</v>
      </c>
      <c r="AI58" t="str">
        <f t="shared" si="10"/>
        <v>Neutral</v>
      </c>
      <c r="AJ58" s="31">
        <f t="shared" si="11"/>
        <v>3</v>
      </c>
      <c r="AK58">
        <f>step3_validation[[#This Row],[AI_TRU1]]</f>
        <v>9</v>
      </c>
      <c r="AL58" t="str">
        <f t="shared" si="12"/>
        <v>Support</v>
      </c>
      <c r="AM58">
        <f>survey_responses[[#This Row],[Tôi tin rằng Nhà nước, cơ quan thuế sẽ thực thi chính sách mới một cách khách quan, công tâm và đối xử bình đẳng với mọi người nộp thuế.  - HUMAN-TRU1]]</f>
        <v>7</v>
      </c>
      <c r="AN58" t="str">
        <f t="shared" si="13"/>
        <v>Neutral</v>
      </c>
      <c r="AO58" s="31">
        <f t="shared" si="14"/>
        <v>2</v>
      </c>
      <c r="AP58">
        <f>step3_validation[[#This Row],[AI_TRU2]]</f>
        <v>9</v>
      </c>
      <c r="AQ58" t="str">
        <f t="shared" si="15"/>
        <v>Support</v>
      </c>
      <c r="AR58">
        <f>survey_responses[[#This Row],[Tôi thấy mức thuế tôi phải đóng theo phương án mới là công bằng (người thu nhập như tôi đóng mức này là hợp lý). - HUMAN-TRU2]]</f>
        <v>10</v>
      </c>
      <c r="AS58" t="str">
        <f t="shared" si="16"/>
        <v>Support</v>
      </c>
      <c r="AT58" s="31">
        <f t="shared" si="17"/>
        <v>1</v>
      </c>
      <c r="AU58">
        <f>step3_validation[[#This Row],[AI_TRU3]]</f>
        <v>8</v>
      </c>
      <c r="AV58" t="str">
        <f t="shared" si="18"/>
        <v>Support</v>
      </c>
      <c r="AW58">
        <f>survey_responses[[#This Row],[Tôi tin tưởng số tiền thuế tôi đóng sẽ được Nhà nước sử dụng hiệu quả để cải thiện dịch vụ công (y tế, đường xá...). - HUMAN-TRU3]]</f>
        <v>9</v>
      </c>
      <c r="AX58" t="str">
        <f t="shared" si="19"/>
        <v>Support</v>
      </c>
      <c r="AY58" s="31">
        <f t="shared" si="20"/>
        <v>1</v>
      </c>
      <c r="AZ58">
        <f>step3_validation[[#This Row],[AI_TRU4]]</f>
        <v>7</v>
      </c>
      <c r="BA58" t="str">
        <f t="shared" si="21"/>
        <v>Neutral</v>
      </c>
      <c r="BB58">
        <f>survey_responses[[#This Row],[Tôi thấy Nhà nước đã giải thích rõ ràng, minh bạch về lý do và mục tiêu của việc sửa đổi thuế lần này. - HUMAN-TRU4]]</f>
        <v>9</v>
      </c>
      <c r="BC58" t="str">
        <f t="shared" si="22"/>
        <v>Support</v>
      </c>
      <c r="BD58" s="31">
        <f t="shared" si="23"/>
        <v>2</v>
      </c>
      <c r="BE58">
        <f>step3_validation[[#This Row],[AI_OUT1]]</f>
        <v>9</v>
      </c>
      <c r="BF58" t="str">
        <f t="shared" si="24"/>
        <v>Support</v>
      </c>
      <c r="BG58">
        <f>survey_responses[[#This Row],[Sau khi xem xét các quyền lợi và nghĩa vụ, bạn có ủng hộ và tuân thủ chính sách mới hiện nay? - HUMAN-OUT1]]</f>
        <v>10</v>
      </c>
      <c r="BH58" t="str">
        <f t="shared" si="25"/>
        <v>Support</v>
      </c>
      <c r="BI58" s="31">
        <f t="shared" si="26"/>
        <v>1</v>
      </c>
    </row>
    <row r="59" spans="1:61" hidden="1" x14ac:dyDescent="0.45">
      <c r="A59" s="29">
        <f>step3_validation[[#This Row],[Persona_ID]]</f>
        <v>58</v>
      </c>
      <c r="B59" s="30">
        <f>step3_validation[[#This Row],[Used_Seed]]</f>
        <v>99</v>
      </c>
      <c r="C59" t="str">
        <f>step3_validation[[#This Row],[Gender]]</f>
        <v>Nữ</v>
      </c>
      <c r="D59" t="str">
        <f>survey_responses[[#This Row],[Giới tính của bạn:]]</f>
        <v>Nữ</v>
      </c>
      <c r="E59" t="str">
        <f>step3_validation[[#This Row],[Age_Group]]</f>
        <v>40 - 49</v>
      </c>
      <c r="F59" t="str">
        <f>survey_responses[[#This Row],[Độ tuổi của bạn:]]</f>
        <v>40 - 49</v>
      </c>
      <c r="G59" t="str">
        <f>step3_validation[[#This Row],[Region]]</f>
        <v>Thành thị</v>
      </c>
      <c r="H59" t="str">
        <f>survey_responses[[#This Row],[Khu vực bạn đang sinh sống:]]</f>
        <v>Thành thị</v>
      </c>
      <c r="I59" t="str">
        <f>step3_validation[[#This Row],[Education]]</f>
        <v>Sau Đại học</v>
      </c>
      <c r="J59" t="str">
        <f>survey_responses[[#This Row],[Trình độ học vấn cao nhất:]]</f>
        <v>Sau Đại học</v>
      </c>
      <c r="K59" t="str">
        <f>step3_validation[[#This Row],[Employment]]</f>
        <v>Chính thức</v>
      </c>
      <c r="L59" t="str">
        <f>survey_responses[[#This Row],[Tình trạng việc làm chính:]]</f>
        <v>Khu vực chính thức (Có Hợp đồng lao động, đóng BHXH)</v>
      </c>
      <c r="M59">
        <f>step3_validation[[#This Row],[Income_Mil]]</f>
        <v>28.093581811068354</v>
      </c>
      <c r="N59" t="str">
        <f>survey_responses[[#This Row],[Thu nhập bình quân tháng theo Hợp đồng lao động của bạn là bao nhiêu? (Vui lòng điền tổng thu nhập trước khi khấu trừ các loại Bảo hiểm (BHXH, BHYT, BHTN) và Thuế TNCN)]]</f>
        <v>Từ 23 - 32 triệu VNĐ</v>
      </c>
      <c r="O59">
        <f>step3_validation[[#This Row],[Dependents]]</f>
        <v>1</v>
      </c>
      <c r="P59" t="str">
        <f>survey_responses[[#This Row],[Số người phụ thuộc (con nhỏ, cha mẹ già...) đủ điều kiện giảm trừ gia cảnh:]]</f>
        <v>1 người</v>
      </c>
      <c r="Q59">
        <f>step3_validation[[#This Row],[AI_ENF1]]</f>
        <v>7</v>
      </c>
      <c r="R59" t="str">
        <f t="shared" si="0"/>
        <v>Neutral</v>
      </c>
      <c r="S59">
        <f>survey_responses[[#This Row],[Tôi tin rằng với các quy định quản lý thuế hiện nay, hành vi gian lận hoặc trốn thuế sẽ dễ dàng bị phát hiện và xử lý nghiêm. - HUMAN-ENF1]]</f>
        <v>5</v>
      </c>
      <c r="T59" t="str">
        <f t="shared" si="1"/>
        <v>Neutral</v>
      </c>
      <c r="U59" s="31">
        <f t="shared" si="2"/>
        <v>2</v>
      </c>
      <c r="V59">
        <f>step3_validation[[#This Row],[AI_ENF2]]</f>
        <v>8</v>
      </c>
      <c r="W59" t="str">
        <f t="shared" si="3"/>
        <v>Support</v>
      </c>
      <c r="X59">
        <f>survey_responses[[#This Row],[Tôi tin rằng Nhà nước, cơ quan thuế có đủ khả năng và công nghệ để phát hiện, xử lý nghiêm các hành vi trốn thuế. - HUMAN-ENF2]]</f>
        <v>5</v>
      </c>
      <c r="Y59" t="str">
        <f t="shared" si="4"/>
        <v>Neutral</v>
      </c>
      <c r="Z59" s="31">
        <f t="shared" si="5"/>
        <v>3</v>
      </c>
      <c r="AA59">
        <f>step3_validation[[#This Row],[AI_FAC1]]</f>
        <v>6</v>
      </c>
      <c r="AB59" t="str">
        <f t="shared" si="6"/>
        <v>Neutral</v>
      </c>
      <c r="AC59">
        <f>survey_responses[[#This Row],[Các thủ tục khai báo thuế VÀ/HOẶC quy trình làm việc với cơ quan thuế đơn giản, tiện lợi, nhanh chóng hơn so với trước đây. - HUMAN-FAC1]]</f>
        <v>4</v>
      </c>
      <c r="AD59" t="str">
        <f t="shared" si="7"/>
        <v>Oppose</v>
      </c>
      <c r="AE59" s="31">
        <f t="shared" si="8"/>
        <v>2</v>
      </c>
      <c r="AF59">
        <f>step3_validation[[#This Row],[AI_FAC2]]</f>
        <v>9</v>
      </c>
      <c r="AG59" t="str">
        <f t="shared" si="9"/>
        <v>Support</v>
      </c>
      <c r="AH59">
        <f>survey_responses[[#This Row],[So với trước đây, tôi thấy cách tính thuế và các bậc thuế trong phương án mới đơn giản, dễ hiểu và dễ thực hiện hơn. - HUMAN-FAC2]]</f>
        <v>8</v>
      </c>
      <c r="AI59" t="str">
        <f t="shared" si="10"/>
        <v>Support</v>
      </c>
      <c r="AJ59" s="31">
        <f t="shared" si="11"/>
        <v>1</v>
      </c>
      <c r="AK59">
        <f>step3_validation[[#This Row],[AI_TRU1]]</f>
        <v>7</v>
      </c>
      <c r="AL59" t="str">
        <f t="shared" si="12"/>
        <v>Neutral</v>
      </c>
      <c r="AM59">
        <f>survey_responses[[#This Row],[Tôi tin rằng Nhà nước, cơ quan thuế sẽ thực thi chính sách mới một cách khách quan, công tâm và đối xử bình đẳng với mọi người nộp thuế.  - HUMAN-TRU1]]</f>
        <v>5</v>
      </c>
      <c r="AN59" t="str">
        <f t="shared" si="13"/>
        <v>Neutral</v>
      </c>
      <c r="AO59" s="31">
        <f t="shared" si="14"/>
        <v>2</v>
      </c>
      <c r="AP59">
        <f>step3_validation[[#This Row],[AI_TRU2]]</f>
        <v>9</v>
      </c>
      <c r="AQ59" t="str">
        <f t="shared" si="15"/>
        <v>Support</v>
      </c>
      <c r="AR59">
        <f>survey_responses[[#This Row],[Tôi thấy mức thuế tôi phải đóng theo phương án mới là công bằng (người thu nhập như tôi đóng mức này là hợp lý). - HUMAN-TRU2]]</f>
        <v>7</v>
      </c>
      <c r="AS59" t="str">
        <f t="shared" si="16"/>
        <v>Neutral</v>
      </c>
      <c r="AT59" s="31">
        <f t="shared" si="17"/>
        <v>2</v>
      </c>
      <c r="AU59">
        <f>step3_validation[[#This Row],[AI_TRU3]]</f>
        <v>8</v>
      </c>
      <c r="AV59" t="str">
        <f t="shared" si="18"/>
        <v>Support</v>
      </c>
      <c r="AW59">
        <f>survey_responses[[#This Row],[Tôi tin tưởng số tiền thuế tôi đóng sẽ được Nhà nước sử dụng hiệu quả để cải thiện dịch vụ công (y tế, đường xá...). - HUMAN-TRU3]]</f>
        <v>7</v>
      </c>
      <c r="AX59" t="str">
        <f t="shared" si="19"/>
        <v>Neutral</v>
      </c>
      <c r="AY59" s="31">
        <f t="shared" si="20"/>
        <v>1</v>
      </c>
      <c r="AZ59">
        <f>step3_validation[[#This Row],[AI_TRU4]]</f>
        <v>7</v>
      </c>
      <c r="BA59" t="str">
        <f t="shared" si="21"/>
        <v>Neutral</v>
      </c>
      <c r="BB59">
        <f>survey_responses[[#This Row],[Tôi thấy Nhà nước đã giải thích rõ ràng, minh bạch về lý do và mục tiêu của việc sửa đổi thuế lần này. - HUMAN-TRU4]]</f>
        <v>7</v>
      </c>
      <c r="BC59" t="str">
        <f t="shared" si="22"/>
        <v>Neutral</v>
      </c>
      <c r="BD59" s="31">
        <f t="shared" si="23"/>
        <v>0</v>
      </c>
      <c r="BE59">
        <f>step3_validation[[#This Row],[AI_OUT1]]</f>
        <v>9</v>
      </c>
      <c r="BF59" t="str">
        <f t="shared" si="24"/>
        <v>Support</v>
      </c>
      <c r="BG59">
        <f>survey_responses[[#This Row],[Sau khi xem xét các quyền lợi và nghĩa vụ, bạn có ủng hộ và tuân thủ chính sách mới hiện nay? - HUMAN-OUT1]]</f>
        <v>7</v>
      </c>
      <c r="BH59" t="str">
        <f t="shared" si="25"/>
        <v>Neutral</v>
      </c>
      <c r="BI59" s="31">
        <f t="shared" si="26"/>
        <v>2</v>
      </c>
    </row>
    <row r="60" spans="1:61" x14ac:dyDescent="0.45">
      <c r="A60" s="29">
        <f>step3_validation[[#This Row],[Persona_ID]]</f>
        <v>59</v>
      </c>
      <c r="B60" s="30">
        <f>step3_validation[[#This Row],[Used_Seed]]</f>
        <v>100</v>
      </c>
      <c r="C60" t="str">
        <f>step3_validation[[#This Row],[Gender]]</f>
        <v>Nữ</v>
      </c>
      <c r="D60" t="str">
        <f>survey_responses[[#This Row],[Giới tính của bạn:]]</f>
        <v>Nữ</v>
      </c>
      <c r="E60" t="str">
        <f>step3_validation[[#This Row],[Age_Group]]</f>
        <v>18 - 24</v>
      </c>
      <c r="F60" t="str">
        <f>survey_responses[[#This Row],[Độ tuổi của bạn:]]</f>
        <v>18 - 24</v>
      </c>
      <c r="G60" t="str">
        <f>step3_validation[[#This Row],[Region]]</f>
        <v>Thành thị</v>
      </c>
      <c r="H60" t="str">
        <f>survey_responses[[#This Row],[Khu vực bạn đang sinh sống:]]</f>
        <v>Thành thị</v>
      </c>
      <c r="I60" t="str">
        <f>step3_validation[[#This Row],[Education]]</f>
        <v>Đại học</v>
      </c>
      <c r="J60" t="str">
        <f>survey_responses[[#This Row],[Trình độ học vấn cao nhất:]]</f>
        <v>Đại học</v>
      </c>
      <c r="K60" t="str">
        <f>step3_validation[[#This Row],[Employment]]</f>
        <v>Phi chính thức</v>
      </c>
      <c r="L60" t="str">
        <f>survey_responses[[#This Row],[Tình trạng việc làm chính:]]</f>
        <v>Khu vực phi chính thức (Lao động tự do, không có HĐLĐ)</v>
      </c>
      <c r="M60">
        <f>step3_validation[[#This Row],[Income_Mil]]</f>
        <v>12</v>
      </c>
      <c r="N60" t="str">
        <f>survey_responses[[#This Row],[Thu nhập bình quân tháng theo Hợp đồng lao động của bạn là bao nhiêu? (Vui lòng điền tổng thu nhập trước khi khấu trừ các loại Bảo hiểm (BHXH, BHYT, BHTN) và Thuế TNCN)]]</f>
        <v>Dưới 12 triệu VNĐ</v>
      </c>
      <c r="O60">
        <f>step3_validation[[#This Row],[Dependents]]</f>
        <v>0</v>
      </c>
      <c r="P60" t="str">
        <f>survey_responses[[#This Row],[Số người phụ thuộc (con nhỏ, cha mẹ già...) đủ điều kiện giảm trừ gia cảnh:]]</f>
        <v>0 người</v>
      </c>
      <c r="Q60">
        <f>step3_validation[[#This Row],[AI_ENF1]]</f>
        <v>7</v>
      </c>
      <c r="R60" t="str">
        <f t="shared" si="0"/>
        <v>Neutral</v>
      </c>
      <c r="S60">
        <f>survey_responses[[#This Row],[Tôi tin rằng với các quy định quản lý thuế hiện nay, hành vi gian lận hoặc trốn thuế sẽ dễ dàng bị phát hiện và xử lý nghiêm. - HUMAN-ENF1]]</f>
        <v>9</v>
      </c>
      <c r="T60" t="str">
        <f t="shared" si="1"/>
        <v>Support</v>
      </c>
      <c r="U60" s="31">
        <f t="shared" si="2"/>
        <v>2</v>
      </c>
      <c r="V60">
        <f>step3_validation[[#This Row],[AI_ENF2]]</f>
        <v>6</v>
      </c>
      <c r="W60" t="str">
        <f t="shared" si="3"/>
        <v>Neutral</v>
      </c>
      <c r="X60">
        <f>survey_responses[[#This Row],[Tôi tin rằng Nhà nước, cơ quan thuế có đủ khả năng và công nghệ để phát hiện, xử lý nghiêm các hành vi trốn thuế. - HUMAN-ENF2]]</f>
        <v>9</v>
      </c>
      <c r="Y60" t="str">
        <f t="shared" si="4"/>
        <v>Support</v>
      </c>
      <c r="Z60" s="31">
        <f t="shared" si="5"/>
        <v>3</v>
      </c>
      <c r="AA60">
        <f>step3_validation[[#This Row],[AI_FAC1]]</f>
        <v>9</v>
      </c>
      <c r="AB60" t="str">
        <f t="shared" si="6"/>
        <v>Support</v>
      </c>
      <c r="AC60">
        <f>survey_responses[[#This Row],[Các thủ tục khai báo thuế VÀ/HOẶC quy trình làm việc với cơ quan thuế đơn giản, tiện lợi, nhanh chóng hơn so với trước đây. - HUMAN-FAC1]]</f>
        <v>9</v>
      </c>
      <c r="AD60" t="str">
        <f t="shared" si="7"/>
        <v>Support</v>
      </c>
      <c r="AE60" s="31">
        <f t="shared" si="8"/>
        <v>0</v>
      </c>
      <c r="AF60">
        <f>step3_validation[[#This Row],[AI_FAC2]]</f>
        <v>8</v>
      </c>
      <c r="AG60" t="str">
        <f t="shared" si="9"/>
        <v>Support</v>
      </c>
      <c r="AH60">
        <f>survey_responses[[#This Row],[So với trước đây, tôi thấy cách tính thuế và các bậc thuế trong phương án mới đơn giản, dễ hiểu và dễ thực hiện hơn. - HUMAN-FAC2]]</f>
        <v>7</v>
      </c>
      <c r="AI60" t="str">
        <f t="shared" si="10"/>
        <v>Neutral</v>
      </c>
      <c r="AJ60" s="31">
        <f t="shared" si="11"/>
        <v>1</v>
      </c>
      <c r="AK60">
        <f>step3_validation[[#This Row],[AI_TRU1]]</f>
        <v>7</v>
      </c>
      <c r="AL60" t="str">
        <f t="shared" si="12"/>
        <v>Neutral</v>
      </c>
      <c r="AM60">
        <f>survey_responses[[#This Row],[Tôi tin rằng Nhà nước, cơ quan thuế sẽ thực thi chính sách mới một cách khách quan, công tâm và đối xử bình đẳng với mọi người nộp thuế.  - HUMAN-TRU1]]</f>
        <v>7</v>
      </c>
      <c r="AN60" t="str">
        <f t="shared" si="13"/>
        <v>Neutral</v>
      </c>
      <c r="AO60" s="31">
        <f t="shared" si="14"/>
        <v>0</v>
      </c>
      <c r="AP60">
        <f>step3_validation[[#This Row],[AI_TRU2]]</f>
        <v>8</v>
      </c>
      <c r="AQ60" t="str">
        <f t="shared" si="15"/>
        <v>Support</v>
      </c>
      <c r="AR60">
        <f>survey_responses[[#This Row],[Tôi thấy mức thuế tôi phải đóng theo phương án mới là công bằng (người thu nhập như tôi đóng mức này là hợp lý). - HUMAN-TRU2]]</f>
        <v>8</v>
      </c>
      <c r="AS60" t="str">
        <f t="shared" si="16"/>
        <v>Support</v>
      </c>
      <c r="AT60" s="31">
        <f t="shared" si="17"/>
        <v>0</v>
      </c>
      <c r="AU60">
        <f>step3_validation[[#This Row],[AI_TRU3]]</f>
        <v>7</v>
      </c>
      <c r="AV60" t="str">
        <f t="shared" si="18"/>
        <v>Neutral</v>
      </c>
      <c r="AW60">
        <f>survey_responses[[#This Row],[Tôi tin tưởng số tiền thuế tôi đóng sẽ được Nhà nước sử dụng hiệu quả để cải thiện dịch vụ công (y tế, đường xá...). - HUMAN-TRU3]]</f>
        <v>8</v>
      </c>
      <c r="AX60" t="str">
        <f t="shared" si="19"/>
        <v>Support</v>
      </c>
      <c r="AY60" s="31">
        <f t="shared" si="20"/>
        <v>1</v>
      </c>
      <c r="AZ60">
        <f>step3_validation[[#This Row],[AI_TRU4]]</f>
        <v>8</v>
      </c>
      <c r="BA60" t="str">
        <f t="shared" si="21"/>
        <v>Support</v>
      </c>
      <c r="BB60">
        <f>survey_responses[[#This Row],[Tôi thấy Nhà nước đã giải thích rõ ràng, minh bạch về lý do và mục tiêu của việc sửa đổi thuế lần này. - HUMAN-TRU4]]</f>
        <v>6</v>
      </c>
      <c r="BC60" t="str">
        <f t="shared" si="22"/>
        <v>Neutral</v>
      </c>
      <c r="BD60" s="31">
        <f t="shared" si="23"/>
        <v>2</v>
      </c>
      <c r="BE60">
        <f>step3_validation[[#This Row],[AI_OUT1]]</f>
        <v>9</v>
      </c>
      <c r="BF60" t="str">
        <f t="shared" si="24"/>
        <v>Support</v>
      </c>
      <c r="BG60">
        <f>survey_responses[[#This Row],[Sau khi xem xét các quyền lợi và nghĩa vụ, bạn có ủng hộ và tuân thủ chính sách mới hiện nay? - HUMAN-OUT1]]</f>
        <v>5</v>
      </c>
      <c r="BH60" t="str">
        <f t="shared" si="25"/>
        <v>Neutral</v>
      </c>
      <c r="BI60" s="31">
        <f t="shared" si="26"/>
        <v>4</v>
      </c>
    </row>
    <row r="61" spans="1:61" hidden="1" x14ac:dyDescent="0.45">
      <c r="A61" s="29">
        <f>step3_validation[[#This Row],[Persona_ID]]</f>
        <v>60</v>
      </c>
      <c r="B61" s="30">
        <f>step3_validation[[#This Row],[Used_Seed]]</f>
        <v>101</v>
      </c>
      <c r="C61" t="str">
        <f>step3_validation[[#This Row],[Gender]]</f>
        <v>Nam</v>
      </c>
      <c r="D61" t="str">
        <f>survey_responses[[#This Row],[Giới tính của bạn:]]</f>
        <v>Nam</v>
      </c>
      <c r="E61" t="str">
        <f>step3_validation[[#This Row],[Age_Group]]</f>
        <v>25 - 29</v>
      </c>
      <c r="F61" t="str">
        <f>survey_responses[[#This Row],[Độ tuổi của bạn:]]</f>
        <v>25 - 29</v>
      </c>
      <c r="G61" t="str">
        <f>step3_validation[[#This Row],[Region]]</f>
        <v>Thành thị</v>
      </c>
      <c r="H61" t="str">
        <f>survey_responses[[#This Row],[Khu vực bạn đang sinh sống:]]</f>
        <v>Thành thị</v>
      </c>
      <c r="I61" t="str">
        <f>step3_validation[[#This Row],[Education]]</f>
        <v>Đại học</v>
      </c>
      <c r="J61" t="str">
        <f>survey_responses[[#This Row],[Trình độ học vấn cao nhất:]]</f>
        <v>Đại học</v>
      </c>
      <c r="K61" t="str">
        <f>step3_validation[[#This Row],[Employment]]</f>
        <v>Chính thức</v>
      </c>
      <c r="L61" t="str">
        <f>survey_responses[[#This Row],[Tình trạng việc làm chính:]]</f>
        <v>Khu vực chính thức (Có Hợp đồng lao động, đóng BHXH)</v>
      </c>
      <c r="M61">
        <f>step3_validation[[#This Row],[Income_Mil]]</f>
        <v>15.883714148666074</v>
      </c>
      <c r="N61" t="str">
        <f>survey_responses[[#This Row],[Thu nhập bình quân tháng theo Hợp đồng lao động của bạn là bao nhiêu? (Vui lòng điền tổng thu nhập trước khi khấu trừ các loại Bảo hiểm (BHXH, BHYT, BHTN) và Thuế TNCN)]]</f>
        <v>Từ 12 - 18 triệu VNĐ</v>
      </c>
      <c r="O61">
        <f>step3_validation[[#This Row],[Dependents]]</f>
        <v>0</v>
      </c>
      <c r="P61" t="str">
        <f>survey_responses[[#This Row],[Số người phụ thuộc (con nhỏ, cha mẹ già...) đủ điều kiện giảm trừ gia cảnh:]]</f>
        <v>0 người</v>
      </c>
      <c r="Q61">
        <f>step3_validation[[#This Row],[AI_ENF1]]</f>
        <v>7</v>
      </c>
      <c r="R61" t="str">
        <f t="shared" si="0"/>
        <v>Neutral</v>
      </c>
      <c r="S61">
        <f>survey_responses[[#This Row],[Tôi tin rằng với các quy định quản lý thuế hiện nay, hành vi gian lận hoặc trốn thuế sẽ dễ dàng bị phát hiện và xử lý nghiêm. - HUMAN-ENF1]]</f>
        <v>5</v>
      </c>
      <c r="T61" t="str">
        <f t="shared" si="1"/>
        <v>Neutral</v>
      </c>
      <c r="U61" s="31">
        <f t="shared" si="2"/>
        <v>2</v>
      </c>
      <c r="V61">
        <f>step3_validation[[#This Row],[AI_ENF2]]</f>
        <v>8</v>
      </c>
      <c r="W61" t="str">
        <f t="shared" si="3"/>
        <v>Support</v>
      </c>
      <c r="X61">
        <f>survey_responses[[#This Row],[Tôi tin rằng Nhà nước, cơ quan thuế có đủ khả năng và công nghệ để phát hiện, xử lý nghiêm các hành vi trốn thuế. - HUMAN-ENF2]]</f>
        <v>5</v>
      </c>
      <c r="Y61" t="str">
        <f t="shared" si="4"/>
        <v>Neutral</v>
      </c>
      <c r="Z61" s="31">
        <f t="shared" si="5"/>
        <v>3</v>
      </c>
      <c r="AA61">
        <f>step3_validation[[#This Row],[AI_FAC1]]</f>
        <v>9</v>
      </c>
      <c r="AB61" t="str">
        <f t="shared" si="6"/>
        <v>Support</v>
      </c>
      <c r="AC61">
        <f>survey_responses[[#This Row],[Các thủ tục khai báo thuế VÀ/HOẶC quy trình làm việc với cơ quan thuế đơn giản, tiện lợi, nhanh chóng hơn so với trước đây. - HUMAN-FAC1]]</f>
        <v>5</v>
      </c>
      <c r="AD61" t="str">
        <f t="shared" si="7"/>
        <v>Neutral</v>
      </c>
      <c r="AE61" s="31">
        <f t="shared" si="8"/>
        <v>4</v>
      </c>
      <c r="AF61">
        <f>step3_validation[[#This Row],[AI_FAC2]]</f>
        <v>9</v>
      </c>
      <c r="AG61" t="str">
        <f t="shared" si="9"/>
        <v>Support</v>
      </c>
      <c r="AH61">
        <f>survey_responses[[#This Row],[So với trước đây, tôi thấy cách tính thuế và các bậc thuế trong phương án mới đơn giản, dễ hiểu và dễ thực hiện hơn. - HUMAN-FAC2]]</f>
        <v>5</v>
      </c>
      <c r="AI61" t="str">
        <f t="shared" si="10"/>
        <v>Neutral</v>
      </c>
      <c r="AJ61" s="31">
        <f t="shared" si="11"/>
        <v>4</v>
      </c>
      <c r="AK61">
        <f>step3_validation[[#This Row],[AI_TRU1]]</f>
        <v>8</v>
      </c>
      <c r="AL61" t="str">
        <f t="shared" si="12"/>
        <v>Support</v>
      </c>
      <c r="AM61">
        <f>survey_responses[[#This Row],[Tôi tin rằng Nhà nước, cơ quan thuế sẽ thực thi chính sách mới một cách khách quan, công tâm và đối xử bình đẳng với mọi người nộp thuế.  - HUMAN-TRU1]]</f>
        <v>5</v>
      </c>
      <c r="AN61" t="str">
        <f t="shared" si="13"/>
        <v>Neutral</v>
      </c>
      <c r="AO61" s="31">
        <f t="shared" si="14"/>
        <v>3</v>
      </c>
      <c r="AP61">
        <f>step3_validation[[#This Row],[AI_TRU2]]</f>
        <v>9</v>
      </c>
      <c r="AQ61" t="str">
        <f t="shared" si="15"/>
        <v>Support</v>
      </c>
      <c r="AR61">
        <f>survey_responses[[#This Row],[Tôi thấy mức thuế tôi phải đóng theo phương án mới là công bằng (người thu nhập như tôi đóng mức này là hợp lý). - HUMAN-TRU2]]</f>
        <v>8</v>
      </c>
      <c r="AS61" t="str">
        <f t="shared" si="16"/>
        <v>Support</v>
      </c>
      <c r="AT61" s="31">
        <f t="shared" si="17"/>
        <v>1</v>
      </c>
      <c r="AU61">
        <f>step3_validation[[#This Row],[AI_TRU3]]</f>
        <v>8</v>
      </c>
      <c r="AV61" t="str">
        <f t="shared" si="18"/>
        <v>Support</v>
      </c>
      <c r="AW61">
        <f>survey_responses[[#This Row],[Tôi tin tưởng số tiền thuế tôi đóng sẽ được Nhà nước sử dụng hiệu quả để cải thiện dịch vụ công (y tế, đường xá...). - HUMAN-TRU3]]</f>
        <v>4</v>
      </c>
      <c r="AX61" t="str">
        <f t="shared" si="19"/>
        <v>Oppose</v>
      </c>
      <c r="AY61" s="31">
        <f t="shared" si="20"/>
        <v>4</v>
      </c>
      <c r="AZ61">
        <f>step3_validation[[#This Row],[AI_TRU4]]</f>
        <v>9</v>
      </c>
      <c r="BA61" t="str">
        <f t="shared" si="21"/>
        <v>Support</v>
      </c>
      <c r="BB61">
        <f>survey_responses[[#This Row],[Tôi thấy Nhà nước đã giải thích rõ ràng, minh bạch về lý do và mục tiêu của việc sửa đổi thuế lần này. - HUMAN-TRU4]]</f>
        <v>5</v>
      </c>
      <c r="BC61" t="str">
        <f t="shared" si="22"/>
        <v>Neutral</v>
      </c>
      <c r="BD61" s="31">
        <f t="shared" si="23"/>
        <v>4</v>
      </c>
      <c r="BE61">
        <f>step3_validation[[#This Row],[AI_OUT1]]</f>
        <v>10</v>
      </c>
      <c r="BF61" t="str">
        <f t="shared" si="24"/>
        <v>Support</v>
      </c>
      <c r="BG61">
        <f>survey_responses[[#This Row],[Sau khi xem xét các quyền lợi và nghĩa vụ, bạn có ủng hộ và tuân thủ chính sách mới hiện nay? - HUMAN-OUT1]]</f>
        <v>5</v>
      </c>
      <c r="BH61" t="str">
        <f t="shared" si="25"/>
        <v>Neutral</v>
      </c>
      <c r="BI61" s="31">
        <f t="shared" si="26"/>
        <v>5</v>
      </c>
    </row>
    <row r="62" spans="1:61" hidden="1" x14ac:dyDescent="0.45">
      <c r="A62" s="29">
        <f>step3_validation[[#This Row],[Persona_ID]]</f>
        <v>61</v>
      </c>
      <c r="B62" s="30">
        <f>step3_validation[[#This Row],[Used_Seed]]</f>
        <v>102</v>
      </c>
      <c r="C62" t="str">
        <f>step3_validation[[#This Row],[Gender]]</f>
        <v>Nữ</v>
      </c>
      <c r="D62" t="str">
        <f>survey_responses[[#This Row],[Giới tính của bạn:]]</f>
        <v>Nữ</v>
      </c>
      <c r="E62" t="str">
        <f>step3_validation[[#This Row],[Age_Group]]</f>
        <v>30 - 39</v>
      </c>
      <c r="F62" t="str">
        <f>survey_responses[[#This Row],[Độ tuổi của bạn:]]</f>
        <v>30 - 39</v>
      </c>
      <c r="G62" t="str">
        <f>step3_validation[[#This Row],[Region]]</f>
        <v>Thành thị</v>
      </c>
      <c r="H62" t="str">
        <f>survey_responses[[#This Row],[Khu vực bạn đang sinh sống:]]</f>
        <v>Thành thị</v>
      </c>
      <c r="I62" t="str">
        <f>step3_validation[[#This Row],[Education]]</f>
        <v>Sau Đại học</v>
      </c>
      <c r="J62" t="str">
        <f>survey_responses[[#This Row],[Trình độ học vấn cao nhất:]]</f>
        <v>Sau Đại học</v>
      </c>
      <c r="K62" t="str">
        <f>step3_validation[[#This Row],[Employment]]</f>
        <v>Chính thức</v>
      </c>
      <c r="L62" t="str">
        <f>survey_responses[[#This Row],[Tình trạng việc làm chính:]]</f>
        <v>Khu vực chính thức (Có Hợp đồng lao động, đóng BHXH)</v>
      </c>
      <c r="M62">
        <f>step3_validation[[#This Row],[Income_Mil]]</f>
        <v>20.116602641598408</v>
      </c>
      <c r="N62" t="str">
        <f>survey_responses[[#This Row],[Thu nhập bình quân tháng theo Hợp đồng lao động của bạn là bao nhiêu? (Vui lòng điền tổng thu nhập trước khi khấu trừ các loại Bảo hiểm (BHXH, BHYT, BHTN) và Thuế TNCN)]]</f>
        <v>Từ 18 - 23 triệu VNĐ</v>
      </c>
      <c r="O62">
        <f>step3_validation[[#This Row],[Dependents]]</f>
        <v>1</v>
      </c>
      <c r="P62" t="str">
        <f>survey_responses[[#This Row],[Số người phụ thuộc (con nhỏ, cha mẹ già...) đủ điều kiện giảm trừ gia cảnh:]]</f>
        <v>1 người</v>
      </c>
      <c r="Q62">
        <f>step3_validation[[#This Row],[AI_ENF1]]</f>
        <v>8</v>
      </c>
      <c r="R62" t="str">
        <f t="shared" si="0"/>
        <v>Support</v>
      </c>
      <c r="S62">
        <f>survey_responses[[#This Row],[Tôi tin rằng với các quy định quản lý thuế hiện nay, hành vi gian lận hoặc trốn thuế sẽ dễ dàng bị phát hiện và xử lý nghiêm. - HUMAN-ENF1]]</f>
        <v>8</v>
      </c>
      <c r="T62" t="str">
        <f t="shared" si="1"/>
        <v>Support</v>
      </c>
      <c r="U62" s="31">
        <f t="shared" si="2"/>
        <v>0</v>
      </c>
      <c r="V62">
        <f>step3_validation[[#This Row],[AI_ENF2]]</f>
        <v>9</v>
      </c>
      <c r="W62" t="str">
        <f t="shared" si="3"/>
        <v>Support</v>
      </c>
      <c r="X62">
        <f>survey_responses[[#This Row],[Tôi tin rằng Nhà nước, cơ quan thuế có đủ khả năng và công nghệ để phát hiện, xử lý nghiêm các hành vi trốn thuế. - HUMAN-ENF2]]</f>
        <v>9</v>
      </c>
      <c r="Y62" t="str">
        <f t="shared" si="4"/>
        <v>Support</v>
      </c>
      <c r="Z62" s="31">
        <f t="shared" si="5"/>
        <v>0</v>
      </c>
      <c r="AA62">
        <f>step3_validation[[#This Row],[AI_FAC1]]</f>
        <v>8</v>
      </c>
      <c r="AB62" t="str">
        <f t="shared" si="6"/>
        <v>Support</v>
      </c>
      <c r="AC62">
        <f>survey_responses[[#This Row],[Các thủ tục khai báo thuế VÀ/HOẶC quy trình làm việc với cơ quan thuế đơn giản, tiện lợi, nhanh chóng hơn so với trước đây. - HUMAN-FAC1]]</f>
        <v>9</v>
      </c>
      <c r="AD62" t="str">
        <f t="shared" si="7"/>
        <v>Support</v>
      </c>
      <c r="AE62" s="31">
        <f t="shared" si="8"/>
        <v>1</v>
      </c>
      <c r="AF62">
        <f>step3_validation[[#This Row],[AI_FAC2]]</f>
        <v>9</v>
      </c>
      <c r="AG62" t="str">
        <f t="shared" si="9"/>
        <v>Support</v>
      </c>
      <c r="AH62">
        <f>survey_responses[[#This Row],[So với trước đây, tôi thấy cách tính thuế và các bậc thuế trong phương án mới đơn giản, dễ hiểu và dễ thực hiện hơn. - HUMAN-FAC2]]</f>
        <v>9</v>
      </c>
      <c r="AI62" t="str">
        <f t="shared" si="10"/>
        <v>Support</v>
      </c>
      <c r="AJ62" s="31">
        <f t="shared" si="11"/>
        <v>0</v>
      </c>
      <c r="AK62">
        <f>step3_validation[[#This Row],[AI_TRU1]]</f>
        <v>8</v>
      </c>
      <c r="AL62" t="str">
        <f t="shared" si="12"/>
        <v>Support</v>
      </c>
      <c r="AM62">
        <f>survey_responses[[#This Row],[Tôi tin rằng Nhà nước, cơ quan thuế sẽ thực thi chính sách mới một cách khách quan, công tâm và đối xử bình đẳng với mọi người nộp thuế.  - HUMAN-TRU1]]</f>
        <v>9</v>
      </c>
      <c r="AN62" t="str">
        <f t="shared" si="13"/>
        <v>Support</v>
      </c>
      <c r="AO62" s="31">
        <f t="shared" si="14"/>
        <v>1</v>
      </c>
      <c r="AP62">
        <f>step3_validation[[#This Row],[AI_TRU2]]</f>
        <v>9</v>
      </c>
      <c r="AQ62" t="str">
        <f t="shared" si="15"/>
        <v>Support</v>
      </c>
      <c r="AR62">
        <f>survey_responses[[#This Row],[Tôi thấy mức thuế tôi phải đóng theo phương án mới là công bằng (người thu nhập như tôi đóng mức này là hợp lý). - HUMAN-TRU2]]</f>
        <v>8</v>
      </c>
      <c r="AS62" t="str">
        <f t="shared" si="16"/>
        <v>Support</v>
      </c>
      <c r="AT62" s="31">
        <f t="shared" si="17"/>
        <v>1</v>
      </c>
      <c r="AU62">
        <f>step3_validation[[#This Row],[AI_TRU3]]</f>
        <v>8</v>
      </c>
      <c r="AV62" t="str">
        <f t="shared" si="18"/>
        <v>Support</v>
      </c>
      <c r="AW62">
        <f>survey_responses[[#This Row],[Tôi tin tưởng số tiền thuế tôi đóng sẽ được Nhà nước sử dụng hiệu quả để cải thiện dịch vụ công (y tế, đường xá...). - HUMAN-TRU3]]</f>
        <v>8</v>
      </c>
      <c r="AX62" t="str">
        <f t="shared" si="19"/>
        <v>Support</v>
      </c>
      <c r="AY62" s="31">
        <f t="shared" si="20"/>
        <v>0</v>
      </c>
      <c r="AZ62">
        <f>step3_validation[[#This Row],[AI_TRU4]]</f>
        <v>9</v>
      </c>
      <c r="BA62" t="str">
        <f t="shared" si="21"/>
        <v>Support</v>
      </c>
      <c r="BB62">
        <f>survey_responses[[#This Row],[Tôi thấy Nhà nước đã giải thích rõ ràng, minh bạch về lý do và mục tiêu của việc sửa đổi thuế lần này. - HUMAN-TRU4]]</f>
        <v>8</v>
      </c>
      <c r="BC62" t="str">
        <f t="shared" si="22"/>
        <v>Support</v>
      </c>
      <c r="BD62" s="31">
        <f t="shared" si="23"/>
        <v>1</v>
      </c>
      <c r="BE62">
        <f>step3_validation[[#This Row],[AI_OUT1]]</f>
        <v>8</v>
      </c>
      <c r="BF62" t="str">
        <f t="shared" si="24"/>
        <v>Support</v>
      </c>
      <c r="BG62">
        <f>survey_responses[[#This Row],[Sau khi xem xét các quyền lợi và nghĩa vụ, bạn có ủng hộ và tuân thủ chính sách mới hiện nay? - HUMAN-OUT1]]</f>
        <v>9</v>
      </c>
      <c r="BH62" t="str">
        <f t="shared" si="25"/>
        <v>Support</v>
      </c>
      <c r="BI62" s="31">
        <f t="shared" si="26"/>
        <v>1</v>
      </c>
    </row>
    <row r="63" spans="1:61" hidden="1" x14ac:dyDescent="0.45">
      <c r="A63" s="29">
        <f>step3_validation[[#This Row],[Persona_ID]]</f>
        <v>62</v>
      </c>
      <c r="B63" s="30">
        <f>step3_validation[[#This Row],[Used_Seed]]</f>
        <v>103</v>
      </c>
      <c r="C63" t="str">
        <f>step3_validation[[#This Row],[Gender]]</f>
        <v>Nữ</v>
      </c>
      <c r="D63" t="str">
        <f>survey_responses[[#This Row],[Giới tính của bạn:]]</f>
        <v>Nữ</v>
      </c>
      <c r="E63" t="str">
        <f>step3_validation[[#This Row],[Age_Group]]</f>
        <v>25 - 29</v>
      </c>
      <c r="F63" t="str">
        <f>survey_responses[[#This Row],[Độ tuổi của bạn:]]</f>
        <v>25 - 29</v>
      </c>
      <c r="G63" t="str">
        <f>step3_validation[[#This Row],[Region]]</f>
        <v>Thành thị</v>
      </c>
      <c r="H63" t="str">
        <f>survey_responses[[#This Row],[Khu vực bạn đang sinh sống:]]</f>
        <v>Thành thị</v>
      </c>
      <c r="I63" t="str">
        <f>step3_validation[[#This Row],[Education]]</f>
        <v>Sau Đại học</v>
      </c>
      <c r="J63" t="str">
        <f>survey_responses[[#This Row],[Trình độ học vấn cao nhất:]]</f>
        <v>Sau Đại học</v>
      </c>
      <c r="K63" t="str">
        <f>step3_validation[[#This Row],[Employment]]</f>
        <v>Chính thức</v>
      </c>
      <c r="L63" t="str">
        <f>survey_responses[[#This Row],[Tình trạng việc làm chính:]]</f>
        <v>Khu vực chính thức (Có Hợp đồng lao động, đóng BHXH)</v>
      </c>
      <c r="M63">
        <f>step3_validation[[#This Row],[Income_Mil]]</f>
        <v>29.967774228943657</v>
      </c>
      <c r="N63" t="str">
        <f>survey_responses[[#This Row],[Thu nhập bình quân tháng theo Hợp đồng lao động của bạn là bao nhiêu? (Vui lòng điền tổng thu nhập trước khi khấu trừ các loại Bảo hiểm (BHXH, BHYT, BHTN) và Thuế TNCN)]]</f>
        <v>Từ 23 - 32 triệu VNĐ</v>
      </c>
      <c r="O63">
        <f>step3_validation[[#This Row],[Dependents]]</f>
        <v>0</v>
      </c>
      <c r="P63" t="str">
        <f>survey_responses[[#This Row],[Số người phụ thuộc (con nhỏ, cha mẹ già...) đủ điều kiện giảm trừ gia cảnh:]]</f>
        <v>0 người</v>
      </c>
      <c r="Q63">
        <f>step3_validation[[#This Row],[AI_ENF1]]</f>
        <v>7</v>
      </c>
      <c r="R63" t="str">
        <f t="shared" si="0"/>
        <v>Neutral</v>
      </c>
      <c r="S63">
        <f>survey_responses[[#This Row],[Tôi tin rằng với các quy định quản lý thuế hiện nay, hành vi gian lận hoặc trốn thuế sẽ dễ dàng bị phát hiện và xử lý nghiêm. - HUMAN-ENF1]]</f>
        <v>9</v>
      </c>
      <c r="T63" t="str">
        <f t="shared" si="1"/>
        <v>Support</v>
      </c>
      <c r="U63" s="31">
        <f t="shared" si="2"/>
        <v>2</v>
      </c>
      <c r="V63">
        <f>step3_validation[[#This Row],[AI_ENF2]]</f>
        <v>8</v>
      </c>
      <c r="W63" t="str">
        <f t="shared" si="3"/>
        <v>Support</v>
      </c>
      <c r="X63">
        <f>survey_responses[[#This Row],[Tôi tin rằng Nhà nước, cơ quan thuế có đủ khả năng và công nghệ để phát hiện, xử lý nghiêm các hành vi trốn thuế. - HUMAN-ENF2]]</f>
        <v>9</v>
      </c>
      <c r="Y63" t="str">
        <f t="shared" si="4"/>
        <v>Support</v>
      </c>
      <c r="Z63" s="31">
        <f t="shared" si="5"/>
        <v>1</v>
      </c>
      <c r="AA63">
        <f>step3_validation[[#This Row],[AI_FAC1]]</f>
        <v>9</v>
      </c>
      <c r="AB63" t="str">
        <f t="shared" si="6"/>
        <v>Support</v>
      </c>
      <c r="AC63">
        <f>survey_responses[[#This Row],[Các thủ tục khai báo thuế VÀ/HOẶC quy trình làm việc với cơ quan thuế đơn giản, tiện lợi, nhanh chóng hơn so với trước đây. - HUMAN-FAC1]]</f>
        <v>7</v>
      </c>
      <c r="AD63" t="str">
        <f t="shared" si="7"/>
        <v>Neutral</v>
      </c>
      <c r="AE63" s="31">
        <f t="shared" si="8"/>
        <v>2</v>
      </c>
      <c r="AF63">
        <f>step3_validation[[#This Row],[AI_FAC2]]</f>
        <v>9</v>
      </c>
      <c r="AG63" t="str">
        <f t="shared" si="9"/>
        <v>Support</v>
      </c>
      <c r="AH63">
        <f>survey_responses[[#This Row],[So với trước đây, tôi thấy cách tính thuế và các bậc thuế trong phương án mới đơn giản, dễ hiểu và dễ thực hiện hơn. - HUMAN-FAC2]]</f>
        <v>6</v>
      </c>
      <c r="AI63" t="str">
        <f t="shared" si="10"/>
        <v>Neutral</v>
      </c>
      <c r="AJ63" s="31">
        <f t="shared" si="11"/>
        <v>3</v>
      </c>
      <c r="AK63">
        <f>step3_validation[[#This Row],[AI_TRU1]]</f>
        <v>8</v>
      </c>
      <c r="AL63" t="str">
        <f t="shared" si="12"/>
        <v>Support</v>
      </c>
      <c r="AM63">
        <f>survey_responses[[#This Row],[Tôi tin rằng Nhà nước, cơ quan thuế sẽ thực thi chính sách mới một cách khách quan, công tâm và đối xử bình đẳng với mọi người nộp thuế.  - HUMAN-TRU1]]</f>
        <v>7</v>
      </c>
      <c r="AN63" t="str">
        <f t="shared" si="13"/>
        <v>Neutral</v>
      </c>
      <c r="AO63" s="31">
        <f t="shared" si="14"/>
        <v>1</v>
      </c>
      <c r="AP63">
        <f>step3_validation[[#This Row],[AI_TRU2]]</f>
        <v>9</v>
      </c>
      <c r="AQ63" t="str">
        <f t="shared" si="15"/>
        <v>Support</v>
      </c>
      <c r="AR63">
        <f>survey_responses[[#This Row],[Tôi thấy mức thuế tôi phải đóng theo phương án mới là công bằng (người thu nhập như tôi đóng mức này là hợp lý). - HUMAN-TRU2]]</f>
        <v>5</v>
      </c>
      <c r="AS63" t="str">
        <f t="shared" si="16"/>
        <v>Neutral</v>
      </c>
      <c r="AT63" s="31">
        <f t="shared" si="17"/>
        <v>4</v>
      </c>
      <c r="AU63">
        <f>step3_validation[[#This Row],[AI_TRU3]]</f>
        <v>8</v>
      </c>
      <c r="AV63" t="str">
        <f t="shared" si="18"/>
        <v>Support</v>
      </c>
      <c r="AW63">
        <f>survey_responses[[#This Row],[Tôi tin tưởng số tiền thuế tôi đóng sẽ được Nhà nước sử dụng hiệu quả để cải thiện dịch vụ công (y tế, đường xá...). - HUMAN-TRU3]]</f>
        <v>6</v>
      </c>
      <c r="AX63" t="str">
        <f t="shared" si="19"/>
        <v>Neutral</v>
      </c>
      <c r="AY63" s="31">
        <f t="shared" si="20"/>
        <v>2</v>
      </c>
      <c r="AZ63">
        <f>step3_validation[[#This Row],[AI_TRU4]]</f>
        <v>9</v>
      </c>
      <c r="BA63" t="str">
        <f t="shared" si="21"/>
        <v>Support</v>
      </c>
      <c r="BB63">
        <f>survey_responses[[#This Row],[Tôi thấy Nhà nước đã giải thích rõ ràng, minh bạch về lý do và mục tiêu của việc sửa đổi thuế lần này. - HUMAN-TRU4]]</f>
        <v>8</v>
      </c>
      <c r="BC63" t="str">
        <f t="shared" si="22"/>
        <v>Support</v>
      </c>
      <c r="BD63" s="31">
        <f t="shared" si="23"/>
        <v>1</v>
      </c>
      <c r="BE63">
        <f>step3_validation[[#This Row],[AI_OUT1]]</f>
        <v>8</v>
      </c>
      <c r="BF63" t="str">
        <f t="shared" si="24"/>
        <v>Support</v>
      </c>
      <c r="BG63">
        <f>survey_responses[[#This Row],[Sau khi xem xét các quyền lợi và nghĩa vụ, bạn có ủng hộ và tuân thủ chính sách mới hiện nay? - HUMAN-OUT1]]</f>
        <v>5</v>
      </c>
      <c r="BH63" t="str">
        <f t="shared" si="25"/>
        <v>Neutral</v>
      </c>
      <c r="BI63" s="31">
        <f t="shared" si="26"/>
        <v>3</v>
      </c>
    </row>
    <row r="64" spans="1:61" hidden="1" x14ac:dyDescent="0.45">
      <c r="A64" s="29">
        <f>step3_validation[[#This Row],[Persona_ID]]</f>
        <v>63</v>
      </c>
      <c r="B64" s="30">
        <f>step3_validation[[#This Row],[Used_Seed]]</f>
        <v>104</v>
      </c>
      <c r="C64" t="str">
        <f>step3_validation[[#This Row],[Gender]]</f>
        <v>Nữ</v>
      </c>
      <c r="D64" t="str">
        <f>survey_responses[[#This Row],[Giới tính của bạn:]]</f>
        <v>Nữ</v>
      </c>
      <c r="E64" t="str">
        <f>step3_validation[[#This Row],[Age_Group]]</f>
        <v>50 - 54</v>
      </c>
      <c r="F64" t="str">
        <f>survey_responses[[#This Row],[Độ tuổi của bạn:]]</f>
        <v>50 - 54</v>
      </c>
      <c r="G64" t="str">
        <f>step3_validation[[#This Row],[Region]]</f>
        <v>Nông thôn</v>
      </c>
      <c r="H64" t="str">
        <f>survey_responses[[#This Row],[Khu vực bạn đang sinh sống:]]</f>
        <v>Nông thôn</v>
      </c>
      <c r="I64" t="str">
        <f>step3_validation[[#This Row],[Education]]</f>
        <v>Đại học</v>
      </c>
      <c r="J64" t="str">
        <f>survey_responses[[#This Row],[Trình độ học vấn cao nhất:]]</f>
        <v>Đại học</v>
      </c>
      <c r="K64" t="str">
        <f>step3_validation[[#This Row],[Employment]]</f>
        <v>Chính thức</v>
      </c>
      <c r="L64" t="str">
        <f>survey_responses[[#This Row],[Tình trạng việc làm chính:]]</f>
        <v>Khu vực chính thức (Có Hợp đồng lao động, đóng BHXH)</v>
      </c>
      <c r="M64">
        <f>step3_validation[[#This Row],[Income_Mil]]</f>
        <v>21.039509606197019</v>
      </c>
      <c r="N64" t="str">
        <f>survey_responses[[#This Row],[Thu nhập bình quân tháng theo Hợp đồng lao động của bạn là bao nhiêu? (Vui lòng điền tổng thu nhập trước khi khấu trừ các loại Bảo hiểm (BHXH, BHYT, BHTN) và Thuế TNCN)]]</f>
        <v>Từ 18 - 23 triệu VNĐ</v>
      </c>
      <c r="O64">
        <f>step3_validation[[#This Row],[Dependents]]</f>
        <v>1</v>
      </c>
      <c r="P64" t="str">
        <f>survey_responses[[#This Row],[Số người phụ thuộc (con nhỏ, cha mẹ già...) đủ điều kiện giảm trừ gia cảnh:]]</f>
        <v>1 người</v>
      </c>
      <c r="Q64">
        <f>step3_validation[[#This Row],[AI_ENF1]]</f>
        <v>8</v>
      </c>
      <c r="R64" t="str">
        <f t="shared" si="0"/>
        <v>Support</v>
      </c>
      <c r="S64">
        <f>survey_responses[[#This Row],[Tôi tin rằng với các quy định quản lý thuế hiện nay, hành vi gian lận hoặc trốn thuế sẽ dễ dàng bị phát hiện và xử lý nghiêm. - HUMAN-ENF1]]</f>
        <v>9</v>
      </c>
      <c r="T64" t="str">
        <f t="shared" si="1"/>
        <v>Support</v>
      </c>
      <c r="U64" s="31">
        <f t="shared" si="2"/>
        <v>1</v>
      </c>
      <c r="V64">
        <f>step3_validation[[#This Row],[AI_ENF2]]</f>
        <v>7</v>
      </c>
      <c r="W64" t="str">
        <f t="shared" si="3"/>
        <v>Neutral</v>
      </c>
      <c r="X64">
        <f>survey_responses[[#This Row],[Tôi tin rằng Nhà nước, cơ quan thuế có đủ khả năng và công nghệ để phát hiện, xử lý nghiêm các hành vi trốn thuế. - HUMAN-ENF2]]</f>
        <v>9</v>
      </c>
      <c r="Y64" t="str">
        <f t="shared" si="4"/>
        <v>Support</v>
      </c>
      <c r="Z64" s="31">
        <f t="shared" si="5"/>
        <v>2</v>
      </c>
      <c r="AA64">
        <f>step3_validation[[#This Row],[AI_FAC1]]</f>
        <v>9</v>
      </c>
      <c r="AB64" t="str">
        <f t="shared" si="6"/>
        <v>Support</v>
      </c>
      <c r="AC64">
        <f>survey_responses[[#This Row],[Các thủ tục khai báo thuế VÀ/HOẶC quy trình làm việc với cơ quan thuế đơn giản, tiện lợi, nhanh chóng hơn so với trước đây. - HUMAN-FAC1]]</f>
        <v>9</v>
      </c>
      <c r="AD64" t="str">
        <f t="shared" si="7"/>
        <v>Support</v>
      </c>
      <c r="AE64" s="31">
        <f t="shared" si="8"/>
        <v>0</v>
      </c>
      <c r="AF64">
        <f>step3_validation[[#This Row],[AI_FAC2]]</f>
        <v>8</v>
      </c>
      <c r="AG64" t="str">
        <f t="shared" si="9"/>
        <v>Support</v>
      </c>
      <c r="AH64">
        <f>survey_responses[[#This Row],[So với trước đây, tôi thấy cách tính thuế và các bậc thuế trong phương án mới đơn giản, dễ hiểu và dễ thực hiện hơn. - HUMAN-FAC2]]</f>
        <v>9</v>
      </c>
      <c r="AI64" t="str">
        <f t="shared" si="10"/>
        <v>Support</v>
      </c>
      <c r="AJ64" s="31">
        <f t="shared" si="11"/>
        <v>1</v>
      </c>
      <c r="AK64">
        <f>step3_validation[[#This Row],[AI_TRU1]]</f>
        <v>9</v>
      </c>
      <c r="AL64" t="str">
        <f t="shared" si="12"/>
        <v>Support</v>
      </c>
      <c r="AM64">
        <f>survey_responses[[#This Row],[Tôi tin rằng Nhà nước, cơ quan thuế sẽ thực thi chính sách mới một cách khách quan, công tâm và đối xử bình đẳng với mọi người nộp thuế.  - HUMAN-TRU1]]</f>
        <v>8</v>
      </c>
      <c r="AN64" t="str">
        <f t="shared" si="13"/>
        <v>Support</v>
      </c>
      <c r="AO64" s="31">
        <f t="shared" si="14"/>
        <v>1</v>
      </c>
      <c r="AP64">
        <f>step3_validation[[#This Row],[AI_TRU2]]</f>
        <v>8</v>
      </c>
      <c r="AQ64" t="str">
        <f t="shared" si="15"/>
        <v>Support</v>
      </c>
      <c r="AR64">
        <f>survey_responses[[#This Row],[Tôi thấy mức thuế tôi phải đóng theo phương án mới là công bằng (người thu nhập như tôi đóng mức này là hợp lý). - HUMAN-TRU2]]</f>
        <v>9</v>
      </c>
      <c r="AS64" t="str">
        <f t="shared" si="16"/>
        <v>Support</v>
      </c>
      <c r="AT64" s="31">
        <f t="shared" si="17"/>
        <v>1</v>
      </c>
      <c r="AU64">
        <f>step3_validation[[#This Row],[AI_TRU3]]</f>
        <v>9</v>
      </c>
      <c r="AV64" t="str">
        <f t="shared" si="18"/>
        <v>Support</v>
      </c>
      <c r="AW64">
        <f>survey_responses[[#This Row],[Tôi tin tưởng số tiền thuế tôi đóng sẽ được Nhà nước sử dụng hiệu quả để cải thiện dịch vụ công (y tế, đường xá...). - HUMAN-TRU3]]</f>
        <v>9</v>
      </c>
      <c r="AX64" t="str">
        <f t="shared" si="19"/>
        <v>Support</v>
      </c>
      <c r="AY64" s="31">
        <f t="shared" si="20"/>
        <v>0</v>
      </c>
      <c r="AZ64">
        <f>step3_validation[[#This Row],[AI_TRU4]]</f>
        <v>8</v>
      </c>
      <c r="BA64" t="str">
        <f t="shared" si="21"/>
        <v>Support</v>
      </c>
      <c r="BB64">
        <f>survey_responses[[#This Row],[Tôi thấy Nhà nước đã giải thích rõ ràng, minh bạch về lý do và mục tiêu của việc sửa đổi thuế lần này. - HUMAN-TRU4]]</f>
        <v>8</v>
      </c>
      <c r="BC64" t="str">
        <f t="shared" si="22"/>
        <v>Support</v>
      </c>
      <c r="BD64" s="31">
        <f t="shared" si="23"/>
        <v>0</v>
      </c>
      <c r="BE64">
        <f>step3_validation[[#This Row],[AI_OUT1]]</f>
        <v>9</v>
      </c>
      <c r="BF64" t="str">
        <f t="shared" si="24"/>
        <v>Support</v>
      </c>
      <c r="BG64">
        <f>survey_responses[[#This Row],[Sau khi xem xét các quyền lợi và nghĩa vụ, bạn có ủng hộ và tuân thủ chính sách mới hiện nay? - HUMAN-OUT1]]</f>
        <v>7</v>
      </c>
      <c r="BH64" t="str">
        <f t="shared" si="25"/>
        <v>Neutral</v>
      </c>
      <c r="BI64" s="31">
        <f t="shared" si="26"/>
        <v>2</v>
      </c>
    </row>
    <row r="65" spans="1:61" hidden="1" x14ac:dyDescent="0.45">
      <c r="A65" s="29">
        <f>step3_validation[[#This Row],[Persona_ID]]</f>
        <v>64</v>
      </c>
      <c r="B65" s="30">
        <f>step3_validation[[#This Row],[Used_Seed]]</f>
        <v>105</v>
      </c>
      <c r="C65" t="str">
        <f>step3_validation[[#This Row],[Gender]]</f>
        <v>Nữ</v>
      </c>
      <c r="D65" t="str">
        <f>survey_responses[[#This Row],[Giới tính của bạn:]]</f>
        <v>Nữ</v>
      </c>
      <c r="E65" t="str">
        <f>step3_validation[[#This Row],[Age_Group]]</f>
        <v>30 - 39</v>
      </c>
      <c r="F65" t="str">
        <f>survey_responses[[#This Row],[Độ tuổi của bạn:]]</f>
        <v>30 - 39</v>
      </c>
      <c r="G65" t="str">
        <f>step3_validation[[#This Row],[Region]]</f>
        <v>Thành thị</v>
      </c>
      <c r="H65" t="str">
        <f>survey_responses[[#This Row],[Khu vực bạn đang sinh sống:]]</f>
        <v>Thành thị</v>
      </c>
      <c r="I65" t="str">
        <f>step3_validation[[#This Row],[Education]]</f>
        <v>Đại học</v>
      </c>
      <c r="J65" t="str">
        <f>survey_responses[[#This Row],[Trình độ học vấn cao nhất:]]</f>
        <v>Đại học</v>
      </c>
      <c r="K65" t="str">
        <f>step3_validation[[#This Row],[Employment]]</f>
        <v>Phi chính thức</v>
      </c>
      <c r="L65" t="str">
        <f>survey_responses[[#This Row],[Tình trạng việc làm chính:]]</f>
        <v>Khu vực phi chính thức (Lao động tự do, không có HĐLĐ)</v>
      </c>
      <c r="M65">
        <f>step3_validation[[#This Row],[Income_Mil]]</f>
        <v>120.54074400286268</v>
      </c>
      <c r="N65" t="str">
        <f>survey_responses[[#This Row],[Thu nhập bình quân tháng theo Hợp đồng lao động của bạn là bao nhiêu? (Vui lòng điền tổng thu nhập trước khi khấu trừ các loại Bảo hiểm (BHXH, BHYT, BHTN) và Thuế TNCN)]]</f>
        <v>Trên 102 triệu VNĐ</v>
      </c>
      <c r="O65">
        <f>step3_validation[[#This Row],[Dependents]]</f>
        <v>2</v>
      </c>
      <c r="P65" t="str">
        <f>survey_responses[[#This Row],[Số người phụ thuộc (con nhỏ, cha mẹ già...) đủ điều kiện giảm trừ gia cảnh:]]</f>
        <v>2 người</v>
      </c>
      <c r="Q65">
        <f>step3_validation[[#This Row],[AI_ENF1]]</f>
        <v>6</v>
      </c>
      <c r="R65" t="str">
        <f t="shared" si="0"/>
        <v>Neutral</v>
      </c>
      <c r="S65">
        <f>survey_responses[[#This Row],[Tôi tin rằng với các quy định quản lý thuế hiện nay, hành vi gian lận hoặc trốn thuế sẽ dễ dàng bị phát hiện và xử lý nghiêm. - HUMAN-ENF1]]</f>
        <v>9</v>
      </c>
      <c r="T65" t="str">
        <f t="shared" si="1"/>
        <v>Support</v>
      </c>
      <c r="U65" s="31">
        <f t="shared" si="2"/>
        <v>3</v>
      </c>
      <c r="V65">
        <f>step3_validation[[#This Row],[AI_ENF2]]</f>
        <v>7</v>
      </c>
      <c r="W65" t="str">
        <f t="shared" si="3"/>
        <v>Neutral</v>
      </c>
      <c r="X65">
        <f>survey_responses[[#This Row],[Tôi tin rằng Nhà nước, cơ quan thuế có đủ khả năng và công nghệ để phát hiện, xử lý nghiêm các hành vi trốn thuế. - HUMAN-ENF2]]</f>
        <v>10</v>
      </c>
      <c r="Y65" t="str">
        <f t="shared" si="4"/>
        <v>Support</v>
      </c>
      <c r="Z65" s="31">
        <f t="shared" si="5"/>
        <v>3</v>
      </c>
      <c r="AA65">
        <f>step3_validation[[#This Row],[AI_FAC1]]</f>
        <v>9</v>
      </c>
      <c r="AB65" t="str">
        <f t="shared" si="6"/>
        <v>Support</v>
      </c>
      <c r="AC65">
        <f>survey_responses[[#This Row],[Các thủ tục khai báo thuế VÀ/HOẶC quy trình làm việc với cơ quan thuế đơn giản, tiện lợi, nhanh chóng hơn so với trước đây. - HUMAN-FAC1]]</f>
        <v>9</v>
      </c>
      <c r="AD65" t="str">
        <f t="shared" si="7"/>
        <v>Support</v>
      </c>
      <c r="AE65" s="31">
        <f t="shared" si="8"/>
        <v>0</v>
      </c>
      <c r="AF65">
        <f>step3_validation[[#This Row],[AI_FAC2]]</f>
        <v>8</v>
      </c>
      <c r="AG65" t="str">
        <f t="shared" si="9"/>
        <v>Support</v>
      </c>
      <c r="AH65">
        <f>survey_responses[[#This Row],[So với trước đây, tôi thấy cách tính thuế và các bậc thuế trong phương án mới đơn giản, dễ hiểu và dễ thực hiện hơn. - HUMAN-FAC2]]</f>
        <v>10</v>
      </c>
      <c r="AI65" t="str">
        <f t="shared" si="10"/>
        <v>Support</v>
      </c>
      <c r="AJ65" s="31">
        <f t="shared" si="11"/>
        <v>2</v>
      </c>
      <c r="AK65">
        <f>step3_validation[[#This Row],[AI_TRU1]]</f>
        <v>9</v>
      </c>
      <c r="AL65" t="str">
        <f t="shared" si="12"/>
        <v>Support</v>
      </c>
      <c r="AM65">
        <f>survey_responses[[#This Row],[Tôi tin rằng Nhà nước, cơ quan thuế sẽ thực thi chính sách mới một cách khách quan, công tâm và đối xử bình đẳng với mọi người nộp thuế.  - HUMAN-TRU1]]</f>
        <v>10</v>
      </c>
      <c r="AN65" t="str">
        <f t="shared" si="13"/>
        <v>Support</v>
      </c>
      <c r="AO65" s="31">
        <f t="shared" si="14"/>
        <v>1</v>
      </c>
      <c r="AP65">
        <f>step3_validation[[#This Row],[AI_TRU2]]</f>
        <v>8</v>
      </c>
      <c r="AQ65" t="str">
        <f t="shared" si="15"/>
        <v>Support</v>
      </c>
      <c r="AR65">
        <f>survey_responses[[#This Row],[Tôi thấy mức thuế tôi phải đóng theo phương án mới là công bằng (người thu nhập như tôi đóng mức này là hợp lý). - HUMAN-TRU2]]</f>
        <v>5</v>
      </c>
      <c r="AS65" t="str">
        <f t="shared" si="16"/>
        <v>Neutral</v>
      </c>
      <c r="AT65" s="31">
        <f t="shared" si="17"/>
        <v>3</v>
      </c>
      <c r="AU65">
        <f>step3_validation[[#This Row],[AI_TRU3]]</f>
        <v>9</v>
      </c>
      <c r="AV65" t="str">
        <f t="shared" si="18"/>
        <v>Support</v>
      </c>
      <c r="AW65">
        <f>survey_responses[[#This Row],[Tôi tin tưởng số tiền thuế tôi đóng sẽ được Nhà nước sử dụng hiệu quả để cải thiện dịch vụ công (y tế, đường xá...). - HUMAN-TRU3]]</f>
        <v>10</v>
      </c>
      <c r="AX65" t="str">
        <f t="shared" si="19"/>
        <v>Support</v>
      </c>
      <c r="AY65" s="31">
        <f t="shared" si="20"/>
        <v>1</v>
      </c>
      <c r="AZ65">
        <f>step3_validation[[#This Row],[AI_TRU4]]</f>
        <v>7</v>
      </c>
      <c r="BA65" t="str">
        <f t="shared" si="21"/>
        <v>Neutral</v>
      </c>
      <c r="BB65">
        <f>survey_responses[[#This Row],[Tôi thấy Nhà nước đã giải thích rõ ràng, minh bạch về lý do và mục tiêu của việc sửa đổi thuế lần này. - HUMAN-TRU4]]</f>
        <v>7</v>
      </c>
      <c r="BC65" t="str">
        <f t="shared" si="22"/>
        <v>Neutral</v>
      </c>
      <c r="BD65" s="31">
        <f t="shared" si="23"/>
        <v>0</v>
      </c>
      <c r="BE65">
        <f>step3_validation[[#This Row],[AI_OUT1]]</f>
        <v>8</v>
      </c>
      <c r="BF65" t="str">
        <f t="shared" si="24"/>
        <v>Support</v>
      </c>
      <c r="BG65">
        <f>survey_responses[[#This Row],[Sau khi xem xét các quyền lợi và nghĩa vụ, bạn có ủng hộ và tuân thủ chính sách mới hiện nay? - HUMAN-OUT1]]</f>
        <v>9</v>
      </c>
      <c r="BH65" t="str">
        <f t="shared" si="25"/>
        <v>Support</v>
      </c>
      <c r="BI65" s="31">
        <f t="shared" si="26"/>
        <v>1</v>
      </c>
    </row>
    <row r="66" spans="1:61" x14ac:dyDescent="0.45">
      <c r="A66" s="29">
        <f>step3_validation[[#This Row],[Persona_ID]]</f>
        <v>65</v>
      </c>
      <c r="B66" s="30">
        <f>step3_validation[[#This Row],[Used_Seed]]</f>
        <v>106</v>
      </c>
      <c r="C66" t="str">
        <f>step3_validation[[#This Row],[Gender]]</f>
        <v>Nữ</v>
      </c>
      <c r="D66" t="str">
        <f>survey_responses[[#This Row],[Giới tính của bạn:]]</f>
        <v>Nữ</v>
      </c>
      <c r="E66" t="str">
        <f>step3_validation[[#This Row],[Age_Group]]</f>
        <v>40 - 49</v>
      </c>
      <c r="F66" t="str">
        <f>survey_responses[[#This Row],[Độ tuổi của bạn:]]</f>
        <v>40 - 49</v>
      </c>
      <c r="G66" t="str">
        <f>step3_validation[[#This Row],[Region]]</f>
        <v>Nông thôn</v>
      </c>
      <c r="H66" t="str">
        <f>survey_responses[[#This Row],[Khu vực bạn đang sinh sống:]]</f>
        <v>Nông thôn</v>
      </c>
      <c r="I66" t="str">
        <f>step3_validation[[#This Row],[Education]]</f>
        <v>Đại học</v>
      </c>
      <c r="J66" t="str">
        <f>survey_responses[[#This Row],[Trình độ học vấn cao nhất:]]</f>
        <v>Đại học</v>
      </c>
      <c r="K66" t="str">
        <f>step3_validation[[#This Row],[Employment]]</f>
        <v>Chính thức</v>
      </c>
      <c r="L66" t="str">
        <f>survey_responses[[#This Row],[Tình trạng việc làm chính:]]</f>
        <v>Khu vực chính thức (Có Hợp đồng lao động, đóng BHXH)</v>
      </c>
      <c r="M66">
        <f>step3_validation[[#This Row],[Income_Mil]]</f>
        <v>12</v>
      </c>
      <c r="N66" t="str">
        <f>survey_responses[[#This Row],[Thu nhập bình quân tháng theo Hợp đồng lao động của bạn là bao nhiêu? (Vui lòng điền tổng thu nhập trước khi khấu trừ các loại Bảo hiểm (BHXH, BHYT, BHTN) và Thuế TNCN)]]</f>
        <v>Dưới 12 triệu VNĐ</v>
      </c>
      <c r="O66">
        <f>step3_validation[[#This Row],[Dependents]]</f>
        <v>2</v>
      </c>
      <c r="P66" t="str">
        <f>survey_responses[[#This Row],[Số người phụ thuộc (con nhỏ, cha mẹ già...) đủ điều kiện giảm trừ gia cảnh:]]</f>
        <v>2 người</v>
      </c>
      <c r="Q66">
        <f>step3_validation[[#This Row],[AI_ENF1]]</f>
        <v>7</v>
      </c>
      <c r="R66" t="str">
        <f t="shared" si="0"/>
        <v>Neutral</v>
      </c>
      <c r="S66">
        <f>survey_responses[[#This Row],[Tôi tin rằng với các quy định quản lý thuế hiện nay, hành vi gian lận hoặc trốn thuế sẽ dễ dàng bị phát hiện và xử lý nghiêm. - HUMAN-ENF1]]</f>
        <v>10</v>
      </c>
      <c r="T66" t="str">
        <f t="shared" si="1"/>
        <v>Support</v>
      </c>
      <c r="U66" s="31">
        <f t="shared" si="2"/>
        <v>3</v>
      </c>
      <c r="V66">
        <f>step3_validation[[#This Row],[AI_ENF2]]</f>
        <v>8</v>
      </c>
      <c r="W66" t="str">
        <f t="shared" si="3"/>
        <v>Support</v>
      </c>
      <c r="X66">
        <f>survey_responses[[#This Row],[Tôi tin rằng Nhà nước, cơ quan thuế có đủ khả năng và công nghệ để phát hiện, xử lý nghiêm các hành vi trốn thuế. - HUMAN-ENF2]]</f>
        <v>10</v>
      </c>
      <c r="Y66" t="str">
        <f t="shared" si="4"/>
        <v>Support</v>
      </c>
      <c r="Z66" s="31">
        <f t="shared" si="5"/>
        <v>2</v>
      </c>
      <c r="AA66">
        <f>step3_validation[[#This Row],[AI_FAC1]]</f>
        <v>9</v>
      </c>
      <c r="AB66" t="str">
        <f t="shared" si="6"/>
        <v>Support</v>
      </c>
      <c r="AC66">
        <f>survey_responses[[#This Row],[Các thủ tục khai báo thuế VÀ/HOẶC quy trình làm việc với cơ quan thuế đơn giản, tiện lợi, nhanh chóng hơn so với trước đây. - HUMAN-FAC1]]</f>
        <v>10</v>
      </c>
      <c r="AD66" t="str">
        <f t="shared" si="7"/>
        <v>Support</v>
      </c>
      <c r="AE66" s="31">
        <f t="shared" si="8"/>
        <v>1</v>
      </c>
      <c r="AF66">
        <f>step3_validation[[#This Row],[AI_FAC2]]</f>
        <v>9</v>
      </c>
      <c r="AG66" t="str">
        <f t="shared" si="9"/>
        <v>Support</v>
      </c>
      <c r="AH66">
        <f>survey_responses[[#This Row],[So với trước đây, tôi thấy cách tính thuế và các bậc thuế trong phương án mới đơn giản, dễ hiểu và dễ thực hiện hơn. - HUMAN-FAC2]]</f>
        <v>10</v>
      </c>
      <c r="AI66" t="str">
        <f t="shared" si="10"/>
        <v>Support</v>
      </c>
      <c r="AJ66" s="31">
        <f t="shared" si="11"/>
        <v>1</v>
      </c>
      <c r="AK66">
        <f>step3_validation[[#This Row],[AI_TRU1]]</f>
        <v>8</v>
      </c>
      <c r="AL66" t="str">
        <f t="shared" si="12"/>
        <v>Support</v>
      </c>
      <c r="AM66">
        <f>survey_responses[[#This Row],[Tôi tin rằng Nhà nước, cơ quan thuế sẽ thực thi chính sách mới một cách khách quan, công tâm và đối xử bình đẳng với mọi người nộp thuế.  - HUMAN-TRU1]]</f>
        <v>10</v>
      </c>
      <c r="AN66" t="str">
        <f t="shared" si="13"/>
        <v>Support</v>
      </c>
      <c r="AO66" s="31">
        <f t="shared" si="14"/>
        <v>2</v>
      </c>
      <c r="AP66">
        <f>step3_validation[[#This Row],[AI_TRU2]]</f>
        <v>9</v>
      </c>
      <c r="AQ66" t="str">
        <f t="shared" si="15"/>
        <v>Support</v>
      </c>
      <c r="AR66">
        <f>survey_responses[[#This Row],[Tôi thấy mức thuế tôi phải đóng theo phương án mới là công bằng (người thu nhập như tôi đóng mức này là hợp lý). - HUMAN-TRU2]]</f>
        <v>10</v>
      </c>
      <c r="AS66" t="str">
        <f t="shared" si="16"/>
        <v>Support</v>
      </c>
      <c r="AT66" s="31">
        <f t="shared" si="17"/>
        <v>1</v>
      </c>
      <c r="AU66">
        <f>step3_validation[[#This Row],[AI_TRU3]]</f>
        <v>8</v>
      </c>
      <c r="AV66" t="str">
        <f t="shared" si="18"/>
        <v>Support</v>
      </c>
      <c r="AW66">
        <f>survey_responses[[#This Row],[Tôi tin tưởng số tiền thuế tôi đóng sẽ được Nhà nước sử dụng hiệu quả để cải thiện dịch vụ công (y tế, đường xá...). - HUMAN-TRU3]]</f>
        <v>10</v>
      </c>
      <c r="AX66" t="str">
        <f t="shared" si="19"/>
        <v>Support</v>
      </c>
      <c r="AY66" s="31">
        <f t="shared" si="20"/>
        <v>2</v>
      </c>
      <c r="AZ66">
        <f>step3_validation[[#This Row],[AI_TRU4]]</f>
        <v>8</v>
      </c>
      <c r="BA66" t="str">
        <f t="shared" si="21"/>
        <v>Support</v>
      </c>
      <c r="BB66">
        <f>survey_responses[[#This Row],[Tôi thấy Nhà nước đã giải thích rõ ràng, minh bạch về lý do và mục tiêu của việc sửa đổi thuế lần này. - HUMAN-TRU4]]</f>
        <v>10</v>
      </c>
      <c r="BC66" t="str">
        <f t="shared" si="22"/>
        <v>Support</v>
      </c>
      <c r="BD66" s="31">
        <f t="shared" si="23"/>
        <v>2</v>
      </c>
      <c r="BE66">
        <f>step3_validation[[#This Row],[AI_OUT1]]</f>
        <v>9</v>
      </c>
      <c r="BF66" t="str">
        <f t="shared" si="24"/>
        <v>Support</v>
      </c>
      <c r="BG66">
        <f>survey_responses[[#This Row],[Sau khi xem xét các quyền lợi và nghĩa vụ, bạn có ủng hộ và tuân thủ chính sách mới hiện nay? - HUMAN-OUT1]]</f>
        <v>10</v>
      </c>
      <c r="BH66" t="str">
        <f t="shared" si="25"/>
        <v>Support</v>
      </c>
      <c r="BI66" s="31">
        <f t="shared" si="26"/>
        <v>1</v>
      </c>
    </row>
    <row r="67" spans="1:61" hidden="1" x14ac:dyDescent="0.45">
      <c r="A67" s="29">
        <f>step3_validation[[#This Row],[Persona_ID]]</f>
        <v>66</v>
      </c>
      <c r="B67" s="30">
        <f>step3_validation[[#This Row],[Used_Seed]]</f>
        <v>107</v>
      </c>
      <c r="C67" t="str">
        <f>step3_validation[[#This Row],[Gender]]</f>
        <v>Nữ</v>
      </c>
      <c r="D67" t="str">
        <f>survey_responses[[#This Row],[Giới tính của bạn:]]</f>
        <v>Nữ</v>
      </c>
      <c r="E67" t="str">
        <f>step3_validation[[#This Row],[Age_Group]]</f>
        <v>25 - 29</v>
      </c>
      <c r="F67" t="str">
        <f>survey_responses[[#This Row],[Độ tuổi của bạn:]]</f>
        <v>25 - 29</v>
      </c>
      <c r="G67" t="str">
        <f>step3_validation[[#This Row],[Region]]</f>
        <v>Thành thị</v>
      </c>
      <c r="H67" t="str">
        <f>survey_responses[[#This Row],[Khu vực bạn đang sinh sống:]]</f>
        <v>Thành thị</v>
      </c>
      <c r="I67" t="str">
        <f>step3_validation[[#This Row],[Education]]</f>
        <v>Cao đẳng</v>
      </c>
      <c r="J67" t="str">
        <f>survey_responses[[#This Row],[Trình độ học vấn cao nhất:]]</f>
        <v>Cao đẳng</v>
      </c>
      <c r="K67" t="str">
        <f>step3_validation[[#This Row],[Employment]]</f>
        <v>Chính thức</v>
      </c>
      <c r="L67" t="str">
        <f>survey_responses[[#This Row],[Tình trạng việc làm chính:]]</f>
        <v>Khu vực chính thức (Có Hợp đồng lao động, đóng BHXH)</v>
      </c>
      <c r="M67">
        <f>step3_validation[[#This Row],[Income_Mil]]</f>
        <v>13.951740814793576</v>
      </c>
      <c r="N67" t="str">
        <f>survey_responses[[#This Row],[Thu nhập bình quân tháng theo Hợp đồng lao động của bạn là bao nhiêu? (Vui lòng điền tổng thu nhập trước khi khấu trừ các loại Bảo hiểm (BHXH, BHYT, BHTN) và Thuế TNCN)]]</f>
        <v>Từ 12 - 18 triệu VNĐ</v>
      </c>
      <c r="O67">
        <f>step3_validation[[#This Row],[Dependents]]</f>
        <v>0</v>
      </c>
      <c r="P67" t="str">
        <f>survey_responses[[#This Row],[Số người phụ thuộc (con nhỏ, cha mẹ già...) đủ điều kiện giảm trừ gia cảnh:]]</f>
        <v>0 người</v>
      </c>
      <c r="Q67">
        <f>step3_validation[[#This Row],[AI_ENF1]]</f>
        <v>7</v>
      </c>
      <c r="R67" t="str">
        <f t="shared" ref="R67:R130" si="27">IF(AND(Q67&gt;=1,Q67&lt;5),"Oppose",IF(AND(Q67&gt;=5,Q67&lt;8),"Neutral",IF(AND(Q67&gt;=8,Q67&lt;=10),"Support","")))</f>
        <v>Neutral</v>
      </c>
      <c r="S67">
        <f>survey_responses[[#This Row],[Tôi tin rằng với các quy định quản lý thuế hiện nay, hành vi gian lận hoặc trốn thuế sẽ dễ dàng bị phát hiện và xử lý nghiêm. - HUMAN-ENF1]]</f>
        <v>7</v>
      </c>
      <c r="T67" t="str">
        <f t="shared" ref="T67:T130" si="28">IF(AND(S67&gt;=1,S67&lt;5),"Oppose",IF(AND(S67&gt;=5,S67&lt;8),"Neutral",IF(AND(S67&gt;=8,S67&lt;=10),"Support","")))</f>
        <v>Neutral</v>
      </c>
      <c r="U67" s="31">
        <f t="shared" ref="U67:U130" si="29">ABS(S67-Q67)</f>
        <v>0</v>
      </c>
      <c r="V67">
        <f>step3_validation[[#This Row],[AI_ENF2]]</f>
        <v>6</v>
      </c>
      <c r="W67" t="str">
        <f t="shared" ref="W67:W130" si="30">IF(AND(V67&gt;=1,V67&lt;5),"Oppose",IF(AND(V67&gt;=5,V67&lt;8),"Neutral",IF(AND(V67&gt;=8,V67&lt;=10),"Support","")))</f>
        <v>Neutral</v>
      </c>
      <c r="X67">
        <f>survey_responses[[#This Row],[Tôi tin rằng Nhà nước, cơ quan thuế có đủ khả năng và công nghệ để phát hiện, xử lý nghiêm các hành vi trốn thuế. - HUMAN-ENF2]]</f>
        <v>5</v>
      </c>
      <c r="Y67" t="str">
        <f t="shared" ref="Y67:Y130" si="31">IF(AND(X67&gt;=1,X67&lt;5),"Oppose",IF(AND(X67&gt;=5,X67&lt;8),"Neutral",IF(AND(X67&gt;=8,X67&lt;=10),"Support","")))</f>
        <v>Neutral</v>
      </c>
      <c r="Z67" s="31">
        <f t="shared" ref="Z67:Z130" si="32">ABS(X67-V67)</f>
        <v>1</v>
      </c>
      <c r="AA67">
        <f>step3_validation[[#This Row],[AI_FAC1]]</f>
        <v>9</v>
      </c>
      <c r="AB67" t="str">
        <f t="shared" ref="AB67:AB130" si="33">IF(AND(AA67&gt;=1,AA67&lt;5),"Oppose",IF(AND(AA67&gt;=5,AA67&lt;8),"Neutral",IF(AND(AA67&gt;=8,AA67&lt;=10),"Support","")))</f>
        <v>Support</v>
      </c>
      <c r="AC67">
        <f>survey_responses[[#This Row],[Các thủ tục khai báo thuế VÀ/HOẶC quy trình làm việc với cơ quan thuế đơn giản, tiện lợi, nhanh chóng hơn so với trước đây. - HUMAN-FAC1]]</f>
        <v>3</v>
      </c>
      <c r="AD67" t="str">
        <f t="shared" ref="AD67:AD130" si="34">IF(AND(AC67&gt;=1,AC67&lt;5),"Oppose",IF(AND(AC67&gt;=5,AC67&lt;8),"Neutral",IF(AND(AC67&gt;=8,AC67&lt;=10),"Support","")))</f>
        <v>Oppose</v>
      </c>
      <c r="AE67" s="31">
        <f t="shared" ref="AE67:AE130" si="35">ABS(AC67-AA67)</f>
        <v>6</v>
      </c>
      <c r="AF67">
        <f>step3_validation[[#This Row],[AI_FAC2]]</f>
        <v>8</v>
      </c>
      <c r="AG67" t="str">
        <f t="shared" ref="AG67:AG130" si="36">IF(AND(AF67&gt;=1,AF67&lt;5),"Oppose",IF(AND(AF67&gt;=5,AF67&lt;8),"Neutral",IF(AND(AF67&gt;=8,AF67&lt;=10),"Support","")))</f>
        <v>Support</v>
      </c>
      <c r="AH67">
        <f>survey_responses[[#This Row],[So với trước đây, tôi thấy cách tính thuế và các bậc thuế trong phương án mới đơn giản, dễ hiểu và dễ thực hiện hơn. - HUMAN-FAC2]]</f>
        <v>5</v>
      </c>
      <c r="AI67" t="str">
        <f t="shared" ref="AI67:AI130" si="37">IF(AND(AH67&gt;=1,AH67&lt;5),"Oppose",IF(AND(AH67&gt;=5,AH67&lt;8),"Neutral",IF(AND(AH67&gt;=8,AH67&lt;=10),"Support","")))</f>
        <v>Neutral</v>
      </c>
      <c r="AJ67" s="31">
        <f t="shared" ref="AJ67:AJ130" si="38">ABS(AH67-AF67)</f>
        <v>3</v>
      </c>
      <c r="AK67">
        <f>step3_validation[[#This Row],[AI_TRU1]]</f>
        <v>9</v>
      </c>
      <c r="AL67" t="str">
        <f t="shared" ref="AL67:AL130" si="39">IF(AND(AK67&gt;=1,AK67&lt;5),"Oppose",IF(AND(AK67&gt;=5,AK67&lt;8),"Neutral",IF(AND(AK67&gt;=8,AK67&lt;=10),"Support","")))</f>
        <v>Support</v>
      </c>
      <c r="AM67">
        <f>survey_responses[[#This Row],[Tôi tin rằng Nhà nước, cơ quan thuế sẽ thực thi chính sách mới một cách khách quan, công tâm và đối xử bình đẳng với mọi người nộp thuế.  - HUMAN-TRU1]]</f>
        <v>4</v>
      </c>
      <c r="AN67" t="str">
        <f t="shared" ref="AN67:AN130" si="40">IF(AND(AM67&gt;=1,AM67&lt;5),"Oppose",IF(AND(AM67&gt;=5,AM67&lt;8),"Neutral",IF(AND(AM67&gt;=8,AM67&lt;=10),"Support","")))</f>
        <v>Oppose</v>
      </c>
      <c r="AO67" s="31">
        <f t="shared" ref="AO67:AO130" si="41">ABS(AM67-AK67)</f>
        <v>5</v>
      </c>
      <c r="AP67">
        <f>step3_validation[[#This Row],[AI_TRU2]]</f>
        <v>9</v>
      </c>
      <c r="AQ67" t="str">
        <f t="shared" ref="AQ67:AQ130" si="42">IF(AND(AP67&gt;=1,AP67&lt;5),"Oppose",IF(AND(AP67&gt;=5,AP67&lt;8),"Neutral",IF(AND(AP67&gt;=8,AP67&lt;=10),"Support","")))</f>
        <v>Support</v>
      </c>
      <c r="AR67">
        <f>survey_responses[[#This Row],[Tôi thấy mức thuế tôi phải đóng theo phương án mới là công bằng (người thu nhập như tôi đóng mức này là hợp lý). - HUMAN-TRU2]]</f>
        <v>3</v>
      </c>
      <c r="AS67" t="str">
        <f t="shared" ref="AS67:AS130" si="43">IF(AND(AR67&gt;=1,AR67&lt;5),"Oppose",IF(AND(AR67&gt;=5,AR67&lt;8),"Neutral",IF(AND(AR67&gt;=8,AR67&lt;=10),"Support","")))</f>
        <v>Oppose</v>
      </c>
      <c r="AT67" s="31">
        <f t="shared" ref="AT67:AT130" si="44">ABS(AR67-AP67)</f>
        <v>6</v>
      </c>
      <c r="AU67">
        <f>step3_validation[[#This Row],[AI_TRU3]]</f>
        <v>9</v>
      </c>
      <c r="AV67" t="str">
        <f t="shared" ref="AV67:AV130" si="45">IF(AND(AU67&gt;=1,AU67&lt;5),"Oppose",IF(AND(AU67&gt;=5,AU67&lt;8),"Neutral",IF(AND(AU67&gt;=8,AU67&lt;=10),"Support","")))</f>
        <v>Support</v>
      </c>
      <c r="AW67">
        <f>survey_responses[[#This Row],[Tôi tin tưởng số tiền thuế tôi đóng sẽ được Nhà nước sử dụng hiệu quả để cải thiện dịch vụ công (y tế, đường xá...). - HUMAN-TRU3]]</f>
        <v>5</v>
      </c>
      <c r="AX67" t="str">
        <f t="shared" ref="AX67:AX130" si="46">IF(AND(AW67&gt;=1,AW67&lt;5),"Oppose",IF(AND(AW67&gt;=5,AW67&lt;8),"Neutral",IF(AND(AW67&gt;=8,AW67&lt;=10),"Support","")))</f>
        <v>Neutral</v>
      </c>
      <c r="AY67" s="31">
        <f t="shared" ref="AY67:AY130" si="47">ABS(AW67-AU67)</f>
        <v>4</v>
      </c>
      <c r="AZ67">
        <f>step3_validation[[#This Row],[AI_TRU4]]</f>
        <v>7</v>
      </c>
      <c r="BA67" t="str">
        <f t="shared" ref="BA67:BA130" si="48">IF(AND(AZ67&gt;=1,AZ67&lt;5),"Oppose",IF(AND(AZ67&gt;=5,AZ67&lt;8),"Neutral",IF(AND(AZ67&gt;=8,AZ67&lt;=10),"Support","")))</f>
        <v>Neutral</v>
      </c>
      <c r="BB67">
        <f>survey_responses[[#This Row],[Tôi thấy Nhà nước đã giải thích rõ ràng, minh bạch về lý do và mục tiêu của việc sửa đổi thuế lần này. - HUMAN-TRU4]]</f>
        <v>6</v>
      </c>
      <c r="BC67" t="str">
        <f t="shared" ref="BC67:BC130" si="49">IF(AND(BB67&gt;=1,BB67&lt;5),"Oppose",IF(AND(BB67&gt;=5,BB67&lt;8),"Neutral",IF(AND(BB67&gt;=8,BB67&lt;=10),"Support","")))</f>
        <v>Neutral</v>
      </c>
      <c r="BD67" s="31">
        <f t="shared" ref="BD67:BD130" si="50">ABS(BB67-AZ67)</f>
        <v>1</v>
      </c>
      <c r="BE67">
        <f>step3_validation[[#This Row],[AI_OUT1]]</f>
        <v>9</v>
      </c>
      <c r="BF67" t="str">
        <f t="shared" ref="BF67:BF130" si="51">IF(AND(BE67&gt;=1,BE67&lt;5),"Oppose",IF(AND(BE67&gt;=5,BE67&lt;8),"Neutral",IF(AND(BE67&gt;=8,BE67&lt;=10),"Support","")))</f>
        <v>Support</v>
      </c>
      <c r="BG67">
        <f>survey_responses[[#This Row],[Sau khi xem xét các quyền lợi và nghĩa vụ, bạn có ủng hộ và tuân thủ chính sách mới hiện nay? - HUMAN-OUT1]]</f>
        <v>6</v>
      </c>
      <c r="BH67" t="str">
        <f t="shared" ref="BH67:BH130" si="52">IF(AND(BG67&gt;=1,BG67&lt;5),"Oppose",IF(AND(BG67&gt;=5,BG67&lt;8),"Neutral",IF(AND(BG67&gt;=8,BG67&lt;=10),"Support","")))</f>
        <v>Neutral</v>
      </c>
      <c r="BI67" s="31">
        <f t="shared" ref="BI67:BI130" si="53">ABS(BG67-BE67)</f>
        <v>3</v>
      </c>
    </row>
    <row r="68" spans="1:61" hidden="1" x14ac:dyDescent="0.45">
      <c r="A68" s="29">
        <f>step3_validation[[#This Row],[Persona_ID]]</f>
        <v>67</v>
      </c>
      <c r="B68" s="30">
        <f>step3_validation[[#This Row],[Used_Seed]]</f>
        <v>108</v>
      </c>
      <c r="C68" t="str">
        <f>step3_validation[[#This Row],[Gender]]</f>
        <v>Nam</v>
      </c>
      <c r="D68" t="str">
        <f>survey_responses[[#This Row],[Giới tính của bạn:]]</f>
        <v>Nam</v>
      </c>
      <c r="E68" t="str">
        <f>step3_validation[[#This Row],[Age_Group]]</f>
        <v>40 - 49</v>
      </c>
      <c r="F68" t="str">
        <f>survey_responses[[#This Row],[Độ tuổi của bạn:]]</f>
        <v>40 - 49</v>
      </c>
      <c r="G68" t="str">
        <f>step3_validation[[#This Row],[Region]]</f>
        <v>Thành thị</v>
      </c>
      <c r="H68" t="str">
        <f>survey_responses[[#This Row],[Khu vực bạn đang sinh sống:]]</f>
        <v>Thành thị</v>
      </c>
      <c r="I68" t="str">
        <f>step3_validation[[#This Row],[Education]]</f>
        <v>Sau Đại học</v>
      </c>
      <c r="J68" t="str">
        <f>survey_responses[[#This Row],[Trình độ học vấn cao nhất:]]</f>
        <v>Sau Đại học</v>
      </c>
      <c r="K68" t="str">
        <f>step3_validation[[#This Row],[Employment]]</f>
        <v>Chính thức</v>
      </c>
      <c r="L68" t="str">
        <f>survey_responses[[#This Row],[Tình trạng việc làm chính:]]</f>
        <v>Khu vực chính thức (Có Hợp đồng lao động, đóng BHXH)</v>
      </c>
      <c r="M68">
        <f>step3_validation[[#This Row],[Income_Mil]]</f>
        <v>100.04365703588709</v>
      </c>
      <c r="N68" t="str">
        <f>survey_responses[[#This Row],[Thu nhập bình quân tháng theo Hợp đồng lao động của bạn là bao nhiêu? (Vui lòng điền tổng thu nhập trước khi khấu trừ các loại Bảo hiểm (BHXH, BHYT, BHTN) và Thuế TNCN)]]</f>
        <v>Từ 70 - 102 triệu VNĐ</v>
      </c>
      <c r="O68">
        <f>step3_validation[[#This Row],[Dependents]]</f>
        <v>2</v>
      </c>
      <c r="P68" t="str">
        <f>survey_responses[[#This Row],[Số người phụ thuộc (con nhỏ, cha mẹ già...) đủ điều kiện giảm trừ gia cảnh:]]</f>
        <v>2 người</v>
      </c>
      <c r="Q68">
        <f>step3_validation[[#This Row],[AI_ENF1]]</f>
        <v>6</v>
      </c>
      <c r="R68" t="str">
        <f t="shared" si="27"/>
        <v>Neutral</v>
      </c>
      <c r="S68">
        <f>survey_responses[[#This Row],[Tôi tin rằng với các quy định quản lý thuế hiện nay, hành vi gian lận hoặc trốn thuế sẽ dễ dàng bị phát hiện và xử lý nghiêm. - HUMAN-ENF1]]</f>
        <v>5</v>
      </c>
      <c r="T68" t="str">
        <f t="shared" si="28"/>
        <v>Neutral</v>
      </c>
      <c r="U68" s="31">
        <f t="shared" si="29"/>
        <v>1</v>
      </c>
      <c r="V68">
        <f>step3_validation[[#This Row],[AI_ENF2]]</f>
        <v>7</v>
      </c>
      <c r="W68" t="str">
        <f t="shared" si="30"/>
        <v>Neutral</v>
      </c>
      <c r="X68">
        <f>survey_responses[[#This Row],[Tôi tin rằng Nhà nước, cơ quan thuế có đủ khả năng và công nghệ để phát hiện, xử lý nghiêm các hành vi trốn thuế. - HUMAN-ENF2]]</f>
        <v>5</v>
      </c>
      <c r="Y68" t="str">
        <f t="shared" si="31"/>
        <v>Neutral</v>
      </c>
      <c r="Z68" s="31">
        <f t="shared" si="32"/>
        <v>2</v>
      </c>
      <c r="AA68">
        <f>step3_validation[[#This Row],[AI_FAC1]]</f>
        <v>8</v>
      </c>
      <c r="AB68" t="str">
        <f t="shared" si="33"/>
        <v>Support</v>
      </c>
      <c r="AC68">
        <f>survey_responses[[#This Row],[Các thủ tục khai báo thuế VÀ/HOẶC quy trình làm việc với cơ quan thuế đơn giản, tiện lợi, nhanh chóng hơn so với trước đây. - HUMAN-FAC1]]</f>
        <v>4</v>
      </c>
      <c r="AD68" t="str">
        <f t="shared" si="34"/>
        <v>Oppose</v>
      </c>
      <c r="AE68" s="31">
        <f t="shared" si="35"/>
        <v>4</v>
      </c>
      <c r="AF68">
        <f>step3_validation[[#This Row],[AI_FAC2]]</f>
        <v>9</v>
      </c>
      <c r="AG68" t="str">
        <f t="shared" si="36"/>
        <v>Support</v>
      </c>
      <c r="AH68">
        <f>survey_responses[[#This Row],[So với trước đây, tôi thấy cách tính thuế và các bậc thuế trong phương án mới đơn giản, dễ hiểu và dễ thực hiện hơn. - HUMAN-FAC2]]</f>
        <v>4</v>
      </c>
      <c r="AI68" t="str">
        <f t="shared" si="37"/>
        <v>Oppose</v>
      </c>
      <c r="AJ68" s="31">
        <f t="shared" si="38"/>
        <v>5</v>
      </c>
      <c r="AK68">
        <f>step3_validation[[#This Row],[AI_TRU1]]</f>
        <v>8</v>
      </c>
      <c r="AL68" t="str">
        <f t="shared" si="39"/>
        <v>Support</v>
      </c>
      <c r="AM68">
        <f>survey_responses[[#This Row],[Tôi tin rằng Nhà nước, cơ quan thuế sẽ thực thi chính sách mới một cách khách quan, công tâm và đối xử bình đẳng với mọi người nộp thuế.  - HUMAN-TRU1]]</f>
        <v>2</v>
      </c>
      <c r="AN68" t="str">
        <f t="shared" si="40"/>
        <v>Oppose</v>
      </c>
      <c r="AO68" s="31">
        <f t="shared" si="41"/>
        <v>6</v>
      </c>
      <c r="AP68">
        <f>step3_validation[[#This Row],[AI_TRU2]]</f>
        <v>9</v>
      </c>
      <c r="AQ68" t="str">
        <f t="shared" si="42"/>
        <v>Support</v>
      </c>
      <c r="AR68">
        <f>survey_responses[[#This Row],[Tôi thấy mức thuế tôi phải đóng theo phương án mới là công bằng (người thu nhập như tôi đóng mức này là hợp lý). - HUMAN-TRU2]]</f>
        <v>3</v>
      </c>
      <c r="AS68" t="str">
        <f t="shared" si="43"/>
        <v>Oppose</v>
      </c>
      <c r="AT68" s="31">
        <f t="shared" si="44"/>
        <v>6</v>
      </c>
      <c r="AU68">
        <f>step3_validation[[#This Row],[AI_TRU3]]</f>
        <v>8</v>
      </c>
      <c r="AV68" t="str">
        <f t="shared" si="45"/>
        <v>Support</v>
      </c>
      <c r="AW68">
        <f>survey_responses[[#This Row],[Tôi tin tưởng số tiền thuế tôi đóng sẽ được Nhà nước sử dụng hiệu quả để cải thiện dịch vụ công (y tế, đường xá...). - HUMAN-TRU3]]</f>
        <v>2</v>
      </c>
      <c r="AX68" t="str">
        <f t="shared" si="46"/>
        <v>Oppose</v>
      </c>
      <c r="AY68" s="31">
        <f t="shared" si="47"/>
        <v>6</v>
      </c>
      <c r="AZ68">
        <f>step3_validation[[#This Row],[AI_TRU4]]</f>
        <v>7</v>
      </c>
      <c r="BA68" t="str">
        <f t="shared" si="48"/>
        <v>Neutral</v>
      </c>
      <c r="BB68">
        <f>survey_responses[[#This Row],[Tôi thấy Nhà nước đã giải thích rõ ràng, minh bạch về lý do và mục tiêu của việc sửa đổi thuế lần này. - HUMAN-TRU4]]</f>
        <v>3</v>
      </c>
      <c r="BC68" t="str">
        <f t="shared" si="49"/>
        <v>Oppose</v>
      </c>
      <c r="BD68" s="31">
        <f t="shared" si="50"/>
        <v>4</v>
      </c>
      <c r="BE68">
        <f>step3_validation[[#This Row],[AI_OUT1]]</f>
        <v>9</v>
      </c>
      <c r="BF68" t="str">
        <f t="shared" si="51"/>
        <v>Support</v>
      </c>
      <c r="BG68">
        <f>survey_responses[[#This Row],[Sau khi xem xét các quyền lợi và nghĩa vụ, bạn có ủng hộ và tuân thủ chính sách mới hiện nay? - HUMAN-OUT1]]</f>
        <v>3</v>
      </c>
      <c r="BH68" t="str">
        <f t="shared" si="52"/>
        <v>Oppose</v>
      </c>
      <c r="BI68" s="31">
        <f t="shared" si="53"/>
        <v>6</v>
      </c>
    </row>
    <row r="69" spans="1:61" hidden="1" x14ac:dyDescent="0.45">
      <c r="A69" s="29">
        <f>step3_validation[[#This Row],[Persona_ID]]</f>
        <v>68</v>
      </c>
      <c r="B69" s="30">
        <f>step3_validation[[#This Row],[Used_Seed]]</f>
        <v>109</v>
      </c>
      <c r="C69" t="str">
        <f>step3_validation[[#This Row],[Gender]]</f>
        <v>Nữ</v>
      </c>
      <c r="D69" t="str">
        <f>survey_responses[[#This Row],[Giới tính của bạn:]]</f>
        <v>Nữ</v>
      </c>
      <c r="E69" t="str">
        <f>step3_validation[[#This Row],[Age_Group]]</f>
        <v>40 - 49</v>
      </c>
      <c r="F69" t="str">
        <f>survey_responses[[#This Row],[Độ tuổi của bạn:]]</f>
        <v>40 - 49</v>
      </c>
      <c r="G69" t="str">
        <f>step3_validation[[#This Row],[Region]]</f>
        <v>Thành thị</v>
      </c>
      <c r="H69" t="str">
        <f>survey_responses[[#This Row],[Khu vực bạn đang sinh sống:]]</f>
        <v>Thành thị</v>
      </c>
      <c r="I69" t="str">
        <f>step3_validation[[#This Row],[Education]]</f>
        <v>Đại học</v>
      </c>
      <c r="J69" t="str">
        <f>survey_responses[[#This Row],[Trình độ học vấn cao nhất:]]</f>
        <v>Đại học</v>
      </c>
      <c r="K69" t="str">
        <f>step3_validation[[#This Row],[Employment]]</f>
        <v>Chính thức</v>
      </c>
      <c r="L69" t="str">
        <f>survey_responses[[#This Row],[Tình trạng việc làm chính:]]</f>
        <v>Khu vực chính thức (Có Hợp đồng lao động, đóng BHXH)</v>
      </c>
      <c r="M69">
        <f>step3_validation[[#This Row],[Income_Mil]]</f>
        <v>48.458024069304336</v>
      </c>
      <c r="N69" t="str">
        <f>survey_responses[[#This Row],[Thu nhập bình quân tháng theo Hợp đồng lao động của bạn là bao nhiêu? (Vui lòng điền tổng thu nhập trước khi khấu trừ các loại Bảo hiểm (BHXH, BHYT, BHTN) và Thuế TNCN)]]</f>
        <v>Từ 48 - 70 triệu VNĐ</v>
      </c>
      <c r="O69">
        <f>step3_validation[[#This Row],[Dependents]]</f>
        <v>2</v>
      </c>
      <c r="P69" t="str">
        <f>survey_responses[[#This Row],[Số người phụ thuộc (con nhỏ, cha mẹ già...) đủ điều kiện giảm trừ gia cảnh:]]</f>
        <v>2 người</v>
      </c>
      <c r="Q69">
        <f>step3_validation[[#This Row],[AI_ENF1]]</f>
        <v>9</v>
      </c>
      <c r="R69" t="str">
        <f t="shared" si="27"/>
        <v>Support</v>
      </c>
      <c r="S69">
        <f>survey_responses[[#This Row],[Tôi tin rằng với các quy định quản lý thuế hiện nay, hành vi gian lận hoặc trốn thuế sẽ dễ dàng bị phát hiện và xử lý nghiêm. - HUMAN-ENF1]]</f>
        <v>4</v>
      </c>
      <c r="T69" t="str">
        <f t="shared" si="28"/>
        <v>Oppose</v>
      </c>
      <c r="U69" s="31">
        <f t="shared" si="29"/>
        <v>5</v>
      </c>
      <c r="V69">
        <f>step3_validation[[#This Row],[AI_ENF2]]</f>
        <v>8</v>
      </c>
      <c r="W69" t="str">
        <f t="shared" si="30"/>
        <v>Support</v>
      </c>
      <c r="X69">
        <f>survey_responses[[#This Row],[Tôi tin rằng Nhà nước, cơ quan thuế có đủ khả năng và công nghệ để phát hiện, xử lý nghiêm các hành vi trốn thuế. - HUMAN-ENF2]]</f>
        <v>3</v>
      </c>
      <c r="Y69" t="str">
        <f t="shared" si="31"/>
        <v>Oppose</v>
      </c>
      <c r="Z69" s="31">
        <f t="shared" si="32"/>
        <v>5</v>
      </c>
      <c r="AA69">
        <f>step3_validation[[#This Row],[AI_FAC1]]</f>
        <v>9</v>
      </c>
      <c r="AB69" t="str">
        <f t="shared" si="33"/>
        <v>Support</v>
      </c>
      <c r="AC69">
        <f>survey_responses[[#This Row],[Các thủ tục khai báo thuế VÀ/HOẶC quy trình làm việc với cơ quan thuế đơn giản, tiện lợi, nhanh chóng hơn so với trước đây. - HUMAN-FAC1]]</f>
        <v>1</v>
      </c>
      <c r="AD69" t="str">
        <f t="shared" si="34"/>
        <v>Oppose</v>
      </c>
      <c r="AE69" s="31">
        <f t="shared" si="35"/>
        <v>8</v>
      </c>
      <c r="AF69">
        <f>step3_validation[[#This Row],[AI_FAC2]]</f>
        <v>8</v>
      </c>
      <c r="AG69" t="str">
        <f t="shared" si="36"/>
        <v>Support</v>
      </c>
      <c r="AH69">
        <f>survey_responses[[#This Row],[So với trước đây, tôi thấy cách tính thuế và các bậc thuế trong phương án mới đơn giản, dễ hiểu và dễ thực hiện hơn. - HUMAN-FAC2]]</f>
        <v>5</v>
      </c>
      <c r="AI69" t="str">
        <f t="shared" si="37"/>
        <v>Neutral</v>
      </c>
      <c r="AJ69" s="31">
        <f t="shared" si="38"/>
        <v>3</v>
      </c>
      <c r="AK69">
        <f>step3_validation[[#This Row],[AI_TRU1]]</f>
        <v>9</v>
      </c>
      <c r="AL69" t="str">
        <f t="shared" si="39"/>
        <v>Support</v>
      </c>
      <c r="AM69">
        <f>survey_responses[[#This Row],[Tôi tin rằng Nhà nước, cơ quan thuế sẽ thực thi chính sách mới một cách khách quan, công tâm và đối xử bình đẳng với mọi người nộp thuế.  - HUMAN-TRU1]]</f>
        <v>4</v>
      </c>
      <c r="AN69" t="str">
        <f t="shared" si="40"/>
        <v>Oppose</v>
      </c>
      <c r="AO69" s="31">
        <f t="shared" si="41"/>
        <v>5</v>
      </c>
      <c r="AP69">
        <f>step3_validation[[#This Row],[AI_TRU2]]</f>
        <v>8</v>
      </c>
      <c r="AQ69" t="str">
        <f t="shared" si="42"/>
        <v>Support</v>
      </c>
      <c r="AR69">
        <f>survey_responses[[#This Row],[Tôi thấy mức thuế tôi phải đóng theo phương án mới là công bằng (người thu nhập như tôi đóng mức này là hợp lý). - HUMAN-TRU2]]</f>
        <v>3</v>
      </c>
      <c r="AS69" t="str">
        <f t="shared" si="43"/>
        <v>Oppose</v>
      </c>
      <c r="AT69" s="31">
        <f t="shared" si="44"/>
        <v>5</v>
      </c>
      <c r="AU69">
        <f>step3_validation[[#This Row],[AI_TRU3]]</f>
        <v>9</v>
      </c>
      <c r="AV69" t="str">
        <f t="shared" si="45"/>
        <v>Support</v>
      </c>
      <c r="AW69">
        <f>survey_responses[[#This Row],[Tôi tin tưởng số tiền thuế tôi đóng sẽ được Nhà nước sử dụng hiệu quả để cải thiện dịch vụ công (y tế, đường xá...). - HUMAN-TRU3]]</f>
        <v>1</v>
      </c>
      <c r="AX69" t="str">
        <f t="shared" si="46"/>
        <v>Oppose</v>
      </c>
      <c r="AY69" s="31">
        <f t="shared" si="47"/>
        <v>8</v>
      </c>
      <c r="AZ69">
        <f>step3_validation[[#This Row],[AI_TRU4]]</f>
        <v>7</v>
      </c>
      <c r="BA69" t="str">
        <f t="shared" si="48"/>
        <v>Neutral</v>
      </c>
      <c r="BB69">
        <f>survey_responses[[#This Row],[Tôi thấy Nhà nước đã giải thích rõ ràng, minh bạch về lý do và mục tiêu của việc sửa đổi thuế lần này. - HUMAN-TRU4]]</f>
        <v>3</v>
      </c>
      <c r="BC69" t="str">
        <f t="shared" si="49"/>
        <v>Oppose</v>
      </c>
      <c r="BD69" s="31">
        <f t="shared" si="50"/>
        <v>4</v>
      </c>
      <c r="BE69">
        <f>step3_validation[[#This Row],[AI_OUT1]]</f>
        <v>9</v>
      </c>
      <c r="BF69" t="str">
        <f t="shared" si="51"/>
        <v>Support</v>
      </c>
      <c r="BG69">
        <f>survey_responses[[#This Row],[Sau khi xem xét các quyền lợi và nghĩa vụ, bạn có ủng hộ và tuân thủ chính sách mới hiện nay? - HUMAN-OUT1]]</f>
        <v>5</v>
      </c>
      <c r="BH69" t="str">
        <f t="shared" si="52"/>
        <v>Neutral</v>
      </c>
      <c r="BI69" s="31">
        <f t="shared" si="53"/>
        <v>4</v>
      </c>
    </row>
    <row r="70" spans="1:61" hidden="1" x14ac:dyDescent="0.45">
      <c r="A70" s="29">
        <f>step3_validation[[#This Row],[Persona_ID]]</f>
        <v>69</v>
      </c>
      <c r="B70" s="30">
        <f>step3_validation[[#This Row],[Used_Seed]]</f>
        <v>110</v>
      </c>
      <c r="C70" t="str">
        <f>step3_validation[[#This Row],[Gender]]</f>
        <v>Nam</v>
      </c>
      <c r="D70" t="str">
        <f>survey_responses[[#This Row],[Giới tính của bạn:]]</f>
        <v>Nam</v>
      </c>
      <c r="E70" t="str">
        <f>step3_validation[[#This Row],[Age_Group]]</f>
        <v>25 - 29</v>
      </c>
      <c r="F70" t="str">
        <f>survey_responses[[#This Row],[Độ tuổi của bạn:]]</f>
        <v>25 - 29</v>
      </c>
      <c r="G70" t="str">
        <f>step3_validation[[#This Row],[Region]]</f>
        <v>Thành thị</v>
      </c>
      <c r="H70" t="str">
        <f>survey_responses[[#This Row],[Khu vực bạn đang sinh sống:]]</f>
        <v>Thành thị</v>
      </c>
      <c r="I70" t="str">
        <f>step3_validation[[#This Row],[Education]]</f>
        <v>Đại học</v>
      </c>
      <c r="J70" t="str">
        <f>survey_responses[[#This Row],[Trình độ học vấn cao nhất:]]</f>
        <v>Đại học</v>
      </c>
      <c r="K70" t="str">
        <f>step3_validation[[#This Row],[Employment]]</f>
        <v>Chính thức</v>
      </c>
      <c r="L70" t="str">
        <f>survey_responses[[#This Row],[Tình trạng việc làm chính:]]</f>
        <v>Khu vực chính thức (Có Hợp đồng lao động, đóng BHXH)</v>
      </c>
      <c r="M70">
        <f>step3_validation[[#This Row],[Income_Mil]]</f>
        <v>20.739767149768142</v>
      </c>
      <c r="N70" t="str">
        <f>survey_responses[[#This Row],[Thu nhập bình quân tháng theo Hợp đồng lao động của bạn là bao nhiêu? (Vui lòng điền tổng thu nhập trước khi khấu trừ các loại Bảo hiểm (BHXH, BHYT, BHTN) và Thuế TNCN)]]</f>
        <v>Từ 18 - 23 triệu VNĐ</v>
      </c>
      <c r="O70">
        <f>step3_validation[[#This Row],[Dependents]]</f>
        <v>0</v>
      </c>
      <c r="P70" t="str">
        <f>survey_responses[[#This Row],[Số người phụ thuộc (con nhỏ, cha mẹ già...) đủ điều kiện giảm trừ gia cảnh:]]</f>
        <v>0 người</v>
      </c>
      <c r="Q70">
        <f>step3_validation[[#This Row],[AI_ENF1]]</f>
        <v>7</v>
      </c>
      <c r="R70" t="str">
        <f t="shared" si="27"/>
        <v>Neutral</v>
      </c>
      <c r="S70">
        <f>survey_responses[[#This Row],[Tôi tin rằng với các quy định quản lý thuế hiện nay, hành vi gian lận hoặc trốn thuế sẽ dễ dàng bị phát hiện và xử lý nghiêm. - HUMAN-ENF1]]</f>
        <v>7</v>
      </c>
      <c r="T70" t="str">
        <f t="shared" si="28"/>
        <v>Neutral</v>
      </c>
      <c r="U70" s="31">
        <f t="shared" si="29"/>
        <v>0</v>
      </c>
      <c r="V70">
        <f>step3_validation[[#This Row],[AI_ENF2]]</f>
        <v>6</v>
      </c>
      <c r="W70" t="str">
        <f t="shared" si="30"/>
        <v>Neutral</v>
      </c>
      <c r="X70">
        <f>survey_responses[[#This Row],[Tôi tin rằng Nhà nước, cơ quan thuế có đủ khả năng và công nghệ để phát hiện, xử lý nghiêm các hành vi trốn thuế. - HUMAN-ENF2]]</f>
        <v>7</v>
      </c>
      <c r="Y70" t="str">
        <f t="shared" si="31"/>
        <v>Neutral</v>
      </c>
      <c r="Z70" s="31">
        <f t="shared" si="32"/>
        <v>1</v>
      </c>
      <c r="AA70">
        <f>step3_validation[[#This Row],[AI_FAC1]]</f>
        <v>8</v>
      </c>
      <c r="AB70" t="str">
        <f t="shared" si="33"/>
        <v>Support</v>
      </c>
      <c r="AC70">
        <f>survey_responses[[#This Row],[Các thủ tục khai báo thuế VÀ/HOẶC quy trình làm việc với cơ quan thuế đơn giản, tiện lợi, nhanh chóng hơn so với trước đây. - HUMAN-FAC1]]</f>
        <v>8</v>
      </c>
      <c r="AD70" t="str">
        <f t="shared" si="34"/>
        <v>Support</v>
      </c>
      <c r="AE70" s="31">
        <f t="shared" si="35"/>
        <v>0</v>
      </c>
      <c r="AF70">
        <f>step3_validation[[#This Row],[AI_FAC2]]</f>
        <v>9</v>
      </c>
      <c r="AG70" t="str">
        <f t="shared" si="36"/>
        <v>Support</v>
      </c>
      <c r="AH70">
        <f>survey_responses[[#This Row],[So với trước đây, tôi thấy cách tính thuế và các bậc thuế trong phương án mới đơn giản, dễ hiểu và dễ thực hiện hơn. - HUMAN-FAC2]]</f>
        <v>9</v>
      </c>
      <c r="AI70" t="str">
        <f t="shared" si="37"/>
        <v>Support</v>
      </c>
      <c r="AJ70" s="31">
        <f t="shared" si="38"/>
        <v>0</v>
      </c>
      <c r="AK70">
        <f>step3_validation[[#This Row],[AI_TRU1]]</f>
        <v>7</v>
      </c>
      <c r="AL70" t="str">
        <f t="shared" si="39"/>
        <v>Neutral</v>
      </c>
      <c r="AM70">
        <f>survey_responses[[#This Row],[Tôi tin rằng Nhà nước, cơ quan thuế sẽ thực thi chính sách mới một cách khách quan, công tâm và đối xử bình đẳng với mọi người nộp thuế.  - HUMAN-TRU1]]</f>
        <v>8</v>
      </c>
      <c r="AN70" t="str">
        <f t="shared" si="40"/>
        <v>Support</v>
      </c>
      <c r="AO70" s="31">
        <f t="shared" si="41"/>
        <v>1</v>
      </c>
      <c r="AP70">
        <f>step3_validation[[#This Row],[AI_TRU2]]</f>
        <v>9</v>
      </c>
      <c r="AQ70" t="str">
        <f t="shared" si="42"/>
        <v>Support</v>
      </c>
      <c r="AR70">
        <f>survey_responses[[#This Row],[Tôi thấy mức thuế tôi phải đóng theo phương án mới là công bằng (người thu nhập như tôi đóng mức này là hợp lý). - HUMAN-TRU2]]</f>
        <v>10</v>
      </c>
      <c r="AS70" t="str">
        <f t="shared" si="43"/>
        <v>Support</v>
      </c>
      <c r="AT70" s="31">
        <f t="shared" si="44"/>
        <v>1</v>
      </c>
      <c r="AU70">
        <f>step3_validation[[#This Row],[AI_TRU3]]</f>
        <v>7</v>
      </c>
      <c r="AV70" t="str">
        <f t="shared" si="45"/>
        <v>Neutral</v>
      </c>
      <c r="AW70">
        <f>survey_responses[[#This Row],[Tôi tin tưởng số tiền thuế tôi đóng sẽ được Nhà nước sử dụng hiệu quả để cải thiện dịch vụ công (y tế, đường xá...). - HUMAN-TRU3]]</f>
        <v>9</v>
      </c>
      <c r="AX70" t="str">
        <f t="shared" si="46"/>
        <v>Support</v>
      </c>
      <c r="AY70" s="31">
        <f t="shared" si="47"/>
        <v>2</v>
      </c>
      <c r="AZ70">
        <f>step3_validation[[#This Row],[AI_TRU4]]</f>
        <v>8</v>
      </c>
      <c r="BA70" t="str">
        <f t="shared" si="48"/>
        <v>Support</v>
      </c>
      <c r="BB70">
        <f>survey_responses[[#This Row],[Tôi thấy Nhà nước đã giải thích rõ ràng, minh bạch về lý do và mục tiêu của việc sửa đổi thuế lần này. - HUMAN-TRU4]]</f>
        <v>9</v>
      </c>
      <c r="BC70" t="str">
        <f t="shared" si="49"/>
        <v>Support</v>
      </c>
      <c r="BD70" s="31">
        <f t="shared" si="50"/>
        <v>1</v>
      </c>
      <c r="BE70">
        <f>step3_validation[[#This Row],[AI_OUT1]]</f>
        <v>9</v>
      </c>
      <c r="BF70" t="str">
        <f t="shared" si="51"/>
        <v>Support</v>
      </c>
      <c r="BG70">
        <f>survey_responses[[#This Row],[Sau khi xem xét các quyền lợi và nghĩa vụ, bạn có ủng hộ và tuân thủ chính sách mới hiện nay? - HUMAN-OUT1]]</f>
        <v>9</v>
      </c>
      <c r="BH70" t="str">
        <f t="shared" si="52"/>
        <v>Support</v>
      </c>
      <c r="BI70" s="31">
        <f t="shared" si="53"/>
        <v>0</v>
      </c>
    </row>
    <row r="71" spans="1:61" hidden="1" x14ac:dyDescent="0.45">
      <c r="A71" s="29">
        <f>step3_validation[[#This Row],[Persona_ID]]</f>
        <v>70</v>
      </c>
      <c r="B71" s="30">
        <f>step3_validation[[#This Row],[Used_Seed]]</f>
        <v>111</v>
      </c>
      <c r="C71" t="str">
        <f>step3_validation[[#This Row],[Gender]]</f>
        <v>Nam</v>
      </c>
      <c r="D71" t="str">
        <f>survey_responses[[#This Row],[Giới tính của bạn:]]</f>
        <v>Nam</v>
      </c>
      <c r="E71" t="str">
        <f>step3_validation[[#This Row],[Age_Group]]</f>
        <v>40 - 49</v>
      </c>
      <c r="F71" t="str">
        <f>survey_responses[[#This Row],[Độ tuổi của bạn:]]</f>
        <v>40 - 49</v>
      </c>
      <c r="G71" t="str">
        <f>step3_validation[[#This Row],[Region]]</f>
        <v>Thành thị</v>
      </c>
      <c r="H71" t="str">
        <f>survey_responses[[#This Row],[Khu vực bạn đang sinh sống:]]</f>
        <v>Thành thị</v>
      </c>
      <c r="I71" t="str">
        <f>step3_validation[[#This Row],[Education]]</f>
        <v>Sau Đại học</v>
      </c>
      <c r="J71" t="str">
        <f>survey_responses[[#This Row],[Trình độ học vấn cao nhất:]]</f>
        <v>Sau Đại học</v>
      </c>
      <c r="K71" t="str">
        <f>step3_validation[[#This Row],[Employment]]</f>
        <v>Phi chính thức</v>
      </c>
      <c r="L71" t="str">
        <f>survey_responses[[#This Row],[Tình trạng việc làm chính:]]</f>
        <v>Khu vực phi chính thức (Lao động tự do, không có HĐLĐ)</v>
      </c>
      <c r="M71">
        <f>step3_validation[[#This Row],[Income_Mil]]</f>
        <v>127.0025185510636</v>
      </c>
      <c r="N71" t="str">
        <f>survey_responses[[#This Row],[Thu nhập bình quân tháng theo Hợp đồng lao động của bạn là bao nhiêu? (Vui lòng điền tổng thu nhập trước khi khấu trừ các loại Bảo hiểm (BHXH, BHYT, BHTN) và Thuế TNCN)]]</f>
        <v>Trên 102 triệu VNĐ</v>
      </c>
      <c r="O71">
        <f>step3_validation[[#This Row],[Dependents]]</f>
        <v>1</v>
      </c>
      <c r="P71" t="str">
        <f>survey_responses[[#This Row],[Số người phụ thuộc (con nhỏ, cha mẹ già...) đủ điều kiện giảm trừ gia cảnh:]]</f>
        <v>1 người</v>
      </c>
      <c r="Q71">
        <f>step3_validation[[#This Row],[AI_ENF1]]</f>
        <v>6</v>
      </c>
      <c r="R71" t="str">
        <f t="shared" si="27"/>
        <v>Neutral</v>
      </c>
      <c r="S71">
        <f>survey_responses[[#This Row],[Tôi tin rằng với các quy định quản lý thuế hiện nay, hành vi gian lận hoặc trốn thuế sẽ dễ dàng bị phát hiện và xử lý nghiêm. - HUMAN-ENF1]]</f>
        <v>6</v>
      </c>
      <c r="T71" t="str">
        <f t="shared" si="28"/>
        <v>Neutral</v>
      </c>
      <c r="U71" s="31">
        <f t="shared" si="29"/>
        <v>0</v>
      </c>
      <c r="V71">
        <f>step3_validation[[#This Row],[AI_ENF2]]</f>
        <v>7</v>
      </c>
      <c r="W71" t="str">
        <f t="shared" si="30"/>
        <v>Neutral</v>
      </c>
      <c r="X71">
        <f>survey_responses[[#This Row],[Tôi tin rằng Nhà nước, cơ quan thuế có đủ khả năng và công nghệ để phát hiện, xử lý nghiêm các hành vi trốn thuế. - HUMAN-ENF2]]</f>
        <v>6</v>
      </c>
      <c r="Y71" t="str">
        <f t="shared" si="31"/>
        <v>Neutral</v>
      </c>
      <c r="Z71" s="31">
        <f t="shared" si="32"/>
        <v>1</v>
      </c>
      <c r="AA71">
        <f>step3_validation[[#This Row],[AI_FAC1]]</f>
        <v>9</v>
      </c>
      <c r="AB71" t="str">
        <f t="shared" si="33"/>
        <v>Support</v>
      </c>
      <c r="AC71">
        <f>survey_responses[[#This Row],[Các thủ tục khai báo thuế VÀ/HOẶC quy trình làm việc với cơ quan thuế đơn giản, tiện lợi, nhanh chóng hơn so với trước đây. - HUMAN-FAC1]]</f>
        <v>5</v>
      </c>
      <c r="AD71" t="str">
        <f t="shared" si="34"/>
        <v>Neutral</v>
      </c>
      <c r="AE71" s="31">
        <f t="shared" si="35"/>
        <v>4</v>
      </c>
      <c r="AF71">
        <f>step3_validation[[#This Row],[AI_FAC2]]</f>
        <v>8</v>
      </c>
      <c r="AG71" t="str">
        <f t="shared" si="36"/>
        <v>Support</v>
      </c>
      <c r="AH71">
        <f>survey_responses[[#This Row],[So với trước đây, tôi thấy cách tính thuế và các bậc thuế trong phương án mới đơn giản, dễ hiểu và dễ thực hiện hơn. - HUMAN-FAC2]]</f>
        <v>5</v>
      </c>
      <c r="AI71" t="str">
        <f t="shared" si="37"/>
        <v>Neutral</v>
      </c>
      <c r="AJ71" s="31">
        <f t="shared" si="38"/>
        <v>3</v>
      </c>
      <c r="AK71">
        <f>step3_validation[[#This Row],[AI_TRU1]]</f>
        <v>7</v>
      </c>
      <c r="AL71" t="str">
        <f t="shared" si="39"/>
        <v>Neutral</v>
      </c>
      <c r="AM71">
        <f>survey_responses[[#This Row],[Tôi tin rằng Nhà nước, cơ quan thuế sẽ thực thi chính sách mới một cách khách quan, công tâm và đối xử bình đẳng với mọi người nộp thuế.  - HUMAN-TRU1]]</f>
        <v>5</v>
      </c>
      <c r="AN71" t="str">
        <f t="shared" si="40"/>
        <v>Neutral</v>
      </c>
      <c r="AO71" s="31">
        <f t="shared" si="41"/>
        <v>2</v>
      </c>
      <c r="AP71">
        <f>step3_validation[[#This Row],[AI_TRU2]]</f>
        <v>9</v>
      </c>
      <c r="AQ71" t="str">
        <f t="shared" si="42"/>
        <v>Support</v>
      </c>
      <c r="AR71">
        <f>survey_responses[[#This Row],[Tôi thấy mức thuế tôi phải đóng theo phương án mới là công bằng (người thu nhập như tôi đóng mức này là hợp lý). - HUMAN-TRU2]]</f>
        <v>1</v>
      </c>
      <c r="AS71" t="str">
        <f t="shared" si="43"/>
        <v>Oppose</v>
      </c>
      <c r="AT71" s="31">
        <f t="shared" si="44"/>
        <v>8</v>
      </c>
      <c r="AU71">
        <f>step3_validation[[#This Row],[AI_TRU3]]</f>
        <v>6</v>
      </c>
      <c r="AV71" t="str">
        <f t="shared" si="45"/>
        <v>Neutral</v>
      </c>
      <c r="AW71">
        <f>survey_responses[[#This Row],[Tôi tin tưởng số tiền thuế tôi đóng sẽ được Nhà nước sử dụng hiệu quả để cải thiện dịch vụ công (y tế, đường xá...). - HUMAN-TRU3]]</f>
        <v>5</v>
      </c>
      <c r="AX71" t="str">
        <f t="shared" si="46"/>
        <v>Neutral</v>
      </c>
      <c r="AY71" s="31">
        <f t="shared" si="47"/>
        <v>1</v>
      </c>
      <c r="AZ71">
        <f>step3_validation[[#This Row],[AI_TRU4]]</f>
        <v>7</v>
      </c>
      <c r="BA71" t="str">
        <f t="shared" si="48"/>
        <v>Neutral</v>
      </c>
      <c r="BB71">
        <f>survey_responses[[#This Row],[Tôi thấy Nhà nước đã giải thích rõ ràng, minh bạch về lý do và mục tiêu của việc sửa đổi thuế lần này. - HUMAN-TRU4]]</f>
        <v>5</v>
      </c>
      <c r="BC71" t="str">
        <f t="shared" si="49"/>
        <v>Neutral</v>
      </c>
      <c r="BD71" s="31">
        <f t="shared" si="50"/>
        <v>2</v>
      </c>
      <c r="BE71">
        <f>step3_validation[[#This Row],[AI_OUT1]]</f>
        <v>9</v>
      </c>
      <c r="BF71" t="str">
        <f t="shared" si="51"/>
        <v>Support</v>
      </c>
      <c r="BG71">
        <f>survey_responses[[#This Row],[Sau khi xem xét các quyền lợi và nghĩa vụ, bạn có ủng hộ và tuân thủ chính sách mới hiện nay? - HUMAN-OUT1]]</f>
        <v>5</v>
      </c>
      <c r="BH71" t="str">
        <f t="shared" si="52"/>
        <v>Neutral</v>
      </c>
      <c r="BI71" s="31">
        <f t="shared" si="53"/>
        <v>4</v>
      </c>
    </row>
    <row r="72" spans="1:61" hidden="1" x14ac:dyDescent="0.45">
      <c r="A72" s="29">
        <f>step3_validation[[#This Row],[Persona_ID]]</f>
        <v>71</v>
      </c>
      <c r="B72" s="30">
        <f>step3_validation[[#This Row],[Used_Seed]]</f>
        <v>112</v>
      </c>
      <c r="C72" t="str">
        <f>step3_validation[[#This Row],[Gender]]</f>
        <v>Nữ</v>
      </c>
      <c r="D72" t="str">
        <f>survey_responses[[#This Row],[Giới tính của bạn:]]</f>
        <v>Nữ</v>
      </c>
      <c r="E72" t="str">
        <f>step3_validation[[#This Row],[Age_Group]]</f>
        <v>30 - 39</v>
      </c>
      <c r="F72" t="str">
        <f>survey_responses[[#This Row],[Độ tuổi của bạn:]]</f>
        <v>30 - 39</v>
      </c>
      <c r="G72" t="str">
        <f>step3_validation[[#This Row],[Region]]</f>
        <v>Thành thị</v>
      </c>
      <c r="H72" t="str">
        <f>survey_responses[[#This Row],[Khu vực bạn đang sinh sống:]]</f>
        <v>Thành thị</v>
      </c>
      <c r="I72" t="str">
        <f>step3_validation[[#This Row],[Education]]</f>
        <v>Sau Đại học</v>
      </c>
      <c r="J72" t="str">
        <f>survey_responses[[#This Row],[Trình độ học vấn cao nhất:]]</f>
        <v>Sau Đại học</v>
      </c>
      <c r="K72" t="str">
        <f>step3_validation[[#This Row],[Employment]]</f>
        <v>Chính thức</v>
      </c>
      <c r="L72" t="str">
        <f>survey_responses[[#This Row],[Tình trạng việc làm chính:]]</f>
        <v>Khu vực chính thức (Có Hợp đồng lao động, đóng BHXH)</v>
      </c>
      <c r="M72">
        <f>step3_validation[[#This Row],[Income_Mil]]</f>
        <v>26.700942765498688</v>
      </c>
      <c r="N72" t="str">
        <f>survey_responses[[#This Row],[Thu nhập bình quân tháng theo Hợp đồng lao động của bạn là bao nhiêu? (Vui lòng điền tổng thu nhập trước khi khấu trừ các loại Bảo hiểm (BHXH, BHYT, BHTN) và Thuế TNCN)]]</f>
        <v>Từ 23 - 32 triệu VNĐ</v>
      </c>
      <c r="O72">
        <f>step3_validation[[#This Row],[Dependents]]</f>
        <v>2</v>
      </c>
      <c r="P72" t="str">
        <f>survey_responses[[#This Row],[Số người phụ thuộc (con nhỏ, cha mẹ già...) đủ điều kiện giảm trừ gia cảnh:]]</f>
        <v>2 người</v>
      </c>
      <c r="Q72">
        <f>step3_validation[[#This Row],[AI_ENF1]]</f>
        <v>7</v>
      </c>
      <c r="R72" t="str">
        <f t="shared" si="27"/>
        <v>Neutral</v>
      </c>
      <c r="S72">
        <f>survey_responses[[#This Row],[Tôi tin rằng với các quy định quản lý thuế hiện nay, hành vi gian lận hoặc trốn thuế sẽ dễ dàng bị phát hiện và xử lý nghiêm. - HUMAN-ENF1]]</f>
        <v>3</v>
      </c>
      <c r="T72" t="str">
        <f t="shared" si="28"/>
        <v>Oppose</v>
      </c>
      <c r="U72" s="31">
        <f t="shared" si="29"/>
        <v>4</v>
      </c>
      <c r="V72">
        <f>step3_validation[[#This Row],[AI_ENF2]]</f>
        <v>8</v>
      </c>
      <c r="W72" t="str">
        <f t="shared" si="30"/>
        <v>Support</v>
      </c>
      <c r="X72">
        <f>survey_responses[[#This Row],[Tôi tin rằng Nhà nước, cơ quan thuế có đủ khả năng và công nghệ để phát hiện, xử lý nghiêm các hành vi trốn thuế. - HUMAN-ENF2]]</f>
        <v>3</v>
      </c>
      <c r="Y72" t="str">
        <f t="shared" si="31"/>
        <v>Oppose</v>
      </c>
      <c r="Z72" s="31">
        <f t="shared" si="32"/>
        <v>5</v>
      </c>
      <c r="AA72">
        <f>step3_validation[[#This Row],[AI_FAC1]]</f>
        <v>9</v>
      </c>
      <c r="AB72" t="str">
        <f t="shared" si="33"/>
        <v>Support</v>
      </c>
      <c r="AC72">
        <f>survey_responses[[#This Row],[Các thủ tục khai báo thuế VÀ/HOẶC quy trình làm việc với cơ quan thuế đơn giản, tiện lợi, nhanh chóng hơn so với trước đây. - HUMAN-FAC1]]</f>
        <v>3</v>
      </c>
      <c r="AD72" t="str">
        <f t="shared" si="34"/>
        <v>Oppose</v>
      </c>
      <c r="AE72" s="31">
        <f t="shared" si="35"/>
        <v>6</v>
      </c>
      <c r="AF72">
        <f>step3_validation[[#This Row],[AI_FAC2]]</f>
        <v>9</v>
      </c>
      <c r="AG72" t="str">
        <f t="shared" si="36"/>
        <v>Support</v>
      </c>
      <c r="AH72">
        <f>survey_responses[[#This Row],[So với trước đây, tôi thấy cách tính thuế và các bậc thuế trong phương án mới đơn giản, dễ hiểu và dễ thực hiện hơn. - HUMAN-FAC2]]</f>
        <v>5</v>
      </c>
      <c r="AI72" t="str">
        <f t="shared" si="37"/>
        <v>Neutral</v>
      </c>
      <c r="AJ72" s="31">
        <f t="shared" si="38"/>
        <v>4</v>
      </c>
      <c r="AK72">
        <f>step3_validation[[#This Row],[AI_TRU1]]</f>
        <v>7</v>
      </c>
      <c r="AL72" t="str">
        <f t="shared" si="39"/>
        <v>Neutral</v>
      </c>
      <c r="AM72">
        <f>survey_responses[[#This Row],[Tôi tin rằng Nhà nước, cơ quan thuế sẽ thực thi chính sách mới một cách khách quan, công tâm và đối xử bình đẳng với mọi người nộp thuế.  - HUMAN-TRU1]]</f>
        <v>3</v>
      </c>
      <c r="AN72" t="str">
        <f t="shared" si="40"/>
        <v>Oppose</v>
      </c>
      <c r="AO72" s="31">
        <f t="shared" si="41"/>
        <v>4</v>
      </c>
      <c r="AP72">
        <f>step3_validation[[#This Row],[AI_TRU2]]</f>
        <v>9</v>
      </c>
      <c r="AQ72" t="str">
        <f t="shared" si="42"/>
        <v>Support</v>
      </c>
      <c r="AR72">
        <f>survey_responses[[#This Row],[Tôi thấy mức thuế tôi phải đóng theo phương án mới là công bằng (người thu nhập như tôi đóng mức này là hợp lý). - HUMAN-TRU2]]</f>
        <v>3</v>
      </c>
      <c r="AS72" t="str">
        <f t="shared" si="43"/>
        <v>Oppose</v>
      </c>
      <c r="AT72" s="31">
        <f t="shared" si="44"/>
        <v>6</v>
      </c>
      <c r="AU72">
        <f>step3_validation[[#This Row],[AI_TRU3]]</f>
        <v>8</v>
      </c>
      <c r="AV72" t="str">
        <f t="shared" si="45"/>
        <v>Support</v>
      </c>
      <c r="AW72">
        <f>survey_responses[[#This Row],[Tôi tin tưởng số tiền thuế tôi đóng sẽ được Nhà nước sử dụng hiệu quả để cải thiện dịch vụ công (y tế, đường xá...). - HUMAN-TRU3]]</f>
        <v>3</v>
      </c>
      <c r="AX72" t="str">
        <f t="shared" si="46"/>
        <v>Oppose</v>
      </c>
      <c r="AY72" s="31">
        <f t="shared" si="47"/>
        <v>5</v>
      </c>
      <c r="AZ72">
        <f>step3_validation[[#This Row],[AI_TRU4]]</f>
        <v>7</v>
      </c>
      <c r="BA72" t="str">
        <f t="shared" si="48"/>
        <v>Neutral</v>
      </c>
      <c r="BB72">
        <f>survey_responses[[#This Row],[Tôi thấy Nhà nước đã giải thích rõ ràng, minh bạch về lý do và mục tiêu của việc sửa đổi thuế lần này. - HUMAN-TRU4]]</f>
        <v>3</v>
      </c>
      <c r="BC72" t="str">
        <f t="shared" si="49"/>
        <v>Oppose</v>
      </c>
      <c r="BD72" s="31">
        <f t="shared" si="50"/>
        <v>4</v>
      </c>
      <c r="BE72">
        <f>step3_validation[[#This Row],[AI_OUT1]]</f>
        <v>8</v>
      </c>
      <c r="BF72" t="str">
        <f t="shared" si="51"/>
        <v>Support</v>
      </c>
      <c r="BG72">
        <f>survey_responses[[#This Row],[Sau khi xem xét các quyền lợi và nghĩa vụ, bạn có ủng hộ và tuân thủ chính sách mới hiện nay? - HUMAN-OUT1]]</f>
        <v>4</v>
      </c>
      <c r="BH72" t="str">
        <f t="shared" si="52"/>
        <v>Oppose</v>
      </c>
      <c r="BI72" s="31">
        <f t="shared" si="53"/>
        <v>4</v>
      </c>
    </row>
    <row r="73" spans="1:61" hidden="1" x14ac:dyDescent="0.45">
      <c r="A73" s="29">
        <f>step3_validation[[#This Row],[Persona_ID]]</f>
        <v>72</v>
      </c>
      <c r="B73" s="30">
        <f>step3_validation[[#This Row],[Used_Seed]]</f>
        <v>113</v>
      </c>
      <c r="C73" t="str">
        <f>step3_validation[[#This Row],[Gender]]</f>
        <v>Nam</v>
      </c>
      <c r="D73" t="str">
        <f>survey_responses[[#This Row],[Giới tính của bạn:]]</f>
        <v>Nam</v>
      </c>
      <c r="E73" t="str">
        <f>step3_validation[[#This Row],[Age_Group]]</f>
        <v>30 - 39</v>
      </c>
      <c r="F73" t="str">
        <f>survey_responses[[#This Row],[Độ tuổi của bạn:]]</f>
        <v>30 - 39</v>
      </c>
      <c r="G73" t="str">
        <f>step3_validation[[#This Row],[Region]]</f>
        <v>Thành thị</v>
      </c>
      <c r="H73" t="str">
        <f>survey_responses[[#This Row],[Khu vực bạn đang sinh sống:]]</f>
        <v>Thành thị</v>
      </c>
      <c r="I73" t="str">
        <f>step3_validation[[#This Row],[Education]]</f>
        <v>Đại học</v>
      </c>
      <c r="J73" t="str">
        <f>survey_responses[[#This Row],[Trình độ học vấn cao nhất:]]</f>
        <v>Đại học</v>
      </c>
      <c r="K73" t="str">
        <f>step3_validation[[#This Row],[Employment]]</f>
        <v>Phi chính thức</v>
      </c>
      <c r="L73" t="str">
        <f>survey_responses[[#This Row],[Tình trạng việc làm chính:]]</f>
        <v>Khu vực phi chính thức (Lao động tự do, không có HĐLĐ)</v>
      </c>
      <c r="M73">
        <f>step3_validation[[#This Row],[Income_Mil]]</f>
        <v>21.592121815950726</v>
      </c>
      <c r="N73" t="str">
        <f>survey_responses[[#This Row],[Thu nhập bình quân tháng theo Hợp đồng lao động của bạn là bao nhiêu? (Vui lòng điền tổng thu nhập trước khi khấu trừ các loại Bảo hiểm (BHXH, BHYT, BHTN) và Thuế TNCN)]]</f>
        <v>Từ 18 - 23 triệu VNĐ</v>
      </c>
      <c r="O73">
        <f>step3_validation[[#This Row],[Dependents]]</f>
        <v>3</v>
      </c>
      <c r="P73" t="str">
        <f>survey_responses[[#This Row],[Số người phụ thuộc (con nhỏ, cha mẹ già...) đủ điều kiện giảm trừ gia cảnh:]]</f>
        <v>3 người</v>
      </c>
      <c r="Q73">
        <f>step3_validation[[#This Row],[AI_ENF1]]</f>
        <v>7</v>
      </c>
      <c r="R73" t="str">
        <f t="shared" si="27"/>
        <v>Neutral</v>
      </c>
      <c r="S73">
        <f>survey_responses[[#This Row],[Tôi tin rằng với các quy định quản lý thuế hiện nay, hành vi gian lận hoặc trốn thuế sẽ dễ dàng bị phát hiện và xử lý nghiêm. - HUMAN-ENF1]]</f>
        <v>8</v>
      </c>
      <c r="T73" t="str">
        <f t="shared" si="28"/>
        <v>Support</v>
      </c>
      <c r="U73" s="31">
        <f t="shared" si="29"/>
        <v>1</v>
      </c>
      <c r="V73">
        <f>step3_validation[[#This Row],[AI_ENF2]]</f>
        <v>6</v>
      </c>
      <c r="W73" t="str">
        <f t="shared" si="30"/>
        <v>Neutral</v>
      </c>
      <c r="X73">
        <f>survey_responses[[#This Row],[Tôi tin rằng Nhà nước, cơ quan thuế có đủ khả năng và công nghệ để phát hiện, xử lý nghiêm các hành vi trốn thuế. - HUMAN-ENF2]]</f>
        <v>8</v>
      </c>
      <c r="Y73" t="str">
        <f t="shared" si="31"/>
        <v>Support</v>
      </c>
      <c r="Z73" s="31">
        <f t="shared" si="32"/>
        <v>2</v>
      </c>
      <c r="AA73">
        <f>step3_validation[[#This Row],[AI_FAC1]]</f>
        <v>8</v>
      </c>
      <c r="AB73" t="str">
        <f t="shared" si="33"/>
        <v>Support</v>
      </c>
      <c r="AC73">
        <f>survey_responses[[#This Row],[Các thủ tục khai báo thuế VÀ/HOẶC quy trình làm việc với cơ quan thuế đơn giản, tiện lợi, nhanh chóng hơn so với trước đây. - HUMAN-FAC1]]</f>
        <v>4</v>
      </c>
      <c r="AD73" t="str">
        <f t="shared" si="34"/>
        <v>Oppose</v>
      </c>
      <c r="AE73" s="31">
        <f t="shared" si="35"/>
        <v>4</v>
      </c>
      <c r="AF73">
        <f>step3_validation[[#This Row],[AI_FAC2]]</f>
        <v>9</v>
      </c>
      <c r="AG73" t="str">
        <f t="shared" si="36"/>
        <v>Support</v>
      </c>
      <c r="AH73">
        <f>survey_responses[[#This Row],[So với trước đây, tôi thấy cách tính thuế và các bậc thuế trong phương án mới đơn giản, dễ hiểu và dễ thực hiện hơn. - HUMAN-FAC2]]</f>
        <v>2</v>
      </c>
      <c r="AI73" t="str">
        <f t="shared" si="37"/>
        <v>Oppose</v>
      </c>
      <c r="AJ73" s="31">
        <f t="shared" si="38"/>
        <v>7</v>
      </c>
      <c r="AK73">
        <f>step3_validation[[#This Row],[AI_TRU1]]</f>
        <v>6</v>
      </c>
      <c r="AL73" t="str">
        <f t="shared" si="39"/>
        <v>Neutral</v>
      </c>
      <c r="AM73">
        <f>survey_responses[[#This Row],[Tôi tin rằng Nhà nước, cơ quan thuế sẽ thực thi chính sách mới một cách khách quan, công tâm và đối xử bình đẳng với mọi người nộp thuế.  - HUMAN-TRU1]]</f>
        <v>6</v>
      </c>
      <c r="AN73" t="str">
        <f t="shared" si="40"/>
        <v>Neutral</v>
      </c>
      <c r="AO73" s="31">
        <f t="shared" si="41"/>
        <v>0</v>
      </c>
      <c r="AP73">
        <f>step3_validation[[#This Row],[AI_TRU2]]</f>
        <v>8</v>
      </c>
      <c r="AQ73" t="str">
        <f t="shared" si="42"/>
        <v>Support</v>
      </c>
      <c r="AR73">
        <f>survey_responses[[#This Row],[Tôi thấy mức thuế tôi phải đóng theo phương án mới là công bằng (người thu nhập như tôi đóng mức này là hợp lý). - HUMAN-TRU2]]</f>
        <v>3</v>
      </c>
      <c r="AS73" t="str">
        <f t="shared" si="43"/>
        <v>Oppose</v>
      </c>
      <c r="AT73" s="31">
        <f t="shared" si="44"/>
        <v>5</v>
      </c>
      <c r="AU73">
        <f>step3_validation[[#This Row],[AI_TRU3]]</f>
        <v>7</v>
      </c>
      <c r="AV73" t="str">
        <f t="shared" si="45"/>
        <v>Neutral</v>
      </c>
      <c r="AW73">
        <f>survey_responses[[#This Row],[Tôi tin tưởng số tiền thuế tôi đóng sẽ được Nhà nước sử dụng hiệu quả để cải thiện dịch vụ công (y tế, đường xá...). - HUMAN-TRU3]]</f>
        <v>8</v>
      </c>
      <c r="AX73" t="str">
        <f t="shared" si="46"/>
        <v>Support</v>
      </c>
      <c r="AY73" s="31">
        <f t="shared" si="47"/>
        <v>1</v>
      </c>
      <c r="AZ73">
        <f>step3_validation[[#This Row],[AI_TRU4]]</f>
        <v>5</v>
      </c>
      <c r="BA73" t="str">
        <f t="shared" si="48"/>
        <v>Neutral</v>
      </c>
      <c r="BB73">
        <f>survey_responses[[#This Row],[Tôi thấy Nhà nước đã giải thích rõ ràng, minh bạch về lý do và mục tiêu của việc sửa đổi thuế lần này. - HUMAN-TRU4]]</f>
        <v>4</v>
      </c>
      <c r="BC73" t="str">
        <f t="shared" si="49"/>
        <v>Oppose</v>
      </c>
      <c r="BD73" s="31">
        <f t="shared" si="50"/>
        <v>1</v>
      </c>
      <c r="BE73">
        <f>step3_validation[[#This Row],[AI_OUT1]]</f>
        <v>6</v>
      </c>
      <c r="BF73" t="str">
        <f t="shared" si="51"/>
        <v>Neutral</v>
      </c>
      <c r="BG73">
        <f>survey_responses[[#This Row],[Sau khi xem xét các quyền lợi và nghĩa vụ, bạn có ủng hộ và tuân thủ chính sách mới hiện nay? - HUMAN-OUT1]]</f>
        <v>8</v>
      </c>
      <c r="BH73" t="str">
        <f t="shared" si="52"/>
        <v>Support</v>
      </c>
      <c r="BI73" s="31">
        <f t="shared" si="53"/>
        <v>2</v>
      </c>
    </row>
    <row r="74" spans="1:61" hidden="1" x14ac:dyDescent="0.45">
      <c r="A74" s="29">
        <f>step3_validation[[#This Row],[Persona_ID]]</f>
        <v>73</v>
      </c>
      <c r="B74" s="30">
        <f>step3_validation[[#This Row],[Used_Seed]]</f>
        <v>114</v>
      </c>
      <c r="C74" t="str">
        <f>step3_validation[[#This Row],[Gender]]</f>
        <v>Nam</v>
      </c>
      <c r="D74" t="str">
        <f>survey_responses[[#This Row],[Giới tính của bạn:]]</f>
        <v>Nam</v>
      </c>
      <c r="E74" t="str">
        <f>step3_validation[[#This Row],[Age_Group]]</f>
        <v>18 - 24</v>
      </c>
      <c r="F74" t="str">
        <f>survey_responses[[#This Row],[Độ tuổi của bạn:]]</f>
        <v>18 - 24</v>
      </c>
      <c r="G74" t="str">
        <f>step3_validation[[#This Row],[Region]]</f>
        <v>Thành thị</v>
      </c>
      <c r="H74" t="str">
        <f>survey_responses[[#This Row],[Khu vực bạn đang sinh sống:]]</f>
        <v>Thành thị</v>
      </c>
      <c r="I74" t="str">
        <f>step3_validation[[#This Row],[Education]]</f>
        <v>Trung học phổ thông</v>
      </c>
      <c r="J74" t="str">
        <f>survey_responses[[#This Row],[Trình độ học vấn cao nhất:]]</f>
        <v>Trung học phổ thông</v>
      </c>
      <c r="K74" t="str">
        <f>step3_validation[[#This Row],[Employment]]</f>
        <v>Chính thức</v>
      </c>
      <c r="L74" t="str">
        <f>survey_responses[[#This Row],[Tình trạng việc làm chính:]]</f>
        <v>Khu vực chính thức (Có Hợp đồng lao động, đóng BHXH)</v>
      </c>
      <c r="M74">
        <f>step3_validation[[#This Row],[Income_Mil]]</f>
        <v>13.006734459565548</v>
      </c>
      <c r="N74" t="str">
        <f>survey_responses[[#This Row],[Thu nhập bình quân tháng theo Hợp đồng lao động của bạn là bao nhiêu? (Vui lòng điền tổng thu nhập trước khi khấu trừ các loại Bảo hiểm (BHXH, BHYT, BHTN) và Thuế TNCN)]]</f>
        <v>Từ 12 - 18 triệu VNĐ</v>
      </c>
      <c r="O74">
        <f>step3_validation[[#This Row],[Dependents]]</f>
        <v>0</v>
      </c>
      <c r="P74" t="str">
        <f>survey_responses[[#This Row],[Số người phụ thuộc (con nhỏ, cha mẹ già...) đủ điều kiện giảm trừ gia cảnh:]]</f>
        <v>0 người</v>
      </c>
      <c r="Q74">
        <f>step3_validation[[#This Row],[AI_ENF1]]</f>
        <v>5</v>
      </c>
      <c r="R74" t="str">
        <f t="shared" si="27"/>
        <v>Neutral</v>
      </c>
      <c r="S74">
        <f>survey_responses[[#This Row],[Tôi tin rằng với các quy định quản lý thuế hiện nay, hành vi gian lận hoặc trốn thuế sẽ dễ dàng bị phát hiện và xử lý nghiêm. - HUMAN-ENF1]]</f>
        <v>5</v>
      </c>
      <c r="T74" t="str">
        <f t="shared" si="28"/>
        <v>Neutral</v>
      </c>
      <c r="U74" s="31">
        <f t="shared" si="29"/>
        <v>0</v>
      </c>
      <c r="V74">
        <f>step3_validation[[#This Row],[AI_ENF2]]</f>
        <v>6</v>
      </c>
      <c r="W74" t="str">
        <f t="shared" si="30"/>
        <v>Neutral</v>
      </c>
      <c r="X74">
        <f>survey_responses[[#This Row],[Tôi tin rằng Nhà nước, cơ quan thuế có đủ khả năng và công nghệ để phát hiện, xử lý nghiêm các hành vi trốn thuế. - HUMAN-ENF2]]</f>
        <v>5</v>
      </c>
      <c r="Y74" t="str">
        <f t="shared" si="31"/>
        <v>Neutral</v>
      </c>
      <c r="Z74" s="31">
        <f t="shared" si="32"/>
        <v>1</v>
      </c>
      <c r="AA74">
        <f>step3_validation[[#This Row],[AI_FAC1]]</f>
        <v>7</v>
      </c>
      <c r="AB74" t="str">
        <f t="shared" si="33"/>
        <v>Neutral</v>
      </c>
      <c r="AC74">
        <f>survey_responses[[#This Row],[Các thủ tục khai báo thuế VÀ/HOẶC quy trình làm việc với cơ quan thuế đơn giản, tiện lợi, nhanh chóng hơn so với trước đây. - HUMAN-FAC1]]</f>
        <v>5</v>
      </c>
      <c r="AD74" t="str">
        <f t="shared" si="34"/>
        <v>Neutral</v>
      </c>
      <c r="AE74" s="31">
        <f t="shared" si="35"/>
        <v>2</v>
      </c>
      <c r="AF74">
        <f>step3_validation[[#This Row],[AI_FAC2]]</f>
        <v>9</v>
      </c>
      <c r="AG74" t="str">
        <f t="shared" si="36"/>
        <v>Support</v>
      </c>
      <c r="AH74">
        <f>survey_responses[[#This Row],[So với trước đây, tôi thấy cách tính thuế và các bậc thuế trong phương án mới đơn giản, dễ hiểu và dễ thực hiện hơn. - HUMAN-FAC2]]</f>
        <v>5</v>
      </c>
      <c r="AI74" t="str">
        <f t="shared" si="37"/>
        <v>Neutral</v>
      </c>
      <c r="AJ74" s="31">
        <f t="shared" si="38"/>
        <v>4</v>
      </c>
      <c r="AK74">
        <f>step3_validation[[#This Row],[AI_TRU1]]</f>
        <v>8</v>
      </c>
      <c r="AL74" t="str">
        <f t="shared" si="39"/>
        <v>Support</v>
      </c>
      <c r="AM74">
        <f>survey_responses[[#This Row],[Tôi tin rằng Nhà nước, cơ quan thuế sẽ thực thi chính sách mới một cách khách quan, công tâm và đối xử bình đẳng với mọi người nộp thuế.  - HUMAN-TRU1]]</f>
        <v>5</v>
      </c>
      <c r="AN74" t="str">
        <f t="shared" si="40"/>
        <v>Neutral</v>
      </c>
      <c r="AO74" s="31">
        <f t="shared" si="41"/>
        <v>3</v>
      </c>
      <c r="AP74">
        <f>step3_validation[[#This Row],[AI_TRU2]]</f>
        <v>9</v>
      </c>
      <c r="AQ74" t="str">
        <f t="shared" si="42"/>
        <v>Support</v>
      </c>
      <c r="AR74">
        <f>survey_responses[[#This Row],[Tôi thấy mức thuế tôi phải đóng theo phương án mới là công bằng (người thu nhập như tôi đóng mức này là hợp lý). - HUMAN-TRU2]]</f>
        <v>10</v>
      </c>
      <c r="AS74" t="str">
        <f t="shared" si="43"/>
        <v>Support</v>
      </c>
      <c r="AT74" s="31">
        <f t="shared" si="44"/>
        <v>1</v>
      </c>
      <c r="AU74">
        <f>step3_validation[[#This Row],[AI_TRU3]]</f>
        <v>8</v>
      </c>
      <c r="AV74" t="str">
        <f t="shared" si="45"/>
        <v>Support</v>
      </c>
      <c r="AW74">
        <f>survey_responses[[#This Row],[Tôi tin tưởng số tiền thuế tôi đóng sẽ được Nhà nước sử dụng hiệu quả để cải thiện dịch vụ công (y tế, đường xá...). - HUMAN-TRU3]]</f>
        <v>5</v>
      </c>
      <c r="AX74" t="str">
        <f t="shared" si="46"/>
        <v>Neutral</v>
      </c>
      <c r="AY74" s="31">
        <f t="shared" si="47"/>
        <v>3</v>
      </c>
      <c r="AZ74">
        <f>step3_validation[[#This Row],[AI_TRU4]]</f>
        <v>7</v>
      </c>
      <c r="BA74" t="str">
        <f t="shared" si="48"/>
        <v>Neutral</v>
      </c>
      <c r="BB74">
        <f>survey_responses[[#This Row],[Tôi thấy Nhà nước đã giải thích rõ ràng, minh bạch về lý do và mục tiêu của việc sửa đổi thuế lần này. - HUMAN-TRU4]]</f>
        <v>5</v>
      </c>
      <c r="BC74" t="str">
        <f t="shared" si="49"/>
        <v>Neutral</v>
      </c>
      <c r="BD74" s="31">
        <f t="shared" si="50"/>
        <v>2</v>
      </c>
      <c r="BE74">
        <f>step3_validation[[#This Row],[AI_OUT1]]</f>
        <v>9</v>
      </c>
      <c r="BF74" t="str">
        <f t="shared" si="51"/>
        <v>Support</v>
      </c>
      <c r="BG74">
        <f>survey_responses[[#This Row],[Sau khi xem xét các quyền lợi và nghĩa vụ, bạn có ủng hộ và tuân thủ chính sách mới hiện nay? - HUMAN-OUT1]]</f>
        <v>10</v>
      </c>
      <c r="BH74" t="str">
        <f t="shared" si="52"/>
        <v>Support</v>
      </c>
      <c r="BI74" s="31">
        <f t="shared" si="53"/>
        <v>1</v>
      </c>
    </row>
    <row r="75" spans="1:61" hidden="1" x14ac:dyDescent="0.45">
      <c r="A75" s="29">
        <f>step3_validation[[#This Row],[Persona_ID]]</f>
        <v>74</v>
      </c>
      <c r="B75" s="30">
        <f>step3_validation[[#This Row],[Used_Seed]]</f>
        <v>115</v>
      </c>
      <c r="C75" t="str">
        <f>step3_validation[[#This Row],[Gender]]</f>
        <v>Nữ</v>
      </c>
      <c r="D75" t="str">
        <f>survey_responses[[#This Row],[Giới tính của bạn:]]</f>
        <v>Nữ</v>
      </c>
      <c r="E75" t="str">
        <f>step3_validation[[#This Row],[Age_Group]]</f>
        <v>30 - 39</v>
      </c>
      <c r="F75" t="str">
        <f>survey_responses[[#This Row],[Độ tuổi của bạn:]]</f>
        <v>30 - 39</v>
      </c>
      <c r="G75" t="str">
        <f>step3_validation[[#This Row],[Region]]</f>
        <v>Thành thị</v>
      </c>
      <c r="H75" t="str">
        <f>survey_responses[[#This Row],[Khu vực bạn đang sinh sống:]]</f>
        <v>Thành thị</v>
      </c>
      <c r="I75" t="str">
        <f>step3_validation[[#This Row],[Education]]</f>
        <v>Đại học</v>
      </c>
      <c r="J75" t="str">
        <f>survey_responses[[#This Row],[Trình độ học vấn cao nhất:]]</f>
        <v>Đại học</v>
      </c>
      <c r="K75" t="str">
        <f>step3_validation[[#This Row],[Employment]]</f>
        <v>Phi chính thức</v>
      </c>
      <c r="L75" t="str">
        <f>survey_responses[[#This Row],[Tình trạng việc làm chính:]]</f>
        <v>Khu vực phi chính thức (Lao động tự do, không có HĐLĐ)</v>
      </c>
      <c r="M75">
        <f>step3_validation[[#This Row],[Income_Mil]]</f>
        <v>18.158116984131347</v>
      </c>
      <c r="N75" t="str">
        <f>survey_responses[[#This Row],[Thu nhập bình quân tháng theo Hợp đồng lao động của bạn là bao nhiêu? (Vui lòng điền tổng thu nhập trước khi khấu trừ các loại Bảo hiểm (BHXH, BHYT, BHTN) và Thuế TNCN)]]</f>
        <v>Từ 18 - 23 triệu VNĐ</v>
      </c>
      <c r="O75">
        <f>step3_validation[[#This Row],[Dependents]]</f>
        <v>1</v>
      </c>
      <c r="P75" t="str">
        <f>survey_responses[[#This Row],[Số người phụ thuộc (con nhỏ, cha mẹ già...) đủ điều kiện giảm trừ gia cảnh:]]</f>
        <v>1 người</v>
      </c>
      <c r="Q75">
        <f>step3_validation[[#This Row],[AI_ENF1]]</f>
        <v>7</v>
      </c>
      <c r="R75" t="str">
        <f t="shared" si="27"/>
        <v>Neutral</v>
      </c>
      <c r="S75">
        <f>survey_responses[[#This Row],[Tôi tin rằng với các quy định quản lý thuế hiện nay, hành vi gian lận hoặc trốn thuế sẽ dễ dàng bị phát hiện và xử lý nghiêm. - HUMAN-ENF1]]</f>
        <v>5</v>
      </c>
      <c r="T75" t="str">
        <f t="shared" si="28"/>
        <v>Neutral</v>
      </c>
      <c r="U75" s="31">
        <f t="shared" si="29"/>
        <v>2</v>
      </c>
      <c r="V75">
        <f>step3_validation[[#This Row],[AI_ENF2]]</f>
        <v>7</v>
      </c>
      <c r="W75" t="str">
        <f t="shared" si="30"/>
        <v>Neutral</v>
      </c>
      <c r="X75">
        <f>survey_responses[[#This Row],[Tôi tin rằng Nhà nước, cơ quan thuế có đủ khả năng và công nghệ để phát hiện, xử lý nghiêm các hành vi trốn thuế. - HUMAN-ENF2]]</f>
        <v>10</v>
      </c>
      <c r="Y75" t="str">
        <f t="shared" si="31"/>
        <v>Support</v>
      </c>
      <c r="Z75" s="31">
        <f t="shared" si="32"/>
        <v>3</v>
      </c>
      <c r="AA75">
        <f>step3_validation[[#This Row],[AI_FAC1]]</f>
        <v>8</v>
      </c>
      <c r="AB75" t="str">
        <f t="shared" si="33"/>
        <v>Support</v>
      </c>
      <c r="AC75">
        <f>survey_responses[[#This Row],[Các thủ tục khai báo thuế VÀ/HOẶC quy trình làm việc với cơ quan thuế đơn giản, tiện lợi, nhanh chóng hơn so với trước đây. - HUMAN-FAC1]]</f>
        <v>2</v>
      </c>
      <c r="AD75" t="str">
        <f t="shared" si="34"/>
        <v>Oppose</v>
      </c>
      <c r="AE75" s="31">
        <f t="shared" si="35"/>
        <v>6</v>
      </c>
      <c r="AF75">
        <f>step3_validation[[#This Row],[AI_FAC2]]</f>
        <v>9</v>
      </c>
      <c r="AG75" t="str">
        <f t="shared" si="36"/>
        <v>Support</v>
      </c>
      <c r="AH75">
        <f>survey_responses[[#This Row],[So với trước đây, tôi thấy cách tính thuế và các bậc thuế trong phương án mới đơn giản, dễ hiểu và dễ thực hiện hơn. - HUMAN-FAC2]]</f>
        <v>8</v>
      </c>
      <c r="AI75" t="str">
        <f t="shared" si="37"/>
        <v>Support</v>
      </c>
      <c r="AJ75" s="31">
        <f t="shared" si="38"/>
        <v>1</v>
      </c>
      <c r="AK75">
        <f>step3_validation[[#This Row],[AI_TRU1]]</f>
        <v>6</v>
      </c>
      <c r="AL75" t="str">
        <f t="shared" si="39"/>
        <v>Neutral</v>
      </c>
      <c r="AM75">
        <f>survey_responses[[#This Row],[Tôi tin rằng Nhà nước, cơ quan thuế sẽ thực thi chính sách mới một cách khách quan, công tâm và đối xử bình đẳng với mọi người nộp thuế.  - HUMAN-TRU1]]</f>
        <v>5</v>
      </c>
      <c r="AN75" t="str">
        <f t="shared" si="40"/>
        <v>Neutral</v>
      </c>
      <c r="AO75" s="31">
        <f t="shared" si="41"/>
        <v>1</v>
      </c>
      <c r="AP75">
        <f>step3_validation[[#This Row],[AI_TRU2]]</f>
        <v>8</v>
      </c>
      <c r="AQ75" t="str">
        <f t="shared" si="42"/>
        <v>Support</v>
      </c>
      <c r="AR75">
        <f>survey_responses[[#This Row],[Tôi thấy mức thuế tôi phải đóng theo phương án mới là công bằng (người thu nhập như tôi đóng mức này là hợp lý). - HUMAN-TRU2]]</f>
        <v>5</v>
      </c>
      <c r="AS75" t="str">
        <f t="shared" si="43"/>
        <v>Neutral</v>
      </c>
      <c r="AT75" s="31">
        <f t="shared" si="44"/>
        <v>3</v>
      </c>
      <c r="AU75">
        <f>step3_validation[[#This Row],[AI_TRU3]]</f>
        <v>6</v>
      </c>
      <c r="AV75" t="str">
        <f t="shared" si="45"/>
        <v>Neutral</v>
      </c>
      <c r="AW75">
        <f>survey_responses[[#This Row],[Tôi tin tưởng số tiền thuế tôi đóng sẽ được Nhà nước sử dụng hiệu quả để cải thiện dịch vụ công (y tế, đường xá...). - HUMAN-TRU3]]</f>
        <v>1</v>
      </c>
      <c r="AX75" t="str">
        <f t="shared" si="46"/>
        <v>Oppose</v>
      </c>
      <c r="AY75" s="31">
        <f t="shared" si="47"/>
        <v>5</v>
      </c>
      <c r="AZ75">
        <f>step3_validation[[#This Row],[AI_TRU4]]</f>
        <v>7</v>
      </c>
      <c r="BA75" t="str">
        <f t="shared" si="48"/>
        <v>Neutral</v>
      </c>
      <c r="BB75">
        <f>survey_responses[[#This Row],[Tôi thấy Nhà nước đã giải thích rõ ràng, minh bạch về lý do và mục tiêu của việc sửa đổi thuế lần này. - HUMAN-TRU4]]</f>
        <v>4</v>
      </c>
      <c r="BC75" t="str">
        <f t="shared" si="49"/>
        <v>Oppose</v>
      </c>
      <c r="BD75" s="31">
        <f t="shared" si="50"/>
        <v>3</v>
      </c>
      <c r="BE75">
        <f>step3_validation[[#This Row],[AI_OUT1]]</f>
        <v>9</v>
      </c>
      <c r="BF75" t="str">
        <f t="shared" si="51"/>
        <v>Support</v>
      </c>
      <c r="BG75">
        <f>survey_responses[[#This Row],[Sau khi xem xét các quyền lợi và nghĩa vụ, bạn có ủng hộ và tuân thủ chính sách mới hiện nay? - HUMAN-OUT1]]</f>
        <v>5</v>
      </c>
      <c r="BH75" t="str">
        <f t="shared" si="52"/>
        <v>Neutral</v>
      </c>
      <c r="BI75" s="31">
        <f t="shared" si="53"/>
        <v>4</v>
      </c>
    </row>
    <row r="76" spans="1:61" hidden="1" x14ac:dyDescent="0.45">
      <c r="A76" s="29">
        <f>step3_validation[[#This Row],[Persona_ID]]</f>
        <v>75</v>
      </c>
      <c r="B76" s="30">
        <f>step3_validation[[#This Row],[Used_Seed]]</f>
        <v>116</v>
      </c>
      <c r="C76" t="str">
        <f>step3_validation[[#This Row],[Gender]]</f>
        <v>Nam</v>
      </c>
      <c r="D76" t="str">
        <f>survey_responses[[#This Row],[Giới tính của bạn:]]</f>
        <v>Nam</v>
      </c>
      <c r="E76" t="str">
        <f>step3_validation[[#This Row],[Age_Group]]</f>
        <v>40 - 49</v>
      </c>
      <c r="F76" t="str">
        <f>survey_responses[[#This Row],[Độ tuổi của bạn:]]</f>
        <v>40 - 49</v>
      </c>
      <c r="G76" t="str">
        <f>step3_validation[[#This Row],[Region]]</f>
        <v>Thành thị</v>
      </c>
      <c r="H76" t="str">
        <f>survey_responses[[#This Row],[Khu vực bạn đang sinh sống:]]</f>
        <v>Thành thị</v>
      </c>
      <c r="I76" t="str">
        <f>step3_validation[[#This Row],[Education]]</f>
        <v>Sau Đại học</v>
      </c>
      <c r="J76" t="str">
        <f>survey_responses[[#This Row],[Trình độ học vấn cao nhất:]]</f>
        <v>Sau Đại học</v>
      </c>
      <c r="K76" t="str">
        <f>step3_validation[[#This Row],[Employment]]</f>
        <v>Chính thức</v>
      </c>
      <c r="L76" t="str">
        <f>survey_responses[[#This Row],[Tình trạng việc làm chính:]]</f>
        <v>Khu vực chính thức (Có Hợp đồng lao động, đóng BHXH)</v>
      </c>
      <c r="M76">
        <f>step3_validation[[#This Row],[Income_Mil]]</f>
        <v>48.44680745709752</v>
      </c>
      <c r="N76" t="str">
        <f>survey_responses[[#This Row],[Thu nhập bình quân tháng theo Hợp đồng lao động của bạn là bao nhiêu? (Vui lòng điền tổng thu nhập trước khi khấu trừ các loại Bảo hiểm (BHXH, BHYT, BHTN) và Thuế TNCN)]]</f>
        <v>Từ 48 - 70 triệu VNĐ</v>
      </c>
      <c r="O76">
        <f>step3_validation[[#This Row],[Dependents]]</f>
        <v>2</v>
      </c>
      <c r="P76" t="str">
        <f>survey_responses[[#This Row],[Số người phụ thuộc (con nhỏ, cha mẹ già...) đủ điều kiện giảm trừ gia cảnh:]]</f>
        <v>2 người</v>
      </c>
      <c r="Q76">
        <f>step3_validation[[#This Row],[AI_ENF1]]</f>
        <v>8</v>
      </c>
      <c r="R76" t="str">
        <f t="shared" si="27"/>
        <v>Support</v>
      </c>
      <c r="S76">
        <f>survey_responses[[#This Row],[Tôi tin rằng với các quy định quản lý thuế hiện nay, hành vi gian lận hoặc trốn thuế sẽ dễ dàng bị phát hiện và xử lý nghiêm. - HUMAN-ENF1]]</f>
        <v>8</v>
      </c>
      <c r="T76" t="str">
        <f t="shared" si="28"/>
        <v>Support</v>
      </c>
      <c r="U76" s="31">
        <f t="shared" si="29"/>
        <v>0</v>
      </c>
      <c r="V76">
        <f>step3_validation[[#This Row],[AI_ENF2]]</f>
        <v>9</v>
      </c>
      <c r="W76" t="str">
        <f t="shared" si="30"/>
        <v>Support</v>
      </c>
      <c r="X76">
        <f>survey_responses[[#This Row],[Tôi tin rằng Nhà nước, cơ quan thuế có đủ khả năng và công nghệ để phát hiện, xử lý nghiêm các hành vi trốn thuế. - HUMAN-ENF2]]</f>
        <v>9</v>
      </c>
      <c r="Y76" t="str">
        <f t="shared" si="31"/>
        <v>Support</v>
      </c>
      <c r="Z76" s="31">
        <f t="shared" si="32"/>
        <v>0</v>
      </c>
      <c r="AA76">
        <f>step3_validation[[#This Row],[AI_FAC1]]</f>
        <v>9</v>
      </c>
      <c r="AB76" t="str">
        <f t="shared" si="33"/>
        <v>Support</v>
      </c>
      <c r="AC76">
        <f>survey_responses[[#This Row],[Các thủ tục khai báo thuế VÀ/HOẶC quy trình làm việc với cơ quan thuế đơn giản, tiện lợi, nhanh chóng hơn so với trước đây. - HUMAN-FAC1]]</f>
        <v>9</v>
      </c>
      <c r="AD76" t="str">
        <f t="shared" si="34"/>
        <v>Support</v>
      </c>
      <c r="AE76" s="31">
        <f t="shared" si="35"/>
        <v>0</v>
      </c>
      <c r="AF76">
        <f>step3_validation[[#This Row],[AI_FAC2]]</f>
        <v>10</v>
      </c>
      <c r="AG76" t="str">
        <f t="shared" si="36"/>
        <v>Support</v>
      </c>
      <c r="AH76">
        <f>survey_responses[[#This Row],[So với trước đây, tôi thấy cách tính thuế và các bậc thuế trong phương án mới đơn giản, dễ hiểu và dễ thực hiện hơn. - HUMAN-FAC2]]</f>
        <v>9</v>
      </c>
      <c r="AI76" t="str">
        <f t="shared" si="37"/>
        <v>Support</v>
      </c>
      <c r="AJ76" s="31">
        <f t="shared" si="38"/>
        <v>1</v>
      </c>
      <c r="AK76">
        <f>step3_validation[[#This Row],[AI_TRU1]]</f>
        <v>9</v>
      </c>
      <c r="AL76" t="str">
        <f t="shared" si="39"/>
        <v>Support</v>
      </c>
      <c r="AM76">
        <f>survey_responses[[#This Row],[Tôi tin rằng Nhà nước, cơ quan thuế sẽ thực thi chính sách mới một cách khách quan, công tâm và đối xử bình đẳng với mọi người nộp thuế.  - HUMAN-TRU1]]</f>
        <v>3</v>
      </c>
      <c r="AN76" t="str">
        <f t="shared" si="40"/>
        <v>Oppose</v>
      </c>
      <c r="AO76" s="31">
        <f t="shared" si="41"/>
        <v>6</v>
      </c>
      <c r="AP76">
        <f>step3_validation[[#This Row],[AI_TRU2]]</f>
        <v>10</v>
      </c>
      <c r="AQ76" t="str">
        <f t="shared" si="42"/>
        <v>Support</v>
      </c>
      <c r="AR76">
        <f>survey_responses[[#This Row],[Tôi thấy mức thuế tôi phải đóng theo phương án mới là công bằng (người thu nhập như tôi đóng mức này là hợp lý). - HUMAN-TRU2]]</f>
        <v>3</v>
      </c>
      <c r="AS76" t="str">
        <f t="shared" si="43"/>
        <v>Oppose</v>
      </c>
      <c r="AT76" s="31">
        <f t="shared" si="44"/>
        <v>7</v>
      </c>
      <c r="AU76">
        <f>step3_validation[[#This Row],[AI_TRU3]]</f>
        <v>9</v>
      </c>
      <c r="AV76" t="str">
        <f t="shared" si="45"/>
        <v>Support</v>
      </c>
      <c r="AW76">
        <f>survey_responses[[#This Row],[Tôi tin tưởng số tiền thuế tôi đóng sẽ được Nhà nước sử dụng hiệu quả để cải thiện dịch vụ công (y tế, đường xá...). - HUMAN-TRU3]]</f>
        <v>2</v>
      </c>
      <c r="AX76" t="str">
        <f t="shared" si="46"/>
        <v>Oppose</v>
      </c>
      <c r="AY76" s="31">
        <f t="shared" si="47"/>
        <v>7</v>
      </c>
      <c r="AZ76">
        <f>step3_validation[[#This Row],[AI_TRU4]]</f>
        <v>8</v>
      </c>
      <c r="BA76" t="str">
        <f t="shared" si="48"/>
        <v>Support</v>
      </c>
      <c r="BB76">
        <f>survey_responses[[#This Row],[Tôi thấy Nhà nước đã giải thích rõ ràng, minh bạch về lý do và mục tiêu của việc sửa đổi thuế lần này. - HUMAN-TRU4]]</f>
        <v>2</v>
      </c>
      <c r="BC76" t="str">
        <f t="shared" si="49"/>
        <v>Oppose</v>
      </c>
      <c r="BD76" s="31">
        <f t="shared" si="50"/>
        <v>6</v>
      </c>
      <c r="BE76">
        <f>step3_validation[[#This Row],[AI_OUT1]]</f>
        <v>10</v>
      </c>
      <c r="BF76" t="str">
        <f t="shared" si="51"/>
        <v>Support</v>
      </c>
      <c r="BG76">
        <f>survey_responses[[#This Row],[Sau khi xem xét các quyền lợi và nghĩa vụ, bạn có ủng hộ và tuân thủ chính sách mới hiện nay? - HUMAN-OUT1]]</f>
        <v>6</v>
      </c>
      <c r="BH76" t="str">
        <f t="shared" si="52"/>
        <v>Neutral</v>
      </c>
      <c r="BI76" s="31">
        <f t="shared" si="53"/>
        <v>4</v>
      </c>
    </row>
    <row r="77" spans="1:61" hidden="1" x14ac:dyDescent="0.45">
      <c r="A77" s="29">
        <f>step3_validation[[#This Row],[Persona_ID]]</f>
        <v>76</v>
      </c>
      <c r="B77" s="30">
        <f>step3_validation[[#This Row],[Used_Seed]]</f>
        <v>117</v>
      </c>
      <c r="C77" t="str">
        <f>step3_validation[[#This Row],[Gender]]</f>
        <v>Nam</v>
      </c>
      <c r="D77" t="str">
        <f>survey_responses[[#This Row],[Giới tính của bạn:]]</f>
        <v>Nam</v>
      </c>
      <c r="E77" t="str">
        <f>step3_validation[[#This Row],[Age_Group]]</f>
        <v>40 - 49</v>
      </c>
      <c r="F77" t="str">
        <f>survey_responses[[#This Row],[Độ tuổi của bạn:]]</f>
        <v>40 - 49</v>
      </c>
      <c r="G77" t="str">
        <f>step3_validation[[#This Row],[Region]]</f>
        <v>Nông thôn</v>
      </c>
      <c r="H77" t="str">
        <f>survey_responses[[#This Row],[Khu vực bạn đang sinh sống:]]</f>
        <v>Nông thôn</v>
      </c>
      <c r="I77" t="str">
        <f>step3_validation[[#This Row],[Education]]</f>
        <v>Trung học phổ thông</v>
      </c>
      <c r="J77" t="str">
        <f>survey_responses[[#This Row],[Trình độ học vấn cao nhất:]]</f>
        <v>Trung học phổ thông</v>
      </c>
      <c r="K77" t="str">
        <f>step3_validation[[#This Row],[Employment]]</f>
        <v>Phi chính thức</v>
      </c>
      <c r="L77" t="str">
        <f>survey_responses[[#This Row],[Tình trạng việc làm chính:]]</f>
        <v>Khu vực phi chính thức (Lao động tự do, không có HĐLĐ)</v>
      </c>
      <c r="M77">
        <f>step3_validation[[#This Row],[Income_Mil]]</f>
        <v>13.081151330237292</v>
      </c>
      <c r="N77" t="str">
        <f>survey_responses[[#This Row],[Thu nhập bình quân tháng theo Hợp đồng lao động của bạn là bao nhiêu? (Vui lòng điền tổng thu nhập trước khi khấu trừ các loại Bảo hiểm (BHXH, BHYT, BHTN) và Thuế TNCN)]]</f>
        <v>Từ 12 - 18 triệu VNĐ</v>
      </c>
      <c r="O77">
        <f>step3_validation[[#This Row],[Dependents]]</f>
        <v>3</v>
      </c>
      <c r="P77" t="str">
        <f>survey_responses[[#This Row],[Số người phụ thuộc (con nhỏ, cha mẹ già...) đủ điều kiện giảm trừ gia cảnh:]]</f>
        <v>3 người</v>
      </c>
      <c r="Q77">
        <f>step3_validation[[#This Row],[AI_ENF1]]</f>
        <v>7</v>
      </c>
      <c r="R77" t="str">
        <f t="shared" si="27"/>
        <v>Neutral</v>
      </c>
      <c r="S77">
        <f>survey_responses[[#This Row],[Tôi tin rằng với các quy định quản lý thuế hiện nay, hành vi gian lận hoặc trốn thuế sẽ dễ dàng bị phát hiện và xử lý nghiêm. - HUMAN-ENF1]]</f>
        <v>5</v>
      </c>
      <c r="T77" t="str">
        <f t="shared" si="28"/>
        <v>Neutral</v>
      </c>
      <c r="U77" s="31">
        <f t="shared" si="29"/>
        <v>2</v>
      </c>
      <c r="V77">
        <f>step3_validation[[#This Row],[AI_ENF2]]</f>
        <v>6</v>
      </c>
      <c r="W77" t="str">
        <f t="shared" si="30"/>
        <v>Neutral</v>
      </c>
      <c r="X77">
        <f>survey_responses[[#This Row],[Tôi tin rằng Nhà nước, cơ quan thuế có đủ khả năng và công nghệ để phát hiện, xử lý nghiêm các hành vi trốn thuế. - HUMAN-ENF2]]</f>
        <v>5</v>
      </c>
      <c r="Y77" t="str">
        <f t="shared" si="31"/>
        <v>Neutral</v>
      </c>
      <c r="Z77" s="31">
        <f t="shared" si="32"/>
        <v>1</v>
      </c>
      <c r="AA77">
        <f>step3_validation[[#This Row],[AI_FAC1]]</f>
        <v>9</v>
      </c>
      <c r="AB77" t="str">
        <f t="shared" si="33"/>
        <v>Support</v>
      </c>
      <c r="AC77">
        <f>survey_responses[[#This Row],[Các thủ tục khai báo thuế VÀ/HOẶC quy trình làm việc với cơ quan thuế đơn giản, tiện lợi, nhanh chóng hơn so với trước đây. - HUMAN-FAC1]]</f>
        <v>5</v>
      </c>
      <c r="AD77" t="str">
        <f t="shared" si="34"/>
        <v>Neutral</v>
      </c>
      <c r="AE77" s="31">
        <f t="shared" si="35"/>
        <v>4</v>
      </c>
      <c r="AF77">
        <f>step3_validation[[#This Row],[AI_FAC2]]</f>
        <v>8</v>
      </c>
      <c r="AG77" t="str">
        <f t="shared" si="36"/>
        <v>Support</v>
      </c>
      <c r="AH77">
        <f>survey_responses[[#This Row],[So với trước đây, tôi thấy cách tính thuế và các bậc thuế trong phương án mới đơn giản, dễ hiểu và dễ thực hiện hơn. - HUMAN-FAC2]]</f>
        <v>5</v>
      </c>
      <c r="AI77" t="str">
        <f t="shared" si="37"/>
        <v>Neutral</v>
      </c>
      <c r="AJ77" s="31">
        <f t="shared" si="38"/>
        <v>3</v>
      </c>
      <c r="AK77">
        <f>step3_validation[[#This Row],[AI_TRU1]]</f>
        <v>9</v>
      </c>
      <c r="AL77" t="str">
        <f t="shared" si="39"/>
        <v>Support</v>
      </c>
      <c r="AM77">
        <f>survey_responses[[#This Row],[Tôi tin rằng Nhà nước, cơ quan thuế sẽ thực thi chính sách mới một cách khách quan, công tâm và đối xử bình đẳng với mọi người nộp thuế.  - HUMAN-TRU1]]</f>
        <v>5</v>
      </c>
      <c r="AN77" t="str">
        <f t="shared" si="40"/>
        <v>Neutral</v>
      </c>
      <c r="AO77" s="31">
        <f t="shared" si="41"/>
        <v>4</v>
      </c>
      <c r="AP77">
        <f>step3_validation[[#This Row],[AI_TRU2]]</f>
        <v>8</v>
      </c>
      <c r="AQ77" t="str">
        <f t="shared" si="42"/>
        <v>Support</v>
      </c>
      <c r="AR77">
        <f>survey_responses[[#This Row],[Tôi thấy mức thuế tôi phải đóng theo phương án mới là công bằng (người thu nhập như tôi đóng mức này là hợp lý). - HUMAN-TRU2]]</f>
        <v>5</v>
      </c>
      <c r="AS77" t="str">
        <f t="shared" si="43"/>
        <v>Neutral</v>
      </c>
      <c r="AT77" s="31">
        <f t="shared" si="44"/>
        <v>3</v>
      </c>
      <c r="AU77">
        <f>step3_validation[[#This Row],[AI_TRU3]]</f>
        <v>9</v>
      </c>
      <c r="AV77" t="str">
        <f t="shared" si="45"/>
        <v>Support</v>
      </c>
      <c r="AW77">
        <f>survey_responses[[#This Row],[Tôi tin tưởng số tiền thuế tôi đóng sẽ được Nhà nước sử dụng hiệu quả để cải thiện dịch vụ công (y tế, đường xá...). - HUMAN-TRU3]]</f>
        <v>5</v>
      </c>
      <c r="AX77" t="str">
        <f t="shared" si="46"/>
        <v>Neutral</v>
      </c>
      <c r="AY77" s="31">
        <f t="shared" si="47"/>
        <v>4</v>
      </c>
      <c r="AZ77">
        <f>step3_validation[[#This Row],[AI_TRU4]]</f>
        <v>8</v>
      </c>
      <c r="BA77" t="str">
        <f t="shared" si="48"/>
        <v>Support</v>
      </c>
      <c r="BB77">
        <f>survey_responses[[#This Row],[Tôi thấy Nhà nước đã giải thích rõ ràng, minh bạch về lý do và mục tiêu của việc sửa đổi thuế lần này. - HUMAN-TRU4]]</f>
        <v>5</v>
      </c>
      <c r="BC77" t="str">
        <f t="shared" si="49"/>
        <v>Neutral</v>
      </c>
      <c r="BD77" s="31">
        <f t="shared" si="50"/>
        <v>3</v>
      </c>
      <c r="BE77">
        <f>step3_validation[[#This Row],[AI_OUT1]]</f>
        <v>9</v>
      </c>
      <c r="BF77" t="str">
        <f t="shared" si="51"/>
        <v>Support</v>
      </c>
      <c r="BG77">
        <f>survey_responses[[#This Row],[Sau khi xem xét các quyền lợi và nghĩa vụ, bạn có ủng hộ và tuân thủ chính sách mới hiện nay? - HUMAN-OUT1]]</f>
        <v>5</v>
      </c>
      <c r="BH77" t="str">
        <f t="shared" si="52"/>
        <v>Neutral</v>
      </c>
      <c r="BI77" s="31">
        <f t="shared" si="53"/>
        <v>4</v>
      </c>
    </row>
    <row r="78" spans="1:61" hidden="1" x14ac:dyDescent="0.45">
      <c r="A78" s="29">
        <f>step3_validation[[#This Row],[Persona_ID]]</f>
        <v>77</v>
      </c>
      <c r="B78" s="30">
        <f>step3_validation[[#This Row],[Used_Seed]]</f>
        <v>118</v>
      </c>
      <c r="C78" t="str">
        <f>step3_validation[[#This Row],[Gender]]</f>
        <v>Nữ</v>
      </c>
      <c r="D78" t="str">
        <f>survey_responses[[#This Row],[Giới tính của bạn:]]</f>
        <v>Nữ</v>
      </c>
      <c r="E78" t="str">
        <f>step3_validation[[#This Row],[Age_Group]]</f>
        <v>50 - 54</v>
      </c>
      <c r="F78" t="str">
        <f>survey_responses[[#This Row],[Độ tuổi của bạn:]]</f>
        <v>50 - 54</v>
      </c>
      <c r="G78" t="str">
        <f>step3_validation[[#This Row],[Region]]</f>
        <v>Thành thị</v>
      </c>
      <c r="H78" t="str">
        <f>survey_responses[[#This Row],[Khu vực bạn đang sinh sống:]]</f>
        <v>Thành thị</v>
      </c>
      <c r="I78" t="str">
        <f>step3_validation[[#This Row],[Education]]</f>
        <v>Đại học</v>
      </c>
      <c r="J78" t="str">
        <f>survey_responses[[#This Row],[Trình độ học vấn cao nhất:]]</f>
        <v>Đại học</v>
      </c>
      <c r="K78" t="str">
        <f>step3_validation[[#This Row],[Employment]]</f>
        <v>Chính thức</v>
      </c>
      <c r="L78" t="str">
        <f>survey_responses[[#This Row],[Tình trạng việc làm chính:]]</f>
        <v>Khu vực chính thức (Có Hợp đồng lao động, đóng BHXH)</v>
      </c>
      <c r="M78">
        <f>step3_validation[[#This Row],[Income_Mil]]</f>
        <v>15.499971180734541</v>
      </c>
      <c r="N78" t="str">
        <f>survey_responses[[#This Row],[Thu nhập bình quân tháng theo Hợp đồng lao động của bạn là bao nhiêu? (Vui lòng điền tổng thu nhập trước khi khấu trừ các loại Bảo hiểm (BHXH, BHYT, BHTN) và Thuế TNCN)]]</f>
        <v>Từ 12 - 18 triệu VNĐ</v>
      </c>
      <c r="O78">
        <f>step3_validation[[#This Row],[Dependents]]</f>
        <v>2</v>
      </c>
      <c r="P78" t="str">
        <f>survey_responses[[#This Row],[Số người phụ thuộc (con nhỏ, cha mẹ già...) đủ điều kiện giảm trừ gia cảnh:]]</f>
        <v>2 người</v>
      </c>
      <c r="Q78">
        <f>step3_validation[[#This Row],[AI_ENF1]]</f>
        <v>6</v>
      </c>
      <c r="R78" t="str">
        <f t="shared" si="27"/>
        <v>Neutral</v>
      </c>
      <c r="S78">
        <f>survey_responses[[#This Row],[Tôi tin rằng với các quy định quản lý thuế hiện nay, hành vi gian lận hoặc trốn thuế sẽ dễ dàng bị phát hiện và xử lý nghiêm. - HUMAN-ENF1]]</f>
        <v>8</v>
      </c>
      <c r="T78" t="str">
        <f t="shared" si="28"/>
        <v>Support</v>
      </c>
      <c r="U78" s="31">
        <f t="shared" si="29"/>
        <v>2</v>
      </c>
      <c r="V78">
        <f>step3_validation[[#This Row],[AI_ENF2]]</f>
        <v>7</v>
      </c>
      <c r="W78" t="str">
        <f t="shared" si="30"/>
        <v>Neutral</v>
      </c>
      <c r="X78">
        <f>survey_responses[[#This Row],[Tôi tin rằng Nhà nước, cơ quan thuế có đủ khả năng và công nghệ để phát hiện, xử lý nghiêm các hành vi trốn thuế. - HUMAN-ENF2]]</f>
        <v>8</v>
      </c>
      <c r="Y78" t="str">
        <f t="shared" si="31"/>
        <v>Support</v>
      </c>
      <c r="Z78" s="31">
        <f t="shared" si="32"/>
        <v>1</v>
      </c>
      <c r="AA78">
        <f>step3_validation[[#This Row],[AI_FAC1]]</f>
        <v>8</v>
      </c>
      <c r="AB78" t="str">
        <f t="shared" si="33"/>
        <v>Support</v>
      </c>
      <c r="AC78">
        <f>survey_responses[[#This Row],[Các thủ tục khai báo thuế VÀ/HOẶC quy trình làm việc với cơ quan thuế đơn giản, tiện lợi, nhanh chóng hơn so với trước đây. - HUMAN-FAC1]]</f>
        <v>8</v>
      </c>
      <c r="AD78" t="str">
        <f t="shared" si="34"/>
        <v>Support</v>
      </c>
      <c r="AE78" s="31">
        <f t="shared" si="35"/>
        <v>0</v>
      </c>
      <c r="AF78">
        <f>step3_validation[[#This Row],[AI_FAC2]]</f>
        <v>9</v>
      </c>
      <c r="AG78" t="str">
        <f t="shared" si="36"/>
        <v>Support</v>
      </c>
      <c r="AH78">
        <f>survey_responses[[#This Row],[So với trước đây, tôi thấy cách tính thuế và các bậc thuế trong phương án mới đơn giản, dễ hiểu và dễ thực hiện hơn. - HUMAN-FAC2]]</f>
        <v>8</v>
      </c>
      <c r="AI78" t="str">
        <f t="shared" si="37"/>
        <v>Support</v>
      </c>
      <c r="AJ78" s="31">
        <f t="shared" si="38"/>
        <v>1</v>
      </c>
      <c r="AK78">
        <f>step3_validation[[#This Row],[AI_TRU1]]</f>
        <v>7</v>
      </c>
      <c r="AL78" t="str">
        <f t="shared" si="39"/>
        <v>Neutral</v>
      </c>
      <c r="AM78">
        <f>survey_responses[[#This Row],[Tôi tin rằng Nhà nước, cơ quan thuế sẽ thực thi chính sách mới một cách khách quan, công tâm và đối xử bình đẳng với mọi người nộp thuế.  - HUMAN-TRU1]]</f>
        <v>9</v>
      </c>
      <c r="AN78" t="str">
        <f t="shared" si="40"/>
        <v>Support</v>
      </c>
      <c r="AO78" s="31">
        <f t="shared" si="41"/>
        <v>2</v>
      </c>
      <c r="AP78">
        <f>step3_validation[[#This Row],[AI_TRU2]]</f>
        <v>9</v>
      </c>
      <c r="AQ78" t="str">
        <f t="shared" si="42"/>
        <v>Support</v>
      </c>
      <c r="AR78">
        <f>survey_responses[[#This Row],[Tôi thấy mức thuế tôi phải đóng theo phương án mới là công bằng (người thu nhập như tôi đóng mức này là hợp lý). - HUMAN-TRU2]]</f>
        <v>7</v>
      </c>
      <c r="AS78" t="str">
        <f t="shared" si="43"/>
        <v>Neutral</v>
      </c>
      <c r="AT78" s="31">
        <f t="shared" si="44"/>
        <v>2</v>
      </c>
      <c r="AU78">
        <f>step3_validation[[#This Row],[AI_TRU3]]</f>
        <v>7</v>
      </c>
      <c r="AV78" t="str">
        <f t="shared" si="45"/>
        <v>Neutral</v>
      </c>
      <c r="AW78">
        <f>survey_responses[[#This Row],[Tôi tin tưởng số tiền thuế tôi đóng sẽ được Nhà nước sử dụng hiệu quả để cải thiện dịch vụ công (y tế, đường xá...). - HUMAN-TRU3]]</f>
        <v>9</v>
      </c>
      <c r="AX78" t="str">
        <f t="shared" si="46"/>
        <v>Support</v>
      </c>
      <c r="AY78" s="31">
        <f t="shared" si="47"/>
        <v>2</v>
      </c>
      <c r="AZ78">
        <f>step3_validation[[#This Row],[AI_TRU4]]</f>
        <v>8</v>
      </c>
      <c r="BA78" t="str">
        <f t="shared" si="48"/>
        <v>Support</v>
      </c>
      <c r="BB78">
        <f>survey_responses[[#This Row],[Tôi thấy Nhà nước đã giải thích rõ ràng, minh bạch về lý do và mục tiêu của việc sửa đổi thuế lần này. - HUMAN-TRU4]]</f>
        <v>10</v>
      </c>
      <c r="BC78" t="str">
        <f t="shared" si="49"/>
        <v>Support</v>
      </c>
      <c r="BD78" s="31">
        <f t="shared" si="50"/>
        <v>2</v>
      </c>
      <c r="BE78">
        <f>step3_validation[[#This Row],[AI_OUT1]]</f>
        <v>7</v>
      </c>
      <c r="BF78" t="str">
        <f t="shared" si="51"/>
        <v>Neutral</v>
      </c>
      <c r="BG78">
        <f>survey_responses[[#This Row],[Sau khi xem xét các quyền lợi và nghĩa vụ, bạn có ủng hộ và tuân thủ chính sách mới hiện nay? - HUMAN-OUT1]]</f>
        <v>8</v>
      </c>
      <c r="BH78" t="str">
        <f t="shared" si="52"/>
        <v>Support</v>
      </c>
      <c r="BI78" s="31">
        <f t="shared" si="53"/>
        <v>1</v>
      </c>
    </row>
    <row r="79" spans="1:61" hidden="1" x14ac:dyDescent="0.45">
      <c r="A79" s="29">
        <f>step3_validation[[#This Row],[Persona_ID]]</f>
        <v>78</v>
      </c>
      <c r="B79" s="30">
        <f>step3_validation[[#This Row],[Used_Seed]]</f>
        <v>119</v>
      </c>
      <c r="C79" t="str">
        <f>step3_validation[[#This Row],[Gender]]</f>
        <v>Nữ</v>
      </c>
      <c r="D79" t="str">
        <f>survey_responses[[#This Row],[Giới tính của bạn:]]</f>
        <v>Nữ</v>
      </c>
      <c r="E79" t="str">
        <f>step3_validation[[#This Row],[Age_Group]]</f>
        <v>30 - 39</v>
      </c>
      <c r="F79" t="str">
        <f>survey_responses[[#This Row],[Độ tuổi của bạn:]]</f>
        <v>30 - 39</v>
      </c>
      <c r="G79" t="str">
        <f>step3_validation[[#This Row],[Region]]</f>
        <v>Thành thị</v>
      </c>
      <c r="H79" t="str">
        <f>survey_responses[[#This Row],[Khu vực bạn đang sinh sống:]]</f>
        <v>Thành thị</v>
      </c>
      <c r="I79" t="str">
        <f>step3_validation[[#This Row],[Education]]</f>
        <v>Sau Đại học</v>
      </c>
      <c r="J79" t="str">
        <f>survey_responses[[#This Row],[Trình độ học vấn cao nhất:]]</f>
        <v>Sau Đại học</v>
      </c>
      <c r="K79" t="str">
        <f>step3_validation[[#This Row],[Employment]]</f>
        <v>Chính thức</v>
      </c>
      <c r="L79" t="str">
        <f>survey_responses[[#This Row],[Tình trạng việc làm chính:]]</f>
        <v>Khu vực chính thức (Có Hợp đồng lao động, đóng BHXH)</v>
      </c>
      <c r="M79">
        <f>step3_validation[[#This Row],[Income_Mil]]</f>
        <v>38.966832571288911</v>
      </c>
      <c r="N79" t="str">
        <f>survey_responses[[#This Row],[Thu nhập bình quân tháng theo Hợp đồng lao động của bạn là bao nhiêu? (Vui lòng điền tổng thu nhập trước khi khấu trừ các loại Bảo hiểm (BHXH, BHYT, BHTN) và Thuế TNCN)]]</f>
        <v>Từ 32 - 48 triệu VNĐ</v>
      </c>
      <c r="O79">
        <f>step3_validation[[#This Row],[Dependents]]</f>
        <v>2</v>
      </c>
      <c r="P79" t="str">
        <f>survey_responses[[#This Row],[Số người phụ thuộc (con nhỏ, cha mẹ già...) đủ điều kiện giảm trừ gia cảnh:]]</f>
        <v>2 người</v>
      </c>
      <c r="Q79">
        <f>step3_validation[[#This Row],[AI_ENF1]]</f>
        <v>9</v>
      </c>
      <c r="R79" t="str">
        <f t="shared" si="27"/>
        <v>Support</v>
      </c>
      <c r="S79">
        <f>survey_responses[[#This Row],[Tôi tin rằng với các quy định quản lý thuế hiện nay, hành vi gian lận hoặc trốn thuế sẽ dễ dàng bị phát hiện và xử lý nghiêm. - HUMAN-ENF1]]</f>
        <v>8</v>
      </c>
      <c r="T79" t="str">
        <f t="shared" si="28"/>
        <v>Support</v>
      </c>
      <c r="U79" s="31">
        <f t="shared" si="29"/>
        <v>1</v>
      </c>
      <c r="V79">
        <f>step3_validation[[#This Row],[AI_ENF2]]</f>
        <v>9</v>
      </c>
      <c r="W79" t="str">
        <f t="shared" si="30"/>
        <v>Support</v>
      </c>
      <c r="X79">
        <f>survey_responses[[#This Row],[Tôi tin rằng Nhà nước, cơ quan thuế có đủ khả năng và công nghệ để phát hiện, xử lý nghiêm các hành vi trốn thuế. - HUMAN-ENF2]]</f>
        <v>7</v>
      </c>
      <c r="Y79" t="str">
        <f t="shared" si="31"/>
        <v>Neutral</v>
      </c>
      <c r="Z79" s="31">
        <f t="shared" si="32"/>
        <v>2</v>
      </c>
      <c r="AA79">
        <f>step3_validation[[#This Row],[AI_FAC1]]</f>
        <v>8</v>
      </c>
      <c r="AB79" t="str">
        <f t="shared" si="33"/>
        <v>Support</v>
      </c>
      <c r="AC79">
        <f>survey_responses[[#This Row],[Các thủ tục khai báo thuế VÀ/HOẶC quy trình làm việc với cơ quan thuế đơn giản, tiện lợi, nhanh chóng hơn so với trước đây. - HUMAN-FAC1]]</f>
        <v>9</v>
      </c>
      <c r="AD79" t="str">
        <f t="shared" si="34"/>
        <v>Support</v>
      </c>
      <c r="AE79" s="31">
        <f t="shared" si="35"/>
        <v>1</v>
      </c>
      <c r="AF79">
        <f>step3_validation[[#This Row],[AI_FAC2]]</f>
        <v>9</v>
      </c>
      <c r="AG79" t="str">
        <f t="shared" si="36"/>
        <v>Support</v>
      </c>
      <c r="AH79">
        <f>survey_responses[[#This Row],[So với trước đây, tôi thấy cách tính thuế và các bậc thuế trong phương án mới đơn giản, dễ hiểu và dễ thực hiện hơn. - HUMAN-FAC2]]</f>
        <v>8</v>
      </c>
      <c r="AI79" t="str">
        <f t="shared" si="37"/>
        <v>Support</v>
      </c>
      <c r="AJ79" s="31">
        <f t="shared" si="38"/>
        <v>1</v>
      </c>
      <c r="AK79">
        <f>step3_validation[[#This Row],[AI_TRU1]]</f>
        <v>8</v>
      </c>
      <c r="AL79" t="str">
        <f t="shared" si="39"/>
        <v>Support</v>
      </c>
      <c r="AM79">
        <f>survey_responses[[#This Row],[Tôi tin rằng Nhà nước, cơ quan thuế sẽ thực thi chính sách mới một cách khách quan, công tâm và đối xử bình đẳng với mọi người nộp thuế.  - HUMAN-TRU1]]</f>
        <v>8</v>
      </c>
      <c r="AN79" t="str">
        <f t="shared" si="40"/>
        <v>Support</v>
      </c>
      <c r="AO79" s="31">
        <f t="shared" si="41"/>
        <v>0</v>
      </c>
      <c r="AP79">
        <f>step3_validation[[#This Row],[AI_TRU2]]</f>
        <v>9</v>
      </c>
      <c r="AQ79" t="str">
        <f t="shared" si="42"/>
        <v>Support</v>
      </c>
      <c r="AR79">
        <f>survey_responses[[#This Row],[Tôi thấy mức thuế tôi phải đóng theo phương án mới là công bằng (người thu nhập như tôi đóng mức này là hợp lý). - HUMAN-TRU2]]</f>
        <v>8</v>
      </c>
      <c r="AS79" t="str">
        <f t="shared" si="43"/>
        <v>Support</v>
      </c>
      <c r="AT79" s="31">
        <f t="shared" si="44"/>
        <v>1</v>
      </c>
      <c r="AU79">
        <f>step3_validation[[#This Row],[AI_TRU3]]</f>
        <v>8</v>
      </c>
      <c r="AV79" t="str">
        <f t="shared" si="45"/>
        <v>Support</v>
      </c>
      <c r="AW79">
        <f>survey_responses[[#This Row],[Tôi tin tưởng số tiền thuế tôi đóng sẽ được Nhà nước sử dụng hiệu quả để cải thiện dịch vụ công (y tế, đường xá...). - HUMAN-TRU3]]</f>
        <v>6</v>
      </c>
      <c r="AX79" t="str">
        <f t="shared" si="46"/>
        <v>Neutral</v>
      </c>
      <c r="AY79" s="31">
        <f t="shared" si="47"/>
        <v>2</v>
      </c>
      <c r="AZ79">
        <f>step3_validation[[#This Row],[AI_TRU4]]</f>
        <v>9</v>
      </c>
      <c r="BA79" t="str">
        <f t="shared" si="48"/>
        <v>Support</v>
      </c>
      <c r="BB79">
        <f>survey_responses[[#This Row],[Tôi thấy Nhà nước đã giải thích rõ ràng, minh bạch về lý do và mục tiêu của việc sửa đổi thuế lần này. - HUMAN-TRU4]]</f>
        <v>6</v>
      </c>
      <c r="BC79" t="str">
        <f t="shared" si="49"/>
        <v>Neutral</v>
      </c>
      <c r="BD79" s="31">
        <f t="shared" si="50"/>
        <v>3</v>
      </c>
      <c r="BE79">
        <f>step3_validation[[#This Row],[AI_OUT1]]</f>
        <v>8</v>
      </c>
      <c r="BF79" t="str">
        <f t="shared" si="51"/>
        <v>Support</v>
      </c>
      <c r="BG79">
        <f>survey_responses[[#This Row],[Sau khi xem xét các quyền lợi và nghĩa vụ, bạn có ủng hộ và tuân thủ chính sách mới hiện nay? - HUMAN-OUT1]]</f>
        <v>7</v>
      </c>
      <c r="BH79" t="str">
        <f t="shared" si="52"/>
        <v>Neutral</v>
      </c>
      <c r="BI79" s="31">
        <f t="shared" si="53"/>
        <v>1</v>
      </c>
    </row>
    <row r="80" spans="1:61" hidden="1" x14ac:dyDescent="0.45">
      <c r="A80" s="29">
        <f>step3_validation[[#This Row],[Persona_ID]]</f>
        <v>79</v>
      </c>
      <c r="B80" s="30">
        <f>step3_validation[[#This Row],[Used_Seed]]</f>
        <v>120</v>
      </c>
      <c r="C80" t="str">
        <f>step3_validation[[#This Row],[Gender]]</f>
        <v>Nữ</v>
      </c>
      <c r="D80" t="str">
        <f>survey_responses[[#This Row],[Giới tính của bạn:]]</f>
        <v>Nữ</v>
      </c>
      <c r="E80" t="str">
        <f>step3_validation[[#This Row],[Age_Group]]</f>
        <v>55 - 64</v>
      </c>
      <c r="F80" t="str">
        <f>survey_responses[[#This Row],[Độ tuổi của bạn:]]</f>
        <v>55 - 64</v>
      </c>
      <c r="G80" t="str">
        <f>step3_validation[[#This Row],[Region]]</f>
        <v>Thành thị</v>
      </c>
      <c r="H80" t="str">
        <f>survey_responses[[#This Row],[Khu vực bạn đang sinh sống:]]</f>
        <v>Thành thị</v>
      </c>
      <c r="I80" t="str">
        <f>step3_validation[[#This Row],[Education]]</f>
        <v>Trung học phổ thông</v>
      </c>
      <c r="J80" t="str">
        <f>survey_responses[[#This Row],[Trình độ học vấn cao nhất:]]</f>
        <v>Trung học phổ thông</v>
      </c>
      <c r="K80" t="str">
        <f>step3_validation[[#This Row],[Employment]]</f>
        <v>Phi chính thức</v>
      </c>
      <c r="L80" t="str">
        <f>survey_responses[[#This Row],[Tình trạng việc làm chính:]]</f>
        <v>Khác (Về hưu, nội trợ, sinh viên)</v>
      </c>
      <c r="M80">
        <f>step3_validation[[#This Row],[Income_Mil]]</f>
        <v>15.412236690545896</v>
      </c>
      <c r="N80" t="str">
        <f>survey_responses[[#This Row],[Thu nhập bình quân tháng theo Hợp đồng lao động của bạn là bao nhiêu? (Vui lòng điền tổng thu nhập trước khi khấu trừ các loại Bảo hiểm (BHXH, BHYT, BHTN) và Thuế TNCN)]]</f>
        <v>Từ 12 - 18 triệu VNĐ</v>
      </c>
      <c r="O80">
        <f>step3_validation[[#This Row],[Dependents]]</f>
        <v>0</v>
      </c>
      <c r="P80" t="str">
        <f>survey_responses[[#This Row],[Số người phụ thuộc (con nhỏ, cha mẹ già...) đủ điều kiện giảm trừ gia cảnh:]]</f>
        <v>0 người</v>
      </c>
      <c r="Q80">
        <f>step3_validation[[#This Row],[AI_ENF1]]</f>
        <v>7</v>
      </c>
      <c r="R80" t="str">
        <f t="shared" si="27"/>
        <v>Neutral</v>
      </c>
      <c r="S80">
        <f>survey_responses[[#This Row],[Tôi tin rằng với các quy định quản lý thuế hiện nay, hành vi gian lận hoặc trốn thuế sẽ dễ dàng bị phát hiện và xử lý nghiêm. - HUMAN-ENF1]]</f>
        <v>6</v>
      </c>
      <c r="T80" t="str">
        <f t="shared" si="28"/>
        <v>Neutral</v>
      </c>
      <c r="U80" s="31">
        <f t="shared" si="29"/>
        <v>1</v>
      </c>
      <c r="V80">
        <f>step3_validation[[#This Row],[AI_ENF2]]</f>
        <v>6</v>
      </c>
      <c r="W80" t="str">
        <f t="shared" si="30"/>
        <v>Neutral</v>
      </c>
      <c r="X80">
        <f>survey_responses[[#This Row],[Tôi tin rằng Nhà nước, cơ quan thuế có đủ khả năng và công nghệ để phát hiện, xử lý nghiêm các hành vi trốn thuế. - HUMAN-ENF2]]</f>
        <v>2</v>
      </c>
      <c r="Y80" t="str">
        <f t="shared" si="31"/>
        <v>Oppose</v>
      </c>
      <c r="Z80" s="31">
        <f t="shared" si="32"/>
        <v>4</v>
      </c>
      <c r="AA80">
        <f>step3_validation[[#This Row],[AI_FAC1]]</f>
        <v>8</v>
      </c>
      <c r="AB80" t="str">
        <f t="shared" si="33"/>
        <v>Support</v>
      </c>
      <c r="AC80">
        <f>survey_responses[[#This Row],[Các thủ tục khai báo thuế VÀ/HOẶC quy trình làm việc với cơ quan thuế đơn giản, tiện lợi, nhanh chóng hơn so với trước đây. - HUMAN-FAC1]]</f>
        <v>3</v>
      </c>
      <c r="AD80" t="str">
        <f t="shared" si="34"/>
        <v>Oppose</v>
      </c>
      <c r="AE80" s="31">
        <f t="shared" si="35"/>
        <v>5</v>
      </c>
      <c r="AF80">
        <f>step3_validation[[#This Row],[AI_FAC2]]</f>
        <v>9</v>
      </c>
      <c r="AG80" t="str">
        <f t="shared" si="36"/>
        <v>Support</v>
      </c>
      <c r="AH80">
        <f>survey_responses[[#This Row],[So với trước đây, tôi thấy cách tính thuế và các bậc thuế trong phương án mới đơn giản, dễ hiểu và dễ thực hiện hơn. - HUMAN-FAC2]]</f>
        <v>2</v>
      </c>
      <c r="AI80" t="str">
        <f t="shared" si="37"/>
        <v>Oppose</v>
      </c>
      <c r="AJ80" s="31">
        <f t="shared" si="38"/>
        <v>7</v>
      </c>
      <c r="AK80">
        <f>step3_validation[[#This Row],[AI_TRU1]]</f>
        <v>8</v>
      </c>
      <c r="AL80" t="str">
        <f t="shared" si="39"/>
        <v>Support</v>
      </c>
      <c r="AM80">
        <f>survey_responses[[#This Row],[Tôi tin rằng Nhà nước, cơ quan thuế sẽ thực thi chính sách mới một cách khách quan, công tâm và đối xử bình đẳng với mọi người nộp thuế.  - HUMAN-TRU1]]</f>
        <v>3</v>
      </c>
      <c r="AN80" t="str">
        <f t="shared" si="40"/>
        <v>Oppose</v>
      </c>
      <c r="AO80" s="31">
        <f t="shared" si="41"/>
        <v>5</v>
      </c>
      <c r="AP80">
        <f>step3_validation[[#This Row],[AI_TRU2]]</f>
        <v>9</v>
      </c>
      <c r="AQ80" t="str">
        <f t="shared" si="42"/>
        <v>Support</v>
      </c>
      <c r="AR80">
        <f>survey_responses[[#This Row],[Tôi thấy mức thuế tôi phải đóng theo phương án mới là công bằng (người thu nhập như tôi đóng mức này là hợp lý). - HUMAN-TRU2]]</f>
        <v>7</v>
      </c>
      <c r="AS80" t="str">
        <f t="shared" si="43"/>
        <v>Neutral</v>
      </c>
      <c r="AT80" s="31">
        <f t="shared" si="44"/>
        <v>2</v>
      </c>
      <c r="AU80">
        <f>step3_validation[[#This Row],[AI_TRU3]]</f>
        <v>8</v>
      </c>
      <c r="AV80" t="str">
        <f t="shared" si="45"/>
        <v>Support</v>
      </c>
      <c r="AW80">
        <f>survey_responses[[#This Row],[Tôi tin tưởng số tiền thuế tôi đóng sẽ được Nhà nước sử dụng hiệu quả để cải thiện dịch vụ công (y tế, đường xá...). - HUMAN-TRU3]]</f>
        <v>5</v>
      </c>
      <c r="AX80" t="str">
        <f t="shared" si="46"/>
        <v>Neutral</v>
      </c>
      <c r="AY80" s="31">
        <f t="shared" si="47"/>
        <v>3</v>
      </c>
      <c r="AZ80">
        <f>step3_validation[[#This Row],[AI_TRU4]]</f>
        <v>9</v>
      </c>
      <c r="BA80" t="str">
        <f t="shared" si="48"/>
        <v>Support</v>
      </c>
      <c r="BB80">
        <f>survey_responses[[#This Row],[Tôi thấy Nhà nước đã giải thích rõ ràng, minh bạch về lý do và mục tiêu của việc sửa đổi thuế lần này. - HUMAN-TRU4]]</f>
        <v>5</v>
      </c>
      <c r="BC80" t="str">
        <f t="shared" si="49"/>
        <v>Neutral</v>
      </c>
      <c r="BD80" s="31">
        <f t="shared" si="50"/>
        <v>4</v>
      </c>
      <c r="BE80">
        <f>step3_validation[[#This Row],[AI_OUT1]]</f>
        <v>10</v>
      </c>
      <c r="BF80" t="str">
        <f t="shared" si="51"/>
        <v>Support</v>
      </c>
      <c r="BG80">
        <f>survey_responses[[#This Row],[Sau khi xem xét các quyền lợi và nghĩa vụ, bạn có ủng hộ và tuân thủ chính sách mới hiện nay? - HUMAN-OUT1]]</f>
        <v>7</v>
      </c>
      <c r="BH80" t="str">
        <f t="shared" si="52"/>
        <v>Neutral</v>
      </c>
      <c r="BI80" s="31">
        <f t="shared" si="53"/>
        <v>3</v>
      </c>
    </row>
    <row r="81" spans="1:61" hidden="1" x14ac:dyDescent="0.45">
      <c r="A81" s="29">
        <f>step3_validation[[#This Row],[Persona_ID]]</f>
        <v>80</v>
      </c>
      <c r="B81" s="30">
        <f>step3_validation[[#This Row],[Used_Seed]]</f>
        <v>121</v>
      </c>
      <c r="C81" t="str">
        <f>step3_validation[[#This Row],[Gender]]</f>
        <v>Nam</v>
      </c>
      <c r="D81" t="str">
        <f>survey_responses[[#This Row],[Giới tính của bạn:]]</f>
        <v>Nam</v>
      </c>
      <c r="E81" t="str">
        <f>step3_validation[[#This Row],[Age_Group]]</f>
        <v>25 - 29</v>
      </c>
      <c r="F81" t="str">
        <f>survey_responses[[#This Row],[Độ tuổi của bạn:]]</f>
        <v>25 - 29</v>
      </c>
      <c r="G81" t="str">
        <f>step3_validation[[#This Row],[Region]]</f>
        <v>Thành thị</v>
      </c>
      <c r="H81" t="str">
        <f>survey_responses[[#This Row],[Khu vực bạn đang sinh sống:]]</f>
        <v>Thành thị</v>
      </c>
      <c r="I81" t="str">
        <f>step3_validation[[#This Row],[Education]]</f>
        <v>Đại học</v>
      </c>
      <c r="J81" t="str">
        <f>survey_responses[[#This Row],[Trình độ học vấn cao nhất:]]</f>
        <v>Đại học</v>
      </c>
      <c r="K81" t="str">
        <f>step3_validation[[#This Row],[Employment]]</f>
        <v>Chính thức</v>
      </c>
      <c r="L81" t="str">
        <f>survey_responses[[#This Row],[Tình trạng việc làm chính:]]</f>
        <v>Khu vực chính thức (Có Hợp đồng lao động, đóng BHXH)</v>
      </c>
      <c r="M81">
        <f>step3_validation[[#This Row],[Income_Mil]]</f>
        <v>12.504096682004523</v>
      </c>
      <c r="N81" t="str">
        <f>survey_responses[[#This Row],[Thu nhập bình quân tháng theo Hợp đồng lao động của bạn là bao nhiêu? (Vui lòng điền tổng thu nhập trước khi khấu trừ các loại Bảo hiểm (BHXH, BHYT, BHTN) và Thuế TNCN)]]</f>
        <v>Từ 12 - 18 triệu VNĐ</v>
      </c>
      <c r="O81">
        <f>step3_validation[[#This Row],[Dependents]]</f>
        <v>0</v>
      </c>
      <c r="P81" t="str">
        <f>survey_responses[[#This Row],[Số người phụ thuộc (con nhỏ, cha mẹ già...) đủ điều kiện giảm trừ gia cảnh:]]</f>
        <v>0 người</v>
      </c>
      <c r="Q81">
        <f>step3_validation[[#This Row],[AI_ENF1]]</f>
        <v>7</v>
      </c>
      <c r="R81" t="str">
        <f t="shared" si="27"/>
        <v>Neutral</v>
      </c>
      <c r="S81">
        <f>survey_responses[[#This Row],[Tôi tin rằng với các quy định quản lý thuế hiện nay, hành vi gian lận hoặc trốn thuế sẽ dễ dàng bị phát hiện và xử lý nghiêm. - HUMAN-ENF1]]</f>
        <v>8</v>
      </c>
      <c r="T81" t="str">
        <f t="shared" si="28"/>
        <v>Support</v>
      </c>
      <c r="U81" s="31">
        <f t="shared" si="29"/>
        <v>1</v>
      </c>
      <c r="V81">
        <f>step3_validation[[#This Row],[AI_ENF2]]</f>
        <v>7</v>
      </c>
      <c r="W81" t="str">
        <f t="shared" si="30"/>
        <v>Neutral</v>
      </c>
      <c r="X81">
        <f>survey_responses[[#This Row],[Tôi tin rằng Nhà nước, cơ quan thuế có đủ khả năng và công nghệ để phát hiện, xử lý nghiêm các hành vi trốn thuế. - HUMAN-ENF2]]</f>
        <v>8</v>
      </c>
      <c r="Y81" t="str">
        <f t="shared" si="31"/>
        <v>Support</v>
      </c>
      <c r="Z81" s="31">
        <f t="shared" si="32"/>
        <v>1</v>
      </c>
      <c r="AA81">
        <f>step3_validation[[#This Row],[AI_FAC1]]</f>
        <v>8</v>
      </c>
      <c r="AB81" t="str">
        <f t="shared" si="33"/>
        <v>Support</v>
      </c>
      <c r="AC81">
        <f>survey_responses[[#This Row],[Các thủ tục khai báo thuế VÀ/HOẶC quy trình làm việc với cơ quan thuế đơn giản, tiện lợi, nhanh chóng hơn so với trước đây. - HUMAN-FAC1]]</f>
        <v>8</v>
      </c>
      <c r="AD81" t="str">
        <f t="shared" si="34"/>
        <v>Support</v>
      </c>
      <c r="AE81" s="31">
        <f t="shared" si="35"/>
        <v>0</v>
      </c>
      <c r="AF81">
        <f>step3_validation[[#This Row],[AI_FAC2]]</f>
        <v>9</v>
      </c>
      <c r="AG81" t="str">
        <f t="shared" si="36"/>
        <v>Support</v>
      </c>
      <c r="AH81">
        <f>survey_responses[[#This Row],[So với trước đây, tôi thấy cách tính thuế và các bậc thuế trong phương án mới đơn giản, dễ hiểu và dễ thực hiện hơn. - HUMAN-FAC2]]</f>
        <v>8</v>
      </c>
      <c r="AI81" t="str">
        <f t="shared" si="37"/>
        <v>Support</v>
      </c>
      <c r="AJ81" s="31">
        <f t="shared" si="38"/>
        <v>1</v>
      </c>
      <c r="AK81">
        <f>step3_validation[[#This Row],[AI_TRU1]]</f>
        <v>6</v>
      </c>
      <c r="AL81" t="str">
        <f t="shared" si="39"/>
        <v>Neutral</v>
      </c>
      <c r="AM81">
        <f>survey_responses[[#This Row],[Tôi tin rằng Nhà nước, cơ quan thuế sẽ thực thi chính sách mới một cách khách quan, công tâm và đối xử bình đẳng với mọi người nộp thuế.  - HUMAN-TRU1]]</f>
        <v>8</v>
      </c>
      <c r="AN81" t="str">
        <f t="shared" si="40"/>
        <v>Support</v>
      </c>
      <c r="AO81" s="31">
        <f t="shared" si="41"/>
        <v>2</v>
      </c>
      <c r="AP81">
        <f>step3_validation[[#This Row],[AI_TRU2]]</f>
        <v>8</v>
      </c>
      <c r="AQ81" t="str">
        <f t="shared" si="42"/>
        <v>Support</v>
      </c>
      <c r="AR81">
        <f>survey_responses[[#This Row],[Tôi thấy mức thuế tôi phải đóng theo phương án mới là công bằng (người thu nhập như tôi đóng mức này là hợp lý). - HUMAN-TRU2]]</f>
        <v>8</v>
      </c>
      <c r="AS81" t="str">
        <f t="shared" si="43"/>
        <v>Support</v>
      </c>
      <c r="AT81" s="31">
        <f t="shared" si="44"/>
        <v>0</v>
      </c>
      <c r="AU81">
        <f>step3_validation[[#This Row],[AI_TRU3]]</f>
        <v>7</v>
      </c>
      <c r="AV81" t="str">
        <f t="shared" si="45"/>
        <v>Neutral</v>
      </c>
      <c r="AW81">
        <f>survey_responses[[#This Row],[Tôi tin tưởng số tiền thuế tôi đóng sẽ được Nhà nước sử dụng hiệu quả để cải thiện dịch vụ công (y tế, đường xá...). - HUMAN-TRU3]]</f>
        <v>8</v>
      </c>
      <c r="AX81" t="str">
        <f t="shared" si="46"/>
        <v>Support</v>
      </c>
      <c r="AY81" s="31">
        <f t="shared" si="47"/>
        <v>1</v>
      </c>
      <c r="AZ81">
        <f>step3_validation[[#This Row],[AI_TRU4]]</f>
        <v>6</v>
      </c>
      <c r="BA81" t="str">
        <f t="shared" si="48"/>
        <v>Neutral</v>
      </c>
      <c r="BB81">
        <f>survey_responses[[#This Row],[Tôi thấy Nhà nước đã giải thích rõ ràng, minh bạch về lý do và mục tiêu của việc sửa đổi thuế lần này. - HUMAN-TRU4]]</f>
        <v>8</v>
      </c>
      <c r="BC81" t="str">
        <f t="shared" si="49"/>
        <v>Support</v>
      </c>
      <c r="BD81" s="31">
        <f t="shared" si="50"/>
        <v>2</v>
      </c>
      <c r="BE81">
        <f>step3_validation[[#This Row],[AI_OUT1]]</f>
        <v>8</v>
      </c>
      <c r="BF81" t="str">
        <f t="shared" si="51"/>
        <v>Support</v>
      </c>
      <c r="BG81">
        <f>survey_responses[[#This Row],[Sau khi xem xét các quyền lợi và nghĩa vụ, bạn có ủng hộ và tuân thủ chính sách mới hiện nay? - HUMAN-OUT1]]</f>
        <v>8</v>
      </c>
      <c r="BH81" t="str">
        <f t="shared" si="52"/>
        <v>Support</v>
      </c>
      <c r="BI81" s="31">
        <f t="shared" si="53"/>
        <v>0</v>
      </c>
    </row>
    <row r="82" spans="1:61" x14ac:dyDescent="0.45">
      <c r="A82" s="29">
        <f>step3_validation[[#This Row],[Persona_ID]]</f>
        <v>81</v>
      </c>
      <c r="B82" s="30">
        <f>step3_validation[[#This Row],[Used_Seed]]</f>
        <v>122</v>
      </c>
      <c r="C82" t="str">
        <f>step3_validation[[#This Row],[Gender]]</f>
        <v>Nam</v>
      </c>
      <c r="D82" t="str">
        <f>survey_responses[[#This Row],[Giới tính của bạn:]]</f>
        <v>Nam</v>
      </c>
      <c r="E82" t="str">
        <f>step3_validation[[#This Row],[Age_Group]]</f>
        <v>55 - 64</v>
      </c>
      <c r="F82" t="str">
        <f>survey_responses[[#This Row],[Độ tuổi của bạn:]]</f>
        <v>55 - 64</v>
      </c>
      <c r="G82" t="str">
        <f>step3_validation[[#This Row],[Region]]</f>
        <v>Thành thị</v>
      </c>
      <c r="H82" t="str">
        <f>survey_responses[[#This Row],[Khu vực bạn đang sinh sống:]]</f>
        <v>Thành thị</v>
      </c>
      <c r="I82" t="str">
        <f>step3_validation[[#This Row],[Education]]</f>
        <v>Sau Đại học</v>
      </c>
      <c r="J82" t="str">
        <f>survey_responses[[#This Row],[Trình độ học vấn cao nhất:]]</f>
        <v>Sau Đại học</v>
      </c>
      <c r="K82" t="str">
        <f>step3_validation[[#This Row],[Employment]]</f>
        <v>Phi chính thức</v>
      </c>
      <c r="L82" t="str">
        <f>survey_responses[[#This Row],[Tình trạng việc làm chính:]]</f>
        <v>Khác (Về hưu, nội trợ, sinh viên)</v>
      </c>
      <c r="M82">
        <f>step3_validation[[#This Row],[Income_Mil]]</f>
        <v>12</v>
      </c>
      <c r="N82" t="str">
        <f>survey_responses[[#This Row],[Thu nhập bình quân tháng theo Hợp đồng lao động của bạn là bao nhiêu? (Vui lòng điền tổng thu nhập trước khi khấu trừ các loại Bảo hiểm (BHXH, BHYT, BHTN) và Thuế TNCN)]]</f>
        <v>Dưới 12 triệu VNĐ</v>
      </c>
      <c r="O82">
        <f>step3_validation[[#This Row],[Dependents]]</f>
        <v>0</v>
      </c>
      <c r="P82" t="str">
        <f>survey_responses[[#This Row],[Số người phụ thuộc (con nhỏ, cha mẹ già...) đủ điều kiện giảm trừ gia cảnh:]]</f>
        <v>0 người</v>
      </c>
      <c r="Q82">
        <f>step3_validation[[#This Row],[AI_ENF1]]</f>
        <v>7</v>
      </c>
      <c r="R82" t="str">
        <f t="shared" si="27"/>
        <v>Neutral</v>
      </c>
      <c r="S82">
        <f>survey_responses[[#This Row],[Tôi tin rằng với các quy định quản lý thuế hiện nay, hành vi gian lận hoặc trốn thuế sẽ dễ dàng bị phát hiện và xử lý nghiêm. - HUMAN-ENF1]]</f>
        <v>7</v>
      </c>
      <c r="T82" t="str">
        <f t="shared" si="28"/>
        <v>Neutral</v>
      </c>
      <c r="U82" s="31">
        <f t="shared" si="29"/>
        <v>0</v>
      </c>
      <c r="V82">
        <f>step3_validation[[#This Row],[AI_ENF2]]</f>
        <v>8</v>
      </c>
      <c r="W82" t="str">
        <f t="shared" si="30"/>
        <v>Support</v>
      </c>
      <c r="X82">
        <f>survey_responses[[#This Row],[Tôi tin rằng Nhà nước, cơ quan thuế có đủ khả năng và công nghệ để phát hiện, xử lý nghiêm các hành vi trốn thuế. - HUMAN-ENF2]]</f>
        <v>7</v>
      </c>
      <c r="Y82" t="str">
        <f t="shared" si="31"/>
        <v>Neutral</v>
      </c>
      <c r="Z82" s="31">
        <f t="shared" si="32"/>
        <v>1</v>
      </c>
      <c r="AA82">
        <f>step3_validation[[#This Row],[AI_FAC1]]</f>
        <v>6</v>
      </c>
      <c r="AB82" t="str">
        <f t="shared" si="33"/>
        <v>Neutral</v>
      </c>
      <c r="AC82">
        <f>survey_responses[[#This Row],[Các thủ tục khai báo thuế VÀ/HOẶC quy trình làm việc với cơ quan thuế đơn giản, tiện lợi, nhanh chóng hơn so với trước đây. - HUMAN-FAC1]]</f>
        <v>5</v>
      </c>
      <c r="AD82" t="str">
        <f t="shared" si="34"/>
        <v>Neutral</v>
      </c>
      <c r="AE82" s="31">
        <f t="shared" si="35"/>
        <v>1</v>
      </c>
      <c r="AF82">
        <f>step3_validation[[#This Row],[AI_FAC2]]</f>
        <v>9</v>
      </c>
      <c r="AG82" t="str">
        <f t="shared" si="36"/>
        <v>Support</v>
      </c>
      <c r="AH82">
        <f>survey_responses[[#This Row],[So với trước đây, tôi thấy cách tính thuế và các bậc thuế trong phương án mới đơn giản, dễ hiểu và dễ thực hiện hơn. - HUMAN-FAC2]]</f>
        <v>5</v>
      </c>
      <c r="AI82" t="str">
        <f t="shared" si="37"/>
        <v>Neutral</v>
      </c>
      <c r="AJ82" s="31">
        <f t="shared" si="38"/>
        <v>4</v>
      </c>
      <c r="AK82">
        <f>step3_validation[[#This Row],[AI_TRU1]]</f>
        <v>7</v>
      </c>
      <c r="AL82" t="str">
        <f t="shared" si="39"/>
        <v>Neutral</v>
      </c>
      <c r="AM82">
        <f>survey_responses[[#This Row],[Tôi tin rằng Nhà nước, cơ quan thuế sẽ thực thi chính sách mới một cách khách quan, công tâm và đối xử bình đẳng với mọi người nộp thuế.  - HUMAN-TRU1]]</f>
        <v>6</v>
      </c>
      <c r="AN82" t="str">
        <f t="shared" si="40"/>
        <v>Neutral</v>
      </c>
      <c r="AO82" s="31">
        <f t="shared" si="41"/>
        <v>1</v>
      </c>
      <c r="AP82">
        <f>step3_validation[[#This Row],[AI_TRU2]]</f>
        <v>9</v>
      </c>
      <c r="AQ82" t="str">
        <f t="shared" si="42"/>
        <v>Support</v>
      </c>
      <c r="AR82">
        <f>survey_responses[[#This Row],[Tôi thấy mức thuế tôi phải đóng theo phương án mới là công bằng (người thu nhập như tôi đóng mức này là hợp lý). - HUMAN-TRU2]]</f>
        <v>5</v>
      </c>
      <c r="AS82" t="str">
        <f t="shared" si="43"/>
        <v>Neutral</v>
      </c>
      <c r="AT82" s="31">
        <f t="shared" si="44"/>
        <v>4</v>
      </c>
      <c r="AU82">
        <f>step3_validation[[#This Row],[AI_TRU3]]</f>
        <v>7</v>
      </c>
      <c r="AV82" t="str">
        <f t="shared" si="45"/>
        <v>Neutral</v>
      </c>
      <c r="AW82">
        <f>survey_responses[[#This Row],[Tôi tin tưởng số tiền thuế tôi đóng sẽ được Nhà nước sử dụng hiệu quả để cải thiện dịch vụ công (y tế, đường xá...). - HUMAN-TRU3]]</f>
        <v>8</v>
      </c>
      <c r="AX82" t="str">
        <f t="shared" si="46"/>
        <v>Support</v>
      </c>
      <c r="AY82" s="31">
        <f t="shared" si="47"/>
        <v>1</v>
      </c>
      <c r="AZ82">
        <f>step3_validation[[#This Row],[AI_TRU4]]</f>
        <v>8</v>
      </c>
      <c r="BA82" t="str">
        <f t="shared" si="48"/>
        <v>Support</v>
      </c>
      <c r="BB82">
        <f>survey_responses[[#This Row],[Tôi thấy Nhà nước đã giải thích rõ ràng, minh bạch về lý do và mục tiêu của việc sửa đổi thuế lần này. - HUMAN-TRU4]]</f>
        <v>6</v>
      </c>
      <c r="BC82" t="str">
        <f t="shared" si="49"/>
        <v>Neutral</v>
      </c>
      <c r="BD82" s="31">
        <f t="shared" si="50"/>
        <v>2</v>
      </c>
      <c r="BE82">
        <f>step3_validation[[#This Row],[AI_OUT1]]</f>
        <v>9</v>
      </c>
      <c r="BF82" t="str">
        <f t="shared" si="51"/>
        <v>Support</v>
      </c>
      <c r="BG82">
        <f>survey_responses[[#This Row],[Sau khi xem xét các quyền lợi và nghĩa vụ, bạn có ủng hộ và tuân thủ chính sách mới hiện nay? - HUMAN-OUT1]]</f>
        <v>8</v>
      </c>
      <c r="BH82" t="str">
        <f t="shared" si="52"/>
        <v>Support</v>
      </c>
      <c r="BI82" s="31">
        <f t="shared" si="53"/>
        <v>1</v>
      </c>
    </row>
    <row r="83" spans="1:61" hidden="1" x14ac:dyDescent="0.45">
      <c r="A83" s="29">
        <f>step3_validation[[#This Row],[Persona_ID]]</f>
        <v>82</v>
      </c>
      <c r="B83" s="30">
        <f>step3_validation[[#This Row],[Used_Seed]]</f>
        <v>123</v>
      </c>
      <c r="C83" t="str">
        <f>step3_validation[[#This Row],[Gender]]</f>
        <v>Nữ</v>
      </c>
      <c r="D83" t="str">
        <f>survey_responses[[#This Row],[Giới tính của bạn:]]</f>
        <v>Nữ</v>
      </c>
      <c r="E83" t="str">
        <f>step3_validation[[#This Row],[Age_Group]]</f>
        <v>55 - 64</v>
      </c>
      <c r="F83" t="str">
        <f>survey_responses[[#This Row],[Độ tuổi của bạn:]]</f>
        <v>55 - 64</v>
      </c>
      <c r="G83" t="str">
        <f>step3_validation[[#This Row],[Region]]</f>
        <v>Thành thị</v>
      </c>
      <c r="H83" t="str">
        <f>survey_responses[[#This Row],[Khu vực bạn đang sinh sống:]]</f>
        <v>Thành thị</v>
      </c>
      <c r="I83" t="str">
        <f>step3_validation[[#This Row],[Education]]</f>
        <v>Đại học</v>
      </c>
      <c r="J83" t="str">
        <f>survey_responses[[#This Row],[Trình độ học vấn cao nhất:]]</f>
        <v>Đại học</v>
      </c>
      <c r="K83" t="str">
        <f>step3_validation[[#This Row],[Employment]]</f>
        <v>Phi chính thức</v>
      </c>
      <c r="L83" t="str">
        <f>survey_responses[[#This Row],[Tình trạng việc làm chính:]]</f>
        <v>Khác (Về hưu, nội trợ, sinh viên)</v>
      </c>
      <c r="M83">
        <f>step3_validation[[#This Row],[Income_Mil]]</f>
        <v>13.587527020026418</v>
      </c>
      <c r="N83" t="str">
        <f>survey_responses[[#This Row],[Thu nhập bình quân tháng theo Hợp đồng lao động của bạn là bao nhiêu? (Vui lòng điền tổng thu nhập trước khi khấu trừ các loại Bảo hiểm (BHXH, BHYT, BHTN) và Thuế TNCN)]]</f>
        <v>Từ 12 - 18 triệu VNĐ</v>
      </c>
      <c r="O83">
        <f>step3_validation[[#This Row],[Dependents]]</f>
        <v>1</v>
      </c>
      <c r="P83" t="str">
        <f>survey_responses[[#This Row],[Số người phụ thuộc (con nhỏ, cha mẹ già...) đủ điều kiện giảm trừ gia cảnh:]]</f>
        <v>1 người</v>
      </c>
      <c r="Q83">
        <f>step3_validation[[#This Row],[AI_ENF1]]</f>
        <v>7</v>
      </c>
      <c r="R83" t="str">
        <f t="shared" si="27"/>
        <v>Neutral</v>
      </c>
      <c r="S83">
        <f>survey_responses[[#This Row],[Tôi tin rằng với các quy định quản lý thuế hiện nay, hành vi gian lận hoặc trốn thuế sẽ dễ dàng bị phát hiện và xử lý nghiêm. - HUMAN-ENF1]]</f>
        <v>8</v>
      </c>
      <c r="T83" t="str">
        <f t="shared" si="28"/>
        <v>Support</v>
      </c>
      <c r="U83" s="31">
        <f t="shared" si="29"/>
        <v>1</v>
      </c>
      <c r="V83">
        <f>step3_validation[[#This Row],[AI_ENF2]]</f>
        <v>6</v>
      </c>
      <c r="W83" t="str">
        <f t="shared" si="30"/>
        <v>Neutral</v>
      </c>
      <c r="X83">
        <f>survey_responses[[#This Row],[Tôi tin rằng Nhà nước, cơ quan thuế có đủ khả năng và công nghệ để phát hiện, xử lý nghiêm các hành vi trốn thuế. - HUMAN-ENF2]]</f>
        <v>9</v>
      </c>
      <c r="Y83" t="str">
        <f t="shared" si="31"/>
        <v>Support</v>
      </c>
      <c r="Z83" s="31">
        <f t="shared" si="32"/>
        <v>3</v>
      </c>
      <c r="AA83">
        <f>step3_validation[[#This Row],[AI_FAC1]]</f>
        <v>5</v>
      </c>
      <c r="AB83" t="str">
        <f t="shared" si="33"/>
        <v>Neutral</v>
      </c>
      <c r="AC83">
        <f>survey_responses[[#This Row],[Các thủ tục khai báo thuế VÀ/HOẶC quy trình làm việc với cơ quan thuế đơn giản, tiện lợi, nhanh chóng hơn so với trước đây. - HUMAN-FAC1]]</f>
        <v>5</v>
      </c>
      <c r="AD83" t="str">
        <f t="shared" si="34"/>
        <v>Neutral</v>
      </c>
      <c r="AE83" s="31">
        <f t="shared" si="35"/>
        <v>0</v>
      </c>
      <c r="AF83">
        <f>step3_validation[[#This Row],[AI_FAC2]]</f>
        <v>8</v>
      </c>
      <c r="AG83" t="str">
        <f t="shared" si="36"/>
        <v>Support</v>
      </c>
      <c r="AH83">
        <f>survey_responses[[#This Row],[So với trước đây, tôi thấy cách tính thuế và các bậc thuế trong phương án mới đơn giản, dễ hiểu và dễ thực hiện hơn. - HUMAN-FAC2]]</f>
        <v>5</v>
      </c>
      <c r="AI83" t="str">
        <f t="shared" si="37"/>
        <v>Neutral</v>
      </c>
      <c r="AJ83" s="31">
        <f t="shared" si="38"/>
        <v>3</v>
      </c>
      <c r="AK83">
        <f>step3_validation[[#This Row],[AI_TRU1]]</f>
        <v>6</v>
      </c>
      <c r="AL83" t="str">
        <f t="shared" si="39"/>
        <v>Neutral</v>
      </c>
      <c r="AM83">
        <f>survey_responses[[#This Row],[Tôi tin rằng Nhà nước, cơ quan thuế sẽ thực thi chính sách mới một cách khách quan, công tâm và đối xử bình đẳng với mọi người nộp thuế.  - HUMAN-TRU1]]</f>
        <v>5</v>
      </c>
      <c r="AN83" t="str">
        <f t="shared" si="40"/>
        <v>Neutral</v>
      </c>
      <c r="AO83" s="31">
        <f t="shared" si="41"/>
        <v>1</v>
      </c>
      <c r="AP83">
        <f>step3_validation[[#This Row],[AI_TRU2]]</f>
        <v>8</v>
      </c>
      <c r="AQ83" t="str">
        <f t="shared" si="42"/>
        <v>Support</v>
      </c>
      <c r="AR83">
        <f>survey_responses[[#This Row],[Tôi thấy mức thuế tôi phải đóng theo phương án mới là công bằng (người thu nhập như tôi đóng mức này là hợp lý). - HUMAN-TRU2]]</f>
        <v>5</v>
      </c>
      <c r="AS83" t="str">
        <f t="shared" si="43"/>
        <v>Neutral</v>
      </c>
      <c r="AT83" s="31">
        <f t="shared" si="44"/>
        <v>3</v>
      </c>
      <c r="AU83">
        <f>step3_validation[[#This Row],[AI_TRU3]]</f>
        <v>6</v>
      </c>
      <c r="AV83" t="str">
        <f t="shared" si="45"/>
        <v>Neutral</v>
      </c>
      <c r="AW83">
        <f>survey_responses[[#This Row],[Tôi tin tưởng số tiền thuế tôi đóng sẽ được Nhà nước sử dụng hiệu quả để cải thiện dịch vụ công (y tế, đường xá...). - HUMAN-TRU3]]</f>
        <v>1</v>
      </c>
      <c r="AX83" t="str">
        <f t="shared" si="46"/>
        <v>Oppose</v>
      </c>
      <c r="AY83" s="31">
        <f t="shared" si="47"/>
        <v>5</v>
      </c>
      <c r="AZ83">
        <f>step3_validation[[#This Row],[AI_TRU4]]</f>
        <v>5</v>
      </c>
      <c r="BA83" t="str">
        <f t="shared" si="48"/>
        <v>Neutral</v>
      </c>
      <c r="BB83">
        <f>survey_responses[[#This Row],[Tôi thấy Nhà nước đã giải thích rõ ràng, minh bạch về lý do và mục tiêu của việc sửa đổi thuế lần này. - HUMAN-TRU4]]</f>
        <v>5</v>
      </c>
      <c r="BC83" t="str">
        <f t="shared" si="49"/>
        <v>Neutral</v>
      </c>
      <c r="BD83" s="31">
        <f t="shared" si="50"/>
        <v>0</v>
      </c>
      <c r="BE83">
        <f>step3_validation[[#This Row],[AI_OUT1]]</f>
        <v>8</v>
      </c>
      <c r="BF83" t="str">
        <f t="shared" si="51"/>
        <v>Support</v>
      </c>
      <c r="BG83">
        <f>survey_responses[[#This Row],[Sau khi xem xét các quyền lợi và nghĩa vụ, bạn có ủng hộ và tuân thủ chính sách mới hiện nay? - HUMAN-OUT1]]</f>
        <v>5</v>
      </c>
      <c r="BH83" t="str">
        <f t="shared" si="52"/>
        <v>Neutral</v>
      </c>
      <c r="BI83" s="31">
        <f t="shared" si="53"/>
        <v>3</v>
      </c>
    </row>
    <row r="84" spans="1:61" hidden="1" x14ac:dyDescent="0.45">
      <c r="A84" s="29">
        <f>step3_validation[[#This Row],[Persona_ID]]</f>
        <v>83</v>
      </c>
      <c r="B84" s="30">
        <f>step3_validation[[#This Row],[Used_Seed]]</f>
        <v>124</v>
      </c>
      <c r="C84" t="str">
        <f>step3_validation[[#This Row],[Gender]]</f>
        <v>Nữ</v>
      </c>
      <c r="D84" t="str">
        <f>survey_responses[[#This Row],[Giới tính của bạn:]]</f>
        <v>Nữ</v>
      </c>
      <c r="E84" t="str">
        <f>step3_validation[[#This Row],[Age_Group]]</f>
        <v>40 - 49</v>
      </c>
      <c r="F84" t="str">
        <f>survey_responses[[#This Row],[Độ tuổi của bạn:]]</f>
        <v>40 - 49</v>
      </c>
      <c r="G84" t="str">
        <f>step3_validation[[#This Row],[Region]]</f>
        <v>Thành thị</v>
      </c>
      <c r="H84" t="str">
        <f>survey_responses[[#This Row],[Khu vực bạn đang sinh sống:]]</f>
        <v>Thành thị</v>
      </c>
      <c r="I84" t="str">
        <f>step3_validation[[#This Row],[Education]]</f>
        <v>Sau Đại học</v>
      </c>
      <c r="J84" t="str">
        <f>survey_responses[[#This Row],[Trình độ học vấn cao nhất:]]</f>
        <v>Sau Đại học</v>
      </c>
      <c r="K84" t="str">
        <f>step3_validation[[#This Row],[Employment]]</f>
        <v>Chính thức</v>
      </c>
      <c r="L84" t="str">
        <f>survey_responses[[#This Row],[Tình trạng việc làm chính:]]</f>
        <v>Khu vực chính thức (Có Hợp đồng lao động, đóng BHXH)</v>
      </c>
      <c r="M84">
        <f>step3_validation[[#This Row],[Income_Mil]]</f>
        <v>13.306810362881187</v>
      </c>
      <c r="N84" t="str">
        <f>survey_responses[[#This Row],[Thu nhập bình quân tháng theo Hợp đồng lao động của bạn là bao nhiêu? (Vui lòng điền tổng thu nhập trước khi khấu trừ các loại Bảo hiểm (BHXH, BHYT, BHTN) và Thuế TNCN)]]</f>
        <v>Từ 12 - 18 triệu VNĐ</v>
      </c>
      <c r="O84">
        <f>step3_validation[[#This Row],[Dependents]]</f>
        <v>2</v>
      </c>
      <c r="P84" t="str">
        <f>survey_responses[[#This Row],[Số người phụ thuộc (con nhỏ, cha mẹ già...) đủ điều kiện giảm trừ gia cảnh:]]</f>
        <v>2 người</v>
      </c>
      <c r="Q84">
        <f>step3_validation[[#This Row],[AI_ENF1]]</f>
        <v>8</v>
      </c>
      <c r="R84" t="str">
        <f t="shared" si="27"/>
        <v>Support</v>
      </c>
      <c r="S84">
        <f>survey_responses[[#This Row],[Tôi tin rằng với các quy định quản lý thuế hiện nay, hành vi gian lận hoặc trốn thuế sẽ dễ dàng bị phát hiện và xử lý nghiêm. - HUMAN-ENF1]]</f>
        <v>10</v>
      </c>
      <c r="T84" t="str">
        <f t="shared" si="28"/>
        <v>Support</v>
      </c>
      <c r="U84" s="31">
        <f t="shared" si="29"/>
        <v>2</v>
      </c>
      <c r="V84">
        <f>step3_validation[[#This Row],[AI_ENF2]]</f>
        <v>8</v>
      </c>
      <c r="W84" t="str">
        <f t="shared" si="30"/>
        <v>Support</v>
      </c>
      <c r="X84">
        <f>survey_responses[[#This Row],[Tôi tin rằng Nhà nước, cơ quan thuế có đủ khả năng và công nghệ để phát hiện, xử lý nghiêm các hành vi trốn thuế. - HUMAN-ENF2]]</f>
        <v>8</v>
      </c>
      <c r="Y84" t="str">
        <f t="shared" si="31"/>
        <v>Support</v>
      </c>
      <c r="Z84" s="31">
        <f t="shared" si="32"/>
        <v>0</v>
      </c>
      <c r="AA84">
        <f>step3_validation[[#This Row],[AI_FAC1]]</f>
        <v>9</v>
      </c>
      <c r="AB84" t="str">
        <f t="shared" si="33"/>
        <v>Support</v>
      </c>
      <c r="AC84">
        <f>survey_responses[[#This Row],[Các thủ tục khai báo thuế VÀ/HOẶC quy trình làm việc với cơ quan thuế đơn giản, tiện lợi, nhanh chóng hơn so với trước đây. - HUMAN-FAC1]]</f>
        <v>8</v>
      </c>
      <c r="AD84" t="str">
        <f t="shared" si="34"/>
        <v>Support</v>
      </c>
      <c r="AE84" s="31">
        <f t="shared" si="35"/>
        <v>1</v>
      </c>
      <c r="AF84">
        <f>step3_validation[[#This Row],[AI_FAC2]]</f>
        <v>9</v>
      </c>
      <c r="AG84" t="str">
        <f t="shared" si="36"/>
        <v>Support</v>
      </c>
      <c r="AH84">
        <f>survey_responses[[#This Row],[So với trước đây, tôi thấy cách tính thuế và các bậc thuế trong phương án mới đơn giản, dễ hiểu và dễ thực hiện hơn. - HUMAN-FAC2]]</f>
        <v>7</v>
      </c>
      <c r="AI84" t="str">
        <f t="shared" si="37"/>
        <v>Neutral</v>
      </c>
      <c r="AJ84" s="31">
        <f t="shared" si="38"/>
        <v>2</v>
      </c>
      <c r="AK84">
        <f>step3_validation[[#This Row],[AI_TRU1]]</f>
        <v>8</v>
      </c>
      <c r="AL84" t="str">
        <f t="shared" si="39"/>
        <v>Support</v>
      </c>
      <c r="AM84">
        <f>survey_responses[[#This Row],[Tôi tin rằng Nhà nước, cơ quan thuế sẽ thực thi chính sách mới một cách khách quan, công tâm và đối xử bình đẳng với mọi người nộp thuế.  - HUMAN-TRU1]]</f>
        <v>7</v>
      </c>
      <c r="AN84" t="str">
        <f t="shared" si="40"/>
        <v>Neutral</v>
      </c>
      <c r="AO84" s="31">
        <f t="shared" si="41"/>
        <v>1</v>
      </c>
      <c r="AP84">
        <f>step3_validation[[#This Row],[AI_TRU2]]</f>
        <v>9</v>
      </c>
      <c r="AQ84" t="str">
        <f t="shared" si="42"/>
        <v>Support</v>
      </c>
      <c r="AR84">
        <f>survey_responses[[#This Row],[Tôi thấy mức thuế tôi phải đóng theo phương án mới là công bằng (người thu nhập như tôi đóng mức này là hợp lý). - HUMAN-TRU2]]</f>
        <v>6</v>
      </c>
      <c r="AS84" t="str">
        <f t="shared" si="43"/>
        <v>Neutral</v>
      </c>
      <c r="AT84" s="31">
        <f t="shared" si="44"/>
        <v>3</v>
      </c>
      <c r="AU84">
        <f>step3_validation[[#This Row],[AI_TRU3]]</f>
        <v>8</v>
      </c>
      <c r="AV84" t="str">
        <f t="shared" si="45"/>
        <v>Support</v>
      </c>
      <c r="AW84">
        <f>survey_responses[[#This Row],[Tôi tin tưởng số tiền thuế tôi đóng sẽ được Nhà nước sử dụng hiệu quả để cải thiện dịch vụ công (y tế, đường xá...). - HUMAN-TRU3]]</f>
        <v>7</v>
      </c>
      <c r="AX84" t="str">
        <f t="shared" si="46"/>
        <v>Neutral</v>
      </c>
      <c r="AY84" s="31">
        <f t="shared" si="47"/>
        <v>1</v>
      </c>
      <c r="AZ84">
        <f>step3_validation[[#This Row],[AI_TRU4]]</f>
        <v>7</v>
      </c>
      <c r="BA84" t="str">
        <f t="shared" si="48"/>
        <v>Neutral</v>
      </c>
      <c r="BB84">
        <f>survey_responses[[#This Row],[Tôi thấy Nhà nước đã giải thích rõ ràng, minh bạch về lý do và mục tiêu của việc sửa đổi thuế lần này. - HUMAN-TRU4]]</f>
        <v>6</v>
      </c>
      <c r="BC84" t="str">
        <f t="shared" si="49"/>
        <v>Neutral</v>
      </c>
      <c r="BD84" s="31">
        <f t="shared" si="50"/>
        <v>1</v>
      </c>
      <c r="BE84">
        <f>step3_validation[[#This Row],[AI_OUT1]]</f>
        <v>9</v>
      </c>
      <c r="BF84" t="str">
        <f t="shared" si="51"/>
        <v>Support</v>
      </c>
      <c r="BG84">
        <f>survey_responses[[#This Row],[Sau khi xem xét các quyền lợi và nghĩa vụ, bạn có ủng hộ và tuân thủ chính sách mới hiện nay? - HUMAN-OUT1]]</f>
        <v>8</v>
      </c>
      <c r="BH84" t="str">
        <f t="shared" si="52"/>
        <v>Support</v>
      </c>
      <c r="BI84" s="31">
        <f t="shared" si="53"/>
        <v>1</v>
      </c>
    </row>
    <row r="85" spans="1:61" hidden="1" x14ac:dyDescent="0.45">
      <c r="A85" s="29">
        <f>step3_validation[[#This Row],[Persona_ID]]</f>
        <v>84</v>
      </c>
      <c r="B85" s="30">
        <f>step3_validation[[#This Row],[Used_Seed]]</f>
        <v>125</v>
      </c>
      <c r="C85" t="str">
        <f>step3_validation[[#This Row],[Gender]]</f>
        <v>Nữ</v>
      </c>
      <c r="D85" t="str">
        <f>survey_responses[[#This Row],[Giới tính của bạn:]]</f>
        <v>Nữ</v>
      </c>
      <c r="E85" t="str">
        <f>step3_validation[[#This Row],[Age_Group]]</f>
        <v>30 - 39</v>
      </c>
      <c r="F85" t="str">
        <f>survey_responses[[#This Row],[Độ tuổi của bạn:]]</f>
        <v>30 - 39</v>
      </c>
      <c r="G85" t="str">
        <f>step3_validation[[#This Row],[Region]]</f>
        <v>Thành thị</v>
      </c>
      <c r="H85" t="str">
        <f>survey_responses[[#This Row],[Khu vực bạn đang sinh sống:]]</f>
        <v>Thành thị</v>
      </c>
      <c r="I85" t="str">
        <f>step3_validation[[#This Row],[Education]]</f>
        <v>Cao đẳng</v>
      </c>
      <c r="J85" t="str">
        <f>survey_responses[[#This Row],[Trình độ học vấn cao nhất:]]</f>
        <v>Cao đẳng</v>
      </c>
      <c r="K85" t="str">
        <f>step3_validation[[#This Row],[Employment]]</f>
        <v>Chính thức</v>
      </c>
      <c r="L85" t="str">
        <f>survey_responses[[#This Row],[Tình trạng việc làm chính:]]</f>
        <v>Khu vực chính thức (Có Hợp đồng lao động, đóng BHXH)</v>
      </c>
      <c r="M85">
        <f>step3_validation[[#This Row],[Income_Mil]]</f>
        <v>16.377129287211631</v>
      </c>
      <c r="N85" t="str">
        <f>survey_responses[[#This Row],[Thu nhập bình quân tháng theo Hợp đồng lao động của bạn là bao nhiêu? (Vui lòng điền tổng thu nhập trước khi khấu trừ các loại Bảo hiểm (BHXH, BHYT, BHTN) và Thuế TNCN)]]</f>
        <v>Từ 12 - 18 triệu VNĐ</v>
      </c>
      <c r="O85">
        <f>step3_validation[[#This Row],[Dependents]]</f>
        <v>1</v>
      </c>
      <c r="P85" t="str">
        <f>survey_responses[[#This Row],[Số người phụ thuộc (con nhỏ, cha mẹ già...) đủ điều kiện giảm trừ gia cảnh:]]</f>
        <v>1 người</v>
      </c>
      <c r="Q85">
        <f>step3_validation[[#This Row],[AI_ENF1]]</f>
        <v>9</v>
      </c>
      <c r="R85" t="str">
        <f t="shared" si="27"/>
        <v>Support</v>
      </c>
      <c r="S85">
        <f>survey_responses[[#This Row],[Tôi tin rằng với các quy định quản lý thuế hiện nay, hành vi gian lận hoặc trốn thuế sẽ dễ dàng bị phát hiện và xử lý nghiêm. - HUMAN-ENF1]]</f>
        <v>6</v>
      </c>
      <c r="T85" t="str">
        <f t="shared" si="28"/>
        <v>Neutral</v>
      </c>
      <c r="U85" s="31">
        <f t="shared" si="29"/>
        <v>3</v>
      </c>
      <c r="V85">
        <f>step3_validation[[#This Row],[AI_ENF2]]</f>
        <v>8</v>
      </c>
      <c r="W85" t="str">
        <f t="shared" si="30"/>
        <v>Support</v>
      </c>
      <c r="X85">
        <f>survey_responses[[#This Row],[Tôi tin rằng Nhà nước, cơ quan thuế có đủ khả năng và công nghệ để phát hiện, xử lý nghiêm các hành vi trốn thuế. - HUMAN-ENF2]]</f>
        <v>7</v>
      </c>
      <c r="Y85" t="str">
        <f t="shared" si="31"/>
        <v>Neutral</v>
      </c>
      <c r="Z85" s="31">
        <f t="shared" si="32"/>
        <v>1</v>
      </c>
      <c r="AA85">
        <f>step3_validation[[#This Row],[AI_FAC1]]</f>
        <v>9</v>
      </c>
      <c r="AB85" t="str">
        <f t="shared" si="33"/>
        <v>Support</v>
      </c>
      <c r="AC85">
        <f>survey_responses[[#This Row],[Các thủ tục khai báo thuế VÀ/HOẶC quy trình làm việc với cơ quan thuế đơn giản, tiện lợi, nhanh chóng hơn so với trước đây. - HUMAN-FAC1]]</f>
        <v>5</v>
      </c>
      <c r="AD85" t="str">
        <f t="shared" si="34"/>
        <v>Neutral</v>
      </c>
      <c r="AE85" s="31">
        <f t="shared" si="35"/>
        <v>4</v>
      </c>
      <c r="AF85">
        <f>step3_validation[[#This Row],[AI_FAC2]]</f>
        <v>8</v>
      </c>
      <c r="AG85" t="str">
        <f t="shared" si="36"/>
        <v>Support</v>
      </c>
      <c r="AH85">
        <f>survey_responses[[#This Row],[So với trước đây, tôi thấy cách tính thuế và các bậc thuế trong phương án mới đơn giản, dễ hiểu và dễ thực hiện hơn. - HUMAN-FAC2]]</f>
        <v>5</v>
      </c>
      <c r="AI85" t="str">
        <f t="shared" si="37"/>
        <v>Neutral</v>
      </c>
      <c r="AJ85" s="31">
        <f t="shared" si="38"/>
        <v>3</v>
      </c>
      <c r="AK85">
        <f>step3_validation[[#This Row],[AI_TRU1]]</f>
        <v>9</v>
      </c>
      <c r="AL85" t="str">
        <f t="shared" si="39"/>
        <v>Support</v>
      </c>
      <c r="AM85">
        <f>survey_responses[[#This Row],[Tôi tin rằng Nhà nước, cơ quan thuế sẽ thực thi chính sách mới một cách khách quan, công tâm và đối xử bình đẳng với mọi người nộp thuế.  - HUMAN-TRU1]]</f>
        <v>5</v>
      </c>
      <c r="AN85" t="str">
        <f t="shared" si="40"/>
        <v>Neutral</v>
      </c>
      <c r="AO85" s="31">
        <f t="shared" si="41"/>
        <v>4</v>
      </c>
      <c r="AP85">
        <f>step3_validation[[#This Row],[AI_TRU2]]</f>
        <v>8</v>
      </c>
      <c r="AQ85" t="str">
        <f t="shared" si="42"/>
        <v>Support</v>
      </c>
      <c r="AR85">
        <f>survey_responses[[#This Row],[Tôi thấy mức thuế tôi phải đóng theo phương án mới là công bằng (người thu nhập như tôi đóng mức này là hợp lý). - HUMAN-TRU2]]</f>
        <v>5</v>
      </c>
      <c r="AS85" t="str">
        <f t="shared" si="43"/>
        <v>Neutral</v>
      </c>
      <c r="AT85" s="31">
        <f t="shared" si="44"/>
        <v>3</v>
      </c>
      <c r="AU85">
        <f>step3_validation[[#This Row],[AI_TRU3]]</f>
        <v>9</v>
      </c>
      <c r="AV85" t="str">
        <f t="shared" si="45"/>
        <v>Support</v>
      </c>
      <c r="AW85">
        <f>survey_responses[[#This Row],[Tôi tin tưởng số tiền thuế tôi đóng sẽ được Nhà nước sử dụng hiệu quả để cải thiện dịch vụ công (y tế, đường xá...). - HUMAN-TRU3]]</f>
        <v>5</v>
      </c>
      <c r="AX85" t="str">
        <f t="shared" si="46"/>
        <v>Neutral</v>
      </c>
      <c r="AY85" s="31">
        <f t="shared" si="47"/>
        <v>4</v>
      </c>
      <c r="AZ85">
        <f>step3_validation[[#This Row],[AI_TRU4]]</f>
        <v>8</v>
      </c>
      <c r="BA85" t="str">
        <f t="shared" si="48"/>
        <v>Support</v>
      </c>
      <c r="BB85">
        <f>survey_responses[[#This Row],[Tôi thấy Nhà nước đã giải thích rõ ràng, minh bạch về lý do và mục tiêu của việc sửa đổi thuế lần này. - HUMAN-TRU4]]</f>
        <v>5</v>
      </c>
      <c r="BC85" t="str">
        <f t="shared" si="49"/>
        <v>Neutral</v>
      </c>
      <c r="BD85" s="31">
        <f t="shared" si="50"/>
        <v>3</v>
      </c>
      <c r="BE85">
        <f>step3_validation[[#This Row],[AI_OUT1]]</f>
        <v>9</v>
      </c>
      <c r="BF85" t="str">
        <f t="shared" si="51"/>
        <v>Support</v>
      </c>
      <c r="BG85">
        <f>survey_responses[[#This Row],[Sau khi xem xét các quyền lợi và nghĩa vụ, bạn có ủng hộ và tuân thủ chính sách mới hiện nay? - HUMAN-OUT1]]</f>
        <v>5</v>
      </c>
      <c r="BH85" t="str">
        <f t="shared" si="52"/>
        <v>Neutral</v>
      </c>
      <c r="BI85" s="31">
        <f t="shared" si="53"/>
        <v>4</v>
      </c>
    </row>
    <row r="86" spans="1:61" hidden="1" x14ac:dyDescent="0.45">
      <c r="A86" s="29">
        <f>step3_validation[[#This Row],[Persona_ID]]</f>
        <v>85</v>
      </c>
      <c r="B86" s="30">
        <f>step3_validation[[#This Row],[Used_Seed]]</f>
        <v>126</v>
      </c>
      <c r="C86" t="str">
        <f>step3_validation[[#This Row],[Gender]]</f>
        <v>Nữ</v>
      </c>
      <c r="D86" t="str">
        <f>survey_responses[[#This Row],[Giới tính của bạn:]]</f>
        <v>Nữ</v>
      </c>
      <c r="E86" t="str">
        <f>step3_validation[[#This Row],[Age_Group]]</f>
        <v>40 - 49</v>
      </c>
      <c r="F86" t="str">
        <f>survey_responses[[#This Row],[Độ tuổi của bạn:]]</f>
        <v>40 - 49</v>
      </c>
      <c r="G86" t="str">
        <f>step3_validation[[#This Row],[Region]]</f>
        <v>Thành thị</v>
      </c>
      <c r="H86" t="str">
        <f>survey_responses[[#This Row],[Khu vực bạn đang sinh sống:]]</f>
        <v>Thành thị</v>
      </c>
      <c r="I86" t="str">
        <f>step3_validation[[#This Row],[Education]]</f>
        <v>Đại học</v>
      </c>
      <c r="J86" t="str">
        <f>survey_responses[[#This Row],[Trình độ học vấn cao nhất:]]</f>
        <v>Đại học</v>
      </c>
      <c r="K86" t="str">
        <f>step3_validation[[#This Row],[Employment]]</f>
        <v>Chính thức</v>
      </c>
      <c r="L86" t="str">
        <f>survey_responses[[#This Row],[Tình trạng việc làm chính:]]</f>
        <v>Khu vực chính thức (Có Hợp đồng lao động, đóng BHXH)</v>
      </c>
      <c r="M86">
        <f>step3_validation[[#This Row],[Income_Mil]]</f>
        <v>14.053648939957267</v>
      </c>
      <c r="N86" t="str">
        <f>survey_responses[[#This Row],[Thu nhập bình quân tháng theo Hợp đồng lao động của bạn là bao nhiêu? (Vui lòng điền tổng thu nhập trước khi khấu trừ các loại Bảo hiểm (BHXH, BHYT, BHTN) và Thuế TNCN)]]</f>
        <v>Từ 12 - 18 triệu VNĐ</v>
      </c>
      <c r="O86">
        <f>step3_validation[[#This Row],[Dependents]]</f>
        <v>2</v>
      </c>
      <c r="P86" t="str">
        <f>survey_responses[[#This Row],[Số người phụ thuộc (con nhỏ, cha mẹ già...) đủ điều kiện giảm trừ gia cảnh:]]</f>
        <v>2 người</v>
      </c>
      <c r="Q86">
        <f>step3_validation[[#This Row],[AI_ENF1]]</f>
        <v>7</v>
      </c>
      <c r="R86" t="str">
        <f t="shared" si="27"/>
        <v>Neutral</v>
      </c>
      <c r="S86">
        <f>survey_responses[[#This Row],[Tôi tin rằng với các quy định quản lý thuế hiện nay, hành vi gian lận hoặc trốn thuế sẽ dễ dàng bị phát hiện và xử lý nghiêm. - HUMAN-ENF1]]</f>
        <v>9</v>
      </c>
      <c r="T86" t="str">
        <f t="shared" si="28"/>
        <v>Support</v>
      </c>
      <c r="U86" s="31">
        <f t="shared" si="29"/>
        <v>2</v>
      </c>
      <c r="V86">
        <f>step3_validation[[#This Row],[AI_ENF2]]</f>
        <v>6</v>
      </c>
      <c r="W86" t="str">
        <f t="shared" si="30"/>
        <v>Neutral</v>
      </c>
      <c r="X86">
        <f>survey_responses[[#This Row],[Tôi tin rằng Nhà nước, cơ quan thuế có đủ khả năng và công nghệ để phát hiện, xử lý nghiêm các hành vi trốn thuế. - HUMAN-ENF2]]</f>
        <v>9</v>
      </c>
      <c r="Y86" t="str">
        <f t="shared" si="31"/>
        <v>Support</v>
      </c>
      <c r="Z86" s="31">
        <f t="shared" si="32"/>
        <v>3</v>
      </c>
      <c r="AA86">
        <f>step3_validation[[#This Row],[AI_FAC1]]</f>
        <v>8</v>
      </c>
      <c r="AB86" t="str">
        <f t="shared" si="33"/>
        <v>Support</v>
      </c>
      <c r="AC86">
        <f>survey_responses[[#This Row],[Các thủ tục khai báo thuế VÀ/HOẶC quy trình làm việc với cơ quan thuế đơn giản, tiện lợi, nhanh chóng hơn so với trước đây. - HUMAN-FAC1]]</f>
        <v>8</v>
      </c>
      <c r="AD86" t="str">
        <f t="shared" si="34"/>
        <v>Support</v>
      </c>
      <c r="AE86" s="31">
        <f t="shared" si="35"/>
        <v>0</v>
      </c>
      <c r="AF86">
        <f>step3_validation[[#This Row],[AI_FAC2]]</f>
        <v>9</v>
      </c>
      <c r="AG86" t="str">
        <f t="shared" si="36"/>
        <v>Support</v>
      </c>
      <c r="AH86">
        <f>survey_responses[[#This Row],[So với trước đây, tôi thấy cách tính thuế và các bậc thuế trong phương án mới đơn giản, dễ hiểu và dễ thực hiện hơn. - HUMAN-FAC2]]</f>
        <v>9</v>
      </c>
      <c r="AI86" t="str">
        <f t="shared" si="37"/>
        <v>Support</v>
      </c>
      <c r="AJ86" s="31">
        <f t="shared" si="38"/>
        <v>0</v>
      </c>
      <c r="AK86">
        <f>step3_validation[[#This Row],[AI_TRU1]]</f>
        <v>8</v>
      </c>
      <c r="AL86" t="str">
        <f t="shared" si="39"/>
        <v>Support</v>
      </c>
      <c r="AM86">
        <f>survey_responses[[#This Row],[Tôi tin rằng Nhà nước, cơ quan thuế sẽ thực thi chính sách mới một cách khách quan, công tâm và đối xử bình đẳng với mọi người nộp thuế.  - HUMAN-TRU1]]</f>
        <v>9</v>
      </c>
      <c r="AN86" t="str">
        <f t="shared" si="40"/>
        <v>Support</v>
      </c>
      <c r="AO86" s="31">
        <f t="shared" si="41"/>
        <v>1</v>
      </c>
      <c r="AP86">
        <f>step3_validation[[#This Row],[AI_TRU2]]</f>
        <v>7</v>
      </c>
      <c r="AQ86" t="str">
        <f t="shared" si="42"/>
        <v>Neutral</v>
      </c>
      <c r="AR86">
        <f>survey_responses[[#This Row],[Tôi thấy mức thuế tôi phải đóng theo phương án mới là công bằng (người thu nhập như tôi đóng mức này là hợp lý). - HUMAN-TRU2]]</f>
        <v>9</v>
      </c>
      <c r="AS86" t="str">
        <f t="shared" si="43"/>
        <v>Support</v>
      </c>
      <c r="AT86" s="31">
        <f t="shared" si="44"/>
        <v>2</v>
      </c>
      <c r="AU86">
        <f>step3_validation[[#This Row],[AI_TRU3]]</f>
        <v>8</v>
      </c>
      <c r="AV86" t="str">
        <f t="shared" si="45"/>
        <v>Support</v>
      </c>
      <c r="AW86">
        <f>survey_responses[[#This Row],[Tôi tin tưởng số tiền thuế tôi đóng sẽ được Nhà nước sử dụng hiệu quả để cải thiện dịch vụ công (y tế, đường xá...). - HUMAN-TRU3]]</f>
        <v>7</v>
      </c>
      <c r="AX86" t="str">
        <f t="shared" si="46"/>
        <v>Neutral</v>
      </c>
      <c r="AY86" s="31">
        <f t="shared" si="47"/>
        <v>1</v>
      </c>
      <c r="AZ86">
        <f>step3_validation[[#This Row],[AI_TRU4]]</f>
        <v>9</v>
      </c>
      <c r="BA86" t="str">
        <f t="shared" si="48"/>
        <v>Support</v>
      </c>
      <c r="BB86">
        <f>survey_responses[[#This Row],[Tôi thấy Nhà nước đã giải thích rõ ràng, minh bạch về lý do và mục tiêu của việc sửa đổi thuế lần này. - HUMAN-TRU4]]</f>
        <v>8</v>
      </c>
      <c r="BC86" t="str">
        <f t="shared" si="49"/>
        <v>Support</v>
      </c>
      <c r="BD86" s="31">
        <f t="shared" si="50"/>
        <v>1</v>
      </c>
      <c r="BE86">
        <f>step3_validation[[#This Row],[AI_OUT1]]</f>
        <v>8</v>
      </c>
      <c r="BF86" t="str">
        <f t="shared" si="51"/>
        <v>Support</v>
      </c>
      <c r="BG86">
        <f>survey_responses[[#This Row],[Sau khi xem xét các quyền lợi và nghĩa vụ, bạn có ủng hộ và tuân thủ chính sách mới hiện nay? - HUMAN-OUT1]]</f>
        <v>8</v>
      </c>
      <c r="BH86" t="str">
        <f t="shared" si="52"/>
        <v>Support</v>
      </c>
      <c r="BI86" s="31">
        <f t="shared" si="53"/>
        <v>0</v>
      </c>
    </row>
    <row r="87" spans="1:61" hidden="1" x14ac:dyDescent="0.45">
      <c r="A87" s="29">
        <f>step3_validation[[#This Row],[Persona_ID]]</f>
        <v>86</v>
      </c>
      <c r="B87" s="30">
        <f>step3_validation[[#This Row],[Used_Seed]]</f>
        <v>127</v>
      </c>
      <c r="C87" t="str">
        <f>step3_validation[[#This Row],[Gender]]</f>
        <v>Nam</v>
      </c>
      <c r="D87" t="str">
        <f>survey_responses[[#This Row],[Giới tính của bạn:]]</f>
        <v>Nam</v>
      </c>
      <c r="E87" t="str">
        <f>step3_validation[[#This Row],[Age_Group]]</f>
        <v>30 - 39</v>
      </c>
      <c r="F87" t="str">
        <f>survey_responses[[#This Row],[Độ tuổi của bạn:]]</f>
        <v>30 - 39</v>
      </c>
      <c r="G87" t="str">
        <f>step3_validation[[#This Row],[Region]]</f>
        <v>Nông thôn</v>
      </c>
      <c r="H87" t="str">
        <f>survey_responses[[#This Row],[Khu vực bạn đang sinh sống:]]</f>
        <v>Nông thôn</v>
      </c>
      <c r="I87" t="str">
        <f>step3_validation[[#This Row],[Education]]</f>
        <v>Đại học</v>
      </c>
      <c r="J87" t="str">
        <f>survey_responses[[#This Row],[Trình độ học vấn cao nhất:]]</f>
        <v>Đại học</v>
      </c>
      <c r="K87" t="str">
        <f>step3_validation[[#This Row],[Employment]]</f>
        <v>Chính thức</v>
      </c>
      <c r="L87" t="str">
        <f>survey_responses[[#This Row],[Tình trạng việc làm chính:]]</f>
        <v>Khu vực chính thức (Có Hợp đồng lao động, đóng BHXH)</v>
      </c>
      <c r="M87">
        <f>step3_validation[[#This Row],[Income_Mil]]</f>
        <v>16.88622586933084</v>
      </c>
      <c r="N87" t="str">
        <f>survey_responses[[#This Row],[Thu nhập bình quân tháng theo Hợp đồng lao động của bạn là bao nhiêu? (Vui lòng điền tổng thu nhập trước khi khấu trừ các loại Bảo hiểm (BHXH, BHYT, BHTN) và Thuế TNCN)]]</f>
        <v>Từ 12 - 18 triệu VNĐ</v>
      </c>
      <c r="O87">
        <f>step3_validation[[#This Row],[Dependents]]</f>
        <v>0</v>
      </c>
      <c r="P87" t="str">
        <f>survey_responses[[#This Row],[Số người phụ thuộc (con nhỏ, cha mẹ già...) đủ điều kiện giảm trừ gia cảnh:]]</f>
        <v>0 người</v>
      </c>
      <c r="Q87">
        <f>step3_validation[[#This Row],[AI_ENF1]]</f>
        <v>7</v>
      </c>
      <c r="R87" t="str">
        <f t="shared" si="27"/>
        <v>Neutral</v>
      </c>
      <c r="S87">
        <f>survey_responses[[#This Row],[Tôi tin rằng với các quy định quản lý thuế hiện nay, hành vi gian lận hoặc trốn thuế sẽ dễ dàng bị phát hiện và xử lý nghiêm. - HUMAN-ENF1]]</f>
        <v>5</v>
      </c>
      <c r="T87" t="str">
        <f t="shared" si="28"/>
        <v>Neutral</v>
      </c>
      <c r="U87" s="31">
        <f t="shared" si="29"/>
        <v>2</v>
      </c>
      <c r="V87">
        <f>step3_validation[[#This Row],[AI_ENF2]]</f>
        <v>8</v>
      </c>
      <c r="W87" t="str">
        <f t="shared" si="30"/>
        <v>Support</v>
      </c>
      <c r="X87">
        <f>survey_responses[[#This Row],[Tôi tin rằng Nhà nước, cơ quan thuế có đủ khả năng và công nghệ để phát hiện, xử lý nghiêm các hành vi trốn thuế. - HUMAN-ENF2]]</f>
        <v>5</v>
      </c>
      <c r="Y87" t="str">
        <f t="shared" si="31"/>
        <v>Neutral</v>
      </c>
      <c r="Z87" s="31">
        <f t="shared" si="32"/>
        <v>3</v>
      </c>
      <c r="AA87">
        <f>step3_validation[[#This Row],[AI_FAC1]]</f>
        <v>9</v>
      </c>
      <c r="AB87" t="str">
        <f t="shared" si="33"/>
        <v>Support</v>
      </c>
      <c r="AC87">
        <f>survey_responses[[#This Row],[Các thủ tục khai báo thuế VÀ/HOẶC quy trình làm việc với cơ quan thuế đơn giản, tiện lợi, nhanh chóng hơn so với trước đây. - HUMAN-FAC1]]</f>
        <v>10</v>
      </c>
      <c r="AD87" t="str">
        <f t="shared" si="34"/>
        <v>Support</v>
      </c>
      <c r="AE87" s="31">
        <f t="shared" si="35"/>
        <v>1</v>
      </c>
      <c r="AF87">
        <f>step3_validation[[#This Row],[AI_FAC2]]</f>
        <v>9</v>
      </c>
      <c r="AG87" t="str">
        <f t="shared" si="36"/>
        <v>Support</v>
      </c>
      <c r="AH87">
        <f>survey_responses[[#This Row],[So với trước đây, tôi thấy cách tính thuế và các bậc thuế trong phương án mới đơn giản, dễ hiểu và dễ thực hiện hơn. - HUMAN-FAC2]]</f>
        <v>4</v>
      </c>
      <c r="AI87" t="str">
        <f t="shared" si="37"/>
        <v>Oppose</v>
      </c>
      <c r="AJ87" s="31">
        <f t="shared" si="38"/>
        <v>5</v>
      </c>
      <c r="AK87">
        <f>step3_validation[[#This Row],[AI_TRU1]]</f>
        <v>8</v>
      </c>
      <c r="AL87" t="str">
        <f t="shared" si="39"/>
        <v>Support</v>
      </c>
      <c r="AM87">
        <f>survey_responses[[#This Row],[Tôi tin rằng Nhà nước, cơ quan thuế sẽ thực thi chính sách mới một cách khách quan, công tâm và đối xử bình đẳng với mọi người nộp thuế.  - HUMAN-TRU1]]</f>
        <v>4</v>
      </c>
      <c r="AN87" t="str">
        <f t="shared" si="40"/>
        <v>Oppose</v>
      </c>
      <c r="AO87" s="31">
        <f t="shared" si="41"/>
        <v>4</v>
      </c>
      <c r="AP87">
        <f>step3_validation[[#This Row],[AI_TRU2]]</f>
        <v>9</v>
      </c>
      <c r="AQ87" t="str">
        <f t="shared" si="42"/>
        <v>Support</v>
      </c>
      <c r="AR87">
        <f>survey_responses[[#This Row],[Tôi thấy mức thuế tôi phải đóng theo phương án mới là công bằng (người thu nhập như tôi đóng mức này là hợp lý). - HUMAN-TRU2]]</f>
        <v>5</v>
      </c>
      <c r="AS87" t="str">
        <f t="shared" si="43"/>
        <v>Neutral</v>
      </c>
      <c r="AT87" s="31">
        <f t="shared" si="44"/>
        <v>4</v>
      </c>
      <c r="AU87">
        <f>step3_validation[[#This Row],[AI_TRU3]]</f>
        <v>8</v>
      </c>
      <c r="AV87" t="str">
        <f t="shared" si="45"/>
        <v>Support</v>
      </c>
      <c r="AW87">
        <f>survey_responses[[#This Row],[Tôi tin tưởng số tiền thuế tôi đóng sẽ được Nhà nước sử dụng hiệu quả để cải thiện dịch vụ công (y tế, đường xá...). - HUMAN-TRU3]]</f>
        <v>5</v>
      </c>
      <c r="AX87" t="str">
        <f t="shared" si="46"/>
        <v>Neutral</v>
      </c>
      <c r="AY87" s="31">
        <f t="shared" si="47"/>
        <v>3</v>
      </c>
      <c r="AZ87">
        <f>step3_validation[[#This Row],[AI_TRU4]]</f>
        <v>9</v>
      </c>
      <c r="BA87" t="str">
        <f t="shared" si="48"/>
        <v>Support</v>
      </c>
      <c r="BB87">
        <f>survey_responses[[#This Row],[Tôi thấy Nhà nước đã giải thích rõ ràng, minh bạch về lý do và mục tiêu của việc sửa đổi thuế lần này. - HUMAN-TRU4]]</f>
        <v>8</v>
      </c>
      <c r="BC87" t="str">
        <f t="shared" si="49"/>
        <v>Support</v>
      </c>
      <c r="BD87" s="31">
        <f t="shared" si="50"/>
        <v>1</v>
      </c>
      <c r="BE87">
        <f>step3_validation[[#This Row],[AI_OUT1]]</f>
        <v>8</v>
      </c>
      <c r="BF87" t="str">
        <f t="shared" si="51"/>
        <v>Support</v>
      </c>
      <c r="BG87">
        <f>survey_responses[[#This Row],[Sau khi xem xét các quyền lợi và nghĩa vụ, bạn có ủng hộ và tuân thủ chính sách mới hiện nay? - HUMAN-OUT1]]</f>
        <v>8</v>
      </c>
      <c r="BH87" t="str">
        <f t="shared" si="52"/>
        <v>Support</v>
      </c>
      <c r="BI87" s="31">
        <f t="shared" si="53"/>
        <v>0</v>
      </c>
    </row>
    <row r="88" spans="1:61" hidden="1" x14ac:dyDescent="0.45">
      <c r="A88" s="29">
        <f>step3_validation[[#This Row],[Persona_ID]]</f>
        <v>87</v>
      </c>
      <c r="B88" s="30">
        <f>step3_validation[[#This Row],[Used_Seed]]</f>
        <v>128</v>
      </c>
      <c r="C88" t="str">
        <f>step3_validation[[#This Row],[Gender]]</f>
        <v>Nam</v>
      </c>
      <c r="D88" t="str">
        <f>survey_responses[[#This Row],[Giới tính của bạn:]]</f>
        <v>Nam</v>
      </c>
      <c r="E88" t="str">
        <f>step3_validation[[#This Row],[Age_Group]]</f>
        <v>40 - 49</v>
      </c>
      <c r="F88" t="str">
        <f>survey_responses[[#This Row],[Độ tuổi của bạn:]]</f>
        <v>40 - 49</v>
      </c>
      <c r="G88" t="str">
        <f>step3_validation[[#This Row],[Region]]</f>
        <v>Thành thị</v>
      </c>
      <c r="H88" t="str">
        <f>survey_responses[[#This Row],[Khu vực bạn đang sinh sống:]]</f>
        <v>Thành thị</v>
      </c>
      <c r="I88" t="str">
        <f>step3_validation[[#This Row],[Education]]</f>
        <v>Đại học</v>
      </c>
      <c r="J88" t="str">
        <f>survey_responses[[#This Row],[Trình độ học vấn cao nhất:]]</f>
        <v>Đại học</v>
      </c>
      <c r="K88" t="str">
        <f>step3_validation[[#This Row],[Employment]]</f>
        <v>Chính thức</v>
      </c>
      <c r="L88" t="str">
        <f>survey_responses[[#This Row],[Tình trạng việc làm chính:]]</f>
        <v>Khu vực chính thức (Có Hợp đồng lao động, đóng BHXH)</v>
      </c>
      <c r="M88">
        <f>step3_validation[[#This Row],[Income_Mil]]</f>
        <v>13.141362128046312</v>
      </c>
      <c r="N88" t="str">
        <f>survey_responses[[#This Row],[Thu nhập bình quân tháng theo Hợp đồng lao động của bạn là bao nhiêu? (Vui lòng điền tổng thu nhập trước khi khấu trừ các loại Bảo hiểm (BHXH, BHYT, BHTN) và Thuế TNCN)]]</f>
        <v>Từ 12 - 18 triệu VNĐ</v>
      </c>
      <c r="O88">
        <f>step3_validation[[#This Row],[Dependents]]</f>
        <v>2</v>
      </c>
      <c r="P88" t="str">
        <f>survey_responses[[#This Row],[Số người phụ thuộc (con nhỏ, cha mẹ già...) đủ điều kiện giảm trừ gia cảnh:]]</f>
        <v>2 người</v>
      </c>
      <c r="Q88">
        <f>step3_validation[[#This Row],[AI_ENF1]]</f>
        <v>7</v>
      </c>
      <c r="R88" t="str">
        <f t="shared" si="27"/>
        <v>Neutral</v>
      </c>
      <c r="S88">
        <f>survey_responses[[#This Row],[Tôi tin rằng với các quy định quản lý thuế hiện nay, hành vi gian lận hoặc trốn thuế sẽ dễ dàng bị phát hiện và xử lý nghiêm. - HUMAN-ENF1]]</f>
        <v>10</v>
      </c>
      <c r="T88" t="str">
        <f t="shared" si="28"/>
        <v>Support</v>
      </c>
      <c r="U88" s="31">
        <f t="shared" si="29"/>
        <v>3</v>
      </c>
      <c r="V88">
        <f>step3_validation[[#This Row],[AI_ENF2]]</f>
        <v>6</v>
      </c>
      <c r="W88" t="str">
        <f t="shared" si="30"/>
        <v>Neutral</v>
      </c>
      <c r="X88">
        <f>survey_responses[[#This Row],[Tôi tin rằng Nhà nước, cơ quan thuế có đủ khả năng và công nghệ để phát hiện, xử lý nghiêm các hành vi trốn thuế. - HUMAN-ENF2]]</f>
        <v>9</v>
      </c>
      <c r="Y88" t="str">
        <f t="shared" si="31"/>
        <v>Support</v>
      </c>
      <c r="Z88" s="31">
        <f t="shared" si="32"/>
        <v>3</v>
      </c>
      <c r="AA88">
        <f>step3_validation[[#This Row],[AI_FAC1]]</f>
        <v>8</v>
      </c>
      <c r="AB88" t="str">
        <f t="shared" si="33"/>
        <v>Support</v>
      </c>
      <c r="AC88">
        <f>survey_responses[[#This Row],[Các thủ tục khai báo thuế VÀ/HOẶC quy trình làm việc với cơ quan thuế đơn giản, tiện lợi, nhanh chóng hơn so với trước đây. - HUMAN-FAC1]]</f>
        <v>9</v>
      </c>
      <c r="AD88" t="str">
        <f t="shared" si="34"/>
        <v>Support</v>
      </c>
      <c r="AE88" s="31">
        <f t="shared" si="35"/>
        <v>1</v>
      </c>
      <c r="AF88">
        <f>step3_validation[[#This Row],[AI_FAC2]]</f>
        <v>9</v>
      </c>
      <c r="AG88" t="str">
        <f t="shared" si="36"/>
        <v>Support</v>
      </c>
      <c r="AH88">
        <f>survey_responses[[#This Row],[So với trước đây, tôi thấy cách tính thuế và các bậc thuế trong phương án mới đơn giản, dễ hiểu và dễ thực hiện hơn. - HUMAN-FAC2]]</f>
        <v>9</v>
      </c>
      <c r="AI88" t="str">
        <f t="shared" si="37"/>
        <v>Support</v>
      </c>
      <c r="AJ88" s="31">
        <f t="shared" si="38"/>
        <v>0</v>
      </c>
      <c r="AK88">
        <f>step3_validation[[#This Row],[AI_TRU1]]</f>
        <v>7</v>
      </c>
      <c r="AL88" t="str">
        <f t="shared" si="39"/>
        <v>Neutral</v>
      </c>
      <c r="AM88">
        <f>survey_responses[[#This Row],[Tôi tin rằng Nhà nước, cơ quan thuế sẽ thực thi chính sách mới một cách khách quan, công tâm và đối xử bình đẳng với mọi người nộp thuế.  - HUMAN-TRU1]]</f>
        <v>9</v>
      </c>
      <c r="AN88" t="str">
        <f t="shared" si="40"/>
        <v>Support</v>
      </c>
      <c r="AO88" s="31">
        <f t="shared" si="41"/>
        <v>2</v>
      </c>
      <c r="AP88">
        <f>step3_validation[[#This Row],[AI_TRU2]]</f>
        <v>9</v>
      </c>
      <c r="AQ88" t="str">
        <f t="shared" si="42"/>
        <v>Support</v>
      </c>
      <c r="AR88">
        <f>survey_responses[[#This Row],[Tôi thấy mức thuế tôi phải đóng theo phương án mới là công bằng (người thu nhập như tôi đóng mức này là hợp lý). - HUMAN-TRU2]]</f>
        <v>9</v>
      </c>
      <c r="AS88" t="str">
        <f t="shared" si="43"/>
        <v>Support</v>
      </c>
      <c r="AT88" s="31">
        <f t="shared" si="44"/>
        <v>0</v>
      </c>
      <c r="AU88">
        <f>step3_validation[[#This Row],[AI_TRU3]]</f>
        <v>8</v>
      </c>
      <c r="AV88" t="str">
        <f t="shared" si="45"/>
        <v>Support</v>
      </c>
      <c r="AW88">
        <f>survey_responses[[#This Row],[Tôi tin tưởng số tiền thuế tôi đóng sẽ được Nhà nước sử dụng hiệu quả để cải thiện dịch vụ công (y tế, đường xá...). - HUMAN-TRU3]]</f>
        <v>10</v>
      </c>
      <c r="AX88" t="str">
        <f t="shared" si="46"/>
        <v>Support</v>
      </c>
      <c r="AY88" s="31">
        <f t="shared" si="47"/>
        <v>2</v>
      </c>
      <c r="AZ88">
        <f>step3_validation[[#This Row],[AI_TRU4]]</f>
        <v>7</v>
      </c>
      <c r="BA88" t="str">
        <f t="shared" si="48"/>
        <v>Neutral</v>
      </c>
      <c r="BB88">
        <f>survey_responses[[#This Row],[Tôi thấy Nhà nước đã giải thích rõ ràng, minh bạch về lý do và mục tiêu của việc sửa đổi thuế lần này. - HUMAN-TRU4]]</f>
        <v>9</v>
      </c>
      <c r="BC88" t="str">
        <f t="shared" si="49"/>
        <v>Support</v>
      </c>
      <c r="BD88" s="31">
        <f t="shared" si="50"/>
        <v>2</v>
      </c>
      <c r="BE88">
        <f>step3_validation[[#This Row],[AI_OUT1]]</f>
        <v>9</v>
      </c>
      <c r="BF88" t="str">
        <f t="shared" si="51"/>
        <v>Support</v>
      </c>
      <c r="BG88">
        <f>survey_responses[[#This Row],[Sau khi xem xét các quyền lợi và nghĩa vụ, bạn có ủng hộ và tuân thủ chính sách mới hiện nay? - HUMAN-OUT1]]</f>
        <v>10</v>
      </c>
      <c r="BH88" t="str">
        <f t="shared" si="52"/>
        <v>Support</v>
      </c>
      <c r="BI88" s="31">
        <f t="shared" si="53"/>
        <v>1</v>
      </c>
    </row>
    <row r="89" spans="1:61" x14ac:dyDescent="0.45">
      <c r="A89" s="29">
        <f>step3_validation[[#This Row],[Persona_ID]]</f>
        <v>88</v>
      </c>
      <c r="B89" s="30">
        <f>step3_validation[[#This Row],[Used_Seed]]</f>
        <v>129</v>
      </c>
      <c r="C89" t="str">
        <f>step3_validation[[#This Row],[Gender]]</f>
        <v>Nữ</v>
      </c>
      <c r="D89" t="str">
        <f>survey_responses[[#This Row],[Giới tính của bạn:]]</f>
        <v>Nữ</v>
      </c>
      <c r="E89" t="str">
        <f>step3_validation[[#This Row],[Age_Group]]</f>
        <v>40 - 49</v>
      </c>
      <c r="F89" t="str">
        <f>survey_responses[[#This Row],[Độ tuổi của bạn:]]</f>
        <v>40 - 49</v>
      </c>
      <c r="G89" t="str">
        <f>step3_validation[[#This Row],[Region]]</f>
        <v>Thành thị</v>
      </c>
      <c r="H89" t="str">
        <f>survey_responses[[#This Row],[Khu vực bạn đang sinh sống:]]</f>
        <v>Thành thị</v>
      </c>
      <c r="I89" t="str">
        <f>step3_validation[[#This Row],[Education]]</f>
        <v>Trung học phổ thông</v>
      </c>
      <c r="J89" t="str">
        <f>survey_responses[[#This Row],[Trình độ học vấn cao nhất:]]</f>
        <v>Trung học phổ thông</v>
      </c>
      <c r="K89" t="str">
        <f>step3_validation[[#This Row],[Employment]]</f>
        <v>Chính thức</v>
      </c>
      <c r="L89" t="str">
        <f>survey_responses[[#This Row],[Tình trạng việc làm chính:]]</f>
        <v>Khu vực chính thức (Có Hợp đồng lao động, đóng BHXH)</v>
      </c>
      <c r="M89">
        <f>step3_validation[[#This Row],[Income_Mil]]</f>
        <v>12</v>
      </c>
      <c r="N89" t="str">
        <f>survey_responses[[#This Row],[Thu nhập bình quân tháng theo Hợp đồng lao động của bạn là bao nhiêu? (Vui lòng điền tổng thu nhập trước khi khấu trừ các loại Bảo hiểm (BHXH, BHYT, BHTN) và Thuế TNCN)]]</f>
        <v>Dưới 12 triệu VNĐ</v>
      </c>
      <c r="O89">
        <f>step3_validation[[#This Row],[Dependents]]</f>
        <v>2</v>
      </c>
      <c r="P89" t="str">
        <f>survey_responses[[#This Row],[Số người phụ thuộc (con nhỏ, cha mẹ già...) đủ điều kiện giảm trừ gia cảnh:]]</f>
        <v>2 người</v>
      </c>
      <c r="Q89">
        <f>step3_validation[[#This Row],[AI_ENF1]]</f>
        <v>6</v>
      </c>
      <c r="R89" t="str">
        <f t="shared" si="27"/>
        <v>Neutral</v>
      </c>
      <c r="S89">
        <f>survey_responses[[#This Row],[Tôi tin rằng với các quy định quản lý thuế hiện nay, hành vi gian lận hoặc trốn thuế sẽ dễ dàng bị phát hiện và xử lý nghiêm. - HUMAN-ENF1]]</f>
        <v>10</v>
      </c>
      <c r="T89" t="str">
        <f t="shared" si="28"/>
        <v>Support</v>
      </c>
      <c r="U89" s="31">
        <f t="shared" si="29"/>
        <v>4</v>
      </c>
      <c r="V89">
        <f>step3_validation[[#This Row],[AI_ENF2]]</f>
        <v>5</v>
      </c>
      <c r="W89" t="str">
        <f t="shared" si="30"/>
        <v>Neutral</v>
      </c>
      <c r="X89">
        <f>survey_responses[[#This Row],[Tôi tin rằng Nhà nước, cơ quan thuế có đủ khả năng và công nghệ để phát hiện, xử lý nghiêm các hành vi trốn thuế. - HUMAN-ENF2]]</f>
        <v>10</v>
      </c>
      <c r="Y89" t="str">
        <f t="shared" si="31"/>
        <v>Support</v>
      </c>
      <c r="Z89" s="31">
        <f t="shared" si="32"/>
        <v>5</v>
      </c>
      <c r="AA89">
        <f>step3_validation[[#This Row],[AI_FAC1]]</f>
        <v>8</v>
      </c>
      <c r="AB89" t="str">
        <f t="shared" si="33"/>
        <v>Support</v>
      </c>
      <c r="AC89">
        <f>survey_responses[[#This Row],[Các thủ tục khai báo thuế VÀ/HOẶC quy trình làm việc với cơ quan thuế đơn giản, tiện lợi, nhanh chóng hơn so với trước đây. - HUMAN-FAC1]]</f>
        <v>10</v>
      </c>
      <c r="AD89" t="str">
        <f t="shared" si="34"/>
        <v>Support</v>
      </c>
      <c r="AE89" s="31">
        <f t="shared" si="35"/>
        <v>2</v>
      </c>
      <c r="AF89">
        <f>step3_validation[[#This Row],[AI_FAC2]]</f>
        <v>9</v>
      </c>
      <c r="AG89" t="str">
        <f t="shared" si="36"/>
        <v>Support</v>
      </c>
      <c r="AH89">
        <f>survey_responses[[#This Row],[So với trước đây, tôi thấy cách tính thuế và các bậc thuế trong phương án mới đơn giản, dễ hiểu và dễ thực hiện hơn. - HUMAN-FAC2]]</f>
        <v>10</v>
      </c>
      <c r="AI89" t="str">
        <f t="shared" si="37"/>
        <v>Support</v>
      </c>
      <c r="AJ89" s="31">
        <f t="shared" si="38"/>
        <v>1</v>
      </c>
      <c r="AK89">
        <f>step3_validation[[#This Row],[AI_TRU1]]</f>
        <v>7</v>
      </c>
      <c r="AL89" t="str">
        <f t="shared" si="39"/>
        <v>Neutral</v>
      </c>
      <c r="AM89">
        <f>survey_responses[[#This Row],[Tôi tin rằng Nhà nước, cơ quan thuế sẽ thực thi chính sách mới một cách khách quan, công tâm và đối xử bình đẳng với mọi người nộp thuế.  - HUMAN-TRU1]]</f>
        <v>10</v>
      </c>
      <c r="AN89" t="str">
        <f t="shared" si="40"/>
        <v>Support</v>
      </c>
      <c r="AO89" s="31">
        <f t="shared" si="41"/>
        <v>3</v>
      </c>
      <c r="AP89">
        <f>step3_validation[[#This Row],[AI_TRU2]]</f>
        <v>9</v>
      </c>
      <c r="AQ89" t="str">
        <f t="shared" si="42"/>
        <v>Support</v>
      </c>
      <c r="AR89">
        <f>survey_responses[[#This Row],[Tôi thấy mức thuế tôi phải đóng theo phương án mới là công bằng (người thu nhập như tôi đóng mức này là hợp lý). - HUMAN-TRU2]]</f>
        <v>10</v>
      </c>
      <c r="AS89" t="str">
        <f t="shared" si="43"/>
        <v>Support</v>
      </c>
      <c r="AT89" s="31">
        <f t="shared" si="44"/>
        <v>1</v>
      </c>
      <c r="AU89">
        <f>step3_validation[[#This Row],[AI_TRU3]]</f>
        <v>8</v>
      </c>
      <c r="AV89" t="str">
        <f t="shared" si="45"/>
        <v>Support</v>
      </c>
      <c r="AW89">
        <f>survey_responses[[#This Row],[Tôi tin tưởng số tiền thuế tôi đóng sẽ được Nhà nước sử dụng hiệu quả để cải thiện dịch vụ công (y tế, đường xá...). - HUMAN-TRU3]]</f>
        <v>10</v>
      </c>
      <c r="AX89" t="str">
        <f t="shared" si="46"/>
        <v>Support</v>
      </c>
      <c r="AY89" s="31">
        <f t="shared" si="47"/>
        <v>2</v>
      </c>
      <c r="AZ89">
        <f>step3_validation[[#This Row],[AI_TRU4]]</f>
        <v>7</v>
      </c>
      <c r="BA89" t="str">
        <f t="shared" si="48"/>
        <v>Neutral</v>
      </c>
      <c r="BB89">
        <f>survey_responses[[#This Row],[Tôi thấy Nhà nước đã giải thích rõ ràng, minh bạch về lý do và mục tiêu của việc sửa đổi thuế lần này. - HUMAN-TRU4]]</f>
        <v>10</v>
      </c>
      <c r="BC89" t="str">
        <f t="shared" si="49"/>
        <v>Support</v>
      </c>
      <c r="BD89" s="31">
        <f t="shared" si="50"/>
        <v>3</v>
      </c>
      <c r="BE89">
        <f>step3_validation[[#This Row],[AI_OUT1]]</f>
        <v>8</v>
      </c>
      <c r="BF89" t="str">
        <f t="shared" si="51"/>
        <v>Support</v>
      </c>
      <c r="BG89">
        <f>survey_responses[[#This Row],[Sau khi xem xét các quyền lợi và nghĩa vụ, bạn có ủng hộ và tuân thủ chính sách mới hiện nay? - HUMAN-OUT1]]</f>
        <v>10</v>
      </c>
      <c r="BH89" t="str">
        <f t="shared" si="52"/>
        <v>Support</v>
      </c>
      <c r="BI89" s="31">
        <f t="shared" si="53"/>
        <v>2</v>
      </c>
    </row>
    <row r="90" spans="1:61" x14ac:dyDescent="0.45">
      <c r="A90" s="29">
        <f>step3_validation[[#This Row],[Persona_ID]]</f>
        <v>89</v>
      </c>
      <c r="B90" s="30">
        <f>step3_validation[[#This Row],[Used_Seed]]</f>
        <v>130</v>
      </c>
      <c r="C90" t="str">
        <f>step3_validation[[#This Row],[Gender]]</f>
        <v>Nữ</v>
      </c>
      <c r="D90" t="str">
        <f>survey_responses[[#This Row],[Giới tính của bạn:]]</f>
        <v>Nữ</v>
      </c>
      <c r="E90" t="str">
        <f>step3_validation[[#This Row],[Age_Group]]</f>
        <v>30 - 39</v>
      </c>
      <c r="F90" t="str">
        <f>survey_responses[[#This Row],[Độ tuổi của bạn:]]</f>
        <v>30 - 39</v>
      </c>
      <c r="G90" t="str">
        <f>step3_validation[[#This Row],[Region]]</f>
        <v>Thành thị</v>
      </c>
      <c r="H90" t="str">
        <f>survey_responses[[#This Row],[Khu vực bạn đang sinh sống:]]</f>
        <v>Thành thị</v>
      </c>
      <c r="I90" t="str">
        <f>step3_validation[[#This Row],[Education]]</f>
        <v>Cao đẳng</v>
      </c>
      <c r="J90" t="str">
        <f>survey_responses[[#This Row],[Trình độ học vấn cao nhất:]]</f>
        <v>Cao đẳng</v>
      </c>
      <c r="K90" t="str">
        <f>step3_validation[[#This Row],[Employment]]</f>
        <v>Chính thức</v>
      </c>
      <c r="L90" t="str">
        <f>survey_responses[[#This Row],[Tình trạng việc làm chính:]]</f>
        <v>Khu vực chính thức (Có Hợp đồng lao động, đóng BHXH)</v>
      </c>
      <c r="M90">
        <f>step3_validation[[#This Row],[Income_Mil]]</f>
        <v>12</v>
      </c>
      <c r="N90" t="str">
        <f>survey_responses[[#This Row],[Thu nhập bình quân tháng theo Hợp đồng lao động của bạn là bao nhiêu? (Vui lòng điền tổng thu nhập trước khi khấu trừ các loại Bảo hiểm (BHXH, BHYT, BHTN) và Thuế TNCN)]]</f>
        <v>Dưới 12 triệu VNĐ</v>
      </c>
      <c r="O90">
        <f>step3_validation[[#This Row],[Dependents]]</f>
        <v>1</v>
      </c>
      <c r="P90" t="str">
        <f>survey_responses[[#This Row],[Số người phụ thuộc (con nhỏ, cha mẹ già...) đủ điều kiện giảm trừ gia cảnh:]]</f>
        <v>1 người</v>
      </c>
      <c r="Q90">
        <f>step3_validation[[#This Row],[AI_ENF1]]</f>
        <v>7</v>
      </c>
      <c r="R90" t="str">
        <f t="shared" si="27"/>
        <v>Neutral</v>
      </c>
      <c r="S90">
        <f>survey_responses[[#This Row],[Tôi tin rằng với các quy định quản lý thuế hiện nay, hành vi gian lận hoặc trốn thuế sẽ dễ dàng bị phát hiện và xử lý nghiêm. - HUMAN-ENF1]]</f>
        <v>10</v>
      </c>
      <c r="T90" t="str">
        <f t="shared" si="28"/>
        <v>Support</v>
      </c>
      <c r="U90" s="31">
        <f t="shared" si="29"/>
        <v>3</v>
      </c>
      <c r="V90">
        <f>step3_validation[[#This Row],[AI_ENF2]]</f>
        <v>6</v>
      </c>
      <c r="W90" t="str">
        <f t="shared" si="30"/>
        <v>Neutral</v>
      </c>
      <c r="X90">
        <f>survey_responses[[#This Row],[Tôi tin rằng Nhà nước, cơ quan thuế có đủ khả năng và công nghệ để phát hiện, xử lý nghiêm các hành vi trốn thuế. - HUMAN-ENF2]]</f>
        <v>9</v>
      </c>
      <c r="Y90" t="str">
        <f t="shared" si="31"/>
        <v>Support</v>
      </c>
      <c r="Z90" s="31">
        <f t="shared" si="32"/>
        <v>3</v>
      </c>
      <c r="AA90">
        <f>step3_validation[[#This Row],[AI_FAC1]]</f>
        <v>8</v>
      </c>
      <c r="AB90" t="str">
        <f t="shared" si="33"/>
        <v>Support</v>
      </c>
      <c r="AC90">
        <f>survey_responses[[#This Row],[Các thủ tục khai báo thuế VÀ/HOẶC quy trình làm việc với cơ quan thuế đơn giản, tiện lợi, nhanh chóng hơn so với trước đây. - HUMAN-FAC1]]</f>
        <v>9</v>
      </c>
      <c r="AD90" t="str">
        <f t="shared" si="34"/>
        <v>Support</v>
      </c>
      <c r="AE90" s="31">
        <f t="shared" si="35"/>
        <v>1</v>
      </c>
      <c r="AF90">
        <f>step3_validation[[#This Row],[AI_FAC2]]</f>
        <v>9</v>
      </c>
      <c r="AG90" t="str">
        <f t="shared" si="36"/>
        <v>Support</v>
      </c>
      <c r="AH90">
        <f>survey_responses[[#This Row],[So với trước đây, tôi thấy cách tính thuế và các bậc thuế trong phương án mới đơn giản, dễ hiểu và dễ thực hiện hơn. - HUMAN-FAC2]]</f>
        <v>9</v>
      </c>
      <c r="AI90" t="str">
        <f t="shared" si="37"/>
        <v>Support</v>
      </c>
      <c r="AJ90" s="31">
        <f t="shared" si="38"/>
        <v>0</v>
      </c>
      <c r="AK90">
        <f>step3_validation[[#This Row],[AI_TRU1]]</f>
        <v>8</v>
      </c>
      <c r="AL90" t="str">
        <f t="shared" si="39"/>
        <v>Support</v>
      </c>
      <c r="AM90">
        <f>survey_responses[[#This Row],[Tôi tin rằng Nhà nước, cơ quan thuế sẽ thực thi chính sách mới một cách khách quan, công tâm và đối xử bình đẳng với mọi người nộp thuế.  - HUMAN-TRU1]]</f>
        <v>10</v>
      </c>
      <c r="AN90" t="str">
        <f t="shared" si="40"/>
        <v>Support</v>
      </c>
      <c r="AO90" s="31">
        <f t="shared" si="41"/>
        <v>2</v>
      </c>
      <c r="AP90">
        <f>step3_validation[[#This Row],[AI_TRU2]]</f>
        <v>9</v>
      </c>
      <c r="AQ90" t="str">
        <f t="shared" si="42"/>
        <v>Support</v>
      </c>
      <c r="AR90">
        <f>survey_responses[[#This Row],[Tôi thấy mức thuế tôi phải đóng theo phương án mới là công bằng (người thu nhập như tôi đóng mức này là hợp lý). - HUMAN-TRU2]]</f>
        <v>9</v>
      </c>
      <c r="AS90" t="str">
        <f t="shared" si="43"/>
        <v>Support</v>
      </c>
      <c r="AT90" s="31">
        <f t="shared" si="44"/>
        <v>0</v>
      </c>
      <c r="AU90">
        <f>step3_validation[[#This Row],[AI_TRU3]]</f>
        <v>7</v>
      </c>
      <c r="AV90" t="str">
        <f t="shared" si="45"/>
        <v>Neutral</v>
      </c>
      <c r="AW90">
        <f>survey_responses[[#This Row],[Tôi tin tưởng số tiền thuế tôi đóng sẽ được Nhà nước sử dụng hiệu quả để cải thiện dịch vụ công (y tế, đường xá...). - HUMAN-TRU3]]</f>
        <v>9</v>
      </c>
      <c r="AX90" t="str">
        <f t="shared" si="46"/>
        <v>Support</v>
      </c>
      <c r="AY90" s="31">
        <f t="shared" si="47"/>
        <v>2</v>
      </c>
      <c r="AZ90">
        <f>step3_validation[[#This Row],[AI_TRU4]]</f>
        <v>6</v>
      </c>
      <c r="BA90" t="str">
        <f t="shared" si="48"/>
        <v>Neutral</v>
      </c>
      <c r="BB90">
        <f>survey_responses[[#This Row],[Tôi thấy Nhà nước đã giải thích rõ ràng, minh bạch về lý do và mục tiêu của việc sửa đổi thuế lần này. - HUMAN-TRU4]]</f>
        <v>8</v>
      </c>
      <c r="BC90" t="str">
        <f t="shared" si="49"/>
        <v>Support</v>
      </c>
      <c r="BD90" s="31">
        <f t="shared" si="50"/>
        <v>2</v>
      </c>
      <c r="BE90">
        <f>step3_validation[[#This Row],[AI_OUT1]]</f>
        <v>8</v>
      </c>
      <c r="BF90" t="str">
        <f t="shared" si="51"/>
        <v>Support</v>
      </c>
      <c r="BG90">
        <f>survey_responses[[#This Row],[Sau khi xem xét các quyền lợi và nghĩa vụ, bạn có ủng hộ và tuân thủ chính sách mới hiện nay? - HUMAN-OUT1]]</f>
        <v>9</v>
      </c>
      <c r="BH90" t="str">
        <f t="shared" si="52"/>
        <v>Support</v>
      </c>
      <c r="BI90" s="31">
        <f t="shared" si="53"/>
        <v>1</v>
      </c>
    </row>
    <row r="91" spans="1:61" x14ac:dyDescent="0.45">
      <c r="A91" s="29">
        <f>step3_validation[[#This Row],[Persona_ID]]</f>
        <v>90</v>
      </c>
      <c r="B91" s="30">
        <f>step3_validation[[#This Row],[Used_Seed]]</f>
        <v>131</v>
      </c>
      <c r="C91" t="str">
        <f>step3_validation[[#This Row],[Gender]]</f>
        <v>Nữ</v>
      </c>
      <c r="D91" t="str">
        <f>survey_responses[[#This Row],[Giới tính của bạn:]]</f>
        <v>Nữ</v>
      </c>
      <c r="E91" t="str">
        <f>step3_validation[[#This Row],[Age_Group]]</f>
        <v>30 - 39</v>
      </c>
      <c r="F91" t="str">
        <f>survey_responses[[#This Row],[Độ tuổi của bạn:]]</f>
        <v>30 - 39</v>
      </c>
      <c r="G91" t="str">
        <f>step3_validation[[#This Row],[Region]]</f>
        <v>Nông thôn</v>
      </c>
      <c r="H91" t="str">
        <f>survey_responses[[#This Row],[Khu vực bạn đang sinh sống:]]</f>
        <v>Nông thôn</v>
      </c>
      <c r="I91" t="str">
        <f>step3_validation[[#This Row],[Education]]</f>
        <v>Đại học</v>
      </c>
      <c r="J91" t="str">
        <f>survey_responses[[#This Row],[Trình độ học vấn cao nhất:]]</f>
        <v>Đại học</v>
      </c>
      <c r="K91" t="str">
        <f>step3_validation[[#This Row],[Employment]]</f>
        <v>Chính thức</v>
      </c>
      <c r="L91" t="str">
        <f>survey_responses[[#This Row],[Tình trạng việc làm chính:]]</f>
        <v>Khu vực chính thức (Có Hợp đồng lao động, đóng BHXH)</v>
      </c>
      <c r="M91">
        <f>step3_validation[[#This Row],[Income_Mil]]</f>
        <v>12</v>
      </c>
      <c r="N91" t="str">
        <f>survey_responses[[#This Row],[Thu nhập bình quân tháng theo Hợp đồng lao động của bạn là bao nhiêu? (Vui lòng điền tổng thu nhập trước khi khấu trừ các loại Bảo hiểm (BHXH, BHYT, BHTN) và Thuế TNCN)]]</f>
        <v>Dưới 12 triệu VNĐ</v>
      </c>
      <c r="O91">
        <f>step3_validation[[#This Row],[Dependents]]</f>
        <v>4</v>
      </c>
      <c r="P91" t="str">
        <f>survey_responses[[#This Row],[Số người phụ thuộc (con nhỏ, cha mẹ già...) đủ điều kiện giảm trừ gia cảnh:]]</f>
        <v>4 người trở lên</v>
      </c>
      <c r="Q91">
        <f>step3_validation[[#This Row],[AI_ENF1]]</f>
        <v>8</v>
      </c>
      <c r="R91" t="str">
        <f t="shared" si="27"/>
        <v>Support</v>
      </c>
      <c r="S91">
        <f>survey_responses[[#This Row],[Tôi tin rằng với các quy định quản lý thuế hiện nay, hành vi gian lận hoặc trốn thuế sẽ dễ dàng bị phát hiện và xử lý nghiêm. - HUMAN-ENF1]]</f>
        <v>6</v>
      </c>
      <c r="T91" t="str">
        <f t="shared" si="28"/>
        <v>Neutral</v>
      </c>
      <c r="U91" s="31">
        <f t="shared" si="29"/>
        <v>2</v>
      </c>
      <c r="V91">
        <f>step3_validation[[#This Row],[AI_ENF2]]</f>
        <v>9</v>
      </c>
      <c r="W91" t="str">
        <f t="shared" si="30"/>
        <v>Support</v>
      </c>
      <c r="X91">
        <f>survey_responses[[#This Row],[Tôi tin rằng Nhà nước, cơ quan thuế có đủ khả năng và công nghệ để phát hiện, xử lý nghiêm các hành vi trốn thuế. - HUMAN-ENF2]]</f>
        <v>10</v>
      </c>
      <c r="Y91" t="str">
        <f t="shared" si="31"/>
        <v>Support</v>
      </c>
      <c r="Z91" s="31">
        <f t="shared" si="32"/>
        <v>1</v>
      </c>
      <c r="AA91">
        <f>step3_validation[[#This Row],[AI_FAC1]]</f>
        <v>9</v>
      </c>
      <c r="AB91" t="str">
        <f t="shared" si="33"/>
        <v>Support</v>
      </c>
      <c r="AC91">
        <f>survey_responses[[#This Row],[Các thủ tục khai báo thuế VÀ/HOẶC quy trình làm việc với cơ quan thuế đơn giản, tiện lợi, nhanh chóng hơn so với trước đây. - HUMAN-FAC1]]</f>
        <v>8</v>
      </c>
      <c r="AD91" t="str">
        <f t="shared" si="34"/>
        <v>Support</v>
      </c>
      <c r="AE91" s="31">
        <f t="shared" si="35"/>
        <v>1</v>
      </c>
      <c r="AF91">
        <f>step3_validation[[#This Row],[AI_FAC2]]</f>
        <v>8</v>
      </c>
      <c r="AG91" t="str">
        <f t="shared" si="36"/>
        <v>Support</v>
      </c>
      <c r="AH91">
        <f>survey_responses[[#This Row],[So với trước đây, tôi thấy cách tính thuế và các bậc thuế trong phương án mới đơn giản, dễ hiểu và dễ thực hiện hơn. - HUMAN-FAC2]]</f>
        <v>9</v>
      </c>
      <c r="AI91" t="str">
        <f t="shared" si="37"/>
        <v>Support</v>
      </c>
      <c r="AJ91" s="31">
        <f t="shared" si="38"/>
        <v>1</v>
      </c>
      <c r="AK91">
        <f>step3_validation[[#This Row],[AI_TRU1]]</f>
        <v>9</v>
      </c>
      <c r="AL91" t="str">
        <f t="shared" si="39"/>
        <v>Support</v>
      </c>
      <c r="AM91">
        <f>survey_responses[[#This Row],[Tôi tin rằng Nhà nước, cơ quan thuế sẽ thực thi chính sách mới một cách khách quan, công tâm và đối xử bình đẳng với mọi người nộp thuế.  - HUMAN-TRU1]]</f>
        <v>9</v>
      </c>
      <c r="AN91" t="str">
        <f t="shared" si="40"/>
        <v>Support</v>
      </c>
      <c r="AO91" s="31">
        <f t="shared" si="41"/>
        <v>0</v>
      </c>
      <c r="AP91">
        <f>step3_validation[[#This Row],[AI_TRU2]]</f>
        <v>9</v>
      </c>
      <c r="AQ91" t="str">
        <f t="shared" si="42"/>
        <v>Support</v>
      </c>
      <c r="AR91">
        <f>survey_responses[[#This Row],[Tôi thấy mức thuế tôi phải đóng theo phương án mới là công bằng (người thu nhập như tôi đóng mức này là hợp lý). - HUMAN-TRU2]]</f>
        <v>9</v>
      </c>
      <c r="AS91" t="str">
        <f t="shared" si="43"/>
        <v>Support</v>
      </c>
      <c r="AT91" s="31">
        <f t="shared" si="44"/>
        <v>0</v>
      </c>
      <c r="AU91">
        <f>step3_validation[[#This Row],[AI_TRU3]]</f>
        <v>9</v>
      </c>
      <c r="AV91" t="str">
        <f t="shared" si="45"/>
        <v>Support</v>
      </c>
      <c r="AW91">
        <f>survey_responses[[#This Row],[Tôi tin tưởng số tiền thuế tôi đóng sẽ được Nhà nước sử dụng hiệu quả để cải thiện dịch vụ công (y tế, đường xá...). - HUMAN-TRU3]]</f>
        <v>8</v>
      </c>
      <c r="AX91" t="str">
        <f t="shared" si="46"/>
        <v>Support</v>
      </c>
      <c r="AY91" s="31">
        <f t="shared" si="47"/>
        <v>1</v>
      </c>
      <c r="AZ91">
        <f>step3_validation[[#This Row],[AI_TRU4]]</f>
        <v>8</v>
      </c>
      <c r="BA91" t="str">
        <f t="shared" si="48"/>
        <v>Support</v>
      </c>
      <c r="BB91">
        <f>survey_responses[[#This Row],[Tôi thấy Nhà nước đã giải thích rõ ràng, minh bạch về lý do và mục tiêu của việc sửa đổi thuế lần này. - HUMAN-TRU4]]</f>
        <v>8</v>
      </c>
      <c r="BC91" t="str">
        <f t="shared" si="49"/>
        <v>Support</v>
      </c>
      <c r="BD91" s="31">
        <f t="shared" si="50"/>
        <v>0</v>
      </c>
      <c r="BE91">
        <f>step3_validation[[#This Row],[AI_OUT1]]</f>
        <v>9</v>
      </c>
      <c r="BF91" t="str">
        <f t="shared" si="51"/>
        <v>Support</v>
      </c>
      <c r="BG91">
        <f>survey_responses[[#This Row],[Sau khi xem xét các quyền lợi và nghĩa vụ, bạn có ủng hộ và tuân thủ chính sách mới hiện nay? - HUMAN-OUT1]]</f>
        <v>9</v>
      </c>
      <c r="BH91" t="str">
        <f t="shared" si="52"/>
        <v>Support</v>
      </c>
      <c r="BI91" s="31">
        <f t="shared" si="53"/>
        <v>0</v>
      </c>
    </row>
    <row r="92" spans="1:61" x14ac:dyDescent="0.45">
      <c r="A92" s="29">
        <f>step3_validation[[#This Row],[Persona_ID]]</f>
        <v>91</v>
      </c>
      <c r="B92" s="30">
        <f>step3_validation[[#This Row],[Used_Seed]]</f>
        <v>132</v>
      </c>
      <c r="C92" t="str">
        <f>step3_validation[[#This Row],[Gender]]</f>
        <v>Nữ</v>
      </c>
      <c r="D92" t="str">
        <f>survey_responses[[#This Row],[Giới tính của bạn:]]</f>
        <v>Nữ</v>
      </c>
      <c r="E92" t="str">
        <f>step3_validation[[#This Row],[Age_Group]]</f>
        <v>30 - 39</v>
      </c>
      <c r="F92" t="str">
        <f>survey_responses[[#This Row],[Độ tuổi của bạn:]]</f>
        <v>30 - 39</v>
      </c>
      <c r="G92" t="str">
        <f>step3_validation[[#This Row],[Region]]</f>
        <v>Thành thị</v>
      </c>
      <c r="H92" t="str">
        <f>survey_responses[[#This Row],[Khu vực bạn đang sinh sống:]]</f>
        <v>Thành thị</v>
      </c>
      <c r="I92" t="str">
        <f>step3_validation[[#This Row],[Education]]</f>
        <v>Đại học</v>
      </c>
      <c r="J92" t="str">
        <f>survey_responses[[#This Row],[Trình độ học vấn cao nhất:]]</f>
        <v>Đại học</v>
      </c>
      <c r="K92" t="str">
        <f>step3_validation[[#This Row],[Employment]]</f>
        <v>Chính thức</v>
      </c>
      <c r="L92" t="str">
        <f>survey_responses[[#This Row],[Tình trạng việc làm chính:]]</f>
        <v>Khu vực chính thức (Có Hợp đồng lao động, đóng BHXH)</v>
      </c>
      <c r="M92">
        <f>step3_validation[[#This Row],[Income_Mil]]</f>
        <v>12</v>
      </c>
      <c r="N92" t="str">
        <f>survey_responses[[#This Row],[Thu nhập bình quân tháng theo Hợp đồng lao động của bạn là bao nhiêu? (Vui lòng điền tổng thu nhập trước khi khấu trừ các loại Bảo hiểm (BHXH, BHYT, BHTN) và Thuế TNCN)]]</f>
        <v>Dưới 12 triệu VNĐ</v>
      </c>
      <c r="O92">
        <f>step3_validation[[#This Row],[Dependents]]</f>
        <v>2</v>
      </c>
      <c r="P92" t="str">
        <f>survey_responses[[#This Row],[Số người phụ thuộc (con nhỏ, cha mẹ già...) đủ điều kiện giảm trừ gia cảnh:]]</f>
        <v>2 người</v>
      </c>
      <c r="Q92">
        <f>step3_validation[[#This Row],[AI_ENF1]]</f>
        <v>6</v>
      </c>
      <c r="R92" t="str">
        <f t="shared" si="27"/>
        <v>Neutral</v>
      </c>
      <c r="S92">
        <f>survey_responses[[#This Row],[Tôi tin rằng với các quy định quản lý thuế hiện nay, hành vi gian lận hoặc trốn thuế sẽ dễ dàng bị phát hiện và xử lý nghiêm. - HUMAN-ENF1]]</f>
        <v>10</v>
      </c>
      <c r="T92" t="str">
        <f t="shared" si="28"/>
        <v>Support</v>
      </c>
      <c r="U92" s="31">
        <f t="shared" si="29"/>
        <v>4</v>
      </c>
      <c r="V92">
        <f>step3_validation[[#This Row],[AI_ENF2]]</f>
        <v>8</v>
      </c>
      <c r="W92" t="str">
        <f t="shared" si="30"/>
        <v>Support</v>
      </c>
      <c r="X92">
        <f>survey_responses[[#This Row],[Tôi tin rằng Nhà nước, cơ quan thuế có đủ khả năng và công nghệ để phát hiện, xử lý nghiêm các hành vi trốn thuế. - HUMAN-ENF2]]</f>
        <v>9</v>
      </c>
      <c r="Y92" t="str">
        <f t="shared" si="31"/>
        <v>Support</v>
      </c>
      <c r="Z92" s="31">
        <f t="shared" si="32"/>
        <v>1</v>
      </c>
      <c r="AA92">
        <f>step3_validation[[#This Row],[AI_FAC1]]</f>
        <v>9</v>
      </c>
      <c r="AB92" t="str">
        <f t="shared" si="33"/>
        <v>Support</v>
      </c>
      <c r="AC92">
        <f>survey_responses[[#This Row],[Các thủ tục khai báo thuế VÀ/HOẶC quy trình làm việc với cơ quan thuế đơn giản, tiện lợi, nhanh chóng hơn so với trước đây. - HUMAN-FAC1]]</f>
        <v>9</v>
      </c>
      <c r="AD92" t="str">
        <f t="shared" si="34"/>
        <v>Support</v>
      </c>
      <c r="AE92" s="31">
        <f t="shared" si="35"/>
        <v>0</v>
      </c>
      <c r="AF92">
        <f>step3_validation[[#This Row],[AI_FAC2]]</f>
        <v>9</v>
      </c>
      <c r="AG92" t="str">
        <f t="shared" si="36"/>
        <v>Support</v>
      </c>
      <c r="AH92">
        <f>survey_responses[[#This Row],[So với trước đây, tôi thấy cách tính thuế và các bậc thuế trong phương án mới đơn giản, dễ hiểu và dễ thực hiện hơn. - HUMAN-FAC2]]</f>
        <v>9</v>
      </c>
      <c r="AI92" t="str">
        <f t="shared" si="37"/>
        <v>Support</v>
      </c>
      <c r="AJ92" s="31">
        <f t="shared" si="38"/>
        <v>0</v>
      </c>
      <c r="AK92">
        <f>step3_validation[[#This Row],[AI_TRU1]]</f>
        <v>7</v>
      </c>
      <c r="AL92" t="str">
        <f t="shared" si="39"/>
        <v>Neutral</v>
      </c>
      <c r="AM92">
        <f>survey_responses[[#This Row],[Tôi tin rằng Nhà nước, cơ quan thuế sẽ thực thi chính sách mới một cách khách quan, công tâm và đối xử bình đẳng với mọi người nộp thuế.  - HUMAN-TRU1]]</f>
        <v>10</v>
      </c>
      <c r="AN92" t="str">
        <f t="shared" si="40"/>
        <v>Support</v>
      </c>
      <c r="AO92" s="31">
        <f t="shared" si="41"/>
        <v>3</v>
      </c>
      <c r="AP92">
        <f>step3_validation[[#This Row],[AI_TRU2]]</f>
        <v>8</v>
      </c>
      <c r="AQ92" t="str">
        <f t="shared" si="42"/>
        <v>Support</v>
      </c>
      <c r="AR92">
        <f>survey_responses[[#This Row],[Tôi thấy mức thuế tôi phải đóng theo phương án mới là công bằng (người thu nhập như tôi đóng mức này là hợp lý). - HUMAN-TRU2]]</f>
        <v>9</v>
      </c>
      <c r="AS92" t="str">
        <f t="shared" si="43"/>
        <v>Support</v>
      </c>
      <c r="AT92" s="31">
        <f t="shared" si="44"/>
        <v>1</v>
      </c>
      <c r="AU92">
        <f>step3_validation[[#This Row],[AI_TRU3]]</f>
        <v>7</v>
      </c>
      <c r="AV92" t="str">
        <f t="shared" si="45"/>
        <v>Neutral</v>
      </c>
      <c r="AW92">
        <f>survey_responses[[#This Row],[Tôi tin tưởng số tiền thuế tôi đóng sẽ được Nhà nước sử dụng hiệu quả để cải thiện dịch vụ công (y tế, đường xá...). - HUMAN-TRU3]]</f>
        <v>8</v>
      </c>
      <c r="AX92" t="str">
        <f t="shared" si="46"/>
        <v>Support</v>
      </c>
      <c r="AY92" s="31">
        <f t="shared" si="47"/>
        <v>1</v>
      </c>
      <c r="AZ92">
        <f>step3_validation[[#This Row],[AI_TRU4]]</f>
        <v>6</v>
      </c>
      <c r="BA92" t="str">
        <f t="shared" si="48"/>
        <v>Neutral</v>
      </c>
      <c r="BB92">
        <f>survey_responses[[#This Row],[Tôi thấy Nhà nước đã giải thích rõ ràng, minh bạch về lý do và mục tiêu của việc sửa đổi thuế lần này. - HUMAN-TRU4]]</f>
        <v>8</v>
      </c>
      <c r="BC92" t="str">
        <f t="shared" si="49"/>
        <v>Support</v>
      </c>
      <c r="BD92" s="31">
        <f t="shared" si="50"/>
        <v>2</v>
      </c>
      <c r="BE92">
        <f>step3_validation[[#This Row],[AI_OUT1]]</f>
        <v>7</v>
      </c>
      <c r="BF92" t="str">
        <f t="shared" si="51"/>
        <v>Neutral</v>
      </c>
      <c r="BG92">
        <f>survey_responses[[#This Row],[Sau khi xem xét các quyền lợi và nghĩa vụ, bạn có ủng hộ và tuân thủ chính sách mới hiện nay? - HUMAN-OUT1]]</f>
        <v>10</v>
      </c>
      <c r="BH92" t="str">
        <f t="shared" si="52"/>
        <v>Support</v>
      </c>
      <c r="BI92" s="31">
        <f t="shared" si="53"/>
        <v>3</v>
      </c>
    </row>
    <row r="93" spans="1:61" x14ac:dyDescent="0.45">
      <c r="A93" s="29">
        <f>step3_validation[[#This Row],[Persona_ID]]</f>
        <v>92</v>
      </c>
      <c r="B93" s="30">
        <f>step3_validation[[#This Row],[Used_Seed]]</f>
        <v>133</v>
      </c>
      <c r="C93" t="str">
        <f>step3_validation[[#This Row],[Gender]]</f>
        <v>Nam</v>
      </c>
      <c r="D93" t="str">
        <f>survey_responses[[#This Row],[Giới tính của bạn:]]</f>
        <v>Nam</v>
      </c>
      <c r="E93" t="str">
        <f>step3_validation[[#This Row],[Age_Group]]</f>
        <v>30 - 39</v>
      </c>
      <c r="F93" t="str">
        <f>survey_responses[[#This Row],[Độ tuổi của bạn:]]</f>
        <v>30 - 39</v>
      </c>
      <c r="G93" t="str">
        <f>step3_validation[[#This Row],[Region]]</f>
        <v>Thành thị</v>
      </c>
      <c r="H93" t="str">
        <f>survey_responses[[#This Row],[Khu vực bạn đang sinh sống:]]</f>
        <v>Thành thị</v>
      </c>
      <c r="I93" t="str">
        <f>step3_validation[[#This Row],[Education]]</f>
        <v>Đại học</v>
      </c>
      <c r="J93" t="str">
        <f>survey_responses[[#This Row],[Trình độ học vấn cao nhất:]]</f>
        <v>Đại học</v>
      </c>
      <c r="K93" t="str">
        <f>step3_validation[[#This Row],[Employment]]</f>
        <v>Chính thức</v>
      </c>
      <c r="L93" t="str">
        <f>survey_responses[[#This Row],[Tình trạng việc làm chính:]]</f>
        <v>Khu vực chính thức (Có Hợp đồng lao động, đóng BHXH)</v>
      </c>
      <c r="M93">
        <f>step3_validation[[#This Row],[Income_Mil]]</f>
        <v>12</v>
      </c>
      <c r="N93" t="str">
        <f>survey_responses[[#This Row],[Thu nhập bình quân tháng theo Hợp đồng lao động của bạn là bao nhiêu? (Vui lòng điền tổng thu nhập trước khi khấu trừ các loại Bảo hiểm (BHXH, BHYT, BHTN) và Thuế TNCN)]]</f>
        <v>Dưới 12 triệu VNĐ</v>
      </c>
      <c r="O93">
        <f>step3_validation[[#This Row],[Dependents]]</f>
        <v>2</v>
      </c>
      <c r="P93" t="str">
        <f>survey_responses[[#This Row],[Số người phụ thuộc (con nhỏ, cha mẹ già...) đủ điều kiện giảm trừ gia cảnh:]]</f>
        <v>2 người</v>
      </c>
      <c r="Q93">
        <f>step3_validation[[#This Row],[AI_ENF1]]</f>
        <v>7</v>
      </c>
      <c r="R93" t="str">
        <f t="shared" si="27"/>
        <v>Neutral</v>
      </c>
      <c r="S93">
        <f>survey_responses[[#This Row],[Tôi tin rằng với các quy định quản lý thuế hiện nay, hành vi gian lận hoặc trốn thuế sẽ dễ dàng bị phát hiện và xử lý nghiêm. - HUMAN-ENF1]]</f>
        <v>10</v>
      </c>
      <c r="T93" t="str">
        <f t="shared" si="28"/>
        <v>Support</v>
      </c>
      <c r="U93" s="31">
        <f t="shared" si="29"/>
        <v>3</v>
      </c>
      <c r="V93">
        <f>step3_validation[[#This Row],[AI_ENF2]]</f>
        <v>6</v>
      </c>
      <c r="W93" t="str">
        <f t="shared" si="30"/>
        <v>Neutral</v>
      </c>
      <c r="X93">
        <f>survey_responses[[#This Row],[Tôi tin rằng Nhà nước, cơ quan thuế có đủ khả năng và công nghệ để phát hiện, xử lý nghiêm các hành vi trốn thuế. - HUMAN-ENF2]]</f>
        <v>10</v>
      </c>
      <c r="Y93" t="str">
        <f t="shared" si="31"/>
        <v>Support</v>
      </c>
      <c r="Z93" s="31">
        <f t="shared" si="32"/>
        <v>4</v>
      </c>
      <c r="AA93">
        <f>step3_validation[[#This Row],[AI_FAC1]]</f>
        <v>9</v>
      </c>
      <c r="AB93" t="str">
        <f t="shared" si="33"/>
        <v>Support</v>
      </c>
      <c r="AC93">
        <f>survey_responses[[#This Row],[Các thủ tục khai báo thuế VÀ/HOẶC quy trình làm việc với cơ quan thuế đơn giản, tiện lợi, nhanh chóng hơn so với trước đây. - HUMAN-FAC1]]</f>
        <v>10</v>
      </c>
      <c r="AD93" t="str">
        <f t="shared" si="34"/>
        <v>Support</v>
      </c>
      <c r="AE93" s="31">
        <f t="shared" si="35"/>
        <v>1</v>
      </c>
      <c r="AF93">
        <f>step3_validation[[#This Row],[AI_FAC2]]</f>
        <v>8</v>
      </c>
      <c r="AG93" t="str">
        <f t="shared" si="36"/>
        <v>Support</v>
      </c>
      <c r="AH93">
        <f>survey_responses[[#This Row],[So với trước đây, tôi thấy cách tính thuế và các bậc thuế trong phương án mới đơn giản, dễ hiểu và dễ thực hiện hơn. - HUMAN-FAC2]]</f>
        <v>10</v>
      </c>
      <c r="AI93" t="str">
        <f t="shared" si="37"/>
        <v>Support</v>
      </c>
      <c r="AJ93" s="31">
        <f t="shared" si="38"/>
        <v>2</v>
      </c>
      <c r="AK93">
        <f>step3_validation[[#This Row],[AI_TRU1]]</f>
        <v>9</v>
      </c>
      <c r="AL93" t="str">
        <f t="shared" si="39"/>
        <v>Support</v>
      </c>
      <c r="AM93">
        <f>survey_responses[[#This Row],[Tôi tin rằng Nhà nước, cơ quan thuế sẽ thực thi chính sách mới một cách khách quan, công tâm và đối xử bình đẳng với mọi người nộp thuế.  - HUMAN-TRU1]]</f>
        <v>10</v>
      </c>
      <c r="AN93" t="str">
        <f t="shared" si="40"/>
        <v>Support</v>
      </c>
      <c r="AO93" s="31">
        <f t="shared" si="41"/>
        <v>1</v>
      </c>
      <c r="AP93">
        <f>step3_validation[[#This Row],[AI_TRU2]]</f>
        <v>8</v>
      </c>
      <c r="AQ93" t="str">
        <f t="shared" si="42"/>
        <v>Support</v>
      </c>
      <c r="AR93">
        <f>survey_responses[[#This Row],[Tôi thấy mức thuế tôi phải đóng theo phương án mới là công bằng (người thu nhập như tôi đóng mức này là hợp lý). - HUMAN-TRU2]]</f>
        <v>1</v>
      </c>
      <c r="AS93" t="str">
        <f t="shared" si="43"/>
        <v>Oppose</v>
      </c>
      <c r="AT93" s="31">
        <f t="shared" si="44"/>
        <v>7</v>
      </c>
      <c r="AU93">
        <f>step3_validation[[#This Row],[AI_TRU3]]</f>
        <v>9</v>
      </c>
      <c r="AV93" t="str">
        <f t="shared" si="45"/>
        <v>Support</v>
      </c>
      <c r="AW93">
        <f>survey_responses[[#This Row],[Tôi tin tưởng số tiền thuế tôi đóng sẽ được Nhà nước sử dụng hiệu quả để cải thiện dịch vụ công (y tế, đường xá...). - HUMAN-TRU3]]</f>
        <v>10</v>
      </c>
      <c r="AX93" t="str">
        <f t="shared" si="46"/>
        <v>Support</v>
      </c>
      <c r="AY93" s="31">
        <f t="shared" si="47"/>
        <v>1</v>
      </c>
      <c r="AZ93">
        <f>step3_validation[[#This Row],[AI_TRU4]]</f>
        <v>8</v>
      </c>
      <c r="BA93" t="str">
        <f t="shared" si="48"/>
        <v>Support</v>
      </c>
      <c r="BB93">
        <f>survey_responses[[#This Row],[Tôi thấy Nhà nước đã giải thích rõ ràng, minh bạch về lý do và mục tiêu của việc sửa đổi thuế lần này. - HUMAN-TRU4]]</f>
        <v>10</v>
      </c>
      <c r="BC93" t="str">
        <f t="shared" si="49"/>
        <v>Support</v>
      </c>
      <c r="BD93" s="31">
        <f t="shared" si="50"/>
        <v>2</v>
      </c>
      <c r="BE93">
        <f>step3_validation[[#This Row],[AI_OUT1]]</f>
        <v>9</v>
      </c>
      <c r="BF93" t="str">
        <f t="shared" si="51"/>
        <v>Support</v>
      </c>
      <c r="BG93">
        <f>survey_responses[[#This Row],[Sau khi xem xét các quyền lợi và nghĩa vụ, bạn có ủng hộ và tuân thủ chính sách mới hiện nay? - HUMAN-OUT1]]</f>
        <v>10</v>
      </c>
      <c r="BH93" t="str">
        <f t="shared" si="52"/>
        <v>Support</v>
      </c>
      <c r="BI93" s="31">
        <f t="shared" si="53"/>
        <v>1</v>
      </c>
    </row>
    <row r="94" spans="1:61" hidden="1" x14ac:dyDescent="0.45">
      <c r="A94" s="29">
        <f>step3_validation[[#This Row],[Persona_ID]]</f>
        <v>93</v>
      </c>
      <c r="B94" s="30">
        <f>step3_validation[[#This Row],[Used_Seed]]</f>
        <v>134</v>
      </c>
      <c r="C94" t="str">
        <f>step3_validation[[#This Row],[Gender]]</f>
        <v>Nam</v>
      </c>
      <c r="D94" t="str">
        <f>survey_responses[[#This Row],[Giới tính của bạn:]]</f>
        <v>Nam</v>
      </c>
      <c r="E94" t="str">
        <f>step3_validation[[#This Row],[Age_Group]]</f>
        <v>30 - 39</v>
      </c>
      <c r="F94" t="str">
        <f>survey_responses[[#This Row],[Độ tuổi của bạn:]]</f>
        <v>30 - 39</v>
      </c>
      <c r="G94" t="str">
        <f>step3_validation[[#This Row],[Region]]</f>
        <v>Thành thị</v>
      </c>
      <c r="H94" t="str">
        <f>survey_responses[[#This Row],[Khu vực bạn đang sinh sống:]]</f>
        <v>Thành thị</v>
      </c>
      <c r="I94" t="str">
        <f>step3_validation[[#This Row],[Education]]</f>
        <v>Đại học</v>
      </c>
      <c r="J94" t="str">
        <f>survey_responses[[#This Row],[Trình độ học vấn cao nhất:]]</f>
        <v>Đại học</v>
      </c>
      <c r="K94" t="str">
        <f>step3_validation[[#This Row],[Employment]]</f>
        <v>Chính thức</v>
      </c>
      <c r="L94" t="str">
        <f>survey_responses[[#This Row],[Tình trạng việc làm chính:]]</f>
        <v>Khu vực chính thức (Có Hợp đồng lao động, đóng BHXH)</v>
      </c>
      <c r="M94">
        <f>step3_validation[[#This Row],[Income_Mil]]</f>
        <v>41.656972505143862</v>
      </c>
      <c r="N94" t="str">
        <f>survey_responses[[#This Row],[Thu nhập bình quân tháng theo Hợp đồng lao động của bạn là bao nhiêu? (Vui lòng điền tổng thu nhập trước khi khấu trừ các loại Bảo hiểm (BHXH, BHYT, BHTN) và Thuế TNCN)]]</f>
        <v>Từ 32 - 48 triệu VNĐ</v>
      </c>
      <c r="O94">
        <f>step3_validation[[#This Row],[Dependents]]</f>
        <v>2</v>
      </c>
      <c r="P94" t="str">
        <f>survey_responses[[#This Row],[Số người phụ thuộc (con nhỏ, cha mẹ già...) đủ điều kiện giảm trừ gia cảnh:]]</f>
        <v>2 người</v>
      </c>
      <c r="Q94">
        <f>step3_validation[[#This Row],[AI_ENF1]]</f>
        <v>6</v>
      </c>
      <c r="R94" t="str">
        <f t="shared" si="27"/>
        <v>Neutral</v>
      </c>
      <c r="S94">
        <f>survey_responses[[#This Row],[Tôi tin rằng với các quy định quản lý thuế hiện nay, hành vi gian lận hoặc trốn thuế sẽ dễ dàng bị phát hiện và xử lý nghiêm. - HUMAN-ENF1]]</f>
        <v>5</v>
      </c>
      <c r="T94" t="str">
        <f t="shared" si="28"/>
        <v>Neutral</v>
      </c>
      <c r="U94" s="31">
        <f t="shared" si="29"/>
        <v>1</v>
      </c>
      <c r="V94">
        <f>step3_validation[[#This Row],[AI_ENF2]]</f>
        <v>6</v>
      </c>
      <c r="W94" t="str">
        <f t="shared" si="30"/>
        <v>Neutral</v>
      </c>
      <c r="X94">
        <f>survey_responses[[#This Row],[Tôi tin rằng Nhà nước, cơ quan thuế có đủ khả năng và công nghệ để phát hiện, xử lý nghiêm các hành vi trốn thuế. - HUMAN-ENF2]]</f>
        <v>8</v>
      </c>
      <c r="Y94" t="str">
        <f t="shared" si="31"/>
        <v>Support</v>
      </c>
      <c r="Z94" s="31">
        <f t="shared" si="32"/>
        <v>2</v>
      </c>
      <c r="AA94">
        <f>step3_validation[[#This Row],[AI_FAC1]]</f>
        <v>8</v>
      </c>
      <c r="AB94" t="str">
        <f t="shared" si="33"/>
        <v>Support</v>
      </c>
      <c r="AC94">
        <f>survey_responses[[#This Row],[Các thủ tục khai báo thuế VÀ/HOẶC quy trình làm việc với cơ quan thuế đơn giản, tiện lợi, nhanh chóng hơn so với trước đây. - HUMAN-FAC1]]</f>
        <v>4</v>
      </c>
      <c r="AD94" t="str">
        <f t="shared" si="34"/>
        <v>Oppose</v>
      </c>
      <c r="AE94" s="31">
        <f t="shared" si="35"/>
        <v>4</v>
      </c>
      <c r="AF94">
        <f>step3_validation[[#This Row],[AI_FAC2]]</f>
        <v>9</v>
      </c>
      <c r="AG94" t="str">
        <f t="shared" si="36"/>
        <v>Support</v>
      </c>
      <c r="AH94">
        <f>survey_responses[[#This Row],[So với trước đây, tôi thấy cách tính thuế và các bậc thuế trong phương án mới đơn giản, dễ hiểu và dễ thực hiện hơn. - HUMAN-FAC2]]</f>
        <v>9</v>
      </c>
      <c r="AI94" t="str">
        <f t="shared" si="37"/>
        <v>Support</v>
      </c>
      <c r="AJ94" s="31">
        <f t="shared" si="38"/>
        <v>0</v>
      </c>
      <c r="AK94">
        <f>step3_validation[[#This Row],[AI_TRU1]]</f>
        <v>7</v>
      </c>
      <c r="AL94" t="str">
        <f t="shared" si="39"/>
        <v>Neutral</v>
      </c>
      <c r="AM94">
        <f>survey_responses[[#This Row],[Tôi tin rằng Nhà nước, cơ quan thuế sẽ thực thi chính sách mới một cách khách quan, công tâm và đối xử bình đẳng với mọi người nộp thuế.  - HUMAN-TRU1]]</f>
        <v>7</v>
      </c>
      <c r="AN94" t="str">
        <f t="shared" si="40"/>
        <v>Neutral</v>
      </c>
      <c r="AO94" s="31">
        <f t="shared" si="41"/>
        <v>0</v>
      </c>
      <c r="AP94">
        <f>step3_validation[[#This Row],[AI_TRU2]]</f>
        <v>8</v>
      </c>
      <c r="AQ94" t="str">
        <f t="shared" si="42"/>
        <v>Support</v>
      </c>
      <c r="AR94">
        <f>survey_responses[[#This Row],[Tôi thấy mức thuế tôi phải đóng theo phương án mới là công bằng (người thu nhập như tôi đóng mức này là hợp lý). - HUMAN-TRU2]]</f>
        <v>5</v>
      </c>
      <c r="AS94" t="str">
        <f t="shared" si="43"/>
        <v>Neutral</v>
      </c>
      <c r="AT94" s="31">
        <f t="shared" si="44"/>
        <v>3</v>
      </c>
      <c r="AU94">
        <f>step3_validation[[#This Row],[AI_TRU3]]</f>
        <v>7</v>
      </c>
      <c r="AV94" t="str">
        <f t="shared" si="45"/>
        <v>Neutral</v>
      </c>
      <c r="AW94">
        <f>survey_responses[[#This Row],[Tôi tin tưởng số tiền thuế tôi đóng sẽ được Nhà nước sử dụng hiệu quả để cải thiện dịch vụ công (y tế, đường xá...). - HUMAN-TRU3]]</f>
        <v>7</v>
      </c>
      <c r="AX94" t="str">
        <f t="shared" si="46"/>
        <v>Neutral</v>
      </c>
      <c r="AY94" s="31">
        <f t="shared" si="47"/>
        <v>0</v>
      </c>
      <c r="AZ94">
        <f>step3_validation[[#This Row],[AI_TRU4]]</f>
        <v>6</v>
      </c>
      <c r="BA94" t="str">
        <f t="shared" si="48"/>
        <v>Neutral</v>
      </c>
      <c r="BB94">
        <f>survey_responses[[#This Row],[Tôi thấy Nhà nước đã giải thích rõ ràng, minh bạch về lý do và mục tiêu của việc sửa đổi thuế lần này. - HUMAN-TRU4]]</f>
        <v>8</v>
      </c>
      <c r="BC94" t="str">
        <f t="shared" si="49"/>
        <v>Support</v>
      </c>
      <c r="BD94" s="31">
        <f t="shared" si="50"/>
        <v>2</v>
      </c>
      <c r="BE94">
        <f>step3_validation[[#This Row],[AI_OUT1]]</f>
        <v>7</v>
      </c>
      <c r="BF94" t="str">
        <f t="shared" si="51"/>
        <v>Neutral</v>
      </c>
      <c r="BG94">
        <f>survey_responses[[#This Row],[Sau khi xem xét các quyền lợi và nghĩa vụ, bạn có ủng hộ và tuân thủ chính sách mới hiện nay? - HUMAN-OUT1]]</f>
        <v>10</v>
      </c>
      <c r="BH94" t="str">
        <f t="shared" si="52"/>
        <v>Support</v>
      </c>
      <c r="BI94" s="31">
        <f t="shared" si="53"/>
        <v>3</v>
      </c>
    </row>
    <row r="95" spans="1:61" x14ac:dyDescent="0.45">
      <c r="A95" s="29">
        <f>step3_validation[[#This Row],[Persona_ID]]</f>
        <v>94</v>
      </c>
      <c r="B95" s="30">
        <f>step3_validation[[#This Row],[Used_Seed]]</f>
        <v>135</v>
      </c>
      <c r="C95" t="str">
        <f>step3_validation[[#This Row],[Gender]]</f>
        <v>Nữ</v>
      </c>
      <c r="D95" t="str">
        <f>survey_responses[[#This Row],[Giới tính của bạn:]]</f>
        <v>Nữ</v>
      </c>
      <c r="E95" t="str">
        <f>step3_validation[[#This Row],[Age_Group]]</f>
        <v>30 - 39</v>
      </c>
      <c r="F95" t="str">
        <f>survey_responses[[#This Row],[Độ tuổi của bạn:]]</f>
        <v>30 - 39</v>
      </c>
      <c r="G95" t="str">
        <f>step3_validation[[#This Row],[Region]]</f>
        <v>Thành thị</v>
      </c>
      <c r="H95" t="str">
        <f>survey_responses[[#This Row],[Khu vực bạn đang sinh sống:]]</f>
        <v>Thành thị</v>
      </c>
      <c r="I95" t="str">
        <f>step3_validation[[#This Row],[Education]]</f>
        <v>Sau Đại học</v>
      </c>
      <c r="J95" t="str">
        <f>survey_responses[[#This Row],[Trình độ học vấn cao nhất:]]</f>
        <v>Sau Đại học</v>
      </c>
      <c r="K95" t="str">
        <f>step3_validation[[#This Row],[Employment]]</f>
        <v>Chính thức</v>
      </c>
      <c r="L95" t="str">
        <f>survey_responses[[#This Row],[Tình trạng việc làm chính:]]</f>
        <v>Khu vực chính thức (Có Hợp đồng lao động, đóng BHXH)</v>
      </c>
      <c r="M95">
        <f>step3_validation[[#This Row],[Income_Mil]]</f>
        <v>12</v>
      </c>
      <c r="N95" t="str">
        <f>survey_responses[[#This Row],[Thu nhập bình quân tháng theo Hợp đồng lao động của bạn là bao nhiêu? (Vui lòng điền tổng thu nhập trước khi khấu trừ các loại Bảo hiểm (BHXH, BHYT, BHTN) và Thuế TNCN)]]</f>
        <v>Dưới 12 triệu VNĐ</v>
      </c>
      <c r="O95">
        <f>step3_validation[[#This Row],[Dependents]]</f>
        <v>0</v>
      </c>
      <c r="P95" t="str">
        <f>survey_responses[[#This Row],[Số người phụ thuộc (con nhỏ, cha mẹ già...) đủ điều kiện giảm trừ gia cảnh:]]</f>
        <v>0 người</v>
      </c>
      <c r="Q95">
        <f>step3_validation[[#This Row],[AI_ENF1]]</f>
        <v>6</v>
      </c>
      <c r="R95" t="str">
        <f t="shared" si="27"/>
        <v>Neutral</v>
      </c>
      <c r="S95">
        <f>survey_responses[[#This Row],[Tôi tin rằng với các quy định quản lý thuế hiện nay, hành vi gian lận hoặc trốn thuế sẽ dễ dàng bị phát hiện và xử lý nghiêm. - HUMAN-ENF1]]</f>
        <v>9</v>
      </c>
      <c r="T95" t="str">
        <f t="shared" si="28"/>
        <v>Support</v>
      </c>
      <c r="U95" s="31">
        <f t="shared" si="29"/>
        <v>3</v>
      </c>
      <c r="V95">
        <f>step3_validation[[#This Row],[AI_ENF2]]</f>
        <v>7</v>
      </c>
      <c r="W95" t="str">
        <f t="shared" si="30"/>
        <v>Neutral</v>
      </c>
      <c r="X95">
        <f>survey_responses[[#This Row],[Tôi tin rằng Nhà nước, cơ quan thuế có đủ khả năng và công nghệ để phát hiện, xử lý nghiêm các hành vi trốn thuế. - HUMAN-ENF2]]</f>
        <v>7</v>
      </c>
      <c r="Y95" t="str">
        <f t="shared" si="31"/>
        <v>Neutral</v>
      </c>
      <c r="Z95" s="31">
        <f t="shared" si="32"/>
        <v>0</v>
      </c>
      <c r="AA95">
        <f>step3_validation[[#This Row],[AI_FAC1]]</f>
        <v>9</v>
      </c>
      <c r="AB95" t="str">
        <f t="shared" si="33"/>
        <v>Support</v>
      </c>
      <c r="AC95">
        <f>survey_responses[[#This Row],[Các thủ tục khai báo thuế VÀ/HOẶC quy trình làm việc với cơ quan thuế đơn giản, tiện lợi, nhanh chóng hơn so với trước đây. - HUMAN-FAC1]]</f>
        <v>5</v>
      </c>
      <c r="AD95" t="str">
        <f t="shared" si="34"/>
        <v>Neutral</v>
      </c>
      <c r="AE95" s="31">
        <f t="shared" si="35"/>
        <v>4</v>
      </c>
      <c r="AF95">
        <f>step3_validation[[#This Row],[AI_FAC2]]</f>
        <v>8</v>
      </c>
      <c r="AG95" t="str">
        <f t="shared" si="36"/>
        <v>Support</v>
      </c>
      <c r="AH95">
        <f>survey_responses[[#This Row],[So với trước đây, tôi thấy cách tính thuế và các bậc thuế trong phương án mới đơn giản, dễ hiểu và dễ thực hiện hơn. - HUMAN-FAC2]]</f>
        <v>7</v>
      </c>
      <c r="AI95" t="str">
        <f t="shared" si="37"/>
        <v>Neutral</v>
      </c>
      <c r="AJ95" s="31">
        <f t="shared" si="38"/>
        <v>1</v>
      </c>
      <c r="AK95">
        <f>step3_validation[[#This Row],[AI_TRU1]]</f>
        <v>7</v>
      </c>
      <c r="AL95" t="str">
        <f t="shared" si="39"/>
        <v>Neutral</v>
      </c>
      <c r="AM95">
        <f>survey_responses[[#This Row],[Tôi tin rằng Nhà nước, cơ quan thuế sẽ thực thi chính sách mới một cách khách quan, công tâm và đối xử bình đẳng với mọi người nộp thuế.  - HUMAN-TRU1]]</f>
        <v>5</v>
      </c>
      <c r="AN95" t="str">
        <f t="shared" si="40"/>
        <v>Neutral</v>
      </c>
      <c r="AO95" s="31">
        <f t="shared" si="41"/>
        <v>2</v>
      </c>
      <c r="AP95">
        <f>step3_validation[[#This Row],[AI_TRU2]]</f>
        <v>9</v>
      </c>
      <c r="AQ95" t="str">
        <f t="shared" si="42"/>
        <v>Support</v>
      </c>
      <c r="AR95">
        <f>survey_responses[[#This Row],[Tôi thấy mức thuế tôi phải đóng theo phương án mới là công bằng (người thu nhập như tôi đóng mức này là hợp lý). - HUMAN-TRU2]]</f>
        <v>8</v>
      </c>
      <c r="AS95" t="str">
        <f t="shared" si="43"/>
        <v>Support</v>
      </c>
      <c r="AT95" s="31">
        <f t="shared" si="44"/>
        <v>1</v>
      </c>
      <c r="AU95">
        <f>step3_validation[[#This Row],[AI_TRU3]]</f>
        <v>6</v>
      </c>
      <c r="AV95" t="str">
        <f t="shared" si="45"/>
        <v>Neutral</v>
      </c>
      <c r="AW95">
        <f>survey_responses[[#This Row],[Tôi tin tưởng số tiền thuế tôi đóng sẽ được Nhà nước sử dụng hiệu quả để cải thiện dịch vụ công (y tế, đường xá...). - HUMAN-TRU3]]</f>
        <v>5</v>
      </c>
      <c r="AX95" t="str">
        <f t="shared" si="46"/>
        <v>Neutral</v>
      </c>
      <c r="AY95" s="31">
        <f t="shared" si="47"/>
        <v>1</v>
      </c>
      <c r="AZ95">
        <f>step3_validation[[#This Row],[AI_TRU4]]</f>
        <v>8</v>
      </c>
      <c r="BA95" t="str">
        <f t="shared" si="48"/>
        <v>Support</v>
      </c>
      <c r="BB95">
        <f>survey_responses[[#This Row],[Tôi thấy Nhà nước đã giải thích rõ ràng, minh bạch về lý do và mục tiêu của việc sửa đổi thuế lần này. - HUMAN-TRU4]]</f>
        <v>5</v>
      </c>
      <c r="BC95" t="str">
        <f t="shared" si="49"/>
        <v>Neutral</v>
      </c>
      <c r="BD95" s="31">
        <f t="shared" si="50"/>
        <v>3</v>
      </c>
      <c r="BE95">
        <f>step3_validation[[#This Row],[AI_OUT1]]</f>
        <v>9</v>
      </c>
      <c r="BF95" t="str">
        <f t="shared" si="51"/>
        <v>Support</v>
      </c>
      <c r="BG95">
        <f>survey_responses[[#This Row],[Sau khi xem xét các quyền lợi và nghĩa vụ, bạn có ủng hộ và tuân thủ chính sách mới hiện nay? - HUMAN-OUT1]]</f>
        <v>7</v>
      </c>
      <c r="BH95" t="str">
        <f t="shared" si="52"/>
        <v>Neutral</v>
      </c>
      <c r="BI95" s="31">
        <f t="shared" si="53"/>
        <v>2</v>
      </c>
    </row>
    <row r="96" spans="1:61" hidden="1" x14ac:dyDescent="0.45">
      <c r="A96" s="29">
        <f>step3_validation[[#This Row],[Persona_ID]]</f>
        <v>95</v>
      </c>
      <c r="B96" s="30">
        <f>step3_validation[[#This Row],[Used_Seed]]</f>
        <v>136</v>
      </c>
      <c r="C96" t="str">
        <f>step3_validation[[#This Row],[Gender]]</f>
        <v>Nữ</v>
      </c>
      <c r="D96" t="str">
        <f>survey_responses[[#This Row],[Giới tính của bạn:]]</f>
        <v>Nữ</v>
      </c>
      <c r="E96" t="str">
        <f>step3_validation[[#This Row],[Age_Group]]</f>
        <v>40 - 49</v>
      </c>
      <c r="F96" t="str">
        <f>survey_responses[[#This Row],[Độ tuổi của bạn:]]</f>
        <v>40 - 49</v>
      </c>
      <c r="G96" t="str">
        <f>step3_validation[[#This Row],[Region]]</f>
        <v>Thành thị</v>
      </c>
      <c r="H96" t="str">
        <f>survey_responses[[#This Row],[Khu vực bạn đang sinh sống:]]</f>
        <v>Thành thị</v>
      </c>
      <c r="I96" t="str">
        <f>step3_validation[[#This Row],[Education]]</f>
        <v>Đại học</v>
      </c>
      <c r="J96" t="str">
        <f>survey_responses[[#This Row],[Trình độ học vấn cao nhất:]]</f>
        <v>Đại học</v>
      </c>
      <c r="K96" t="str">
        <f>step3_validation[[#This Row],[Employment]]</f>
        <v>Chính thức</v>
      </c>
      <c r="L96" t="str">
        <f>survey_responses[[#This Row],[Tình trạng việc làm chính:]]</f>
        <v>Khu vực chính thức (Có Hợp đồng lao động, đóng BHXH)</v>
      </c>
      <c r="M96">
        <f>step3_validation[[#This Row],[Income_Mil]]</f>
        <v>38.558133870842298</v>
      </c>
      <c r="N96" t="str">
        <f>survey_responses[[#This Row],[Thu nhập bình quân tháng theo Hợp đồng lao động của bạn là bao nhiêu? (Vui lòng điền tổng thu nhập trước khi khấu trừ các loại Bảo hiểm (BHXH, BHYT, BHTN) và Thuế TNCN)]]</f>
        <v>Từ 32 - 48 triệu VNĐ</v>
      </c>
      <c r="O96">
        <f>step3_validation[[#This Row],[Dependents]]</f>
        <v>3</v>
      </c>
      <c r="P96" t="str">
        <f>survey_responses[[#This Row],[Số người phụ thuộc (con nhỏ, cha mẹ già...) đủ điều kiện giảm trừ gia cảnh:]]</f>
        <v>3 người</v>
      </c>
      <c r="Q96">
        <f>step3_validation[[#This Row],[AI_ENF1]]</f>
        <v>9</v>
      </c>
      <c r="R96" t="str">
        <f t="shared" si="27"/>
        <v>Support</v>
      </c>
      <c r="S96">
        <f>survey_responses[[#This Row],[Tôi tin rằng với các quy định quản lý thuế hiện nay, hành vi gian lận hoặc trốn thuế sẽ dễ dàng bị phát hiện và xử lý nghiêm. - HUMAN-ENF1]]</f>
        <v>4</v>
      </c>
      <c r="T96" t="str">
        <f t="shared" si="28"/>
        <v>Oppose</v>
      </c>
      <c r="U96" s="31">
        <f t="shared" si="29"/>
        <v>5</v>
      </c>
      <c r="V96">
        <f>step3_validation[[#This Row],[AI_ENF2]]</f>
        <v>8</v>
      </c>
      <c r="W96" t="str">
        <f t="shared" si="30"/>
        <v>Support</v>
      </c>
      <c r="X96">
        <f>survey_responses[[#This Row],[Tôi tin rằng Nhà nước, cơ quan thuế có đủ khả năng và công nghệ để phát hiện, xử lý nghiêm các hành vi trốn thuế. - HUMAN-ENF2]]</f>
        <v>6</v>
      </c>
      <c r="Y96" t="str">
        <f t="shared" si="31"/>
        <v>Neutral</v>
      </c>
      <c r="Z96" s="31">
        <f t="shared" si="32"/>
        <v>2</v>
      </c>
      <c r="AA96">
        <f>step3_validation[[#This Row],[AI_FAC1]]</f>
        <v>9</v>
      </c>
      <c r="AB96" t="str">
        <f t="shared" si="33"/>
        <v>Support</v>
      </c>
      <c r="AC96">
        <f>survey_responses[[#This Row],[Các thủ tục khai báo thuế VÀ/HOẶC quy trình làm việc với cơ quan thuế đơn giản, tiện lợi, nhanh chóng hơn so với trước đây. - HUMAN-FAC1]]</f>
        <v>5</v>
      </c>
      <c r="AD96" t="str">
        <f t="shared" si="34"/>
        <v>Neutral</v>
      </c>
      <c r="AE96" s="31">
        <f t="shared" si="35"/>
        <v>4</v>
      </c>
      <c r="AF96">
        <f>step3_validation[[#This Row],[AI_FAC2]]</f>
        <v>8</v>
      </c>
      <c r="AG96" t="str">
        <f t="shared" si="36"/>
        <v>Support</v>
      </c>
      <c r="AH96">
        <f>survey_responses[[#This Row],[So với trước đây, tôi thấy cách tính thuế và các bậc thuế trong phương án mới đơn giản, dễ hiểu và dễ thực hiện hơn. - HUMAN-FAC2]]</f>
        <v>5</v>
      </c>
      <c r="AI96" t="str">
        <f t="shared" si="37"/>
        <v>Neutral</v>
      </c>
      <c r="AJ96" s="31">
        <f t="shared" si="38"/>
        <v>3</v>
      </c>
      <c r="AK96">
        <f>step3_validation[[#This Row],[AI_TRU1]]</f>
        <v>9</v>
      </c>
      <c r="AL96" t="str">
        <f t="shared" si="39"/>
        <v>Support</v>
      </c>
      <c r="AM96">
        <f>survey_responses[[#This Row],[Tôi tin rằng Nhà nước, cơ quan thuế sẽ thực thi chính sách mới một cách khách quan, công tâm và đối xử bình đẳng với mọi người nộp thuế.  - HUMAN-TRU1]]</f>
        <v>4</v>
      </c>
      <c r="AN96" t="str">
        <f t="shared" si="40"/>
        <v>Oppose</v>
      </c>
      <c r="AO96" s="31">
        <f t="shared" si="41"/>
        <v>5</v>
      </c>
      <c r="AP96">
        <f>step3_validation[[#This Row],[AI_TRU2]]</f>
        <v>8</v>
      </c>
      <c r="AQ96" t="str">
        <f t="shared" si="42"/>
        <v>Support</v>
      </c>
      <c r="AR96">
        <f>survey_responses[[#This Row],[Tôi thấy mức thuế tôi phải đóng theo phương án mới là công bằng (người thu nhập như tôi đóng mức này là hợp lý). - HUMAN-TRU2]]</f>
        <v>4</v>
      </c>
      <c r="AS96" t="str">
        <f t="shared" si="43"/>
        <v>Oppose</v>
      </c>
      <c r="AT96" s="31">
        <f t="shared" si="44"/>
        <v>4</v>
      </c>
      <c r="AU96">
        <f>step3_validation[[#This Row],[AI_TRU3]]</f>
        <v>9</v>
      </c>
      <c r="AV96" t="str">
        <f t="shared" si="45"/>
        <v>Support</v>
      </c>
      <c r="AW96">
        <f>survey_responses[[#This Row],[Tôi tin tưởng số tiền thuế tôi đóng sẽ được Nhà nước sử dụng hiệu quả để cải thiện dịch vụ công (y tế, đường xá...). - HUMAN-TRU3]]</f>
        <v>3</v>
      </c>
      <c r="AX96" t="str">
        <f t="shared" si="46"/>
        <v>Oppose</v>
      </c>
      <c r="AY96" s="31">
        <f t="shared" si="47"/>
        <v>6</v>
      </c>
      <c r="AZ96">
        <f>step3_validation[[#This Row],[AI_TRU4]]</f>
        <v>8</v>
      </c>
      <c r="BA96" t="str">
        <f t="shared" si="48"/>
        <v>Support</v>
      </c>
      <c r="BB96">
        <f>survey_responses[[#This Row],[Tôi thấy Nhà nước đã giải thích rõ ràng, minh bạch về lý do và mục tiêu của việc sửa đổi thuế lần này. - HUMAN-TRU4]]</f>
        <v>4</v>
      </c>
      <c r="BC96" t="str">
        <f t="shared" si="49"/>
        <v>Oppose</v>
      </c>
      <c r="BD96" s="31">
        <f t="shared" si="50"/>
        <v>4</v>
      </c>
      <c r="BE96">
        <f>step3_validation[[#This Row],[AI_OUT1]]</f>
        <v>9</v>
      </c>
      <c r="BF96" t="str">
        <f t="shared" si="51"/>
        <v>Support</v>
      </c>
      <c r="BG96">
        <f>survey_responses[[#This Row],[Sau khi xem xét các quyền lợi và nghĩa vụ, bạn có ủng hộ và tuân thủ chính sách mới hiện nay? - HUMAN-OUT1]]</f>
        <v>3</v>
      </c>
      <c r="BH96" t="str">
        <f t="shared" si="52"/>
        <v>Oppose</v>
      </c>
      <c r="BI96" s="31">
        <f t="shared" si="53"/>
        <v>6</v>
      </c>
    </row>
    <row r="97" spans="1:61" x14ac:dyDescent="0.45">
      <c r="A97" s="29">
        <f>step3_validation[[#This Row],[Persona_ID]]</f>
        <v>96</v>
      </c>
      <c r="B97" s="30">
        <f>step3_validation[[#This Row],[Used_Seed]]</f>
        <v>137</v>
      </c>
      <c r="C97" t="str">
        <f>step3_validation[[#This Row],[Gender]]</f>
        <v>Nam</v>
      </c>
      <c r="D97" t="str">
        <f>survey_responses[[#This Row],[Giới tính của bạn:]]</f>
        <v>Nam</v>
      </c>
      <c r="E97" t="str">
        <f>step3_validation[[#This Row],[Age_Group]]</f>
        <v>18 - 24</v>
      </c>
      <c r="F97" t="str">
        <f>survey_responses[[#This Row],[Độ tuổi của bạn:]]</f>
        <v>18 - 24</v>
      </c>
      <c r="G97" t="str">
        <f>step3_validation[[#This Row],[Region]]</f>
        <v>Thành thị</v>
      </c>
      <c r="H97" t="str">
        <f>survey_responses[[#This Row],[Khu vực bạn đang sinh sống:]]</f>
        <v>Thành thị</v>
      </c>
      <c r="I97" t="str">
        <f>step3_validation[[#This Row],[Education]]</f>
        <v>Đại học</v>
      </c>
      <c r="J97" t="str">
        <f>survey_responses[[#This Row],[Trình độ học vấn cao nhất:]]</f>
        <v>Đại học</v>
      </c>
      <c r="K97" t="str">
        <f>step3_validation[[#This Row],[Employment]]</f>
        <v>Chính thức</v>
      </c>
      <c r="L97" t="str">
        <f>survey_responses[[#This Row],[Tình trạng việc làm chính:]]</f>
        <v>Khu vực chính thức (Có Hợp đồng lao động, đóng BHXH)</v>
      </c>
      <c r="M97">
        <f>step3_validation[[#This Row],[Income_Mil]]</f>
        <v>12</v>
      </c>
      <c r="N97" t="str">
        <f>survey_responses[[#This Row],[Thu nhập bình quân tháng theo Hợp đồng lao động của bạn là bao nhiêu? (Vui lòng điền tổng thu nhập trước khi khấu trừ các loại Bảo hiểm (BHXH, BHYT, BHTN) và Thuế TNCN)]]</f>
        <v>Dưới 12 triệu VNĐ</v>
      </c>
      <c r="O97">
        <f>step3_validation[[#This Row],[Dependents]]</f>
        <v>0</v>
      </c>
      <c r="P97" t="str">
        <f>survey_responses[[#This Row],[Số người phụ thuộc (con nhỏ, cha mẹ già...) đủ điều kiện giảm trừ gia cảnh:]]</f>
        <v>0 người</v>
      </c>
      <c r="Q97">
        <f>step3_validation[[#This Row],[AI_ENF1]]</f>
        <v>7</v>
      </c>
      <c r="R97" t="str">
        <f t="shared" si="27"/>
        <v>Neutral</v>
      </c>
      <c r="S97">
        <f>survey_responses[[#This Row],[Tôi tin rằng với các quy định quản lý thuế hiện nay, hành vi gian lận hoặc trốn thuế sẽ dễ dàng bị phát hiện và xử lý nghiêm. - HUMAN-ENF1]]</f>
        <v>8</v>
      </c>
      <c r="T97" t="str">
        <f t="shared" si="28"/>
        <v>Support</v>
      </c>
      <c r="U97" s="31">
        <f t="shared" si="29"/>
        <v>1</v>
      </c>
      <c r="V97">
        <f>step3_validation[[#This Row],[AI_ENF2]]</f>
        <v>8</v>
      </c>
      <c r="W97" t="str">
        <f t="shared" si="30"/>
        <v>Support</v>
      </c>
      <c r="X97">
        <f>survey_responses[[#This Row],[Tôi tin rằng Nhà nước, cơ quan thuế có đủ khả năng và công nghệ để phát hiện, xử lý nghiêm các hành vi trốn thuế. - HUMAN-ENF2]]</f>
        <v>7</v>
      </c>
      <c r="Y97" t="str">
        <f t="shared" si="31"/>
        <v>Neutral</v>
      </c>
      <c r="Z97" s="31">
        <f t="shared" si="32"/>
        <v>1</v>
      </c>
      <c r="AA97">
        <f>step3_validation[[#This Row],[AI_FAC1]]</f>
        <v>9</v>
      </c>
      <c r="AB97" t="str">
        <f t="shared" si="33"/>
        <v>Support</v>
      </c>
      <c r="AC97">
        <f>survey_responses[[#This Row],[Các thủ tục khai báo thuế VÀ/HOẶC quy trình làm việc với cơ quan thuế đơn giản, tiện lợi, nhanh chóng hơn so với trước đây. - HUMAN-FAC1]]</f>
        <v>5</v>
      </c>
      <c r="AD97" t="str">
        <f t="shared" si="34"/>
        <v>Neutral</v>
      </c>
      <c r="AE97" s="31">
        <f t="shared" si="35"/>
        <v>4</v>
      </c>
      <c r="AF97">
        <f>step3_validation[[#This Row],[AI_FAC2]]</f>
        <v>8</v>
      </c>
      <c r="AG97" t="str">
        <f t="shared" si="36"/>
        <v>Support</v>
      </c>
      <c r="AH97">
        <f>survey_responses[[#This Row],[So với trước đây, tôi thấy cách tính thuế và các bậc thuế trong phương án mới đơn giản, dễ hiểu và dễ thực hiện hơn. - HUMAN-FAC2]]</f>
        <v>7</v>
      </c>
      <c r="AI97" t="str">
        <f t="shared" si="37"/>
        <v>Neutral</v>
      </c>
      <c r="AJ97" s="31">
        <f t="shared" si="38"/>
        <v>1</v>
      </c>
      <c r="AK97">
        <f>step3_validation[[#This Row],[AI_TRU1]]</f>
        <v>9</v>
      </c>
      <c r="AL97" t="str">
        <f t="shared" si="39"/>
        <v>Support</v>
      </c>
      <c r="AM97">
        <f>survey_responses[[#This Row],[Tôi tin rằng Nhà nước, cơ quan thuế sẽ thực thi chính sách mới một cách khách quan, công tâm và đối xử bình đẳng với mọi người nộp thuế.  - HUMAN-TRU1]]</f>
        <v>7</v>
      </c>
      <c r="AN97" t="str">
        <f t="shared" si="40"/>
        <v>Neutral</v>
      </c>
      <c r="AO97" s="31">
        <f t="shared" si="41"/>
        <v>2</v>
      </c>
      <c r="AP97">
        <f>step3_validation[[#This Row],[AI_TRU2]]</f>
        <v>8</v>
      </c>
      <c r="AQ97" t="str">
        <f t="shared" si="42"/>
        <v>Support</v>
      </c>
      <c r="AR97">
        <f>survey_responses[[#This Row],[Tôi thấy mức thuế tôi phải đóng theo phương án mới là công bằng (người thu nhập như tôi đóng mức này là hợp lý). - HUMAN-TRU2]]</f>
        <v>5</v>
      </c>
      <c r="AS97" t="str">
        <f t="shared" si="43"/>
        <v>Neutral</v>
      </c>
      <c r="AT97" s="31">
        <f t="shared" si="44"/>
        <v>3</v>
      </c>
      <c r="AU97">
        <f>step3_validation[[#This Row],[AI_TRU3]]</f>
        <v>9</v>
      </c>
      <c r="AV97" t="str">
        <f t="shared" si="45"/>
        <v>Support</v>
      </c>
      <c r="AW97">
        <f>survey_responses[[#This Row],[Tôi tin tưởng số tiền thuế tôi đóng sẽ được Nhà nước sử dụng hiệu quả để cải thiện dịch vụ công (y tế, đường xá...). - HUMAN-TRU3]]</f>
        <v>5</v>
      </c>
      <c r="AX97" t="str">
        <f t="shared" si="46"/>
        <v>Neutral</v>
      </c>
      <c r="AY97" s="31">
        <f t="shared" si="47"/>
        <v>4</v>
      </c>
      <c r="AZ97">
        <f>step3_validation[[#This Row],[AI_TRU4]]</f>
        <v>8</v>
      </c>
      <c r="BA97" t="str">
        <f t="shared" si="48"/>
        <v>Support</v>
      </c>
      <c r="BB97">
        <f>survey_responses[[#This Row],[Tôi thấy Nhà nước đã giải thích rõ ràng, minh bạch về lý do và mục tiêu của việc sửa đổi thuế lần này. - HUMAN-TRU4]]</f>
        <v>7</v>
      </c>
      <c r="BC97" t="str">
        <f t="shared" si="49"/>
        <v>Neutral</v>
      </c>
      <c r="BD97" s="31">
        <f t="shared" si="50"/>
        <v>1</v>
      </c>
      <c r="BE97">
        <f>step3_validation[[#This Row],[AI_OUT1]]</f>
        <v>9</v>
      </c>
      <c r="BF97" t="str">
        <f t="shared" si="51"/>
        <v>Support</v>
      </c>
      <c r="BG97">
        <f>survey_responses[[#This Row],[Sau khi xem xét các quyền lợi và nghĩa vụ, bạn có ủng hộ và tuân thủ chính sách mới hiện nay? - HUMAN-OUT1]]</f>
        <v>7</v>
      </c>
      <c r="BH97" t="str">
        <f t="shared" si="52"/>
        <v>Neutral</v>
      </c>
      <c r="BI97" s="31">
        <f t="shared" si="53"/>
        <v>2</v>
      </c>
    </row>
    <row r="98" spans="1:61" hidden="1" x14ac:dyDescent="0.45">
      <c r="A98" s="29">
        <f>step3_validation[[#This Row],[Persona_ID]]</f>
        <v>97</v>
      </c>
      <c r="B98" s="30">
        <f>step3_validation[[#This Row],[Used_Seed]]</f>
        <v>138</v>
      </c>
      <c r="C98" t="str">
        <f>step3_validation[[#This Row],[Gender]]</f>
        <v>Nữ</v>
      </c>
      <c r="D98" t="str">
        <f>survey_responses[[#This Row],[Giới tính của bạn:]]</f>
        <v>Nữ</v>
      </c>
      <c r="E98" t="str">
        <f>step3_validation[[#This Row],[Age_Group]]</f>
        <v>55 - 64</v>
      </c>
      <c r="F98" t="str">
        <f>survey_responses[[#This Row],[Độ tuổi của bạn:]]</f>
        <v>55 - 64</v>
      </c>
      <c r="G98" t="str">
        <f>step3_validation[[#This Row],[Region]]</f>
        <v>Thành thị</v>
      </c>
      <c r="H98" t="str">
        <f>survey_responses[[#This Row],[Khu vực bạn đang sinh sống:]]</f>
        <v>Thành thị</v>
      </c>
      <c r="I98" t="str">
        <f>step3_validation[[#This Row],[Education]]</f>
        <v>Đại học</v>
      </c>
      <c r="J98" t="str">
        <f>survey_responses[[#This Row],[Trình độ học vấn cao nhất:]]</f>
        <v>Đại học</v>
      </c>
      <c r="K98" t="str">
        <f>step3_validation[[#This Row],[Employment]]</f>
        <v>Phi chính thức</v>
      </c>
      <c r="L98" t="str">
        <f>survey_responses[[#This Row],[Tình trạng việc làm chính:]]</f>
        <v>Khu vực phi chính thức (Lao động tự do, không có HĐLĐ)</v>
      </c>
      <c r="M98">
        <f>step3_validation[[#This Row],[Income_Mil]]</f>
        <v>144.51048773312573</v>
      </c>
      <c r="N98" t="str">
        <f>survey_responses[[#This Row],[Thu nhập bình quân tháng theo Hợp đồng lao động của bạn là bao nhiêu? (Vui lòng điền tổng thu nhập trước khi khấu trừ các loại Bảo hiểm (BHXH, BHYT, BHTN) và Thuế TNCN)]]</f>
        <v>Trên 102 triệu VNĐ</v>
      </c>
      <c r="O98">
        <f>step3_validation[[#This Row],[Dependents]]</f>
        <v>4</v>
      </c>
      <c r="P98" t="str">
        <f>survey_responses[[#This Row],[Số người phụ thuộc (con nhỏ, cha mẹ già...) đủ điều kiện giảm trừ gia cảnh:]]</f>
        <v>4 người trở lên</v>
      </c>
      <c r="Q98">
        <f>step3_validation[[#This Row],[AI_ENF1]]</f>
        <v>7</v>
      </c>
      <c r="R98" t="str">
        <f t="shared" si="27"/>
        <v>Neutral</v>
      </c>
      <c r="S98">
        <f>survey_responses[[#This Row],[Tôi tin rằng với các quy định quản lý thuế hiện nay, hành vi gian lận hoặc trốn thuế sẽ dễ dàng bị phát hiện và xử lý nghiêm. - HUMAN-ENF1]]</f>
        <v>6</v>
      </c>
      <c r="T98" t="str">
        <f t="shared" si="28"/>
        <v>Neutral</v>
      </c>
      <c r="U98" s="31">
        <f t="shared" si="29"/>
        <v>1</v>
      </c>
      <c r="V98">
        <f>step3_validation[[#This Row],[AI_ENF2]]</f>
        <v>8</v>
      </c>
      <c r="W98" t="str">
        <f t="shared" si="30"/>
        <v>Support</v>
      </c>
      <c r="X98">
        <f>survey_responses[[#This Row],[Tôi tin rằng Nhà nước, cơ quan thuế có đủ khả năng và công nghệ để phát hiện, xử lý nghiêm các hành vi trốn thuế. - HUMAN-ENF2]]</f>
        <v>6</v>
      </c>
      <c r="Y98" t="str">
        <f t="shared" si="31"/>
        <v>Neutral</v>
      </c>
      <c r="Z98" s="31">
        <f t="shared" si="32"/>
        <v>2</v>
      </c>
      <c r="AA98">
        <f>step3_validation[[#This Row],[AI_FAC1]]</f>
        <v>6</v>
      </c>
      <c r="AB98" t="str">
        <f t="shared" si="33"/>
        <v>Neutral</v>
      </c>
      <c r="AC98">
        <f>survey_responses[[#This Row],[Các thủ tục khai báo thuế VÀ/HOẶC quy trình làm việc với cơ quan thuế đơn giản, tiện lợi, nhanh chóng hơn so với trước đây. - HUMAN-FAC1]]</f>
        <v>5</v>
      </c>
      <c r="AD98" t="str">
        <f t="shared" si="34"/>
        <v>Neutral</v>
      </c>
      <c r="AE98" s="31">
        <f t="shared" si="35"/>
        <v>1</v>
      </c>
      <c r="AF98">
        <f>step3_validation[[#This Row],[AI_FAC2]]</f>
        <v>9</v>
      </c>
      <c r="AG98" t="str">
        <f t="shared" si="36"/>
        <v>Support</v>
      </c>
      <c r="AH98">
        <f>survey_responses[[#This Row],[So với trước đây, tôi thấy cách tính thuế và các bậc thuế trong phương án mới đơn giản, dễ hiểu và dễ thực hiện hơn. - HUMAN-FAC2]]</f>
        <v>5</v>
      </c>
      <c r="AI98" t="str">
        <f t="shared" si="37"/>
        <v>Neutral</v>
      </c>
      <c r="AJ98" s="31">
        <f t="shared" si="38"/>
        <v>4</v>
      </c>
      <c r="AK98">
        <f>step3_validation[[#This Row],[AI_TRU1]]</f>
        <v>7</v>
      </c>
      <c r="AL98" t="str">
        <f t="shared" si="39"/>
        <v>Neutral</v>
      </c>
      <c r="AM98">
        <f>survey_responses[[#This Row],[Tôi tin rằng Nhà nước, cơ quan thuế sẽ thực thi chính sách mới một cách khách quan, công tâm và đối xử bình đẳng với mọi người nộp thuế.  - HUMAN-TRU1]]</f>
        <v>5</v>
      </c>
      <c r="AN98" t="str">
        <f t="shared" si="40"/>
        <v>Neutral</v>
      </c>
      <c r="AO98" s="31">
        <f t="shared" si="41"/>
        <v>2</v>
      </c>
      <c r="AP98">
        <f>step3_validation[[#This Row],[AI_TRU2]]</f>
        <v>8</v>
      </c>
      <c r="AQ98" t="str">
        <f t="shared" si="42"/>
        <v>Support</v>
      </c>
      <c r="AR98">
        <f>survey_responses[[#This Row],[Tôi thấy mức thuế tôi phải đóng theo phương án mới là công bằng (người thu nhập như tôi đóng mức này là hợp lý). - HUMAN-TRU2]]</f>
        <v>5</v>
      </c>
      <c r="AS98" t="str">
        <f t="shared" si="43"/>
        <v>Neutral</v>
      </c>
      <c r="AT98" s="31">
        <f t="shared" si="44"/>
        <v>3</v>
      </c>
      <c r="AU98">
        <f>step3_validation[[#This Row],[AI_TRU3]]</f>
        <v>7</v>
      </c>
      <c r="AV98" t="str">
        <f t="shared" si="45"/>
        <v>Neutral</v>
      </c>
      <c r="AW98">
        <f>survey_responses[[#This Row],[Tôi tin tưởng số tiền thuế tôi đóng sẽ được Nhà nước sử dụng hiệu quả để cải thiện dịch vụ công (y tế, đường xá...). - HUMAN-TRU3]]</f>
        <v>5</v>
      </c>
      <c r="AX98" t="str">
        <f t="shared" si="46"/>
        <v>Neutral</v>
      </c>
      <c r="AY98" s="31">
        <f t="shared" si="47"/>
        <v>2</v>
      </c>
      <c r="AZ98">
        <f>step3_validation[[#This Row],[AI_TRU4]]</f>
        <v>6</v>
      </c>
      <c r="BA98" t="str">
        <f t="shared" si="48"/>
        <v>Neutral</v>
      </c>
      <c r="BB98">
        <f>survey_responses[[#This Row],[Tôi thấy Nhà nước đã giải thích rõ ràng, minh bạch về lý do và mục tiêu của việc sửa đổi thuế lần này. - HUMAN-TRU4]]</f>
        <v>5</v>
      </c>
      <c r="BC98" t="str">
        <f t="shared" si="49"/>
        <v>Neutral</v>
      </c>
      <c r="BD98" s="31">
        <f t="shared" si="50"/>
        <v>1</v>
      </c>
      <c r="BE98">
        <f>step3_validation[[#This Row],[AI_OUT1]]</f>
        <v>8</v>
      </c>
      <c r="BF98" t="str">
        <f t="shared" si="51"/>
        <v>Support</v>
      </c>
      <c r="BG98">
        <f>survey_responses[[#This Row],[Sau khi xem xét các quyền lợi và nghĩa vụ, bạn có ủng hộ và tuân thủ chính sách mới hiện nay? - HUMAN-OUT1]]</f>
        <v>5</v>
      </c>
      <c r="BH98" t="str">
        <f t="shared" si="52"/>
        <v>Neutral</v>
      </c>
      <c r="BI98" s="31">
        <f t="shared" si="53"/>
        <v>3</v>
      </c>
    </row>
    <row r="99" spans="1:61" hidden="1" x14ac:dyDescent="0.45">
      <c r="A99" s="29">
        <f>step3_validation[[#This Row],[Persona_ID]]</f>
        <v>98</v>
      </c>
      <c r="B99" s="30">
        <f>step3_validation[[#This Row],[Used_Seed]]</f>
        <v>139</v>
      </c>
      <c r="C99" t="str">
        <f>step3_validation[[#This Row],[Gender]]</f>
        <v>Nữ</v>
      </c>
      <c r="D99" t="str">
        <f>survey_responses[[#This Row],[Giới tính của bạn:]]</f>
        <v>Nữ</v>
      </c>
      <c r="E99" t="str">
        <f>step3_validation[[#This Row],[Age_Group]]</f>
        <v>30 - 39</v>
      </c>
      <c r="F99" t="str">
        <f>survey_responses[[#This Row],[Độ tuổi của bạn:]]</f>
        <v>30 - 39</v>
      </c>
      <c r="G99" t="str">
        <f>step3_validation[[#This Row],[Region]]</f>
        <v>Nông thôn</v>
      </c>
      <c r="H99" t="str">
        <f>survey_responses[[#This Row],[Khu vực bạn đang sinh sống:]]</f>
        <v>Nông thôn</v>
      </c>
      <c r="I99" t="str">
        <f>step3_validation[[#This Row],[Education]]</f>
        <v>Đại học</v>
      </c>
      <c r="J99" t="str">
        <f>survey_responses[[#This Row],[Trình độ học vấn cao nhất:]]</f>
        <v>Đại học</v>
      </c>
      <c r="K99" t="str">
        <f>step3_validation[[#This Row],[Employment]]</f>
        <v>Chính thức</v>
      </c>
      <c r="L99" t="str">
        <f>survey_responses[[#This Row],[Tình trạng việc làm chính:]]</f>
        <v>Khu vực chính thức (Có Hợp đồng lao động, đóng BHXH)</v>
      </c>
      <c r="M99">
        <f>step3_validation[[#This Row],[Income_Mil]]</f>
        <v>19.919094533873299</v>
      </c>
      <c r="N99" t="str">
        <f>survey_responses[[#This Row],[Thu nhập bình quân tháng theo Hợp đồng lao động của bạn là bao nhiêu? (Vui lòng điền tổng thu nhập trước khi khấu trừ các loại Bảo hiểm (BHXH, BHYT, BHTN) và Thuế TNCN)]]</f>
        <v>Từ 18 - 23 triệu VNĐ</v>
      </c>
      <c r="O99">
        <f>step3_validation[[#This Row],[Dependents]]</f>
        <v>0</v>
      </c>
      <c r="P99" t="str">
        <f>survey_responses[[#This Row],[Số người phụ thuộc (con nhỏ, cha mẹ già...) đủ điều kiện giảm trừ gia cảnh:]]</f>
        <v>0 người</v>
      </c>
      <c r="Q99">
        <f>step3_validation[[#This Row],[AI_ENF1]]</f>
        <v>7</v>
      </c>
      <c r="R99" t="str">
        <f t="shared" si="27"/>
        <v>Neutral</v>
      </c>
      <c r="S99">
        <f>survey_responses[[#This Row],[Tôi tin rằng với các quy định quản lý thuế hiện nay, hành vi gian lận hoặc trốn thuế sẽ dễ dàng bị phát hiện và xử lý nghiêm. - HUMAN-ENF1]]</f>
        <v>8</v>
      </c>
      <c r="T99" t="str">
        <f t="shared" si="28"/>
        <v>Support</v>
      </c>
      <c r="U99" s="31">
        <f t="shared" si="29"/>
        <v>1</v>
      </c>
      <c r="V99">
        <f>step3_validation[[#This Row],[AI_ENF2]]</f>
        <v>8</v>
      </c>
      <c r="W99" t="str">
        <f t="shared" si="30"/>
        <v>Support</v>
      </c>
      <c r="X99">
        <f>survey_responses[[#This Row],[Tôi tin rằng Nhà nước, cơ quan thuế có đủ khả năng và công nghệ để phát hiện, xử lý nghiêm các hành vi trốn thuế. - HUMAN-ENF2]]</f>
        <v>8</v>
      </c>
      <c r="Y99" t="str">
        <f t="shared" si="31"/>
        <v>Support</v>
      </c>
      <c r="Z99" s="31">
        <f t="shared" si="32"/>
        <v>0</v>
      </c>
      <c r="AA99">
        <f>step3_validation[[#This Row],[AI_FAC1]]</f>
        <v>9</v>
      </c>
      <c r="AB99" t="str">
        <f t="shared" si="33"/>
        <v>Support</v>
      </c>
      <c r="AC99">
        <f>survey_responses[[#This Row],[Các thủ tục khai báo thuế VÀ/HOẶC quy trình làm việc với cơ quan thuế đơn giản, tiện lợi, nhanh chóng hơn so với trước đây. - HUMAN-FAC1]]</f>
        <v>5</v>
      </c>
      <c r="AD99" t="str">
        <f t="shared" si="34"/>
        <v>Neutral</v>
      </c>
      <c r="AE99" s="31">
        <f t="shared" si="35"/>
        <v>4</v>
      </c>
      <c r="AF99">
        <f>step3_validation[[#This Row],[AI_FAC2]]</f>
        <v>9</v>
      </c>
      <c r="AG99" t="str">
        <f t="shared" si="36"/>
        <v>Support</v>
      </c>
      <c r="AH99">
        <f>survey_responses[[#This Row],[So với trước đây, tôi thấy cách tính thuế và các bậc thuế trong phương án mới đơn giản, dễ hiểu và dễ thực hiện hơn. - HUMAN-FAC2]]</f>
        <v>8</v>
      </c>
      <c r="AI99" t="str">
        <f t="shared" si="37"/>
        <v>Support</v>
      </c>
      <c r="AJ99" s="31">
        <f t="shared" si="38"/>
        <v>1</v>
      </c>
      <c r="AK99">
        <f>step3_validation[[#This Row],[AI_TRU1]]</f>
        <v>8</v>
      </c>
      <c r="AL99" t="str">
        <f t="shared" si="39"/>
        <v>Support</v>
      </c>
      <c r="AM99">
        <f>survey_responses[[#This Row],[Tôi tin rằng Nhà nước, cơ quan thuế sẽ thực thi chính sách mới một cách khách quan, công tâm và đối xử bình đẳng với mọi người nộp thuế.  - HUMAN-TRU1]]</f>
        <v>6</v>
      </c>
      <c r="AN99" t="str">
        <f t="shared" si="40"/>
        <v>Neutral</v>
      </c>
      <c r="AO99" s="31">
        <f t="shared" si="41"/>
        <v>2</v>
      </c>
      <c r="AP99">
        <f>step3_validation[[#This Row],[AI_TRU2]]</f>
        <v>9</v>
      </c>
      <c r="AQ99" t="str">
        <f t="shared" si="42"/>
        <v>Support</v>
      </c>
      <c r="AR99">
        <f>survey_responses[[#This Row],[Tôi thấy mức thuế tôi phải đóng theo phương án mới là công bằng (người thu nhập như tôi đóng mức này là hợp lý). - HUMAN-TRU2]]</f>
        <v>9</v>
      </c>
      <c r="AS99" t="str">
        <f t="shared" si="43"/>
        <v>Support</v>
      </c>
      <c r="AT99" s="31">
        <f t="shared" si="44"/>
        <v>0</v>
      </c>
      <c r="AU99">
        <f>step3_validation[[#This Row],[AI_TRU3]]</f>
        <v>8</v>
      </c>
      <c r="AV99" t="str">
        <f t="shared" si="45"/>
        <v>Support</v>
      </c>
      <c r="AW99">
        <f>survey_responses[[#This Row],[Tôi tin tưởng số tiền thuế tôi đóng sẽ được Nhà nước sử dụng hiệu quả để cải thiện dịch vụ công (y tế, đường xá...). - HUMAN-TRU3]]</f>
        <v>5</v>
      </c>
      <c r="AX99" t="str">
        <f t="shared" si="46"/>
        <v>Neutral</v>
      </c>
      <c r="AY99" s="31">
        <f t="shared" si="47"/>
        <v>3</v>
      </c>
      <c r="AZ99">
        <f>step3_validation[[#This Row],[AI_TRU4]]</f>
        <v>9</v>
      </c>
      <c r="BA99" t="str">
        <f t="shared" si="48"/>
        <v>Support</v>
      </c>
      <c r="BB99">
        <f>survey_responses[[#This Row],[Tôi thấy Nhà nước đã giải thích rõ ràng, minh bạch về lý do và mục tiêu của việc sửa đổi thuế lần này. - HUMAN-TRU4]]</f>
        <v>7</v>
      </c>
      <c r="BC99" t="str">
        <f t="shared" si="49"/>
        <v>Neutral</v>
      </c>
      <c r="BD99" s="31">
        <f t="shared" si="50"/>
        <v>2</v>
      </c>
      <c r="BE99">
        <f>step3_validation[[#This Row],[AI_OUT1]]</f>
        <v>10</v>
      </c>
      <c r="BF99" t="str">
        <f t="shared" si="51"/>
        <v>Support</v>
      </c>
      <c r="BG99">
        <f>survey_responses[[#This Row],[Sau khi xem xét các quyền lợi và nghĩa vụ, bạn có ủng hộ và tuân thủ chính sách mới hiện nay? - HUMAN-OUT1]]</f>
        <v>8</v>
      </c>
      <c r="BH99" t="str">
        <f t="shared" si="52"/>
        <v>Support</v>
      </c>
      <c r="BI99" s="31">
        <f t="shared" si="53"/>
        <v>2</v>
      </c>
    </row>
    <row r="100" spans="1:61" hidden="1" x14ac:dyDescent="0.45">
      <c r="A100" s="29">
        <f>step3_validation[[#This Row],[Persona_ID]]</f>
        <v>99</v>
      </c>
      <c r="B100" s="30">
        <f>step3_validation[[#This Row],[Used_Seed]]</f>
        <v>140</v>
      </c>
      <c r="C100" t="str">
        <f>step3_validation[[#This Row],[Gender]]</f>
        <v>Nam</v>
      </c>
      <c r="D100" t="str">
        <f>survey_responses[[#This Row],[Giới tính của bạn:]]</f>
        <v>Nam</v>
      </c>
      <c r="E100" t="str">
        <f>step3_validation[[#This Row],[Age_Group]]</f>
        <v>25 - 29</v>
      </c>
      <c r="F100" t="str">
        <f>survey_responses[[#This Row],[Độ tuổi của bạn:]]</f>
        <v>25 - 29</v>
      </c>
      <c r="G100" t="str">
        <f>step3_validation[[#This Row],[Region]]</f>
        <v>Thành thị</v>
      </c>
      <c r="H100" t="str">
        <f>survey_responses[[#This Row],[Khu vực bạn đang sinh sống:]]</f>
        <v>Thành thị</v>
      </c>
      <c r="I100" t="str">
        <f>step3_validation[[#This Row],[Education]]</f>
        <v>Đại học</v>
      </c>
      <c r="J100" t="str">
        <f>survey_responses[[#This Row],[Trình độ học vấn cao nhất:]]</f>
        <v>Đại học</v>
      </c>
      <c r="K100" t="str">
        <f>step3_validation[[#This Row],[Employment]]</f>
        <v>Chính thức</v>
      </c>
      <c r="L100" t="str">
        <f>survey_responses[[#This Row],[Tình trạng việc làm chính:]]</f>
        <v>Khu vực chính thức (Có Hợp đồng lao động, đóng BHXH)</v>
      </c>
      <c r="M100">
        <f>step3_validation[[#This Row],[Income_Mil]]</f>
        <v>30.787412476426358</v>
      </c>
      <c r="N100" t="str">
        <f>survey_responses[[#This Row],[Thu nhập bình quân tháng theo Hợp đồng lao động của bạn là bao nhiêu? (Vui lòng điền tổng thu nhập trước khi khấu trừ các loại Bảo hiểm (BHXH, BHYT, BHTN) và Thuế TNCN)]]</f>
        <v>Từ 23 - 32 triệu VNĐ</v>
      </c>
      <c r="O100">
        <f>step3_validation[[#This Row],[Dependents]]</f>
        <v>1</v>
      </c>
      <c r="P100" t="str">
        <f>survey_responses[[#This Row],[Số người phụ thuộc (con nhỏ, cha mẹ già...) đủ điều kiện giảm trừ gia cảnh:]]</f>
        <v>1 người</v>
      </c>
      <c r="Q100">
        <f>step3_validation[[#This Row],[AI_ENF1]]</f>
        <v>8</v>
      </c>
      <c r="R100" t="str">
        <f t="shared" si="27"/>
        <v>Support</v>
      </c>
      <c r="S100">
        <f>survey_responses[[#This Row],[Tôi tin rằng với các quy định quản lý thuế hiện nay, hành vi gian lận hoặc trốn thuế sẽ dễ dàng bị phát hiện và xử lý nghiêm. - HUMAN-ENF1]]</f>
        <v>6</v>
      </c>
      <c r="T100" t="str">
        <f t="shared" si="28"/>
        <v>Neutral</v>
      </c>
      <c r="U100" s="31">
        <f t="shared" si="29"/>
        <v>2</v>
      </c>
      <c r="V100">
        <f>step3_validation[[#This Row],[AI_ENF2]]</f>
        <v>9</v>
      </c>
      <c r="W100" t="str">
        <f t="shared" si="30"/>
        <v>Support</v>
      </c>
      <c r="X100">
        <f>survey_responses[[#This Row],[Tôi tin rằng Nhà nước, cơ quan thuế có đủ khả năng và công nghệ để phát hiện, xử lý nghiêm các hành vi trốn thuế. - HUMAN-ENF2]]</f>
        <v>6</v>
      </c>
      <c r="Y100" t="str">
        <f t="shared" si="31"/>
        <v>Neutral</v>
      </c>
      <c r="Z100" s="31">
        <f t="shared" si="32"/>
        <v>3</v>
      </c>
      <c r="AA100">
        <f>step3_validation[[#This Row],[AI_FAC1]]</f>
        <v>8</v>
      </c>
      <c r="AB100" t="str">
        <f t="shared" si="33"/>
        <v>Support</v>
      </c>
      <c r="AC100">
        <f>survey_responses[[#This Row],[Các thủ tục khai báo thuế VÀ/HOẶC quy trình làm việc với cơ quan thuế đơn giản, tiện lợi, nhanh chóng hơn so với trước đây. - HUMAN-FAC1]]</f>
        <v>3</v>
      </c>
      <c r="AD100" t="str">
        <f t="shared" si="34"/>
        <v>Oppose</v>
      </c>
      <c r="AE100" s="31">
        <f t="shared" si="35"/>
        <v>5</v>
      </c>
      <c r="AF100">
        <f>step3_validation[[#This Row],[AI_FAC2]]</f>
        <v>9</v>
      </c>
      <c r="AG100" t="str">
        <f t="shared" si="36"/>
        <v>Support</v>
      </c>
      <c r="AH100">
        <f>survey_responses[[#This Row],[So với trước đây, tôi thấy cách tính thuế và các bậc thuế trong phương án mới đơn giản, dễ hiểu và dễ thực hiện hơn. - HUMAN-FAC2]]</f>
        <v>6</v>
      </c>
      <c r="AI100" t="str">
        <f t="shared" si="37"/>
        <v>Neutral</v>
      </c>
      <c r="AJ100" s="31">
        <f t="shared" si="38"/>
        <v>3</v>
      </c>
      <c r="AK100">
        <f>step3_validation[[#This Row],[AI_TRU1]]</f>
        <v>8</v>
      </c>
      <c r="AL100" t="str">
        <f t="shared" si="39"/>
        <v>Support</v>
      </c>
      <c r="AM100">
        <f>survey_responses[[#This Row],[Tôi tin rằng Nhà nước, cơ quan thuế sẽ thực thi chính sách mới một cách khách quan, công tâm và đối xử bình đẳng với mọi người nộp thuế.  - HUMAN-TRU1]]</f>
        <v>5</v>
      </c>
      <c r="AN100" t="str">
        <f t="shared" si="40"/>
        <v>Neutral</v>
      </c>
      <c r="AO100" s="31">
        <f t="shared" si="41"/>
        <v>3</v>
      </c>
      <c r="AP100">
        <f>step3_validation[[#This Row],[AI_TRU2]]</f>
        <v>9</v>
      </c>
      <c r="AQ100" t="str">
        <f t="shared" si="42"/>
        <v>Support</v>
      </c>
      <c r="AR100">
        <f>survey_responses[[#This Row],[Tôi thấy mức thuế tôi phải đóng theo phương án mới là công bằng (người thu nhập như tôi đóng mức này là hợp lý). - HUMAN-TRU2]]</f>
        <v>6</v>
      </c>
      <c r="AS100" t="str">
        <f t="shared" si="43"/>
        <v>Neutral</v>
      </c>
      <c r="AT100" s="31">
        <f t="shared" si="44"/>
        <v>3</v>
      </c>
      <c r="AU100">
        <f>step3_validation[[#This Row],[AI_TRU3]]</f>
        <v>8</v>
      </c>
      <c r="AV100" t="str">
        <f t="shared" si="45"/>
        <v>Support</v>
      </c>
      <c r="AW100">
        <f>survey_responses[[#This Row],[Tôi tin tưởng số tiền thuế tôi đóng sẽ được Nhà nước sử dụng hiệu quả để cải thiện dịch vụ công (y tế, đường xá...). - HUMAN-TRU3]]</f>
        <v>5</v>
      </c>
      <c r="AX100" t="str">
        <f t="shared" si="46"/>
        <v>Neutral</v>
      </c>
      <c r="AY100" s="31">
        <f t="shared" si="47"/>
        <v>3</v>
      </c>
      <c r="AZ100">
        <f>step3_validation[[#This Row],[AI_TRU4]]</f>
        <v>9</v>
      </c>
      <c r="BA100" t="str">
        <f t="shared" si="48"/>
        <v>Support</v>
      </c>
      <c r="BB100">
        <f>survey_responses[[#This Row],[Tôi thấy Nhà nước đã giải thích rõ ràng, minh bạch về lý do và mục tiêu của việc sửa đổi thuế lần này. - HUMAN-TRU4]]</f>
        <v>6</v>
      </c>
      <c r="BC100" t="str">
        <f t="shared" si="49"/>
        <v>Neutral</v>
      </c>
      <c r="BD100" s="31">
        <f t="shared" si="50"/>
        <v>3</v>
      </c>
      <c r="BE100">
        <f>step3_validation[[#This Row],[AI_OUT1]]</f>
        <v>9</v>
      </c>
      <c r="BF100" t="str">
        <f t="shared" si="51"/>
        <v>Support</v>
      </c>
      <c r="BG100">
        <f>survey_responses[[#This Row],[Sau khi xem xét các quyền lợi và nghĩa vụ, bạn có ủng hộ và tuân thủ chính sách mới hiện nay? - HUMAN-OUT1]]</f>
        <v>6</v>
      </c>
      <c r="BH100" t="str">
        <f t="shared" si="52"/>
        <v>Neutral</v>
      </c>
      <c r="BI100" s="31">
        <f t="shared" si="53"/>
        <v>3</v>
      </c>
    </row>
    <row r="101" spans="1:61" hidden="1" x14ac:dyDescent="0.45">
      <c r="A101" s="29">
        <f>step3_validation[[#This Row],[Persona_ID]]</f>
        <v>100</v>
      </c>
      <c r="B101" s="30">
        <f>step3_validation[[#This Row],[Used_Seed]]</f>
        <v>141</v>
      </c>
      <c r="C101" t="str">
        <f>step3_validation[[#This Row],[Gender]]</f>
        <v>Nữ</v>
      </c>
      <c r="D101" t="str">
        <f>survey_responses[[#This Row],[Giới tính của bạn:]]</f>
        <v>Nữ</v>
      </c>
      <c r="E101" t="str">
        <f>step3_validation[[#This Row],[Age_Group]]</f>
        <v>55 - 64</v>
      </c>
      <c r="F101" t="str">
        <f>survey_responses[[#This Row],[Độ tuổi của bạn:]]</f>
        <v>55 - 64</v>
      </c>
      <c r="G101" t="str">
        <f>step3_validation[[#This Row],[Region]]</f>
        <v>Thành thị</v>
      </c>
      <c r="H101" t="str">
        <f>survey_responses[[#This Row],[Khu vực bạn đang sinh sống:]]</f>
        <v>Thành thị</v>
      </c>
      <c r="I101" t="str">
        <f>step3_validation[[#This Row],[Education]]</f>
        <v>Đại học</v>
      </c>
      <c r="J101" t="str">
        <f>survey_responses[[#This Row],[Trình độ học vấn cao nhất:]]</f>
        <v>Đại học</v>
      </c>
      <c r="K101" t="str">
        <f>step3_validation[[#This Row],[Employment]]</f>
        <v>Chính thức</v>
      </c>
      <c r="L101" t="str">
        <f>survey_responses[[#This Row],[Tình trạng việc làm chính:]]</f>
        <v>Khu vực chính thức (Có Hợp đồng lao động, đóng BHXH)</v>
      </c>
      <c r="M101">
        <f>step3_validation[[#This Row],[Income_Mil]]</f>
        <v>13.675299873446729</v>
      </c>
      <c r="N101" t="str">
        <f>survey_responses[[#This Row],[Thu nhập bình quân tháng theo Hợp đồng lao động của bạn là bao nhiêu? (Vui lòng điền tổng thu nhập trước khi khấu trừ các loại Bảo hiểm (BHXH, BHYT, BHTN) và Thuế TNCN)]]</f>
        <v>Từ 12 - 18 triệu VNĐ</v>
      </c>
      <c r="O101">
        <f>step3_validation[[#This Row],[Dependents]]</f>
        <v>1</v>
      </c>
      <c r="P101" t="str">
        <f>survey_responses[[#This Row],[Số người phụ thuộc (con nhỏ, cha mẹ già...) đủ điều kiện giảm trừ gia cảnh:]]</f>
        <v>1 người</v>
      </c>
      <c r="Q101">
        <f>step3_validation[[#This Row],[AI_ENF1]]</f>
        <v>8</v>
      </c>
      <c r="R101" t="str">
        <f t="shared" si="27"/>
        <v>Support</v>
      </c>
      <c r="S101">
        <f>survey_responses[[#This Row],[Tôi tin rằng với các quy định quản lý thuế hiện nay, hành vi gian lận hoặc trốn thuế sẽ dễ dàng bị phát hiện và xử lý nghiêm. - HUMAN-ENF1]]</f>
        <v>8</v>
      </c>
      <c r="T101" t="str">
        <f t="shared" si="28"/>
        <v>Support</v>
      </c>
      <c r="U101" s="31">
        <f t="shared" si="29"/>
        <v>0</v>
      </c>
      <c r="V101">
        <f>step3_validation[[#This Row],[AI_ENF2]]</f>
        <v>7</v>
      </c>
      <c r="W101" t="str">
        <f t="shared" si="30"/>
        <v>Neutral</v>
      </c>
      <c r="X101">
        <f>survey_responses[[#This Row],[Tôi tin rằng Nhà nước, cơ quan thuế có đủ khả năng và công nghệ để phát hiện, xử lý nghiêm các hành vi trốn thuế. - HUMAN-ENF2]]</f>
        <v>8</v>
      </c>
      <c r="Y101" t="str">
        <f t="shared" si="31"/>
        <v>Support</v>
      </c>
      <c r="Z101" s="31">
        <f t="shared" si="32"/>
        <v>1</v>
      </c>
      <c r="AA101">
        <f>step3_validation[[#This Row],[AI_FAC1]]</f>
        <v>9</v>
      </c>
      <c r="AB101" t="str">
        <f t="shared" si="33"/>
        <v>Support</v>
      </c>
      <c r="AC101">
        <f>survey_responses[[#This Row],[Các thủ tục khai báo thuế VÀ/HOẶC quy trình làm việc với cơ quan thuế đơn giản, tiện lợi, nhanh chóng hơn so với trước đây. - HUMAN-FAC1]]</f>
        <v>8</v>
      </c>
      <c r="AD101" t="str">
        <f t="shared" si="34"/>
        <v>Support</v>
      </c>
      <c r="AE101" s="31">
        <f t="shared" si="35"/>
        <v>1</v>
      </c>
      <c r="AF101">
        <f>step3_validation[[#This Row],[AI_FAC2]]</f>
        <v>8</v>
      </c>
      <c r="AG101" t="str">
        <f t="shared" si="36"/>
        <v>Support</v>
      </c>
      <c r="AH101">
        <f>survey_responses[[#This Row],[So với trước đây, tôi thấy cách tính thuế và các bậc thuế trong phương án mới đơn giản, dễ hiểu và dễ thực hiện hơn. - HUMAN-FAC2]]</f>
        <v>10</v>
      </c>
      <c r="AI101" t="str">
        <f t="shared" si="37"/>
        <v>Support</v>
      </c>
      <c r="AJ101" s="31">
        <f t="shared" si="38"/>
        <v>2</v>
      </c>
      <c r="AK101">
        <f>step3_validation[[#This Row],[AI_TRU1]]</f>
        <v>7</v>
      </c>
      <c r="AL101" t="str">
        <f t="shared" si="39"/>
        <v>Neutral</v>
      </c>
      <c r="AM101">
        <f>survey_responses[[#This Row],[Tôi tin rằng Nhà nước, cơ quan thuế sẽ thực thi chính sách mới một cách khách quan, công tâm và đối xử bình đẳng với mọi người nộp thuế.  - HUMAN-TRU1]]</f>
        <v>10</v>
      </c>
      <c r="AN101" t="str">
        <f t="shared" si="40"/>
        <v>Support</v>
      </c>
      <c r="AO101" s="31">
        <f t="shared" si="41"/>
        <v>3</v>
      </c>
      <c r="AP101">
        <f>step3_validation[[#This Row],[AI_TRU2]]</f>
        <v>8</v>
      </c>
      <c r="AQ101" t="str">
        <f t="shared" si="42"/>
        <v>Support</v>
      </c>
      <c r="AR101">
        <f>survey_responses[[#This Row],[Tôi thấy mức thuế tôi phải đóng theo phương án mới là công bằng (người thu nhập như tôi đóng mức này là hợp lý). - HUMAN-TRU2]]</f>
        <v>10</v>
      </c>
      <c r="AS101" t="str">
        <f t="shared" si="43"/>
        <v>Support</v>
      </c>
      <c r="AT101" s="31">
        <f t="shared" si="44"/>
        <v>2</v>
      </c>
      <c r="AU101">
        <f>step3_validation[[#This Row],[AI_TRU3]]</f>
        <v>7</v>
      </c>
      <c r="AV101" t="str">
        <f t="shared" si="45"/>
        <v>Neutral</v>
      </c>
      <c r="AW101">
        <f>survey_responses[[#This Row],[Tôi tin tưởng số tiền thuế tôi đóng sẽ được Nhà nước sử dụng hiệu quả để cải thiện dịch vụ công (y tế, đường xá...). - HUMAN-TRU3]]</f>
        <v>10</v>
      </c>
      <c r="AX101" t="str">
        <f t="shared" si="46"/>
        <v>Support</v>
      </c>
      <c r="AY101" s="31">
        <f t="shared" si="47"/>
        <v>3</v>
      </c>
      <c r="AZ101">
        <f>step3_validation[[#This Row],[AI_TRU4]]</f>
        <v>8</v>
      </c>
      <c r="BA101" t="str">
        <f t="shared" si="48"/>
        <v>Support</v>
      </c>
      <c r="BB101">
        <f>survey_responses[[#This Row],[Tôi thấy Nhà nước đã giải thích rõ ràng, minh bạch về lý do và mục tiêu của việc sửa đổi thuế lần này. - HUMAN-TRU4]]</f>
        <v>10</v>
      </c>
      <c r="BC101" t="str">
        <f t="shared" si="49"/>
        <v>Support</v>
      </c>
      <c r="BD101" s="31">
        <f t="shared" si="50"/>
        <v>2</v>
      </c>
      <c r="BE101">
        <f>step3_validation[[#This Row],[AI_OUT1]]</f>
        <v>9</v>
      </c>
      <c r="BF101" t="str">
        <f t="shared" si="51"/>
        <v>Support</v>
      </c>
      <c r="BG101">
        <f>survey_responses[[#This Row],[Sau khi xem xét các quyền lợi và nghĩa vụ, bạn có ủng hộ và tuân thủ chính sách mới hiện nay? - HUMAN-OUT1]]</f>
        <v>10</v>
      </c>
      <c r="BH101" t="str">
        <f t="shared" si="52"/>
        <v>Support</v>
      </c>
      <c r="BI101" s="31">
        <f t="shared" si="53"/>
        <v>1</v>
      </c>
    </row>
    <row r="102" spans="1:61" hidden="1" x14ac:dyDescent="0.45">
      <c r="A102" s="29">
        <f>step3_validation[[#This Row],[Persona_ID]]</f>
        <v>101</v>
      </c>
      <c r="B102" s="30">
        <f>step3_validation[[#This Row],[Used_Seed]]</f>
        <v>142</v>
      </c>
      <c r="C102" t="str">
        <f>step3_validation[[#This Row],[Gender]]</f>
        <v>Nữ</v>
      </c>
      <c r="D102" t="str">
        <f>survey_responses[[#This Row],[Giới tính của bạn:]]</f>
        <v>Nữ</v>
      </c>
      <c r="E102" t="str">
        <f>step3_validation[[#This Row],[Age_Group]]</f>
        <v>50 - 54</v>
      </c>
      <c r="F102" t="str">
        <f>survey_responses[[#This Row],[Độ tuổi của bạn:]]</f>
        <v>50 - 54</v>
      </c>
      <c r="G102" t="str">
        <f>step3_validation[[#This Row],[Region]]</f>
        <v>Thành thị</v>
      </c>
      <c r="H102" t="str">
        <f>survey_responses[[#This Row],[Khu vực bạn đang sinh sống:]]</f>
        <v>Thành thị</v>
      </c>
      <c r="I102" t="str">
        <f>step3_validation[[#This Row],[Education]]</f>
        <v>Sau Đại học</v>
      </c>
      <c r="J102" t="str">
        <f>survey_responses[[#This Row],[Trình độ học vấn cao nhất:]]</f>
        <v>Sau Đại học</v>
      </c>
      <c r="K102" t="str">
        <f>step3_validation[[#This Row],[Employment]]</f>
        <v>Chính thức</v>
      </c>
      <c r="L102" t="str">
        <f>survey_responses[[#This Row],[Tình trạng việc làm chính:]]</f>
        <v>Khu vực chính thức (Có Hợp đồng lao động, đóng BHXH)</v>
      </c>
      <c r="M102">
        <f>step3_validation[[#This Row],[Income_Mil]]</f>
        <v>73.984400877890153</v>
      </c>
      <c r="N102" t="str">
        <f>survey_responses[[#This Row],[Thu nhập bình quân tháng theo Hợp đồng lao động của bạn là bao nhiêu? (Vui lòng điền tổng thu nhập trước khi khấu trừ các loại Bảo hiểm (BHXH, BHYT, BHTN) và Thuế TNCN)]]</f>
        <v>Từ 70 - 102 triệu VNĐ</v>
      </c>
      <c r="O102">
        <f>step3_validation[[#This Row],[Dependents]]</f>
        <v>4</v>
      </c>
      <c r="P102" t="str">
        <f>survey_responses[[#This Row],[Số người phụ thuộc (con nhỏ, cha mẹ già...) đủ điều kiện giảm trừ gia cảnh:]]</f>
        <v>4 người trở lên</v>
      </c>
      <c r="Q102">
        <f>step3_validation[[#This Row],[AI_ENF1]]</f>
        <v>7</v>
      </c>
      <c r="R102" t="str">
        <f t="shared" si="27"/>
        <v>Neutral</v>
      </c>
      <c r="S102">
        <f>survey_responses[[#This Row],[Tôi tin rằng với các quy định quản lý thuế hiện nay, hành vi gian lận hoặc trốn thuế sẽ dễ dàng bị phát hiện và xử lý nghiêm. - HUMAN-ENF1]]</f>
        <v>8</v>
      </c>
      <c r="T102" t="str">
        <f t="shared" si="28"/>
        <v>Support</v>
      </c>
      <c r="U102" s="31">
        <f t="shared" si="29"/>
        <v>1</v>
      </c>
      <c r="V102">
        <f>step3_validation[[#This Row],[AI_ENF2]]</f>
        <v>8</v>
      </c>
      <c r="W102" t="str">
        <f t="shared" si="30"/>
        <v>Support</v>
      </c>
      <c r="X102">
        <f>survey_responses[[#This Row],[Tôi tin rằng Nhà nước, cơ quan thuế có đủ khả năng và công nghệ để phát hiện, xử lý nghiêm các hành vi trốn thuế. - HUMAN-ENF2]]</f>
        <v>8</v>
      </c>
      <c r="Y102" t="str">
        <f t="shared" si="31"/>
        <v>Support</v>
      </c>
      <c r="Z102" s="31">
        <f t="shared" si="32"/>
        <v>0</v>
      </c>
      <c r="AA102">
        <f>step3_validation[[#This Row],[AI_FAC1]]</f>
        <v>6</v>
      </c>
      <c r="AB102" t="str">
        <f t="shared" si="33"/>
        <v>Neutral</v>
      </c>
      <c r="AC102">
        <f>survey_responses[[#This Row],[Các thủ tục khai báo thuế VÀ/HOẶC quy trình làm việc với cơ quan thuế đơn giản, tiện lợi, nhanh chóng hơn so với trước đây. - HUMAN-FAC1]]</f>
        <v>7</v>
      </c>
      <c r="AD102" t="str">
        <f t="shared" si="34"/>
        <v>Neutral</v>
      </c>
      <c r="AE102" s="31">
        <f t="shared" si="35"/>
        <v>1</v>
      </c>
      <c r="AF102">
        <f>step3_validation[[#This Row],[AI_FAC2]]</f>
        <v>9</v>
      </c>
      <c r="AG102" t="str">
        <f t="shared" si="36"/>
        <v>Support</v>
      </c>
      <c r="AH102">
        <f>survey_responses[[#This Row],[So với trước đây, tôi thấy cách tính thuế và các bậc thuế trong phương án mới đơn giản, dễ hiểu và dễ thực hiện hơn. - HUMAN-FAC2]]</f>
        <v>8</v>
      </c>
      <c r="AI102" t="str">
        <f t="shared" si="37"/>
        <v>Support</v>
      </c>
      <c r="AJ102" s="31">
        <f t="shared" si="38"/>
        <v>1</v>
      </c>
      <c r="AK102">
        <f>step3_validation[[#This Row],[AI_TRU1]]</f>
        <v>7</v>
      </c>
      <c r="AL102" t="str">
        <f t="shared" si="39"/>
        <v>Neutral</v>
      </c>
      <c r="AM102">
        <f>survey_responses[[#This Row],[Tôi tin rằng Nhà nước, cơ quan thuế sẽ thực thi chính sách mới một cách khách quan, công tâm và đối xử bình đẳng với mọi người nộp thuế.  - HUMAN-TRU1]]</f>
        <v>8</v>
      </c>
      <c r="AN102" t="str">
        <f t="shared" si="40"/>
        <v>Support</v>
      </c>
      <c r="AO102" s="31">
        <f t="shared" si="41"/>
        <v>1</v>
      </c>
      <c r="AP102">
        <f>step3_validation[[#This Row],[AI_TRU2]]</f>
        <v>9</v>
      </c>
      <c r="AQ102" t="str">
        <f t="shared" si="42"/>
        <v>Support</v>
      </c>
      <c r="AR102">
        <f>survey_responses[[#This Row],[Tôi thấy mức thuế tôi phải đóng theo phương án mới là công bằng (người thu nhập như tôi đóng mức này là hợp lý). - HUMAN-TRU2]]</f>
        <v>7</v>
      </c>
      <c r="AS102" t="str">
        <f t="shared" si="43"/>
        <v>Neutral</v>
      </c>
      <c r="AT102" s="31">
        <f t="shared" si="44"/>
        <v>2</v>
      </c>
      <c r="AU102">
        <f>step3_validation[[#This Row],[AI_TRU3]]</f>
        <v>7</v>
      </c>
      <c r="AV102" t="str">
        <f t="shared" si="45"/>
        <v>Neutral</v>
      </c>
      <c r="AW102">
        <f>survey_responses[[#This Row],[Tôi tin tưởng số tiền thuế tôi đóng sẽ được Nhà nước sử dụng hiệu quả để cải thiện dịch vụ công (y tế, đường xá...). - HUMAN-TRU3]]</f>
        <v>7</v>
      </c>
      <c r="AX102" t="str">
        <f t="shared" si="46"/>
        <v>Neutral</v>
      </c>
      <c r="AY102" s="31">
        <f t="shared" si="47"/>
        <v>0</v>
      </c>
      <c r="AZ102">
        <f>step3_validation[[#This Row],[AI_TRU4]]</f>
        <v>8</v>
      </c>
      <c r="BA102" t="str">
        <f t="shared" si="48"/>
        <v>Support</v>
      </c>
      <c r="BB102">
        <f>survey_responses[[#This Row],[Tôi thấy Nhà nước đã giải thích rõ ràng, minh bạch về lý do và mục tiêu của việc sửa đổi thuế lần này. - HUMAN-TRU4]]</f>
        <v>7</v>
      </c>
      <c r="BC102" t="str">
        <f t="shared" si="49"/>
        <v>Neutral</v>
      </c>
      <c r="BD102" s="31">
        <f t="shared" si="50"/>
        <v>1</v>
      </c>
      <c r="BE102">
        <f>step3_validation[[#This Row],[AI_OUT1]]</f>
        <v>9</v>
      </c>
      <c r="BF102" t="str">
        <f t="shared" si="51"/>
        <v>Support</v>
      </c>
      <c r="BG102">
        <f>survey_responses[[#This Row],[Sau khi xem xét các quyền lợi và nghĩa vụ, bạn có ủng hộ và tuân thủ chính sách mới hiện nay? - HUMAN-OUT1]]</f>
        <v>8</v>
      </c>
      <c r="BH102" t="str">
        <f t="shared" si="52"/>
        <v>Support</v>
      </c>
      <c r="BI102" s="31">
        <f t="shared" si="53"/>
        <v>1</v>
      </c>
    </row>
    <row r="103" spans="1:61" hidden="1" x14ac:dyDescent="0.45">
      <c r="A103" s="29">
        <f>step3_validation[[#This Row],[Persona_ID]]</f>
        <v>102</v>
      </c>
      <c r="B103" s="30">
        <f>step3_validation[[#This Row],[Used_Seed]]</f>
        <v>143</v>
      </c>
      <c r="C103" t="str">
        <f>step3_validation[[#This Row],[Gender]]</f>
        <v>Nam</v>
      </c>
      <c r="D103" t="str">
        <f>survey_responses[[#This Row],[Giới tính của bạn:]]</f>
        <v>Nam</v>
      </c>
      <c r="E103" t="str">
        <f>step3_validation[[#This Row],[Age_Group]]</f>
        <v>18 - 24</v>
      </c>
      <c r="F103" t="str">
        <f>survey_responses[[#This Row],[Độ tuổi của bạn:]]</f>
        <v>18 - 24</v>
      </c>
      <c r="G103" t="str">
        <f>step3_validation[[#This Row],[Region]]</f>
        <v>Thành thị</v>
      </c>
      <c r="H103" t="str">
        <f>survey_responses[[#This Row],[Khu vực bạn đang sinh sống:]]</f>
        <v>Thành thị</v>
      </c>
      <c r="I103" t="str">
        <f>step3_validation[[#This Row],[Education]]</f>
        <v>Đại học</v>
      </c>
      <c r="J103" t="str">
        <f>survey_responses[[#This Row],[Trình độ học vấn cao nhất:]]</f>
        <v>Đại học</v>
      </c>
      <c r="K103" t="str">
        <f>step3_validation[[#This Row],[Employment]]</f>
        <v>Chính thức</v>
      </c>
      <c r="L103" t="str">
        <f>survey_responses[[#This Row],[Tình trạng việc làm chính:]]</f>
        <v>Khu vực chính thức (Có Hợp đồng lao động, đóng BHXH)</v>
      </c>
      <c r="M103">
        <f>step3_validation[[#This Row],[Income_Mil]]</f>
        <v>16.418050193658651</v>
      </c>
      <c r="N103" t="str">
        <f>survey_responses[[#This Row],[Thu nhập bình quân tháng theo Hợp đồng lao động của bạn là bao nhiêu? (Vui lòng điền tổng thu nhập trước khi khấu trừ các loại Bảo hiểm (BHXH, BHYT, BHTN) và Thuế TNCN)]]</f>
        <v>Từ 12 - 18 triệu VNĐ</v>
      </c>
      <c r="O103">
        <f>step3_validation[[#This Row],[Dependents]]</f>
        <v>0</v>
      </c>
      <c r="P103" t="str">
        <f>survey_responses[[#This Row],[Số người phụ thuộc (con nhỏ, cha mẹ già...) đủ điều kiện giảm trừ gia cảnh:]]</f>
        <v>0 người</v>
      </c>
      <c r="Q103">
        <f>step3_validation[[#This Row],[AI_ENF1]]</f>
        <v>8</v>
      </c>
      <c r="R103" t="str">
        <f t="shared" si="27"/>
        <v>Support</v>
      </c>
      <c r="S103">
        <f>survey_responses[[#This Row],[Tôi tin rằng với các quy định quản lý thuế hiện nay, hành vi gian lận hoặc trốn thuế sẽ dễ dàng bị phát hiện và xử lý nghiêm. - HUMAN-ENF1]]</f>
        <v>5</v>
      </c>
      <c r="T103" t="str">
        <f t="shared" si="28"/>
        <v>Neutral</v>
      </c>
      <c r="U103" s="31">
        <f t="shared" si="29"/>
        <v>3</v>
      </c>
      <c r="V103">
        <f>step3_validation[[#This Row],[AI_ENF2]]</f>
        <v>9</v>
      </c>
      <c r="W103" t="str">
        <f t="shared" si="30"/>
        <v>Support</v>
      </c>
      <c r="X103">
        <f>survey_responses[[#This Row],[Tôi tin rằng Nhà nước, cơ quan thuế có đủ khả năng và công nghệ để phát hiện, xử lý nghiêm các hành vi trốn thuế. - HUMAN-ENF2]]</f>
        <v>5</v>
      </c>
      <c r="Y103" t="str">
        <f t="shared" si="31"/>
        <v>Neutral</v>
      </c>
      <c r="Z103" s="31">
        <f t="shared" si="32"/>
        <v>4</v>
      </c>
      <c r="AA103">
        <f>step3_validation[[#This Row],[AI_FAC1]]</f>
        <v>7</v>
      </c>
      <c r="AB103" t="str">
        <f t="shared" si="33"/>
        <v>Neutral</v>
      </c>
      <c r="AC103">
        <f>survey_responses[[#This Row],[Các thủ tục khai báo thuế VÀ/HOẶC quy trình làm việc với cơ quan thuế đơn giản, tiện lợi, nhanh chóng hơn so với trước đây. - HUMAN-FAC1]]</f>
        <v>5</v>
      </c>
      <c r="AD103" t="str">
        <f t="shared" si="34"/>
        <v>Neutral</v>
      </c>
      <c r="AE103" s="31">
        <f t="shared" si="35"/>
        <v>2</v>
      </c>
      <c r="AF103">
        <f>step3_validation[[#This Row],[AI_FAC2]]</f>
        <v>9</v>
      </c>
      <c r="AG103" t="str">
        <f t="shared" si="36"/>
        <v>Support</v>
      </c>
      <c r="AH103">
        <f>survey_responses[[#This Row],[So với trước đây, tôi thấy cách tính thuế và các bậc thuế trong phương án mới đơn giản, dễ hiểu và dễ thực hiện hơn. - HUMAN-FAC2]]</f>
        <v>5</v>
      </c>
      <c r="AI103" t="str">
        <f t="shared" si="37"/>
        <v>Neutral</v>
      </c>
      <c r="AJ103" s="31">
        <f t="shared" si="38"/>
        <v>4</v>
      </c>
      <c r="AK103">
        <f>step3_validation[[#This Row],[AI_TRU1]]</f>
        <v>8</v>
      </c>
      <c r="AL103" t="str">
        <f t="shared" si="39"/>
        <v>Support</v>
      </c>
      <c r="AM103">
        <f>survey_responses[[#This Row],[Tôi tin rằng Nhà nước, cơ quan thuế sẽ thực thi chính sách mới một cách khách quan, công tâm và đối xử bình đẳng với mọi người nộp thuế.  - HUMAN-TRU1]]</f>
        <v>5</v>
      </c>
      <c r="AN103" t="str">
        <f t="shared" si="40"/>
        <v>Neutral</v>
      </c>
      <c r="AO103" s="31">
        <f t="shared" si="41"/>
        <v>3</v>
      </c>
      <c r="AP103">
        <f>step3_validation[[#This Row],[AI_TRU2]]</f>
        <v>9</v>
      </c>
      <c r="AQ103" t="str">
        <f t="shared" si="42"/>
        <v>Support</v>
      </c>
      <c r="AR103">
        <f>survey_responses[[#This Row],[Tôi thấy mức thuế tôi phải đóng theo phương án mới là công bằng (người thu nhập như tôi đóng mức này là hợp lý). - HUMAN-TRU2]]</f>
        <v>5</v>
      </c>
      <c r="AS103" t="str">
        <f t="shared" si="43"/>
        <v>Neutral</v>
      </c>
      <c r="AT103" s="31">
        <f t="shared" si="44"/>
        <v>4</v>
      </c>
      <c r="AU103">
        <f>step3_validation[[#This Row],[AI_TRU3]]</f>
        <v>8</v>
      </c>
      <c r="AV103" t="str">
        <f t="shared" si="45"/>
        <v>Support</v>
      </c>
      <c r="AW103">
        <f>survey_responses[[#This Row],[Tôi tin tưởng số tiền thuế tôi đóng sẽ được Nhà nước sử dụng hiệu quả để cải thiện dịch vụ công (y tế, đường xá...). - HUMAN-TRU3]]</f>
        <v>5</v>
      </c>
      <c r="AX103" t="str">
        <f t="shared" si="46"/>
        <v>Neutral</v>
      </c>
      <c r="AY103" s="31">
        <f t="shared" si="47"/>
        <v>3</v>
      </c>
      <c r="AZ103">
        <f>step3_validation[[#This Row],[AI_TRU4]]</f>
        <v>9</v>
      </c>
      <c r="BA103" t="str">
        <f t="shared" si="48"/>
        <v>Support</v>
      </c>
      <c r="BB103">
        <f>survey_responses[[#This Row],[Tôi thấy Nhà nước đã giải thích rõ ràng, minh bạch về lý do và mục tiêu của việc sửa đổi thuế lần này. - HUMAN-TRU4]]</f>
        <v>5</v>
      </c>
      <c r="BC103" t="str">
        <f t="shared" si="49"/>
        <v>Neutral</v>
      </c>
      <c r="BD103" s="31">
        <f t="shared" si="50"/>
        <v>4</v>
      </c>
      <c r="BE103">
        <f>step3_validation[[#This Row],[AI_OUT1]]</f>
        <v>10</v>
      </c>
      <c r="BF103" t="str">
        <f t="shared" si="51"/>
        <v>Support</v>
      </c>
      <c r="BG103">
        <f>survey_responses[[#This Row],[Sau khi xem xét các quyền lợi và nghĩa vụ, bạn có ủng hộ và tuân thủ chính sách mới hiện nay? - HUMAN-OUT1]]</f>
        <v>5</v>
      </c>
      <c r="BH103" t="str">
        <f t="shared" si="52"/>
        <v>Neutral</v>
      </c>
      <c r="BI103" s="31">
        <f t="shared" si="53"/>
        <v>5</v>
      </c>
    </row>
    <row r="104" spans="1:61" hidden="1" x14ac:dyDescent="0.45">
      <c r="A104" s="29">
        <f>step3_validation[[#This Row],[Persona_ID]]</f>
        <v>103</v>
      </c>
      <c r="B104" s="30">
        <f>step3_validation[[#This Row],[Used_Seed]]</f>
        <v>144</v>
      </c>
      <c r="C104" t="str">
        <f>step3_validation[[#This Row],[Gender]]</f>
        <v>Nữ</v>
      </c>
      <c r="D104" t="str">
        <f>survey_responses[[#This Row],[Giới tính của bạn:]]</f>
        <v>Nữ</v>
      </c>
      <c r="E104" t="str">
        <f>step3_validation[[#This Row],[Age_Group]]</f>
        <v>55 - 64</v>
      </c>
      <c r="F104" t="str">
        <f>survey_responses[[#This Row],[Độ tuổi của bạn:]]</f>
        <v>55 - 64</v>
      </c>
      <c r="G104" t="str">
        <f>step3_validation[[#This Row],[Region]]</f>
        <v>Thành thị</v>
      </c>
      <c r="H104" t="str">
        <f>survey_responses[[#This Row],[Khu vực bạn đang sinh sống:]]</f>
        <v>Thành thị</v>
      </c>
      <c r="I104" t="str">
        <f>step3_validation[[#This Row],[Education]]</f>
        <v>Đại học</v>
      </c>
      <c r="J104" t="str">
        <f>survey_responses[[#This Row],[Trình độ học vấn cao nhất:]]</f>
        <v>Đại học</v>
      </c>
      <c r="K104" t="str">
        <f>step3_validation[[#This Row],[Employment]]</f>
        <v>Chính thức</v>
      </c>
      <c r="L104" t="str">
        <f>survey_responses[[#This Row],[Tình trạng việc làm chính:]]</f>
        <v>Khu vực chính thức (Có Hợp đồng lao động, đóng BHXH)</v>
      </c>
      <c r="M104">
        <f>step3_validation[[#This Row],[Income_Mil]]</f>
        <v>38.789842537898139</v>
      </c>
      <c r="N104" t="str">
        <f>survey_responses[[#This Row],[Thu nhập bình quân tháng theo Hợp đồng lao động của bạn là bao nhiêu? (Vui lòng điền tổng thu nhập trước khi khấu trừ các loại Bảo hiểm (BHXH, BHYT, BHTN) và Thuế TNCN)]]</f>
        <v>Từ 32 - 48 triệu VNĐ</v>
      </c>
      <c r="O104">
        <f>step3_validation[[#This Row],[Dependents]]</f>
        <v>2</v>
      </c>
      <c r="P104" t="str">
        <f>survey_responses[[#This Row],[Số người phụ thuộc (con nhỏ, cha mẹ già...) đủ điều kiện giảm trừ gia cảnh:]]</f>
        <v>2 người</v>
      </c>
      <c r="Q104">
        <f>step3_validation[[#This Row],[AI_ENF1]]</f>
        <v>7</v>
      </c>
      <c r="R104" t="str">
        <f t="shared" si="27"/>
        <v>Neutral</v>
      </c>
      <c r="S104">
        <f>survey_responses[[#This Row],[Tôi tin rằng với các quy định quản lý thuế hiện nay, hành vi gian lận hoặc trốn thuế sẽ dễ dàng bị phát hiện và xử lý nghiêm. - HUMAN-ENF1]]</f>
        <v>8</v>
      </c>
      <c r="T104" t="str">
        <f t="shared" si="28"/>
        <v>Support</v>
      </c>
      <c r="U104" s="31">
        <f t="shared" si="29"/>
        <v>1</v>
      </c>
      <c r="V104">
        <f>step3_validation[[#This Row],[AI_ENF2]]</f>
        <v>8</v>
      </c>
      <c r="W104" t="str">
        <f t="shared" si="30"/>
        <v>Support</v>
      </c>
      <c r="X104">
        <f>survey_responses[[#This Row],[Tôi tin rằng Nhà nước, cơ quan thuế có đủ khả năng và công nghệ để phát hiện, xử lý nghiêm các hành vi trốn thuế. - HUMAN-ENF2]]</f>
        <v>8</v>
      </c>
      <c r="Y104" t="str">
        <f t="shared" si="31"/>
        <v>Support</v>
      </c>
      <c r="Z104" s="31">
        <f t="shared" si="32"/>
        <v>0</v>
      </c>
      <c r="AA104">
        <f>step3_validation[[#This Row],[AI_FAC1]]</f>
        <v>7</v>
      </c>
      <c r="AB104" t="str">
        <f t="shared" si="33"/>
        <v>Neutral</v>
      </c>
      <c r="AC104">
        <f>survey_responses[[#This Row],[Các thủ tục khai báo thuế VÀ/HOẶC quy trình làm việc với cơ quan thuế đơn giản, tiện lợi, nhanh chóng hơn so với trước đây. - HUMAN-FAC1]]</f>
        <v>5</v>
      </c>
      <c r="AD104" t="str">
        <f t="shared" si="34"/>
        <v>Neutral</v>
      </c>
      <c r="AE104" s="31">
        <f t="shared" si="35"/>
        <v>2</v>
      </c>
      <c r="AF104">
        <f>step3_validation[[#This Row],[AI_FAC2]]</f>
        <v>9</v>
      </c>
      <c r="AG104" t="str">
        <f t="shared" si="36"/>
        <v>Support</v>
      </c>
      <c r="AH104">
        <f>survey_responses[[#This Row],[So với trước đây, tôi thấy cách tính thuế và các bậc thuế trong phương án mới đơn giản, dễ hiểu và dễ thực hiện hơn. - HUMAN-FAC2]]</f>
        <v>8</v>
      </c>
      <c r="AI104" t="str">
        <f t="shared" si="37"/>
        <v>Support</v>
      </c>
      <c r="AJ104" s="31">
        <f t="shared" si="38"/>
        <v>1</v>
      </c>
      <c r="AK104">
        <f>step3_validation[[#This Row],[AI_TRU1]]</f>
        <v>7</v>
      </c>
      <c r="AL104" t="str">
        <f t="shared" si="39"/>
        <v>Neutral</v>
      </c>
      <c r="AM104">
        <f>survey_responses[[#This Row],[Tôi tin rằng Nhà nước, cơ quan thuế sẽ thực thi chính sách mới một cách khách quan, công tâm và đối xử bình đẳng với mọi người nộp thuế.  - HUMAN-TRU1]]</f>
        <v>5</v>
      </c>
      <c r="AN104" t="str">
        <f t="shared" si="40"/>
        <v>Neutral</v>
      </c>
      <c r="AO104" s="31">
        <f t="shared" si="41"/>
        <v>2</v>
      </c>
      <c r="AP104">
        <f>step3_validation[[#This Row],[AI_TRU2]]</f>
        <v>8</v>
      </c>
      <c r="AQ104" t="str">
        <f t="shared" si="42"/>
        <v>Support</v>
      </c>
      <c r="AR104">
        <f>survey_responses[[#This Row],[Tôi thấy mức thuế tôi phải đóng theo phương án mới là công bằng (người thu nhập như tôi đóng mức này là hợp lý). - HUMAN-TRU2]]</f>
        <v>5</v>
      </c>
      <c r="AS104" t="str">
        <f t="shared" si="43"/>
        <v>Neutral</v>
      </c>
      <c r="AT104" s="31">
        <f t="shared" si="44"/>
        <v>3</v>
      </c>
      <c r="AU104">
        <f>step3_validation[[#This Row],[AI_TRU3]]</f>
        <v>7</v>
      </c>
      <c r="AV104" t="str">
        <f t="shared" si="45"/>
        <v>Neutral</v>
      </c>
      <c r="AW104">
        <f>survey_responses[[#This Row],[Tôi tin tưởng số tiền thuế tôi đóng sẽ được Nhà nước sử dụng hiệu quả để cải thiện dịch vụ công (y tế, đường xá...). - HUMAN-TRU3]]</f>
        <v>6</v>
      </c>
      <c r="AX104" t="str">
        <f t="shared" si="46"/>
        <v>Neutral</v>
      </c>
      <c r="AY104" s="31">
        <f t="shared" si="47"/>
        <v>1</v>
      </c>
      <c r="AZ104">
        <f>step3_validation[[#This Row],[AI_TRU4]]</f>
        <v>8</v>
      </c>
      <c r="BA104" t="str">
        <f t="shared" si="48"/>
        <v>Support</v>
      </c>
      <c r="BB104">
        <f>survey_responses[[#This Row],[Tôi thấy Nhà nước đã giải thích rõ ràng, minh bạch về lý do và mục tiêu của việc sửa đổi thuế lần này. - HUMAN-TRU4]]</f>
        <v>6</v>
      </c>
      <c r="BC104" t="str">
        <f t="shared" si="49"/>
        <v>Neutral</v>
      </c>
      <c r="BD104" s="31">
        <f t="shared" si="50"/>
        <v>2</v>
      </c>
      <c r="BE104">
        <f>step3_validation[[#This Row],[AI_OUT1]]</f>
        <v>8</v>
      </c>
      <c r="BF104" t="str">
        <f t="shared" si="51"/>
        <v>Support</v>
      </c>
      <c r="BG104">
        <f>survey_responses[[#This Row],[Sau khi xem xét các quyền lợi và nghĩa vụ, bạn có ủng hộ và tuân thủ chính sách mới hiện nay? - HUMAN-OUT1]]</f>
        <v>5</v>
      </c>
      <c r="BH104" t="str">
        <f t="shared" si="52"/>
        <v>Neutral</v>
      </c>
      <c r="BI104" s="31">
        <f t="shared" si="53"/>
        <v>3</v>
      </c>
    </row>
    <row r="105" spans="1:61" hidden="1" x14ac:dyDescent="0.45">
      <c r="A105" s="29">
        <f>step3_validation[[#This Row],[Persona_ID]]</f>
        <v>104</v>
      </c>
      <c r="B105" s="30">
        <f>step3_validation[[#This Row],[Used_Seed]]</f>
        <v>145</v>
      </c>
      <c r="C105" t="str">
        <f>step3_validation[[#This Row],[Gender]]</f>
        <v>Nam</v>
      </c>
      <c r="D105" t="str">
        <f>survey_responses[[#This Row],[Giới tính của bạn:]]</f>
        <v>Nam</v>
      </c>
      <c r="E105" t="str">
        <f>step3_validation[[#This Row],[Age_Group]]</f>
        <v>30 - 39</v>
      </c>
      <c r="F105" t="str">
        <f>survey_responses[[#This Row],[Độ tuổi của bạn:]]</f>
        <v>30 - 39</v>
      </c>
      <c r="G105" t="str">
        <f>step3_validation[[#This Row],[Region]]</f>
        <v>Thành thị</v>
      </c>
      <c r="H105" t="str">
        <f>survey_responses[[#This Row],[Khu vực bạn đang sinh sống:]]</f>
        <v>Thành thị</v>
      </c>
      <c r="I105" t="str">
        <f>step3_validation[[#This Row],[Education]]</f>
        <v>Đại học</v>
      </c>
      <c r="J105" t="str">
        <f>survey_responses[[#This Row],[Trình độ học vấn cao nhất:]]</f>
        <v>Đại học</v>
      </c>
      <c r="K105" t="str">
        <f>step3_validation[[#This Row],[Employment]]</f>
        <v>Chính thức</v>
      </c>
      <c r="L105" t="str">
        <f>survey_responses[[#This Row],[Tình trạng việc làm chính:]]</f>
        <v>Khu vực chính thức (Có Hợp đồng lao động, đóng BHXH)</v>
      </c>
      <c r="M105">
        <f>step3_validation[[#This Row],[Income_Mil]]</f>
        <v>20.345669206619846</v>
      </c>
      <c r="N105" t="str">
        <f>survey_responses[[#This Row],[Thu nhập bình quân tháng theo Hợp đồng lao động của bạn là bao nhiêu? (Vui lòng điền tổng thu nhập trước khi khấu trừ các loại Bảo hiểm (BHXH, BHYT, BHTN) và Thuế TNCN)]]</f>
        <v>Từ 18 - 23 triệu VNĐ</v>
      </c>
      <c r="O105">
        <f>step3_validation[[#This Row],[Dependents]]</f>
        <v>0</v>
      </c>
      <c r="P105" t="str">
        <f>survey_responses[[#This Row],[Số người phụ thuộc (con nhỏ, cha mẹ già...) đủ điều kiện giảm trừ gia cảnh:]]</f>
        <v>0 người</v>
      </c>
      <c r="Q105">
        <f>step3_validation[[#This Row],[AI_ENF1]]</f>
        <v>6</v>
      </c>
      <c r="R105" t="str">
        <f t="shared" si="27"/>
        <v>Neutral</v>
      </c>
      <c r="S105">
        <f>survey_responses[[#This Row],[Tôi tin rằng với các quy định quản lý thuế hiện nay, hành vi gian lận hoặc trốn thuế sẽ dễ dàng bị phát hiện và xử lý nghiêm. - HUMAN-ENF1]]</f>
        <v>6</v>
      </c>
      <c r="T105" t="str">
        <f t="shared" si="28"/>
        <v>Neutral</v>
      </c>
      <c r="U105" s="31">
        <f t="shared" si="29"/>
        <v>0</v>
      </c>
      <c r="V105">
        <f>step3_validation[[#This Row],[AI_ENF2]]</f>
        <v>7</v>
      </c>
      <c r="W105" t="str">
        <f t="shared" si="30"/>
        <v>Neutral</v>
      </c>
      <c r="X105">
        <f>survey_responses[[#This Row],[Tôi tin rằng Nhà nước, cơ quan thuế có đủ khả năng và công nghệ để phát hiện, xử lý nghiêm các hành vi trốn thuế. - HUMAN-ENF2]]</f>
        <v>7</v>
      </c>
      <c r="Y105" t="str">
        <f t="shared" si="31"/>
        <v>Neutral</v>
      </c>
      <c r="Z105" s="31">
        <f t="shared" si="32"/>
        <v>0</v>
      </c>
      <c r="AA105">
        <f>step3_validation[[#This Row],[AI_FAC1]]</f>
        <v>8</v>
      </c>
      <c r="AB105" t="str">
        <f t="shared" si="33"/>
        <v>Support</v>
      </c>
      <c r="AC105">
        <f>survey_responses[[#This Row],[Các thủ tục khai báo thuế VÀ/HOẶC quy trình làm việc với cơ quan thuế đơn giản, tiện lợi, nhanh chóng hơn so với trước đây. - HUMAN-FAC1]]</f>
        <v>6</v>
      </c>
      <c r="AD105" t="str">
        <f t="shared" si="34"/>
        <v>Neutral</v>
      </c>
      <c r="AE105" s="31">
        <f t="shared" si="35"/>
        <v>2</v>
      </c>
      <c r="AF105">
        <f>step3_validation[[#This Row],[AI_FAC2]]</f>
        <v>9</v>
      </c>
      <c r="AG105" t="str">
        <f t="shared" si="36"/>
        <v>Support</v>
      </c>
      <c r="AH105">
        <f>survey_responses[[#This Row],[So với trước đây, tôi thấy cách tính thuế và các bậc thuế trong phương án mới đơn giản, dễ hiểu và dễ thực hiện hơn. - HUMAN-FAC2]]</f>
        <v>8</v>
      </c>
      <c r="AI105" t="str">
        <f t="shared" si="37"/>
        <v>Support</v>
      </c>
      <c r="AJ105" s="31">
        <f t="shared" si="38"/>
        <v>1</v>
      </c>
      <c r="AK105">
        <f>step3_validation[[#This Row],[AI_TRU1]]</f>
        <v>7</v>
      </c>
      <c r="AL105" t="str">
        <f t="shared" si="39"/>
        <v>Neutral</v>
      </c>
      <c r="AM105">
        <f>survey_responses[[#This Row],[Tôi tin rằng Nhà nước, cơ quan thuế sẽ thực thi chính sách mới một cách khách quan, công tâm và đối xử bình đẳng với mọi người nộp thuế.  - HUMAN-TRU1]]</f>
        <v>6</v>
      </c>
      <c r="AN105" t="str">
        <f t="shared" si="40"/>
        <v>Neutral</v>
      </c>
      <c r="AO105" s="31">
        <f t="shared" si="41"/>
        <v>1</v>
      </c>
      <c r="AP105">
        <f>step3_validation[[#This Row],[AI_TRU2]]</f>
        <v>9</v>
      </c>
      <c r="AQ105" t="str">
        <f t="shared" si="42"/>
        <v>Support</v>
      </c>
      <c r="AR105">
        <f>survey_responses[[#This Row],[Tôi thấy mức thuế tôi phải đóng theo phương án mới là công bằng (người thu nhập như tôi đóng mức này là hợp lý). - HUMAN-TRU2]]</f>
        <v>7</v>
      </c>
      <c r="AS105" t="str">
        <f t="shared" si="43"/>
        <v>Neutral</v>
      </c>
      <c r="AT105" s="31">
        <f t="shared" si="44"/>
        <v>2</v>
      </c>
      <c r="AU105">
        <f>step3_validation[[#This Row],[AI_TRU3]]</f>
        <v>8</v>
      </c>
      <c r="AV105" t="str">
        <f t="shared" si="45"/>
        <v>Support</v>
      </c>
      <c r="AW105">
        <f>survey_responses[[#This Row],[Tôi tin tưởng số tiền thuế tôi đóng sẽ được Nhà nước sử dụng hiệu quả để cải thiện dịch vụ công (y tế, đường xá...). - HUMAN-TRU3]]</f>
        <v>6</v>
      </c>
      <c r="AX105" t="str">
        <f t="shared" si="46"/>
        <v>Neutral</v>
      </c>
      <c r="AY105" s="31">
        <f t="shared" si="47"/>
        <v>2</v>
      </c>
      <c r="AZ105">
        <f>step3_validation[[#This Row],[AI_TRU4]]</f>
        <v>7</v>
      </c>
      <c r="BA105" t="str">
        <f t="shared" si="48"/>
        <v>Neutral</v>
      </c>
      <c r="BB105">
        <f>survey_responses[[#This Row],[Tôi thấy Nhà nước đã giải thích rõ ràng, minh bạch về lý do và mục tiêu của việc sửa đổi thuế lần này. - HUMAN-TRU4]]</f>
        <v>6</v>
      </c>
      <c r="BC105" t="str">
        <f t="shared" si="49"/>
        <v>Neutral</v>
      </c>
      <c r="BD105" s="31">
        <f t="shared" si="50"/>
        <v>1</v>
      </c>
      <c r="BE105">
        <f>step3_validation[[#This Row],[AI_OUT1]]</f>
        <v>9</v>
      </c>
      <c r="BF105" t="str">
        <f t="shared" si="51"/>
        <v>Support</v>
      </c>
      <c r="BG105">
        <f>survey_responses[[#This Row],[Sau khi xem xét các quyền lợi và nghĩa vụ, bạn có ủng hộ và tuân thủ chính sách mới hiện nay? - HUMAN-OUT1]]</f>
        <v>7</v>
      </c>
      <c r="BH105" t="str">
        <f t="shared" si="52"/>
        <v>Neutral</v>
      </c>
      <c r="BI105" s="31">
        <f t="shared" si="53"/>
        <v>2</v>
      </c>
    </row>
    <row r="106" spans="1:61" hidden="1" x14ac:dyDescent="0.45">
      <c r="A106" s="29">
        <f>step3_validation[[#This Row],[Persona_ID]]</f>
        <v>105</v>
      </c>
      <c r="B106" s="30">
        <f>step3_validation[[#This Row],[Used_Seed]]</f>
        <v>146</v>
      </c>
      <c r="C106" t="str">
        <f>step3_validation[[#This Row],[Gender]]</f>
        <v>Nam</v>
      </c>
      <c r="D106" t="str">
        <f>survey_responses[[#This Row],[Giới tính của bạn:]]</f>
        <v>Nam</v>
      </c>
      <c r="E106" t="str">
        <f>step3_validation[[#This Row],[Age_Group]]</f>
        <v>25 - 29</v>
      </c>
      <c r="F106" t="str">
        <f>survey_responses[[#This Row],[Độ tuổi của bạn:]]</f>
        <v>25 - 29</v>
      </c>
      <c r="G106" t="str">
        <f>step3_validation[[#This Row],[Region]]</f>
        <v>Thành thị</v>
      </c>
      <c r="H106" t="str">
        <f>survey_responses[[#This Row],[Khu vực bạn đang sinh sống:]]</f>
        <v>Thành thị</v>
      </c>
      <c r="I106" t="str">
        <f>step3_validation[[#This Row],[Education]]</f>
        <v>Đại học</v>
      </c>
      <c r="J106" t="str">
        <f>survey_responses[[#This Row],[Trình độ học vấn cao nhất:]]</f>
        <v>Đại học</v>
      </c>
      <c r="K106" t="str">
        <f>step3_validation[[#This Row],[Employment]]</f>
        <v>Chính thức</v>
      </c>
      <c r="L106" t="str">
        <f>survey_responses[[#This Row],[Tình trạng việc làm chính:]]</f>
        <v>Khu vực chính thức (Có Hợp đồng lao động, đóng BHXH)</v>
      </c>
      <c r="M106">
        <f>step3_validation[[#This Row],[Income_Mil]]</f>
        <v>12.925167568684918</v>
      </c>
      <c r="N106" t="str">
        <f>survey_responses[[#This Row],[Thu nhập bình quân tháng theo Hợp đồng lao động của bạn là bao nhiêu? (Vui lòng điền tổng thu nhập trước khi khấu trừ các loại Bảo hiểm (BHXH, BHYT, BHTN) và Thuế TNCN)]]</f>
        <v>Từ 12 - 18 triệu VNĐ</v>
      </c>
      <c r="O106">
        <f>step3_validation[[#This Row],[Dependents]]</f>
        <v>1</v>
      </c>
      <c r="P106" t="str">
        <f>survey_responses[[#This Row],[Số người phụ thuộc (con nhỏ, cha mẹ già...) đủ điều kiện giảm trừ gia cảnh:]]</f>
        <v>1 người</v>
      </c>
      <c r="Q106">
        <f>step3_validation[[#This Row],[AI_ENF1]]</f>
        <v>7</v>
      </c>
      <c r="R106" t="str">
        <f t="shared" si="27"/>
        <v>Neutral</v>
      </c>
      <c r="S106">
        <f>survey_responses[[#This Row],[Tôi tin rằng với các quy định quản lý thuế hiện nay, hành vi gian lận hoặc trốn thuế sẽ dễ dàng bị phát hiện và xử lý nghiêm. - HUMAN-ENF1]]</f>
        <v>9</v>
      </c>
      <c r="T106" t="str">
        <f t="shared" si="28"/>
        <v>Support</v>
      </c>
      <c r="U106" s="31">
        <f t="shared" si="29"/>
        <v>2</v>
      </c>
      <c r="V106">
        <f>step3_validation[[#This Row],[AI_ENF2]]</f>
        <v>8</v>
      </c>
      <c r="W106" t="str">
        <f t="shared" si="30"/>
        <v>Support</v>
      </c>
      <c r="X106">
        <f>survey_responses[[#This Row],[Tôi tin rằng Nhà nước, cơ quan thuế có đủ khả năng và công nghệ để phát hiện, xử lý nghiêm các hành vi trốn thuế. - HUMAN-ENF2]]</f>
        <v>10</v>
      </c>
      <c r="Y106" t="str">
        <f t="shared" si="31"/>
        <v>Support</v>
      </c>
      <c r="Z106" s="31">
        <f t="shared" si="32"/>
        <v>2</v>
      </c>
      <c r="AA106">
        <f>step3_validation[[#This Row],[AI_FAC1]]</f>
        <v>9</v>
      </c>
      <c r="AB106" t="str">
        <f t="shared" si="33"/>
        <v>Support</v>
      </c>
      <c r="AC106">
        <f>survey_responses[[#This Row],[Các thủ tục khai báo thuế VÀ/HOẶC quy trình làm việc với cơ quan thuế đơn giản, tiện lợi, nhanh chóng hơn so với trước đây. - HUMAN-FAC1]]</f>
        <v>8</v>
      </c>
      <c r="AD106" t="str">
        <f t="shared" si="34"/>
        <v>Support</v>
      </c>
      <c r="AE106" s="31">
        <f t="shared" si="35"/>
        <v>1</v>
      </c>
      <c r="AF106">
        <f>step3_validation[[#This Row],[AI_FAC2]]</f>
        <v>9</v>
      </c>
      <c r="AG106" t="str">
        <f t="shared" si="36"/>
        <v>Support</v>
      </c>
      <c r="AH106">
        <f>survey_responses[[#This Row],[So với trước đây, tôi thấy cách tính thuế và các bậc thuế trong phương án mới đơn giản, dễ hiểu và dễ thực hiện hơn. - HUMAN-FAC2]]</f>
        <v>8</v>
      </c>
      <c r="AI106" t="str">
        <f t="shared" si="37"/>
        <v>Support</v>
      </c>
      <c r="AJ106" s="31">
        <f t="shared" si="38"/>
        <v>1</v>
      </c>
      <c r="AK106">
        <f>step3_validation[[#This Row],[AI_TRU1]]</f>
        <v>8</v>
      </c>
      <c r="AL106" t="str">
        <f t="shared" si="39"/>
        <v>Support</v>
      </c>
      <c r="AM106">
        <f>survey_responses[[#This Row],[Tôi tin rằng Nhà nước, cơ quan thuế sẽ thực thi chính sách mới một cách khách quan, công tâm và đối xử bình đẳng với mọi người nộp thuế.  - HUMAN-TRU1]]</f>
        <v>9</v>
      </c>
      <c r="AN106" t="str">
        <f t="shared" si="40"/>
        <v>Support</v>
      </c>
      <c r="AO106" s="31">
        <f t="shared" si="41"/>
        <v>1</v>
      </c>
      <c r="AP106">
        <f>step3_validation[[#This Row],[AI_TRU2]]</f>
        <v>9</v>
      </c>
      <c r="AQ106" t="str">
        <f t="shared" si="42"/>
        <v>Support</v>
      </c>
      <c r="AR106">
        <f>survey_responses[[#This Row],[Tôi thấy mức thuế tôi phải đóng theo phương án mới là công bằng (người thu nhập như tôi đóng mức này là hợp lý). - HUMAN-TRU2]]</f>
        <v>9</v>
      </c>
      <c r="AS106" t="str">
        <f t="shared" si="43"/>
        <v>Support</v>
      </c>
      <c r="AT106" s="31">
        <f t="shared" si="44"/>
        <v>0</v>
      </c>
      <c r="AU106">
        <f>step3_validation[[#This Row],[AI_TRU3]]</f>
        <v>8</v>
      </c>
      <c r="AV106" t="str">
        <f t="shared" si="45"/>
        <v>Support</v>
      </c>
      <c r="AW106">
        <f>survey_responses[[#This Row],[Tôi tin tưởng số tiền thuế tôi đóng sẽ được Nhà nước sử dụng hiệu quả để cải thiện dịch vụ công (y tế, đường xá...). - HUMAN-TRU3]]</f>
        <v>8</v>
      </c>
      <c r="AX106" t="str">
        <f t="shared" si="46"/>
        <v>Support</v>
      </c>
      <c r="AY106" s="31">
        <f t="shared" si="47"/>
        <v>0</v>
      </c>
      <c r="AZ106">
        <f>step3_validation[[#This Row],[AI_TRU4]]</f>
        <v>9</v>
      </c>
      <c r="BA106" t="str">
        <f t="shared" si="48"/>
        <v>Support</v>
      </c>
      <c r="BB106">
        <f>survey_responses[[#This Row],[Tôi thấy Nhà nước đã giải thích rõ ràng, minh bạch về lý do và mục tiêu của việc sửa đổi thuế lần này. - HUMAN-TRU4]]</f>
        <v>6</v>
      </c>
      <c r="BC106" t="str">
        <f t="shared" si="49"/>
        <v>Neutral</v>
      </c>
      <c r="BD106" s="31">
        <f t="shared" si="50"/>
        <v>3</v>
      </c>
      <c r="BE106">
        <f>step3_validation[[#This Row],[AI_OUT1]]</f>
        <v>8</v>
      </c>
      <c r="BF106" t="str">
        <f t="shared" si="51"/>
        <v>Support</v>
      </c>
      <c r="BG106">
        <f>survey_responses[[#This Row],[Sau khi xem xét các quyền lợi và nghĩa vụ, bạn có ủng hộ và tuân thủ chính sách mới hiện nay? - HUMAN-OUT1]]</f>
        <v>9</v>
      </c>
      <c r="BH106" t="str">
        <f t="shared" si="52"/>
        <v>Support</v>
      </c>
      <c r="BI106" s="31">
        <f t="shared" si="53"/>
        <v>1</v>
      </c>
    </row>
    <row r="107" spans="1:61" x14ac:dyDescent="0.45">
      <c r="A107" s="29">
        <f>step3_validation[[#This Row],[Persona_ID]]</f>
        <v>106</v>
      </c>
      <c r="B107" s="30">
        <f>step3_validation[[#This Row],[Used_Seed]]</f>
        <v>147</v>
      </c>
      <c r="C107" t="str">
        <f>step3_validation[[#This Row],[Gender]]</f>
        <v>Nữ</v>
      </c>
      <c r="D107" t="str">
        <f>survey_responses[[#This Row],[Giới tính của bạn:]]</f>
        <v>Nữ</v>
      </c>
      <c r="E107" t="str">
        <f>step3_validation[[#This Row],[Age_Group]]</f>
        <v>25 - 29</v>
      </c>
      <c r="F107" t="str">
        <f>survey_responses[[#This Row],[Độ tuổi của bạn:]]</f>
        <v>25 - 29</v>
      </c>
      <c r="G107" t="str">
        <f>step3_validation[[#This Row],[Region]]</f>
        <v>Thành thị</v>
      </c>
      <c r="H107" t="str">
        <f>survey_responses[[#This Row],[Khu vực bạn đang sinh sống:]]</f>
        <v>Thành thị</v>
      </c>
      <c r="I107" t="str">
        <f>step3_validation[[#This Row],[Education]]</f>
        <v>Đại học</v>
      </c>
      <c r="J107" t="str">
        <f>survey_responses[[#This Row],[Trình độ học vấn cao nhất:]]</f>
        <v>Đại học</v>
      </c>
      <c r="K107" t="str">
        <f>step3_validation[[#This Row],[Employment]]</f>
        <v>Chính thức</v>
      </c>
      <c r="L107" t="str">
        <f>survey_responses[[#This Row],[Tình trạng việc làm chính:]]</f>
        <v>Khu vực chính thức (Có Hợp đồng lao động, đóng BHXH)</v>
      </c>
      <c r="M107">
        <f>step3_validation[[#This Row],[Income_Mil]]</f>
        <v>12</v>
      </c>
      <c r="N107" t="str">
        <f>survey_responses[[#This Row],[Thu nhập bình quân tháng theo Hợp đồng lao động của bạn là bao nhiêu? (Vui lòng điền tổng thu nhập trước khi khấu trừ các loại Bảo hiểm (BHXH, BHYT, BHTN) và Thuế TNCN)]]</f>
        <v>Dưới 12 triệu VNĐ</v>
      </c>
      <c r="O107">
        <f>step3_validation[[#This Row],[Dependents]]</f>
        <v>0</v>
      </c>
      <c r="P107" t="str">
        <f>survey_responses[[#This Row],[Số người phụ thuộc (con nhỏ, cha mẹ già...) đủ điều kiện giảm trừ gia cảnh:]]</f>
        <v>0 người</v>
      </c>
      <c r="Q107">
        <f>step3_validation[[#This Row],[AI_ENF1]]</f>
        <v>7</v>
      </c>
      <c r="R107" t="str">
        <f t="shared" si="27"/>
        <v>Neutral</v>
      </c>
      <c r="S107">
        <f>survey_responses[[#This Row],[Tôi tin rằng với các quy định quản lý thuế hiện nay, hành vi gian lận hoặc trốn thuế sẽ dễ dàng bị phát hiện và xử lý nghiêm. - HUMAN-ENF1]]</f>
        <v>10</v>
      </c>
      <c r="T107" t="str">
        <f t="shared" si="28"/>
        <v>Support</v>
      </c>
      <c r="U107" s="31">
        <f t="shared" si="29"/>
        <v>3</v>
      </c>
      <c r="V107">
        <f>step3_validation[[#This Row],[AI_ENF2]]</f>
        <v>7</v>
      </c>
      <c r="W107" t="str">
        <f t="shared" si="30"/>
        <v>Neutral</v>
      </c>
      <c r="X107">
        <f>survey_responses[[#This Row],[Tôi tin rằng Nhà nước, cơ quan thuế có đủ khả năng và công nghệ để phát hiện, xử lý nghiêm các hành vi trốn thuế. - HUMAN-ENF2]]</f>
        <v>5</v>
      </c>
      <c r="Y107" t="str">
        <f t="shared" si="31"/>
        <v>Neutral</v>
      </c>
      <c r="Z107" s="31">
        <f t="shared" si="32"/>
        <v>2</v>
      </c>
      <c r="AA107">
        <f>step3_validation[[#This Row],[AI_FAC1]]</f>
        <v>9</v>
      </c>
      <c r="AB107" t="str">
        <f t="shared" si="33"/>
        <v>Support</v>
      </c>
      <c r="AC107">
        <f>survey_responses[[#This Row],[Các thủ tục khai báo thuế VÀ/HOẶC quy trình làm việc với cơ quan thuế đơn giản, tiện lợi, nhanh chóng hơn so với trước đây. - HUMAN-FAC1]]</f>
        <v>8</v>
      </c>
      <c r="AD107" t="str">
        <f t="shared" si="34"/>
        <v>Support</v>
      </c>
      <c r="AE107" s="31">
        <f t="shared" si="35"/>
        <v>1</v>
      </c>
      <c r="AF107">
        <f>step3_validation[[#This Row],[AI_FAC2]]</f>
        <v>9</v>
      </c>
      <c r="AG107" t="str">
        <f t="shared" si="36"/>
        <v>Support</v>
      </c>
      <c r="AH107">
        <f>survey_responses[[#This Row],[So với trước đây, tôi thấy cách tính thuế và các bậc thuế trong phương án mới đơn giản, dễ hiểu và dễ thực hiện hơn. - HUMAN-FAC2]]</f>
        <v>8</v>
      </c>
      <c r="AI107" t="str">
        <f t="shared" si="37"/>
        <v>Support</v>
      </c>
      <c r="AJ107" s="31">
        <f t="shared" si="38"/>
        <v>1</v>
      </c>
      <c r="AK107">
        <f>step3_validation[[#This Row],[AI_TRU1]]</f>
        <v>7</v>
      </c>
      <c r="AL107" t="str">
        <f t="shared" si="39"/>
        <v>Neutral</v>
      </c>
      <c r="AM107">
        <f>survey_responses[[#This Row],[Tôi tin rằng Nhà nước, cơ quan thuế sẽ thực thi chính sách mới một cách khách quan, công tâm và đối xử bình đẳng với mọi người nộp thuế.  - HUMAN-TRU1]]</f>
        <v>10</v>
      </c>
      <c r="AN107" t="str">
        <f t="shared" si="40"/>
        <v>Support</v>
      </c>
      <c r="AO107" s="31">
        <f t="shared" si="41"/>
        <v>3</v>
      </c>
      <c r="AP107">
        <f>step3_validation[[#This Row],[AI_TRU2]]</f>
        <v>9</v>
      </c>
      <c r="AQ107" t="str">
        <f t="shared" si="42"/>
        <v>Support</v>
      </c>
      <c r="AR107">
        <f>survey_responses[[#This Row],[Tôi thấy mức thuế tôi phải đóng theo phương án mới là công bằng (người thu nhập như tôi đóng mức này là hợp lý). - HUMAN-TRU2]]</f>
        <v>10</v>
      </c>
      <c r="AS107" t="str">
        <f t="shared" si="43"/>
        <v>Support</v>
      </c>
      <c r="AT107" s="31">
        <f t="shared" si="44"/>
        <v>1</v>
      </c>
      <c r="AU107">
        <f>step3_validation[[#This Row],[AI_TRU3]]</f>
        <v>7</v>
      </c>
      <c r="AV107" t="str">
        <f t="shared" si="45"/>
        <v>Neutral</v>
      </c>
      <c r="AW107">
        <f>survey_responses[[#This Row],[Tôi tin tưởng số tiền thuế tôi đóng sẽ được Nhà nước sử dụng hiệu quả để cải thiện dịch vụ công (y tế, đường xá...). - HUMAN-TRU3]]</f>
        <v>10</v>
      </c>
      <c r="AX107" t="str">
        <f t="shared" si="46"/>
        <v>Support</v>
      </c>
      <c r="AY107" s="31">
        <f t="shared" si="47"/>
        <v>3</v>
      </c>
      <c r="AZ107">
        <f>step3_validation[[#This Row],[AI_TRU4]]</f>
        <v>8</v>
      </c>
      <c r="BA107" t="str">
        <f t="shared" si="48"/>
        <v>Support</v>
      </c>
      <c r="BB107">
        <f>survey_responses[[#This Row],[Tôi thấy Nhà nước đã giải thích rõ ràng, minh bạch về lý do và mục tiêu của việc sửa đổi thuế lần này. - HUMAN-TRU4]]</f>
        <v>10</v>
      </c>
      <c r="BC107" t="str">
        <f t="shared" si="49"/>
        <v>Support</v>
      </c>
      <c r="BD107" s="31">
        <f t="shared" si="50"/>
        <v>2</v>
      </c>
      <c r="BE107">
        <f>step3_validation[[#This Row],[AI_OUT1]]</f>
        <v>8</v>
      </c>
      <c r="BF107" t="str">
        <f t="shared" si="51"/>
        <v>Support</v>
      </c>
      <c r="BG107">
        <f>survey_responses[[#This Row],[Sau khi xem xét các quyền lợi và nghĩa vụ, bạn có ủng hộ và tuân thủ chính sách mới hiện nay? - HUMAN-OUT1]]</f>
        <v>10</v>
      </c>
      <c r="BH107" t="str">
        <f t="shared" si="52"/>
        <v>Support</v>
      </c>
      <c r="BI107" s="31">
        <f t="shared" si="53"/>
        <v>2</v>
      </c>
    </row>
    <row r="108" spans="1:61" hidden="1" x14ac:dyDescent="0.45">
      <c r="A108" s="29">
        <f>step3_validation[[#This Row],[Persona_ID]]</f>
        <v>107</v>
      </c>
      <c r="B108" s="30">
        <f>step3_validation[[#This Row],[Used_Seed]]</f>
        <v>148</v>
      </c>
      <c r="C108" t="str">
        <f>step3_validation[[#This Row],[Gender]]</f>
        <v>Nữ</v>
      </c>
      <c r="D108" t="str">
        <f>survey_responses[[#This Row],[Giới tính của bạn:]]</f>
        <v>Nữ</v>
      </c>
      <c r="E108" t="str">
        <f>step3_validation[[#This Row],[Age_Group]]</f>
        <v>40 - 49</v>
      </c>
      <c r="F108" t="str">
        <f>survey_responses[[#This Row],[Độ tuổi của bạn:]]</f>
        <v>40 - 49</v>
      </c>
      <c r="G108" t="str">
        <f>step3_validation[[#This Row],[Region]]</f>
        <v>Thành thị</v>
      </c>
      <c r="H108" t="str">
        <f>survey_responses[[#This Row],[Khu vực bạn đang sinh sống:]]</f>
        <v>Thành thị</v>
      </c>
      <c r="I108" t="str">
        <f>step3_validation[[#This Row],[Education]]</f>
        <v>Đại học</v>
      </c>
      <c r="J108" t="str">
        <f>survey_responses[[#This Row],[Trình độ học vấn cao nhất:]]</f>
        <v>Đại học</v>
      </c>
      <c r="K108" t="str">
        <f>step3_validation[[#This Row],[Employment]]</f>
        <v>Chính thức</v>
      </c>
      <c r="L108" t="str">
        <f>survey_responses[[#This Row],[Tình trạng việc làm chính:]]</f>
        <v>Khu vực chính thức (Có Hợp đồng lao động, đóng BHXH)</v>
      </c>
      <c r="M108">
        <f>step3_validation[[#This Row],[Income_Mil]]</f>
        <v>29.307649563470548</v>
      </c>
      <c r="N108" t="str">
        <f>survey_responses[[#This Row],[Thu nhập bình quân tháng theo Hợp đồng lao động của bạn là bao nhiêu? (Vui lòng điền tổng thu nhập trước khi khấu trừ các loại Bảo hiểm (BHXH, BHYT, BHTN) và Thuế TNCN)]]</f>
        <v>Từ 23 - 32 triệu VNĐ</v>
      </c>
      <c r="O108">
        <f>step3_validation[[#This Row],[Dependents]]</f>
        <v>1</v>
      </c>
      <c r="P108" t="str">
        <f>survey_responses[[#This Row],[Số người phụ thuộc (con nhỏ, cha mẹ già...) đủ điều kiện giảm trừ gia cảnh:]]</f>
        <v>1 người</v>
      </c>
      <c r="Q108">
        <f>step3_validation[[#This Row],[AI_ENF1]]</f>
        <v>8</v>
      </c>
      <c r="R108" t="str">
        <f t="shared" si="27"/>
        <v>Support</v>
      </c>
      <c r="S108">
        <f>survey_responses[[#This Row],[Tôi tin rằng với các quy định quản lý thuế hiện nay, hành vi gian lận hoặc trốn thuế sẽ dễ dàng bị phát hiện và xử lý nghiêm. - HUMAN-ENF1]]</f>
        <v>7</v>
      </c>
      <c r="T108" t="str">
        <f t="shared" si="28"/>
        <v>Neutral</v>
      </c>
      <c r="U108" s="31">
        <f t="shared" si="29"/>
        <v>1</v>
      </c>
      <c r="V108">
        <f>step3_validation[[#This Row],[AI_ENF2]]</f>
        <v>7</v>
      </c>
      <c r="W108" t="str">
        <f t="shared" si="30"/>
        <v>Neutral</v>
      </c>
      <c r="X108">
        <f>survey_responses[[#This Row],[Tôi tin rằng Nhà nước, cơ quan thuế có đủ khả năng và công nghệ để phát hiện, xử lý nghiêm các hành vi trốn thuế. - HUMAN-ENF2]]</f>
        <v>7</v>
      </c>
      <c r="Y108" t="str">
        <f t="shared" si="31"/>
        <v>Neutral</v>
      </c>
      <c r="Z108" s="31">
        <f t="shared" si="32"/>
        <v>0</v>
      </c>
      <c r="AA108">
        <f>step3_validation[[#This Row],[AI_FAC1]]</f>
        <v>9</v>
      </c>
      <c r="AB108" t="str">
        <f t="shared" si="33"/>
        <v>Support</v>
      </c>
      <c r="AC108">
        <f>survey_responses[[#This Row],[Các thủ tục khai báo thuế VÀ/HOẶC quy trình làm việc với cơ quan thuế đơn giản, tiện lợi, nhanh chóng hơn so với trước đây. - HUMAN-FAC1]]</f>
        <v>7</v>
      </c>
      <c r="AD108" t="str">
        <f t="shared" si="34"/>
        <v>Neutral</v>
      </c>
      <c r="AE108" s="31">
        <f t="shared" si="35"/>
        <v>2</v>
      </c>
      <c r="AF108">
        <f>step3_validation[[#This Row],[AI_FAC2]]</f>
        <v>8</v>
      </c>
      <c r="AG108" t="str">
        <f t="shared" si="36"/>
        <v>Support</v>
      </c>
      <c r="AH108">
        <f>survey_responses[[#This Row],[So với trước đây, tôi thấy cách tính thuế và các bậc thuế trong phương án mới đơn giản, dễ hiểu và dễ thực hiện hơn. - HUMAN-FAC2]]</f>
        <v>7</v>
      </c>
      <c r="AI108" t="str">
        <f t="shared" si="37"/>
        <v>Neutral</v>
      </c>
      <c r="AJ108" s="31">
        <f t="shared" si="38"/>
        <v>1</v>
      </c>
      <c r="AK108">
        <f>step3_validation[[#This Row],[AI_TRU1]]</f>
        <v>7</v>
      </c>
      <c r="AL108" t="str">
        <f t="shared" si="39"/>
        <v>Neutral</v>
      </c>
      <c r="AM108">
        <f>survey_responses[[#This Row],[Tôi tin rằng Nhà nước, cơ quan thuế sẽ thực thi chính sách mới một cách khách quan, công tâm và đối xử bình đẳng với mọi người nộp thuế.  - HUMAN-TRU1]]</f>
        <v>7</v>
      </c>
      <c r="AN108" t="str">
        <f t="shared" si="40"/>
        <v>Neutral</v>
      </c>
      <c r="AO108" s="31">
        <f t="shared" si="41"/>
        <v>0</v>
      </c>
      <c r="AP108">
        <f>step3_validation[[#This Row],[AI_TRU2]]</f>
        <v>9</v>
      </c>
      <c r="AQ108" t="str">
        <f t="shared" si="42"/>
        <v>Support</v>
      </c>
      <c r="AR108">
        <f>survey_responses[[#This Row],[Tôi thấy mức thuế tôi phải đóng theo phương án mới là công bằng (người thu nhập như tôi đóng mức này là hợp lý). - HUMAN-TRU2]]</f>
        <v>7</v>
      </c>
      <c r="AS108" t="str">
        <f t="shared" si="43"/>
        <v>Neutral</v>
      </c>
      <c r="AT108" s="31">
        <f t="shared" si="44"/>
        <v>2</v>
      </c>
      <c r="AU108">
        <f>step3_validation[[#This Row],[AI_TRU3]]</f>
        <v>7</v>
      </c>
      <c r="AV108" t="str">
        <f t="shared" si="45"/>
        <v>Neutral</v>
      </c>
      <c r="AW108">
        <f>survey_responses[[#This Row],[Tôi tin tưởng số tiền thuế tôi đóng sẽ được Nhà nước sử dụng hiệu quả để cải thiện dịch vụ công (y tế, đường xá...). - HUMAN-TRU3]]</f>
        <v>7</v>
      </c>
      <c r="AX108" t="str">
        <f t="shared" si="46"/>
        <v>Neutral</v>
      </c>
      <c r="AY108" s="31">
        <f t="shared" si="47"/>
        <v>0</v>
      </c>
      <c r="AZ108">
        <f>step3_validation[[#This Row],[AI_TRU4]]</f>
        <v>8</v>
      </c>
      <c r="BA108" t="str">
        <f t="shared" si="48"/>
        <v>Support</v>
      </c>
      <c r="BB108">
        <f>survey_responses[[#This Row],[Tôi thấy Nhà nước đã giải thích rõ ràng, minh bạch về lý do và mục tiêu của việc sửa đổi thuế lần này. - HUMAN-TRU4]]</f>
        <v>7</v>
      </c>
      <c r="BC108" t="str">
        <f t="shared" si="49"/>
        <v>Neutral</v>
      </c>
      <c r="BD108" s="31">
        <f t="shared" si="50"/>
        <v>1</v>
      </c>
      <c r="BE108">
        <f>step3_validation[[#This Row],[AI_OUT1]]</f>
        <v>9</v>
      </c>
      <c r="BF108" t="str">
        <f t="shared" si="51"/>
        <v>Support</v>
      </c>
      <c r="BG108">
        <f>survey_responses[[#This Row],[Sau khi xem xét các quyền lợi và nghĩa vụ, bạn có ủng hộ và tuân thủ chính sách mới hiện nay? - HUMAN-OUT1]]</f>
        <v>8</v>
      </c>
      <c r="BH108" t="str">
        <f t="shared" si="52"/>
        <v>Support</v>
      </c>
      <c r="BI108" s="31">
        <f t="shared" si="53"/>
        <v>1</v>
      </c>
    </row>
    <row r="109" spans="1:61" hidden="1" x14ac:dyDescent="0.45">
      <c r="A109" s="29">
        <f>step3_validation[[#This Row],[Persona_ID]]</f>
        <v>108</v>
      </c>
      <c r="B109" s="30">
        <f>step3_validation[[#This Row],[Used_Seed]]</f>
        <v>149</v>
      </c>
      <c r="C109" t="str">
        <f>step3_validation[[#This Row],[Gender]]</f>
        <v>Nữ</v>
      </c>
      <c r="D109" t="str">
        <f>survey_responses[[#This Row],[Giới tính của bạn:]]</f>
        <v>Nữ</v>
      </c>
      <c r="E109" t="str">
        <f>step3_validation[[#This Row],[Age_Group]]</f>
        <v>40 - 49</v>
      </c>
      <c r="F109" t="str">
        <f>survey_responses[[#This Row],[Độ tuổi của bạn:]]</f>
        <v>40 - 49</v>
      </c>
      <c r="G109" t="str">
        <f>step3_validation[[#This Row],[Region]]</f>
        <v>Thành thị</v>
      </c>
      <c r="H109" t="str">
        <f>survey_responses[[#This Row],[Khu vực bạn đang sinh sống:]]</f>
        <v>Thành thị</v>
      </c>
      <c r="I109" t="str">
        <f>step3_validation[[#This Row],[Education]]</f>
        <v>Đại học</v>
      </c>
      <c r="J109" t="str">
        <f>survey_responses[[#This Row],[Trình độ học vấn cao nhất:]]</f>
        <v>Đại học</v>
      </c>
      <c r="K109" t="str">
        <f>step3_validation[[#This Row],[Employment]]</f>
        <v>Chính thức</v>
      </c>
      <c r="L109" t="str">
        <f>survey_responses[[#This Row],[Tình trạng việc làm chính:]]</f>
        <v>Khu vực chính thức (Có Hợp đồng lao động, đóng BHXH)</v>
      </c>
      <c r="M109">
        <f>step3_validation[[#This Row],[Income_Mil]]</f>
        <v>14.189068614330749</v>
      </c>
      <c r="N109" t="str">
        <f>survey_responses[[#This Row],[Thu nhập bình quân tháng theo Hợp đồng lao động của bạn là bao nhiêu? (Vui lòng điền tổng thu nhập trước khi khấu trừ các loại Bảo hiểm (BHXH, BHYT, BHTN) và Thuế TNCN)]]</f>
        <v>Từ 12 - 18 triệu VNĐ</v>
      </c>
      <c r="O109">
        <f>step3_validation[[#This Row],[Dependents]]</f>
        <v>1</v>
      </c>
      <c r="P109" t="str">
        <f>survey_responses[[#This Row],[Số người phụ thuộc (con nhỏ, cha mẹ già...) đủ điều kiện giảm trừ gia cảnh:]]</f>
        <v>1 người</v>
      </c>
      <c r="Q109">
        <f>step3_validation[[#This Row],[AI_ENF1]]</f>
        <v>7</v>
      </c>
      <c r="R109" t="str">
        <f t="shared" si="27"/>
        <v>Neutral</v>
      </c>
      <c r="S109">
        <f>survey_responses[[#This Row],[Tôi tin rằng với các quy định quản lý thuế hiện nay, hành vi gian lận hoặc trốn thuế sẽ dễ dàng bị phát hiện và xử lý nghiêm. - HUMAN-ENF1]]</f>
        <v>5</v>
      </c>
      <c r="T109" t="str">
        <f t="shared" si="28"/>
        <v>Neutral</v>
      </c>
      <c r="U109" s="31">
        <f t="shared" si="29"/>
        <v>2</v>
      </c>
      <c r="V109">
        <f>step3_validation[[#This Row],[AI_ENF2]]</f>
        <v>7</v>
      </c>
      <c r="W109" t="str">
        <f t="shared" si="30"/>
        <v>Neutral</v>
      </c>
      <c r="X109">
        <f>survey_responses[[#This Row],[Tôi tin rằng Nhà nước, cơ quan thuế có đủ khả năng và công nghệ để phát hiện, xử lý nghiêm các hành vi trốn thuế. - HUMAN-ENF2]]</f>
        <v>10</v>
      </c>
      <c r="Y109" t="str">
        <f t="shared" si="31"/>
        <v>Support</v>
      </c>
      <c r="Z109" s="31">
        <f t="shared" si="32"/>
        <v>3</v>
      </c>
      <c r="AA109">
        <f>step3_validation[[#This Row],[AI_FAC1]]</f>
        <v>9</v>
      </c>
      <c r="AB109" t="str">
        <f t="shared" si="33"/>
        <v>Support</v>
      </c>
      <c r="AC109">
        <f>survey_responses[[#This Row],[Các thủ tục khai báo thuế VÀ/HOẶC quy trình làm việc với cơ quan thuế đơn giản, tiện lợi, nhanh chóng hơn so với trước đây. - HUMAN-FAC1]]</f>
        <v>5</v>
      </c>
      <c r="AD109" t="str">
        <f t="shared" si="34"/>
        <v>Neutral</v>
      </c>
      <c r="AE109" s="31">
        <f t="shared" si="35"/>
        <v>4</v>
      </c>
      <c r="AF109">
        <f>step3_validation[[#This Row],[AI_FAC2]]</f>
        <v>8</v>
      </c>
      <c r="AG109" t="str">
        <f t="shared" si="36"/>
        <v>Support</v>
      </c>
      <c r="AH109">
        <f>survey_responses[[#This Row],[So với trước đây, tôi thấy cách tính thuế và các bậc thuế trong phương án mới đơn giản, dễ hiểu và dễ thực hiện hơn. - HUMAN-FAC2]]</f>
        <v>5</v>
      </c>
      <c r="AI109" t="str">
        <f t="shared" si="37"/>
        <v>Neutral</v>
      </c>
      <c r="AJ109" s="31">
        <f t="shared" si="38"/>
        <v>3</v>
      </c>
      <c r="AK109">
        <f>step3_validation[[#This Row],[AI_TRU1]]</f>
        <v>9</v>
      </c>
      <c r="AL109" t="str">
        <f t="shared" si="39"/>
        <v>Support</v>
      </c>
      <c r="AM109">
        <f>survey_responses[[#This Row],[Tôi tin rằng Nhà nước, cơ quan thuế sẽ thực thi chính sách mới một cách khách quan, công tâm và đối xử bình đẳng với mọi người nộp thuế.  - HUMAN-TRU1]]</f>
        <v>5</v>
      </c>
      <c r="AN109" t="str">
        <f t="shared" si="40"/>
        <v>Neutral</v>
      </c>
      <c r="AO109" s="31">
        <f t="shared" si="41"/>
        <v>4</v>
      </c>
      <c r="AP109">
        <f>step3_validation[[#This Row],[AI_TRU2]]</f>
        <v>9</v>
      </c>
      <c r="AQ109" t="str">
        <f t="shared" si="42"/>
        <v>Support</v>
      </c>
      <c r="AR109">
        <f>survey_responses[[#This Row],[Tôi thấy mức thuế tôi phải đóng theo phương án mới là công bằng (người thu nhập như tôi đóng mức này là hợp lý). - HUMAN-TRU2]]</f>
        <v>5</v>
      </c>
      <c r="AS109" t="str">
        <f t="shared" si="43"/>
        <v>Neutral</v>
      </c>
      <c r="AT109" s="31">
        <f t="shared" si="44"/>
        <v>4</v>
      </c>
      <c r="AU109">
        <f>step3_validation[[#This Row],[AI_TRU3]]</f>
        <v>8</v>
      </c>
      <c r="AV109" t="str">
        <f t="shared" si="45"/>
        <v>Support</v>
      </c>
      <c r="AW109">
        <f>survey_responses[[#This Row],[Tôi tin tưởng số tiền thuế tôi đóng sẽ được Nhà nước sử dụng hiệu quả để cải thiện dịch vụ công (y tế, đường xá...). - HUMAN-TRU3]]</f>
        <v>8</v>
      </c>
      <c r="AX109" t="str">
        <f t="shared" si="46"/>
        <v>Support</v>
      </c>
      <c r="AY109" s="31">
        <f t="shared" si="47"/>
        <v>0</v>
      </c>
      <c r="AZ109">
        <f>step3_validation[[#This Row],[AI_TRU4]]</f>
        <v>9</v>
      </c>
      <c r="BA109" t="str">
        <f t="shared" si="48"/>
        <v>Support</v>
      </c>
      <c r="BB109">
        <f>survey_responses[[#This Row],[Tôi thấy Nhà nước đã giải thích rõ ràng, minh bạch về lý do và mục tiêu của việc sửa đổi thuế lần này. - HUMAN-TRU4]]</f>
        <v>5</v>
      </c>
      <c r="BC109" t="str">
        <f t="shared" si="49"/>
        <v>Neutral</v>
      </c>
      <c r="BD109" s="31">
        <f t="shared" si="50"/>
        <v>4</v>
      </c>
      <c r="BE109">
        <f>step3_validation[[#This Row],[AI_OUT1]]</f>
        <v>8</v>
      </c>
      <c r="BF109" t="str">
        <f t="shared" si="51"/>
        <v>Support</v>
      </c>
      <c r="BG109">
        <f>survey_responses[[#This Row],[Sau khi xem xét các quyền lợi và nghĩa vụ, bạn có ủng hộ và tuân thủ chính sách mới hiện nay? - HUMAN-OUT1]]</f>
        <v>6</v>
      </c>
      <c r="BH109" t="str">
        <f t="shared" si="52"/>
        <v>Neutral</v>
      </c>
      <c r="BI109" s="31">
        <f t="shared" si="53"/>
        <v>2</v>
      </c>
    </row>
    <row r="110" spans="1:61" hidden="1" x14ac:dyDescent="0.45">
      <c r="A110" s="29">
        <f>step3_validation[[#This Row],[Persona_ID]]</f>
        <v>109</v>
      </c>
      <c r="B110" s="30">
        <f>step3_validation[[#This Row],[Used_Seed]]</f>
        <v>150</v>
      </c>
      <c r="C110" t="str">
        <f>step3_validation[[#This Row],[Gender]]</f>
        <v>Nữ</v>
      </c>
      <c r="D110" t="str">
        <f>survey_responses[[#This Row],[Giới tính của bạn:]]</f>
        <v>Nữ</v>
      </c>
      <c r="E110" t="str">
        <f>step3_validation[[#This Row],[Age_Group]]</f>
        <v>40 - 49</v>
      </c>
      <c r="F110" t="str">
        <f>survey_responses[[#This Row],[Độ tuổi của bạn:]]</f>
        <v>40 - 49</v>
      </c>
      <c r="G110" t="str">
        <f>step3_validation[[#This Row],[Region]]</f>
        <v>Thành thị</v>
      </c>
      <c r="H110" t="str">
        <f>survey_responses[[#This Row],[Khu vực bạn đang sinh sống:]]</f>
        <v>Thành thị</v>
      </c>
      <c r="I110" t="str">
        <f>step3_validation[[#This Row],[Education]]</f>
        <v>Đại học</v>
      </c>
      <c r="J110" t="str">
        <f>survey_responses[[#This Row],[Trình độ học vấn cao nhất:]]</f>
        <v>Đại học</v>
      </c>
      <c r="K110" t="str">
        <f>step3_validation[[#This Row],[Employment]]</f>
        <v>Chính thức</v>
      </c>
      <c r="L110" t="str">
        <f>survey_responses[[#This Row],[Tình trạng việc làm chính:]]</f>
        <v>Khu vực chính thức (Có Hợp đồng lao động, đóng BHXH)</v>
      </c>
      <c r="M110">
        <f>step3_validation[[#This Row],[Income_Mil]]</f>
        <v>14.500927436212084</v>
      </c>
      <c r="N110" t="str">
        <f>survey_responses[[#This Row],[Thu nhập bình quân tháng theo Hợp đồng lao động của bạn là bao nhiêu? (Vui lòng điền tổng thu nhập trước khi khấu trừ các loại Bảo hiểm (BHXH, BHYT, BHTN) và Thuế TNCN)]]</f>
        <v>Từ 12 - 18 triệu VNĐ</v>
      </c>
      <c r="O110">
        <f>step3_validation[[#This Row],[Dependents]]</f>
        <v>1</v>
      </c>
      <c r="P110" t="str">
        <f>survey_responses[[#This Row],[Số người phụ thuộc (con nhỏ, cha mẹ già...) đủ điều kiện giảm trừ gia cảnh:]]</f>
        <v>1 người</v>
      </c>
      <c r="Q110">
        <f>step3_validation[[#This Row],[AI_ENF1]]</f>
        <v>8</v>
      </c>
      <c r="R110" t="str">
        <f t="shared" si="27"/>
        <v>Support</v>
      </c>
      <c r="S110">
        <f>survey_responses[[#This Row],[Tôi tin rằng với các quy định quản lý thuế hiện nay, hành vi gian lận hoặc trốn thuế sẽ dễ dàng bị phát hiện và xử lý nghiêm. - HUMAN-ENF1]]</f>
        <v>10</v>
      </c>
      <c r="T110" t="str">
        <f t="shared" si="28"/>
        <v>Support</v>
      </c>
      <c r="U110" s="31">
        <f t="shared" si="29"/>
        <v>2</v>
      </c>
      <c r="V110">
        <f>step3_validation[[#This Row],[AI_ENF2]]</f>
        <v>7</v>
      </c>
      <c r="W110" t="str">
        <f t="shared" si="30"/>
        <v>Neutral</v>
      </c>
      <c r="X110">
        <f>survey_responses[[#This Row],[Tôi tin rằng Nhà nước, cơ quan thuế có đủ khả năng và công nghệ để phát hiện, xử lý nghiêm các hành vi trốn thuế. - HUMAN-ENF2]]</f>
        <v>10</v>
      </c>
      <c r="Y110" t="str">
        <f t="shared" si="31"/>
        <v>Support</v>
      </c>
      <c r="Z110" s="31">
        <f t="shared" si="32"/>
        <v>3</v>
      </c>
      <c r="AA110">
        <f>step3_validation[[#This Row],[AI_FAC1]]</f>
        <v>9</v>
      </c>
      <c r="AB110" t="str">
        <f t="shared" si="33"/>
        <v>Support</v>
      </c>
      <c r="AC110">
        <f>survey_responses[[#This Row],[Các thủ tục khai báo thuế VÀ/HOẶC quy trình làm việc với cơ quan thuế đơn giản, tiện lợi, nhanh chóng hơn so với trước đây. - HUMAN-FAC1]]</f>
        <v>10</v>
      </c>
      <c r="AD110" t="str">
        <f t="shared" si="34"/>
        <v>Support</v>
      </c>
      <c r="AE110" s="31">
        <f t="shared" si="35"/>
        <v>1</v>
      </c>
      <c r="AF110">
        <f>step3_validation[[#This Row],[AI_FAC2]]</f>
        <v>10</v>
      </c>
      <c r="AG110" t="str">
        <f t="shared" si="36"/>
        <v>Support</v>
      </c>
      <c r="AH110">
        <f>survey_responses[[#This Row],[So với trước đây, tôi thấy cách tính thuế và các bậc thuế trong phương án mới đơn giản, dễ hiểu và dễ thực hiện hơn. - HUMAN-FAC2]]</f>
        <v>10</v>
      </c>
      <c r="AI110" t="str">
        <f t="shared" si="37"/>
        <v>Support</v>
      </c>
      <c r="AJ110" s="31">
        <f t="shared" si="38"/>
        <v>0</v>
      </c>
      <c r="AK110">
        <f>step3_validation[[#This Row],[AI_TRU1]]</f>
        <v>8</v>
      </c>
      <c r="AL110" t="str">
        <f t="shared" si="39"/>
        <v>Support</v>
      </c>
      <c r="AM110">
        <f>survey_responses[[#This Row],[Tôi tin rằng Nhà nước, cơ quan thuế sẽ thực thi chính sách mới một cách khách quan, công tâm và đối xử bình đẳng với mọi người nộp thuế.  - HUMAN-TRU1]]</f>
        <v>10</v>
      </c>
      <c r="AN110" t="str">
        <f t="shared" si="40"/>
        <v>Support</v>
      </c>
      <c r="AO110" s="31">
        <f t="shared" si="41"/>
        <v>2</v>
      </c>
      <c r="AP110">
        <f>step3_validation[[#This Row],[AI_TRU2]]</f>
        <v>9</v>
      </c>
      <c r="AQ110" t="str">
        <f t="shared" si="42"/>
        <v>Support</v>
      </c>
      <c r="AR110">
        <f>survey_responses[[#This Row],[Tôi thấy mức thuế tôi phải đóng theo phương án mới là công bằng (người thu nhập như tôi đóng mức này là hợp lý). - HUMAN-TRU2]]</f>
        <v>10</v>
      </c>
      <c r="AS110" t="str">
        <f t="shared" si="43"/>
        <v>Support</v>
      </c>
      <c r="AT110" s="31">
        <f t="shared" si="44"/>
        <v>1</v>
      </c>
      <c r="AU110">
        <f>step3_validation[[#This Row],[AI_TRU3]]</f>
        <v>8</v>
      </c>
      <c r="AV110" t="str">
        <f t="shared" si="45"/>
        <v>Support</v>
      </c>
      <c r="AW110">
        <f>survey_responses[[#This Row],[Tôi tin tưởng số tiền thuế tôi đóng sẽ được Nhà nước sử dụng hiệu quả để cải thiện dịch vụ công (y tế, đường xá...). - HUMAN-TRU3]]</f>
        <v>10</v>
      </c>
      <c r="AX110" t="str">
        <f t="shared" si="46"/>
        <v>Support</v>
      </c>
      <c r="AY110" s="31">
        <f t="shared" si="47"/>
        <v>2</v>
      </c>
      <c r="AZ110">
        <f>step3_validation[[#This Row],[AI_TRU4]]</f>
        <v>9</v>
      </c>
      <c r="BA110" t="str">
        <f t="shared" si="48"/>
        <v>Support</v>
      </c>
      <c r="BB110">
        <f>survey_responses[[#This Row],[Tôi thấy Nhà nước đã giải thích rõ ràng, minh bạch về lý do và mục tiêu của việc sửa đổi thuế lần này. - HUMAN-TRU4]]</f>
        <v>10</v>
      </c>
      <c r="BC110" t="str">
        <f t="shared" si="49"/>
        <v>Support</v>
      </c>
      <c r="BD110" s="31">
        <f t="shared" si="50"/>
        <v>1</v>
      </c>
      <c r="BE110">
        <f>step3_validation[[#This Row],[AI_OUT1]]</f>
        <v>8</v>
      </c>
      <c r="BF110" t="str">
        <f t="shared" si="51"/>
        <v>Support</v>
      </c>
      <c r="BG110">
        <f>survey_responses[[#This Row],[Sau khi xem xét các quyền lợi và nghĩa vụ, bạn có ủng hộ và tuân thủ chính sách mới hiện nay? - HUMAN-OUT1]]</f>
        <v>10</v>
      </c>
      <c r="BH110" t="str">
        <f t="shared" si="52"/>
        <v>Support</v>
      </c>
      <c r="BI110" s="31">
        <f t="shared" si="53"/>
        <v>2</v>
      </c>
    </row>
    <row r="111" spans="1:61" hidden="1" x14ac:dyDescent="0.45">
      <c r="A111" s="29">
        <f>step3_validation[[#This Row],[Persona_ID]]</f>
        <v>110</v>
      </c>
      <c r="B111" s="30">
        <f>step3_validation[[#This Row],[Used_Seed]]</f>
        <v>151</v>
      </c>
      <c r="C111" t="str">
        <f>step3_validation[[#This Row],[Gender]]</f>
        <v>Nam</v>
      </c>
      <c r="D111" t="str">
        <f>survey_responses[[#This Row],[Giới tính của bạn:]]</f>
        <v>Nam</v>
      </c>
      <c r="E111" t="str">
        <f>step3_validation[[#This Row],[Age_Group]]</f>
        <v>30 - 39</v>
      </c>
      <c r="F111" t="str">
        <f>survey_responses[[#This Row],[Độ tuổi của bạn:]]</f>
        <v>30 - 39</v>
      </c>
      <c r="G111" t="str">
        <f>step3_validation[[#This Row],[Region]]</f>
        <v>Thành thị</v>
      </c>
      <c r="H111" t="str">
        <f>survey_responses[[#This Row],[Khu vực bạn đang sinh sống:]]</f>
        <v>Thành thị</v>
      </c>
      <c r="I111" t="str">
        <f>step3_validation[[#This Row],[Education]]</f>
        <v>Đại học</v>
      </c>
      <c r="J111" t="str">
        <f>survey_responses[[#This Row],[Trình độ học vấn cao nhất:]]</f>
        <v>Đại học</v>
      </c>
      <c r="K111" t="str">
        <f>step3_validation[[#This Row],[Employment]]</f>
        <v>Chính thức</v>
      </c>
      <c r="L111" t="str">
        <f>survey_responses[[#This Row],[Tình trạng việc làm chính:]]</f>
        <v>Khu vực chính thức (Có Hợp đồng lao động, đóng BHXH)</v>
      </c>
      <c r="M111">
        <f>step3_validation[[#This Row],[Income_Mil]]</f>
        <v>66.698083237342587</v>
      </c>
      <c r="N111" t="str">
        <f>survey_responses[[#This Row],[Thu nhập bình quân tháng theo Hợp đồng lao động của bạn là bao nhiêu? (Vui lòng điền tổng thu nhập trước khi khấu trừ các loại Bảo hiểm (BHXH, BHYT, BHTN) và Thuế TNCN)]]</f>
        <v>Từ 48 - 70 triệu VNĐ</v>
      </c>
      <c r="O111">
        <f>step3_validation[[#This Row],[Dependents]]</f>
        <v>2</v>
      </c>
      <c r="P111" t="str">
        <f>survey_responses[[#This Row],[Số người phụ thuộc (con nhỏ, cha mẹ già...) đủ điều kiện giảm trừ gia cảnh:]]</f>
        <v>2 người</v>
      </c>
      <c r="Q111">
        <f>step3_validation[[#This Row],[AI_ENF1]]</f>
        <v>8</v>
      </c>
      <c r="R111" t="str">
        <f t="shared" si="27"/>
        <v>Support</v>
      </c>
      <c r="S111">
        <f>survey_responses[[#This Row],[Tôi tin rằng với các quy định quản lý thuế hiện nay, hành vi gian lận hoặc trốn thuế sẽ dễ dàng bị phát hiện và xử lý nghiêm. - HUMAN-ENF1]]</f>
        <v>7</v>
      </c>
      <c r="T111" t="str">
        <f t="shared" si="28"/>
        <v>Neutral</v>
      </c>
      <c r="U111" s="31">
        <f t="shared" si="29"/>
        <v>1</v>
      </c>
      <c r="V111">
        <f>step3_validation[[#This Row],[AI_ENF2]]</f>
        <v>9</v>
      </c>
      <c r="W111" t="str">
        <f t="shared" si="30"/>
        <v>Support</v>
      </c>
      <c r="X111">
        <f>survey_responses[[#This Row],[Tôi tin rằng Nhà nước, cơ quan thuế có đủ khả năng và công nghệ để phát hiện, xử lý nghiêm các hành vi trốn thuế. - HUMAN-ENF2]]</f>
        <v>6</v>
      </c>
      <c r="Y111" t="str">
        <f t="shared" si="31"/>
        <v>Neutral</v>
      </c>
      <c r="Z111" s="31">
        <f t="shared" si="32"/>
        <v>3</v>
      </c>
      <c r="AA111">
        <f>step3_validation[[#This Row],[AI_FAC1]]</f>
        <v>7</v>
      </c>
      <c r="AB111" t="str">
        <f t="shared" si="33"/>
        <v>Neutral</v>
      </c>
      <c r="AC111">
        <f>survey_responses[[#This Row],[Các thủ tục khai báo thuế VÀ/HOẶC quy trình làm việc với cơ quan thuế đơn giản, tiện lợi, nhanh chóng hơn so với trước đây. - HUMAN-FAC1]]</f>
        <v>8</v>
      </c>
      <c r="AD111" t="str">
        <f t="shared" si="34"/>
        <v>Support</v>
      </c>
      <c r="AE111" s="31">
        <f t="shared" si="35"/>
        <v>1</v>
      </c>
      <c r="AF111">
        <f>step3_validation[[#This Row],[AI_FAC2]]</f>
        <v>9</v>
      </c>
      <c r="AG111" t="str">
        <f t="shared" si="36"/>
        <v>Support</v>
      </c>
      <c r="AH111">
        <f>survey_responses[[#This Row],[So với trước đây, tôi thấy cách tính thuế và các bậc thuế trong phương án mới đơn giản, dễ hiểu và dễ thực hiện hơn. - HUMAN-FAC2]]</f>
        <v>8</v>
      </c>
      <c r="AI111" t="str">
        <f t="shared" si="37"/>
        <v>Support</v>
      </c>
      <c r="AJ111" s="31">
        <f t="shared" si="38"/>
        <v>1</v>
      </c>
      <c r="AK111">
        <f>step3_validation[[#This Row],[AI_TRU1]]</f>
        <v>8</v>
      </c>
      <c r="AL111" t="str">
        <f t="shared" si="39"/>
        <v>Support</v>
      </c>
      <c r="AM111">
        <f>survey_responses[[#This Row],[Tôi tin rằng Nhà nước, cơ quan thuế sẽ thực thi chính sách mới một cách khách quan, công tâm và đối xử bình đẳng với mọi người nộp thuế.  - HUMAN-TRU1]]</f>
        <v>7</v>
      </c>
      <c r="AN111" t="str">
        <f t="shared" si="40"/>
        <v>Neutral</v>
      </c>
      <c r="AO111" s="31">
        <f t="shared" si="41"/>
        <v>1</v>
      </c>
      <c r="AP111">
        <f>step3_validation[[#This Row],[AI_TRU2]]</f>
        <v>9</v>
      </c>
      <c r="AQ111" t="str">
        <f t="shared" si="42"/>
        <v>Support</v>
      </c>
      <c r="AR111">
        <f>survey_responses[[#This Row],[Tôi thấy mức thuế tôi phải đóng theo phương án mới là công bằng (người thu nhập như tôi đóng mức này là hợp lý). - HUMAN-TRU2]]</f>
        <v>6</v>
      </c>
      <c r="AS111" t="str">
        <f t="shared" si="43"/>
        <v>Neutral</v>
      </c>
      <c r="AT111" s="31">
        <f t="shared" si="44"/>
        <v>3</v>
      </c>
      <c r="AU111">
        <f>step3_validation[[#This Row],[AI_TRU3]]</f>
        <v>8</v>
      </c>
      <c r="AV111" t="str">
        <f t="shared" si="45"/>
        <v>Support</v>
      </c>
      <c r="AW111">
        <f>survey_responses[[#This Row],[Tôi tin tưởng số tiền thuế tôi đóng sẽ được Nhà nước sử dụng hiệu quả để cải thiện dịch vụ công (y tế, đường xá...). - HUMAN-TRU3]]</f>
        <v>5</v>
      </c>
      <c r="AX111" t="str">
        <f t="shared" si="46"/>
        <v>Neutral</v>
      </c>
      <c r="AY111" s="31">
        <f t="shared" si="47"/>
        <v>3</v>
      </c>
      <c r="AZ111">
        <f>step3_validation[[#This Row],[AI_TRU4]]</f>
        <v>9</v>
      </c>
      <c r="BA111" t="str">
        <f t="shared" si="48"/>
        <v>Support</v>
      </c>
      <c r="BB111">
        <f>survey_responses[[#This Row],[Tôi thấy Nhà nước đã giải thích rõ ràng, minh bạch về lý do và mục tiêu của việc sửa đổi thuế lần này. - HUMAN-TRU4]]</f>
        <v>5</v>
      </c>
      <c r="BC111" t="str">
        <f t="shared" si="49"/>
        <v>Neutral</v>
      </c>
      <c r="BD111" s="31">
        <f t="shared" si="50"/>
        <v>4</v>
      </c>
      <c r="BE111">
        <f>step3_validation[[#This Row],[AI_OUT1]]</f>
        <v>10</v>
      </c>
      <c r="BF111" t="str">
        <f t="shared" si="51"/>
        <v>Support</v>
      </c>
      <c r="BG111">
        <f>survey_responses[[#This Row],[Sau khi xem xét các quyền lợi và nghĩa vụ, bạn có ủng hộ và tuân thủ chính sách mới hiện nay? - HUMAN-OUT1]]</f>
        <v>8</v>
      </c>
      <c r="BH111" t="str">
        <f t="shared" si="52"/>
        <v>Support</v>
      </c>
      <c r="BI111" s="31">
        <f t="shared" si="53"/>
        <v>2</v>
      </c>
    </row>
    <row r="112" spans="1:61" hidden="1" x14ac:dyDescent="0.45">
      <c r="A112" s="29">
        <f>step3_validation[[#This Row],[Persona_ID]]</f>
        <v>111</v>
      </c>
      <c r="B112" s="30">
        <f>step3_validation[[#This Row],[Used_Seed]]</f>
        <v>152</v>
      </c>
      <c r="C112" t="str">
        <f>step3_validation[[#This Row],[Gender]]</f>
        <v>Nam</v>
      </c>
      <c r="D112" t="str">
        <f>survey_responses[[#This Row],[Giới tính của bạn:]]</f>
        <v>Nam</v>
      </c>
      <c r="E112" t="str">
        <f>step3_validation[[#This Row],[Age_Group]]</f>
        <v>50 - 54</v>
      </c>
      <c r="F112" t="str">
        <f>survey_responses[[#This Row],[Độ tuổi của bạn:]]</f>
        <v>50 - 54</v>
      </c>
      <c r="G112" t="str">
        <f>step3_validation[[#This Row],[Region]]</f>
        <v>Thành thị</v>
      </c>
      <c r="H112" t="str">
        <f>survey_responses[[#This Row],[Khu vực bạn đang sinh sống:]]</f>
        <v>Thành thị</v>
      </c>
      <c r="I112" t="str">
        <f>step3_validation[[#This Row],[Education]]</f>
        <v>Đại học</v>
      </c>
      <c r="J112" t="str">
        <f>survey_responses[[#This Row],[Trình độ học vấn cao nhất:]]</f>
        <v>Đại học</v>
      </c>
      <c r="K112" t="str">
        <f>step3_validation[[#This Row],[Employment]]</f>
        <v>Chính thức</v>
      </c>
      <c r="L112" t="str">
        <f>survey_responses[[#This Row],[Tình trạng việc làm chính:]]</f>
        <v>Khu vực chính thức (Có Hợp đồng lao động, đóng BHXH)</v>
      </c>
      <c r="M112">
        <f>step3_validation[[#This Row],[Income_Mil]]</f>
        <v>23.132941615936844</v>
      </c>
      <c r="N112" t="str">
        <f>survey_responses[[#This Row],[Thu nhập bình quân tháng theo Hợp đồng lao động của bạn là bao nhiêu? (Vui lòng điền tổng thu nhập trước khi khấu trừ các loại Bảo hiểm (BHXH, BHYT, BHTN) và Thuế TNCN)]]</f>
        <v>Từ 23 - 32 triệu VNĐ</v>
      </c>
      <c r="O112">
        <f>step3_validation[[#This Row],[Dependents]]</f>
        <v>1</v>
      </c>
      <c r="P112" t="str">
        <f>survey_responses[[#This Row],[Số người phụ thuộc (con nhỏ, cha mẹ già...) đủ điều kiện giảm trừ gia cảnh:]]</f>
        <v>1 người</v>
      </c>
      <c r="Q112">
        <f>step3_validation[[#This Row],[AI_ENF1]]</f>
        <v>8</v>
      </c>
      <c r="R112" t="str">
        <f t="shared" si="27"/>
        <v>Support</v>
      </c>
      <c r="S112">
        <f>survey_responses[[#This Row],[Tôi tin rằng với các quy định quản lý thuế hiện nay, hành vi gian lận hoặc trốn thuế sẽ dễ dàng bị phát hiện và xử lý nghiêm. - HUMAN-ENF1]]</f>
        <v>8</v>
      </c>
      <c r="T112" t="str">
        <f t="shared" si="28"/>
        <v>Support</v>
      </c>
      <c r="U112" s="31">
        <f t="shared" si="29"/>
        <v>0</v>
      </c>
      <c r="V112">
        <f>step3_validation[[#This Row],[AI_ENF2]]</f>
        <v>9</v>
      </c>
      <c r="W112" t="str">
        <f t="shared" si="30"/>
        <v>Support</v>
      </c>
      <c r="X112">
        <f>survey_responses[[#This Row],[Tôi tin rằng Nhà nước, cơ quan thuế có đủ khả năng và công nghệ để phát hiện, xử lý nghiêm các hành vi trốn thuế. - HUMAN-ENF2]]</f>
        <v>8</v>
      </c>
      <c r="Y112" t="str">
        <f t="shared" si="31"/>
        <v>Support</v>
      </c>
      <c r="Z112" s="31">
        <f t="shared" si="32"/>
        <v>1</v>
      </c>
      <c r="AA112">
        <f>step3_validation[[#This Row],[AI_FAC1]]</f>
        <v>8</v>
      </c>
      <c r="AB112" t="str">
        <f t="shared" si="33"/>
        <v>Support</v>
      </c>
      <c r="AC112">
        <f>survey_responses[[#This Row],[Các thủ tục khai báo thuế VÀ/HOẶC quy trình làm việc với cơ quan thuế đơn giản, tiện lợi, nhanh chóng hơn so với trước đây. - HUMAN-FAC1]]</f>
        <v>6</v>
      </c>
      <c r="AD112" t="str">
        <f t="shared" si="34"/>
        <v>Neutral</v>
      </c>
      <c r="AE112" s="31">
        <f t="shared" si="35"/>
        <v>2</v>
      </c>
      <c r="AF112">
        <f>step3_validation[[#This Row],[AI_FAC2]]</f>
        <v>9</v>
      </c>
      <c r="AG112" t="str">
        <f t="shared" si="36"/>
        <v>Support</v>
      </c>
      <c r="AH112">
        <f>survey_responses[[#This Row],[So với trước đây, tôi thấy cách tính thuế và các bậc thuế trong phương án mới đơn giản, dễ hiểu và dễ thực hiện hơn. - HUMAN-FAC2]]</f>
        <v>7</v>
      </c>
      <c r="AI112" t="str">
        <f t="shared" si="37"/>
        <v>Neutral</v>
      </c>
      <c r="AJ112" s="31">
        <f t="shared" si="38"/>
        <v>2</v>
      </c>
      <c r="AK112">
        <f>step3_validation[[#This Row],[AI_TRU1]]</f>
        <v>7</v>
      </c>
      <c r="AL112" t="str">
        <f t="shared" si="39"/>
        <v>Neutral</v>
      </c>
      <c r="AM112">
        <f>survey_responses[[#This Row],[Tôi tin rằng Nhà nước, cơ quan thuế sẽ thực thi chính sách mới một cách khách quan, công tâm và đối xử bình đẳng với mọi người nộp thuế.  - HUMAN-TRU1]]</f>
        <v>6</v>
      </c>
      <c r="AN112" t="str">
        <f t="shared" si="40"/>
        <v>Neutral</v>
      </c>
      <c r="AO112" s="31">
        <f t="shared" si="41"/>
        <v>1</v>
      </c>
      <c r="AP112">
        <f>step3_validation[[#This Row],[AI_TRU2]]</f>
        <v>8</v>
      </c>
      <c r="AQ112" t="str">
        <f t="shared" si="42"/>
        <v>Support</v>
      </c>
      <c r="AR112">
        <f>survey_responses[[#This Row],[Tôi thấy mức thuế tôi phải đóng theo phương án mới là công bằng (người thu nhập như tôi đóng mức này là hợp lý). - HUMAN-TRU2]]</f>
        <v>7</v>
      </c>
      <c r="AS112" t="str">
        <f t="shared" si="43"/>
        <v>Neutral</v>
      </c>
      <c r="AT112" s="31">
        <f t="shared" si="44"/>
        <v>1</v>
      </c>
      <c r="AU112">
        <f>step3_validation[[#This Row],[AI_TRU3]]</f>
        <v>7</v>
      </c>
      <c r="AV112" t="str">
        <f t="shared" si="45"/>
        <v>Neutral</v>
      </c>
      <c r="AW112">
        <f>survey_responses[[#This Row],[Tôi tin tưởng số tiền thuế tôi đóng sẽ được Nhà nước sử dụng hiệu quả để cải thiện dịch vụ công (y tế, đường xá...). - HUMAN-TRU3]]</f>
        <v>5</v>
      </c>
      <c r="AX112" t="str">
        <f t="shared" si="46"/>
        <v>Neutral</v>
      </c>
      <c r="AY112" s="31">
        <f t="shared" si="47"/>
        <v>2</v>
      </c>
      <c r="AZ112">
        <f>step3_validation[[#This Row],[AI_TRU4]]</f>
        <v>6</v>
      </c>
      <c r="BA112" t="str">
        <f t="shared" si="48"/>
        <v>Neutral</v>
      </c>
      <c r="BB112">
        <f>survey_responses[[#This Row],[Tôi thấy Nhà nước đã giải thích rõ ràng, minh bạch về lý do và mục tiêu của việc sửa đổi thuế lần này. - HUMAN-TRU4]]</f>
        <v>5</v>
      </c>
      <c r="BC112" t="str">
        <f t="shared" si="49"/>
        <v>Neutral</v>
      </c>
      <c r="BD112" s="31">
        <f t="shared" si="50"/>
        <v>1</v>
      </c>
      <c r="BE112">
        <f>step3_validation[[#This Row],[AI_OUT1]]</f>
        <v>9</v>
      </c>
      <c r="BF112" t="str">
        <f t="shared" si="51"/>
        <v>Support</v>
      </c>
      <c r="BG112">
        <f>survey_responses[[#This Row],[Sau khi xem xét các quyền lợi và nghĩa vụ, bạn có ủng hộ và tuân thủ chính sách mới hiện nay? - HUMAN-OUT1]]</f>
        <v>5</v>
      </c>
      <c r="BH112" t="str">
        <f t="shared" si="52"/>
        <v>Neutral</v>
      </c>
      <c r="BI112" s="31">
        <f t="shared" si="53"/>
        <v>4</v>
      </c>
    </row>
    <row r="113" spans="1:61" hidden="1" x14ac:dyDescent="0.45">
      <c r="A113" s="29">
        <f>step3_validation[[#This Row],[Persona_ID]]</f>
        <v>112</v>
      </c>
      <c r="B113" s="30">
        <f>step3_validation[[#This Row],[Used_Seed]]</f>
        <v>153</v>
      </c>
      <c r="C113" t="str">
        <f>step3_validation[[#This Row],[Gender]]</f>
        <v>Nữ</v>
      </c>
      <c r="D113" t="str">
        <f>survey_responses[[#This Row],[Giới tính của bạn:]]</f>
        <v>Nữ</v>
      </c>
      <c r="E113" t="str">
        <f>step3_validation[[#This Row],[Age_Group]]</f>
        <v>40 - 49</v>
      </c>
      <c r="F113" t="str">
        <f>survey_responses[[#This Row],[Độ tuổi của bạn:]]</f>
        <v>40 - 49</v>
      </c>
      <c r="G113" t="str">
        <f>step3_validation[[#This Row],[Region]]</f>
        <v>Thành thị</v>
      </c>
      <c r="H113" t="str">
        <f>survey_responses[[#This Row],[Khu vực bạn đang sinh sống:]]</f>
        <v>Thành thị</v>
      </c>
      <c r="I113" t="str">
        <f>step3_validation[[#This Row],[Education]]</f>
        <v>Đại học</v>
      </c>
      <c r="J113" t="str">
        <f>survey_responses[[#This Row],[Trình độ học vấn cao nhất:]]</f>
        <v>Đại học</v>
      </c>
      <c r="K113" t="str">
        <f>step3_validation[[#This Row],[Employment]]</f>
        <v>Chính thức</v>
      </c>
      <c r="L113" t="str">
        <f>survey_responses[[#This Row],[Tình trạng việc làm chính:]]</f>
        <v>Khu vực chính thức (Có Hợp đồng lao động, đóng BHXH)</v>
      </c>
      <c r="M113">
        <f>step3_validation[[#This Row],[Income_Mil]]</f>
        <v>19.43793787470544</v>
      </c>
      <c r="N113" t="str">
        <f>survey_responses[[#This Row],[Thu nhập bình quân tháng theo Hợp đồng lao động của bạn là bao nhiêu? (Vui lòng điền tổng thu nhập trước khi khấu trừ các loại Bảo hiểm (BHXH, BHYT, BHTN) và Thuế TNCN)]]</f>
        <v>Từ 18 - 23 triệu VNĐ</v>
      </c>
      <c r="O113">
        <f>step3_validation[[#This Row],[Dependents]]</f>
        <v>2</v>
      </c>
      <c r="P113" t="str">
        <f>survey_responses[[#This Row],[Số người phụ thuộc (con nhỏ, cha mẹ già...) đủ điều kiện giảm trừ gia cảnh:]]</f>
        <v>2 người</v>
      </c>
      <c r="Q113">
        <f>step3_validation[[#This Row],[AI_ENF1]]</f>
        <v>9</v>
      </c>
      <c r="R113" t="str">
        <f t="shared" si="27"/>
        <v>Support</v>
      </c>
      <c r="S113">
        <f>survey_responses[[#This Row],[Tôi tin rằng với các quy định quản lý thuế hiện nay, hành vi gian lận hoặc trốn thuế sẽ dễ dàng bị phát hiện và xử lý nghiêm. - HUMAN-ENF1]]</f>
        <v>7</v>
      </c>
      <c r="T113" t="str">
        <f t="shared" si="28"/>
        <v>Neutral</v>
      </c>
      <c r="U113" s="31">
        <f t="shared" si="29"/>
        <v>2</v>
      </c>
      <c r="V113">
        <f>step3_validation[[#This Row],[AI_ENF2]]</f>
        <v>8</v>
      </c>
      <c r="W113" t="str">
        <f t="shared" si="30"/>
        <v>Support</v>
      </c>
      <c r="X113">
        <f>survey_responses[[#This Row],[Tôi tin rằng Nhà nước, cơ quan thuế có đủ khả năng và công nghệ để phát hiện, xử lý nghiêm các hành vi trốn thuế. - HUMAN-ENF2]]</f>
        <v>8</v>
      </c>
      <c r="Y113" t="str">
        <f t="shared" si="31"/>
        <v>Support</v>
      </c>
      <c r="Z113" s="31">
        <f t="shared" si="32"/>
        <v>0</v>
      </c>
      <c r="AA113">
        <f>step3_validation[[#This Row],[AI_FAC1]]</f>
        <v>9</v>
      </c>
      <c r="AB113" t="str">
        <f t="shared" si="33"/>
        <v>Support</v>
      </c>
      <c r="AC113">
        <f>survey_responses[[#This Row],[Các thủ tục khai báo thuế VÀ/HOẶC quy trình làm việc với cơ quan thuế đơn giản, tiện lợi, nhanh chóng hơn so với trước đây. - HUMAN-FAC1]]</f>
        <v>8</v>
      </c>
      <c r="AD113" t="str">
        <f t="shared" si="34"/>
        <v>Support</v>
      </c>
      <c r="AE113" s="31">
        <f t="shared" si="35"/>
        <v>1</v>
      </c>
      <c r="AF113">
        <f>step3_validation[[#This Row],[AI_FAC2]]</f>
        <v>8</v>
      </c>
      <c r="AG113" t="str">
        <f t="shared" si="36"/>
        <v>Support</v>
      </c>
      <c r="AH113">
        <f>survey_responses[[#This Row],[So với trước đây, tôi thấy cách tính thuế và các bậc thuế trong phương án mới đơn giản, dễ hiểu và dễ thực hiện hơn. - HUMAN-FAC2]]</f>
        <v>8</v>
      </c>
      <c r="AI113" t="str">
        <f t="shared" si="37"/>
        <v>Support</v>
      </c>
      <c r="AJ113" s="31">
        <f t="shared" si="38"/>
        <v>0</v>
      </c>
      <c r="AK113">
        <f>step3_validation[[#This Row],[AI_TRU1]]</f>
        <v>9</v>
      </c>
      <c r="AL113" t="str">
        <f t="shared" si="39"/>
        <v>Support</v>
      </c>
      <c r="AM113">
        <f>survey_responses[[#This Row],[Tôi tin rằng Nhà nước, cơ quan thuế sẽ thực thi chính sách mới một cách khách quan, công tâm và đối xử bình đẳng với mọi người nộp thuế.  - HUMAN-TRU1]]</f>
        <v>8</v>
      </c>
      <c r="AN113" t="str">
        <f t="shared" si="40"/>
        <v>Support</v>
      </c>
      <c r="AO113" s="31">
        <f t="shared" si="41"/>
        <v>1</v>
      </c>
      <c r="AP113">
        <f>step3_validation[[#This Row],[AI_TRU2]]</f>
        <v>8</v>
      </c>
      <c r="AQ113" t="str">
        <f t="shared" si="42"/>
        <v>Support</v>
      </c>
      <c r="AR113">
        <f>survey_responses[[#This Row],[Tôi thấy mức thuế tôi phải đóng theo phương án mới là công bằng (người thu nhập như tôi đóng mức này là hợp lý). - HUMAN-TRU2]]</f>
        <v>8</v>
      </c>
      <c r="AS113" t="str">
        <f t="shared" si="43"/>
        <v>Support</v>
      </c>
      <c r="AT113" s="31">
        <f t="shared" si="44"/>
        <v>0</v>
      </c>
      <c r="AU113">
        <f>step3_validation[[#This Row],[AI_TRU3]]</f>
        <v>9</v>
      </c>
      <c r="AV113" t="str">
        <f t="shared" si="45"/>
        <v>Support</v>
      </c>
      <c r="AW113">
        <f>survey_responses[[#This Row],[Tôi tin tưởng số tiền thuế tôi đóng sẽ được Nhà nước sử dụng hiệu quả để cải thiện dịch vụ công (y tế, đường xá...). - HUMAN-TRU3]]</f>
        <v>8</v>
      </c>
      <c r="AX113" t="str">
        <f t="shared" si="46"/>
        <v>Support</v>
      </c>
      <c r="AY113" s="31">
        <f t="shared" si="47"/>
        <v>1</v>
      </c>
      <c r="AZ113">
        <f>step3_validation[[#This Row],[AI_TRU4]]</f>
        <v>8</v>
      </c>
      <c r="BA113" t="str">
        <f t="shared" si="48"/>
        <v>Support</v>
      </c>
      <c r="BB113">
        <f>survey_responses[[#This Row],[Tôi thấy Nhà nước đã giải thích rõ ràng, minh bạch về lý do và mục tiêu của việc sửa đổi thuế lần này. - HUMAN-TRU4]]</f>
        <v>8</v>
      </c>
      <c r="BC113" t="str">
        <f t="shared" si="49"/>
        <v>Support</v>
      </c>
      <c r="BD113" s="31">
        <f t="shared" si="50"/>
        <v>0</v>
      </c>
      <c r="BE113">
        <f>step3_validation[[#This Row],[AI_OUT1]]</f>
        <v>9</v>
      </c>
      <c r="BF113" t="str">
        <f t="shared" si="51"/>
        <v>Support</v>
      </c>
      <c r="BG113">
        <f>survey_responses[[#This Row],[Sau khi xem xét các quyền lợi và nghĩa vụ, bạn có ủng hộ và tuân thủ chính sách mới hiện nay? - HUMAN-OUT1]]</f>
        <v>8</v>
      </c>
      <c r="BH113" t="str">
        <f t="shared" si="52"/>
        <v>Support</v>
      </c>
      <c r="BI113" s="31">
        <f t="shared" si="53"/>
        <v>1</v>
      </c>
    </row>
    <row r="114" spans="1:61" x14ac:dyDescent="0.45">
      <c r="A114" s="29">
        <f>step3_validation[[#This Row],[Persona_ID]]</f>
        <v>113</v>
      </c>
      <c r="B114" s="30">
        <f>step3_validation[[#This Row],[Used_Seed]]</f>
        <v>154</v>
      </c>
      <c r="C114" t="str">
        <f>step3_validation[[#This Row],[Gender]]</f>
        <v>Nữ</v>
      </c>
      <c r="D114" t="str">
        <f>survey_responses[[#This Row],[Giới tính của bạn:]]</f>
        <v>Nữ</v>
      </c>
      <c r="E114" t="str">
        <f>step3_validation[[#This Row],[Age_Group]]</f>
        <v>30 - 39</v>
      </c>
      <c r="F114" t="str">
        <f>survey_responses[[#This Row],[Độ tuổi của bạn:]]</f>
        <v>30 - 39</v>
      </c>
      <c r="G114" t="str">
        <f>step3_validation[[#This Row],[Region]]</f>
        <v>Thành thị</v>
      </c>
      <c r="H114" t="str">
        <f>survey_responses[[#This Row],[Khu vực bạn đang sinh sống:]]</f>
        <v>Thành thị</v>
      </c>
      <c r="I114" t="str">
        <f>step3_validation[[#This Row],[Education]]</f>
        <v>Đại học</v>
      </c>
      <c r="J114" t="str">
        <f>survey_responses[[#This Row],[Trình độ học vấn cao nhất:]]</f>
        <v>Đại học</v>
      </c>
      <c r="K114" t="str">
        <f>step3_validation[[#This Row],[Employment]]</f>
        <v>Chính thức</v>
      </c>
      <c r="L114" t="str">
        <f>survey_responses[[#This Row],[Tình trạng việc làm chính:]]</f>
        <v>Khu vực chính thức (Có Hợp đồng lao động, đóng BHXH)</v>
      </c>
      <c r="M114">
        <f>step3_validation[[#This Row],[Income_Mil]]</f>
        <v>12</v>
      </c>
      <c r="N114" t="str">
        <f>survey_responses[[#This Row],[Thu nhập bình quân tháng theo Hợp đồng lao động của bạn là bao nhiêu? (Vui lòng điền tổng thu nhập trước khi khấu trừ các loại Bảo hiểm (BHXH, BHYT, BHTN) và Thuế TNCN)]]</f>
        <v>Dưới 12 triệu VNĐ</v>
      </c>
      <c r="O114">
        <f>step3_validation[[#This Row],[Dependents]]</f>
        <v>3</v>
      </c>
      <c r="P114" t="str">
        <f>survey_responses[[#This Row],[Số người phụ thuộc (con nhỏ, cha mẹ già...) đủ điều kiện giảm trừ gia cảnh:]]</f>
        <v>3 người</v>
      </c>
      <c r="Q114">
        <f>step3_validation[[#This Row],[AI_ENF1]]</f>
        <v>9</v>
      </c>
      <c r="R114" t="str">
        <f t="shared" si="27"/>
        <v>Support</v>
      </c>
      <c r="S114">
        <f>survey_responses[[#This Row],[Tôi tin rằng với các quy định quản lý thuế hiện nay, hành vi gian lận hoặc trốn thuế sẽ dễ dàng bị phát hiện và xử lý nghiêm. - HUMAN-ENF1]]</f>
        <v>1</v>
      </c>
      <c r="T114" t="str">
        <f t="shared" si="28"/>
        <v>Oppose</v>
      </c>
      <c r="U114" s="31">
        <f t="shared" si="29"/>
        <v>8</v>
      </c>
      <c r="V114">
        <f>step3_validation[[#This Row],[AI_ENF2]]</f>
        <v>8</v>
      </c>
      <c r="W114" t="str">
        <f t="shared" si="30"/>
        <v>Support</v>
      </c>
      <c r="X114">
        <f>survey_responses[[#This Row],[Tôi tin rằng Nhà nước, cơ quan thuế có đủ khả năng và công nghệ để phát hiện, xử lý nghiêm các hành vi trốn thuế. - HUMAN-ENF2]]</f>
        <v>1</v>
      </c>
      <c r="Y114" t="str">
        <f t="shared" si="31"/>
        <v>Oppose</v>
      </c>
      <c r="Z114" s="31">
        <f t="shared" si="32"/>
        <v>7</v>
      </c>
      <c r="AA114">
        <f>step3_validation[[#This Row],[AI_FAC1]]</f>
        <v>7</v>
      </c>
      <c r="AB114" t="str">
        <f t="shared" si="33"/>
        <v>Neutral</v>
      </c>
      <c r="AC114">
        <f>survey_responses[[#This Row],[Các thủ tục khai báo thuế VÀ/HOẶC quy trình làm việc với cơ quan thuế đơn giản, tiện lợi, nhanh chóng hơn so với trước đây. - HUMAN-FAC1]]</f>
        <v>1</v>
      </c>
      <c r="AD114" t="str">
        <f t="shared" si="34"/>
        <v>Oppose</v>
      </c>
      <c r="AE114" s="31">
        <f t="shared" si="35"/>
        <v>6</v>
      </c>
      <c r="AF114">
        <f>step3_validation[[#This Row],[AI_FAC2]]</f>
        <v>8</v>
      </c>
      <c r="AG114" t="str">
        <f t="shared" si="36"/>
        <v>Support</v>
      </c>
      <c r="AH114">
        <f>survey_responses[[#This Row],[So với trước đây, tôi thấy cách tính thuế và các bậc thuế trong phương án mới đơn giản, dễ hiểu và dễ thực hiện hơn. - HUMAN-FAC2]]</f>
        <v>1</v>
      </c>
      <c r="AI114" t="str">
        <f t="shared" si="37"/>
        <v>Oppose</v>
      </c>
      <c r="AJ114" s="31">
        <f t="shared" si="38"/>
        <v>7</v>
      </c>
      <c r="AK114">
        <f>step3_validation[[#This Row],[AI_TRU1]]</f>
        <v>9</v>
      </c>
      <c r="AL114" t="str">
        <f t="shared" si="39"/>
        <v>Support</v>
      </c>
      <c r="AM114">
        <f>survey_responses[[#This Row],[Tôi tin rằng Nhà nước, cơ quan thuế sẽ thực thi chính sách mới một cách khách quan, công tâm và đối xử bình đẳng với mọi người nộp thuế.  - HUMAN-TRU1]]</f>
        <v>1</v>
      </c>
      <c r="AN114" t="str">
        <f t="shared" si="40"/>
        <v>Oppose</v>
      </c>
      <c r="AO114" s="31">
        <f t="shared" si="41"/>
        <v>8</v>
      </c>
      <c r="AP114">
        <f>step3_validation[[#This Row],[AI_TRU2]]</f>
        <v>8</v>
      </c>
      <c r="AQ114" t="str">
        <f t="shared" si="42"/>
        <v>Support</v>
      </c>
      <c r="AR114">
        <f>survey_responses[[#This Row],[Tôi thấy mức thuế tôi phải đóng theo phương án mới là công bằng (người thu nhập như tôi đóng mức này là hợp lý). - HUMAN-TRU2]]</f>
        <v>1</v>
      </c>
      <c r="AS114" t="str">
        <f t="shared" si="43"/>
        <v>Oppose</v>
      </c>
      <c r="AT114" s="31">
        <f t="shared" si="44"/>
        <v>7</v>
      </c>
      <c r="AU114">
        <f>step3_validation[[#This Row],[AI_TRU3]]</f>
        <v>9</v>
      </c>
      <c r="AV114" t="str">
        <f t="shared" si="45"/>
        <v>Support</v>
      </c>
      <c r="AW114">
        <f>survey_responses[[#This Row],[Tôi tin tưởng số tiền thuế tôi đóng sẽ được Nhà nước sử dụng hiệu quả để cải thiện dịch vụ công (y tế, đường xá...). - HUMAN-TRU3]]</f>
        <v>1</v>
      </c>
      <c r="AX114" t="str">
        <f t="shared" si="46"/>
        <v>Oppose</v>
      </c>
      <c r="AY114" s="31">
        <f t="shared" si="47"/>
        <v>8</v>
      </c>
      <c r="AZ114">
        <f>step3_validation[[#This Row],[AI_TRU4]]</f>
        <v>8</v>
      </c>
      <c r="BA114" t="str">
        <f t="shared" si="48"/>
        <v>Support</v>
      </c>
      <c r="BB114">
        <f>survey_responses[[#This Row],[Tôi thấy Nhà nước đã giải thích rõ ràng, minh bạch về lý do và mục tiêu của việc sửa đổi thuế lần này. - HUMAN-TRU4]]</f>
        <v>1</v>
      </c>
      <c r="BC114" t="str">
        <f t="shared" si="49"/>
        <v>Oppose</v>
      </c>
      <c r="BD114" s="31">
        <f t="shared" si="50"/>
        <v>7</v>
      </c>
      <c r="BE114">
        <f>step3_validation[[#This Row],[AI_OUT1]]</f>
        <v>9</v>
      </c>
      <c r="BF114" t="str">
        <f t="shared" si="51"/>
        <v>Support</v>
      </c>
      <c r="BG114">
        <f>survey_responses[[#This Row],[Sau khi xem xét các quyền lợi và nghĩa vụ, bạn có ủng hộ và tuân thủ chính sách mới hiện nay? - HUMAN-OUT1]]</f>
        <v>1</v>
      </c>
      <c r="BH114" t="str">
        <f t="shared" si="52"/>
        <v>Oppose</v>
      </c>
      <c r="BI114" s="31">
        <f t="shared" si="53"/>
        <v>8</v>
      </c>
    </row>
    <row r="115" spans="1:61" hidden="1" x14ac:dyDescent="0.45">
      <c r="A115" s="29">
        <f>step3_validation[[#This Row],[Persona_ID]]</f>
        <v>114</v>
      </c>
      <c r="B115" s="30">
        <f>step3_validation[[#This Row],[Used_Seed]]</f>
        <v>155</v>
      </c>
      <c r="C115" t="str">
        <f>step3_validation[[#This Row],[Gender]]</f>
        <v>Nữ</v>
      </c>
      <c r="D115" t="str">
        <f>survey_responses[[#This Row],[Giới tính của bạn:]]</f>
        <v>Nữ</v>
      </c>
      <c r="E115" t="str">
        <f>step3_validation[[#This Row],[Age_Group]]</f>
        <v>40 - 49</v>
      </c>
      <c r="F115" t="str">
        <f>survey_responses[[#This Row],[Độ tuổi của bạn:]]</f>
        <v>40 - 49</v>
      </c>
      <c r="G115" t="str">
        <f>step3_validation[[#This Row],[Region]]</f>
        <v>Thành thị</v>
      </c>
      <c r="H115" t="str">
        <f>survey_responses[[#This Row],[Khu vực bạn đang sinh sống:]]</f>
        <v>Thành thị</v>
      </c>
      <c r="I115" t="str">
        <f>step3_validation[[#This Row],[Education]]</f>
        <v>Đại học</v>
      </c>
      <c r="J115" t="str">
        <f>survey_responses[[#This Row],[Trình độ học vấn cao nhất:]]</f>
        <v>Đại học</v>
      </c>
      <c r="K115" t="str">
        <f>step3_validation[[#This Row],[Employment]]</f>
        <v>Chính thức</v>
      </c>
      <c r="L115" t="str">
        <f>survey_responses[[#This Row],[Tình trạng việc làm chính:]]</f>
        <v>Khu vực chính thức (Có Hợp đồng lao động, đóng BHXH)</v>
      </c>
      <c r="M115">
        <f>step3_validation[[#This Row],[Income_Mil]]</f>
        <v>19.551035595401128</v>
      </c>
      <c r="N115" t="str">
        <f>survey_responses[[#This Row],[Thu nhập bình quân tháng theo Hợp đồng lao động của bạn là bao nhiêu? (Vui lòng điền tổng thu nhập trước khi khấu trừ các loại Bảo hiểm (BHXH, BHYT, BHTN) và Thuế TNCN)]]</f>
        <v>Từ 18 - 23 triệu VNĐ</v>
      </c>
      <c r="O115">
        <f>step3_validation[[#This Row],[Dependents]]</f>
        <v>4</v>
      </c>
      <c r="P115" t="str">
        <f>survey_responses[[#This Row],[Số người phụ thuộc (con nhỏ, cha mẹ già...) đủ điều kiện giảm trừ gia cảnh:]]</f>
        <v>4 người trở lên</v>
      </c>
      <c r="Q115">
        <f>step3_validation[[#This Row],[AI_ENF1]]</f>
        <v>8</v>
      </c>
      <c r="R115" t="str">
        <f t="shared" si="27"/>
        <v>Support</v>
      </c>
      <c r="S115">
        <f>survey_responses[[#This Row],[Tôi tin rằng với các quy định quản lý thuế hiện nay, hành vi gian lận hoặc trốn thuế sẽ dễ dàng bị phát hiện và xử lý nghiêm. - HUMAN-ENF1]]</f>
        <v>10</v>
      </c>
      <c r="T115" t="str">
        <f t="shared" si="28"/>
        <v>Support</v>
      </c>
      <c r="U115" s="31">
        <f t="shared" si="29"/>
        <v>2</v>
      </c>
      <c r="V115">
        <f>step3_validation[[#This Row],[AI_ENF2]]</f>
        <v>7</v>
      </c>
      <c r="W115" t="str">
        <f t="shared" si="30"/>
        <v>Neutral</v>
      </c>
      <c r="X115">
        <f>survey_responses[[#This Row],[Tôi tin rằng Nhà nước, cơ quan thuế có đủ khả năng và công nghệ để phát hiện, xử lý nghiêm các hành vi trốn thuế. - HUMAN-ENF2]]</f>
        <v>10</v>
      </c>
      <c r="Y115" t="str">
        <f t="shared" si="31"/>
        <v>Support</v>
      </c>
      <c r="Z115" s="31">
        <f t="shared" si="32"/>
        <v>3</v>
      </c>
      <c r="AA115">
        <f>step3_validation[[#This Row],[AI_FAC1]]</f>
        <v>9</v>
      </c>
      <c r="AB115" t="str">
        <f t="shared" si="33"/>
        <v>Support</v>
      </c>
      <c r="AC115">
        <f>survey_responses[[#This Row],[Các thủ tục khai báo thuế VÀ/HOẶC quy trình làm việc với cơ quan thuế đơn giản, tiện lợi, nhanh chóng hơn so với trước đây. - HUMAN-FAC1]]</f>
        <v>10</v>
      </c>
      <c r="AD115" t="str">
        <f t="shared" si="34"/>
        <v>Support</v>
      </c>
      <c r="AE115" s="31">
        <f t="shared" si="35"/>
        <v>1</v>
      </c>
      <c r="AF115">
        <f>step3_validation[[#This Row],[AI_FAC2]]</f>
        <v>8</v>
      </c>
      <c r="AG115" t="str">
        <f t="shared" si="36"/>
        <v>Support</v>
      </c>
      <c r="AH115">
        <f>survey_responses[[#This Row],[So với trước đây, tôi thấy cách tính thuế và các bậc thuế trong phương án mới đơn giản, dễ hiểu và dễ thực hiện hơn. - HUMAN-FAC2]]</f>
        <v>10</v>
      </c>
      <c r="AI115" t="str">
        <f t="shared" si="37"/>
        <v>Support</v>
      </c>
      <c r="AJ115" s="31">
        <f t="shared" si="38"/>
        <v>2</v>
      </c>
      <c r="AK115">
        <f>step3_validation[[#This Row],[AI_TRU1]]</f>
        <v>9</v>
      </c>
      <c r="AL115" t="str">
        <f t="shared" si="39"/>
        <v>Support</v>
      </c>
      <c r="AM115">
        <f>survey_responses[[#This Row],[Tôi tin rằng Nhà nước, cơ quan thuế sẽ thực thi chính sách mới một cách khách quan, công tâm và đối xử bình đẳng với mọi người nộp thuế.  - HUMAN-TRU1]]</f>
        <v>10</v>
      </c>
      <c r="AN115" t="str">
        <f t="shared" si="40"/>
        <v>Support</v>
      </c>
      <c r="AO115" s="31">
        <f t="shared" si="41"/>
        <v>1</v>
      </c>
      <c r="AP115">
        <f>step3_validation[[#This Row],[AI_TRU2]]</f>
        <v>8</v>
      </c>
      <c r="AQ115" t="str">
        <f t="shared" si="42"/>
        <v>Support</v>
      </c>
      <c r="AR115">
        <f>survey_responses[[#This Row],[Tôi thấy mức thuế tôi phải đóng theo phương án mới là công bằng (người thu nhập như tôi đóng mức này là hợp lý). - HUMAN-TRU2]]</f>
        <v>10</v>
      </c>
      <c r="AS115" t="str">
        <f t="shared" si="43"/>
        <v>Support</v>
      </c>
      <c r="AT115" s="31">
        <f t="shared" si="44"/>
        <v>2</v>
      </c>
      <c r="AU115">
        <f>step3_validation[[#This Row],[AI_TRU3]]</f>
        <v>9</v>
      </c>
      <c r="AV115" t="str">
        <f t="shared" si="45"/>
        <v>Support</v>
      </c>
      <c r="AW115">
        <f>survey_responses[[#This Row],[Tôi tin tưởng số tiền thuế tôi đóng sẽ được Nhà nước sử dụng hiệu quả để cải thiện dịch vụ công (y tế, đường xá...). - HUMAN-TRU3]]</f>
        <v>10</v>
      </c>
      <c r="AX115" t="str">
        <f t="shared" si="46"/>
        <v>Support</v>
      </c>
      <c r="AY115" s="31">
        <f t="shared" si="47"/>
        <v>1</v>
      </c>
      <c r="AZ115">
        <f>step3_validation[[#This Row],[AI_TRU4]]</f>
        <v>7</v>
      </c>
      <c r="BA115" t="str">
        <f t="shared" si="48"/>
        <v>Neutral</v>
      </c>
      <c r="BB115">
        <f>survey_responses[[#This Row],[Tôi thấy Nhà nước đã giải thích rõ ràng, minh bạch về lý do và mục tiêu của việc sửa đổi thuế lần này. - HUMAN-TRU4]]</f>
        <v>10</v>
      </c>
      <c r="BC115" t="str">
        <f t="shared" si="49"/>
        <v>Support</v>
      </c>
      <c r="BD115" s="31">
        <f t="shared" si="50"/>
        <v>3</v>
      </c>
      <c r="BE115">
        <f>step3_validation[[#This Row],[AI_OUT1]]</f>
        <v>9</v>
      </c>
      <c r="BF115" t="str">
        <f t="shared" si="51"/>
        <v>Support</v>
      </c>
      <c r="BG115">
        <f>survey_responses[[#This Row],[Sau khi xem xét các quyền lợi và nghĩa vụ, bạn có ủng hộ và tuân thủ chính sách mới hiện nay? - HUMAN-OUT1]]</f>
        <v>10</v>
      </c>
      <c r="BH115" t="str">
        <f t="shared" si="52"/>
        <v>Support</v>
      </c>
      <c r="BI115" s="31">
        <f t="shared" si="53"/>
        <v>1</v>
      </c>
    </row>
    <row r="116" spans="1:61" hidden="1" x14ac:dyDescent="0.45">
      <c r="A116" s="29">
        <f>step3_validation[[#This Row],[Persona_ID]]</f>
        <v>115</v>
      </c>
      <c r="B116" s="30">
        <f>step3_validation[[#This Row],[Used_Seed]]</f>
        <v>156</v>
      </c>
      <c r="C116" t="str">
        <f>step3_validation[[#This Row],[Gender]]</f>
        <v>Nữ</v>
      </c>
      <c r="D116" t="str">
        <f>survey_responses[[#This Row],[Giới tính của bạn:]]</f>
        <v>Nữ</v>
      </c>
      <c r="E116" t="str">
        <f>step3_validation[[#This Row],[Age_Group]]</f>
        <v>40 - 49</v>
      </c>
      <c r="F116" t="str">
        <f>survey_responses[[#This Row],[Độ tuổi của bạn:]]</f>
        <v>40 - 49</v>
      </c>
      <c r="G116" t="str">
        <f>step3_validation[[#This Row],[Region]]</f>
        <v>Thành thị</v>
      </c>
      <c r="H116" t="str">
        <f>survey_responses[[#This Row],[Khu vực bạn đang sinh sống:]]</f>
        <v>Thành thị</v>
      </c>
      <c r="I116" t="str">
        <f>step3_validation[[#This Row],[Education]]</f>
        <v>Sau Đại học</v>
      </c>
      <c r="J116" t="str">
        <f>survey_responses[[#This Row],[Trình độ học vấn cao nhất:]]</f>
        <v>Sau Đại học</v>
      </c>
      <c r="K116" t="str">
        <f>step3_validation[[#This Row],[Employment]]</f>
        <v>Chính thức</v>
      </c>
      <c r="L116" t="str">
        <f>survey_responses[[#This Row],[Tình trạng việc làm chính:]]</f>
        <v>Khu vực chính thức (Có Hợp đồng lao động, đóng BHXH)</v>
      </c>
      <c r="M116">
        <f>step3_validation[[#This Row],[Income_Mil]]</f>
        <v>12.25852098708115</v>
      </c>
      <c r="N116" t="str">
        <f>survey_responses[[#This Row],[Thu nhập bình quân tháng theo Hợp đồng lao động của bạn là bao nhiêu? (Vui lòng điền tổng thu nhập trước khi khấu trừ các loại Bảo hiểm (BHXH, BHYT, BHTN) và Thuế TNCN)]]</f>
        <v>Từ 12 - 18 triệu VNĐ</v>
      </c>
      <c r="O116">
        <f>step3_validation[[#This Row],[Dependents]]</f>
        <v>4</v>
      </c>
      <c r="P116" t="str">
        <f>survey_responses[[#This Row],[Số người phụ thuộc (con nhỏ, cha mẹ già...) đủ điều kiện giảm trừ gia cảnh:]]</f>
        <v>4 người trở lên</v>
      </c>
      <c r="Q116">
        <f>step3_validation[[#This Row],[AI_ENF1]]</f>
        <v>6</v>
      </c>
      <c r="R116" t="str">
        <f t="shared" si="27"/>
        <v>Neutral</v>
      </c>
      <c r="S116">
        <f>survey_responses[[#This Row],[Tôi tin rằng với các quy định quản lý thuế hiện nay, hành vi gian lận hoặc trốn thuế sẽ dễ dàng bị phát hiện và xử lý nghiêm. - HUMAN-ENF1]]</f>
        <v>1</v>
      </c>
      <c r="T116" t="str">
        <f t="shared" si="28"/>
        <v>Oppose</v>
      </c>
      <c r="U116" s="31">
        <f t="shared" si="29"/>
        <v>5</v>
      </c>
      <c r="V116">
        <f>step3_validation[[#This Row],[AI_ENF2]]</f>
        <v>7</v>
      </c>
      <c r="W116" t="str">
        <f t="shared" si="30"/>
        <v>Neutral</v>
      </c>
      <c r="X116">
        <f>survey_responses[[#This Row],[Tôi tin rằng Nhà nước, cơ quan thuế có đủ khả năng và công nghệ để phát hiện, xử lý nghiêm các hành vi trốn thuế. - HUMAN-ENF2]]</f>
        <v>1</v>
      </c>
      <c r="Y116" t="str">
        <f t="shared" si="31"/>
        <v>Oppose</v>
      </c>
      <c r="Z116" s="31">
        <f t="shared" si="32"/>
        <v>6</v>
      </c>
      <c r="AA116">
        <f>step3_validation[[#This Row],[AI_FAC1]]</f>
        <v>9</v>
      </c>
      <c r="AB116" t="str">
        <f t="shared" si="33"/>
        <v>Support</v>
      </c>
      <c r="AC116">
        <f>survey_responses[[#This Row],[Các thủ tục khai báo thuế VÀ/HOẶC quy trình làm việc với cơ quan thuế đơn giản, tiện lợi, nhanh chóng hơn so với trước đây. - HUMAN-FAC1]]</f>
        <v>1</v>
      </c>
      <c r="AD116" t="str">
        <f t="shared" si="34"/>
        <v>Oppose</v>
      </c>
      <c r="AE116" s="31">
        <f t="shared" si="35"/>
        <v>8</v>
      </c>
      <c r="AF116">
        <f>step3_validation[[#This Row],[AI_FAC2]]</f>
        <v>8</v>
      </c>
      <c r="AG116" t="str">
        <f t="shared" si="36"/>
        <v>Support</v>
      </c>
      <c r="AH116">
        <f>survey_responses[[#This Row],[So với trước đây, tôi thấy cách tính thuế và các bậc thuế trong phương án mới đơn giản, dễ hiểu và dễ thực hiện hơn. - HUMAN-FAC2]]</f>
        <v>1</v>
      </c>
      <c r="AI116" t="str">
        <f t="shared" si="37"/>
        <v>Oppose</v>
      </c>
      <c r="AJ116" s="31">
        <f t="shared" si="38"/>
        <v>7</v>
      </c>
      <c r="AK116">
        <f>step3_validation[[#This Row],[AI_TRU1]]</f>
        <v>9</v>
      </c>
      <c r="AL116" t="str">
        <f t="shared" si="39"/>
        <v>Support</v>
      </c>
      <c r="AM116">
        <f>survey_responses[[#This Row],[Tôi tin rằng Nhà nước, cơ quan thuế sẽ thực thi chính sách mới một cách khách quan, công tâm và đối xử bình đẳng với mọi người nộp thuế.  - HUMAN-TRU1]]</f>
        <v>1</v>
      </c>
      <c r="AN116" t="str">
        <f t="shared" si="40"/>
        <v>Oppose</v>
      </c>
      <c r="AO116" s="31">
        <f t="shared" si="41"/>
        <v>8</v>
      </c>
      <c r="AP116">
        <f>step3_validation[[#This Row],[AI_TRU2]]</f>
        <v>8</v>
      </c>
      <c r="AQ116" t="str">
        <f t="shared" si="42"/>
        <v>Support</v>
      </c>
      <c r="AR116">
        <f>survey_responses[[#This Row],[Tôi thấy mức thuế tôi phải đóng theo phương án mới là công bằng (người thu nhập như tôi đóng mức này là hợp lý). - HUMAN-TRU2]]</f>
        <v>1</v>
      </c>
      <c r="AS116" t="str">
        <f t="shared" si="43"/>
        <v>Oppose</v>
      </c>
      <c r="AT116" s="31">
        <f t="shared" si="44"/>
        <v>7</v>
      </c>
      <c r="AU116">
        <f>step3_validation[[#This Row],[AI_TRU3]]</f>
        <v>9</v>
      </c>
      <c r="AV116" t="str">
        <f t="shared" si="45"/>
        <v>Support</v>
      </c>
      <c r="AW116">
        <f>survey_responses[[#This Row],[Tôi tin tưởng số tiền thuế tôi đóng sẽ được Nhà nước sử dụng hiệu quả để cải thiện dịch vụ công (y tế, đường xá...). - HUMAN-TRU3]]</f>
        <v>1</v>
      </c>
      <c r="AX116" t="str">
        <f t="shared" si="46"/>
        <v>Oppose</v>
      </c>
      <c r="AY116" s="31">
        <f t="shared" si="47"/>
        <v>8</v>
      </c>
      <c r="AZ116">
        <f>step3_validation[[#This Row],[AI_TRU4]]</f>
        <v>8</v>
      </c>
      <c r="BA116" t="str">
        <f t="shared" si="48"/>
        <v>Support</v>
      </c>
      <c r="BB116">
        <f>survey_responses[[#This Row],[Tôi thấy Nhà nước đã giải thích rõ ràng, minh bạch về lý do và mục tiêu của việc sửa đổi thuế lần này. - HUMAN-TRU4]]</f>
        <v>1</v>
      </c>
      <c r="BC116" t="str">
        <f t="shared" si="49"/>
        <v>Oppose</v>
      </c>
      <c r="BD116" s="31">
        <f t="shared" si="50"/>
        <v>7</v>
      </c>
      <c r="BE116">
        <f>step3_validation[[#This Row],[AI_OUT1]]</f>
        <v>9</v>
      </c>
      <c r="BF116" t="str">
        <f t="shared" si="51"/>
        <v>Support</v>
      </c>
      <c r="BG116">
        <f>survey_responses[[#This Row],[Sau khi xem xét các quyền lợi và nghĩa vụ, bạn có ủng hộ và tuân thủ chính sách mới hiện nay? - HUMAN-OUT1]]</f>
        <v>1</v>
      </c>
      <c r="BH116" t="str">
        <f t="shared" si="52"/>
        <v>Oppose</v>
      </c>
      <c r="BI116" s="31">
        <f t="shared" si="53"/>
        <v>8</v>
      </c>
    </row>
    <row r="117" spans="1:61" hidden="1" x14ac:dyDescent="0.45">
      <c r="A117" s="29">
        <f>step3_validation[[#This Row],[Persona_ID]]</f>
        <v>116</v>
      </c>
      <c r="B117" s="30">
        <f>step3_validation[[#This Row],[Used_Seed]]</f>
        <v>157</v>
      </c>
      <c r="C117" t="str">
        <f>step3_validation[[#This Row],[Gender]]</f>
        <v>Nữ</v>
      </c>
      <c r="D117" t="str">
        <f>survey_responses[[#This Row],[Giới tính của bạn:]]</f>
        <v>Nữ</v>
      </c>
      <c r="E117" t="str">
        <f>step3_validation[[#This Row],[Age_Group]]</f>
        <v>40 - 49</v>
      </c>
      <c r="F117" t="str">
        <f>survey_responses[[#This Row],[Độ tuổi của bạn:]]</f>
        <v>40 - 49</v>
      </c>
      <c r="G117" t="str">
        <f>step3_validation[[#This Row],[Region]]</f>
        <v>Thành thị</v>
      </c>
      <c r="H117" t="str">
        <f>survey_responses[[#This Row],[Khu vực bạn đang sinh sống:]]</f>
        <v>Thành thị</v>
      </c>
      <c r="I117" t="str">
        <f>step3_validation[[#This Row],[Education]]</f>
        <v>Sau Đại học</v>
      </c>
      <c r="J117" t="str">
        <f>survey_responses[[#This Row],[Trình độ học vấn cao nhất:]]</f>
        <v>Sau Đại học</v>
      </c>
      <c r="K117" t="str">
        <f>step3_validation[[#This Row],[Employment]]</f>
        <v>Chính thức</v>
      </c>
      <c r="L117" t="str">
        <f>survey_responses[[#This Row],[Tình trạng việc làm chính:]]</f>
        <v>Khu vực chính thức (Có Hợp đồng lao động, đóng BHXH)</v>
      </c>
      <c r="M117">
        <f>step3_validation[[#This Row],[Income_Mil]]</f>
        <v>14.926006526185645</v>
      </c>
      <c r="N117" t="str">
        <f>survey_responses[[#This Row],[Thu nhập bình quân tháng theo Hợp đồng lao động của bạn là bao nhiêu? (Vui lòng điền tổng thu nhập trước khi khấu trừ các loại Bảo hiểm (BHXH, BHYT, BHTN) và Thuế TNCN)]]</f>
        <v>Từ 12 - 18 triệu VNĐ</v>
      </c>
      <c r="O117">
        <f>step3_validation[[#This Row],[Dependents]]</f>
        <v>0</v>
      </c>
      <c r="P117" t="str">
        <f>survey_responses[[#This Row],[Số người phụ thuộc (con nhỏ, cha mẹ già...) đủ điều kiện giảm trừ gia cảnh:]]</f>
        <v>0 người</v>
      </c>
      <c r="Q117">
        <f>step3_validation[[#This Row],[AI_ENF1]]</f>
        <v>7</v>
      </c>
      <c r="R117" t="str">
        <f t="shared" si="27"/>
        <v>Neutral</v>
      </c>
      <c r="S117">
        <f>survey_responses[[#This Row],[Tôi tin rằng với các quy định quản lý thuế hiện nay, hành vi gian lận hoặc trốn thuế sẽ dễ dàng bị phát hiện và xử lý nghiêm. - HUMAN-ENF1]]</f>
        <v>9</v>
      </c>
      <c r="T117" t="str">
        <f t="shared" si="28"/>
        <v>Support</v>
      </c>
      <c r="U117" s="31">
        <f t="shared" si="29"/>
        <v>2</v>
      </c>
      <c r="V117">
        <f>step3_validation[[#This Row],[AI_ENF2]]</f>
        <v>7</v>
      </c>
      <c r="W117" t="str">
        <f t="shared" si="30"/>
        <v>Neutral</v>
      </c>
      <c r="X117">
        <f>survey_responses[[#This Row],[Tôi tin rằng Nhà nước, cơ quan thuế có đủ khả năng và công nghệ để phát hiện, xử lý nghiêm các hành vi trốn thuế. - HUMAN-ENF2]]</f>
        <v>9</v>
      </c>
      <c r="Y117" t="str">
        <f t="shared" si="31"/>
        <v>Support</v>
      </c>
      <c r="Z117" s="31">
        <f t="shared" si="32"/>
        <v>2</v>
      </c>
      <c r="AA117">
        <f>step3_validation[[#This Row],[AI_FAC1]]</f>
        <v>8</v>
      </c>
      <c r="AB117" t="str">
        <f t="shared" si="33"/>
        <v>Support</v>
      </c>
      <c r="AC117">
        <f>survey_responses[[#This Row],[Các thủ tục khai báo thuế VÀ/HOẶC quy trình làm việc với cơ quan thuế đơn giản, tiện lợi, nhanh chóng hơn so với trước đây. - HUMAN-FAC1]]</f>
        <v>9</v>
      </c>
      <c r="AD117" t="str">
        <f t="shared" si="34"/>
        <v>Support</v>
      </c>
      <c r="AE117" s="31">
        <f t="shared" si="35"/>
        <v>1</v>
      </c>
      <c r="AF117">
        <f>step3_validation[[#This Row],[AI_FAC2]]</f>
        <v>9</v>
      </c>
      <c r="AG117" t="str">
        <f t="shared" si="36"/>
        <v>Support</v>
      </c>
      <c r="AH117">
        <f>survey_responses[[#This Row],[So với trước đây, tôi thấy cách tính thuế và các bậc thuế trong phương án mới đơn giản, dễ hiểu và dễ thực hiện hơn. - HUMAN-FAC2]]</f>
        <v>9</v>
      </c>
      <c r="AI117" t="str">
        <f t="shared" si="37"/>
        <v>Support</v>
      </c>
      <c r="AJ117" s="31">
        <f t="shared" si="38"/>
        <v>0</v>
      </c>
      <c r="AK117">
        <f>step3_validation[[#This Row],[AI_TRU1]]</f>
        <v>7</v>
      </c>
      <c r="AL117" t="str">
        <f t="shared" si="39"/>
        <v>Neutral</v>
      </c>
      <c r="AM117">
        <f>survey_responses[[#This Row],[Tôi tin rằng Nhà nước, cơ quan thuế sẽ thực thi chính sách mới một cách khách quan, công tâm và đối xử bình đẳng với mọi người nộp thuế.  - HUMAN-TRU1]]</f>
        <v>9</v>
      </c>
      <c r="AN117" t="str">
        <f t="shared" si="40"/>
        <v>Support</v>
      </c>
      <c r="AO117" s="31">
        <f t="shared" si="41"/>
        <v>2</v>
      </c>
      <c r="AP117">
        <f>step3_validation[[#This Row],[AI_TRU2]]</f>
        <v>8</v>
      </c>
      <c r="AQ117" t="str">
        <f t="shared" si="42"/>
        <v>Support</v>
      </c>
      <c r="AR117">
        <f>survey_responses[[#This Row],[Tôi thấy mức thuế tôi phải đóng theo phương án mới là công bằng (người thu nhập như tôi đóng mức này là hợp lý). - HUMAN-TRU2]]</f>
        <v>9</v>
      </c>
      <c r="AS117" t="str">
        <f t="shared" si="43"/>
        <v>Support</v>
      </c>
      <c r="AT117" s="31">
        <f t="shared" si="44"/>
        <v>1</v>
      </c>
      <c r="AU117">
        <f>step3_validation[[#This Row],[AI_TRU3]]</f>
        <v>7</v>
      </c>
      <c r="AV117" t="str">
        <f t="shared" si="45"/>
        <v>Neutral</v>
      </c>
      <c r="AW117">
        <f>survey_responses[[#This Row],[Tôi tin tưởng số tiền thuế tôi đóng sẽ được Nhà nước sử dụng hiệu quả để cải thiện dịch vụ công (y tế, đường xá...). - HUMAN-TRU3]]</f>
        <v>9</v>
      </c>
      <c r="AX117" t="str">
        <f t="shared" si="46"/>
        <v>Support</v>
      </c>
      <c r="AY117" s="31">
        <f t="shared" si="47"/>
        <v>2</v>
      </c>
      <c r="AZ117">
        <f>step3_validation[[#This Row],[AI_TRU4]]</f>
        <v>6</v>
      </c>
      <c r="BA117" t="str">
        <f t="shared" si="48"/>
        <v>Neutral</v>
      </c>
      <c r="BB117">
        <f>survey_responses[[#This Row],[Tôi thấy Nhà nước đã giải thích rõ ràng, minh bạch về lý do và mục tiêu của việc sửa đổi thuế lần này. - HUMAN-TRU4]]</f>
        <v>8</v>
      </c>
      <c r="BC117" t="str">
        <f t="shared" si="49"/>
        <v>Support</v>
      </c>
      <c r="BD117" s="31">
        <f t="shared" si="50"/>
        <v>2</v>
      </c>
      <c r="BE117">
        <f>step3_validation[[#This Row],[AI_OUT1]]</f>
        <v>9</v>
      </c>
      <c r="BF117" t="str">
        <f t="shared" si="51"/>
        <v>Support</v>
      </c>
      <c r="BG117">
        <f>survey_responses[[#This Row],[Sau khi xem xét các quyền lợi và nghĩa vụ, bạn có ủng hộ và tuân thủ chính sách mới hiện nay? - HUMAN-OUT1]]</f>
        <v>9</v>
      </c>
      <c r="BH117" t="str">
        <f t="shared" si="52"/>
        <v>Support</v>
      </c>
      <c r="BI117" s="31">
        <f t="shared" si="53"/>
        <v>0</v>
      </c>
    </row>
    <row r="118" spans="1:61" hidden="1" x14ac:dyDescent="0.45">
      <c r="A118" s="29">
        <f>step3_validation[[#This Row],[Persona_ID]]</f>
        <v>117</v>
      </c>
      <c r="B118" s="30">
        <f>step3_validation[[#This Row],[Used_Seed]]</f>
        <v>158</v>
      </c>
      <c r="C118" t="str">
        <f>step3_validation[[#This Row],[Gender]]</f>
        <v>Nữ</v>
      </c>
      <c r="D118" t="str">
        <f>survey_responses[[#This Row],[Giới tính của bạn:]]</f>
        <v>Nữ</v>
      </c>
      <c r="E118" t="str">
        <f>step3_validation[[#This Row],[Age_Group]]</f>
        <v>40 - 49</v>
      </c>
      <c r="F118" t="str">
        <f>survey_responses[[#This Row],[Độ tuổi của bạn:]]</f>
        <v>40 - 49</v>
      </c>
      <c r="G118" t="str">
        <f>step3_validation[[#This Row],[Region]]</f>
        <v>Thành thị</v>
      </c>
      <c r="H118" t="str">
        <f>survey_responses[[#This Row],[Khu vực bạn đang sinh sống:]]</f>
        <v>Thành thị</v>
      </c>
      <c r="I118" t="str">
        <f>step3_validation[[#This Row],[Education]]</f>
        <v>Đại học</v>
      </c>
      <c r="J118" t="str">
        <f>survey_responses[[#This Row],[Trình độ học vấn cao nhất:]]</f>
        <v>Đại học</v>
      </c>
      <c r="K118" t="str">
        <f>step3_validation[[#This Row],[Employment]]</f>
        <v>Chính thức</v>
      </c>
      <c r="L118" t="str">
        <f>survey_responses[[#This Row],[Tình trạng việc làm chính:]]</f>
        <v>Khu vực chính thức (Có Hợp đồng lao động, đóng BHXH)</v>
      </c>
      <c r="M118">
        <f>step3_validation[[#This Row],[Income_Mil]]</f>
        <v>54.357397999614605</v>
      </c>
      <c r="N118" t="str">
        <f>survey_responses[[#This Row],[Thu nhập bình quân tháng theo Hợp đồng lao động của bạn là bao nhiêu? (Vui lòng điền tổng thu nhập trước khi khấu trừ các loại Bảo hiểm (BHXH, BHYT, BHTN) và Thuế TNCN)]]</f>
        <v>Từ 48 - 70 triệu VNĐ</v>
      </c>
      <c r="O118">
        <f>step3_validation[[#This Row],[Dependents]]</f>
        <v>0</v>
      </c>
      <c r="P118" t="str">
        <f>survey_responses[[#This Row],[Số người phụ thuộc (con nhỏ, cha mẹ già...) đủ điều kiện giảm trừ gia cảnh:]]</f>
        <v>0 người</v>
      </c>
      <c r="Q118">
        <f>step3_validation[[#This Row],[AI_ENF1]]</f>
        <v>9</v>
      </c>
      <c r="R118" t="str">
        <f t="shared" si="27"/>
        <v>Support</v>
      </c>
      <c r="S118">
        <f>survey_responses[[#This Row],[Tôi tin rằng với các quy định quản lý thuế hiện nay, hành vi gian lận hoặc trốn thuế sẽ dễ dàng bị phát hiện và xử lý nghiêm. - HUMAN-ENF1]]</f>
        <v>8</v>
      </c>
      <c r="T118" t="str">
        <f t="shared" si="28"/>
        <v>Support</v>
      </c>
      <c r="U118" s="31">
        <f t="shared" si="29"/>
        <v>1</v>
      </c>
      <c r="V118">
        <f>step3_validation[[#This Row],[AI_ENF2]]</f>
        <v>8</v>
      </c>
      <c r="W118" t="str">
        <f t="shared" si="30"/>
        <v>Support</v>
      </c>
      <c r="X118">
        <f>survey_responses[[#This Row],[Tôi tin rằng Nhà nước, cơ quan thuế có đủ khả năng và công nghệ để phát hiện, xử lý nghiêm các hành vi trốn thuế. - HUMAN-ENF2]]</f>
        <v>9</v>
      </c>
      <c r="Y118" t="str">
        <f t="shared" si="31"/>
        <v>Support</v>
      </c>
      <c r="Z118" s="31">
        <f t="shared" si="32"/>
        <v>1</v>
      </c>
      <c r="AA118">
        <f>step3_validation[[#This Row],[AI_FAC1]]</f>
        <v>8</v>
      </c>
      <c r="AB118" t="str">
        <f t="shared" si="33"/>
        <v>Support</v>
      </c>
      <c r="AC118">
        <f>survey_responses[[#This Row],[Các thủ tục khai báo thuế VÀ/HOẶC quy trình làm việc với cơ quan thuế đơn giản, tiện lợi, nhanh chóng hơn so với trước đây. - HUMAN-FAC1]]</f>
        <v>8</v>
      </c>
      <c r="AD118" t="str">
        <f t="shared" si="34"/>
        <v>Support</v>
      </c>
      <c r="AE118" s="31">
        <f t="shared" si="35"/>
        <v>0</v>
      </c>
      <c r="AF118">
        <f>step3_validation[[#This Row],[AI_FAC2]]</f>
        <v>9</v>
      </c>
      <c r="AG118" t="str">
        <f t="shared" si="36"/>
        <v>Support</v>
      </c>
      <c r="AH118">
        <f>survey_responses[[#This Row],[So với trước đây, tôi thấy cách tính thuế và các bậc thuế trong phương án mới đơn giản, dễ hiểu và dễ thực hiện hơn. - HUMAN-FAC2]]</f>
        <v>6</v>
      </c>
      <c r="AI118" t="str">
        <f t="shared" si="37"/>
        <v>Neutral</v>
      </c>
      <c r="AJ118" s="31">
        <f t="shared" si="38"/>
        <v>3</v>
      </c>
      <c r="AK118">
        <f>step3_validation[[#This Row],[AI_TRU1]]</f>
        <v>8</v>
      </c>
      <c r="AL118" t="str">
        <f t="shared" si="39"/>
        <v>Support</v>
      </c>
      <c r="AM118">
        <f>survey_responses[[#This Row],[Tôi tin rằng Nhà nước, cơ quan thuế sẽ thực thi chính sách mới một cách khách quan, công tâm và đối xử bình đẳng với mọi người nộp thuế.  - HUMAN-TRU1]]</f>
        <v>8</v>
      </c>
      <c r="AN118" t="str">
        <f t="shared" si="40"/>
        <v>Support</v>
      </c>
      <c r="AO118" s="31">
        <f t="shared" si="41"/>
        <v>0</v>
      </c>
      <c r="AP118">
        <f>step3_validation[[#This Row],[AI_TRU2]]</f>
        <v>8</v>
      </c>
      <c r="AQ118" t="str">
        <f t="shared" si="42"/>
        <v>Support</v>
      </c>
      <c r="AR118">
        <f>survey_responses[[#This Row],[Tôi thấy mức thuế tôi phải đóng theo phương án mới là công bằng (người thu nhập như tôi đóng mức này là hợp lý). - HUMAN-TRU2]]</f>
        <v>8</v>
      </c>
      <c r="AS118" t="str">
        <f t="shared" si="43"/>
        <v>Support</v>
      </c>
      <c r="AT118" s="31">
        <f t="shared" si="44"/>
        <v>0</v>
      </c>
      <c r="AU118">
        <f>step3_validation[[#This Row],[AI_TRU3]]</f>
        <v>8</v>
      </c>
      <c r="AV118" t="str">
        <f t="shared" si="45"/>
        <v>Support</v>
      </c>
      <c r="AW118">
        <f>survey_responses[[#This Row],[Tôi tin tưởng số tiền thuế tôi đóng sẽ được Nhà nước sử dụng hiệu quả để cải thiện dịch vụ công (y tế, đường xá...). - HUMAN-TRU3]]</f>
        <v>8</v>
      </c>
      <c r="AX118" t="str">
        <f t="shared" si="46"/>
        <v>Support</v>
      </c>
      <c r="AY118" s="31">
        <f t="shared" si="47"/>
        <v>0</v>
      </c>
      <c r="AZ118">
        <f>step3_validation[[#This Row],[AI_TRU4]]</f>
        <v>8</v>
      </c>
      <c r="BA118" t="str">
        <f t="shared" si="48"/>
        <v>Support</v>
      </c>
      <c r="BB118">
        <f>survey_responses[[#This Row],[Tôi thấy Nhà nước đã giải thích rõ ràng, minh bạch về lý do và mục tiêu của việc sửa đổi thuế lần này. - HUMAN-TRU4]]</f>
        <v>8</v>
      </c>
      <c r="BC118" t="str">
        <f t="shared" si="49"/>
        <v>Support</v>
      </c>
      <c r="BD118" s="31">
        <f t="shared" si="50"/>
        <v>0</v>
      </c>
      <c r="BE118">
        <f>step3_validation[[#This Row],[AI_OUT1]]</f>
        <v>9</v>
      </c>
      <c r="BF118" t="str">
        <f t="shared" si="51"/>
        <v>Support</v>
      </c>
      <c r="BG118">
        <f>survey_responses[[#This Row],[Sau khi xem xét các quyền lợi và nghĩa vụ, bạn có ủng hộ và tuân thủ chính sách mới hiện nay? - HUMAN-OUT1]]</f>
        <v>6</v>
      </c>
      <c r="BH118" t="str">
        <f t="shared" si="52"/>
        <v>Neutral</v>
      </c>
      <c r="BI118" s="31">
        <f t="shared" si="53"/>
        <v>3</v>
      </c>
    </row>
    <row r="119" spans="1:61" hidden="1" x14ac:dyDescent="0.45">
      <c r="A119" s="29">
        <f>step3_validation[[#This Row],[Persona_ID]]</f>
        <v>118</v>
      </c>
      <c r="B119" s="30">
        <f>step3_validation[[#This Row],[Used_Seed]]</f>
        <v>159</v>
      </c>
      <c r="C119" t="str">
        <f>step3_validation[[#This Row],[Gender]]</f>
        <v>Nam</v>
      </c>
      <c r="D119" t="str">
        <f>survey_responses[[#This Row],[Giới tính của bạn:]]</f>
        <v>Nam</v>
      </c>
      <c r="E119" t="str">
        <f>step3_validation[[#This Row],[Age_Group]]</f>
        <v>30 - 39</v>
      </c>
      <c r="F119" t="str">
        <f>survey_responses[[#This Row],[Độ tuổi của bạn:]]</f>
        <v>30 - 39</v>
      </c>
      <c r="G119" t="str">
        <f>step3_validation[[#This Row],[Region]]</f>
        <v>Thành thị</v>
      </c>
      <c r="H119" t="str">
        <f>survey_responses[[#This Row],[Khu vực bạn đang sinh sống:]]</f>
        <v>Thành thị</v>
      </c>
      <c r="I119" t="str">
        <f>step3_validation[[#This Row],[Education]]</f>
        <v>Sau Đại học</v>
      </c>
      <c r="J119" t="str">
        <f>survey_responses[[#This Row],[Trình độ học vấn cao nhất:]]</f>
        <v>Sau Đại học</v>
      </c>
      <c r="K119" t="str">
        <f>step3_validation[[#This Row],[Employment]]</f>
        <v>Chính thức</v>
      </c>
      <c r="L119" t="str">
        <f>survey_responses[[#This Row],[Tình trạng việc làm chính:]]</f>
        <v>Khu vực chính thức (Có Hợp đồng lao động, đóng BHXH)</v>
      </c>
      <c r="M119">
        <f>step3_validation[[#This Row],[Income_Mil]]</f>
        <v>35.067836146928116</v>
      </c>
      <c r="N119" t="str">
        <f>survey_responses[[#This Row],[Thu nhập bình quân tháng theo Hợp đồng lao động của bạn là bao nhiêu? (Vui lòng điền tổng thu nhập trước khi khấu trừ các loại Bảo hiểm (BHXH, BHYT, BHTN) và Thuế TNCN)]]</f>
        <v>Từ 32 - 48 triệu VNĐ</v>
      </c>
      <c r="O119">
        <f>step3_validation[[#This Row],[Dependents]]</f>
        <v>1</v>
      </c>
      <c r="P119" t="str">
        <f>survey_responses[[#This Row],[Số người phụ thuộc (con nhỏ, cha mẹ già...) đủ điều kiện giảm trừ gia cảnh:]]</f>
        <v>1 người</v>
      </c>
      <c r="Q119">
        <f>step3_validation[[#This Row],[AI_ENF1]]</f>
        <v>6</v>
      </c>
      <c r="R119" t="str">
        <f t="shared" si="27"/>
        <v>Neutral</v>
      </c>
      <c r="S119">
        <f>survey_responses[[#This Row],[Tôi tin rằng với các quy định quản lý thuế hiện nay, hành vi gian lận hoặc trốn thuế sẽ dễ dàng bị phát hiện và xử lý nghiêm. - HUMAN-ENF1]]</f>
        <v>4</v>
      </c>
      <c r="T119" t="str">
        <f t="shared" si="28"/>
        <v>Oppose</v>
      </c>
      <c r="U119" s="31">
        <f t="shared" si="29"/>
        <v>2</v>
      </c>
      <c r="V119">
        <f>step3_validation[[#This Row],[AI_ENF2]]</f>
        <v>7</v>
      </c>
      <c r="W119" t="str">
        <f t="shared" si="30"/>
        <v>Neutral</v>
      </c>
      <c r="X119">
        <f>survey_responses[[#This Row],[Tôi tin rằng Nhà nước, cơ quan thuế có đủ khả năng và công nghệ để phát hiện, xử lý nghiêm các hành vi trốn thuế. - HUMAN-ENF2]]</f>
        <v>1</v>
      </c>
      <c r="Y119" t="str">
        <f t="shared" si="31"/>
        <v>Oppose</v>
      </c>
      <c r="Z119" s="31">
        <f t="shared" si="32"/>
        <v>6</v>
      </c>
      <c r="AA119">
        <f>step3_validation[[#This Row],[AI_FAC1]]</f>
        <v>8</v>
      </c>
      <c r="AB119" t="str">
        <f t="shared" si="33"/>
        <v>Support</v>
      </c>
      <c r="AC119">
        <f>survey_responses[[#This Row],[Các thủ tục khai báo thuế VÀ/HOẶC quy trình làm việc với cơ quan thuế đơn giản, tiện lợi, nhanh chóng hơn so với trước đây. - HUMAN-FAC1]]</f>
        <v>1</v>
      </c>
      <c r="AD119" t="str">
        <f t="shared" si="34"/>
        <v>Oppose</v>
      </c>
      <c r="AE119" s="31">
        <f t="shared" si="35"/>
        <v>7</v>
      </c>
      <c r="AF119">
        <f>step3_validation[[#This Row],[AI_FAC2]]</f>
        <v>9</v>
      </c>
      <c r="AG119" t="str">
        <f t="shared" si="36"/>
        <v>Support</v>
      </c>
      <c r="AH119">
        <f>survey_responses[[#This Row],[So với trước đây, tôi thấy cách tính thuế và các bậc thuế trong phương án mới đơn giản, dễ hiểu và dễ thực hiện hơn. - HUMAN-FAC2]]</f>
        <v>5</v>
      </c>
      <c r="AI119" t="str">
        <f t="shared" si="37"/>
        <v>Neutral</v>
      </c>
      <c r="AJ119" s="31">
        <f t="shared" si="38"/>
        <v>4</v>
      </c>
      <c r="AK119">
        <f>step3_validation[[#This Row],[AI_TRU1]]</f>
        <v>7</v>
      </c>
      <c r="AL119" t="str">
        <f t="shared" si="39"/>
        <v>Neutral</v>
      </c>
      <c r="AM119">
        <f>survey_responses[[#This Row],[Tôi tin rằng Nhà nước, cơ quan thuế sẽ thực thi chính sách mới một cách khách quan, công tâm và đối xử bình đẳng với mọi người nộp thuế.  - HUMAN-TRU1]]</f>
        <v>1</v>
      </c>
      <c r="AN119" t="str">
        <f t="shared" si="40"/>
        <v>Oppose</v>
      </c>
      <c r="AO119" s="31">
        <f t="shared" si="41"/>
        <v>6</v>
      </c>
      <c r="AP119">
        <f>step3_validation[[#This Row],[AI_TRU2]]</f>
        <v>9</v>
      </c>
      <c r="AQ119" t="str">
        <f t="shared" si="42"/>
        <v>Support</v>
      </c>
      <c r="AR119">
        <f>survey_responses[[#This Row],[Tôi thấy mức thuế tôi phải đóng theo phương án mới là công bằng (người thu nhập như tôi đóng mức này là hợp lý). - HUMAN-TRU2]]</f>
        <v>3</v>
      </c>
      <c r="AS119" t="str">
        <f t="shared" si="43"/>
        <v>Oppose</v>
      </c>
      <c r="AT119" s="31">
        <f t="shared" si="44"/>
        <v>6</v>
      </c>
      <c r="AU119">
        <f>step3_validation[[#This Row],[AI_TRU3]]</f>
        <v>8</v>
      </c>
      <c r="AV119" t="str">
        <f t="shared" si="45"/>
        <v>Support</v>
      </c>
      <c r="AW119">
        <f>survey_responses[[#This Row],[Tôi tin tưởng số tiền thuế tôi đóng sẽ được Nhà nước sử dụng hiệu quả để cải thiện dịch vụ công (y tế, đường xá...). - HUMAN-TRU3]]</f>
        <v>1</v>
      </c>
      <c r="AX119" t="str">
        <f t="shared" si="46"/>
        <v>Oppose</v>
      </c>
      <c r="AY119" s="31">
        <f t="shared" si="47"/>
        <v>7</v>
      </c>
      <c r="AZ119">
        <f>step3_validation[[#This Row],[AI_TRU4]]</f>
        <v>7</v>
      </c>
      <c r="BA119" t="str">
        <f t="shared" si="48"/>
        <v>Neutral</v>
      </c>
      <c r="BB119">
        <f>survey_responses[[#This Row],[Tôi thấy Nhà nước đã giải thích rõ ràng, minh bạch về lý do và mục tiêu của việc sửa đổi thuế lần này. - HUMAN-TRU4]]</f>
        <v>1</v>
      </c>
      <c r="BC119" t="str">
        <f t="shared" si="49"/>
        <v>Oppose</v>
      </c>
      <c r="BD119" s="31">
        <f t="shared" si="50"/>
        <v>6</v>
      </c>
      <c r="BE119">
        <f>step3_validation[[#This Row],[AI_OUT1]]</f>
        <v>9</v>
      </c>
      <c r="BF119" t="str">
        <f t="shared" si="51"/>
        <v>Support</v>
      </c>
      <c r="BG119">
        <f>survey_responses[[#This Row],[Sau khi xem xét các quyền lợi và nghĩa vụ, bạn có ủng hộ và tuân thủ chính sách mới hiện nay? - HUMAN-OUT1]]</f>
        <v>5</v>
      </c>
      <c r="BH119" t="str">
        <f t="shared" si="52"/>
        <v>Neutral</v>
      </c>
      <c r="BI119" s="31">
        <f t="shared" si="53"/>
        <v>4</v>
      </c>
    </row>
    <row r="120" spans="1:61" hidden="1" x14ac:dyDescent="0.45">
      <c r="A120" s="29">
        <f>step3_validation[[#This Row],[Persona_ID]]</f>
        <v>119</v>
      </c>
      <c r="B120" s="30">
        <f>step3_validation[[#This Row],[Used_Seed]]</f>
        <v>160</v>
      </c>
      <c r="C120" t="str">
        <f>step3_validation[[#This Row],[Gender]]</f>
        <v>Nữ</v>
      </c>
      <c r="D120" t="str">
        <f>survey_responses[[#This Row],[Giới tính của bạn:]]</f>
        <v>Nữ</v>
      </c>
      <c r="E120" t="str">
        <f>step3_validation[[#This Row],[Age_Group]]</f>
        <v>55 - 64</v>
      </c>
      <c r="F120" t="str">
        <f>survey_responses[[#This Row],[Độ tuổi của bạn:]]</f>
        <v>55 - 64</v>
      </c>
      <c r="G120" t="str">
        <f>step3_validation[[#This Row],[Region]]</f>
        <v>Thành thị</v>
      </c>
      <c r="H120" t="str">
        <f>survey_responses[[#This Row],[Khu vực bạn đang sinh sống:]]</f>
        <v>Thành thị</v>
      </c>
      <c r="I120" t="str">
        <f>step3_validation[[#This Row],[Education]]</f>
        <v>Đại học</v>
      </c>
      <c r="J120" t="str">
        <f>survey_responses[[#This Row],[Trình độ học vấn cao nhất:]]</f>
        <v>Đại học</v>
      </c>
      <c r="K120" t="str">
        <f>step3_validation[[#This Row],[Employment]]</f>
        <v>Chính thức</v>
      </c>
      <c r="L120" t="str">
        <f>survey_responses[[#This Row],[Tình trạng việc làm chính:]]</f>
        <v>Khu vực chính thức (Có Hợp đồng lao động, đóng BHXH)</v>
      </c>
      <c r="M120">
        <f>step3_validation[[#This Row],[Income_Mil]]</f>
        <v>64.115804334565809</v>
      </c>
      <c r="N120" t="str">
        <f>survey_responses[[#This Row],[Thu nhập bình quân tháng theo Hợp đồng lao động của bạn là bao nhiêu? (Vui lòng điền tổng thu nhập trước khi khấu trừ các loại Bảo hiểm (BHXH, BHYT, BHTN) và Thuế TNCN)]]</f>
        <v>Từ 48 - 70 triệu VNĐ</v>
      </c>
      <c r="O120">
        <f>step3_validation[[#This Row],[Dependents]]</f>
        <v>4</v>
      </c>
      <c r="P120" t="str">
        <f>survey_responses[[#This Row],[Số người phụ thuộc (con nhỏ, cha mẹ già...) đủ điều kiện giảm trừ gia cảnh:]]</f>
        <v>4 người trở lên</v>
      </c>
      <c r="Q120">
        <f>step3_validation[[#This Row],[AI_ENF1]]</f>
        <v>7</v>
      </c>
      <c r="R120" t="str">
        <f t="shared" si="27"/>
        <v>Neutral</v>
      </c>
      <c r="S120">
        <f>survey_responses[[#This Row],[Tôi tin rằng với các quy định quản lý thuế hiện nay, hành vi gian lận hoặc trốn thuế sẽ dễ dàng bị phát hiện và xử lý nghiêm. - HUMAN-ENF1]]</f>
        <v>8</v>
      </c>
      <c r="T120" t="str">
        <f t="shared" si="28"/>
        <v>Support</v>
      </c>
      <c r="U120" s="31">
        <f t="shared" si="29"/>
        <v>1</v>
      </c>
      <c r="V120">
        <f>step3_validation[[#This Row],[AI_ENF2]]</f>
        <v>8</v>
      </c>
      <c r="W120" t="str">
        <f t="shared" si="30"/>
        <v>Support</v>
      </c>
      <c r="X120">
        <f>survey_responses[[#This Row],[Tôi tin rằng Nhà nước, cơ quan thuế có đủ khả năng và công nghệ để phát hiện, xử lý nghiêm các hành vi trốn thuế. - HUMAN-ENF2]]</f>
        <v>8</v>
      </c>
      <c r="Y120" t="str">
        <f t="shared" si="31"/>
        <v>Support</v>
      </c>
      <c r="Z120" s="31">
        <f t="shared" si="32"/>
        <v>0</v>
      </c>
      <c r="AA120">
        <f>step3_validation[[#This Row],[AI_FAC1]]</f>
        <v>6</v>
      </c>
      <c r="AB120" t="str">
        <f t="shared" si="33"/>
        <v>Neutral</v>
      </c>
      <c r="AC120">
        <f>survey_responses[[#This Row],[Các thủ tục khai báo thuế VÀ/HOẶC quy trình làm việc với cơ quan thuế đơn giản, tiện lợi, nhanh chóng hơn so với trước đây. - HUMAN-FAC1]]</f>
        <v>6</v>
      </c>
      <c r="AD120" t="str">
        <f t="shared" si="34"/>
        <v>Neutral</v>
      </c>
      <c r="AE120" s="31">
        <f t="shared" si="35"/>
        <v>0</v>
      </c>
      <c r="AF120">
        <f>step3_validation[[#This Row],[AI_FAC2]]</f>
        <v>9</v>
      </c>
      <c r="AG120" t="str">
        <f t="shared" si="36"/>
        <v>Support</v>
      </c>
      <c r="AH120">
        <f>survey_responses[[#This Row],[So với trước đây, tôi thấy cách tính thuế và các bậc thuế trong phương án mới đơn giản, dễ hiểu và dễ thực hiện hơn. - HUMAN-FAC2]]</f>
        <v>9</v>
      </c>
      <c r="AI120" t="str">
        <f t="shared" si="37"/>
        <v>Support</v>
      </c>
      <c r="AJ120" s="31">
        <f t="shared" si="38"/>
        <v>0</v>
      </c>
      <c r="AK120">
        <f>step3_validation[[#This Row],[AI_TRU1]]</f>
        <v>7</v>
      </c>
      <c r="AL120" t="str">
        <f t="shared" si="39"/>
        <v>Neutral</v>
      </c>
      <c r="AM120">
        <f>survey_responses[[#This Row],[Tôi tin rằng Nhà nước, cơ quan thuế sẽ thực thi chính sách mới một cách khách quan, công tâm và đối xử bình đẳng với mọi người nộp thuế.  - HUMAN-TRU1]]</f>
        <v>8</v>
      </c>
      <c r="AN120" t="str">
        <f t="shared" si="40"/>
        <v>Support</v>
      </c>
      <c r="AO120" s="31">
        <f t="shared" si="41"/>
        <v>1</v>
      </c>
      <c r="AP120">
        <f>step3_validation[[#This Row],[AI_TRU2]]</f>
        <v>8</v>
      </c>
      <c r="AQ120" t="str">
        <f t="shared" si="42"/>
        <v>Support</v>
      </c>
      <c r="AR120">
        <f>survey_responses[[#This Row],[Tôi thấy mức thuế tôi phải đóng theo phương án mới là công bằng (người thu nhập như tôi đóng mức này là hợp lý). - HUMAN-TRU2]]</f>
        <v>7</v>
      </c>
      <c r="AS120" t="str">
        <f t="shared" si="43"/>
        <v>Neutral</v>
      </c>
      <c r="AT120" s="31">
        <f t="shared" si="44"/>
        <v>1</v>
      </c>
      <c r="AU120">
        <f>step3_validation[[#This Row],[AI_TRU3]]</f>
        <v>7</v>
      </c>
      <c r="AV120" t="str">
        <f t="shared" si="45"/>
        <v>Neutral</v>
      </c>
      <c r="AW120">
        <f>survey_responses[[#This Row],[Tôi tin tưởng số tiền thuế tôi đóng sẽ được Nhà nước sử dụng hiệu quả để cải thiện dịch vụ công (y tế, đường xá...). - HUMAN-TRU3]]</f>
        <v>7</v>
      </c>
      <c r="AX120" t="str">
        <f t="shared" si="46"/>
        <v>Neutral</v>
      </c>
      <c r="AY120" s="31">
        <f t="shared" si="47"/>
        <v>0</v>
      </c>
      <c r="AZ120">
        <f>step3_validation[[#This Row],[AI_TRU4]]</f>
        <v>8</v>
      </c>
      <c r="BA120" t="str">
        <f t="shared" si="48"/>
        <v>Support</v>
      </c>
      <c r="BB120">
        <f>survey_responses[[#This Row],[Tôi thấy Nhà nước đã giải thích rõ ràng, minh bạch về lý do và mục tiêu của việc sửa đổi thuế lần này. - HUMAN-TRU4]]</f>
        <v>7</v>
      </c>
      <c r="BC120" t="str">
        <f t="shared" si="49"/>
        <v>Neutral</v>
      </c>
      <c r="BD120" s="31">
        <f t="shared" si="50"/>
        <v>1</v>
      </c>
      <c r="BE120">
        <f>step3_validation[[#This Row],[AI_OUT1]]</f>
        <v>9</v>
      </c>
      <c r="BF120" t="str">
        <f t="shared" si="51"/>
        <v>Support</v>
      </c>
      <c r="BG120">
        <f>survey_responses[[#This Row],[Sau khi xem xét các quyền lợi và nghĩa vụ, bạn có ủng hộ và tuân thủ chính sách mới hiện nay? - HUMAN-OUT1]]</f>
        <v>7</v>
      </c>
      <c r="BH120" t="str">
        <f t="shared" si="52"/>
        <v>Neutral</v>
      </c>
      <c r="BI120" s="31">
        <f t="shared" si="53"/>
        <v>2</v>
      </c>
    </row>
    <row r="121" spans="1:61" hidden="1" x14ac:dyDescent="0.45">
      <c r="A121" s="29">
        <f>step3_validation[[#This Row],[Persona_ID]]</f>
        <v>120</v>
      </c>
      <c r="B121" s="30">
        <f>step3_validation[[#This Row],[Used_Seed]]</f>
        <v>161</v>
      </c>
      <c r="C121" t="str">
        <f>step3_validation[[#This Row],[Gender]]</f>
        <v>Nữ</v>
      </c>
      <c r="D121" t="str">
        <f>survey_responses[[#This Row],[Giới tính của bạn:]]</f>
        <v>Nữ</v>
      </c>
      <c r="E121" t="str">
        <f>step3_validation[[#This Row],[Age_Group]]</f>
        <v>40 - 49</v>
      </c>
      <c r="F121" t="str">
        <f>survey_responses[[#This Row],[Độ tuổi của bạn:]]</f>
        <v>40 - 49</v>
      </c>
      <c r="G121" t="str">
        <f>step3_validation[[#This Row],[Region]]</f>
        <v>Nông thôn</v>
      </c>
      <c r="H121" t="str">
        <f>survey_responses[[#This Row],[Khu vực bạn đang sinh sống:]]</f>
        <v>Nông thôn</v>
      </c>
      <c r="I121" t="str">
        <f>step3_validation[[#This Row],[Education]]</f>
        <v>Đại học</v>
      </c>
      <c r="J121" t="str">
        <f>survey_responses[[#This Row],[Trình độ học vấn cao nhất:]]</f>
        <v>Đại học</v>
      </c>
      <c r="K121" t="str">
        <f>step3_validation[[#This Row],[Employment]]</f>
        <v>Chính thức</v>
      </c>
      <c r="L121" t="str">
        <f>survey_responses[[#This Row],[Tình trạng việc làm chính:]]</f>
        <v>Khu vực chính thức (Có Hợp đồng lao động, đóng BHXH)</v>
      </c>
      <c r="M121">
        <f>step3_validation[[#This Row],[Income_Mil]]</f>
        <v>25.663526697818767</v>
      </c>
      <c r="N121" t="str">
        <f>survey_responses[[#This Row],[Thu nhập bình quân tháng theo Hợp đồng lao động của bạn là bao nhiêu? (Vui lòng điền tổng thu nhập trước khi khấu trừ các loại Bảo hiểm (BHXH, BHYT, BHTN) và Thuế TNCN)]]</f>
        <v>Từ 23 - 32 triệu VNĐ</v>
      </c>
      <c r="O121">
        <f>step3_validation[[#This Row],[Dependents]]</f>
        <v>3</v>
      </c>
      <c r="P121" t="str">
        <f>survey_responses[[#This Row],[Số người phụ thuộc (con nhỏ, cha mẹ già...) đủ điều kiện giảm trừ gia cảnh:]]</f>
        <v>3 người</v>
      </c>
      <c r="Q121">
        <f>step3_validation[[#This Row],[AI_ENF1]]</f>
        <v>5</v>
      </c>
      <c r="R121" t="str">
        <f t="shared" si="27"/>
        <v>Neutral</v>
      </c>
      <c r="S121">
        <f>survey_responses[[#This Row],[Tôi tin rằng với các quy định quản lý thuế hiện nay, hành vi gian lận hoặc trốn thuế sẽ dễ dàng bị phát hiện và xử lý nghiêm. - HUMAN-ENF1]]</f>
        <v>6</v>
      </c>
      <c r="T121" t="str">
        <f t="shared" si="28"/>
        <v>Neutral</v>
      </c>
      <c r="U121" s="31">
        <f t="shared" si="29"/>
        <v>1</v>
      </c>
      <c r="V121">
        <f>step3_validation[[#This Row],[AI_ENF2]]</f>
        <v>6</v>
      </c>
      <c r="W121" t="str">
        <f t="shared" si="30"/>
        <v>Neutral</v>
      </c>
      <c r="X121">
        <f>survey_responses[[#This Row],[Tôi tin rằng Nhà nước, cơ quan thuế có đủ khả năng và công nghệ để phát hiện, xử lý nghiêm các hành vi trốn thuế. - HUMAN-ENF2]]</f>
        <v>6</v>
      </c>
      <c r="Y121" t="str">
        <f t="shared" si="31"/>
        <v>Neutral</v>
      </c>
      <c r="Z121" s="31">
        <f t="shared" si="32"/>
        <v>0</v>
      </c>
      <c r="AA121">
        <f>step3_validation[[#This Row],[AI_FAC1]]</f>
        <v>9</v>
      </c>
      <c r="AB121" t="str">
        <f t="shared" si="33"/>
        <v>Support</v>
      </c>
      <c r="AC121">
        <f>survey_responses[[#This Row],[Các thủ tục khai báo thuế VÀ/HOẶC quy trình làm việc với cơ quan thuế đơn giản, tiện lợi, nhanh chóng hơn so với trước đây. - HUMAN-FAC1]]</f>
        <v>6</v>
      </c>
      <c r="AD121" t="str">
        <f t="shared" si="34"/>
        <v>Neutral</v>
      </c>
      <c r="AE121" s="31">
        <f t="shared" si="35"/>
        <v>3</v>
      </c>
      <c r="AF121">
        <f>step3_validation[[#This Row],[AI_FAC2]]</f>
        <v>8</v>
      </c>
      <c r="AG121" t="str">
        <f t="shared" si="36"/>
        <v>Support</v>
      </c>
      <c r="AH121">
        <f>survey_responses[[#This Row],[So với trước đây, tôi thấy cách tính thuế và các bậc thuế trong phương án mới đơn giản, dễ hiểu và dễ thực hiện hơn. - HUMAN-FAC2]]</f>
        <v>6</v>
      </c>
      <c r="AI121" t="str">
        <f t="shared" si="37"/>
        <v>Neutral</v>
      </c>
      <c r="AJ121" s="31">
        <f t="shared" si="38"/>
        <v>2</v>
      </c>
      <c r="AK121">
        <f>step3_validation[[#This Row],[AI_TRU1]]</f>
        <v>7</v>
      </c>
      <c r="AL121" t="str">
        <f t="shared" si="39"/>
        <v>Neutral</v>
      </c>
      <c r="AM121">
        <f>survey_responses[[#This Row],[Tôi tin rằng Nhà nước, cơ quan thuế sẽ thực thi chính sách mới một cách khách quan, công tâm và đối xử bình đẳng với mọi người nộp thuế.  - HUMAN-TRU1]]</f>
        <v>6</v>
      </c>
      <c r="AN121" t="str">
        <f t="shared" si="40"/>
        <v>Neutral</v>
      </c>
      <c r="AO121" s="31">
        <f t="shared" si="41"/>
        <v>1</v>
      </c>
      <c r="AP121">
        <f>step3_validation[[#This Row],[AI_TRU2]]</f>
        <v>9</v>
      </c>
      <c r="AQ121" t="str">
        <f t="shared" si="42"/>
        <v>Support</v>
      </c>
      <c r="AR121">
        <f>survey_responses[[#This Row],[Tôi thấy mức thuế tôi phải đóng theo phương án mới là công bằng (người thu nhập như tôi đóng mức này là hợp lý). - HUMAN-TRU2]]</f>
        <v>6</v>
      </c>
      <c r="AS121" t="str">
        <f t="shared" si="43"/>
        <v>Neutral</v>
      </c>
      <c r="AT121" s="31">
        <f t="shared" si="44"/>
        <v>3</v>
      </c>
      <c r="AU121">
        <f>step3_validation[[#This Row],[AI_TRU3]]</f>
        <v>6</v>
      </c>
      <c r="AV121" t="str">
        <f t="shared" si="45"/>
        <v>Neutral</v>
      </c>
      <c r="AW121">
        <f>survey_responses[[#This Row],[Tôi tin tưởng số tiền thuế tôi đóng sẽ được Nhà nước sử dụng hiệu quả để cải thiện dịch vụ công (y tế, đường xá...). - HUMAN-TRU3]]</f>
        <v>6</v>
      </c>
      <c r="AX121" t="str">
        <f t="shared" si="46"/>
        <v>Neutral</v>
      </c>
      <c r="AY121" s="31">
        <f t="shared" si="47"/>
        <v>0</v>
      </c>
      <c r="AZ121">
        <f>step3_validation[[#This Row],[AI_TRU4]]</f>
        <v>8</v>
      </c>
      <c r="BA121" t="str">
        <f t="shared" si="48"/>
        <v>Support</v>
      </c>
      <c r="BB121">
        <f>survey_responses[[#This Row],[Tôi thấy Nhà nước đã giải thích rõ ràng, minh bạch về lý do và mục tiêu của việc sửa đổi thuế lần này. - HUMAN-TRU4]]</f>
        <v>6</v>
      </c>
      <c r="BC121" t="str">
        <f t="shared" si="49"/>
        <v>Neutral</v>
      </c>
      <c r="BD121" s="31">
        <f t="shared" si="50"/>
        <v>2</v>
      </c>
      <c r="BE121">
        <f>step3_validation[[#This Row],[AI_OUT1]]</f>
        <v>9</v>
      </c>
      <c r="BF121" t="str">
        <f t="shared" si="51"/>
        <v>Support</v>
      </c>
      <c r="BG121">
        <f>survey_responses[[#This Row],[Sau khi xem xét các quyền lợi và nghĩa vụ, bạn có ủng hộ và tuân thủ chính sách mới hiện nay? - HUMAN-OUT1]]</f>
        <v>6</v>
      </c>
      <c r="BH121" t="str">
        <f t="shared" si="52"/>
        <v>Neutral</v>
      </c>
      <c r="BI121" s="31">
        <f t="shared" si="53"/>
        <v>3</v>
      </c>
    </row>
    <row r="122" spans="1:61" hidden="1" x14ac:dyDescent="0.45">
      <c r="A122" s="29">
        <f>step3_validation[[#This Row],[Persona_ID]]</f>
        <v>121</v>
      </c>
      <c r="B122" s="30">
        <f>step3_validation[[#This Row],[Used_Seed]]</f>
        <v>162</v>
      </c>
      <c r="C122" t="str">
        <f>step3_validation[[#This Row],[Gender]]</f>
        <v>Nam</v>
      </c>
      <c r="D122" t="str">
        <f>survey_responses[[#This Row],[Giới tính của bạn:]]</f>
        <v>Nam</v>
      </c>
      <c r="E122" t="str">
        <f>step3_validation[[#This Row],[Age_Group]]</f>
        <v>50 - 54</v>
      </c>
      <c r="F122" t="str">
        <f>survey_responses[[#This Row],[Độ tuổi của bạn:]]</f>
        <v>50 - 54</v>
      </c>
      <c r="G122" t="str">
        <f>step3_validation[[#This Row],[Region]]</f>
        <v>Thành thị</v>
      </c>
      <c r="H122" t="str">
        <f>survey_responses[[#This Row],[Khu vực bạn đang sinh sống:]]</f>
        <v>Thành thị</v>
      </c>
      <c r="I122" t="str">
        <f>step3_validation[[#This Row],[Education]]</f>
        <v>Sau Đại học</v>
      </c>
      <c r="J122" t="str">
        <f>survey_responses[[#This Row],[Trình độ học vấn cao nhất:]]</f>
        <v>Sau Đại học</v>
      </c>
      <c r="K122" t="str">
        <f>step3_validation[[#This Row],[Employment]]</f>
        <v>Phi chính thức</v>
      </c>
      <c r="L122" t="str">
        <f>survey_responses[[#This Row],[Tình trạng việc làm chính:]]</f>
        <v>Khu vực phi chính thức (Lao động tự do, không có HĐLĐ)</v>
      </c>
      <c r="M122">
        <f>step3_validation[[#This Row],[Income_Mil]]</f>
        <v>181.12453379527199</v>
      </c>
      <c r="N122" t="str">
        <f>survey_responses[[#This Row],[Thu nhập bình quân tháng theo Hợp đồng lao động của bạn là bao nhiêu? (Vui lòng điền tổng thu nhập trước khi khấu trừ các loại Bảo hiểm (BHXH, BHYT, BHTN) và Thuế TNCN)]]</f>
        <v>Trên 102 triệu VNĐ</v>
      </c>
      <c r="O122">
        <f>step3_validation[[#This Row],[Dependents]]</f>
        <v>4</v>
      </c>
      <c r="P122" t="str">
        <f>survey_responses[[#This Row],[Số người phụ thuộc (con nhỏ, cha mẹ già...) đủ điều kiện giảm trừ gia cảnh:]]</f>
        <v>4 người trở lên</v>
      </c>
      <c r="Q122">
        <f>step3_validation[[#This Row],[AI_ENF1]]</f>
        <v>7</v>
      </c>
      <c r="R122" t="str">
        <f t="shared" si="27"/>
        <v>Neutral</v>
      </c>
      <c r="S122">
        <f>survey_responses[[#This Row],[Tôi tin rằng với các quy định quản lý thuế hiện nay, hành vi gian lận hoặc trốn thuế sẽ dễ dàng bị phát hiện và xử lý nghiêm. - HUMAN-ENF1]]</f>
        <v>1</v>
      </c>
      <c r="T122" t="str">
        <f t="shared" si="28"/>
        <v>Oppose</v>
      </c>
      <c r="U122" s="31">
        <f t="shared" si="29"/>
        <v>6</v>
      </c>
      <c r="V122">
        <f>step3_validation[[#This Row],[AI_ENF2]]</f>
        <v>6</v>
      </c>
      <c r="W122" t="str">
        <f t="shared" si="30"/>
        <v>Neutral</v>
      </c>
      <c r="X122">
        <f>survey_responses[[#This Row],[Tôi tin rằng Nhà nước, cơ quan thuế có đủ khả năng và công nghệ để phát hiện, xử lý nghiêm các hành vi trốn thuế. - HUMAN-ENF2]]</f>
        <v>1</v>
      </c>
      <c r="Y122" t="str">
        <f t="shared" si="31"/>
        <v>Oppose</v>
      </c>
      <c r="Z122" s="31">
        <f t="shared" si="32"/>
        <v>5</v>
      </c>
      <c r="AA122">
        <f>step3_validation[[#This Row],[AI_FAC1]]</f>
        <v>7</v>
      </c>
      <c r="AB122" t="str">
        <f t="shared" si="33"/>
        <v>Neutral</v>
      </c>
      <c r="AC122">
        <f>survey_responses[[#This Row],[Các thủ tục khai báo thuế VÀ/HOẶC quy trình làm việc với cơ quan thuế đơn giản, tiện lợi, nhanh chóng hơn so với trước đây. - HUMAN-FAC1]]</f>
        <v>1</v>
      </c>
      <c r="AD122" t="str">
        <f t="shared" si="34"/>
        <v>Oppose</v>
      </c>
      <c r="AE122" s="31">
        <f t="shared" si="35"/>
        <v>6</v>
      </c>
      <c r="AF122">
        <f>step3_validation[[#This Row],[AI_FAC2]]</f>
        <v>9</v>
      </c>
      <c r="AG122" t="str">
        <f t="shared" si="36"/>
        <v>Support</v>
      </c>
      <c r="AH122">
        <f>survey_responses[[#This Row],[So với trước đây, tôi thấy cách tính thuế và các bậc thuế trong phương án mới đơn giản, dễ hiểu và dễ thực hiện hơn. - HUMAN-FAC2]]</f>
        <v>5</v>
      </c>
      <c r="AI122" t="str">
        <f t="shared" si="37"/>
        <v>Neutral</v>
      </c>
      <c r="AJ122" s="31">
        <f t="shared" si="38"/>
        <v>4</v>
      </c>
      <c r="AK122">
        <f>step3_validation[[#This Row],[AI_TRU1]]</f>
        <v>8</v>
      </c>
      <c r="AL122" t="str">
        <f t="shared" si="39"/>
        <v>Support</v>
      </c>
      <c r="AM122">
        <f>survey_responses[[#This Row],[Tôi tin rằng Nhà nước, cơ quan thuế sẽ thực thi chính sách mới một cách khách quan, công tâm và đối xử bình đẳng với mọi người nộp thuế.  - HUMAN-TRU1]]</f>
        <v>1</v>
      </c>
      <c r="AN122" t="str">
        <f t="shared" si="40"/>
        <v>Oppose</v>
      </c>
      <c r="AO122" s="31">
        <f t="shared" si="41"/>
        <v>7</v>
      </c>
      <c r="AP122">
        <f>step3_validation[[#This Row],[AI_TRU2]]</f>
        <v>9</v>
      </c>
      <c r="AQ122" t="str">
        <f t="shared" si="42"/>
        <v>Support</v>
      </c>
      <c r="AR122">
        <f>survey_responses[[#This Row],[Tôi thấy mức thuế tôi phải đóng theo phương án mới là công bằng (người thu nhập như tôi đóng mức này là hợp lý). - HUMAN-TRU2]]</f>
        <v>1</v>
      </c>
      <c r="AS122" t="str">
        <f t="shared" si="43"/>
        <v>Oppose</v>
      </c>
      <c r="AT122" s="31">
        <f t="shared" si="44"/>
        <v>8</v>
      </c>
      <c r="AU122">
        <f>step3_validation[[#This Row],[AI_TRU3]]</f>
        <v>8</v>
      </c>
      <c r="AV122" t="str">
        <f t="shared" si="45"/>
        <v>Support</v>
      </c>
      <c r="AW122">
        <f>survey_responses[[#This Row],[Tôi tin tưởng số tiền thuế tôi đóng sẽ được Nhà nước sử dụng hiệu quả để cải thiện dịch vụ công (y tế, đường xá...). - HUMAN-TRU3]]</f>
        <v>1</v>
      </c>
      <c r="AX122" t="str">
        <f t="shared" si="46"/>
        <v>Oppose</v>
      </c>
      <c r="AY122" s="31">
        <f t="shared" si="47"/>
        <v>7</v>
      </c>
      <c r="AZ122">
        <f>step3_validation[[#This Row],[AI_TRU4]]</f>
        <v>7</v>
      </c>
      <c r="BA122" t="str">
        <f t="shared" si="48"/>
        <v>Neutral</v>
      </c>
      <c r="BB122">
        <f>survey_responses[[#This Row],[Tôi thấy Nhà nước đã giải thích rõ ràng, minh bạch về lý do và mục tiêu của việc sửa đổi thuế lần này. - HUMAN-TRU4]]</f>
        <v>1</v>
      </c>
      <c r="BC122" t="str">
        <f t="shared" si="49"/>
        <v>Oppose</v>
      </c>
      <c r="BD122" s="31">
        <f t="shared" si="50"/>
        <v>6</v>
      </c>
      <c r="BE122">
        <f>step3_validation[[#This Row],[AI_OUT1]]</f>
        <v>9</v>
      </c>
      <c r="BF122" t="str">
        <f t="shared" si="51"/>
        <v>Support</v>
      </c>
      <c r="BG122">
        <f>survey_responses[[#This Row],[Sau khi xem xét các quyền lợi và nghĩa vụ, bạn có ủng hộ và tuân thủ chính sách mới hiện nay? - HUMAN-OUT1]]</f>
        <v>5</v>
      </c>
      <c r="BH122" t="str">
        <f t="shared" si="52"/>
        <v>Neutral</v>
      </c>
      <c r="BI122" s="31">
        <f t="shared" si="53"/>
        <v>4</v>
      </c>
    </row>
    <row r="123" spans="1:61" hidden="1" x14ac:dyDescent="0.45">
      <c r="A123" s="29">
        <f>step3_validation[[#This Row],[Persona_ID]]</f>
        <v>122</v>
      </c>
      <c r="B123" s="30">
        <f>step3_validation[[#This Row],[Used_Seed]]</f>
        <v>163</v>
      </c>
      <c r="C123" t="str">
        <f>step3_validation[[#This Row],[Gender]]</f>
        <v>Nam</v>
      </c>
      <c r="D123" t="str">
        <f>survey_responses[[#This Row],[Giới tính của bạn:]]</f>
        <v>Nam</v>
      </c>
      <c r="E123" t="str">
        <f>step3_validation[[#This Row],[Age_Group]]</f>
        <v>40 - 49</v>
      </c>
      <c r="F123" t="str">
        <f>survey_responses[[#This Row],[Độ tuổi của bạn:]]</f>
        <v>40 - 49</v>
      </c>
      <c r="G123" t="str">
        <f>step3_validation[[#This Row],[Region]]</f>
        <v>Thành thị</v>
      </c>
      <c r="H123" t="str">
        <f>survey_responses[[#This Row],[Khu vực bạn đang sinh sống:]]</f>
        <v>Thành thị</v>
      </c>
      <c r="I123" t="str">
        <f>step3_validation[[#This Row],[Education]]</f>
        <v>Đại học</v>
      </c>
      <c r="J123" t="str">
        <f>survey_responses[[#This Row],[Trình độ học vấn cao nhất:]]</f>
        <v>Đại học</v>
      </c>
      <c r="K123" t="str">
        <f>step3_validation[[#This Row],[Employment]]</f>
        <v>Chính thức</v>
      </c>
      <c r="L123" t="str">
        <f>survey_responses[[#This Row],[Tình trạng việc làm chính:]]</f>
        <v>Khu vực chính thức (Có Hợp đồng lao động, đóng BHXH)</v>
      </c>
      <c r="M123">
        <f>step3_validation[[#This Row],[Income_Mil]]</f>
        <v>210.09545177990483</v>
      </c>
      <c r="N123" t="str">
        <f>survey_responses[[#This Row],[Thu nhập bình quân tháng theo Hợp đồng lao động của bạn là bao nhiêu? (Vui lòng điền tổng thu nhập trước khi khấu trừ các loại Bảo hiểm (BHXH, BHYT, BHTN) và Thuế TNCN)]]</f>
        <v>Trên 102 triệu VNĐ</v>
      </c>
      <c r="O123">
        <f>step3_validation[[#This Row],[Dependents]]</f>
        <v>0</v>
      </c>
      <c r="P123" t="str">
        <f>survey_responses[[#This Row],[Số người phụ thuộc (con nhỏ, cha mẹ già...) đủ điều kiện giảm trừ gia cảnh:]]</f>
        <v>0 người</v>
      </c>
      <c r="Q123">
        <f>step3_validation[[#This Row],[AI_ENF1]]</f>
        <v>7</v>
      </c>
      <c r="R123" t="str">
        <f t="shared" si="27"/>
        <v>Neutral</v>
      </c>
      <c r="S123">
        <f>survey_responses[[#This Row],[Tôi tin rằng với các quy định quản lý thuế hiện nay, hành vi gian lận hoặc trốn thuế sẽ dễ dàng bị phát hiện và xử lý nghiêm. - HUMAN-ENF1]]</f>
        <v>4</v>
      </c>
      <c r="T123" t="str">
        <f t="shared" si="28"/>
        <v>Oppose</v>
      </c>
      <c r="U123" s="31">
        <f t="shared" si="29"/>
        <v>3</v>
      </c>
      <c r="V123">
        <f>step3_validation[[#This Row],[AI_ENF2]]</f>
        <v>8</v>
      </c>
      <c r="W123" t="str">
        <f t="shared" si="30"/>
        <v>Support</v>
      </c>
      <c r="X123">
        <f>survey_responses[[#This Row],[Tôi tin rằng Nhà nước, cơ quan thuế có đủ khả năng và công nghệ để phát hiện, xử lý nghiêm các hành vi trốn thuế. - HUMAN-ENF2]]</f>
        <v>4</v>
      </c>
      <c r="Y123" t="str">
        <f t="shared" si="31"/>
        <v>Oppose</v>
      </c>
      <c r="Z123" s="31">
        <f t="shared" si="32"/>
        <v>4</v>
      </c>
      <c r="AA123">
        <f>step3_validation[[#This Row],[AI_FAC1]]</f>
        <v>7</v>
      </c>
      <c r="AB123" t="str">
        <f t="shared" si="33"/>
        <v>Neutral</v>
      </c>
      <c r="AC123">
        <f>survey_responses[[#This Row],[Các thủ tục khai báo thuế VÀ/HOẶC quy trình làm việc với cơ quan thuế đơn giản, tiện lợi, nhanh chóng hơn so với trước đây. - HUMAN-FAC1]]</f>
        <v>2</v>
      </c>
      <c r="AD123" t="str">
        <f t="shared" si="34"/>
        <v>Oppose</v>
      </c>
      <c r="AE123" s="31">
        <f t="shared" si="35"/>
        <v>5</v>
      </c>
      <c r="AF123">
        <f>step3_validation[[#This Row],[AI_FAC2]]</f>
        <v>9</v>
      </c>
      <c r="AG123" t="str">
        <f t="shared" si="36"/>
        <v>Support</v>
      </c>
      <c r="AH123">
        <f>survey_responses[[#This Row],[So với trước đây, tôi thấy cách tính thuế và các bậc thuế trong phương án mới đơn giản, dễ hiểu và dễ thực hiện hơn. - HUMAN-FAC2]]</f>
        <v>5</v>
      </c>
      <c r="AI123" t="str">
        <f t="shared" si="37"/>
        <v>Neutral</v>
      </c>
      <c r="AJ123" s="31">
        <f t="shared" si="38"/>
        <v>4</v>
      </c>
      <c r="AK123">
        <f>step3_validation[[#This Row],[AI_TRU1]]</f>
        <v>7</v>
      </c>
      <c r="AL123" t="str">
        <f t="shared" si="39"/>
        <v>Neutral</v>
      </c>
      <c r="AM123">
        <f>survey_responses[[#This Row],[Tôi tin rằng Nhà nước, cơ quan thuế sẽ thực thi chính sách mới một cách khách quan, công tâm và đối xử bình đẳng với mọi người nộp thuế.  - HUMAN-TRU1]]</f>
        <v>1</v>
      </c>
      <c r="AN123" t="str">
        <f t="shared" si="40"/>
        <v>Oppose</v>
      </c>
      <c r="AO123" s="31">
        <f t="shared" si="41"/>
        <v>6</v>
      </c>
      <c r="AP123">
        <f>step3_validation[[#This Row],[AI_TRU2]]</f>
        <v>9</v>
      </c>
      <c r="AQ123" t="str">
        <f t="shared" si="42"/>
        <v>Support</v>
      </c>
      <c r="AR123">
        <f>survey_responses[[#This Row],[Tôi thấy mức thuế tôi phải đóng theo phương án mới là công bằng (người thu nhập như tôi đóng mức này là hợp lý). - HUMAN-TRU2]]</f>
        <v>1</v>
      </c>
      <c r="AS123" t="str">
        <f t="shared" si="43"/>
        <v>Oppose</v>
      </c>
      <c r="AT123" s="31">
        <f t="shared" si="44"/>
        <v>8</v>
      </c>
      <c r="AU123">
        <f>step3_validation[[#This Row],[AI_TRU3]]</f>
        <v>7</v>
      </c>
      <c r="AV123" t="str">
        <f t="shared" si="45"/>
        <v>Neutral</v>
      </c>
      <c r="AW123">
        <f>survey_responses[[#This Row],[Tôi tin tưởng số tiền thuế tôi đóng sẽ được Nhà nước sử dụng hiệu quả để cải thiện dịch vụ công (y tế, đường xá...). - HUMAN-TRU3]]</f>
        <v>1</v>
      </c>
      <c r="AX123" t="str">
        <f t="shared" si="46"/>
        <v>Oppose</v>
      </c>
      <c r="AY123" s="31">
        <f t="shared" si="47"/>
        <v>6</v>
      </c>
      <c r="AZ123">
        <f>step3_validation[[#This Row],[AI_TRU4]]</f>
        <v>8</v>
      </c>
      <c r="BA123" t="str">
        <f t="shared" si="48"/>
        <v>Support</v>
      </c>
      <c r="BB123">
        <f>survey_responses[[#This Row],[Tôi thấy Nhà nước đã giải thích rõ ràng, minh bạch về lý do và mục tiêu của việc sửa đổi thuế lần này. - HUMAN-TRU4]]</f>
        <v>4</v>
      </c>
      <c r="BC123" t="str">
        <f t="shared" si="49"/>
        <v>Oppose</v>
      </c>
      <c r="BD123" s="31">
        <f t="shared" si="50"/>
        <v>4</v>
      </c>
      <c r="BE123">
        <f>step3_validation[[#This Row],[AI_OUT1]]</f>
        <v>9</v>
      </c>
      <c r="BF123" t="str">
        <f t="shared" si="51"/>
        <v>Support</v>
      </c>
      <c r="BG123">
        <f>survey_responses[[#This Row],[Sau khi xem xét các quyền lợi và nghĩa vụ, bạn có ủng hộ và tuân thủ chính sách mới hiện nay? - HUMAN-OUT1]]</f>
        <v>4</v>
      </c>
      <c r="BH123" t="str">
        <f t="shared" si="52"/>
        <v>Oppose</v>
      </c>
      <c r="BI123" s="31">
        <f t="shared" si="53"/>
        <v>5</v>
      </c>
    </row>
    <row r="124" spans="1:61" x14ac:dyDescent="0.45">
      <c r="A124" s="29">
        <f>step3_validation[[#This Row],[Persona_ID]]</f>
        <v>123</v>
      </c>
      <c r="B124" s="30">
        <f>step3_validation[[#This Row],[Used_Seed]]</f>
        <v>164</v>
      </c>
      <c r="C124" t="str">
        <f>step3_validation[[#This Row],[Gender]]</f>
        <v>Nữ</v>
      </c>
      <c r="D124" t="str">
        <f>survey_responses[[#This Row],[Giới tính của bạn:]]</f>
        <v>Nữ</v>
      </c>
      <c r="E124" t="str">
        <f>step3_validation[[#This Row],[Age_Group]]</f>
        <v>18 - 24</v>
      </c>
      <c r="F124" t="str">
        <f>survey_responses[[#This Row],[Độ tuổi của bạn:]]</f>
        <v>18 - 24</v>
      </c>
      <c r="G124" t="str">
        <f>step3_validation[[#This Row],[Region]]</f>
        <v>Thành thị</v>
      </c>
      <c r="H124" t="str">
        <f>survey_responses[[#This Row],[Khu vực bạn đang sinh sống:]]</f>
        <v>Thành thị</v>
      </c>
      <c r="I124" t="str">
        <f>step3_validation[[#This Row],[Education]]</f>
        <v>Đại học</v>
      </c>
      <c r="J124" t="str">
        <f>survey_responses[[#This Row],[Trình độ học vấn cao nhất:]]</f>
        <v>Đại học</v>
      </c>
      <c r="K124" t="str">
        <f>step3_validation[[#This Row],[Employment]]</f>
        <v>Chính thức</v>
      </c>
      <c r="L124" t="str">
        <f>survey_responses[[#This Row],[Tình trạng việc làm chính:]]</f>
        <v>Khu vực chính thức (Có Hợp đồng lao động, đóng BHXH)</v>
      </c>
      <c r="M124">
        <f>step3_validation[[#This Row],[Income_Mil]]</f>
        <v>12</v>
      </c>
      <c r="N124" t="str">
        <f>survey_responses[[#This Row],[Thu nhập bình quân tháng theo Hợp đồng lao động của bạn là bao nhiêu? (Vui lòng điền tổng thu nhập trước khi khấu trừ các loại Bảo hiểm (BHXH, BHYT, BHTN) và Thuế TNCN)]]</f>
        <v>Dưới 12 triệu VNĐ</v>
      </c>
      <c r="O124">
        <f>step3_validation[[#This Row],[Dependents]]</f>
        <v>0</v>
      </c>
      <c r="P124" t="str">
        <f>survey_responses[[#This Row],[Số người phụ thuộc (con nhỏ, cha mẹ già...) đủ điều kiện giảm trừ gia cảnh:]]</f>
        <v>0 người</v>
      </c>
      <c r="Q124">
        <f>step3_validation[[#This Row],[AI_ENF1]]</f>
        <v>8</v>
      </c>
      <c r="R124" t="str">
        <f t="shared" si="27"/>
        <v>Support</v>
      </c>
      <c r="S124">
        <f>survey_responses[[#This Row],[Tôi tin rằng với các quy định quản lý thuế hiện nay, hành vi gian lận hoặc trốn thuế sẽ dễ dàng bị phát hiện và xử lý nghiêm. - HUMAN-ENF1]]</f>
        <v>7</v>
      </c>
      <c r="T124" t="str">
        <f t="shared" si="28"/>
        <v>Neutral</v>
      </c>
      <c r="U124" s="31">
        <f t="shared" si="29"/>
        <v>1</v>
      </c>
      <c r="V124">
        <f>step3_validation[[#This Row],[AI_ENF2]]</f>
        <v>9</v>
      </c>
      <c r="W124" t="str">
        <f t="shared" si="30"/>
        <v>Support</v>
      </c>
      <c r="X124">
        <f>survey_responses[[#This Row],[Tôi tin rằng Nhà nước, cơ quan thuế có đủ khả năng và công nghệ để phát hiện, xử lý nghiêm các hành vi trốn thuế. - HUMAN-ENF2]]</f>
        <v>7</v>
      </c>
      <c r="Y124" t="str">
        <f t="shared" si="31"/>
        <v>Neutral</v>
      </c>
      <c r="Z124" s="31">
        <f t="shared" si="32"/>
        <v>2</v>
      </c>
      <c r="AA124">
        <f>step3_validation[[#This Row],[AI_FAC1]]</f>
        <v>8</v>
      </c>
      <c r="AB124" t="str">
        <f t="shared" si="33"/>
        <v>Support</v>
      </c>
      <c r="AC124">
        <f>survey_responses[[#This Row],[Các thủ tục khai báo thuế VÀ/HOẶC quy trình làm việc với cơ quan thuế đơn giản, tiện lợi, nhanh chóng hơn so với trước đây. - HUMAN-FAC1]]</f>
        <v>7</v>
      </c>
      <c r="AD124" t="str">
        <f t="shared" si="34"/>
        <v>Neutral</v>
      </c>
      <c r="AE124" s="31">
        <f t="shared" si="35"/>
        <v>1</v>
      </c>
      <c r="AF124">
        <f>step3_validation[[#This Row],[AI_FAC2]]</f>
        <v>9</v>
      </c>
      <c r="AG124" t="str">
        <f t="shared" si="36"/>
        <v>Support</v>
      </c>
      <c r="AH124">
        <f>survey_responses[[#This Row],[So với trước đây, tôi thấy cách tính thuế và các bậc thuế trong phương án mới đơn giản, dễ hiểu và dễ thực hiện hơn. - HUMAN-FAC2]]</f>
        <v>7</v>
      </c>
      <c r="AI124" t="str">
        <f t="shared" si="37"/>
        <v>Neutral</v>
      </c>
      <c r="AJ124" s="31">
        <f t="shared" si="38"/>
        <v>2</v>
      </c>
      <c r="AK124">
        <f>step3_validation[[#This Row],[AI_TRU1]]</f>
        <v>8</v>
      </c>
      <c r="AL124" t="str">
        <f t="shared" si="39"/>
        <v>Support</v>
      </c>
      <c r="AM124">
        <f>survey_responses[[#This Row],[Tôi tin rằng Nhà nước, cơ quan thuế sẽ thực thi chính sách mới một cách khách quan, công tâm và đối xử bình đẳng với mọi người nộp thuế.  - HUMAN-TRU1]]</f>
        <v>7</v>
      </c>
      <c r="AN124" t="str">
        <f t="shared" si="40"/>
        <v>Neutral</v>
      </c>
      <c r="AO124" s="31">
        <f t="shared" si="41"/>
        <v>1</v>
      </c>
      <c r="AP124">
        <f>step3_validation[[#This Row],[AI_TRU2]]</f>
        <v>9</v>
      </c>
      <c r="AQ124" t="str">
        <f t="shared" si="42"/>
        <v>Support</v>
      </c>
      <c r="AR124">
        <f>survey_responses[[#This Row],[Tôi thấy mức thuế tôi phải đóng theo phương án mới là công bằng (người thu nhập như tôi đóng mức này là hợp lý). - HUMAN-TRU2]]</f>
        <v>7</v>
      </c>
      <c r="AS124" t="str">
        <f t="shared" si="43"/>
        <v>Neutral</v>
      </c>
      <c r="AT124" s="31">
        <f t="shared" si="44"/>
        <v>2</v>
      </c>
      <c r="AU124">
        <f>step3_validation[[#This Row],[AI_TRU3]]</f>
        <v>8</v>
      </c>
      <c r="AV124" t="str">
        <f t="shared" si="45"/>
        <v>Support</v>
      </c>
      <c r="AW124">
        <f>survey_responses[[#This Row],[Tôi tin tưởng số tiền thuế tôi đóng sẽ được Nhà nước sử dụng hiệu quả để cải thiện dịch vụ công (y tế, đường xá...). - HUMAN-TRU3]]</f>
        <v>7</v>
      </c>
      <c r="AX124" t="str">
        <f t="shared" si="46"/>
        <v>Neutral</v>
      </c>
      <c r="AY124" s="31">
        <f t="shared" si="47"/>
        <v>1</v>
      </c>
      <c r="AZ124">
        <f>step3_validation[[#This Row],[AI_TRU4]]</f>
        <v>9</v>
      </c>
      <c r="BA124" t="str">
        <f t="shared" si="48"/>
        <v>Support</v>
      </c>
      <c r="BB124">
        <f>survey_responses[[#This Row],[Tôi thấy Nhà nước đã giải thích rõ ràng, minh bạch về lý do và mục tiêu của việc sửa đổi thuế lần này. - HUMAN-TRU4]]</f>
        <v>7</v>
      </c>
      <c r="BC124" t="str">
        <f t="shared" si="49"/>
        <v>Neutral</v>
      </c>
      <c r="BD124" s="31">
        <f t="shared" si="50"/>
        <v>2</v>
      </c>
      <c r="BE124">
        <f>step3_validation[[#This Row],[AI_OUT1]]</f>
        <v>8</v>
      </c>
      <c r="BF124" t="str">
        <f t="shared" si="51"/>
        <v>Support</v>
      </c>
      <c r="BG124">
        <f>survey_responses[[#This Row],[Sau khi xem xét các quyền lợi và nghĩa vụ, bạn có ủng hộ và tuân thủ chính sách mới hiện nay? - HUMAN-OUT1]]</f>
        <v>8</v>
      </c>
      <c r="BH124" t="str">
        <f t="shared" si="52"/>
        <v>Support</v>
      </c>
      <c r="BI124" s="31">
        <f t="shared" si="53"/>
        <v>0</v>
      </c>
    </row>
    <row r="125" spans="1:61" hidden="1" x14ac:dyDescent="0.45">
      <c r="A125" s="29">
        <f>step3_validation[[#This Row],[Persona_ID]]</f>
        <v>124</v>
      </c>
      <c r="B125" s="30">
        <f>step3_validation[[#This Row],[Used_Seed]]</f>
        <v>165</v>
      </c>
      <c r="C125" t="str">
        <f>step3_validation[[#This Row],[Gender]]</f>
        <v>Nữ</v>
      </c>
      <c r="D125" t="str">
        <f>survey_responses[[#This Row],[Giới tính của bạn:]]</f>
        <v>Nữ</v>
      </c>
      <c r="E125" t="str">
        <f>step3_validation[[#This Row],[Age_Group]]</f>
        <v>50 - 54</v>
      </c>
      <c r="F125" t="str">
        <f>survey_responses[[#This Row],[Độ tuổi của bạn:]]</f>
        <v>50 - 54</v>
      </c>
      <c r="G125" t="str">
        <f>step3_validation[[#This Row],[Region]]</f>
        <v>Thành thị</v>
      </c>
      <c r="H125" t="str">
        <f>survey_responses[[#This Row],[Khu vực bạn đang sinh sống:]]</f>
        <v>Thành thị</v>
      </c>
      <c r="I125" t="str">
        <f>step3_validation[[#This Row],[Education]]</f>
        <v>Sau Đại học</v>
      </c>
      <c r="J125" t="str">
        <f>survey_responses[[#This Row],[Trình độ học vấn cao nhất:]]</f>
        <v>Sau Đại học</v>
      </c>
      <c r="K125" t="str">
        <f>step3_validation[[#This Row],[Employment]]</f>
        <v>Chính thức</v>
      </c>
      <c r="L125" t="str">
        <f>survey_responses[[#This Row],[Tình trạng việc làm chính:]]</f>
        <v>Khu vực chính thức (Có Hợp đồng lao động, đóng BHXH)</v>
      </c>
      <c r="M125">
        <f>step3_validation[[#This Row],[Income_Mil]]</f>
        <v>41.047689617750216</v>
      </c>
      <c r="N125" t="str">
        <f>survey_responses[[#This Row],[Thu nhập bình quân tháng theo Hợp đồng lao động của bạn là bao nhiêu? (Vui lòng điền tổng thu nhập trước khi khấu trừ các loại Bảo hiểm (BHXH, BHYT, BHTN) và Thuế TNCN)]]</f>
        <v>Từ 32 - 48 triệu VNĐ</v>
      </c>
      <c r="O125">
        <f>step3_validation[[#This Row],[Dependents]]</f>
        <v>1</v>
      </c>
      <c r="P125" t="str">
        <f>survey_responses[[#This Row],[Số người phụ thuộc (con nhỏ, cha mẹ già...) đủ điều kiện giảm trừ gia cảnh:]]</f>
        <v>1 người</v>
      </c>
      <c r="Q125">
        <f>step3_validation[[#This Row],[AI_ENF1]]</f>
        <v>6</v>
      </c>
      <c r="R125" t="str">
        <f t="shared" si="27"/>
        <v>Neutral</v>
      </c>
      <c r="S125">
        <f>survey_responses[[#This Row],[Tôi tin rằng với các quy định quản lý thuế hiện nay, hành vi gian lận hoặc trốn thuế sẽ dễ dàng bị phát hiện và xử lý nghiêm. - HUMAN-ENF1]]</f>
        <v>10</v>
      </c>
      <c r="T125" t="str">
        <f t="shared" si="28"/>
        <v>Support</v>
      </c>
      <c r="U125" s="31">
        <f t="shared" si="29"/>
        <v>4</v>
      </c>
      <c r="V125">
        <f>step3_validation[[#This Row],[AI_ENF2]]</f>
        <v>6</v>
      </c>
      <c r="W125" t="str">
        <f t="shared" si="30"/>
        <v>Neutral</v>
      </c>
      <c r="X125">
        <f>survey_responses[[#This Row],[Tôi tin rằng Nhà nước, cơ quan thuế có đủ khả năng và công nghệ để phát hiện, xử lý nghiêm các hành vi trốn thuế. - HUMAN-ENF2]]</f>
        <v>9</v>
      </c>
      <c r="Y125" t="str">
        <f t="shared" si="31"/>
        <v>Support</v>
      </c>
      <c r="Z125" s="31">
        <f t="shared" si="32"/>
        <v>3</v>
      </c>
      <c r="AA125">
        <f>step3_validation[[#This Row],[AI_FAC1]]</f>
        <v>8</v>
      </c>
      <c r="AB125" t="str">
        <f t="shared" si="33"/>
        <v>Support</v>
      </c>
      <c r="AC125">
        <f>survey_responses[[#This Row],[Các thủ tục khai báo thuế VÀ/HOẶC quy trình làm việc với cơ quan thuế đơn giản, tiện lợi, nhanh chóng hơn so với trước đây. - HUMAN-FAC1]]</f>
        <v>10</v>
      </c>
      <c r="AD125" t="str">
        <f t="shared" si="34"/>
        <v>Support</v>
      </c>
      <c r="AE125" s="31">
        <f t="shared" si="35"/>
        <v>2</v>
      </c>
      <c r="AF125">
        <f>step3_validation[[#This Row],[AI_FAC2]]</f>
        <v>9</v>
      </c>
      <c r="AG125" t="str">
        <f t="shared" si="36"/>
        <v>Support</v>
      </c>
      <c r="AH125">
        <f>survey_responses[[#This Row],[So với trước đây, tôi thấy cách tính thuế và các bậc thuế trong phương án mới đơn giản, dễ hiểu và dễ thực hiện hơn. - HUMAN-FAC2]]</f>
        <v>10</v>
      </c>
      <c r="AI125" t="str">
        <f t="shared" si="37"/>
        <v>Support</v>
      </c>
      <c r="AJ125" s="31">
        <f t="shared" si="38"/>
        <v>1</v>
      </c>
      <c r="AK125">
        <f>step3_validation[[#This Row],[AI_TRU1]]</f>
        <v>7</v>
      </c>
      <c r="AL125" t="str">
        <f t="shared" si="39"/>
        <v>Neutral</v>
      </c>
      <c r="AM125">
        <f>survey_responses[[#This Row],[Tôi tin rằng Nhà nước, cơ quan thuế sẽ thực thi chính sách mới một cách khách quan, công tâm và đối xử bình đẳng với mọi người nộp thuế.  - HUMAN-TRU1]]</f>
        <v>10</v>
      </c>
      <c r="AN125" t="str">
        <f t="shared" si="40"/>
        <v>Support</v>
      </c>
      <c r="AO125" s="31">
        <f t="shared" si="41"/>
        <v>3</v>
      </c>
      <c r="AP125">
        <f>step3_validation[[#This Row],[AI_TRU2]]</f>
        <v>8</v>
      </c>
      <c r="AQ125" t="str">
        <f t="shared" si="42"/>
        <v>Support</v>
      </c>
      <c r="AR125">
        <f>survey_responses[[#This Row],[Tôi thấy mức thuế tôi phải đóng theo phương án mới là công bằng (người thu nhập như tôi đóng mức này là hợp lý). - HUMAN-TRU2]]</f>
        <v>8</v>
      </c>
      <c r="AS125" t="str">
        <f t="shared" si="43"/>
        <v>Support</v>
      </c>
      <c r="AT125" s="31">
        <f t="shared" si="44"/>
        <v>0</v>
      </c>
      <c r="AU125">
        <f>step3_validation[[#This Row],[AI_TRU3]]</f>
        <v>7</v>
      </c>
      <c r="AV125" t="str">
        <f t="shared" si="45"/>
        <v>Neutral</v>
      </c>
      <c r="AW125">
        <f>survey_responses[[#This Row],[Tôi tin tưởng số tiền thuế tôi đóng sẽ được Nhà nước sử dụng hiệu quả để cải thiện dịch vụ công (y tế, đường xá...). - HUMAN-TRU3]]</f>
        <v>9</v>
      </c>
      <c r="AX125" t="str">
        <f t="shared" si="46"/>
        <v>Support</v>
      </c>
      <c r="AY125" s="31">
        <f t="shared" si="47"/>
        <v>2</v>
      </c>
      <c r="AZ125">
        <f>step3_validation[[#This Row],[AI_TRU4]]</f>
        <v>6</v>
      </c>
      <c r="BA125" t="str">
        <f t="shared" si="48"/>
        <v>Neutral</v>
      </c>
      <c r="BB125">
        <f>survey_responses[[#This Row],[Tôi thấy Nhà nước đã giải thích rõ ràng, minh bạch về lý do và mục tiêu của việc sửa đổi thuế lần này. - HUMAN-TRU4]]</f>
        <v>9</v>
      </c>
      <c r="BC125" t="str">
        <f t="shared" si="49"/>
        <v>Support</v>
      </c>
      <c r="BD125" s="31">
        <f t="shared" si="50"/>
        <v>3</v>
      </c>
      <c r="BE125">
        <f>step3_validation[[#This Row],[AI_OUT1]]</f>
        <v>8</v>
      </c>
      <c r="BF125" t="str">
        <f t="shared" si="51"/>
        <v>Support</v>
      </c>
      <c r="BG125">
        <f>survey_responses[[#This Row],[Sau khi xem xét các quyền lợi và nghĩa vụ, bạn có ủng hộ và tuân thủ chính sách mới hiện nay? - HUMAN-OUT1]]</f>
        <v>9</v>
      </c>
      <c r="BH125" t="str">
        <f t="shared" si="52"/>
        <v>Support</v>
      </c>
      <c r="BI125" s="31">
        <f t="shared" si="53"/>
        <v>1</v>
      </c>
    </row>
    <row r="126" spans="1:61" hidden="1" x14ac:dyDescent="0.45">
      <c r="A126" s="29">
        <f>step3_validation[[#This Row],[Persona_ID]]</f>
        <v>125</v>
      </c>
      <c r="B126" s="30">
        <f>step3_validation[[#This Row],[Used_Seed]]</f>
        <v>166</v>
      </c>
      <c r="C126" t="str">
        <f>step3_validation[[#This Row],[Gender]]</f>
        <v>Nữ</v>
      </c>
      <c r="D126" t="str">
        <f>survey_responses[[#This Row],[Giới tính của bạn:]]</f>
        <v>Nữ</v>
      </c>
      <c r="E126" t="str">
        <f>step3_validation[[#This Row],[Age_Group]]</f>
        <v>18 - 24</v>
      </c>
      <c r="F126" t="str">
        <f>survey_responses[[#This Row],[Độ tuổi của bạn:]]</f>
        <v>18 - 24</v>
      </c>
      <c r="G126" t="str">
        <f>step3_validation[[#This Row],[Region]]</f>
        <v>Thành thị</v>
      </c>
      <c r="H126" t="str">
        <f>survey_responses[[#This Row],[Khu vực bạn đang sinh sống:]]</f>
        <v>Thành thị</v>
      </c>
      <c r="I126" t="str">
        <f>step3_validation[[#This Row],[Education]]</f>
        <v>Đại học</v>
      </c>
      <c r="J126" t="str">
        <f>survey_responses[[#This Row],[Trình độ học vấn cao nhất:]]</f>
        <v>Đại học</v>
      </c>
      <c r="K126" t="str">
        <f>step3_validation[[#This Row],[Employment]]</f>
        <v>Chính thức</v>
      </c>
      <c r="L126" t="str">
        <f>survey_responses[[#This Row],[Tình trạng việc làm chính:]]</f>
        <v>Khu vực chính thức (Có Hợp đồng lao động, đóng BHXH)</v>
      </c>
      <c r="M126">
        <f>step3_validation[[#This Row],[Income_Mil]]</f>
        <v>13.213746170526317</v>
      </c>
      <c r="N126" t="str">
        <f>survey_responses[[#This Row],[Thu nhập bình quân tháng theo Hợp đồng lao động của bạn là bao nhiêu? (Vui lòng điền tổng thu nhập trước khi khấu trừ các loại Bảo hiểm (BHXH, BHYT, BHTN) và Thuế TNCN)]]</f>
        <v>Từ 12 - 18 triệu VNĐ</v>
      </c>
      <c r="O126">
        <f>step3_validation[[#This Row],[Dependents]]</f>
        <v>2</v>
      </c>
      <c r="P126" t="str">
        <f>survey_responses[[#This Row],[Số người phụ thuộc (con nhỏ, cha mẹ già...) đủ điều kiện giảm trừ gia cảnh:]]</f>
        <v>2 người</v>
      </c>
      <c r="Q126">
        <f>step3_validation[[#This Row],[AI_ENF1]]</f>
        <v>8</v>
      </c>
      <c r="R126" t="str">
        <f t="shared" si="27"/>
        <v>Support</v>
      </c>
      <c r="S126">
        <f>survey_responses[[#This Row],[Tôi tin rằng với các quy định quản lý thuế hiện nay, hành vi gian lận hoặc trốn thuế sẽ dễ dàng bị phát hiện và xử lý nghiêm. - HUMAN-ENF1]]</f>
        <v>10</v>
      </c>
      <c r="T126" t="str">
        <f t="shared" si="28"/>
        <v>Support</v>
      </c>
      <c r="U126" s="31">
        <f t="shared" si="29"/>
        <v>2</v>
      </c>
      <c r="V126">
        <f>step3_validation[[#This Row],[AI_ENF2]]</f>
        <v>9</v>
      </c>
      <c r="W126" t="str">
        <f t="shared" si="30"/>
        <v>Support</v>
      </c>
      <c r="X126">
        <f>survey_responses[[#This Row],[Tôi tin rằng Nhà nước, cơ quan thuế có đủ khả năng và công nghệ để phát hiện, xử lý nghiêm các hành vi trốn thuế. - HUMAN-ENF2]]</f>
        <v>10</v>
      </c>
      <c r="Y126" t="str">
        <f t="shared" si="31"/>
        <v>Support</v>
      </c>
      <c r="Z126" s="31">
        <f t="shared" si="32"/>
        <v>1</v>
      </c>
      <c r="AA126">
        <f>step3_validation[[#This Row],[AI_FAC1]]</f>
        <v>8</v>
      </c>
      <c r="AB126" t="str">
        <f t="shared" si="33"/>
        <v>Support</v>
      </c>
      <c r="AC126">
        <f>survey_responses[[#This Row],[Các thủ tục khai báo thuế VÀ/HOẶC quy trình làm việc với cơ quan thuế đơn giản, tiện lợi, nhanh chóng hơn so với trước đây. - HUMAN-FAC1]]</f>
        <v>10</v>
      </c>
      <c r="AD126" t="str">
        <f t="shared" si="34"/>
        <v>Support</v>
      </c>
      <c r="AE126" s="31">
        <f t="shared" si="35"/>
        <v>2</v>
      </c>
      <c r="AF126">
        <f>step3_validation[[#This Row],[AI_FAC2]]</f>
        <v>9</v>
      </c>
      <c r="AG126" t="str">
        <f t="shared" si="36"/>
        <v>Support</v>
      </c>
      <c r="AH126">
        <f>survey_responses[[#This Row],[So với trước đây, tôi thấy cách tính thuế và các bậc thuế trong phương án mới đơn giản, dễ hiểu và dễ thực hiện hơn. - HUMAN-FAC2]]</f>
        <v>10</v>
      </c>
      <c r="AI126" t="str">
        <f t="shared" si="37"/>
        <v>Support</v>
      </c>
      <c r="AJ126" s="31">
        <f t="shared" si="38"/>
        <v>1</v>
      </c>
      <c r="AK126">
        <f>step3_validation[[#This Row],[AI_TRU1]]</f>
        <v>8</v>
      </c>
      <c r="AL126" t="str">
        <f t="shared" si="39"/>
        <v>Support</v>
      </c>
      <c r="AM126">
        <f>survey_responses[[#This Row],[Tôi tin rằng Nhà nước, cơ quan thuế sẽ thực thi chính sách mới một cách khách quan, công tâm và đối xử bình đẳng với mọi người nộp thuế.  - HUMAN-TRU1]]</f>
        <v>10</v>
      </c>
      <c r="AN126" t="str">
        <f t="shared" si="40"/>
        <v>Support</v>
      </c>
      <c r="AO126" s="31">
        <f t="shared" si="41"/>
        <v>2</v>
      </c>
      <c r="AP126">
        <f>step3_validation[[#This Row],[AI_TRU2]]</f>
        <v>9</v>
      </c>
      <c r="AQ126" t="str">
        <f t="shared" si="42"/>
        <v>Support</v>
      </c>
      <c r="AR126">
        <f>survey_responses[[#This Row],[Tôi thấy mức thuế tôi phải đóng theo phương án mới là công bằng (người thu nhập như tôi đóng mức này là hợp lý). - HUMAN-TRU2]]</f>
        <v>10</v>
      </c>
      <c r="AS126" t="str">
        <f t="shared" si="43"/>
        <v>Support</v>
      </c>
      <c r="AT126" s="31">
        <f t="shared" si="44"/>
        <v>1</v>
      </c>
      <c r="AU126">
        <f>step3_validation[[#This Row],[AI_TRU3]]</f>
        <v>8</v>
      </c>
      <c r="AV126" t="str">
        <f t="shared" si="45"/>
        <v>Support</v>
      </c>
      <c r="AW126">
        <f>survey_responses[[#This Row],[Tôi tin tưởng số tiền thuế tôi đóng sẽ được Nhà nước sử dụng hiệu quả để cải thiện dịch vụ công (y tế, đường xá...). - HUMAN-TRU3]]</f>
        <v>10</v>
      </c>
      <c r="AX126" t="str">
        <f t="shared" si="46"/>
        <v>Support</v>
      </c>
      <c r="AY126" s="31">
        <f t="shared" si="47"/>
        <v>2</v>
      </c>
      <c r="AZ126">
        <f>step3_validation[[#This Row],[AI_TRU4]]</f>
        <v>9</v>
      </c>
      <c r="BA126" t="str">
        <f t="shared" si="48"/>
        <v>Support</v>
      </c>
      <c r="BB126">
        <f>survey_responses[[#This Row],[Tôi thấy Nhà nước đã giải thích rõ ràng, minh bạch về lý do và mục tiêu của việc sửa đổi thuế lần này. - HUMAN-TRU4]]</f>
        <v>10</v>
      </c>
      <c r="BC126" t="str">
        <f t="shared" si="49"/>
        <v>Support</v>
      </c>
      <c r="BD126" s="31">
        <f t="shared" si="50"/>
        <v>1</v>
      </c>
      <c r="BE126">
        <f>step3_validation[[#This Row],[AI_OUT1]]</f>
        <v>8</v>
      </c>
      <c r="BF126" t="str">
        <f t="shared" si="51"/>
        <v>Support</v>
      </c>
      <c r="BG126">
        <f>survey_responses[[#This Row],[Sau khi xem xét các quyền lợi và nghĩa vụ, bạn có ủng hộ và tuân thủ chính sách mới hiện nay? - HUMAN-OUT1]]</f>
        <v>10</v>
      </c>
      <c r="BH126" t="str">
        <f t="shared" si="52"/>
        <v>Support</v>
      </c>
      <c r="BI126" s="31">
        <f t="shared" si="53"/>
        <v>2</v>
      </c>
    </row>
    <row r="127" spans="1:61" hidden="1" x14ac:dyDescent="0.45">
      <c r="A127" s="29">
        <f>step3_validation[[#This Row],[Persona_ID]]</f>
        <v>126</v>
      </c>
      <c r="B127" s="30">
        <f>step3_validation[[#This Row],[Used_Seed]]</f>
        <v>167</v>
      </c>
      <c r="C127" t="str">
        <f>step3_validation[[#This Row],[Gender]]</f>
        <v>Nam</v>
      </c>
      <c r="D127" t="str">
        <f>survey_responses[[#This Row],[Giới tính của bạn:]]</f>
        <v>Nam</v>
      </c>
      <c r="E127" t="str">
        <f>step3_validation[[#This Row],[Age_Group]]</f>
        <v>25 - 29</v>
      </c>
      <c r="F127" t="str">
        <f>survey_responses[[#This Row],[Độ tuổi của bạn:]]</f>
        <v>25 - 29</v>
      </c>
      <c r="G127" t="str">
        <f>step3_validation[[#This Row],[Region]]</f>
        <v>Thành thị</v>
      </c>
      <c r="H127" t="str">
        <f>survey_responses[[#This Row],[Khu vực bạn đang sinh sống:]]</f>
        <v>Thành thị</v>
      </c>
      <c r="I127" t="str">
        <f>step3_validation[[#This Row],[Education]]</f>
        <v>Đại học</v>
      </c>
      <c r="J127" t="str">
        <f>survey_responses[[#This Row],[Trình độ học vấn cao nhất:]]</f>
        <v>Đại học</v>
      </c>
      <c r="K127" t="str">
        <f>step3_validation[[#This Row],[Employment]]</f>
        <v>Chính thức</v>
      </c>
      <c r="L127" t="str">
        <f>survey_responses[[#This Row],[Tình trạng việc làm chính:]]</f>
        <v>Khu vực chính thức (Có Hợp đồng lao động, đóng BHXH)</v>
      </c>
      <c r="M127">
        <f>step3_validation[[#This Row],[Income_Mil]]</f>
        <v>24.996805599134536</v>
      </c>
      <c r="N127" t="str">
        <f>survey_responses[[#This Row],[Thu nhập bình quân tháng theo Hợp đồng lao động của bạn là bao nhiêu? (Vui lòng điền tổng thu nhập trước khi khấu trừ các loại Bảo hiểm (BHXH, BHYT, BHTN) và Thuế TNCN)]]</f>
        <v>Từ 23 - 32 triệu VNĐ</v>
      </c>
      <c r="O127">
        <f>step3_validation[[#This Row],[Dependents]]</f>
        <v>0</v>
      </c>
      <c r="P127" t="str">
        <f>survey_responses[[#This Row],[Số người phụ thuộc (con nhỏ, cha mẹ già...) đủ điều kiện giảm trừ gia cảnh:]]</f>
        <v>0 người</v>
      </c>
      <c r="Q127">
        <f>step3_validation[[#This Row],[AI_ENF1]]</f>
        <v>7</v>
      </c>
      <c r="R127" t="str">
        <f t="shared" si="27"/>
        <v>Neutral</v>
      </c>
      <c r="S127">
        <f>survey_responses[[#This Row],[Tôi tin rằng với các quy định quản lý thuế hiện nay, hành vi gian lận hoặc trốn thuế sẽ dễ dàng bị phát hiện và xử lý nghiêm. - HUMAN-ENF1]]</f>
        <v>8</v>
      </c>
      <c r="T127" t="str">
        <f t="shared" si="28"/>
        <v>Support</v>
      </c>
      <c r="U127" s="31">
        <f t="shared" si="29"/>
        <v>1</v>
      </c>
      <c r="V127">
        <f>step3_validation[[#This Row],[AI_ENF2]]</f>
        <v>6</v>
      </c>
      <c r="W127" t="str">
        <f t="shared" si="30"/>
        <v>Neutral</v>
      </c>
      <c r="X127">
        <f>survey_responses[[#This Row],[Tôi tin rằng Nhà nước, cơ quan thuế có đủ khả năng và công nghệ để phát hiện, xử lý nghiêm các hành vi trốn thuế. - HUMAN-ENF2]]</f>
        <v>8</v>
      </c>
      <c r="Y127" t="str">
        <f t="shared" si="31"/>
        <v>Support</v>
      </c>
      <c r="Z127" s="31">
        <f t="shared" si="32"/>
        <v>2</v>
      </c>
      <c r="AA127">
        <f>step3_validation[[#This Row],[AI_FAC1]]</f>
        <v>8</v>
      </c>
      <c r="AB127" t="str">
        <f t="shared" si="33"/>
        <v>Support</v>
      </c>
      <c r="AC127">
        <f>survey_responses[[#This Row],[Các thủ tục khai báo thuế VÀ/HOẶC quy trình làm việc với cơ quan thuế đơn giản, tiện lợi, nhanh chóng hơn so với trước đây. - HUMAN-FAC1]]</f>
        <v>5</v>
      </c>
      <c r="AD127" t="str">
        <f t="shared" si="34"/>
        <v>Neutral</v>
      </c>
      <c r="AE127" s="31">
        <f t="shared" si="35"/>
        <v>3</v>
      </c>
      <c r="AF127">
        <f>step3_validation[[#This Row],[AI_FAC2]]</f>
        <v>9</v>
      </c>
      <c r="AG127" t="str">
        <f t="shared" si="36"/>
        <v>Support</v>
      </c>
      <c r="AH127">
        <f>survey_responses[[#This Row],[So với trước đây, tôi thấy cách tính thuế và các bậc thuế trong phương án mới đơn giản, dễ hiểu và dễ thực hiện hơn. - HUMAN-FAC2]]</f>
        <v>8</v>
      </c>
      <c r="AI127" t="str">
        <f t="shared" si="37"/>
        <v>Support</v>
      </c>
      <c r="AJ127" s="31">
        <f t="shared" si="38"/>
        <v>1</v>
      </c>
      <c r="AK127">
        <f>step3_validation[[#This Row],[AI_TRU1]]</f>
        <v>7</v>
      </c>
      <c r="AL127" t="str">
        <f t="shared" si="39"/>
        <v>Neutral</v>
      </c>
      <c r="AM127">
        <f>survey_responses[[#This Row],[Tôi tin rằng Nhà nước, cơ quan thuế sẽ thực thi chính sách mới một cách khách quan, công tâm và đối xử bình đẳng với mọi người nộp thuế.  - HUMAN-TRU1]]</f>
        <v>8</v>
      </c>
      <c r="AN127" t="str">
        <f t="shared" si="40"/>
        <v>Support</v>
      </c>
      <c r="AO127" s="31">
        <f t="shared" si="41"/>
        <v>1</v>
      </c>
      <c r="AP127">
        <f>step3_validation[[#This Row],[AI_TRU2]]</f>
        <v>8</v>
      </c>
      <c r="AQ127" t="str">
        <f t="shared" si="42"/>
        <v>Support</v>
      </c>
      <c r="AR127">
        <f>survey_responses[[#This Row],[Tôi thấy mức thuế tôi phải đóng theo phương án mới là công bằng (người thu nhập như tôi đóng mức này là hợp lý). - HUMAN-TRU2]]</f>
        <v>8</v>
      </c>
      <c r="AS127" t="str">
        <f t="shared" si="43"/>
        <v>Support</v>
      </c>
      <c r="AT127" s="31">
        <f t="shared" si="44"/>
        <v>0</v>
      </c>
      <c r="AU127">
        <f>step3_validation[[#This Row],[AI_TRU3]]</f>
        <v>6</v>
      </c>
      <c r="AV127" t="str">
        <f t="shared" si="45"/>
        <v>Neutral</v>
      </c>
      <c r="AW127">
        <f>survey_responses[[#This Row],[Tôi tin tưởng số tiền thuế tôi đóng sẽ được Nhà nước sử dụng hiệu quả để cải thiện dịch vụ công (y tế, đường xá...). - HUMAN-TRU3]]</f>
        <v>7</v>
      </c>
      <c r="AX127" t="str">
        <f t="shared" si="46"/>
        <v>Neutral</v>
      </c>
      <c r="AY127" s="31">
        <f t="shared" si="47"/>
        <v>1</v>
      </c>
      <c r="AZ127">
        <f>step3_validation[[#This Row],[AI_TRU4]]</f>
        <v>7</v>
      </c>
      <c r="BA127" t="str">
        <f t="shared" si="48"/>
        <v>Neutral</v>
      </c>
      <c r="BB127">
        <f>survey_responses[[#This Row],[Tôi thấy Nhà nước đã giải thích rõ ràng, minh bạch về lý do và mục tiêu của việc sửa đổi thuế lần này. - HUMAN-TRU4]]</f>
        <v>7</v>
      </c>
      <c r="BC127" t="str">
        <f t="shared" si="49"/>
        <v>Neutral</v>
      </c>
      <c r="BD127" s="31">
        <f t="shared" si="50"/>
        <v>0</v>
      </c>
      <c r="BE127">
        <f>step3_validation[[#This Row],[AI_OUT1]]</f>
        <v>8</v>
      </c>
      <c r="BF127" t="str">
        <f t="shared" si="51"/>
        <v>Support</v>
      </c>
      <c r="BG127">
        <f>survey_responses[[#This Row],[Sau khi xem xét các quyền lợi và nghĩa vụ, bạn có ủng hộ và tuân thủ chính sách mới hiện nay? - HUMAN-OUT1]]</f>
        <v>8</v>
      </c>
      <c r="BH127" t="str">
        <f t="shared" si="52"/>
        <v>Support</v>
      </c>
      <c r="BI127" s="31">
        <f t="shared" si="53"/>
        <v>0</v>
      </c>
    </row>
    <row r="128" spans="1:61" hidden="1" x14ac:dyDescent="0.45">
      <c r="A128" s="29">
        <f>step3_validation[[#This Row],[Persona_ID]]</f>
        <v>127</v>
      </c>
      <c r="B128" s="30">
        <f>step3_validation[[#This Row],[Used_Seed]]</f>
        <v>168</v>
      </c>
      <c r="C128" t="str">
        <f>step3_validation[[#This Row],[Gender]]</f>
        <v>Nữ</v>
      </c>
      <c r="D128" t="str">
        <f>survey_responses[[#This Row],[Giới tính của bạn:]]</f>
        <v>Nữ</v>
      </c>
      <c r="E128" t="str">
        <f>step3_validation[[#This Row],[Age_Group]]</f>
        <v>40 - 49</v>
      </c>
      <c r="F128" t="str">
        <f>survey_responses[[#This Row],[Độ tuổi của bạn:]]</f>
        <v>40 - 49</v>
      </c>
      <c r="G128" t="str">
        <f>step3_validation[[#This Row],[Region]]</f>
        <v>Thành thị</v>
      </c>
      <c r="H128" t="str">
        <f>survey_responses[[#This Row],[Khu vực bạn đang sinh sống:]]</f>
        <v>Thành thị</v>
      </c>
      <c r="I128" t="str">
        <f>step3_validation[[#This Row],[Education]]</f>
        <v>Đại học</v>
      </c>
      <c r="J128" t="str">
        <f>survey_responses[[#This Row],[Trình độ học vấn cao nhất:]]</f>
        <v>Đại học</v>
      </c>
      <c r="K128" t="str">
        <f>step3_validation[[#This Row],[Employment]]</f>
        <v>Chính thức</v>
      </c>
      <c r="L128" t="str">
        <f>survey_responses[[#This Row],[Tình trạng việc làm chính:]]</f>
        <v>Khu vực chính thức (Có Hợp đồng lao động, đóng BHXH)</v>
      </c>
      <c r="M128">
        <f>step3_validation[[#This Row],[Income_Mil]]</f>
        <v>137.79734230505227</v>
      </c>
      <c r="N128" t="str">
        <f>survey_responses[[#This Row],[Thu nhập bình quân tháng theo Hợp đồng lao động của bạn là bao nhiêu? (Vui lòng điền tổng thu nhập trước khi khấu trừ các loại Bảo hiểm (BHXH, BHYT, BHTN) và Thuế TNCN)]]</f>
        <v>Trên 102 triệu VNĐ</v>
      </c>
      <c r="O128">
        <f>step3_validation[[#This Row],[Dependents]]</f>
        <v>4</v>
      </c>
      <c r="P128" t="str">
        <f>survey_responses[[#This Row],[Số người phụ thuộc (con nhỏ, cha mẹ già...) đủ điều kiện giảm trừ gia cảnh:]]</f>
        <v>4 người trở lên</v>
      </c>
      <c r="Q128">
        <f>step3_validation[[#This Row],[AI_ENF1]]</f>
        <v>8</v>
      </c>
      <c r="R128" t="str">
        <f t="shared" si="27"/>
        <v>Support</v>
      </c>
      <c r="S128">
        <f>survey_responses[[#This Row],[Tôi tin rằng với các quy định quản lý thuế hiện nay, hành vi gian lận hoặc trốn thuế sẽ dễ dàng bị phát hiện và xử lý nghiêm. - HUMAN-ENF1]]</f>
        <v>1</v>
      </c>
      <c r="T128" t="str">
        <f t="shared" si="28"/>
        <v>Oppose</v>
      </c>
      <c r="U128" s="31">
        <f t="shared" si="29"/>
        <v>7</v>
      </c>
      <c r="V128">
        <f>step3_validation[[#This Row],[AI_ENF2]]</f>
        <v>7</v>
      </c>
      <c r="W128" t="str">
        <f t="shared" si="30"/>
        <v>Neutral</v>
      </c>
      <c r="X128">
        <f>survey_responses[[#This Row],[Tôi tin rằng Nhà nước, cơ quan thuế có đủ khả năng và công nghệ để phát hiện, xử lý nghiêm các hành vi trốn thuế. - HUMAN-ENF2]]</f>
        <v>1</v>
      </c>
      <c r="Y128" t="str">
        <f t="shared" si="31"/>
        <v>Oppose</v>
      </c>
      <c r="Z128" s="31">
        <f t="shared" si="32"/>
        <v>6</v>
      </c>
      <c r="AA128">
        <f>step3_validation[[#This Row],[AI_FAC1]]</f>
        <v>6</v>
      </c>
      <c r="AB128" t="str">
        <f t="shared" si="33"/>
        <v>Neutral</v>
      </c>
      <c r="AC128">
        <f>survey_responses[[#This Row],[Các thủ tục khai báo thuế VÀ/HOẶC quy trình làm việc với cơ quan thuế đơn giản, tiện lợi, nhanh chóng hơn so với trước đây. - HUMAN-FAC1]]</f>
        <v>1</v>
      </c>
      <c r="AD128" t="str">
        <f t="shared" si="34"/>
        <v>Oppose</v>
      </c>
      <c r="AE128" s="31">
        <f t="shared" si="35"/>
        <v>5</v>
      </c>
      <c r="AF128">
        <f>step3_validation[[#This Row],[AI_FAC2]]</f>
        <v>9</v>
      </c>
      <c r="AG128" t="str">
        <f t="shared" si="36"/>
        <v>Support</v>
      </c>
      <c r="AH128">
        <f>survey_responses[[#This Row],[So với trước đây, tôi thấy cách tính thuế và các bậc thuế trong phương án mới đơn giản, dễ hiểu và dễ thực hiện hơn. - HUMAN-FAC2]]</f>
        <v>5</v>
      </c>
      <c r="AI128" t="str">
        <f t="shared" si="37"/>
        <v>Neutral</v>
      </c>
      <c r="AJ128" s="31">
        <f t="shared" si="38"/>
        <v>4</v>
      </c>
      <c r="AK128">
        <f>step3_validation[[#This Row],[AI_TRU1]]</f>
        <v>8</v>
      </c>
      <c r="AL128" t="str">
        <f t="shared" si="39"/>
        <v>Support</v>
      </c>
      <c r="AM128">
        <f>survey_responses[[#This Row],[Tôi tin rằng Nhà nước, cơ quan thuế sẽ thực thi chính sách mới một cách khách quan, công tâm và đối xử bình đẳng với mọi người nộp thuế.  - HUMAN-TRU1]]</f>
        <v>1</v>
      </c>
      <c r="AN128" t="str">
        <f t="shared" si="40"/>
        <v>Oppose</v>
      </c>
      <c r="AO128" s="31">
        <f t="shared" si="41"/>
        <v>7</v>
      </c>
      <c r="AP128">
        <f>step3_validation[[#This Row],[AI_TRU2]]</f>
        <v>9</v>
      </c>
      <c r="AQ128" t="str">
        <f t="shared" si="42"/>
        <v>Support</v>
      </c>
      <c r="AR128">
        <f>survey_responses[[#This Row],[Tôi thấy mức thuế tôi phải đóng theo phương án mới là công bằng (người thu nhập như tôi đóng mức này là hợp lý). - HUMAN-TRU2]]</f>
        <v>1</v>
      </c>
      <c r="AS128" t="str">
        <f t="shared" si="43"/>
        <v>Oppose</v>
      </c>
      <c r="AT128" s="31">
        <f t="shared" si="44"/>
        <v>8</v>
      </c>
      <c r="AU128">
        <f>step3_validation[[#This Row],[AI_TRU3]]</f>
        <v>7</v>
      </c>
      <c r="AV128" t="str">
        <f t="shared" si="45"/>
        <v>Neutral</v>
      </c>
      <c r="AW128">
        <f>survey_responses[[#This Row],[Tôi tin tưởng số tiền thuế tôi đóng sẽ được Nhà nước sử dụng hiệu quả để cải thiện dịch vụ công (y tế, đường xá...). - HUMAN-TRU3]]</f>
        <v>1</v>
      </c>
      <c r="AX128" t="str">
        <f t="shared" si="46"/>
        <v>Oppose</v>
      </c>
      <c r="AY128" s="31">
        <f t="shared" si="47"/>
        <v>6</v>
      </c>
      <c r="AZ128">
        <f>step3_validation[[#This Row],[AI_TRU4]]</f>
        <v>8</v>
      </c>
      <c r="BA128" t="str">
        <f t="shared" si="48"/>
        <v>Support</v>
      </c>
      <c r="BB128">
        <f>survey_responses[[#This Row],[Tôi thấy Nhà nước đã giải thích rõ ràng, minh bạch về lý do và mục tiêu của việc sửa đổi thuế lần này. - HUMAN-TRU4]]</f>
        <v>5</v>
      </c>
      <c r="BC128" t="str">
        <f t="shared" si="49"/>
        <v>Neutral</v>
      </c>
      <c r="BD128" s="31">
        <f t="shared" si="50"/>
        <v>3</v>
      </c>
      <c r="BE128">
        <f>step3_validation[[#This Row],[AI_OUT1]]</f>
        <v>9</v>
      </c>
      <c r="BF128" t="str">
        <f t="shared" si="51"/>
        <v>Support</v>
      </c>
      <c r="BG128">
        <f>survey_responses[[#This Row],[Sau khi xem xét các quyền lợi và nghĩa vụ, bạn có ủng hộ và tuân thủ chính sách mới hiện nay? - HUMAN-OUT1]]</f>
        <v>5</v>
      </c>
      <c r="BH128" t="str">
        <f t="shared" si="52"/>
        <v>Neutral</v>
      </c>
      <c r="BI128" s="31">
        <f t="shared" si="53"/>
        <v>4</v>
      </c>
    </row>
    <row r="129" spans="1:61" hidden="1" x14ac:dyDescent="0.45">
      <c r="A129" s="29">
        <f>step3_validation[[#This Row],[Persona_ID]]</f>
        <v>128</v>
      </c>
      <c r="B129" s="30">
        <f>step3_validation[[#This Row],[Used_Seed]]</f>
        <v>169</v>
      </c>
      <c r="C129" t="str">
        <f>step3_validation[[#This Row],[Gender]]</f>
        <v>Nam</v>
      </c>
      <c r="D129" t="str">
        <f>survey_responses[[#This Row],[Giới tính của bạn:]]</f>
        <v>Nam</v>
      </c>
      <c r="E129" t="str">
        <f>step3_validation[[#This Row],[Age_Group]]</f>
        <v>50 - 54</v>
      </c>
      <c r="F129" t="str">
        <f>survey_responses[[#This Row],[Độ tuổi của bạn:]]</f>
        <v>50 - 54</v>
      </c>
      <c r="G129" t="str">
        <f>step3_validation[[#This Row],[Region]]</f>
        <v>Thành thị</v>
      </c>
      <c r="H129" t="str">
        <f>survey_responses[[#This Row],[Khu vực bạn đang sinh sống:]]</f>
        <v>Thành thị</v>
      </c>
      <c r="I129" t="str">
        <f>step3_validation[[#This Row],[Education]]</f>
        <v>Đại học</v>
      </c>
      <c r="J129" t="str">
        <f>survey_responses[[#This Row],[Trình độ học vấn cao nhất:]]</f>
        <v>Đại học</v>
      </c>
      <c r="K129" t="str">
        <f>step3_validation[[#This Row],[Employment]]</f>
        <v>Chính thức</v>
      </c>
      <c r="L129" t="str">
        <f>survey_responses[[#This Row],[Tình trạng việc làm chính:]]</f>
        <v>Khu vực chính thức (Có Hợp đồng lao động, đóng BHXH)</v>
      </c>
      <c r="M129">
        <f>step3_validation[[#This Row],[Income_Mil]]</f>
        <v>159.61985604609188</v>
      </c>
      <c r="N129" t="str">
        <f>survey_responses[[#This Row],[Thu nhập bình quân tháng theo Hợp đồng lao động của bạn là bao nhiêu? (Vui lòng điền tổng thu nhập trước khi khấu trừ các loại Bảo hiểm (BHXH, BHYT, BHTN) và Thuế TNCN)]]</f>
        <v>Trên 102 triệu VNĐ</v>
      </c>
      <c r="O129">
        <f>step3_validation[[#This Row],[Dependents]]</f>
        <v>4</v>
      </c>
      <c r="P129" t="str">
        <f>survey_responses[[#This Row],[Số người phụ thuộc (con nhỏ, cha mẹ già...) đủ điều kiện giảm trừ gia cảnh:]]</f>
        <v>4 người trở lên</v>
      </c>
      <c r="Q129">
        <f>step3_validation[[#This Row],[AI_ENF1]]</f>
        <v>7</v>
      </c>
      <c r="R129" t="str">
        <f t="shared" si="27"/>
        <v>Neutral</v>
      </c>
      <c r="S129">
        <f>survey_responses[[#This Row],[Tôi tin rằng với các quy định quản lý thuế hiện nay, hành vi gian lận hoặc trốn thuế sẽ dễ dàng bị phát hiện và xử lý nghiêm. - HUMAN-ENF1]]</f>
        <v>6</v>
      </c>
      <c r="T129" t="str">
        <f t="shared" si="28"/>
        <v>Neutral</v>
      </c>
      <c r="U129" s="31">
        <f t="shared" si="29"/>
        <v>1</v>
      </c>
      <c r="V129">
        <f>step3_validation[[#This Row],[AI_ENF2]]</f>
        <v>6</v>
      </c>
      <c r="W129" t="str">
        <f t="shared" si="30"/>
        <v>Neutral</v>
      </c>
      <c r="X129">
        <f>survey_responses[[#This Row],[Tôi tin rằng Nhà nước, cơ quan thuế có đủ khả năng và công nghệ để phát hiện, xử lý nghiêm các hành vi trốn thuế. - HUMAN-ENF2]]</f>
        <v>6</v>
      </c>
      <c r="Y129" t="str">
        <f t="shared" si="31"/>
        <v>Neutral</v>
      </c>
      <c r="Z129" s="31">
        <f t="shared" si="32"/>
        <v>0</v>
      </c>
      <c r="AA129">
        <f>step3_validation[[#This Row],[AI_FAC1]]</f>
        <v>9</v>
      </c>
      <c r="AB129" t="str">
        <f t="shared" si="33"/>
        <v>Support</v>
      </c>
      <c r="AC129">
        <f>survey_responses[[#This Row],[Các thủ tục khai báo thuế VÀ/HOẶC quy trình làm việc với cơ quan thuế đơn giản, tiện lợi, nhanh chóng hơn so với trước đây. - HUMAN-FAC1]]</f>
        <v>6</v>
      </c>
      <c r="AD129" t="str">
        <f t="shared" si="34"/>
        <v>Neutral</v>
      </c>
      <c r="AE129" s="31">
        <f t="shared" si="35"/>
        <v>3</v>
      </c>
      <c r="AF129">
        <f>step3_validation[[#This Row],[AI_FAC2]]</f>
        <v>8</v>
      </c>
      <c r="AG129" t="str">
        <f t="shared" si="36"/>
        <v>Support</v>
      </c>
      <c r="AH129">
        <f>survey_responses[[#This Row],[So với trước đây, tôi thấy cách tính thuế và các bậc thuế trong phương án mới đơn giản, dễ hiểu và dễ thực hiện hơn. - HUMAN-FAC2]]</f>
        <v>8</v>
      </c>
      <c r="AI129" t="str">
        <f t="shared" si="37"/>
        <v>Support</v>
      </c>
      <c r="AJ129" s="31">
        <f t="shared" si="38"/>
        <v>0</v>
      </c>
      <c r="AK129">
        <f>step3_validation[[#This Row],[AI_TRU1]]</f>
        <v>7</v>
      </c>
      <c r="AL129" t="str">
        <f t="shared" si="39"/>
        <v>Neutral</v>
      </c>
      <c r="AM129">
        <f>survey_responses[[#This Row],[Tôi tin rằng Nhà nước, cơ quan thuế sẽ thực thi chính sách mới một cách khách quan, công tâm và đối xử bình đẳng với mọi người nộp thuế.  - HUMAN-TRU1]]</f>
        <v>6</v>
      </c>
      <c r="AN129" t="str">
        <f t="shared" si="40"/>
        <v>Neutral</v>
      </c>
      <c r="AO129" s="31">
        <f t="shared" si="41"/>
        <v>1</v>
      </c>
      <c r="AP129">
        <f>step3_validation[[#This Row],[AI_TRU2]]</f>
        <v>9</v>
      </c>
      <c r="AQ129" t="str">
        <f t="shared" si="42"/>
        <v>Support</v>
      </c>
      <c r="AR129">
        <f>survey_responses[[#This Row],[Tôi thấy mức thuế tôi phải đóng theo phương án mới là công bằng (người thu nhập như tôi đóng mức này là hợp lý). - HUMAN-TRU2]]</f>
        <v>3</v>
      </c>
      <c r="AS129" t="str">
        <f t="shared" si="43"/>
        <v>Oppose</v>
      </c>
      <c r="AT129" s="31">
        <f t="shared" si="44"/>
        <v>6</v>
      </c>
      <c r="AU129">
        <f>step3_validation[[#This Row],[AI_TRU3]]</f>
        <v>7</v>
      </c>
      <c r="AV129" t="str">
        <f t="shared" si="45"/>
        <v>Neutral</v>
      </c>
      <c r="AW129">
        <f>survey_responses[[#This Row],[Tôi tin tưởng số tiền thuế tôi đóng sẽ được Nhà nước sử dụng hiệu quả để cải thiện dịch vụ công (y tế, đường xá...). - HUMAN-TRU3]]</f>
        <v>5</v>
      </c>
      <c r="AX129" t="str">
        <f t="shared" si="46"/>
        <v>Neutral</v>
      </c>
      <c r="AY129" s="31">
        <f t="shared" si="47"/>
        <v>2</v>
      </c>
      <c r="AZ129">
        <f>step3_validation[[#This Row],[AI_TRU4]]</f>
        <v>6</v>
      </c>
      <c r="BA129" t="str">
        <f t="shared" si="48"/>
        <v>Neutral</v>
      </c>
      <c r="BB129">
        <f>survey_responses[[#This Row],[Tôi thấy Nhà nước đã giải thích rõ ràng, minh bạch về lý do và mục tiêu của việc sửa đổi thuế lần này. - HUMAN-TRU4]]</f>
        <v>5</v>
      </c>
      <c r="BC129" t="str">
        <f t="shared" si="49"/>
        <v>Neutral</v>
      </c>
      <c r="BD129" s="31">
        <f t="shared" si="50"/>
        <v>1</v>
      </c>
      <c r="BE129">
        <f>step3_validation[[#This Row],[AI_OUT1]]</f>
        <v>8</v>
      </c>
      <c r="BF129" t="str">
        <f t="shared" si="51"/>
        <v>Support</v>
      </c>
      <c r="BG129">
        <f>survey_responses[[#This Row],[Sau khi xem xét các quyền lợi và nghĩa vụ, bạn có ủng hộ và tuân thủ chính sách mới hiện nay? - HUMAN-OUT1]]</f>
        <v>4</v>
      </c>
      <c r="BH129" t="str">
        <f t="shared" si="52"/>
        <v>Oppose</v>
      </c>
      <c r="BI129" s="31">
        <f t="shared" si="53"/>
        <v>4</v>
      </c>
    </row>
    <row r="130" spans="1:61" hidden="1" x14ac:dyDescent="0.45">
      <c r="A130" s="29">
        <f>step3_validation[[#This Row],[Persona_ID]]</f>
        <v>129</v>
      </c>
      <c r="B130" s="30">
        <f>step3_validation[[#This Row],[Used_Seed]]</f>
        <v>170</v>
      </c>
      <c r="C130" t="str">
        <f>step3_validation[[#This Row],[Gender]]</f>
        <v>Nam</v>
      </c>
      <c r="D130" t="str">
        <f>survey_responses[[#This Row],[Giới tính của bạn:]]</f>
        <v>Nam</v>
      </c>
      <c r="E130" t="str">
        <f>step3_validation[[#This Row],[Age_Group]]</f>
        <v>50 - 54</v>
      </c>
      <c r="F130" t="str">
        <f>survey_responses[[#This Row],[Độ tuổi của bạn:]]</f>
        <v>50 - 54</v>
      </c>
      <c r="G130" t="str">
        <f>step3_validation[[#This Row],[Region]]</f>
        <v>Thành thị</v>
      </c>
      <c r="H130" t="str">
        <f>survey_responses[[#This Row],[Khu vực bạn đang sinh sống:]]</f>
        <v>Thành thị</v>
      </c>
      <c r="I130" t="str">
        <f>step3_validation[[#This Row],[Education]]</f>
        <v>Sau Đại học</v>
      </c>
      <c r="J130" t="str">
        <f>survey_responses[[#This Row],[Trình độ học vấn cao nhất:]]</f>
        <v>Sau Đại học</v>
      </c>
      <c r="K130" t="str">
        <f>step3_validation[[#This Row],[Employment]]</f>
        <v>Chính thức</v>
      </c>
      <c r="L130" t="str">
        <f>survey_responses[[#This Row],[Tình trạng việc làm chính:]]</f>
        <v>Khu vực chính thức (Có Hợp đồng lao động, đóng BHXH)</v>
      </c>
      <c r="M130">
        <f>step3_validation[[#This Row],[Income_Mil]]</f>
        <v>247.19604490785346</v>
      </c>
      <c r="N130" t="str">
        <f>survey_responses[[#This Row],[Thu nhập bình quân tháng theo Hợp đồng lao động của bạn là bao nhiêu? (Vui lòng điền tổng thu nhập trước khi khấu trừ các loại Bảo hiểm (BHXH, BHYT, BHTN) và Thuế TNCN)]]</f>
        <v>Trên 102 triệu VNĐ</v>
      </c>
      <c r="O130">
        <f>step3_validation[[#This Row],[Dependents]]</f>
        <v>3</v>
      </c>
      <c r="P130" t="str">
        <f>survey_responses[[#This Row],[Số người phụ thuộc (con nhỏ, cha mẹ già...) đủ điều kiện giảm trừ gia cảnh:]]</f>
        <v>3 người</v>
      </c>
      <c r="Q130">
        <f>step3_validation[[#This Row],[AI_ENF1]]</f>
        <v>8</v>
      </c>
      <c r="R130" t="str">
        <f t="shared" si="27"/>
        <v>Support</v>
      </c>
      <c r="S130">
        <f>survey_responses[[#This Row],[Tôi tin rằng với các quy định quản lý thuế hiện nay, hành vi gian lận hoặc trốn thuế sẽ dễ dàng bị phát hiện và xử lý nghiêm. - HUMAN-ENF1]]</f>
        <v>6</v>
      </c>
      <c r="T130" t="str">
        <f t="shared" si="28"/>
        <v>Neutral</v>
      </c>
      <c r="U130" s="31">
        <f t="shared" si="29"/>
        <v>2</v>
      </c>
      <c r="V130">
        <f>step3_validation[[#This Row],[AI_ENF2]]</f>
        <v>9</v>
      </c>
      <c r="W130" t="str">
        <f t="shared" si="30"/>
        <v>Support</v>
      </c>
      <c r="X130">
        <f>survey_responses[[#This Row],[Tôi tin rằng Nhà nước, cơ quan thuế có đủ khả năng và công nghệ để phát hiện, xử lý nghiêm các hành vi trốn thuế. - HUMAN-ENF2]]</f>
        <v>6</v>
      </c>
      <c r="Y130" t="str">
        <f t="shared" si="31"/>
        <v>Neutral</v>
      </c>
      <c r="Z130" s="31">
        <f t="shared" si="32"/>
        <v>3</v>
      </c>
      <c r="AA130">
        <f>step3_validation[[#This Row],[AI_FAC1]]</f>
        <v>8</v>
      </c>
      <c r="AB130" t="str">
        <f t="shared" si="33"/>
        <v>Support</v>
      </c>
      <c r="AC130">
        <f>survey_responses[[#This Row],[Các thủ tục khai báo thuế VÀ/HOẶC quy trình làm việc với cơ quan thuế đơn giản, tiện lợi, nhanh chóng hơn so với trước đây. - HUMAN-FAC1]]</f>
        <v>4</v>
      </c>
      <c r="AD130" t="str">
        <f t="shared" si="34"/>
        <v>Oppose</v>
      </c>
      <c r="AE130" s="31">
        <f t="shared" si="35"/>
        <v>4</v>
      </c>
      <c r="AF130">
        <f>step3_validation[[#This Row],[AI_FAC2]]</f>
        <v>9</v>
      </c>
      <c r="AG130" t="str">
        <f t="shared" si="36"/>
        <v>Support</v>
      </c>
      <c r="AH130">
        <f>survey_responses[[#This Row],[So với trước đây, tôi thấy cách tính thuế và các bậc thuế trong phương án mới đơn giản, dễ hiểu và dễ thực hiện hơn. - HUMAN-FAC2]]</f>
        <v>5</v>
      </c>
      <c r="AI130" t="str">
        <f t="shared" si="37"/>
        <v>Neutral</v>
      </c>
      <c r="AJ130" s="31">
        <f t="shared" si="38"/>
        <v>4</v>
      </c>
      <c r="AK130">
        <f>step3_validation[[#This Row],[AI_TRU1]]</f>
        <v>8</v>
      </c>
      <c r="AL130" t="str">
        <f t="shared" si="39"/>
        <v>Support</v>
      </c>
      <c r="AM130">
        <f>survey_responses[[#This Row],[Tôi tin rằng Nhà nước, cơ quan thuế sẽ thực thi chính sách mới một cách khách quan, công tâm và đối xử bình đẳng với mọi người nộp thuế.  - HUMAN-TRU1]]</f>
        <v>5</v>
      </c>
      <c r="AN130" t="str">
        <f t="shared" si="40"/>
        <v>Neutral</v>
      </c>
      <c r="AO130" s="31">
        <f t="shared" si="41"/>
        <v>3</v>
      </c>
      <c r="AP130">
        <f>step3_validation[[#This Row],[AI_TRU2]]</f>
        <v>9</v>
      </c>
      <c r="AQ130" t="str">
        <f t="shared" si="42"/>
        <v>Support</v>
      </c>
      <c r="AR130">
        <f>survey_responses[[#This Row],[Tôi thấy mức thuế tôi phải đóng theo phương án mới là công bằng (người thu nhập như tôi đóng mức này là hợp lý). - HUMAN-TRU2]]</f>
        <v>1</v>
      </c>
      <c r="AS130" t="str">
        <f t="shared" si="43"/>
        <v>Oppose</v>
      </c>
      <c r="AT130" s="31">
        <f t="shared" si="44"/>
        <v>8</v>
      </c>
      <c r="AU130">
        <f>step3_validation[[#This Row],[AI_TRU3]]</f>
        <v>8</v>
      </c>
      <c r="AV130" t="str">
        <f t="shared" si="45"/>
        <v>Support</v>
      </c>
      <c r="AW130">
        <f>survey_responses[[#This Row],[Tôi tin tưởng số tiền thuế tôi đóng sẽ được Nhà nước sử dụng hiệu quả để cải thiện dịch vụ công (y tế, đường xá...). - HUMAN-TRU3]]</f>
        <v>5</v>
      </c>
      <c r="AX130" t="str">
        <f t="shared" si="46"/>
        <v>Neutral</v>
      </c>
      <c r="AY130" s="31">
        <f t="shared" si="47"/>
        <v>3</v>
      </c>
      <c r="AZ130">
        <f>step3_validation[[#This Row],[AI_TRU4]]</f>
        <v>9</v>
      </c>
      <c r="BA130" t="str">
        <f t="shared" si="48"/>
        <v>Support</v>
      </c>
      <c r="BB130">
        <f>survey_responses[[#This Row],[Tôi thấy Nhà nước đã giải thích rõ ràng, minh bạch về lý do và mục tiêu của việc sửa đổi thuế lần này. - HUMAN-TRU4]]</f>
        <v>4</v>
      </c>
      <c r="BC130" t="str">
        <f t="shared" si="49"/>
        <v>Oppose</v>
      </c>
      <c r="BD130" s="31">
        <f t="shared" si="50"/>
        <v>5</v>
      </c>
      <c r="BE130">
        <f>step3_validation[[#This Row],[AI_OUT1]]</f>
        <v>8</v>
      </c>
      <c r="BF130" t="str">
        <f t="shared" si="51"/>
        <v>Support</v>
      </c>
      <c r="BG130">
        <f>survey_responses[[#This Row],[Sau khi xem xét các quyền lợi và nghĩa vụ, bạn có ủng hộ và tuân thủ chính sách mới hiện nay? - HUMAN-OUT1]]</f>
        <v>5</v>
      </c>
      <c r="BH130" t="str">
        <f t="shared" si="52"/>
        <v>Neutral</v>
      </c>
      <c r="BI130" s="31">
        <f t="shared" si="53"/>
        <v>3</v>
      </c>
    </row>
    <row r="131" spans="1:61" hidden="1" x14ac:dyDescent="0.45">
      <c r="A131" s="29">
        <f>step3_validation[[#This Row],[Persona_ID]]</f>
        <v>130</v>
      </c>
      <c r="B131" s="30">
        <f>step3_validation[[#This Row],[Used_Seed]]</f>
        <v>171</v>
      </c>
      <c r="C131" t="str">
        <f>step3_validation[[#This Row],[Gender]]</f>
        <v>Nữ</v>
      </c>
      <c r="D131" t="str">
        <f>survey_responses[[#This Row],[Giới tính của bạn:]]</f>
        <v>Nữ</v>
      </c>
      <c r="E131" t="str">
        <f>step3_validation[[#This Row],[Age_Group]]</f>
        <v>55 - 64</v>
      </c>
      <c r="F131" t="str">
        <f>survey_responses[[#This Row],[Độ tuổi của bạn:]]</f>
        <v>55 - 64</v>
      </c>
      <c r="G131" t="str">
        <f>step3_validation[[#This Row],[Region]]</f>
        <v>Thành thị</v>
      </c>
      <c r="H131" t="str">
        <f>survey_responses[[#This Row],[Khu vực bạn đang sinh sống:]]</f>
        <v>Thành thị</v>
      </c>
      <c r="I131" t="str">
        <f>step3_validation[[#This Row],[Education]]</f>
        <v>Sau Đại học</v>
      </c>
      <c r="J131" t="str">
        <f>survey_responses[[#This Row],[Trình độ học vấn cao nhất:]]</f>
        <v>Sau Đại học</v>
      </c>
      <c r="K131" t="str">
        <f>step3_validation[[#This Row],[Employment]]</f>
        <v>Chính thức</v>
      </c>
      <c r="L131" t="str">
        <f>survey_responses[[#This Row],[Tình trạng việc làm chính:]]</f>
        <v>Khu vực chính thức (Có Hợp đồng lao động, đóng BHXH)</v>
      </c>
      <c r="M131">
        <f>step3_validation[[#This Row],[Income_Mil]]</f>
        <v>97.463060900714908</v>
      </c>
      <c r="N131" t="str">
        <f>survey_responses[[#This Row],[Thu nhập bình quân tháng theo Hợp đồng lao động của bạn là bao nhiêu? (Vui lòng điền tổng thu nhập trước khi khấu trừ các loại Bảo hiểm (BHXH, BHYT, BHTN) và Thuế TNCN)]]</f>
        <v>Từ 70 - 102 triệu VNĐ</v>
      </c>
      <c r="O131">
        <f>step3_validation[[#This Row],[Dependents]]</f>
        <v>2</v>
      </c>
      <c r="P131" t="str">
        <f>survey_responses[[#This Row],[Số người phụ thuộc (con nhỏ, cha mẹ già...) đủ điều kiện giảm trừ gia cảnh:]]</f>
        <v>2 người</v>
      </c>
      <c r="Q131">
        <f>step3_validation[[#This Row],[AI_ENF1]]</f>
        <v>6</v>
      </c>
      <c r="R131" t="str">
        <f t="shared" ref="R131:R194" si="54">IF(AND(Q131&gt;=1,Q131&lt;5),"Oppose",IF(AND(Q131&gt;=5,Q131&lt;8),"Neutral",IF(AND(Q131&gt;=8,Q131&lt;=10),"Support","")))</f>
        <v>Neutral</v>
      </c>
      <c r="S131">
        <f>survey_responses[[#This Row],[Tôi tin rằng với các quy định quản lý thuế hiện nay, hành vi gian lận hoặc trốn thuế sẽ dễ dàng bị phát hiện và xử lý nghiêm. - HUMAN-ENF1]]</f>
        <v>5</v>
      </c>
      <c r="T131" t="str">
        <f t="shared" ref="T131:T194" si="55">IF(AND(S131&gt;=1,S131&lt;5),"Oppose",IF(AND(S131&gt;=5,S131&lt;8),"Neutral",IF(AND(S131&gt;=8,S131&lt;=10),"Support","")))</f>
        <v>Neutral</v>
      </c>
      <c r="U131" s="31">
        <f t="shared" ref="U131:U194" si="56">ABS(S131-Q131)</f>
        <v>1</v>
      </c>
      <c r="V131">
        <f>step3_validation[[#This Row],[AI_ENF2]]</f>
        <v>8</v>
      </c>
      <c r="W131" t="str">
        <f t="shared" ref="W131:W194" si="57">IF(AND(V131&gt;=1,V131&lt;5),"Oppose",IF(AND(V131&gt;=5,V131&lt;8),"Neutral",IF(AND(V131&gt;=8,V131&lt;=10),"Support","")))</f>
        <v>Support</v>
      </c>
      <c r="X131">
        <f>survey_responses[[#This Row],[Tôi tin rằng Nhà nước, cơ quan thuế có đủ khả năng và công nghệ để phát hiện, xử lý nghiêm các hành vi trốn thuế. - HUMAN-ENF2]]</f>
        <v>5</v>
      </c>
      <c r="Y131" t="str">
        <f t="shared" ref="Y131:Y194" si="58">IF(AND(X131&gt;=1,X131&lt;5),"Oppose",IF(AND(X131&gt;=5,X131&lt;8),"Neutral",IF(AND(X131&gt;=8,X131&lt;=10),"Support","")))</f>
        <v>Neutral</v>
      </c>
      <c r="Z131" s="31">
        <f t="shared" ref="Z131:Z194" si="59">ABS(X131-V131)</f>
        <v>3</v>
      </c>
      <c r="AA131">
        <f>step3_validation[[#This Row],[AI_FAC1]]</f>
        <v>9</v>
      </c>
      <c r="AB131" t="str">
        <f t="shared" ref="AB131:AB194" si="60">IF(AND(AA131&gt;=1,AA131&lt;5),"Oppose",IF(AND(AA131&gt;=5,AA131&lt;8),"Neutral",IF(AND(AA131&gt;=8,AA131&lt;=10),"Support","")))</f>
        <v>Support</v>
      </c>
      <c r="AC131">
        <f>survey_responses[[#This Row],[Các thủ tục khai báo thuế VÀ/HOẶC quy trình làm việc với cơ quan thuế đơn giản, tiện lợi, nhanh chóng hơn so với trước đây. - HUMAN-FAC1]]</f>
        <v>1</v>
      </c>
      <c r="AD131" t="str">
        <f t="shared" ref="AD131:AD194" si="61">IF(AND(AC131&gt;=1,AC131&lt;5),"Oppose",IF(AND(AC131&gt;=5,AC131&lt;8),"Neutral",IF(AND(AC131&gt;=8,AC131&lt;=10),"Support","")))</f>
        <v>Oppose</v>
      </c>
      <c r="AE131" s="31">
        <f t="shared" ref="AE131:AE194" si="62">ABS(AC131-AA131)</f>
        <v>8</v>
      </c>
      <c r="AF131">
        <f>step3_validation[[#This Row],[AI_FAC2]]</f>
        <v>9</v>
      </c>
      <c r="AG131" t="str">
        <f t="shared" ref="AG131:AG194" si="63">IF(AND(AF131&gt;=1,AF131&lt;5),"Oppose",IF(AND(AF131&gt;=5,AF131&lt;8),"Neutral",IF(AND(AF131&gt;=8,AF131&lt;=10),"Support","")))</f>
        <v>Support</v>
      </c>
      <c r="AH131">
        <f>survey_responses[[#This Row],[So với trước đây, tôi thấy cách tính thuế và các bậc thuế trong phương án mới đơn giản, dễ hiểu và dễ thực hiện hơn. - HUMAN-FAC2]]</f>
        <v>4</v>
      </c>
      <c r="AI131" t="str">
        <f t="shared" ref="AI131:AI194" si="64">IF(AND(AH131&gt;=1,AH131&lt;5),"Oppose",IF(AND(AH131&gt;=5,AH131&lt;8),"Neutral",IF(AND(AH131&gt;=8,AH131&lt;=10),"Support","")))</f>
        <v>Oppose</v>
      </c>
      <c r="AJ131" s="31">
        <f t="shared" ref="AJ131:AJ194" si="65">ABS(AH131-AF131)</f>
        <v>5</v>
      </c>
      <c r="AK131">
        <f>step3_validation[[#This Row],[AI_TRU1]]</f>
        <v>8</v>
      </c>
      <c r="AL131" t="str">
        <f t="shared" ref="AL131:AL194" si="66">IF(AND(AK131&gt;=1,AK131&lt;5),"Oppose",IF(AND(AK131&gt;=5,AK131&lt;8),"Neutral",IF(AND(AK131&gt;=8,AK131&lt;=10),"Support","")))</f>
        <v>Support</v>
      </c>
      <c r="AM131">
        <f>survey_responses[[#This Row],[Tôi tin rằng Nhà nước, cơ quan thuế sẽ thực thi chính sách mới một cách khách quan, công tâm và đối xử bình đẳng với mọi người nộp thuế.  - HUMAN-TRU1]]</f>
        <v>2</v>
      </c>
      <c r="AN131" t="str">
        <f t="shared" ref="AN131:AN194" si="67">IF(AND(AM131&gt;=1,AM131&lt;5),"Oppose",IF(AND(AM131&gt;=5,AM131&lt;8),"Neutral",IF(AND(AM131&gt;=8,AM131&lt;=10),"Support","")))</f>
        <v>Oppose</v>
      </c>
      <c r="AO131" s="31">
        <f t="shared" ref="AO131:AO194" si="68">ABS(AM131-AK131)</f>
        <v>6</v>
      </c>
      <c r="AP131">
        <f>step3_validation[[#This Row],[AI_TRU2]]</f>
        <v>8</v>
      </c>
      <c r="AQ131" t="str">
        <f t="shared" ref="AQ131:AQ194" si="69">IF(AND(AP131&gt;=1,AP131&lt;5),"Oppose",IF(AND(AP131&gt;=5,AP131&lt;8),"Neutral",IF(AND(AP131&gt;=8,AP131&lt;=10),"Support","")))</f>
        <v>Support</v>
      </c>
      <c r="AR131">
        <f>survey_responses[[#This Row],[Tôi thấy mức thuế tôi phải đóng theo phương án mới là công bằng (người thu nhập như tôi đóng mức này là hợp lý). - HUMAN-TRU2]]</f>
        <v>1</v>
      </c>
      <c r="AS131" t="str">
        <f t="shared" ref="AS131:AS194" si="70">IF(AND(AR131&gt;=1,AR131&lt;5),"Oppose",IF(AND(AR131&gt;=5,AR131&lt;8),"Neutral",IF(AND(AR131&gt;=8,AR131&lt;=10),"Support","")))</f>
        <v>Oppose</v>
      </c>
      <c r="AT131" s="31">
        <f t="shared" ref="AT131:AT194" si="71">ABS(AR131-AP131)</f>
        <v>7</v>
      </c>
      <c r="AU131">
        <f>step3_validation[[#This Row],[AI_TRU3]]</f>
        <v>7</v>
      </c>
      <c r="AV131" t="str">
        <f t="shared" ref="AV131:AV194" si="72">IF(AND(AU131&gt;=1,AU131&lt;5),"Oppose",IF(AND(AU131&gt;=5,AU131&lt;8),"Neutral",IF(AND(AU131&gt;=8,AU131&lt;=10),"Support","")))</f>
        <v>Neutral</v>
      </c>
      <c r="AW131">
        <f>survey_responses[[#This Row],[Tôi tin tưởng số tiền thuế tôi đóng sẽ được Nhà nước sử dụng hiệu quả để cải thiện dịch vụ công (y tế, đường xá...). - HUMAN-TRU3]]</f>
        <v>1</v>
      </c>
      <c r="AX131" t="str">
        <f t="shared" ref="AX131:AX194" si="73">IF(AND(AW131&gt;=1,AW131&lt;5),"Oppose",IF(AND(AW131&gt;=5,AW131&lt;8),"Neutral",IF(AND(AW131&gt;=8,AW131&lt;=10),"Support","")))</f>
        <v>Oppose</v>
      </c>
      <c r="AY131" s="31">
        <f t="shared" ref="AY131:AY194" si="74">ABS(AW131-AU131)</f>
        <v>6</v>
      </c>
      <c r="AZ131">
        <f>step3_validation[[#This Row],[AI_TRU4]]</f>
        <v>8</v>
      </c>
      <c r="BA131" t="str">
        <f t="shared" ref="BA131:BA194" si="75">IF(AND(AZ131&gt;=1,AZ131&lt;5),"Oppose",IF(AND(AZ131&gt;=5,AZ131&lt;8),"Neutral",IF(AND(AZ131&gt;=8,AZ131&lt;=10),"Support","")))</f>
        <v>Support</v>
      </c>
      <c r="BB131">
        <f>survey_responses[[#This Row],[Tôi thấy Nhà nước đã giải thích rõ ràng, minh bạch về lý do và mục tiêu của việc sửa đổi thuế lần này. - HUMAN-TRU4]]</f>
        <v>1</v>
      </c>
      <c r="BC131" t="str">
        <f t="shared" ref="BC131:BC194" si="76">IF(AND(BB131&gt;=1,BB131&lt;5),"Oppose",IF(AND(BB131&gt;=5,BB131&lt;8),"Neutral",IF(AND(BB131&gt;=8,BB131&lt;=10),"Support","")))</f>
        <v>Oppose</v>
      </c>
      <c r="BD131" s="31">
        <f t="shared" ref="BD131:BD194" si="77">ABS(BB131-AZ131)</f>
        <v>7</v>
      </c>
      <c r="BE131">
        <f>step3_validation[[#This Row],[AI_OUT1]]</f>
        <v>9</v>
      </c>
      <c r="BF131" t="str">
        <f t="shared" ref="BF131:BF194" si="78">IF(AND(BE131&gt;=1,BE131&lt;5),"Oppose",IF(AND(BE131&gt;=5,BE131&lt;8),"Neutral",IF(AND(BE131&gt;=8,BE131&lt;=10),"Support","")))</f>
        <v>Support</v>
      </c>
      <c r="BG131">
        <f>survey_responses[[#This Row],[Sau khi xem xét các quyền lợi và nghĩa vụ, bạn có ủng hộ và tuân thủ chính sách mới hiện nay? - HUMAN-OUT1]]</f>
        <v>5</v>
      </c>
      <c r="BH131" t="str">
        <f t="shared" ref="BH131:BH194" si="79">IF(AND(BG131&gt;=1,BG131&lt;5),"Oppose",IF(AND(BG131&gt;=5,BG131&lt;8),"Neutral",IF(AND(BG131&gt;=8,BG131&lt;=10),"Support","")))</f>
        <v>Neutral</v>
      </c>
      <c r="BI131" s="31">
        <f t="shared" ref="BI131:BI194" si="80">ABS(BG131-BE131)</f>
        <v>4</v>
      </c>
    </row>
    <row r="132" spans="1:61" hidden="1" x14ac:dyDescent="0.45">
      <c r="A132" s="29">
        <f>step3_validation[[#This Row],[Persona_ID]]</f>
        <v>131</v>
      </c>
      <c r="B132" s="30">
        <f>step3_validation[[#This Row],[Used_Seed]]</f>
        <v>172</v>
      </c>
      <c r="C132" t="str">
        <f>step3_validation[[#This Row],[Gender]]</f>
        <v>Nữ</v>
      </c>
      <c r="D132" t="str">
        <f>survey_responses[[#This Row],[Giới tính của bạn:]]</f>
        <v>Nữ</v>
      </c>
      <c r="E132" t="str">
        <f>step3_validation[[#This Row],[Age_Group]]</f>
        <v>30 - 39</v>
      </c>
      <c r="F132" t="str">
        <f>survey_responses[[#This Row],[Độ tuổi của bạn:]]</f>
        <v>30 - 39</v>
      </c>
      <c r="G132" t="str">
        <f>step3_validation[[#This Row],[Region]]</f>
        <v>Thành thị</v>
      </c>
      <c r="H132" t="str">
        <f>survey_responses[[#This Row],[Khu vực bạn đang sinh sống:]]</f>
        <v>Thành thị</v>
      </c>
      <c r="I132" t="str">
        <f>step3_validation[[#This Row],[Education]]</f>
        <v>Sau Đại học</v>
      </c>
      <c r="J132" t="str">
        <f>survey_responses[[#This Row],[Trình độ học vấn cao nhất:]]</f>
        <v>Sau Đại học</v>
      </c>
      <c r="K132" t="str">
        <f>step3_validation[[#This Row],[Employment]]</f>
        <v>Chính thức</v>
      </c>
      <c r="L132" t="str">
        <f>survey_responses[[#This Row],[Tình trạng việc làm chính:]]</f>
        <v>Khu vực chính thức (Có Hợp đồng lao động, đóng BHXH)</v>
      </c>
      <c r="M132">
        <f>step3_validation[[#This Row],[Income_Mil]]</f>
        <v>99.222990346484991</v>
      </c>
      <c r="N132" t="str">
        <f>survey_responses[[#This Row],[Thu nhập bình quân tháng theo Hợp đồng lao động của bạn là bao nhiêu? (Vui lòng điền tổng thu nhập trước khi khấu trừ các loại Bảo hiểm (BHXH, BHYT, BHTN) và Thuế TNCN)]]</f>
        <v>Từ 70 - 102 triệu VNĐ</v>
      </c>
      <c r="O132">
        <f>step3_validation[[#This Row],[Dependents]]</f>
        <v>1</v>
      </c>
      <c r="P132" t="str">
        <f>survey_responses[[#This Row],[Số người phụ thuộc (con nhỏ, cha mẹ già...) đủ điều kiện giảm trừ gia cảnh:]]</f>
        <v>1 người</v>
      </c>
      <c r="Q132">
        <f>step3_validation[[#This Row],[AI_ENF1]]</f>
        <v>6</v>
      </c>
      <c r="R132" t="str">
        <f t="shared" si="54"/>
        <v>Neutral</v>
      </c>
      <c r="S132">
        <f>survey_responses[[#This Row],[Tôi tin rằng với các quy định quản lý thuế hiện nay, hành vi gian lận hoặc trốn thuế sẽ dễ dàng bị phát hiện và xử lý nghiêm. - HUMAN-ENF1]]</f>
        <v>8</v>
      </c>
      <c r="T132" t="str">
        <f t="shared" si="55"/>
        <v>Support</v>
      </c>
      <c r="U132" s="31">
        <f t="shared" si="56"/>
        <v>2</v>
      </c>
      <c r="V132">
        <f>step3_validation[[#This Row],[AI_ENF2]]</f>
        <v>8</v>
      </c>
      <c r="W132" t="str">
        <f t="shared" si="57"/>
        <v>Support</v>
      </c>
      <c r="X132">
        <f>survey_responses[[#This Row],[Tôi tin rằng Nhà nước, cơ quan thuế có đủ khả năng và công nghệ để phát hiện, xử lý nghiêm các hành vi trốn thuế. - HUMAN-ENF2]]</f>
        <v>9</v>
      </c>
      <c r="Y132" t="str">
        <f t="shared" si="58"/>
        <v>Support</v>
      </c>
      <c r="Z132" s="31">
        <f t="shared" si="59"/>
        <v>1</v>
      </c>
      <c r="AA132">
        <f>step3_validation[[#This Row],[AI_FAC1]]</f>
        <v>9</v>
      </c>
      <c r="AB132" t="str">
        <f t="shared" si="60"/>
        <v>Support</v>
      </c>
      <c r="AC132">
        <f>survey_responses[[#This Row],[Các thủ tục khai báo thuế VÀ/HOẶC quy trình làm việc với cơ quan thuế đơn giản, tiện lợi, nhanh chóng hơn so với trước đây. - HUMAN-FAC1]]</f>
        <v>5</v>
      </c>
      <c r="AD132" t="str">
        <f t="shared" si="61"/>
        <v>Neutral</v>
      </c>
      <c r="AE132" s="31">
        <f t="shared" si="62"/>
        <v>4</v>
      </c>
      <c r="AF132">
        <f>step3_validation[[#This Row],[AI_FAC2]]</f>
        <v>9</v>
      </c>
      <c r="AG132" t="str">
        <f t="shared" si="63"/>
        <v>Support</v>
      </c>
      <c r="AH132">
        <f>survey_responses[[#This Row],[So với trước đây, tôi thấy cách tính thuế và các bậc thuế trong phương án mới đơn giản, dễ hiểu và dễ thực hiện hơn. - HUMAN-FAC2]]</f>
        <v>5</v>
      </c>
      <c r="AI132" t="str">
        <f t="shared" si="64"/>
        <v>Neutral</v>
      </c>
      <c r="AJ132" s="31">
        <f t="shared" si="65"/>
        <v>4</v>
      </c>
      <c r="AK132">
        <f>step3_validation[[#This Row],[AI_TRU1]]</f>
        <v>8</v>
      </c>
      <c r="AL132" t="str">
        <f t="shared" si="66"/>
        <v>Support</v>
      </c>
      <c r="AM132">
        <f>survey_responses[[#This Row],[Tôi tin rằng Nhà nước, cơ quan thuế sẽ thực thi chính sách mới một cách khách quan, công tâm và đối xử bình đẳng với mọi người nộp thuế.  - HUMAN-TRU1]]</f>
        <v>5</v>
      </c>
      <c r="AN132" t="str">
        <f t="shared" si="67"/>
        <v>Neutral</v>
      </c>
      <c r="AO132" s="31">
        <f t="shared" si="68"/>
        <v>3</v>
      </c>
      <c r="AP132">
        <f>step3_validation[[#This Row],[AI_TRU2]]</f>
        <v>9</v>
      </c>
      <c r="AQ132" t="str">
        <f t="shared" si="69"/>
        <v>Support</v>
      </c>
      <c r="AR132">
        <f>survey_responses[[#This Row],[Tôi thấy mức thuế tôi phải đóng theo phương án mới là công bằng (người thu nhập như tôi đóng mức này là hợp lý). - HUMAN-TRU2]]</f>
        <v>4</v>
      </c>
      <c r="AS132" t="str">
        <f t="shared" si="70"/>
        <v>Oppose</v>
      </c>
      <c r="AT132" s="31">
        <f t="shared" si="71"/>
        <v>5</v>
      </c>
      <c r="AU132">
        <f>step3_validation[[#This Row],[AI_TRU3]]</f>
        <v>8</v>
      </c>
      <c r="AV132" t="str">
        <f t="shared" si="72"/>
        <v>Support</v>
      </c>
      <c r="AW132">
        <f>survey_responses[[#This Row],[Tôi tin tưởng số tiền thuế tôi đóng sẽ được Nhà nước sử dụng hiệu quả để cải thiện dịch vụ công (y tế, đường xá...). - HUMAN-TRU3]]</f>
        <v>5</v>
      </c>
      <c r="AX132" t="str">
        <f t="shared" si="73"/>
        <v>Neutral</v>
      </c>
      <c r="AY132" s="31">
        <f t="shared" si="74"/>
        <v>3</v>
      </c>
      <c r="AZ132">
        <f>step3_validation[[#This Row],[AI_TRU4]]</f>
        <v>9</v>
      </c>
      <c r="BA132" t="str">
        <f t="shared" si="75"/>
        <v>Support</v>
      </c>
      <c r="BB132">
        <f>survey_responses[[#This Row],[Tôi thấy Nhà nước đã giải thích rõ ràng, minh bạch về lý do và mục tiêu của việc sửa đổi thuế lần này. - HUMAN-TRU4]]</f>
        <v>5</v>
      </c>
      <c r="BC132" t="str">
        <f t="shared" si="76"/>
        <v>Neutral</v>
      </c>
      <c r="BD132" s="31">
        <f t="shared" si="77"/>
        <v>4</v>
      </c>
      <c r="BE132">
        <f>step3_validation[[#This Row],[AI_OUT1]]</f>
        <v>9</v>
      </c>
      <c r="BF132" t="str">
        <f t="shared" si="78"/>
        <v>Support</v>
      </c>
      <c r="BG132">
        <f>survey_responses[[#This Row],[Sau khi xem xét các quyền lợi và nghĩa vụ, bạn có ủng hộ và tuân thủ chính sách mới hiện nay? - HUMAN-OUT1]]</f>
        <v>5</v>
      </c>
      <c r="BH132" t="str">
        <f t="shared" si="79"/>
        <v>Neutral</v>
      </c>
      <c r="BI132" s="31">
        <f t="shared" si="80"/>
        <v>4</v>
      </c>
    </row>
    <row r="133" spans="1:61" hidden="1" x14ac:dyDescent="0.45">
      <c r="A133" s="29">
        <f>step3_validation[[#This Row],[Persona_ID]]</f>
        <v>132</v>
      </c>
      <c r="B133" s="30">
        <f>step3_validation[[#This Row],[Used_Seed]]</f>
        <v>173</v>
      </c>
      <c r="C133" t="str">
        <f>step3_validation[[#This Row],[Gender]]</f>
        <v>Nam</v>
      </c>
      <c r="D133" t="str">
        <f>survey_responses[[#This Row],[Giới tính của bạn:]]</f>
        <v>Nam</v>
      </c>
      <c r="E133" t="str">
        <f>step3_validation[[#This Row],[Age_Group]]</f>
        <v>18 - 24</v>
      </c>
      <c r="F133" t="str">
        <f>survey_responses[[#This Row],[Độ tuổi của bạn:]]</f>
        <v>18 - 24</v>
      </c>
      <c r="G133" t="str">
        <f>step3_validation[[#This Row],[Region]]</f>
        <v>Thành thị</v>
      </c>
      <c r="H133" t="str">
        <f>survey_responses[[#This Row],[Khu vực bạn đang sinh sống:]]</f>
        <v>Thành thị</v>
      </c>
      <c r="I133" t="str">
        <f>step3_validation[[#This Row],[Education]]</f>
        <v>Đại học</v>
      </c>
      <c r="J133" t="str">
        <f>survey_responses[[#This Row],[Trình độ học vấn cao nhất:]]</f>
        <v>Đại học</v>
      </c>
      <c r="K133" t="str">
        <f>step3_validation[[#This Row],[Employment]]</f>
        <v>Chính thức</v>
      </c>
      <c r="L133" t="str">
        <f>survey_responses[[#This Row],[Tình trạng việc làm chính:]]</f>
        <v>Khu vực chính thức (Có Hợp đồng lao động, đóng BHXH)</v>
      </c>
      <c r="M133">
        <f>step3_validation[[#This Row],[Income_Mil]]</f>
        <v>15.268705496420361</v>
      </c>
      <c r="N133" t="str">
        <f>survey_responses[[#This Row],[Thu nhập bình quân tháng theo Hợp đồng lao động của bạn là bao nhiêu? (Vui lòng điền tổng thu nhập trước khi khấu trừ các loại Bảo hiểm (BHXH, BHYT, BHTN) và Thuế TNCN)]]</f>
        <v>Từ 12 - 18 triệu VNĐ</v>
      </c>
      <c r="O133">
        <f>step3_validation[[#This Row],[Dependents]]</f>
        <v>0</v>
      </c>
      <c r="P133" t="str">
        <f>survey_responses[[#This Row],[Số người phụ thuộc (con nhỏ, cha mẹ già...) đủ điều kiện giảm trừ gia cảnh:]]</f>
        <v>0 người</v>
      </c>
      <c r="Q133">
        <f>step3_validation[[#This Row],[AI_ENF1]]</f>
        <v>8</v>
      </c>
      <c r="R133" t="str">
        <f t="shared" si="54"/>
        <v>Support</v>
      </c>
      <c r="S133">
        <f>survey_responses[[#This Row],[Tôi tin rằng với các quy định quản lý thuế hiện nay, hành vi gian lận hoặc trốn thuế sẽ dễ dàng bị phát hiện và xử lý nghiêm. - HUMAN-ENF1]]</f>
        <v>9</v>
      </c>
      <c r="T133" t="str">
        <f t="shared" si="55"/>
        <v>Support</v>
      </c>
      <c r="U133" s="31">
        <f t="shared" si="56"/>
        <v>1</v>
      </c>
      <c r="V133">
        <f>step3_validation[[#This Row],[AI_ENF2]]</f>
        <v>7</v>
      </c>
      <c r="W133" t="str">
        <f t="shared" si="57"/>
        <v>Neutral</v>
      </c>
      <c r="X133">
        <f>survey_responses[[#This Row],[Tôi tin rằng Nhà nước, cơ quan thuế có đủ khả năng và công nghệ để phát hiện, xử lý nghiêm các hành vi trốn thuế. - HUMAN-ENF2]]</f>
        <v>9</v>
      </c>
      <c r="Y133" t="str">
        <f t="shared" si="58"/>
        <v>Support</v>
      </c>
      <c r="Z133" s="31">
        <f t="shared" si="59"/>
        <v>2</v>
      </c>
      <c r="AA133">
        <f>step3_validation[[#This Row],[AI_FAC1]]</f>
        <v>9</v>
      </c>
      <c r="AB133" t="str">
        <f t="shared" si="60"/>
        <v>Support</v>
      </c>
      <c r="AC133">
        <f>survey_responses[[#This Row],[Các thủ tục khai báo thuế VÀ/HOẶC quy trình làm việc với cơ quan thuế đơn giản, tiện lợi, nhanh chóng hơn so với trước đây. - HUMAN-FAC1]]</f>
        <v>9</v>
      </c>
      <c r="AD133" t="str">
        <f t="shared" si="61"/>
        <v>Support</v>
      </c>
      <c r="AE133" s="31">
        <f t="shared" si="62"/>
        <v>0</v>
      </c>
      <c r="AF133">
        <f>step3_validation[[#This Row],[AI_FAC2]]</f>
        <v>9</v>
      </c>
      <c r="AG133" t="str">
        <f t="shared" si="63"/>
        <v>Support</v>
      </c>
      <c r="AH133">
        <f>survey_responses[[#This Row],[So với trước đây, tôi thấy cách tính thuế và các bậc thuế trong phương án mới đơn giản, dễ hiểu và dễ thực hiện hơn. - HUMAN-FAC2]]</f>
        <v>9</v>
      </c>
      <c r="AI133" t="str">
        <f t="shared" si="64"/>
        <v>Support</v>
      </c>
      <c r="AJ133" s="31">
        <f t="shared" si="65"/>
        <v>0</v>
      </c>
      <c r="AK133">
        <f>step3_validation[[#This Row],[AI_TRU1]]</f>
        <v>8</v>
      </c>
      <c r="AL133" t="str">
        <f t="shared" si="66"/>
        <v>Support</v>
      </c>
      <c r="AM133">
        <f>survey_responses[[#This Row],[Tôi tin rằng Nhà nước, cơ quan thuế sẽ thực thi chính sách mới một cách khách quan, công tâm và đối xử bình đẳng với mọi người nộp thuế.  - HUMAN-TRU1]]</f>
        <v>7</v>
      </c>
      <c r="AN133" t="str">
        <f t="shared" si="67"/>
        <v>Neutral</v>
      </c>
      <c r="AO133" s="31">
        <f t="shared" si="68"/>
        <v>1</v>
      </c>
      <c r="AP133">
        <f>step3_validation[[#This Row],[AI_TRU2]]</f>
        <v>9</v>
      </c>
      <c r="AQ133" t="str">
        <f t="shared" si="69"/>
        <v>Support</v>
      </c>
      <c r="AR133">
        <f>survey_responses[[#This Row],[Tôi thấy mức thuế tôi phải đóng theo phương án mới là công bằng (người thu nhập như tôi đóng mức này là hợp lý). - HUMAN-TRU2]]</f>
        <v>10</v>
      </c>
      <c r="AS133" t="str">
        <f t="shared" si="70"/>
        <v>Support</v>
      </c>
      <c r="AT133" s="31">
        <f t="shared" si="71"/>
        <v>1</v>
      </c>
      <c r="AU133">
        <f>step3_validation[[#This Row],[AI_TRU3]]</f>
        <v>8</v>
      </c>
      <c r="AV133" t="str">
        <f t="shared" si="72"/>
        <v>Support</v>
      </c>
      <c r="AW133">
        <f>survey_responses[[#This Row],[Tôi tin tưởng số tiền thuế tôi đóng sẽ được Nhà nước sử dụng hiệu quả để cải thiện dịch vụ công (y tế, đường xá...). - HUMAN-TRU3]]</f>
        <v>5</v>
      </c>
      <c r="AX133" t="str">
        <f t="shared" si="73"/>
        <v>Neutral</v>
      </c>
      <c r="AY133" s="31">
        <f t="shared" si="74"/>
        <v>3</v>
      </c>
      <c r="AZ133">
        <f>step3_validation[[#This Row],[AI_TRU4]]</f>
        <v>7</v>
      </c>
      <c r="BA133" t="str">
        <f t="shared" si="75"/>
        <v>Neutral</v>
      </c>
      <c r="BB133">
        <f>survey_responses[[#This Row],[Tôi thấy Nhà nước đã giải thích rõ ràng, minh bạch về lý do và mục tiêu của việc sửa đổi thuế lần này. - HUMAN-TRU4]]</f>
        <v>5</v>
      </c>
      <c r="BC133" t="str">
        <f t="shared" si="76"/>
        <v>Neutral</v>
      </c>
      <c r="BD133" s="31">
        <f t="shared" si="77"/>
        <v>2</v>
      </c>
      <c r="BE133">
        <f>step3_validation[[#This Row],[AI_OUT1]]</f>
        <v>9</v>
      </c>
      <c r="BF133" t="str">
        <f t="shared" si="78"/>
        <v>Support</v>
      </c>
      <c r="BG133">
        <f>survey_responses[[#This Row],[Sau khi xem xét các quyền lợi và nghĩa vụ, bạn có ủng hộ và tuân thủ chính sách mới hiện nay? - HUMAN-OUT1]]</f>
        <v>9</v>
      </c>
      <c r="BH133" t="str">
        <f t="shared" si="79"/>
        <v>Support</v>
      </c>
      <c r="BI133" s="31">
        <f t="shared" si="80"/>
        <v>0</v>
      </c>
    </row>
    <row r="134" spans="1:61" hidden="1" x14ac:dyDescent="0.45">
      <c r="A134" s="29">
        <f>step3_validation[[#This Row],[Persona_ID]]</f>
        <v>133</v>
      </c>
      <c r="B134" s="30">
        <f>step3_validation[[#This Row],[Used_Seed]]</f>
        <v>174</v>
      </c>
      <c r="C134" t="str">
        <f>step3_validation[[#This Row],[Gender]]</f>
        <v>Nam</v>
      </c>
      <c r="D134" t="str">
        <f>survey_responses[[#This Row],[Giới tính của bạn:]]</f>
        <v>Nam</v>
      </c>
      <c r="E134" t="str">
        <f>step3_validation[[#This Row],[Age_Group]]</f>
        <v>25 - 29</v>
      </c>
      <c r="F134" t="str">
        <f>survey_responses[[#This Row],[Độ tuổi của bạn:]]</f>
        <v>25 - 29</v>
      </c>
      <c r="G134" t="str">
        <f>step3_validation[[#This Row],[Region]]</f>
        <v>Thành thị</v>
      </c>
      <c r="H134" t="str">
        <f>survey_responses[[#This Row],[Khu vực bạn đang sinh sống:]]</f>
        <v>Thành thị</v>
      </c>
      <c r="I134" t="str">
        <f>step3_validation[[#This Row],[Education]]</f>
        <v>Cao đẳng</v>
      </c>
      <c r="J134" t="str">
        <f>survey_responses[[#This Row],[Trình độ học vấn cao nhất:]]</f>
        <v>Cao đẳng</v>
      </c>
      <c r="K134" t="str">
        <f>step3_validation[[#This Row],[Employment]]</f>
        <v>Chính thức</v>
      </c>
      <c r="L134" t="str">
        <f>survey_responses[[#This Row],[Tình trạng việc làm chính:]]</f>
        <v>Khu vực chính thức (Có Hợp đồng lao động, đóng BHXH)</v>
      </c>
      <c r="M134">
        <f>step3_validation[[#This Row],[Income_Mil]]</f>
        <v>40.779172389044575</v>
      </c>
      <c r="N134" t="str">
        <f>survey_responses[[#This Row],[Thu nhập bình quân tháng theo Hợp đồng lao động của bạn là bao nhiêu? (Vui lòng điền tổng thu nhập trước khi khấu trừ các loại Bảo hiểm (BHXH, BHYT, BHTN) và Thuế TNCN)]]</f>
        <v>Từ 32 - 48 triệu VNĐ</v>
      </c>
      <c r="O134">
        <f>step3_validation[[#This Row],[Dependents]]</f>
        <v>0</v>
      </c>
      <c r="P134" t="str">
        <f>survey_responses[[#This Row],[Số người phụ thuộc (con nhỏ, cha mẹ già...) đủ điều kiện giảm trừ gia cảnh:]]</f>
        <v>0 người</v>
      </c>
      <c r="Q134">
        <f>step3_validation[[#This Row],[AI_ENF1]]</f>
        <v>6</v>
      </c>
      <c r="R134" t="str">
        <f t="shared" si="54"/>
        <v>Neutral</v>
      </c>
      <c r="S134">
        <f>survey_responses[[#This Row],[Tôi tin rằng với các quy định quản lý thuế hiện nay, hành vi gian lận hoặc trốn thuế sẽ dễ dàng bị phát hiện và xử lý nghiêm. - HUMAN-ENF1]]</f>
        <v>5</v>
      </c>
      <c r="T134" t="str">
        <f t="shared" si="55"/>
        <v>Neutral</v>
      </c>
      <c r="U134" s="31">
        <f t="shared" si="56"/>
        <v>1</v>
      </c>
      <c r="V134">
        <f>step3_validation[[#This Row],[AI_ENF2]]</f>
        <v>7</v>
      </c>
      <c r="W134" t="str">
        <f t="shared" si="57"/>
        <v>Neutral</v>
      </c>
      <c r="X134">
        <f>survey_responses[[#This Row],[Tôi tin rằng Nhà nước, cơ quan thuế có đủ khả năng và công nghệ để phát hiện, xử lý nghiêm các hành vi trốn thuế. - HUMAN-ENF2]]</f>
        <v>5</v>
      </c>
      <c r="Y134" t="str">
        <f t="shared" si="58"/>
        <v>Neutral</v>
      </c>
      <c r="Z134" s="31">
        <f t="shared" si="59"/>
        <v>2</v>
      </c>
      <c r="AA134">
        <f>step3_validation[[#This Row],[AI_FAC1]]</f>
        <v>8</v>
      </c>
      <c r="AB134" t="str">
        <f t="shared" si="60"/>
        <v>Support</v>
      </c>
      <c r="AC134">
        <f>survey_responses[[#This Row],[Các thủ tục khai báo thuế VÀ/HOẶC quy trình làm việc với cơ quan thuế đơn giản, tiện lợi, nhanh chóng hơn so với trước đây. - HUMAN-FAC1]]</f>
        <v>5</v>
      </c>
      <c r="AD134" t="str">
        <f t="shared" si="61"/>
        <v>Neutral</v>
      </c>
      <c r="AE134" s="31">
        <f t="shared" si="62"/>
        <v>3</v>
      </c>
      <c r="AF134">
        <f>step3_validation[[#This Row],[AI_FAC2]]</f>
        <v>9</v>
      </c>
      <c r="AG134" t="str">
        <f t="shared" si="63"/>
        <v>Support</v>
      </c>
      <c r="AH134">
        <f>survey_responses[[#This Row],[So với trước đây, tôi thấy cách tính thuế và các bậc thuế trong phương án mới đơn giản, dễ hiểu và dễ thực hiện hơn. - HUMAN-FAC2]]</f>
        <v>5</v>
      </c>
      <c r="AI134" t="str">
        <f t="shared" si="64"/>
        <v>Neutral</v>
      </c>
      <c r="AJ134" s="31">
        <f t="shared" si="65"/>
        <v>4</v>
      </c>
      <c r="AK134">
        <f>step3_validation[[#This Row],[AI_TRU1]]</f>
        <v>8</v>
      </c>
      <c r="AL134" t="str">
        <f t="shared" si="66"/>
        <v>Support</v>
      </c>
      <c r="AM134">
        <f>survey_responses[[#This Row],[Tôi tin rằng Nhà nước, cơ quan thuế sẽ thực thi chính sách mới một cách khách quan, công tâm và đối xử bình đẳng với mọi người nộp thuế.  - HUMAN-TRU1]]</f>
        <v>5</v>
      </c>
      <c r="AN134" t="str">
        <f t="shared" si="67"/>
        <v>Neutral</v>
      </c>
      <c r="AO134" s="31">
        <f t="shared" si="68"/>
        <v>3</v>
      </c>
      <c r="AP134">
        <f>step3_validation[[#This Row],[AI_TRU2]]</f>
        <v>9</v>
      </c>
      <c r="AQ134" t="str">
        <f t="shared" si="69"/>
        <v>Support</v>
      </c>
      <c r="AR134">
        <f>survey_responses[[#This Row],[Tôi thấy mức thuế tôi phải đóng theo phương án mới là công bằng (người thu nhập như tôi đóng mức này là hợp lý). - HUMAN-TRU2]]</f>
        <v>5</v>
      </c>
      <c r="AS134" t="str">
        <f t="shared" si="70"/>
        <v>Neutral</v>
      </c>
      <c r="AT134" s="31">
        <f t="shared" si="71"/>
        <v>4</v>
      </c>
      <c r="AU134">
        <f>step3_validation[[#This Row],[AI_TRU3]]</f>
        <v>7</v>
      </c>
      <c r="AV134" t="str">
        <f t="shared" si="72"/>
        <v>Neutral</v>
      </c>
      <c r="AW134">
        <f>survey_responses[[#This Row],[Tôi tin tưởng số tiền thuế tôi đóng sẽ được Nhà nước sử dụng hiệu quả để cải thiện dịch vụ công (y tế, đường xá...). - HUMAN-TRU3]]</f>
        <v>5</v>
      </c>
      <c r="AX134" t="str">
        <f t="shared" si="73"/>
        <v>Neutral</v>
      </c>
      <c r="AY134" s="31">
        <f t="shared" si="74"/>
        <v>2</v>
      </c>
      <c r="AZ134">
        <f>step3_validation[[#This Row],[AI_TRU4]]</f>
        <v>8</v>
      </c>
      <c r="BA134" t="str">
        <f t="shared" si="75"/>
        <v>Support</v>
      </c>
      <c r="BB134">
        <f>survey_responses[[#This Row],[Tôi thấy Nhà nước đã giải thích rõ ràng, minh bạch về lý do và mục tiêu của việc sửa đổi thuế lần này. - HUMAN-TRU4]]</f>
        <v>5</v>
      </c>
      <c r="BC134" t="str">
        <f t="shared" si="76"/>
        <v>Neutral</v>
      </c>
      <c r="BD134" s="31">
        <f t="shared" si="77"/>
        <v>3</v>
      </c>
      <c r="BE134">
        <f>step3_validation[[#This Row],[AI_OUT1]]</f>
        <v>9</v>
      </c>
      <c r="BF134" t="str">
        <f t="shared" si="78"/>
        <v>Support</v>
      </c>
      <c r="BG134">
        <f>survey_responses[[#This Row],[Sau khi xem xét các quyền lợi và nghĩa vụ, bạn có ủng hộ và tuân thủ chính sách mới hiện nay? - HUMAN-OUT1]]</f>
        <v>5</v>
      </c>
      <c r="BH134" t="str">
        <f t="shared" si="79"/>
        <v>Neutral</v>
      </c>
      <c r="BI134" s="31">
        <f t="shared" si="80"/>
        <v>4</v>
      </c>
    </row>
    <row r="135" spans="1:61" hidden="1" x14ac:dyDescent="0.45">
      <c r="A135" s="29">
        <f>step3_validation[[#This Row],[Persona_ID]]</f>
        <v>134</v>
      </c>
      <c r="B135" s="30">
        <f>step3_validation[[#This Row],[Used_Seed]]</f>
        <v>175</v>
      </c>
      <c r="C135" t="str">
        <f>step3_validation[[#This Row],[Gender]]</f>
        <v>Nữ</v>
      </c>
      <c r="D135" t="str">
        <f>survey_responses[[#This Row],[Giới tính của bạn:]]</f>
        <v>Nữ</v>
      </c>
      <c r="E135" t="str">
        <f>step3_validation[[#This Row],[Age_Group]]</f>
        <v>18 - 24</v>
      </c>
      <c r="F135" t="str">
        <f>survey_responses[[#This Row],[Độ tuổi của bạn:]]</f>
        <v>18 - 24</v>
      </c>
      <c r="G135" t="str">
        <f>step3_validation[[#This Row],[Region]]</f>
        <v>Thành thị</v>
      </c>
      <c r="H135" t="str">
        <f>survey_responses[[#This Row],[Khu vực bạn đang sinh sống:]]</f>
        <v>Thành thị</v>
      </c>
      <c r="I135" t="str">
        <f>step3_validation[[#This Row],[Education]]</f>
        <v>Đại học</v>
      </c>
      <c r="J135" t="str">
        <f>survey_responses[[#This Row],[Trình độ học vấn cao nhất:]]</f>
        <v>Đại học</v>
      </c>
      <c r="K135" t="str">
        <f>step3_validation[[#This Row],[Employment]]</f>
        <v>Chính thức</v>
      </c>
      <c r="L135" t="str">
        <f>survey_responses[[#This Row],[Tình trạng việc làm chính:]]</f>
        <v>Khu vực chính thức (Có Hợp đồng lao động, đóng BHXH)</v>
      </c>
      <c r="M135">
        <f>step3_validation[[#This Row],[Income_Mil]]</f>
        <v>20.199505970710106</v>
      </c>
      <c r="N135" t="str">
        <f>survey_responses[[#This Row],[Thu nhập bình quân tháng theo Hợp đồng lao động của bạn là bao nhiêu? (Vui lòng điền tổng thu nhập trước khi khấu trừ các loại Bảo hiểm (BHXH, BHYT, BHTN) và Thuế TNCN)]]</f>
        <v>Từ 18 - 23 triệu VNĐ</v>
      </c>
      <c r="O135">
        <f>step3_validation[[#This Row],[Dependents]]</f>
        <v>0</v>
      </c>
      <c r="P135" t="str">
        <f>survey_responses[[#This Row],[Số người phụ thuộc (con nhỏ, cha mẹ già...) đủ điều kiện giảm trừ gia cảnh:]]</f>
        <v>0 người</v>
      </c>
      <c r="Q135">
        <f>step3_validation[[#This Row],[AI_ENF1]]</f>
        <v>7</v>
      </c>
      <c r="R135" t="str">
        <f t="shared" si="54"/>
        <v>Neutral</v>
      </c>
      <c r="S135">
        <f>survey_responses[[#This Row],[Tôi tin rằng với các quy định quản lý thuế hiện nay, hành vi gian lận hoặc trốn thuế sẽ dễ dàng bị phát hiện và xử lý nghiêm. - HUMAN-ENF1]]</f>
        <v>9</v>
      </c>
      <c r="T135" t="str">
        <f t="shared" si="55"/>
        <v>Support</v>
      </c>
      <c r="U135" s="31">
        <f t="shared" si="56"/>
        <v>2</v>
      </c>
      <c r="V135">
        <f>step3_validation[[#This Row],[AI_ENF2]]</f>
        <v>6</v>
      </c>
      <c r="W135" t="str">
        <f t="shared" si="57"/>
        <v>Neutral</v>
      </c>
      <c r="X135">
        <f>survey_responses[[#This Row],[Tôi tin rằng Nhà nước, cơ quan thuế có đủ khả năng và công nghệ để phát hiện, xử lý nghiêm các hành vi trốn thuế. - HUMAN-ENF2]]</f>
        <v>9</v>
      </c>
      <c r="Y135" t="str">
        <f t="shared" si="58"/>
        <v>Support</v>
      </c>
      <c r="Z135" s="31">
        <f t="shared" si="59"/>
        <v>3</v>
      </c>
      <c r="AA135">
        <f>step3_validation[[#This Row],[AI_FAC1]]</f>
        <v>8</v>
      </c>
      <c r="AB135" t="str">
        <f t="shared" si="60"/>
        <v>Support</v>
      </c>
      <c r="AC135">
        <f>survey_responses[[#This Row],[Các thủ tục khai báo thuế VÀ/HOẶC quy trình làm việc với cơ quan thuế đơn giản, tiện lợi, nhanh chóng hơn so với trước đây. - HUMAN-FAC1]]</f>
        <v>5</v>
      </c>
      <c r="AD135" t="str">
        <f t="shared" si="61"/>
        <v>Neutral</v>
      </c>
      <c r="AE135" s="31">
        <f t="shared" si="62"/>
        <v>3</v>
      </c>
      <c r="AF135">
        <f>step3_validation[[#This Row],[AI_FAC2]]</f>
        <v>9</v>
      </c>
      <c r="AG135" t="str">
        <f t="shared" si="63"/>
        <v>Support</v>
      </c>
      <c r="AH135">
        <f>survey_responses[[#This Row],[So với trước đây, tôi thấy cách tính thuế và các bậc thuế trong phương án mới đơn giản, dễ hiểu và dễ thực hiện hơn. - HUMAN-FAC2]]</f>
        <v>9</v>
      </c>
      <c r="AI135" t="str">
        <f t="shared" si="64"/>
        <v>Support</v>
      </c>
      <c r="AJ135" s="31">
        <f t="shared" si="65"/>
        <v>0</v>
      </c>
      <c r="AK135">
        <f>step3_validation[[#This Row],[AI_TRU1]]</f>
        <v>8</v>
      </c>
      <c r="AL135" t="str">
        <f t="shared" si="66"/>
        <v>Support</v>
      </c>
      <c r="AM135">
        <f>survey_responses[[#This Row],[Tôi tin rằng Nhà nước, cơ quan thuế sẽ thực thi chính sách mới một cách khách quan, công tâm và đối xử bình đẳng với mọi người nộp thuế.  - HUMAN-TRU1]]</f>
        <v>8</v>
      </c>
      <c r="AN135" t="str">
        <f t="shared" si="67"/>
        <v>Support</v>
      </c>
      <c r="AO135" s="31">
        <f t="shared" si="68"/>
        <v>0</v>
      </c>
      <c r="AP135">
        <f>step3_validation[[#This Row],[AI_TRU2]]</f>
        <v>9</v>
      </c>
      <c r="AQ135" t="str">
        <f t="shared" si="69"/>
        <v>Support</v>
      </c>
      <c r="AR135">
        <f>survey_responses[[#This Row],[Tôi thấy mức thuế tôi phải đóng theo phương án mới là công bằng (người thu nhập như tôi đóng mức này là hợp lý). - HUMAN-TRU2]]</f>
        <v>10</v>
      </c>
      <c r="AS135" t="str">
        <f t="shared" si="70"/>
        <v>Support</v>
      </c>
      <c r="AT135" s="31">
        <f t="shared" si="71"/>
        <v>1</v>
      </c>
      <c r="AU135">
        <f>step3_validation[[#This Row],[AI_TRU3]]</f>
        <v>8</v>
      </c>
      <c r="AV135" t="str">
        <f t="shared" si="72"/>
        <v>Support</v>
      </c>
      <c r="AW135">
        <f>survey_responses[[#This Row],[Tôi tin tưởng số tiền thuế tôi đóng sẽ được Nhà nước sử dụng hiệu quả để cải thiện dịch vụ công (y tế, đường xá...). - HUMAN-TRU3]]</f>
        <v>5</v>
      </c>
      <c r="AX135" t="str">
        <f t="shared" si="73"/>
        <v>Neutral</v>
      </c>
      <c r="AY135" s="31">
        <f t="shared" si="74"/>
        <v>3</v>
      </c>
      <c r="AZ135">
        <f>step3_validation[[#This Row],[AI_TRU4]]</f>
        <v>6</v>
      </c>
      <c r="BA135" t="str">
        <f t="shared" si="75"/>
        <v>Neutral</v>
      </c>
      <c r="BB135">
        <f>survey_responses[[#This Row],[Tôi thấy Nhà nước đã giải thích rõ ràng, minh bạch về lý do và mục tiêu của việc sửa đổi thuế lần này. - HUMAN-TRU4]]</f>
        <v>5</v>
      </c>
      <c r="BC135" t="str">
        <f t="shared" si="76"/>
        <v>Neutral</v>
      </c>
      <c r="BD135" s="31">
        <f t="shared" si="77"/>
        <v>1</v>
      </c>
      <c r="BE135">
        <f>step3_validation[[#This Row],[AI_OUT1]]</f>
        <v>9</v>
      </c>
      <c r="BF135" t="str">
        <f t="shared" si="78"/>
        <v>Support</v>
      </c>
      <c r="BG135">
        <f>survey_responses[[#This Row],[Sau khi xem xét các quyền lợi và nghĩa vụ, bạn có ủng hộ và tuân thủ chính sách mới hiện nay? - HUMAN-OUT1]]</f>
        <v>7</v>
      </c>
      <c r="BH135" t="str">
        <f t="shared" si="79"/>
        <v>Neutral</v>
      </c>
      <c r="BI135" s="31">
        <f t="shared" si="80"/>
        <v>2</v>
      </c>
    </row>
    <row r="136" spans="1:61" hidden="1" x14ac:dyDescent="0.45">
      <c r="A136" s="29">
        <f>step3_validation[[#This Row],[Persona_ID]]</f>
        <v>135</v>
      </c>
      <c r="B136" s="30">
        <f>step3_validation[[#This Row],[Used_Seed]]</f>
        <v>176</v>
      </c>
      <c r="C136" t="str">
        <f>step3_validation[[#This Row],[Gender]]</f>
        <v>Nam</v>
      </c>
      <c r="D136" t="str">
        <f>survey_responses[[#This Row],[Giới tính của bạn:]]</f>
        <v>Nam</v>
      </c>
      <c r="E136" t="str">
        <f>step3_validation[[#This Row],[Age_Group]]</f>
        <v>18 - 24</v>
      </c>
      <c r="F136" t="str">
        <f>survey_responses[[#This Row],[Độ tuổi của bạn:]]</f>
        <v>18 - 24</v>
      </c>
      <c r="G136" t="str">
        <f>step3_validation[[#This Row],[Region]]</f>
        <v>Thành thị</v>
      </c>
      <c r="H136" t="str">
        <f>survey_responses[[#This Row],[Khu vực bạn đang sinh sống:]]</f>
        <v>Thành thị</v>
      </c>
      <c r="I136" t="str">
        <f>step3_validation[[#This Row],[Education]]</f>
        <v>Đại học</v>
      </c>
      <c r="J136" t="str">
        <f>survey_responses[[#This Row],[Trình độ học vấn cao nhất:]]</f>
        <v>Đại học</v>
      </c>
      <c r="K136" t="str">
        <f>step3_validation[[#This Row],[Employment]]</f>
        <v>Chính thức</v>
      </c>
      <c r="L136" t="str">
        <f>survey_responses[[#This Row],[Tình trạng việc làm chính:]]</f>
        <v>Khu vực chính thức (Có Hợp đồng lao động, đóng BHXH)</v>
      </c>
      <c r="M136">
        <f>step3_validation[[#This Row],[Income_Mil]]</f>
        <v>14.325720764134783</v>
      </c>
      <c r="N136" t="str">
        <f>survey_responses[[#This Row],[Thu nhập bình quân tháng theo Hợp đồng lao động của bạn là bao nhiêu? (Vui lòng điền tổng thu nhập trước khi khấu trừ các loại Bảo hiểm (BHXH, BHYT, BHTN) và Thuế TNCN)]]</f>
        <v>Từ 12 - 18 triệu VNĐ</v>
      </c>
      <c r="O136">
        <f>step3_validation[[#This Row],[Dependents]]</f>
        <v>0</v>
      </c>
      <c r="P136" t="str">
        <f>survey_responses[[#This Row],[Số người phụ thuộc (con nhỏ, cha mẹ già...) đủ điều kiện giảm trừ gia cảnh:]]</f>
        <v>0 người</v>
      </c>
      <c r="Q136">
        <f>step3_validation[[#This Row],[AI_ENF1]]</f>
        <v>7</v>
      </c>
      <c r="R136" t="str">
        <f t="shared" si="54"/>
        <v>Neutral</v>
      </c>
      <c r="S136">
        <f>survey_responses[[#This Row],[Tôi tin rằng với các quy định quản lý thuế hiện nay, hành vi gian lận hoặc trốn thuế sẽ dễ dàng bị phát hiện và xử lý nghiêm. - HUMAN-ENF1]]</f>
        <v>5</v>
      </c>
      <c r="T136" t="str">
        <f t="shared" si="55"/>
        <v>Neutral</v>
      </c>
      <c r="U136" s="31">
        <f t="shared" si="56"/>
        <v>2</v>
      </c>
      <c r="V136">
        <f>step3_validation[[#This Row],[AI_ENF2]]</f>
        <v>6</v>
      </c>
      <c r="W136" t="str">
        <f t="shared" si="57"/>
        <v>Neutral</v>
      </c>
      <c r="X136">
        <f>survey_responses[[#This Row],[Tôi tin rằng Nhà nước, cơ quan thuế có đủ khả năng và công nghệ để phát hiện, xử lý nghiêm các hành vi trốn thuế. - HUMAN-ENF2]]</f>
        <v>5</v>
      </c>
      <c r="Y136" t="str">
        <f t="shared" si="58"/>
        <v>Neutral</v>
      </c>
      <c r="Z136" s="31">
        <f t="shared" si="59"/>
        <v>1</v>
      </c>
      <c r="AA136">
        <f>step3_validation[[#This Row],[AI_FAC1]]</f>
        <v>8</v>
      </c>
      <c r="AB136" t="str">
        <f t="shared" si="60"/>
        <v>Support</v>
      </c>
      <c r="AC136">
        <f>survey_responses[[#This Row],[Các thủ tục khai báo thuế VÀ/HOẶC quy trình làm việc với cơ quan thuế đơn giản, tiện lợi, nhanh chóng hơn so với trước đây. - HUMAN-FAC1]]</f>
        <v>5</v>
      </c>
      <c r="AD136" t="str">
        <f t="shared" si="61"/>
        <v>Neutral</v>
      </c>
      <c r="AE136" s="31">
        <f t="shared" si="62"/>
        <v>3</v>
      </c>
      <c r="AF136">
        <f>step3_validation[[#This Row],[AI_FAC2]]</f>
        <v>9</v>
      </c>
      <c r="AG136" t="str">
        <f t="shared" si="63"/>
        <v>Support</v>
      </c>
      <c r="AH136">
        <f>survey_responses[[#This Row],[So với trước đây, tôi thấy cách tính thuế và các bậc thuế trong phương án mới đơn giản, dễ hiểu và dễ thực hiện hơn. - HUMAN-FAC2]]</f>
        <v>6</v>
      </c>
      <c r="AI136" t="str">
        <f t="shared" si="64"/>
        <v>Neutral</v>
      </c>
      <c r="AJ136" s="31">
        <f t="shared" si="65"/>
        <v>3</v>
      </c>
      <c r="AK136">
        <f>step3_validation[[#This Row],[AI_TRU1]]</f>
        <v>7</v>
      </c>
      <c r="AL136" t="str">
        <f t="shared" si="66"/>
        <v>Neutral</v>
      </c>
      <c r="AM136">
        <f>survey_responses[[#This Row],[Tôi tin rằng Nhà nước, cơ quan thuế sẽ thực thi chính sách mới một cách khách quan, công tâm và đối xử bình đẳng với mọi người nộp thuế.  - HUMAN-TRU1]]</f>
        <v>6</v>
      </c>
      <c r="AN136" t="str">
        <f t="shared" si="67"/>
        <v>Neutral</v>
      </c>
      <c r="AO136" s="31">
        <f t="shared" si="68"/>
        <v>1</v>
      </c>
      <c r="AP136">
        <f>step3_validation[[#This Row],[AI_TRU2]]</f>
        <v>8</v>
      </c>
      <c r="AQ136" t="str">
        <f t="shared" si="69"/>
        <v>Support</v>
      </c>
      <c r="AR136">
        <f>survey_responses[[#This Row],[Tôi thấy mức thuế tôi phải đóng theo phương án mới là công bằng (người thu nhập như tôi đóng mức này là hợp lý). - HUMAN-TRU2]]</f>
        <v>6</v>
      </c>
      <c r="AS136" t="str">
        <f t="shared" si="70"/>
        <v>Neutral</v>
      </c>
      <c r="AT136" s="31">
        <f t="shared" si="71"/>
        <v>2</v>
      </c>
      <c r="AU136">
        <f>step3_validation[[#This Row],[AI_TRU3]]</f>
        <v>7</v>
      </c>
      <c r="AV136" t="str">
        <f t="shared" si="72"/>
        <v>Neutral</v>
      </c>
      <c r="AW136">
        <f>survey_responses[[#This Row],[Tôi tin tưởng số tiền thuế tôi đóng sẽ được Nhà nước sử dụng hiệu quả để cải thiện dịch vụ công (y tế, đường xá...). - HUMAN-TRU3]]</f>
        <v>6</v>
      </c>
      <c r="AX136" t="str">
        <f t="shared" si="73"/>
        <v>Neutral</v>
      </c>
      <c r="AY136" s="31">
        <f t="shared" si="74"/>
        <v>1</v>
      </c>
      <c r="AZ136">
        <f>step3_validation[[#This Row],[AI_TRU4]]</f>
        <v>6</v>
      </c>
      <c r="BA136" t="str">
        <f t="shared" si="75"/>
        <v>Neutral</v>
      </c>
      <c r="BB136">
        <f>survey_responses[[#This Row],[Tôi thấy Nhà nước đã giải thích rõ ràng, minh bạch về lý do và mục tiêu của việc sửa đổi thuế lần này. - HUMAN-TRU4]]</f>
        <v>6</v>
      </c>
      <c r="BC136" t="str">
        <f t="shared" si="76"/>
        <v>Neutral</v>
      </c>
      <c r="BD136" s="31">
        <f t="shared" si="77"/>
        <v>0</v>
      </c>
      <c r="BE136">
        <f>step3_validation[[#This Row],[AI_OUT1]]</f>
        <v>8</v>
      </c>
      <c r="BF136" t="str">
        <f t="shared" si="78"/>
        <v>Support</v>
      </c>
      <c r="BG136">
        <f>survey_responses[[#This Row],[Sau khi xem xét các quyền lợi và nghĩa vụ, bạn có ủng hộ và tuân thủ chính sách mới hiện nay? - HUMAN-OUT1]]</f>
        <v>6</v>
      </c>
      <c r="BH136" t="str">
        <f t="shared" si="79"/>
        <v>Neutral</v>
      </c>
      <c r="BI136" s="31">
        <f t="shared" si="80"/>
        <v>2</v>
      </c>
    </row>
    <row r="137" spans="1:61" x14ac:dyDescent="0.45">
      <c r="A137" s="29">
        <f>step3_validation[[#This Row],[Persona_ID]]</f>
        <v>136</v>
      </c>
      <c r="B137" s="30">
        <f>step3_validation[[#This Row],[Used_Seed]]</f>
        <v>177</v>
      </c>
      <c r="C137" t="str">
        <f>step3_validation[[#This Row],[Gender]]</f>
        <v>Nữ</v>
      </c>
      <c r="D137" t="str">
        <f>survey_responses[[#This Row],[Giới tính của bạn:]]</f>
        <v>Nữ</v>
      </c>
      <c r="E137" t="str">
        <f>step3_validation[[#This Row],[Age_Group]]</f>
        <v>55 - 64</v>
      </c>
      <c r="F137" t="str">
        <f>survey_responses[[#This Row],[Độ tuổi của bạn:]]</f>
        <v>55 - 64</v>
      </c>
      <c r="G137" t="str">
        <f>step3_validation[[#This Row],[Region]]</f>
        <v>Thành thị</v>
      </c>
      <c r="H137" t="str">
        <f>survey_responses[[#This Row],[Khu vực bạn đang sinh sống:]]</f>
        <v>Thành thị</v>
      </c>
      <c r="I137" t="str">
        <f>step3_validation[[#This Row],[Education]]</f>
        <v>Đại học</v>
      </c>
      <c r="J137" t="str">
        <f>survey_responses[[#This Row],[Trình độ học vấn cao nhất:]]</f>
        <v>Đại học</v>
      </c>
      <c r="K137" t="str">
        <f>step3_validation[[#This Row],[Employment]]</f>
        <v>Phi chính thức</v>
      </c>
      <c r="L137" t="str">
        <f>survey_responses[[#This Row],[Tình trạng việc làm chính:]]</f>
        <v>Khác (Về hưu, nội trợ, sinh viên)</v>
      </c>
      <c r="M137">
        <f>step3_validation[[#This Row],[Income_Mil]]</f>
        <v>12</v>
      </c>
      <c r="N137" t="str">
        <f>survey_responses[[#This Row],[Thu nhập bình quân tháng theo Hợp đồng lao động của bạn là bao nhiêu? (Vui lòng điền tổng thu nhập trước khi khấu trừ các loại Bảo hiểm (BHXH, BHYT, BHTN) và Thuế TNCN)]]</f>
        <v>Dưới 12 triệu VNĐ</v>
      </c>
      <c r="O137">
        <f>step3_validation[[#This Row],[Dependents]]</f>
        <v>0</v>
      </c>
      <c r="P137" t="str">
        <f>survey_responses[[#This Row],[Số người phụ thuộc (con nhỏ, cha mẹ già...) đủ điều kiện giảm trừ gia cảnh:]]</f>
        <v>0 người</v>
      </c>
      <c r="Q137">
        <f>step3_validation[[#This Row],[AI_ENF1]]</f>
        <v>6</v>
      </c>
      <c r="R137" t="str">
        <f t="shared" si="54"/>
        <v>Neutral</v>
      </c>
      <c r="S137">
        <f>survey_responses[[#This Row],[Tôi tin rằng với các quy định quản lý thuế hiện nay, hành vi gian lận hoặc trốn thuế sẽ dễ dàng bị phát hiện và xử lý nghiêm. - HUMAN-ENF1]]</f>
        <v>8</v>
      </c>
      <c r="T137" t="str">
        <f t="shared" si="55"/>
        <v>Support</v>
      </c>
      <c r="U137" s="31">
        <f t="shared" si="56"/>
        <v>2</v>
      </c>
      <c r="V137">
        <f>step3_validation[[#This Row],[AI_ENF2]]</f>
        <v>7</v>
      </c>
      <c r="W137" t="str">
        <f t="shared" si="57"/>
        <v>Neutral</v>
      </c>
      <c r="X137">
        <f>survey_responses[[#This Row],[Tôi tin rằng Nhà nước, cơ quan thuế có đủ khả năng và công nghệ để phát hiện, xử lý nghiêm các hành vi trốn thuế. - HUMAN-ENF2]]</f>
        <v>8</v>
      </c>
      <c r="Y137" t="str">
        <f t="shared" si="58"/>
        <v>Support</v>
      </c>
      <c r="Z137" s="31">
        <f t="shared" si="59"/>
        <v>1</v>
      </c>
      <c r="AA137">
        <f>step3_validation[[#This Row],[AI_FAC1]]</f>
        <v>9</v>
      </c>
      <c r="AB137" t="str">
        <f t="shared" si="60"/>
        <v>Support</v>
      </c>
      <c r="AC137">
        <f>survey_responses[[#This Row],[Các thủ tục khai báo thuế VÀ/HOẶC quy trình làm việc với cơ quan thuế đơn giản, tiện lợi, nhanh chóng hơn so với trước đây. - HUMAN-FAC1]]</f>
        <v>8</v>
      </c>
      <c r="AD137" t="str">
        <f t="shared" si="61"/>
        <v>Support</v>
      </c>
      <c r="AE137" s="31">
        <f t="shared" si="62"/>
        <v>1</v>
      </c>
      <c r="AF137">
        <f>step3_validation[[#This Row],[AI_FAC2]]</f>
        <v>8</v>
      </c>
      <c r="AG137" t="str">
        <f t="shared" si="63"/>
        <v>Support</v>
      </c>
      <c r="AH137">
        <f>survey_responses[[#This Row],[So với trước đây, tôi thấy cách tính thuế và các bậc thuế trong phương án mới đơn giản, dễ hiểu và dễ thực hiện hơn. - HUMAN-FAC2]]</f>
        <v>8</v>
      </c>
      <c r="AI137" t="str">
        <f t="shared" si="64"/>
        <v>Support</v>
      </c>
      <c r="AJ137" s="31">
        <f t="shared" si="65"/>
        <v>0</v>
      </c>
      <c r="AK137">
        <f>step3_validation[[#This Row],[AI_TRU1]]</f>
        <v>9</v>
      </c>
      <c r="AL137" t="str">
        <f t="shared" si="66"/>
        <v>Support</v>
      </c>
      <c r="AM137">
        <f>survey_responses[[#This Row],[Tôi tin rằng Nhà nước, cơ quan thuế sẽ thực thi chính sách mới một cách khách quan, công tâm và đối xử bình đẳng với mọi người nộp thuế.  - HUMAN-TRU1]]</f>
        <v>10</v>
      </c>
      <c r="AN137" t="str">
        <f t="shared" si="67"/>
        <v>Support</v>
      </c>
      <c r="AO137" s="31">
        <f t="shared" si="68"/>
        <v>1</v>
      </c>
      <c r="AP137">
        <f>step3_validation[[#This Row],[AI_TRU2]]</f>
        <v>8</v>
      </c>
      <c r="AQ137" t="str">
        <f t="shared" si="69"/>
        <v>Support</v>
      </c>
      <c r="AR137">
        <f>survey_responses[[#This Row],[Tôi thấy mức thuế tôi phải đóng theo phương án mới là công bằng (người thu nhập như tôi đóng mức này là hợp lý). - HUMAN-TRU2]]</f>
        <v>10</v>
      </c>
      <c r="AS137" t="str">
        <f t="shared" si="70"/>
        <v>Support</v>
      </c>
      <c r="AT137" s="31">
        <f t="shared" si="71"/>
        <v>2</v>
      </c>
      <c r="AU137">
        <f>step3_validation[[#This Row],[AI_TRU3]]</f>
        <v>9</v>
      </c>
      <c r="AV137" t="str">
        <f t="shared" si="72"/>
        <v>Support</v>
      </c>
      <c r="AW137">
        <f>survey_responses[[#This Row],[Tôi tin tưởng số tiền thuế tôi đóng sẽ được Nhà nước sử dụng hiệu quả để cải thiện dịch vụ công (y tế, đường xá...). - HUMAN-TRU3]]</f>
        <v>10</v>
      </c>
      <c r="AX137" t="str">
        <f t="shared" si="73"/>
        <v>Support</v>
      </c>
      <c r="AY137" s="31">
        <f t="shared" si="74"/>
        <v>1</v>
      </c>
      <c r="AZ137">
        <f>step3_validation[[#This Row],[AI_TRU4]]</f>
        <v>7</v>
      </c>
      <c r="BA137" t="str">
        <f t="shared" si="75"/>
        <v>Neutral</v>
      </c>
      <c r="BB137">
        <f>survey_responses[[#This Row],[Tôi thấy Nhà nước đã giải thích rõ ràng, minh bạch về lý do và mục tiêu của việc sửa đổi thuế lần này. - HUMAN-TRU4]]</f>
        <v>10</v>
      </c>
      <c r="BC137" t="str">
        <f t="shared" si="76"/>
        <v>Support</v>
      </c>
      <c r="BD137" s="31">
        <f t="shared" si="77"/>
        <v>3</v>
      </c>
      <c r="BE137">
        <f>step3_validation[[#This Row],[AI_OUT1]]</f>
        <v>9</v>
      </c>
      <c r="BF137" t="str">
        <f t="shared" si="78"/>
        <v>Support</v>
      </c>
      <c r="BG137">
        <f>survey_responses[[#This Row],[Sau khi xem xét các quyền lợi và nghĩa vụ, bạn có ủng hộ và tuân thủ chính sách mới hiện nay? - HUMAN-OUT1]]</f>
        <v>10</v>
      </c>
      <c r="BH137" t="str">
        <f t="shared" si="79"/>
        <v>Support</v>
      </c>
      <c r="BI137" s="31">
        <f t="shared" si="80"/>
        <v>1</v>
      </c>
    </row>
    <row r="138" spans="1:61" hidden="1" x14ac:dyDescent="0.45">
      <c r="A138" s="29">
        <f>step3_validation[[#This Row],[Persona_ID]]</f>
        <v>137</v>
      </c>
      <c r="B138" s="30">
        <f>step3_validation[[#This Row],[Used_Seed]]</f>
        <v>178</v>
      </c>
      <c r="C138" t="str">
        <f>step3_validation[[#This Row],[Gender]]</f>
        <v>Nam</v>
      </c>
      <c r="D138" t="str">
        <f>survey_responses[[#This Row],[Giới tính của bạn:]]</f>
        <v>Nam</v>
      </c>
      <c r="E138" t="str">
        <f>step3_validation[[#This Row],[Age_Group]]</f>
        <v>50 - 54</v>
      </c>
      <c r="F138" t="str">
        <f>survey_responses[[#This Row],[Độ tuổi của bạn:]]</f>
        <v>50 - 54</v>
      </c>
      <c r="G138" t="str">
        <f>step3_validation[[#This Row],[Region]]</f>
        <v>Thành thị</v>
      </c>
      <c r="H138" t="str">
        <f>survey_responses[[#This Row],[Khu vực bạn đang sinh sống:]]</f>
        <v>Thành thị</v>
      </c>
      <c r="I138" t="str">
        <f>step3_validation[[#This Row],[Education]]</f>
        <v>Đại học</v>
      </c>
      <c r="J138" t="str">
        <f>survey_responses[[#This Row],[Trình độ học vấn cao nhất:]]</f>
        <v>Đại học</v>
      </c>
      <c r="K138" t="str">
        <f>step3_validation[[#This Row],[Employment]]</f>
        <v>Chính thức</v>
      </c>
      <c r="L138" t="str">
        <f>survey_responses[[#This Row],[Tình trạng việc làm chính:]]</f>
        <v>Khu vực chính thức (Có Hợp đồng lao động, đóng BHXH)</v>
      </c>
      <c r="M138">
        <f>step3_validation[[#This Row],[Income_Mil]]</f>
        <v>216.32615820100276</v>
      </c>
      <c r="N138" t="str">
        <f>survey_responses[[#This Row],[Thu nhập bình quân tháng theo Hợp đồng lao động của bạn là bao nhiêu? (Vui lòng điền tổng thu nhập trước khi khấu trừ các loại Bảo hiểm (BHXH, BHYT, BHTN) và Thuế TNCN)]]</f>
        <v>Trên 102 triệu VNĐ</v>
      </c>
      <c r="O138">
        <f>step3_validation[[#This Row],[Dependents]]</f>
        <v>4</v>
      </c>
      <c r="P138" t="str">
        <f>survey_responses[[#This Row],[Số người phụ thuộc (con nhỏ, cha mẹ già...) đủ điều kiện giảm trừ gia cảnh:]]</f>
        <v>4 người trở lên</v>
      </c>
      <c r="Q138">
        <f>step3_validation[[#This Row],[AI_ENF1]]</f>
        <v>7</v>
      </c>
      <c r="R138" t="str">
        <f t="shared" si="54"/>
        <v>Neutral</v>
      </c>
      <c r="S138">
        <f>survey_responses[[#This Row],[Tôi tin rằng với các quy định quản lý thuế hiện nay, hành vi gian lận hoặc trốn thuế sẽ dễ dàng bị phát hiện và xử lý nghiêm. - HUMAN-ENF1]]</f>
        <v>8</v>
      </c>
      <c r="T138" t="str">
        <f t="shared" si="55"/>
        <v>Support</v>
      </c>
      <c r="U138" s="31">
        <f t="shared" si="56"/>
        <v>1</v>
      </c>
      <c r="V138">
        <f>step3_validation[[#This Row],[AI_ENF2]]</f>
        <v>6</v>
      </c>
      <c r="W138" t="str">
        <f t="shared" si="57"/>
        <v>Neutral</v>
      </c>
      <c r="X138">
        <f>survey_responses[[#This Row],[Tôi tin rằng Nhà nước, cơ quan thuế có đủ khả năng và công nghệ để phát hiện, xử lý nghiêm các hành vi trốn thuế. - HUMAN-ENF2]]</f>
        <v>8</v>
      </c>
      <c r="Y138" t="str">
        <f t="shared" si="58"/>
        <v>Support</v>
      </c>
      <c r="Z138" s="31">
        <f t="shared" si="59"/>
        <v>2</v>
      </c>
      <c r="AA138">
        <f>step3_validation[[#This Row],[AI_FAC1]]</f>
        <v>8</v>
      </c>
      <c r="AB138" t="str">
        <f t="shared" si="60"/>
        <v>Support</v>
      </c>
      <c r="AC138">
        <f>survey_responses[[#This Row],[Các thủ tục khai báo thuế VÀ/HOẶC quy trình làm việc với cơ quan thuế đơn giản, tiện lợi, nhanh chóng hơn so với trước đây. - HUMAN-FAC1]]</f>
        <v>8</v>
      </c>
      <c r="AD138" t="str">
        <f t="shared" si="61"/>
        <v>Support</v>
      </c>
      <c r="AE138" s="31">
        <f t="shared" si="62"/>
        <v>0</v>
      </c>
      <c r="AF138">
        <f>step3_validation[[#This Row],[AI_FAC2]]</f>
        <v>9</v>
      </c>
      <c r="AG138" t="str">
        <f t="shared" si="63"/>
        <v>Support</v>
      </c>
      <c r="AH138">
        <f>survey_responses[[#This Row],[So với trước đây, tôi thấy cách tính thuế và các bậc thuế trong phương án mới đơn giản, dễ hiểu và dễ thực hiện hơn. - HUMAN-FAC2]]</f>
        <v>8</v>
      </c>
      <c r="AI138" t="str">
        <f t="shared" si="64"/>
        <v>Support</v>
      </c>
      <c r="AJ138" s="31">
        <f t="shared" si="65"/>
        <v>1</v>
      </c>
      <c r="AK138">
        <f>step3_validation[[#This Row],[AI_TRU1]]</f>
        <v>7</v>
      </c>
      <c r="AL138" t="str">
        <f t="shared" si="66"/>
        <v>Neutral</v>
      </c>
      <c r="AM138">
        <f>survey_responses[[#This Row],[Tôi tin rằng Nhà nước, cơ quan thuế sẽ thực thi chính sách mới một cách khách quan, công tâm và đối xử bình đẳng với mọi người nộp thuế.  - HUMAN-TRU1]]</f>
        <v>8</v>
      </c>
      <c r="AN138" t="str">
        <f t="shared" si="67"/>
        <v>Support</v>
      </c>
      <c r="AO138" s="31">
        <f t="shared" si="68"/>
        <v>1</v>
      </c>
      <c r="AP138">
        <f>step3_validation[[#This Row],[AI_TRU2]]</f>
        <v>8</v>
      </c>
      <c r="AQ138" t="str">
        <f t="shared" si="69"/>
        <v>Support</v>
      </c>
      <c r="AR138">
        <f>survey_responses[[#This Row],[Tôi thấy mức thuế tôi phải đóng theo phương án mới là công bằng (người thu nhập như tôi đóng mức này là hợp lý). - HUMAN-TRU2]]</f>
        <v>8</v>
      </c>
      <c r="AS138" t="str">
        <f t="shared" si="70"/>
        <v>Support</v>
      </c>
      <c r="AT138" s="31">
        <f t="shared" si="71"/>
        <v>0</v>
      </c>
      <c r="AU138">
        <f>step3_validation[[#This Row],[AI_TRU3]]</f>
        <v>7</v>
      </c>
      <c r="AV138" t="str">
        <f t="shared" si="72"/>
        <v>Neutral</v>
      </c>
      <c r="AW138">
        <f>survey_responses[[#This Row],[Tôi tin tưởng số tiền thuế tôi đóng sẽ được Nhà nước sử dụng hiệu quả để cải thiện dịch vụ công (y tế, đường xá...). - HUMAN-TRU3]]</f>
        <v>5</v>
      </c>
      <c r="AX138" t="str">
        <f t="shared" si="73"/>
        <v>Neutral</v>
      </c>
      <c r="AY138" s="31">
        <f t="shared" si="74"/>
        <v>2</v>
      </c>
      <c r="AZ138">
        <f>step3_validation[[#This Row],[AI_TRU4]]</f>
        <v>6</v>
      </c>
      <c r="BA138" t="str">
        <f t="shared" si="75"/>
        <v>Neutral</v>
      </c>
      <c r="BB138">
        <f>survey_responses[[#This Row],[Tôi thấy Nhà nước đã giải thích rõ ràng, minh bạch về lý do và mục tiêu của việc sửa đổi thuế lần này. - HUMAN-TRU4]]</f>
        <v>7</v>
      </c>
      <c r="BC138" t="str">
        <f t="shared" si="76"/>
        <v>Neutral</v>
      </c>
      <c r="BD138" s="31">
        <f t="shared" si="77"/>
        <v>1</v>
      </c>
      <c r="BE138">
        <f>step3_validation[[#This Row],[AI_OUT1]]</f>
        <v>8</v>
      </c>
      <c r="BF138" t="str">
        <f t="shared" si="78"/>
        <v>Support</v>
      </c>
      <c r="BG138">
        <f>survey_responses[[#This Row],[Sau khi xem xét các quyền lợi và nghĩa vụ, bạn có ủng hộ và tuân thủ chính sách mới hiện nay? - HUMAN-OUT1]]</f>
        <v>8</v>
      </c>
      <c r="BH138" t="str">
        <f t="shared" si="79"/>
        <v>Support</v>
      </c>
      <c r="BI138" s="31">
        <f t="shared" si="80"/>
        <v>0</v>
      </c>
    </row>
    <row r="139" spans="1:61" hidden="1" x14ac:dyDescent="0.45">
      <c r="A139" s="29">
        <f>step3_validation[[#This Row],[Persona_ID]]</f>
        <v>138</v>
      </c>
      <c r="B139" s="30">
        <f>step3_validation[[#This Row],[Used_Seed]]</f>
        <v>179</v>
      </c>
      <c r="C139" t="str">
        <f>step3_validation[[#This Row],[Gender]]</f>
        <v>Nữ</v>
      </c>
      <c r="D139" t="str">
        <f>survey_responses[[#This Row],[Giới tính của bạn:]]</f>
        <v>Nữ</v>
      </c>
      <c r="E139" t="str">
        <f>step3_validation[[#This Row],[Age_Group]]</f>
        <v>25 - 29</v>
      </c>
      <c r="F139" t="str">
        <f>survey_responses[[#This Row],[Độ tuổi của bạn:]]</f>
        <v>25 - 29</v>
      </c>
      <c r="G139" t="str">
        <f>step3_validation[[#This Row],[Region]]</f>
        <v>Thành thị</v>
      </c>
      <c r="H139" t="str">
        <f>survey_responses[[#This Row],[Khu vực bạn đang sinh sống:]]</f>
        <v>Thành thị</v>
      </c>
      <c r="I139" t="str">
        <f>step3_validation[[#This Row],[Education]]</f>
        <v>Sau Đại học</v>
      </c>
      <c r="J139" t="str">
        <f>survey_responses[[#This Row],[Trình độ học vấn cao nhất:]]</f>
        <v>Sau Đại học</v>
      </c>
      <c r="K139" t="str">
        <f>step3_validation[[#This Row],[Employment]]</f>
        <v>Chính thức</v>
      </c>
      <c r="L139" t="str">
        <f>survey_responses[[#This Row],[Tình trạng việc làm chính:]]</f>
        <v>Khu vực chính thức (Có Hợp đồng lao động, đóng BHXH)</v>
      </c>
      <c r="M139">
        <f>step3_validation[[#This Row],[Income_Mil]]</f>
        <v>15.140784211430701</v>
      </c>
      <c r="N139" t="str">
        <f>survey_responses[[#This Row],[Thu nhập bình quân tháng theo Hợp đồng lao động của bạn là bao nhiêu? (Vui lòng điền tổng thu nhập trước khi khấu trừ các loại Bảo hiểm (BHXH, BHYT, BHTN) và Thuế TNCN)]]</f>
        <v>Từ 12 - 18 triệu VNĐ</v>
      </c>
      <c r="O139">
        <f>step3_validation[[#This Row],[Dependents]]</f>
        <v>0</v>
      </c>
      <c r="P139" t="str">
        <f>survey_responses[[#This Row],[Số người phụ thuộc (con nhỏ, cha mẹ già...) đủ điều kiện giảm trừ gia cảnh:]]</f>
        <v>0 người</v>
      </c>
      <c r="Q139">
        <f>step3_validation[[#This Row],[AI_ENF1]]</f>
        <v>4</v>
      </c>
      <c r="R139" t="str">
        <f t="shared" si="54"/>
        <v>Oppose</v>
      </c>
      <c r="S139">
        <f>survey_responses[[#This Row],[Tôi tin rằng với các quy định quản lý thuế hiện nay, hành vi gian lận hoặc trốn thuế sẽ dễ dàng bị phát hiện và xử lý nghiêm. - HUMAN-ENF1]]</f>
        <v>8</v>
      </c>
      <c r="T139" t="str">
        <f t="shared" si="55"/>
        <v>Support</v>
      </c>
      <c r="U139" s="31">
        <f t="shared" si="56"/>
        <v>4</v>
      </c>
      <c r="V139">
        <f>step3_validation[[#This Row],[AI_ENF2]]</f>
        <v>5</v>
      </c>
      <c r="W139" t="str">
        <f t="shared" si="57"/>
        <v>Neutral</v>
      </c>
      <c r="X139">
        <f>survey_responses[[#This Row],[Tôi tin rằng Nhà nước, cơ quan thuế có đủ khả năng và công nghệ để phát hiện, xử lý nghiêm các hành vi trốn thuế. - HUMAN-ENF2]]</f>
        <v>9</v>
      </c>
      <c r="Y139" t="str">
        <f t="shared" si="58"/>
        <v>Support</v>
      </c>
      <c r="Z139" s="31">
        <f t="shared" si="59"/>
        <v>4</v>
      </c>
      <c r="AA139">
        <f>step3_validation[[#This Row],[AI_FAC1]]</f>
        <v>8</v>
      </c>
      <c r="AB139" t="str">
        <f t="shared" si="60"/>
        <v>Support</v>
      </c>
      <c r="AC139">
        <f>survey_responses[[#This Row],[Các thủ tục khai báo thuế VÀ/HOẶC quy trình làm việc với cơ quan thuế đơn giản, tiện lợi, nhanh chóng hơn so với trước đây. - HUMAN-FAC1]]</f>
        <v>7</v>
      </c>
      <c r="AD139" t="str">
        <f t="shared" si="61"/>
        <v>Neutral</v>
      </c>
      <c r="AE139" s="31">
        <f t="shared" si="62"/>
        <v>1</v>
      </c>
      <c r="AF139">
        <f>step3_validation[[#This Row],[AI_FAC2]]</f>
        <v>7</v>
      </c>
      <c r="AG139" t="str">
        <f t="shared" si="63"/>
        <v>Neutral</v>
      </c>
      <c r="AH139">
        <f>survey_responses[[#This Row],[So với trước đây, tôi thấy cách tính thuế và các bậc thuế trong phương án mới đơn giản, dễ hiểu và dễ thực hiện hơn. - HUMAN-FAC2]]</f>
        <v>7</v>
      </c>
      <c r="AI139" t="str">
        <f t="shared" si="64"/>
        <v>Neutral</v>
      </c>
      <c r="AJ139" s="31">
        <f t="shared" si="65"/>
        <v>0</v>
      </c>
      <c r="AK139">
        <f>step3_validation[[#This Row],[AI_TRU1]]</f>
        <v>8</v>
      </c>
      <c r="AL139" t="str">
        <f t="shared" si="66"/>
        <v>Support</v>
      </c>
      <c r="AM139">
        <f>survey_responses[[#This Row],[Tôi tin rằng Nhà nước, cơ quan thuế sẽ thực thi chính sách mới một cách khách quan, công tâm và đối xử bình đẳng với mọi người nộp thuế.  - HUMAN-TRU1]]</f>
        <v>6</v>
      </c>
      <c r="AN139" t="str">
        <f t="shared" si="67"/>
        <v>Neutral</v>
      </c>
      <c r="AO139" s="31">
        <f t="shared" si="68"/>
        <v>2</v>
      </c>
      <c r="AP139">
        <f>step3_validation[[#This Row],[AI_TRU2]]</f>
        <v>9</v>
      </c>
      <c r="AQ139" t="str">
        <f t="shared" si="69"/>
        <v>Support</v>
      </c>
      <c r="AR139">
        <f>survey_responses[[#This Row],[Tôi thấy mức thuế tôi phải đóng theo phương án mới là công bằng (người thu nhập như tôi đóng mức này là hợp lý). - HUMAN-TRU2]]</f>
        <v>6</v>
      </c>
      <c r="AS139" t="str">
        <f t="shared" si="70"/>
        <v>Neutral</v>
      </c>
      <c r="AT139" s="31">
        <f t="shared" si="71"/>
        <v>3</v>
      </c>
      <c r="AU139">
        <f>step3_validation[[#This Row],[AI_TRU3]]</f>
        <v>7</v>
      </c>
      <c r="AV139" t="str">
        <f t="shared" si="72"/>
        <v>Neutral</v>
      </c>
      <c r="AW139">
        <f>survey_responses[[#This Row],[Tôi tin tưởng số tiền thuế tôi đóng sẽ được Nhà nước sử dụng hiệu quả để cải thiện dịch vụ công (y tế, đường xá...). - HUMAN-TRU3]]</f>
        <v>2</v>
      </c>
      <c r="AX139" t="str">
        <f t="shared" si="73"/>
        <v>Oppose</v>
      </c>
      <c r="AY139" s="31">
        <f t="shared" si="74"/>
        <v>5</v>
      </c>
      <c r="AZ139">
        <f>step3_validation[[#This Row],[AI_TRU4]]</f>
        <v>8</v>
      </c>
      <c r="BA139" t="str">
        <f t="shared" si="75"/>
        <v>Support</v>
      </c>
      <c r="BB139">
        <f>survey_responses[[#This Row],[Tôi thấy Nhà nước đã giải thích rõ ràng, minh bạch về lý do và mục tiêu của việc sửa đổi thuế lần này. - HUMAN-TRU4]]</f>
        <v>5</v>
      </c>
      <c r="BC139" t="str">
        <f t="shared" si="76"/>
        <v>Neutral</v>
      </c>
      <c r="BD139" s="31">
        <f t="shared" si="77"/>
        <v>3</v>
      </c>
      <c r="BE139">
        <f>step3_validation[[#This Row],[AI_OUT1]]</f>
        <v>9</v>
      </c>
      <c r="BF139" t="str">
        <f t="shared" si="78"/>
        <v>Support</v>
      </c>
      <c r="BG139">
        <f>survey_responses[[#This Row],[Sau khi xem xét các quyền lợi và nghĩa vụ, bạn có ủng hộ và tuân thủ chính sách mới hiện nay? - HUMAN-OUT1]]</f>
        <v>6</v>
      </c>
      <c r="BH139" t="str">
        <f t="shared" si="79"/>
        <v>Neutral</v>
      </c>
      <c r="BI139" s="31">
        <f t="shared" si="80"/>
        <v>3</v>
      </c>
    </row>
    <row r="140" spans="1:61" hidden="1" x14ac:dyDescent="0.45">
      <c r="A140" s="29">
        <f>step3_validation[[#This Row],[Persona_ID]]</f>
        <v>139</v>
      </c>
      <c r="B140" s="30">
        <f>step3_validation[[#This Row],[Used_Seed]]</f>
        <v>180</v>
      </c>
      <c r="C140" t="str">
        <f>step3_validation[[#This Row],[Gender]]</f>
        <v>Nữ</v>
      </c>
      <c r="D140" t="str">
        <f>survey_responses[[#This Row],[Giới tính của bạn:]]</f>
        <v>Nữ</v>
      </c>
      <c r="E140" t="str">
        <f>step3_validation[[#This Row],[Age_Group]]</f>
        <v>40 - 49</v>
      </c>
      <c r="F140" t="str">
        <f>survey_responses[[#This Row],[Độ tuổi của bạn:]]</f>
        <v>40 - 49</v>
      </c>
      <c r="G140" t="str">
        <f>step3_validation[[#This Row],[Region]]</f>
        <v>Thành thị</v>
      </c>
      <c r="H140" t="str">
        <f>survey_responses[[#This Row],[Khu vực bạn đang sinh sống:]]</f>
        <v>Thành thị</v>
      </c>
      <c r="I140" t="str">
        <f>step3_validation[[#This Row],[Education]]</f>
        <v>Sau Đại học</v>
      </c>
      <c r="J140" t="str">
        <f>survey_responses[[#This Row],[Trình độ học vấn cao nhất:]]</f>
        <v>Sau Đại học</v>
      </c>
      <c r="K140" t="str">
        <f>step3_validation[[#This Row],[Employment]]</f>
        <v>Chính thức</v>
      </c>
      <c r="L140" t="str">
        <f>survey_responses[[#This Row],[Tình trạng việc làm chính:]]</f>
        <v>Khu vực chính thức (Có Hợp đồng lao động, đóng BHXH)</v>
      </c>
      <c r="M140">
        <f>step3_validation[[#This Row],[Income_Mil]]</f>
        <v>146.83240846076191</v>
      </c>
      <c r="N140" t="str">
        <f>survey_responses[[#This Row],[Thu nhập bình quân tháng theo Hợp đồng lao động của bạn là bao nhiêu? (Vui lòng điền tổng thu nhập trước khi khấu trừ các loại Bảo hiểm (BHXH, BHYT, BHTN) và Thuế TNCN)]]</f>
        <v>Trên 102 triệu VNĐ</v>
      </c>
      <c r="O140">
        <f>step3_validation[[#This Row],[Dependents]]</f>
        <v>2</v>
      </c>
      <c r="P140" t="str">
        <f>survey_responses[[#This Row],[Số người phụ thuộc (con nhỏ, cha mẹ già...) đủ điều kiện giảm trừ gia cảnh:]]</f>
        <v>2 người</v>
      </c>
      <c r="Q140">
        <f>step3_validation[[#This Row],[AI_ENF1]]</f>
        <v>6</v>
      </c>
      <c r="R140" t="str">
        <f t="shared" si="54"/>
        <v>Neutral</v>
      </c>
      <c r="S140">
        <f>survey_responses[[#This Row],[Tôi tin rằng với các quy định quản lý thuế hiện nay, hành vi gian lận hoặc trốn thuế sẽ dễ dàng bị phát hiện và xử lý nghiêm. - HUMAN-ENF1]]</f>
        <v>5</v>
      </c>
      <c r="T140" t="str">
        <f t="shared" si="55"/>
        <v>Neutral</v>
      </c>
      <c r="U140" s="31">
        <f t="shared" si="56"/>
        <v>1</v>
      </c>
      <c r="V140">
        <f>step3_validation[[#This Row],[AI_ENF2]]</f>
        <v>6</v>
      </c>
      <c r="W140" t="str">
        <f t="shared" si="57"/>
        <v>Neutral</v>
      </c>
      <c r="X140">
        <f>survey_responses[[#This Row],[Tôi tin rằng Nhà nước, cơ quan thuế có đủ khả năng và công nghệ để phát hiện, xử lý nghiêm các hành vi trốn thuế. - HUMAN-ENF2]]</f>
        <v>4</v>
      </c>
      <c r="Y140" t="str">
        <f t="shared" si="58"/>
        <v>Oppose</v>
      </c>
      <c r="Z140" s="31">
        <f t="shared" si="59"/>
        <v>2</v>
      </c>
      <c r="AA140">
        <f>step3_validation[[#This Row],[AI_FAC1]]</f>
        <v>7</v>
      </c>
      <c r="AB140" t="str">
        <f t="shared" si="60"/>
        <v>Neutral</v>
      </c>
      <c r="AC140">
        <f>survey_responses[[#This Row],[Các thủ tục khai báo thuế VÀ/HOẶC quy trình làm việc với cơ quan thuế đơn giản, tiện lợi, nhanh chóng hơn so với trước đây. - HUMAN-FAC1]]</f>
        <v>7</v>
      </c>
      <c r="AD140" t="str">
        <f t="shared" si="61"/>
        <v>Neutral</v>
      </c>
      <c r="AE140" s="31">
        <f t="shared" si="62"/>
        <v>0</v>
      </c>
      <c r="AF140">
        <f>step3_validation[[#This Row],[AI_FAC2]]</f>
        <v>8</v>
      </c>
      <c r="AG140" t="str">
        <f t="shared" si="63"/>
        <v>Support</v>
      </c>
      <c r="AH140">
        <f>survey_responses[[#This Row],[So với trước đây, tôi thấy cách tính thuế và các bậc thuế trong phương án mới đơn giản, dễ hiểu và dễ thực hiện hơn. - HUMAN-FAC2]]</f>
        <v>6</v>
      </c>
      <c r="AI140" t="str">
        <f t="shared" si="64"/>
        <v>Neutral</v>
      </c>
      <c r="AJ140" s="31">
        <f t="shared" si="65"/>
        <v>2</v>
      </c>
      <c r="AK140">
        <f>step3_validation[[#This Row],[AI_TRU1]]</f>
        <v>7</v>
      </c>
      <c r="AL140" t="str">
        <f t="shared" si="66"/>
        <v>Neutral</v>
      </c>
      <c r="AM140">
        <f>survey_responses[[#This Row],[Tôi tin rằng Nhà nước, cơ quan thuế sẽ thực thi chính sách mới một cách khách quan, công tâm và đối xử bình đẳng với mọi người nộp thuế.  - HUMAN-TRU1]]</f>
        <v>3</v>
      </c>
      <c r="AN140" t="str">
        <f t="shared" si="67"/>
        <v>Oppose</v>
      </c>
      <c r="AO140" s="31">
        <f t="shared" si="68"/>
        <v>4</v>
      </c>
      <c r="AP140">
        <f>step3_validation[[#This Row],[AI_TRU2]]</f>
        <v>8</v>
      </c>
      <c r="AQ140" t="str">
        <f t="shared" si="69"/>
        <v>Support</v>
      </c>
      <c r="AR140">
        <f>survey_responses[[#This Row],[Tôi thấy mức thuế tôi phải đóng theo phương án mới là công bằng (người thu nhập như tôi đóng mức này là hợp lý). - HUMAN-TRU2]]</f>
        <v>4</v>
      </c>
      <c r="AS140" t="str">
        <f t="shared" si="70"/>
        <v>Oppose</v>
      </c>
      <c r="AT140" s="31">
        <f t="shared" si="71"/>
        <v>4</v>
      </c>
      <c r="AU140">
        <f>step3_validation[[#This Row],[AI_TRU3]]</f>
        <v>7</v>
      </c>
      <c r="AV140" t="str">
        <f t="shared" si="72"/>
        <v>Neutral</v>
      </c>
      <c r="AW140">
        <f>survey_responses[[#This Row],[Tôi tin tưởng số tiền thuế tôi đóng sẽ được Nhà nước sử dụng hiệu quả để cải thiện dịch vụ công (y tế, đường xá...). - HUMAN-TRU3]]</f>
        <v>4</v>
      </c>
      <c r="AX140" t="str">
        <f t="shared" si="73"/>
        <v>Oppose</v>
      </c>
      <c r="AY140" s="31">
        <f t="shared" si="74"/>
        <v>3</v>
      </c>
      <c r="AZ140">
        <f>step3_validation[[#This Row],[AI_TRU4]]</f>
        <v>6</v>
      </c>
      <c r="BA140" t="str">
        <f t="shared" si="75"/>
        <v>Neutral</v>
      </c>
      <c r="BB140">
        <f>survey_responses[[#This Row],[Tôi thấy Nhà nước đã giải thích rõ ràng, minh bạch về lý do và mục tiêu của việc sửa đổi thuế lần này. - HUMAN-TRU4]]</f>
        <v>5</v>
      </c>
      <c r="BC140" t="str">
        <f t="shared" si="76"/>
        <v>Neutral</v>
      </c>
      <c r="BD140" s="31">
        <f t="shared" si="77"/>
        <v>1</v>
      </c>
      <c r="BE140">
        <f>step3_validation[[#This Row],[AI_OUT1]]</f>
        <v>7</v>
      </c>
      <c r="BF140" t="str">
        <f t="shared" si="78"/>
        <v>Neutral</v>
      </c>
      <c r="BG140">
        <f>survey_responses[[#This Row],[Sau khi xem xét các quyền lợi và nghĩa vụ, bạn có ủng hộ và tuân thủ chính sách mới hiện nay? - HUMAN-OUT1]]</f>
        <v>5</v>
      </c>
      <c r="BH140" t="str">
        <f t="shared" si="79"/>
        <v>Neutral</v>
      </c>
      <c r="BI140" s="31">
        <f t="shared" si="80"/>
        <v>2</v>
      </c>
    </row>
    <row r="141" spans="1:61" hidden="1" x14ac:dyDescent="0.45">
      <c r="A141" s="29">
        <f>step3_validation[[#This Row],[Persona_ID]]</f>
        <v>140</v>
      </c>
      <c r="B141" s="30">
        <f>step3_validation[[#This Row],[Used_Seed]]</f>
        <v>181</v>
      </c>
      <c r="C141" t="str">
        <f>step3_validation[[#This Row],[Gender]]</f>
        <v>Nữ</v>
      </c>
      <c r="D141" t="str">
        <f>survey_responses[[#This Row],[Giới tính của bạn:]]</f>
        <v>Nữ</v>
      </c>
      <c r="E141" t="str">
        <f>step3_validation[[#This Row],[Age_Group]]</f>
        <v>30 - 39</v>
      </c>
      <c r="F141" t="str">
        <f>survey_responses[[#This Row],[Độ tuổi của bạn:]]</f>
        <v>30 - 39</v>
      </c>
      <c r="G141" t="str">
        <f>step3_validation[[#This Row],[Region]]</f>
        <v>Thành thị</v>
      </c>
      <c r="H141" t="str">
        <f>survey_responses[[#This Row],[Khu vực bạn đang sinh sống:]]</f>
        <v>Thành thị</v>
      </c>
      <c r="I141" t="str">
        <f>step3_validation[[#This Row],[Education]]</f>
        <v>Đại học</v>
      </c>
      <c r="J141" t="str">
        <f>survey_responses[[#This Row],[Trình độ học vấn cao nhất:]]</f>
        <v>Đại học</v>
      </c>
      <c r="K141" t="str">
        <f>step3_validation[[#This Row],[Employment]]</f>
        <v>Chính thức</v>
      </c>
      <c r="L141" t="str">
        <f>survey_responses[[#This Row],[Tình trạng việc làm chính:]]</f>
        <v>Khu vực chính thức (Có Hợp đồng lao động, đóng BHXH)</v>
      </c>
      <c r="M141">
        <f>step3_validation[[#This Row],[Income_Mil]]</f>
        <v>27.096377940677293</v>
      </c>
      <c r="N141" t="str">
        <f>survey_responses[[#This Row],[Thu nhập bình quân tháng theo Hợp đồng lao động của bạn là bao nhiêu? (Vui lòng điền tổng thu nhập trước khi khấu trừ các loại Bảo hiểm (BHXH, BHYT, BHTN) và Thuế TNCN)]]</f>
        <v>Từ 23 - 32 triệu VNĐ</v>
      </c>
      <c r="O141">
        <f>step3_validation[[#This Row],[Dependents]]</f>
        <v>1</v>
      </c>
      <c r="P141" t="str">
        <f>survey_responses[[#This Row],[Số người phụ thuộc (con nhỏ, cha mẹ già...) đủ điều kiện giảm trừ gia cảnh:]]</f>
        <v>1 người</v>
      </c>
      <c r="Q141">
        <f>step3_validation[[#This Row],[AI_ENF1]]</f>
        <v>6</v>
      </c>
      <c r="R141" t="str">
        <f t="shared" si="54"/>
        <v>Neutral</v>
      </c>
      <c r="S141">
        <f>survey_responses[[#This Row],[Tôi tin rằng với các quy định quản lý thuế hiện nay, hành vi gian lận hoặc trốn thuế sẽ dễ dàng bị phát hiện và xử lý nghiêm. - HUMAN-ENF1]]</f>
        <v>10</v>
      </c>
      <c r="T141" t="str">
        <f t="shared" si="55"/>
        <v>Support</v>
      </c>
      <c r="U141" s="31">
        <f t="shared" si="56"/>
        <v>4</v>
      </c>
      <c r="V141">
        <f>step3_validation[[#This Row],[AI_ENF2]]</f>
        <v>6</v>
      </c>
      <c r="W141" t="str">
        <f t="shared" si="57"/>
        <v>Neutral</v>
      </c>
      <c r="X141">
        <f>survey_responses[[#This Row],[Tôi tin rằng Nhà nước, cơ quan thuế có đủ khả năng và công nghệ để phát hiện, xử lý nghiêm các hành vi trốn thuế. - HUMAN-ENF2]]</f>
        <v>9</v>
      </c>
      <c r="Y141" t="str">
        <f t="shared" si="58"/>
        <v>Support</v>
      </c>
      <c r="Z141" s="31">
        <f t="shared" si="59"/>
        <v>3</v>
      </c>
      <c r="AA141">
        <f>step3_validation[[#This Row],[AI_FAC1]]</f>
        <v>7</v>
      </c>
      <c r="AB141" t="str">
        <f t="shared" si="60"/>
        <v>Neutral</v>
      </c>
      <c r="AC141">
        <f>survey_responses[[#This Row],[Các thủ tục khai báo thuế VÀ/HOẶC quy trình làm việc với cơ quan thuế đơn giản, tiện lợi, nhanh chóng hơn so với trước đây. - HUMAN-FAC1]]</f>
        <v>9</v>
      </c>
      <c r="AD141" t="str">
        <f t="shared" si="61"/>
        <v>Support</v>
      </c>
      <c r="AE141" s="31">
        <f t="shared" si="62"/>
        <v>2</v>
      </c>
      <c r="AF141">
        <f>step3_validation[[#This Row],[AI_FAC2]]</f>
        <v>8</v>
      </c>
      <c r="AG141" t="str">
        <f t="shared" si="63"/>
        <v>Support</v>
      </c>
      <c r="AH141">
        <f>survey_responses[[#This Row],[So với trước đây, tôi thấy cách tính thuế và các bậc thuế trong phương án mới đơn giản, dễ hiểu và dễ thực hiện hơn. - HUMAN-FAC2]]</f>
        <v>9</v>
      </c>
      <c r="AI141" t="str">
        <f t="shared" si="64"/>
        <v>Support</v>
      </c>
      <c r="AJ141" s="31">
        <f t="shared" si="65"/>
        <v>1</v>
      </c>
      <c r="AK141">
        <f>step3_validation[[#This Row],[AI_TRU1]]</f>
        <v>9</v>
      </c>
      <c r="AL141" t="str">
        <f t="shared" si="66"/>
        <v>Support</v>
      </c>
      <c r="AM141">
        <f>survey_responses[[#This Row],[Tôi tin rằng Nhà nước, cơ quan thuế sẽ thực thi chính sách mới một cách khách quan, công tâm và đối xử bình đẳng với mọi người nộp thuế.  - HUMAN-TRU1]]</f>
        <v>8</v>
      </c>
      <c r="AN141" t="str">
        <f t="shared" si="67"/>
        <v>Support</v>
      </c>
      <c r="AO141" s="31">
        <f t="shared" si="68"/>
        <v>1</v>
      </c>
      <c r="AP141">
        <f>step3_validation[[#This Row],[AI_TRU2]]</f>
        <v>8</v>
      </c>
      <c r="AQ141" t="str">
        <f t="shared" si="69"/>
        <v>Support</v>
      </c>
      <c r="AR141">
        <f>survey_responses[[#This Row],[Tôi thấy mức thuế tôi phải đóng theo phương án mới là công bằng (người thu nhập như tôi đóng mức này là hợp lý). - HUMAN-TRU2]]</f>
        <v>8</v>
      </c>
      <c r="AS141" t="str">
        <f t="shared" si="70"/>
        <v>Support</v>
      </c>
      <c r="AT141" s="31">
        <f t="shared" si="71"/>
        <v>0</v>
      </c>
      <c r="AU141">
        <f>step3_validation[[#This Row],[AI_TRU3]]</f>
        <v>9</v>
      </c>
      <c r="AV141" t="str">
        <f t="shared" si="72"/>
        <v>Support</v>
      </c>
      <c r="AW141">
        <f>survey_responses[[#This Row],[Tôi tin tưởng số tiền thuế tôi đóng sẽ được Nhà nước sử dụng hiệu quả để cải thiện dịch vụ công (y tế, đường xá...). - HUMAN-TRU3]]</f>
        <v>8</v>
      </c>
      <c r="AX141" t="str">
        <f t="shared" si="73"/>
        <v>Support</v>
      </c>
      <c r="AY141" s="31">
        <f t="shared" si="74"/>
        <v>1</v>
      </c>
      <c r="AZ141">
        <f>step3_validation[[#This Row],[AI_TRU4]]</f>
        <v>7</v>
      </c>
      <c r="BA141" t="str">
        <f t="shared" si="75"/>
        <v>Neutral</v>
      </c>
      <c r="BB141">
        <f>survey_responses[[#This Row],[Tôi thấy Nhà nước đã giải thích rõ ràng, minh bạch về lý do và mục tiêu của việc sửa đổi thuế lần này. - HUMAN-TRU4]]</f>
        <v>8</v>
      </c>
      <c r="BC141" t="str">
        <f t="shared" si="76"/>
        <v>Support</v>
      </c>
      <c r="BD141" s="31">
        <f t="shared" si="77"/>
        <v>1</v>
      </c>
      <c r="BE141">
        <f>step3_validation[[#This Row],[AI_OUT1]]</f>
        <v>9</v>
      </c>
      <c r="BF141" t="str">
        <f t="shared" si="78"/>
        <v>Support</v>
      </c>
      <c r="BG141">
        <f>survey_responses[[#This Row],[Sau khi xem xét các quyền lợi và nghĩa vụ, bạn có ủng hộ và tuân thủ chính sách mới hiện nay? - HUMAN-OUT1]]</f>
        <v>10</v>
      </c>
      <c r="BH141" t="str">
        <f t="shared" si="79"/>
        <v>Support</v>
      </c>
      <c r="BI141" s="31">
        <f t="shared" si="80"/>
        <v>1</v>
      </c>
    </row>
    <row r="142" spans="1:61" hidden="1" x14ac:dyDescent="0.45">
      <c r="A142" s="29">
        <f>step3_validation[[#This Row],[Persona_ID]]</f>
        <v>141</v>
      </c>
      <c r="B142" s="30">
        <f>step3_validation[[#This Row],[Used_Seed]]</f>
        <v>182</v>
      </c>
      <c r="C142" t="str">
        <f>step3_validation[[#This Row],[Gender]]</f>
        <v>Nam</v>
      </c>
      <c r="D142" t="str">
        <f>survey_responses[[#This Row],[Giới tính của bạn:]]</f>
        <v>Nam</v>
      </c>
      <c r="E142" t="str">
        <f>step3_validation[[#This Row],[Age_Group]]</f>
        <v>30 - 39</v>
      </c>
      <c r="F142" t="str">
        <f>survey_responses[[#This Row],[Độ tuổi của bạn:]]</f>
        <v>30 - 39</v>
      </c>
      <c r="G142" t="str">
        <f>step3_validation[[#This Row],[Region]]</f>
        <v>Thành thị</v>
      </c>
      <c r="H142" t="str">
        <f>survey_responses[[#This Row],[Khu vực bạn đang sinh sống:]]</f>
        <v>Thành thị</v>
      </c>
      <c r="I142" t="str">
        <f>step3_validation[[#This Row],[Education]]</f>
        <v>Đại học</v>
      </c>
      <c r="J142" t="str">
        <f>survey_responses[[#This Row],[Trình độ học vấn cao nhất:]]</f>
        <v>Đại học</v>
      </c>
      <c r="K142" t="str">
        <f>step3_validation[[#This Row],[Employment]]</f>
        <v>Chính thức</v>
      </c>
      <c r="L142" t="str">
        <f>survey_responses[[#This Row],[Tình trạng việc làm chính:]]</f>
        <v>Khu vực chính thức (Có Hợp đồng lao động, đóng BHXH)</v>
      </c>
      <c r="M142">
        <f>step3_validation[[#This Row],[Income_Mil]]</f>
        <v>28.971869558930631</v>
      </c>
      <c r="N142" t="str">
        <f>survey_responses[[#This Row],[Thu nhập bình quân tháng theo Hợp đồng lao động của bạn là bao nhiêu? (Vui lòng điền tổng thu nhập trước khi khấu trừ các loại Bảo hiểm (BHXH, BHYT, BHTN) và Thuế TNCN)]]</f>
        <v>Từ 23 - 32 triệu VNĐ</v>
      </c>
      <c r="O142">
        <f>step3_validation[[#This Row],[Dependents]]</f>
        <v>1</v>
      </c>
      <c r="P142" t="str">
        <f>survey_responses[[#This Row],[Số người phụ thuộc (con nhỏ, cha mẹ già...) đủ điều kiện giảm trừ gia cảnh:]]</f>
        <v>1 người</v>
      </c>
      <c r="Q142">
        <f>step3_validation[[#This Row],[AI_ENF1]]</f>
        <v>9</v>
      </c>
      <c r="R142" t="str">
        <f t="shared" si="54"/>
        <v>Support</v>
      </c>
      <c r="S142">
        <f>survey_responses[[#This Row],[Tôi tin rằng với các quy định quản lý thuế hiện nay, hành vi gian lận hoặc trốn thuế sẽ dễ dàng bị phát hiện và xử lý nghiêm. - HUMAN-ENF1]]</f>
        <v>8</v>
      </c>
      <c r="T142" t="str">
        <f t="shared" si="55"/>
        <v>Support</v>
      </c>
      <c r="U142" s="31">
        <f t="shared" si="56"/>
        <v>1</v>
      </c>
      <c r="V142">
        <f>step3_validation[[#This Row],[AI_ENF2]]</f>
        <v>8</v>
      </c>
      <c r="W142" t="str">
        <f t="shared" si="57"/>
        <v>Support</v>
      </c>
      <c r="X142">
        <f>survey_responses[[#This Row],[Tôi tin rằng Nhà nước, cơ quan thuế có đủ khả năng và công nghệ để phát hiện, xử lý nghiêm các hành vi trốn thuế. - HUMAN-ENF2]]</f>
        <v>7</v>
      </c>
      <c r="Y142" t="str">
        <f t="shared" si="58"/>
        <v>Neutral</v>
      </c>
      <c r="Z142" s="31">
        <f t="shared" si="59"/>
        <v>1</v>
      </c>
      <c r="AA142">
        <f>step3_validation[[#This Row],[AI_FAC1]]</f>
        <v>9</v>
      </c>
      <c r="AB142" t="str">
        <f t="shared" si="60"/>
        <v>Support</v>
      </c>
      <c r="AC142">
        <f>survey_responses[[#This Row],[Các thủ tục khai báo thuế VÀ/HOẶC quy trình làm việc với cơ quan thuế đơn giản, tiện lợi, nhanh chóng hơn so với trước đây. - HUMAN-FAC1]]</f>
        <v>6</v>
      </c>
      <c r="AD142" t="str">
        <f t="shared" si="61"/>
        <v>Neutral</v>
      </c>
      <c r="AE142" s="31">
        <f t="shared" si="62"/>
        <v>3</v>
      </c>
      <c r="AF142">
        <f>step3_validation[[#This Row],[AI_FAC2]]</f>
        <v>8</v>
      </c>
      <c r="AG142" t="str">
        <f t="shared" si="63"/>
        <v>Support</v>
      </c>
      <c r="AH142">
        <f>survey_responses[[#This Row],[So với trước đây, tôi thấy cách tính thuế và các bậc thuế trong phương án mới đơn giản, dễ hiểu và dễ thực hiện hơn. - HUMAN-FAC2]]</f>
        <v>6</v>
      </c>
      <c r="AI142" t="str">
        <f t="shared" si="64"/>
        <v>Neutral</v>
      </c>
      <c r="AJ142" s="31">
        <f t="shared" si="65"/>
        <v>2</v>
      </c>
      <c r="AK142">
        <f>step3_validation[[#This Row],[AI_TRU1]]</f>
        <v>9</v>
      </c>
      <c r="AL142" t="str">
        <f t="shared" si="66"/>
        <v>Support</v>
      </c>
      <c r="AM142">
        <f>survey_responses[[#This Row],[Tôi tin rằng Nhà nước, cơ quan thuế sẽ thực thi chính sách mới một cách khách quan, công tâm và đối xử bình đẳng với mọi người nộp thuế.  - HUMAN-TRU1]]</f>
        <v>5</v>
      </c>
      <c r="AN142" t="str">
        <f t="shared" si="67"/>
        <v>Neutral</v>
      </c>
      <c r="AO142" s="31">
        <f t="shared" si="68"/>
        <v>4</v>
      </c>
      <c r="AP142">
        <f>step3_validation[[#This Row],[AI_TRU2]]</f>
        <v>8</v>
      </c>
      <c r="AQ142" t="str">
        <f t="shared" si="69"/>
        <v>Support</v>
      </c>
      <c r="AR142">
        <f>survey_responses[[#This Row],[Tôi thấy mức thuế tôi phải đóng theo phương án mới là công bằng (người thu nhập như tôi đóng mức này là hợp lý). - HUMAN-TRU2]]</f>
        <v>5</v>
      </c>
      <c r="AS142" t="str">
        <f t="shared" si="70"/>
        <v>Neutral</v>
      </c>
      <c r="AT142" s="31">
        <f t="shared" si="71"/>
        <v>3</v>
      </c>
      <c r="AU142">
        <f>step3_validation[[#This Row],[AI_TRU3]]</f>
        <v>9</v>
      </c>
      <c r="AV142" t="str">
        <f t="shared" si="72"/>
        <v>Support</v>
      </c>
      <c r="AW142">
        <f>survey_responses[[#This Row],[Tôi tin tưởng số tiền thuế tôi đóng sẽ được Nhà nước sử dụng hiệu quả để cải thiện dịch vụ công (y tế, đường xá...). - HUMAN-TRU3]]</f>
        <v>3</v>
      </c>
      <c r="AX142" t="str">
        <f t="shared" si="73"/>
        <v>Oppose</v>
      </c>
      <c r="AY142" s="31">
        <f t="shared" si="74"/>
        <v>6</v>
      </c>
      <c r="AZ142">
        <f>step3_validation[[#This Row],[AI_TRU4]]</f>
        <v>8</v>
      </c>
      <c r="BA142" t="str">
        <f t="shared" si="75"/>
        <v>Support</v>
      </c>
      <c r="BB142">
        <f>survey_responses[[#This Row],[Tôi thấy Nhà nước đã giải thích rõ ràng, minh bạch về lý do và mục tiêu của việc sửa đổi thuế lần này. - HUMAN-TRU4]]</f>
        <v>3</v>
      </c>
      <c r="BC142" t="str">
        <f t="shared" si="76"/>
        <v>Oppose</v>
      </c>
      <c r="BD142" s="31">
        <f t="shared" si="77"/>
        <v>5</v>
      </c>
      <c r="BE142">
        <f>step3_validation[[#This Row],[AI_OUT1]]</f>
        <v>9</v>
      </c>
      <c r="BF142" t="str">
        <f t="shared" si="78"/>
        <v>Support</v>
      </c>
      <c r="BG142">
        <f>survey_responses[[#This Row],[Sau khi xem xét các quyền lợi và nghĩa vụ, bạn có ủng hộ và tuân thủ chính sách mới hiện nay? - HUMAN-OUT1]]</f>
        <v>5</v>
      </c>
      <c r="BH142" t="str">
        <f t="shared" si="79"/>
        <v>Neutral</v>
      </c>
      <c r="BI142" s="31">
        <f t="shared" si="80"/>
        <v>4</v>
      </c>
    </row>
    <row r="143" spans="1:61" x14ac:dyDescent="0.45">
      <c r="A143" s="29">
        <f>step3_validation[[#This Row],[Persona_ID]]</f>
        <v>142</v>
      </c>
      <c r="B143" s="30">
        <f>step3_validation[[#This Row],[Used_Seed]]</f>
        <v>183</v>
      </c>
      <c r="C143" t="str">
        <f>step3_validation[[#This Row],[Gender]]</f>
        <v>Nam</v>
      </c>
      <c r="D143" t="str">
        <f>survey_responses[[#This Row],[Giới tính của bạn:]]</f>
        <v>Nam</v>
      </c>
      <c r="E143" t="str">
        <f>step3_validation[[#This Row],[Age_Group]]</f>
        <v>40 - 49</v>
      </c>
      <c r="F143" t="str">
        <f>survey_responses[[#This Row],[Độ tuổi của bạn:]]</f>
        <v>40 - 49</v>
      </c>
      <c r="G143" t="str">
        <f>step3_validation[[#This Row],[Region]]</f>
        <v>Thành thị</v>
      </c>
      <c r="H143" t="str">
        <f>survey_responses[[#This Row],[Khu vực bạn đang sinh sống:]]</f>
        <v>Thành thị</v>
      </c>
      <c r="I143" t="str">
        <f>step3_validation[[#This Row],[Education]]</f>
        <v>Sau Đại học</v>
      </c>
      <c r="J143" t="str">
        <f>survey_responses[[#This Row],[Trình độ học vấn cao nhất:]]</f>
        <v>Sau Đại học</v>
      </c>
      <c r="K143" t="str">
        <f>step3_validation[[#This Row],[Employment]]</f>
        <v>Chính thức</v>
      </c>
      <c r="L143" t="str">
        <f>survey_responses[[#This Row],[Tình trạng việc làm chính:]]</f>
        <v>Khu vực chính thức (Có Hợp đồng lao động, đóng BHXH)</v>
      </c>
      <c r="M143">
        <f>step3_validation[[#This Row],[Income_Mil]]</f>
        <v>12</v>
      </c>
      <c r="N143" t="str">
        <f>survey_responses[[#This Row],[Thu nhập bình quân tháng theo Hợp đồng lao động của bạn là bao nhiêu? (Vui lòng điền tổng thu nhập trước khi khấu trừ các loại Bảo hiểm (BHXH, BHYT, BHTN) và Thuế TNCN)]]</f>
        <v>Dưới 12 triệu VNĐ</v>
      </c>
      <c r="O143">
        <f>step3_validation[[#This Row],[Dependents]]</f>
        <v>1</v>
      </c>
      <c r="P143" t="str">
        <f>survey_responses[[#This Row],[Số người phụ thuộc (con nhỏ, cha mẹ già...) đủ điều kiện giảm trừ gia cảnh:]]</f>
        <v>1 người</v>
      </c>
      <c r="Q143">
        <f>step3_validation[[#This Row],[AI_ENF1]]</f>
        <v>8</v>
      </c>
      <c r="R143" t="str">
        <f t="shared" si="54"/>
        <v>Support</v>
      </c>
      <c r="S143">
        <f>survey_responses[[#This Row],[Tôi tin rằng với các quy định quản lý thuế hiện nay, hành vi gian lận hoặc trốn thuế sẽ dễ dàng bị phát hiện và xử lý nghiêm. - HUMAN-ENF1]]</f>
        <v>5</v>
      </c>
      <c r="T143" t="str">
        <f t="shared" si="55"/>
        <v>Neutral</v>
      </c>
      <c r="U143" s="31">
        <f t="shared" si="56"/>
        <v>3</v>
      </c>
      <c r="V143">
        <f>step3_validation[[#This Row],[AI_ENF2]]</f>
        <v>9</v>
      </c>
      <c r="W143" t="str">
        <f t="shared" si="57"/>
        <v>Support</v>
      </c>
      <c r="X143">
        <f>survey_responses[[#This Row],[Tôi tin rằng Nhà nước, cơ quan thuế có đủ khả năng và công nghệ để phát hiện, xử lý nghiêm các hành vi trốn thuế. - HUMAN-ENF2]]</f>
        <v>6</v>
      </c>
      <c r="Y143" t="str">
        <f t="shared" si="58"/>
        <v>Neutral</v>
      </c>
      <c r="Z143" s="31">
        <f t="shared" si="59"/>
        <v>3</v>
      </c>
      <c r="AA143">
        <f>step3_validation[[#This Row],[AI_FAC1]]</f>
        <v>8</v>
      </c>
      <c r="AB143" t="str">
        <f t="shared" si="60"/>
        <v>Support</v>
      </c>
      <c r="AC143">
        <f>survey_responses[[#This Row],[Các thủ tục khai báo thuế VÀ/HOẶC quy trình làm việc với cơ quan thuế đơn giản, tiện lợi, nhanh chóng hơn so với trước đây. - HUMAN-FAC1]]</f>
        <v>5</v>
      </c>
      <c r="AD143" t="str">
        <f t="shared" si="61"/>
        <v>Neutral</v>
      </c>
      <c r="AE143" s="31">
        <f t="shared" si="62"/>
        <v>3</v>
      </c>
      <c r="AF143">
        <f>step3_validation[[#This Row],[AI_FAC2]]</f>
        <v>9</v>
      </c>
      <c r="AG143" t="str">
        <f t="shared" si="63"/>
        <v>Support</v>
      </c>
      <c r="AH143">
        <f>survey_responses[[#This Row],[So với trước đây, tôi thấy cách tính thuế và các bậc thuế trong phương án mới đơn giản, dễ hiểu và dễ thực hiện hơn. - HUMAN-FAC2]]</f>
        <v>7</v>
      </c>
      <c r="AI143" t="str">
        <f t="shared" si="64"/>
        <v>Neutral</v>
      </c>
      <c r="AJ143" s="31">
        <f t="shared" si="65"/>
        <v>2</v>
      </c>
      <c r="AK143">
        <f>step3_validation[[#This Row],[AI_TRU1]]</f>
        <v>8</v>
      </c>
      <c r="AL143" t="str">
        <f t="shared" si="66"/>
        <v>Support</v>
      </c>
      <c r="AM143">
        <f>survey_responses[[#This Row],[Tôi tin rằng Nhà nước, cơ quan thuế sẽ thực thi chính sách mới một cách khách quan, công tâm và đối xử bình đẳng với mọi người nộp thuế.  - HUMAN-TRU1]]</f>
        <v>6</v>
      </c>
      <c r="AN143" t="str">
        <f t="shared" si="67"/>
        <v>Neutral</v>
      </c>
      <c r="AO143" s="31">
        <f t="shared" si="68"/>
        <v>2</v>
      </c>
      <c r="AP143">
        <f>step3_validation[[#This Row],[AI_TRU2]]</f>
        <v>9</v>
      </c>
      <c r="AQ143" t="str">
        <f t="shared" si="69"/>
        <v>Support</v>
      </c>
      <c r="AR143">
        <f>survey_responses[[#This Row],[Tôi thấy mức thuế tôi phải đóng theo phương án mới là công bằng (người thu nhập như tôi đóng mức này là hợp lý). - HUMAN-TRU2]]</f>
        <v>6</v>
      </c>
      <c r="AS143" t="str">
        <f t="shared" si="70"/>
        <v>Neutral</v>
      </c>
      <c r="AT143" s="31">
        <f t="shared" si="71"/>
        <v>3</v>
      </c>
      <c r="AU143">
        <f>step3_validation[[#This Row],[AI_TRU3]]</f>
        <v>8</v>
      </c>
      <c r="AV143" t="str">
        <f t="shared" si="72"/>
        <v>Support</v>
      </c>
      <c r="AW143">
        <f>survey_responses[[#This Row],[Tôi tin tưởng số tiền thuế tôi đóng sẽ được Nhà nước sử dụng hiệu quả để cải thiện dịch vụ công (y tế, đường xá...). - HUMAN-TRU3]]</f>
        <v>6</v>
      </c>
      <c r="AX143" t="str">
        <f t="shared" si="73"/>
        <v>Neutral</v>
      </c>
      <c r="AY143" s="31">
        <f t="shared" si="74"/>
        <v>2</v>
      </c>
      <c r="AZ143">
        <f>step3_validation[[#This Row],[AI_TRU4]]</f>
        <v>9</v>
      </c>
      <c r="BA143" t="str">
        <f t="shared" si="75"/>
        <v>Support</v>
      </c>
      <c r="BB143">
        <f>survey_responses[[#This Row],[Tôi thấy Nhà nước đã giải thích rõ ràng, minh bạch về lý do và mục tiêu của việc sửa đổi thuế lần này. - HUMAN-TRU4]]</f>
        <v>7</v>
      </c>
      <c r="BC143" t="str">
        <f t="shared" si="76"/>
        <v>Neutral</v>
      </c>
      <c r="BD143" s="31">
        <f t="shared" si="77"/>
        <v>2</v>
      </c>
      <c r="BE143">
        <f>step3_validation[[#This Row],[AI_OUT1]]</f>
        <v>9</v>
      </c>
      <c r="BF143" t="str">
        <f t="shared" si="78"/>
        <v>Support</v>
      </c>
      <c r="BG143">
        <f>survey_responses[[#This Row],[Sau khi xem xét các quyền lợi và nghĩa vụ, bạn có ủng hộ và tuân thủ chính sách mới hiện nay? - HUMAN-OUT1]]</f>
        <v>7</v>
      </c>
      <c r="BH143" t="str">
        <f t="shared" si="79"/>
        <v>Neutral</v>
      </c>
      <c r="BI143" s="31">
        <f t="shared" si="80"/>
        <v>2</v>
      </c>
    </row>
    <row r="144" spans="1:61" hidden="1" x14ac:dyDescent="0.45">
      <c r="A144" s="29">
        <f>step3_validation[[#This Row],[Persona_ID]]</f>
        <v>143</v>
      </c>
      <c r="B144" s="30">
        <f>step3_validation[[#This Row],[Used_Seed]]</f>
        <v>184</v>
      </c>
      <c r="C144" t="str">
        <f>step3_validation[[#This Row],[Gender]]</f>
        <v>Nam</v>
      </c>
      <c r="D144" t="str">
        <f>survey_responses[[#This Row],[Giới tính của bạn:]]</f>
        <v>Nam</v>
      </c>
      <c r="E144" t="str">
        <f>step3_validation[[#This Row],[Age_Group]]</f>
        <v>30 - 39</v>
      </c>
      <c r="F144" t="str">
        <f>survey_responses[[#This Row],[Độ tuổi của bạn:]]</f>
        <v>30 - 39</v>
      </c>
      <c r="G144" t="str">
        <f>step3_validation[[#This Row],[Region]]</f>
        <v>Thành thị</v>
      </c>
      <c r="H144" t="str">
        <f>survey_responses[[#This Row],[Khu vực bạn đang sinh sống:]]</f>
        <v>Thành thị</v>
      </c>
      <c r="I144" t="str">
        <f>step3_validation[[#This Row],[Education]]</f>
        <v>Sau Đại học</v>
      </c>
      <c r="J144" t="str">
        <f>survey_responses[[#This Row],[Trình độ học vấn cao nhất:]]</f>
        <v>Sau Đại học</v>
      </c>
      <c r="K144" t="str">
        <f>step3_validation[[#This Row],[Employment]]</f>
        <v>Chính thức</v>
      </c>
      <c r="L144" t="str">
        <f>survey_responses[[#This Row],[Tình trạng việc làm chính:]]</f>
        <v>Khu vực chính thức (Có Hợp đồng lao động, đóng BHXH)</v>
      </c>
      <c r="M144">
        <f>step3_validation[[#This Row],[Income_Mil]]</f>
        <v>203.84268490148614</v>
      </c>
      <c r="N144" t="str">
        <f>survey_responses[[#This Row],[Thu nhập bình quân tháng theo Hợp đồng lao động của bạn là bao nhiêu? (Vui lòng điền tổng thu nhập trước khi khấu trừ các loại Bảo hiểm (BHXH, BHYT, BHTN) và Thuế TNCN)]]</f>
        <v>Trên 102 triệu VNĐ</v>
      </c>
      <c r="O144">
        <f>step3_validation[[#This Row],[Dependents]]</f>
        <v>0</v>
      </c>
      <c r="P144" t="str">
        <f>survey_responses[[#This Row],[Số người phụ thuộc (con nhỏ, cha mẹ già...) đủ điều kiện giảm trừ gia cảnh:]]</f>
        <v>0 người</v>
      </c>
      <c r="Q144">
        <f>step3_validation[[#This Row],[AI_ENF1]]</f>
        <v>7</v>
      </c>
      <c r="R144" t="str">
        <f t="shared" si="54"/>
        <v>Neutral</v>
      </c>
      <c r="S144">
        <f>survey_responses[[#This Row],[Tôi tin rằng với các quy định quản lý thuế hiện nay, hành vi gian lận hoặc trốn thuế sẽ dễ dàng bị phát hiện và xử lý nghiêm. - HUMAN-ENF1]]</f>
        <v>1</v>
      </c>
      <c r="T144" t="str">
        <f t="shared" si="55"/>
        <v>Oppose</v>
      </c>
      <c r="U144" s="31">
        <f t="shared" si="56"/>
        <v>6</v>
      </c>
      <c r="V144">
        <f>step3_validation[[#This Row],[AI_ENF2]]</f>
        <v>6</v>
      </c>
      <c r="W144" t="str">
        <f t="shared" si="57"/>
        <v>Neutral</v>
      </c>
      <c r="X144">
        <f>survey_responses[[#This Row],[Tôi tin rằng Nhà nước, cơ quan thuế có đủ khả năng và công nghệ để phát hiện, xử lý nghiêm các hành vi trốn thuế. - HUMAN-ENF2]]</f>
        <v>1</v>
      </c>
      <c r="Y144" t="str">
        <f t="shared" si="58"/>
        <v>Oppose</v>
      </c>
      <c r="Z144" s="31">
        <f t="shared" si="59"/>
        <v>5</v>
      </c>
      <c r="AA144">
        <f>step3_validation[[#This Row],[AI_FAC1]]</f>
        <v>9</v>
      </c>
      <c r="AB144" t="str">
        <f t="shared" si="60"/>
        <v>Support</v>
      </c>
      <c r="AC144">
        <f>survey_responses[[#This Row],[Các thủ tục khai báo thuế VÀ/HOẶC quy trình làm việc với cơ quan thuế đơn giản, tiện lợi, nhanh chóng hơn so với trước đây. - HUMAN-FAC1]]</f>
        <v>8</v>
      </c>
      <c r="AD144" t="str">
        <f t="shared" si="61"/>
        <v>Support</v>
      </c>
      <c r="AE144" s="31">
        <f t="shared" si="62"/>
        <v>1</v>
      </c>
      <c r="AF144">
        <f>step3_validation[[#This Row],[AI_FAC2]]</f>
        <v>9</v>
      </c>
      <c r="AG144" t="str">
        <f t="shared" si="63"/>
        <v>Support</v>
      </c>
      <c r="AH144">
        <f>survey_responses[[#This Row],[So với trước đây, tôi thấy cách tính thuế và các bậc thuế trong phương án mới đơn giản, dễ hiểu và dễ thực hiện hơn. - HUMAN-FAC2]]</f>
        <v>8</v>
      </c>
      <c r="AI144" t="str">
        <f t="shared" si="64"/>
        <v>Support</v>
      </c>
      <c r="AJ144" s="31">
        <f t="shared" si="65"/>
        <v>1</v>
      </c>
      <c r="AK144">
        <f>step3_validation[[#This Row],[AI_TRU1]]</f>
        <v>8</v>
      </c>
      <c r="AL144" t="str">
        <f t="shared" si="66"/>
        <v>Support</v>
      </c>
      <c r="AM144">
        <f>survey_responses[[#This Row],[Tôi tin rằng Nhà nước, cơ quan thuế sẽ thực thi chính sách mới một cách khách quan, công tâm và đối xử bình đẳng với mọi người nộp thuế.  - HUMAN-TRU1]]</f>
        <v>8</v>
      </c>
      <c r="AN144" t="str">
        <f t="shared" si="67"/>
        <v>Support</v>
      </c>
      <c r="AO144" s="31">
        <f t="shared" si="68"/>
        <v>0</v>
      </c>
      <c r="AP144">
        <f>step3_validation[[#This Row],[AI_TRU2]]</f>
        <v>9</v>
      </c>
      <c r="AQ144" t="str">
        <f t="shared" si="69"/>
        <v>Support</v>
      </c>
      <c r="AR144">
        <f>survey_responses[[#This Row],[Tôi thấy mức thuế tôi phải đóng theo phương án mới là công bằng (người thu nhập như tôi đóng mức này là hợp lý). - HUMAN-TRU2]]</f>
        <v>8</v>
      </c>
      <c r="AS144" t="str">
        <f t="shared" si="70"/>
        <v>Support</v>
      </c>
      <c r="AT144" s="31">
        <f t="shared" si="71"/>
        <v>1</v>
      </c>
      <c r="AU144">
        <f>step3_validation[[#This Row],[AI_TRU3]]</f>
        <v>8</v>
      </c>
      <c r="AV144" t="str">
        <f t="shared" si="72"/>
        <v>Support</v>
      </c>
      <c r="AW144">
        <f>survey_responses[[#This Row],[Tôi tin tưởng số tiền thuế tôi đóng sẽ được Nhà nước sử dụng hiệu quả để cải thiện dịch vụ công (y tế, đường xá...). - HUMAN-TRU3]]</f>
        <v>8</v>
      </c>
      <c r="AX144" t="str">
        <f t="shared" si="73"/>
        <v>Support</v>
      </c>
      <c r="AY144" s="31">
        <f t="shared" si="74"/>
        <v>0</v>
      </c>
      <c r="AZ144">
        <f>step3_validation[[#This Row],[AI_TRU4]]</f>
        <v>9</v>
      </c>
      <c r="BA144" t="str">
        <f t="shared" si="75"/>
        <v>Support</v>
      </c>
      <c r="BB144">
        <f>survey_responses[[#This Row],[Tôi thấy Nhà nước đã giải thích rõ ràng, minh bạch về lý do và mục tiêu của việc sửa đổi thuế lần này. - HUMAN-TRU4]]</f>
        <v>8</v>
      </c>
      <c r="BC144" t="str">
        <f t="shared" si="76"/>
        <v>Support</v>
      </c>
      <c r="BD144" s="31">
        <f t="shared" si="77"/>
        <v>1</v>
      </c>
      <c r="BE144">
        <f>step3_validation[[#This Row],[AI_OUT1]]</f>
        <v>8</v>
      </c>
      <c r="BF144" t="str">
        <f t="shared" si="78"/>
        <v>Support</v>
      </c>
      <c r="BG144">
        <f>survey_responses[[#This Row],[Sau khi xem xét các quyền lợi và nghĩa vụ, bạn có ủng hộ và tuân thủ chính sách mới hiện nay? - HUMAN-OUT1]]</f>
        <v>8</v>
      </c>
      <c r="BH144" t="str">
        <f t="shared" si="79"/>
        <v>Support</v>
      </c>
      <c r="BI144" s="31">
        <f t="shared" si="80"/>
        <v>0</v>
      </c>
    </row>
    <row r="145" spans="1:61" hidden="1" x14ac:dyDescent="0.45">
      <c r="A145" s="29">
        <f>step3_validation[[#This Row],[Persona_ID]]</f>
        <v>144</v>
      </c>
      <c r="B145" s="30">
        <f>step3_validation[[#This Row],[Used_Seed]]</f>
        <v>185</v>
      </c>
      <c r="C145" t="str">
        <f>step3_validation[[#This Row],[Gender]]</f>
        <v>Nữ</v>
      </c>
      <c r="D145" t="str">
        <f>survey_responses[[#This Row],[Giới tính của bạn:]]</f>
        <v>Nữ</v>
      </c>
      <c r="E145" t="str">
        <f>step3_validation[[#This Row],[Age_Group]]</f>
        <v>50 - 54</v>
      </c>
      <c r="F145" t="str">
        <f>survey_responses[[#This Row],[Độ tuổi của bạn:]]</f>
        <v>50 - 54</v>
      </c>
      <c r="G145" t="str">
        <f>step3_validation[[#This Row],[Region]]</f>
        <v>Thành thị</v>
      </c>
      <c r="H145" t="str">
        <f>survey_responses[[#This Row],[Khu vực bạn đang sinh sống:]]</f>
        <v>Thành thị</v>
      </c>
      <c r="I145" t="str">
        <f>step3_validation[[#This Row],[Education]]</f>
        <v>Đại học</v>
      </c>
      <c r="J145" t="str">
        <f>survey_responses[[#This Row],[Trình độ học vấn cao nhất:]]</f>
        <v>Đại học</v>
      </c>
      <c r="K145" t="str">
        <f>step3_validation[[#This Row],[Employment]]</f>
        <v>Chính thức</v>
      </c>
      <c r="L145" t="str">
        <f>survey_responses[[#This Row],[Tình trạng việc làm chính:]]</f>
        <v>Khu vực chính thức (Có Hợp đồng lao động, đóng BHXH)</v>
      </c>
      <c r="M145">
        <f>step3_validation[[#This Row],[Income_Mil]]</f>
        <v>56.009713937760701</v>
      </c>
      <c r="N145" t="str">
        <f>survey_responses[[#This Row],[Thu nhập bình quân tháng theo Hợp đồng lao động của bạn là bao nhiêu? (Vui lòng điền tổng thu nhập trước khi khấu trừ các loại Bảo hiểm (BHXH, BHYT, BHTN) và Thuế TNCN)]]</f>
        <v>Từ 48 - 70 triệu VNĐ</v>
      </c>
      <c r="O145">
        <f>step3_validation[[#This Row],[Dependents]]</f>
        <v>2</v>
      </c>
      <c r="P145" t="str">
        <f>survey_responses[[#This Row],[Số người phụ thuộc (con nhỏ, cha mẹ già...) đủ điều kiện giảm trừ gia cảnh:]]</f>
        <v>2 người</v>
      </c>
      <c r="Q145">
        <f>step3_validation[[#This Row],[AI_ENF1]]</f>
        <v>9</v>
      </c>
      <c r="R145" t="str">
        <f t="shared" si="54"/>
        <v>Support</v>
      </c>
      <c r="S145">
        <f>survey_responses[[#This Row],[Tôi tin rằng với các quy định quản lý thuế hiện nay, hành vi gian lận hoặc trốn thuế sẽ dễ dàng bị phát hiện và xử lý nghiêm. - HUMAN-ENF1]]</f>
        <v>9</v>
      </c>
      <c r="T145" t="str">
        <f t="shared" si="55"/>
        <v>Support</v>
      </c>
      <c r="U145" s="31">
        <f t="shared" si="56"/>
        <v>0</v>
      </c>
      <c r="V145">
        <f>step3_validation[[#This Row],[AI_ENF2]]</f>
        <v>9</v>
      </c>
      <c r="W145" t="str">
        <f t="shared" si="57"/>
        <v>Support</v>
      </c>
      <c r="X145">
        <f>survey_responses[[#This Row],[Tôi tin rằng Nhà nước, cơ quan thuế có đủ khả năng và công nghệ để phát hiện, xử lý nghiêm các hành vi trốn thuế. - HUMAN-ENF2]]</f>
        <v>9</v>
      </c>
      <c r="Y145" t="str">
        <f t="shared" si="58"/>
        <v>Support</v>
      </c>
      <c r="Z145" s="31">
        <f t="shared" si="59"/>
        <v>0</v>
      </c>
      <c r="AA145">
        <f>step3_validation[[#This Row],[AI_FAC1]]</f>
        <v>8</v>
      </c>
      <c r="AB145" t="str">
        <f t="shared" si="60"/>
        <v>Support</v>
      </c>
      <c r="AC145">
        <f>survey_responses[[#This Row],[Các thủ tục khai báo thuế VÀ/HOẶC quy trình làm việc với cơ quan thuế đơn giản, tiện lợi, nhanh chóng hơn so với trước đây. - HUMAN-FAC1]]</f>
        <v>9</v>
      </c>
      <c r="AD145" t="str">
        <f t="shared" si="61"/>
        <v>Support</v>
      </c>
      <c r="AE145" s="31">
        <f t="shared" si="62"/>
        <v>1</v>
      </c>
      <c r="AF145">
        <f>step3_validation[[#This Row],[AI_FAC2]]</f>
        <v>9</v>
      </c>
      <c r="AG145" t="str">
        <f t="shared" si="63"/>
        <v>Support</v>
      </c>
      <c r="AH145">
        <f>survey_responses[[#This Row],[So với trước đây, tôi thấy cách tính thuế và các bậc thuế trong phương án mới đơn giản, dễ hiểu và dễ thực hiện hơn. - HUMAN-FAC2]]</f>
        <v>9</v>
      </c>
      <c r="AI145" t="str">
        <f t="shared" si="64"/>
        <v>Support</v>
      </c>
      <c r="AJ145" s="31">
        <f t="shared" si="65"/>
        <v>0</v>
      </c>
      <c r="AK145">
        <f>step3_validation[[#This Row],[AI_TRU1]]</f>
        <v>8</v>
      </c>
      <c r="AL145" t="str">
        <f t="shared" si="66"/>
        <v>Support</v>
      </c>
      <c r="AM145">
        <f>survey_responses[[#This Row],[Tôi tin rằng Nhà nước, cơ quan thuế sẽ thực thi chính sách mới một cách khách quan, công tâm và đối xử bình đẳng với mọi người nộp thuế.  - HUMAN-TRU1]]</f>
        <v>10</v>
      </c>
      <c r="AN145" t="str">
        <f t="shared" si="67"/>
        <v>Support</v>
      </c>
      <c r="AO145" s="31">
        <f t="shared" si="68"/>
        <v>2</v>
      </c>
      <c r="AP145">
        <f>step3_validation[[#This Row],[AI_TRU2]]</f>
        <v>9</v>
      </c>
      <c r="AQ145" t="str">
        <f t="shared" si="69"/>
        <v>Support</v>
      </c>
      <c r="AR145">
        <f>survey_responses[[#This Row],[Tôi thấy mức thuế tôi phải đóng theo phương án mới là công bằng (người thu nhập như tôi đóng mức này là hợp lý). - HUMAN-TRU2]]</f>
        <v>5</v>
      </c>
      <c r="AS145" t="str">
        <f t="shared" si="70"/>
        <v>Neutral</v>
      </c>
      <c r="AT145" s="31">
        <f t="shared" si="71"/>
        <v>4</v>
      </c>
      <c r="AU145">
        <f>step3_validation[[#This Row],[AI_TRU3]]</f>
        <v>8</v>
      </c>
      <c r="AV145" t="str">
        <f t="shared" si="72"/>
        <v>Support</v>
      </c>
      <c r="AW145">
        <f>survey_responses[[#This Row],[Tôi tin tưởng số tiền thuế tôi đóng sẽ được Nhà nước sử dụng hiệu quả để cải thiện dịch vụ công (y tế, đường xá...). - HUMAN-TRU3]]</f>
        <v>9</v>
      </c>
      <c r="AX145" t="str">
        <f t="shared" si="73"/>
        <v>Support</v>
      </c>
      <c r="AY145" s="31">
        <f t="shared" si="74"/>
        <v>1</v>
      </c>
      <c r="AZ145">
        <f>step3_validation[[#This Row],[AI_TRU4]]</f>
        <v>9</v>
      </c>
      <c r="BA145" t="str">
        <f t="shared" si="75"/>
        <v>Support</v>
      </c>
      <c r="BB145">
        <f>survey_responses[[#This Row],[Tôi thấy Nhà nước đã giải thích rõ ràng, minh bạch về lý do và mục tiêu của việc sửa đổi thuế lần này. - HUMAN-TRU4]]</f>
        <v>9</v>
      </c>
      <c r="BC145" t="str">
        <f t="shared" si="76"/>
        <v>Support</v>
      </c>
      <c r="BD145" s="31">
        <f t="shared" si="77"/>
        <v>0</v>
      </c>
      <c r="BE145">
        <f>step3_validation[[#This Row],[AI_OUT1]]</f>
        <v>8</v>
      </c>
      <c r="BF145" t="str">
        <f t="shared" si="78"/>
        <v>Support</v>
      </c>
      <c r="BG145">
        <f>survey_responses[[#This Row],[Sau khi xem xét các quyền lợi và nghĩa vụ, bạn có ủng hộ và tuân thủ chính sách mới hiện nay? - HUMAN-OUT1]]</f>
        <v>10</v>
      </c>
      <c r="BH145" t="str">
        <f t="shared" si="79"/>
        <v>Support</v>
      </c>
      <c r="BI145" s="31">
        <f t="shared" si="80"/>
        <v>2</v>
      </c>
    </row>
    <row r="146" spans="1:61" hidden="1" x14ac:dyDescent="0.45">
      <c r="A146" s="29">
        <f>step3_validation[[#This Row],[Persona_ID]]</f>
        <v>145</v>
      </c>
      <c r="B146" s="30">
        <f>step3_validation[[#This Row],[Used_Seed]]</f>
        <v>186</v>
      </c>
      <c r="C146" t="str">
        <f>step3_validation[[#This Row],[Gender]]</f>
        <v>Nữ</v>
      </c>
      <c r="D146" t="str">
        <f>survey_responses[[#This Row],[Giới tính của bạn:]]</f>
        <v>Nữ</v>
      </c>
      <c r="E146" t="str">
        <f>step3_validation[[#This Row],[Age_Group]]</f>
        <v>40 - 49</v>
      </c>
      <c r="F146" t="str">
        <f>survey_responses[[#This Row],[Độ tuổi của bạn:]]</f>
        <v>40 - 49</v>
      </c>
      <c r="G146" t="str">
        <f>step3_validation[[#This Row],[Region]]</f>
        <v>Thành thị</v>
      </c>
      <c r="H146" t="str">
        <f>survey_responses[[#This Row],[Khu vực bạn đang sinh sống:]]</f>
        <v>Thành thị</v>
      </c>
      <c r="I146" t="str">
        <f>step3_validation[[#This Row],[Education]]</f>
        <v>Đại học</v>
      </c>
      <c r="J146" t="str">
        <f>survey_responses[[#This Row],[Trình độ học vấn cao nhất:]]</f>
        <v>Đại học</v>
      </c>
      <c r="K146" t="str">
        <f>step3_validation[[#This Row],[Employment]]</f>
        <v>Chính thức</v>
      </c>
      <c r="L146" t="str">
        <f>survey_responses[[#This Row],[Tình trạng việc làm chính:]]</f>
        <v>Khu vực chính thức (Có Hợp đồng lao động, đóng BHXH)</v>
      </c>
      <c r="M146">
        <f>step3_validation[[#This Row],[Income_Mil]]</f>
        <v>53.381056109162323</v>
      </c>
      <c r="N146" t="str">
        <f>survey_responses[[#This Row],[Thu nhập bình quân tháng theo Hợp đồng lao động của bạn là bao nhiêu? (Vui lòng điền tổng thu nhập trước khi khấu trừ các loại Bảo hiểm (BHXH, BHYT, BHTN) và Thuế TNCN)]]</f>
        <v>Từ 48 - 70 triệu VNĐ</v>
      </c>
      <c r="O146">
        <f>step3_validation[[#This Row],[Dependents]]</f>
        <v>2</v>
      </c>
      <c r="P146" t="str">
        <f>survey_responses[[#This Row],[Số người phụ thuộc (con nhỏ, cha mẹ già...) đủ điều kiện giảm trừ gia cảnh:]]</f>
        <v>2 người</v>
      </c>
      <c r="Q146">
        <f>step3_validation[[#This Row],[AI_ENF1]]</f>
        <v>5</v>
      </c>
      <c r="R146" t="str">
        <f t="shared" si="54"/>
        <v>Neutral</v>
      </c>
      <c r="S146">
        <f>survey_responses[[#This Row],[Tôi tin rằng với các quy định quản lý thuế hiện nay, hành vi gian lận hoặc trốn thuế sẽ dễ dàng bị phát hiện và xử lý nghiêm. - HUMAN-ENF1]]</f>
        <v>10</v>
      </c>
      <c r="T146" t="str">
        <f t="shared" si="55"/>
        <v>Support</v>
      </c>
      <c r="U146" s="31">
        <f t="shared" si="56"/>
        <v>5</v>
      </c>
      <c r="V146">
        <f>step3_validation[[#This Row],[AI_ENF2]]</f>
        <v>6</v>
      </c>
      <c r="W146" t="str">
        <f t="shared" si="57"/>
        <v>Neutral</v>
      </c>
      <c r="X146">
        <f>survey_responses[[#This Row],[Tôi tin rằng Nhà nước, cơ quan thuế có đủ khả năng và công nghệ để phát hiện, xử lý nghiêm các hành vi trốn thuế. - HUMAN-ENF2]]</f>
        <v>10</v>
      </c>
      <c r="Y146" t="str">
        <f t="shared" si="58"/>
        <v>Support</v>
      </c>
      <c r="Z146" s="31">
        <f t="shared" si="59"/>
        <v>4</v>
      </c>
      <c r="AA146">
        <f>step3_validation[[#This Row],[AI_FAC1]]</f>
        <v>7</v>
      </c>
      <c r="AB146" t="str">
        <f t="shared" si="60"/>
        <v>Neutral</v>
      </c>
      <c r="AC146">
        <f>survey_responses[[#This Row],[Các thủ tục khai báo thuế VÀ/HOẶC quy trình làm việc với cơ quan thuế đơn giản, tiện lợi, nhanh chóng hơn so với trước đây. - HUMAN-FAC1]]</f>
        <v>9</v>
      </c>
      <c r="AD146" t="str">
        <f t="shared" si="61"/>
        <v>Support</v>
      </c>
      <c r="AE146" s="31">
        <f t="shared" si="62"/>
        <v>2</v>
      </c>
      <c r="AF146">
        <f>step3_validation[[#This Row],[AI_FAC2]]</f>
        <v>9</v>
      </c>
      <c r="AG146" t="str">
        <f t="shared" si="63"/>
        <v>Support</v>
      </c>
      <c r="AH146">
        <f>survey_responses[[#This Row],[So với trước đây, tôi thấy cách tính thuế và các bậc thuế trong phương án mới đơn giản, dễ hiểu và dễ thực hiện hơn. - HUMAN-FAC2]]</f>
        <v>6</v>
      </c>
      <c r="AI146" t="str">
        <f t="shared" si="64"/>
        <v>Neutral</v>
      </c>
      <c r="AJ146" s="31">
        <f t="shared" si="65"/>
        <v>3</v>
      </c>
      <c r="AK146">
        <f>step3_validation[[#This Row],[AI_TRU1]]</f>
        <v>6</v>
      </c>
      <c r="AL146" t="str">
        <f t="shared" si="66"/>
        <v>Neutral</v>
      </c>
      <c r="AM146">
        <f>survey_responses[[#This Row],[Tôi tin rằng Nhà nước, cơ quan thuế sẽ thực thi chính sách mới một cách khách quan, công tâm và đối xử bình đẳng với mọi người nộp thuế.  - HUMAN-TRU1]]</f>
        <v>6</v>
      </c>
      <c r="AN146" t="str">
        <f t="shared" si="67"/>
        <v>Neutral</v>
      </c>
      <c r="AO146" s="31">
        <f t="shared" si="68"/>
        <v>0</v>
      </c>
      <c r="AP146">
        <f>step3_validation[[#This Row],[AI_TRU2]]</f>
        <v>8</v>
      </c>
      <c r="AQ146" t="str">
        <f t="shared" si="69"/>
        <v>Support</v>
      </c>
      <c r="AR146">
        <f>survey_responses[[#This Row],[Tôi thấy mức thuế tôi phải đóng theo phương án mới là công bằng (người thu nhập như tôi đóng mức này là hợp lý). - HUMAN-TRU2]]</f>
        <v>3</v>
      </c>
      <c r="AS146" t="str">
        <f t="shared" si="70"/>
        <v>Oppose</v>
      </c>
      <c r="AT146" s="31">
        <f t="shared" si="71"/>
        <v>5</v>
      </c>
      <c r="AU146">
        <f>step3_validation[[#This Row],[AI_TRU3]]</f>
        <v>7</v>
      </c>
      <c r="AV146" t="str">
        <f t="shared" si="72"/>
        <v>Neutral</v>
      </c>
      <c r="AW146">
        <f>survey_responses[[#This Row],[Tôi tin tưởng số tiền thuế tôi đóng sẽ được Nhà nước sử dụng hiệu quả để cải thiện dịch vụ công (y tế, đường xá...). - HUMAN-TRU3]]</f>
        <v>5</v>
      </c>
      <c r="AX146" t="str">
        <f t="shared" si="73"/>
        <v>Neutral</v>
      </c>
      <c r="AY146" s="31">
        <f t="shared" si="74"/>
        <v>2</v>
      </c>
      <c r="AZ146">
        <f>step3_validation[[#This Row],[AI_TRU4]]</f>
        <v>8</v>
      </c>
      <c r="BA146" t="str">
        <f t="shared" si="75"/>
        <v>Support</v>
      </c>
      <c r="BB146">
        <f>survey_responses[[#This Row],[Tôi thấy Nhà nước đã giải thích rõ ràng, minh bạch về lý do và mục tiêu của việc sửa đổi thuế lần này. - HUMAN-TRU4]]</f>
        <v>5</v>
      </c>
      <c r="BC146" t="str">
        <f t="shared" si="76"/>
        <v>Neutral</v>
      </c>
      <c r="BD146" s="31">
        <f t="shared" si="77"/>
        <v>3</v>
      </c>
      <c r="BE146">
        <f>step3_validation[[#This Row],[AI_OUT1]]</f>
        <v>9</v>
      </c>
      <c r="BF146" t="str">
        <f t="shared" si="78"/>
        <v>Support</v>
      </c>
      <c r="BG146">
        <f>survey_responses[[#This Row],[Sau khi xem xét các quyền lợi và nghĩa vụ, bạn có ủng hộ và tuân thủ chính sách mới hiện nay? - HUMAN-OUT1]]</f>
        <v>1</v>
      </c>
      <c r="BH146" t="str">
        <f t="shared" si="79"/>
        <v>Oppose</v>
      </c>
      <c r="BI146" s="31">
        <f t="shared" si="80"/>
        <v>8</v>
      </c>
    </row>
    <row r="147" spans="1:61" hidden="1" x14ac:dyDescent="0.45">
      <c r="A147" s="29">
        <f>step3_validation[[#This Row],[Persona_ID]]</f>
        <v>146</v>
      </c>
      <c r="B147" s="30">
        <f>step3_validation[[#This Row],[Used_Seed]]</f>
        <v>187</v>
      </c>
      <c r="C147" t="str">
        <f>step3_validation[[#This Row],[Gender]]</f>
        <v>Nữ</v>
      </c>
      <c r="D147" t="str">
        <f>survey_responses[[#This Row],[Giới tính của bạn:]]</f>
        <v>Nữ</v>
      </c>
      <c r="E147" t="str">
        <f>step3_validation[[#This Row],[Age_Group]]</f>
        <v>40 - 49</v>
      </c>
      <c r="F147" t="str">
        <f>survey_responses[[#This Row],[Độ tuổi của bạn:]]</f>
        <v>40 - 49</v>
      </c>
      <c r="G147" t="str">
        <f>step3_validation[[#This Row],[Region]]</f>
        <v>Thành thị</v>
      </c>
      <c r="H147" t="str">
        <f>survey_responses[[#This Row],[Khu vực bạn đang sinh sống:]]</f>
        <v>Thành thị</v>
      </c>
      <c r="I147" t="str">
        <f>step3_validation[[#This Row],[Education]]</f>
        <v>Đại học</v>
      </c>
      <c r="J147" t="str">
        <f>survey_responses[[#This Row],[Trình độ học vấn cao nhất:]]</f>
        <v>Đại học</v>
      </c>
      <c r="K147" t="str">
        <f>step3_validation[[#This Row],[Employment]]</f>
        <v>Chính thức</v>
      </c>
      <c r="L147" t="str">
        <f>survey_responses[[#This Row],[Tình trạng việc làm chính:]]</f>
        <v>Khu vực chính thức (Có Hợp đồng lao động, đóng BHXH)</v>
      </c>
      <c r="M147">
        <f>step3_validation[[#This Row],[Income_Mil]]</f>
        <v>93.090341062768715</v>
      </c>
      <c r="N147" t="str">
        <f>survey_responses[[#This Row],[Thu nhập bình quân tháng theo Hợp đồng lao động của bạn là bao nhiêu? (Vui lòng điền tổng thu nhập trước khi khấu trừ các loại Bảo hiểm (BHXH, BHYT, BHTN) và Thuế TNCN)]]</f>
        <v>Từ 70 - 102 triệu VNĐ</v>
      </c>
      <c r="O147">
        <f>step3_validation[[#This Row],[Dependents]]</f>
        <v>3</v>
      </c>
      <c r="P147" t="str">
        <f>survey_responses[[#This Row],[Số người phụ thuộc (con nhỏ, cha mẹ già...) đủ điều kiện giảm trừ gia cảnh:]]</f>
        <v>3 người</v>
      </c>
      <c r="Q147">
        <f>step3_validation[[#This Row],[AI_ENF1]]</f>
        <v>7</v>
      </c>
      <c r="R147" t="str">
        <f t="shared" si="54"/>
        <v>Neutral</v>
      </c>
      <c r="S147">
        <f>survey_responses[[#This Row],[Tôi tin rằng với các quy định quản lý thuế hiện nay, hành vi gian lận hoặc trốn thuế sẽ dễ dàng bị phát hiện và xử lý nghiêm. - HUMAN-ENF1]]</f>
        <v>8</v>
      </c>
      <c r="T147" t="str">
        <f t="shared" si="55"/>
        <v>Support</v>
      </c>
      <c r="U147" s="31">
        <f t="shared" si="56"/>
        <v>1</v>
      </c>
      <c r="V147">
        <f>step3_validation[[#This Row],[AI_ENF2]]</f>
        <v>8</v>
      </c>
      <c r="W147" t="str">
        <f t="shared" si="57"/>
        <v>Support</v>
      </c>
      <c r="X147">
        <f>survey_responses[[#This Row],[Tôi tin rằng Nhà nước, cơ quan thuế có đủ khả năng và công nghệ để phát hiện, xử lý nghiêm các hành vi trốn thuế. - HUMAN-ENF2]]</f>
        <v>8</v>
      </c>
      <c r="Y147" t="str">
        <f t="shared" si="58"/>
        <v>Support</v>
      </c>
      <c r="Z147" s="31">
        <f t="shared" si="59"/>
        <v>0</v>
      </c>
      <c r="AA147">
        <f>step3_validation[[#This Row],[AI_FAC1]]</f>
        <v>9</v>
      </c>
      <c r="AB147" t="str">
        <f t="shared" si="60"/>
        <v>Support</v>
      </c>
      <c r="AC147">
        <f>survey_responses[[#This Row],[Các thủ tục khai báo thuế VÀ/HOẶC quy trình làm việc với cơ quan thuế đơn giản, tiện lợi, nhanh chóng hơn so với trước đây. - HUMAN-FAC1]]</f>
        <v>5</v>
      </c>
      <c r="AD147" t="str">
        <f t="shared" si="61"/>
        <v>Neutral</v>
      </c>
      <c r="AE147" s="31">
        <f t="shared" si="62"/>
        <v>4</v>
      </c>
      <c r="AF147">
        <f>step3_validation[[#This Row],[AI_FAC2]]</f>
        <v>8</v>
      </c>
      <c r="AG147" t="str">
        <f t="shared" si="63"/>
        <v>Support</v>
      </c>
      <c r="AH147">
        <f>survey_responses[[#This Row],[So với trước đây, tôi thấy cách tính thuế và các bậc thuế trong phương án mới đơn giản, dễ hiểu và dễ thực hiện hơn. - HUMAN-FAC2]]</f>
        <v>5</v>
      </c>
      <c r="AI147" t="str">
        <f t="shared" si="64"/>
        <v>Neutral</v>
      </c>
      <c r="AJ147" s="31">
        <f t="shared" si="65"/>
        <v>3</v>
      </c>
      <c r="AK147">
        <f>step3_validation[[#This Row],[AI_TRU1]]</f>
        <v>6</v>
      </c>
      <c r="AL147" t="str">
        <f t="shared" si="66"/>
        <v>Neutral</v>
      </c>
      <c r="AM147">
        <f>survey_responses[[#This Row],[Tôi tin rằng Nhà nước, cơ quan thuế sẽ thực thi chính sách mới một cách khách quan, công tâm và đối xử bình đẳng với mọi người nộp thuế.  - HUMAN-TRU1]]</f>
        <v>5</v>
      </c>
      <c r="AN147" t="str">
        <f t="shared" si="67"/>
        <v>Neutral</v>
      </c>
      <c r="AO147" s="31">
        <f t="shared" si="68"/>
        <v>1</v>
      </c>
      <c r="AP147">
        <f>step3_validation[[#This Row],[AI_TRU2]]</f>
        <v>8</v>
      </c>
      <c r="AQ147" t="str">
        <f t="shared" si="69"/>
        <v>Support</v>
      </c>
      <c r="AR147">
        <f>survey_responses[[#This Row],[Tôi thấy mức thuế tôi phải đóng theo phương án mới là công bằng (người thu nhập như tôi đóng mức này là hợp lý). - HUMAN-TRU2]]</f>
        <v>3</v>
      </c>
      <c r="AS147" t="str">
        <f t="shared" si="70"/>
        <v>Oppose</v>
      </c>
      <c r="AT147" s="31">
        <f t="shared" si="71"/>
        <v>5</v>
      </c>
      <c r="AU147">
        <f>step3_validation[[#This Row],[AI_TRU3]]</f>
        <v>7</v>
      </c>
      <c r="AV147" t="str">
        <f t="shared" si="72"/>
        <v>Neutral</v>
      </c>
      <c r="AW147">
        <f>survey_responses[[#This Row],[Tôi tin tưởng số tiền thuế tôi đóng sẽ được Nhà nước sử dụng hiệu quả để cải thiện dịch vụ công (y tế, đường xá...). - HUMAN-TRU3]]</f>
        <v>5</v>
      </c>
      <c r="AX147" t="str">
        <f t="shared" si="73"/>
        <v>Neutral</v>
      </c>
      <c r="AY147" s="31">
        <f t="shared" si="74"/>
        <v>2</v>
      </c>
      <c r="AZ147">
        <f>step3_validation[[#This Row],[AI_TRU4]]</f>
        <v>8</v>
      </c>
      <c r="BA147" t="str">
        <f t="shared" si="75"/>
        <v>Support</v>
      </c>
      <c r="BB147">
        <f>survey_responses[[#This Row],[Tôi thấy Nhà nước đã giải thích rõ ràng, minh bạch về lý do và mục tiêu của việc sửa đổi thuế lần này. - HUMAN-TRU4]]</f>
        <v>5</v>
      </c>
      <c r="BC147" t="str">
        <f t="shared" si="76"/>
        <v>Neutral</v>
      </c>
      <c r="BD147" s="31">
        <f t="shared" si="77"/>
        <v>3</v>
      </c>
      <c r="BE147">
        <f>step3_validation[[#This Row],[AI_OUT1]]</f>
        <v>9</v>
      </c>
      <c r="BF147" t="str">
        <f t="shared" si="78"/>
        <v>Support</v>
      </c>
      <c r="BG147">
        <f>survey_responses[[#This Row],[Sau khi xem xét các quyền lợi và nghĩa vụ, bạn có ủng hộ và tuân thủ chính sách mới hiện nay? - HUMAN-OUT1]]</f>
        <v>5</v>
      </c>
      <c r="BH147" t="str">
        <f t="shared" si="79"/>
        <v>Neutral</v>
      </c>
      <c r="BI147" s="31">
        <f t="shared" si="80"/>
        <v>4</v>
      </c>
    </row>
    <row r="148" spans="1:61" hidden="1" x14ac:dyDescent="0.45">
      <c r="A148" s="29">
        <f>step3_validation[[#This Row],[Persona_ID]]</f>
        <v>147</v>
      </c>
      <c r="B148" s="30">
        <f>step3_validation[[#This Row],[Used_Seed]]</f>
        <v>188</v>
      </c>
      <c r="C148" t="str">
        <f>step3_validation[[#This Row],[Gender]]</f>
        <v>Nữ</v>
      </c>
      <c r="D148" t="str">
        <f>survey_responses[[#This Row],[Giới tính của bạn:]]</f>
        <v>Nữ</v>
      </c>
      <c r="E148" t="str">
        <f>step3_validation[[#This Row],[Age_Group]]</f>
        <v>55 - 64</v>
      </c>
      <c r="F148" t="str">
        <f>survey_responses[[#This Row],[Độ tuổi của bạn:]]</f>
        <v>55 - 64</v>
      </c>
      <c r="G148" t="str">
        <f>step3_validation[[#This Row],[Region]]</f>
        <v>Thành thị</v>
      </c>
      <c r="H148" t="str">
        <f>survey_responses[[#This Row],[Khu vực bạn đang sinh sống:]]</f>
        <v>Thành thị</v>
      </c>
      <c r="I148" t="str">
        <f>step3_validation[[#This Row],[Education]]</f>
        <v>Sau Đại học</v>
      </c>
      <c r="J148" t="str">
        <f>survey_responses[[#This Row],[Trình độ học vấn cao nhất:]]</f>
        <v>Sau Đại học</v>
      </c>
      <c r="K148" t="str">
        <f>step3_validation[[#This Row],[Employment]]</f>
        <v>Chính thức</v>
      </c>
      <c r="L148" t="str">
        <f>survey_responses[[#This Row],[Tình trạng việc làm chính:]]</f>
        <v>Khu vực chính thức (Có Hợp đồng lao động, đóng BHXH)</v>
      </c>
      <c r="M148">
        <f>step3_validation[[#This Row],[Income_Mil]]</f>
        <v>122.63747376055527</v>
      </c>
      <c r="N148" t="str">
        <f>survey_responses[[#This Row],[Thu nhập bình quân tháng theo Hợp đồng lao động của bạn là bao nhiêu? (Vui lòng điền tổng thu nhập trước khi khấu trừ các loại Bảo hiểm (BHXH, BHYT, BHTN) và Thuế TNCN)]]</f>
        <v>Trên 102 triệu VNĐ</v>
      </c>
      <c r="O148">
        <f>step3_validation[[#This Row],[Dependents]]</f>
        <v>0</v>
      </c>
      <c r="P148" t="str">
        <f>survey_responses[[#This Row],[Số người phụ thuộc (con nhỏ, cha mẹ già...) đủ điều kiện giảm trừ gia cảnh:]]</f>
        <v>0 người</v>
      </c>
      <c r="Q148">
        <f>step3_validation[[#This Row],[AI_ENF1]]</f>
        <v>7</v>
      </c>
      <c r="R148" t="str">
        <f t="shared" si="54"/>
        <v>Neutral</v>
      </c>
      <c r="S148">
        <f>survey_responses[[#This Row],[Tôi tin rằng với các quy định quản lý thuế hiện nay, hành vi gian lận hoặc trốn thuế sẽ dễ dàng bị phát hiện và xử lý nghiêm. - HUMAN-ENF1]]</f>
        <v>7</v>
      </c>
      <c r="T148" t="str">
        <f t="shared" si="55"/>
        <v>Neutral</v>
      </c>
      <c r="U148" s="31">
        <f t="shared" si="56"/>
        <v>0</v>
      </c>
      <c r="V148">
        <f>step3_validation[[#This Row],[AI_ENF2]]</f>
        <v>8</v>
      </c>
      <c r="W148" t="str">
        <f t="shared" si="57"/>
        <v>Support</v>
      </c>
      <c r="X148">
        <f>survey_responses[[#This Row],[Tôi tin rằng Nhà nước, cơ quan thuế có đủ khả năng và công nghệ để phát hiện, xử lý nghiêm các hành vi trốn thuế. - HUMAN-ENF2]]</f>
        <v>7</v>
      </c>
      <c r="Y148" t="str">
        <f t="shared" si="58"/>
        <v>Neutral</v>
      </c>
      <c r="Z148" s="31">
        <f t="shared" si="59"/>
        <v>1</v>
      </c>
      <c r="AA148">
        <f>step3_validation[[#This Row],[AI_FAC1]]</f>
        <v>9</v>
      </c>
      <c r="AB148" t="str">
        <f t="shared" si="60"/>
        <v>Support</v>
      </c>
      <c r="AC148">
        <f>survey_responses[[#This Row],[Các thủ tục khai báo thuế VÀ/HOẶC quy trình làm việc với cơ quan thuế đơn giản, tiện lợi, nhanh chóng hơn so với trước đây. - HUMAN-FAC1]]</f>
        <v>1</v>
      </c>
      <c r="AD148" t="str">
        <f t="shared" si="61"/>
        <v>Oppose</v>
      </c>
      <c r="AE148" s="31">
        <f t="shared" si="62"/>
        <v>8</v>
      </c>
      <c r="AF148">
        <f>step3_validation[[#This Row],[AI_FAC2]]</f>
        <v>9</v>
      </c>
      <c r="AG148" t="str">
        <f t="shared" si="63"/>
        <v>Support</v>
      </c>
      <c r="AH148">
        <f>survey_responses[[#This Row],[So với trước đây, tôi thấy cách tính thuế và các bậc thuế trong phương án mới đơn giản, dễ hiểu và dễ thực hiện hơn. - HUMAN-FAC2]]</f>
        <v>6</v>
      </c>
      <c r="AI148" t="str">
        <f t="shared" si="64"/>
        <v>Neutral</v>
      </c>
      <c r="AJ148" s="31">
        <f t="shared" si="65"/>
        <v>3</v>
      </c>
      <c r="AK148">
        <f>step3_validation[[#This Row],[AI_TRU1]]</f>
        <v>8</v>
      </c>
      <c r="AL148" t="str">
        <f t="shared" si="66"/>
        <v>Support</v>
      </c>
      <c r="AM148">
        <f>survey_responses[[#This Row],[Tôi tin rằng Nhà nước, cơ quan thuế sẽ thực thi chính sách mới một cách khách quan, công tâm và đối xử bình đẳng với mọi người nộp thuế.  - HUMAN-TRU1]]</f>
        <v>3</v>
      </c>
      <c r="AN148" t="str">
        <f t="shared" si="67"/>
        <v>Oppose</v>
      </c>
      <c r="AO148" s="31">
        <f t="shared" si="68"/>
        <v>5</v>
      </c>
      <c r="AP148">
        <f>step3_validation[[#This Row],[AI_TRU2]]</f>
        <v>9</v>
      </c>
      <c r="AQ148" t="str">
        <f t="shared" si="69"/>
        <v>Support</v>
      </c>
      <c r="AR148">
        <f>survey_responses[[#This Row],[Tôi thấy mức thuế tôi phải đóng theo phương án mới là công bằng (người thu nhập như tôi đóng mức này là hợp lý). - HUMAN-TRU2]]</f>
        <v>5</v>
      </c>
      <c r="AS148" t="str">
        <f t="shared" si="70"/>
        <v>Neutral</v>
      </c>
      <c r="AT148" s="31">
        <f t="shared" si="71"/>
        <v>4</v>
      </c>
      <c r="AU148">
        <f>step3_validation[[#This Row],[AI_TRU3]]</f>
        <v>8</v>
      </c>
      <c r="AV148" t="str">
        <f t="shared" si="72"/>
        <v>Support</v>
      </c>
      <c r="AW148">
        <f>survey_responses[[#This Row],[Tôi tin tưởng số tiền thuế tôi đóng sẽ được Nhà nước sử dụng hiệu quả để cải thiện dịch vụ công (y tế, đường xá...). - HUMAN-TRU3]]</f>
        <v>1</v>
      </c>
      <c r="AX148" t="str">
        <f t="shared" si="73"/>
        <v>Oppose</v>
      </c>
      <c r="AY148" s="31">
        <f t="shared" si="74"/>
        <v>7</v>
      </c>
      <c r="AZ148">
        <f>step3_validation[[#This Row],[AI_TRU4]]</f>
        <v>7</v>
      </c>
      <c r="BA148" t="str">
        <f t="shared" si="75"/>
        <v>Neutral</v>
      </c>
      <c r="BB148">
        <f>survey_responses[[#This Row],[Tôi thấy Nhà nước đã giải thích rõ ràng, minh bạch về lý do và mục tiêu của việc sửa đổi thuế lần này. - HUMAN-TRU4]]</f>
        <v>4</v>
      </c>
      <c r="BC148" t="str">
        <f t="shared" si="76"/>
        <v>Oppose</v>
      </c>
      <c r="BD148" s="31">
        <f t="shared" si="77"/>
        <v>3</v>
      </c>
      <c r="BE148">
        <f>step3_validation[[#This Row],[AI_OUT1]]</f>
        <v>9</v>
      </c>
      <c r="BF148" t="str">
        <f t="shared" si="78"/>
        <v>Support</v>
      </c>
      <c r="BG148">
        <f>survey_responses[[#This Row],[Sau khi xem xét các quyền lợi và nghĩa vụ, bạn có ủng hộ và tuân thủ chính sách mới hiện nay? - HUMAN-OUT1]]</f>
        <v>5</v>
      </c>
      <c r="BH148" t="str">
        <f t="shared" si="79"/>
        <v>Neutral</v>
      </c>
      <c r="BI148" s="31">
        <f t="shared" si="80"/>
        <v>4</v>
      </c>
    </row>
    <row r="149" spans="1:61" hidden="1" x14ac:dyDescent="0.45">
      <c r="A149" s="29">
        <f>step3_validation[[#This Row],[Persona_ID]]</f>
        <v>148</v>
      </c>
      <c r="B149" s="30">
        <f>step3_validation[[#This Row],[Used_Seed]]</f>
        <v>189</v>
      </c>
      <c r="C149" t="str">
        <f>step3_validation[[#This Row],[Gender]]</f>
        <v>Nam</v>
      </c>
      <c r="D149" t="str">
        <f>survey_responses[[#This Row],[Giới tính của bạn:]]</f>
        <v>Nam</v>
      </c>
      <c r="E149" t="str">
        <f>step3_validation[[#This Row],[Age_Group]]</f>
        <v>25 - 29</v>
      </c>
      <c r="F149" t="str">
        <f>survey_responses[[#This Row],[Độ tuổi của bạn:]]</f>
        <v>25 - 29</v>
      </c>
      <c r="G149" t="str">
        <f>step3_validation[[#This Row],[Region]]</f>
        <v>Thành thị</v>
      </c>
      <c r="H149" t="str">
        <f>survey_responses[[#This Row],[Khu vực bạn đang sinh sống:]]</f>
        <v>Thành thị</v>
      </c>
      <c r="I149" t="str">
        <f>step3_validation[[#This Row],[Education]]</f>
        <v>Đại học</v>
      </c>
      <c r="J149" t="str">
        <f>survey_responses[[#This Row],[Trình độ học vấn cao nhất:]]</f>
        <v>Đại học</v>
      </c>
      <c r="K149" t="str">
        <f>step3_validation[[#This Row],[Employment]]</f>
        <v>Chính thức</v>
      </c>
      <c r="L149" t="str">
        <f>survey_responses[[#This Row],[Tình trạng việc làm chính:]]</f>
        <v>Khu vực chính thức (Có Hợp đồng lao động, đóng BHXH)</v>
      </c>
      <c r="M149">
        <f>step3_validation[[#This Row],[Income_Mil]]</f>
        <v>19.575929224705416</v>
      </c>
      <c r="N149" t="str">
        <f>survey_responses[[#This Row],[Thu nhập bình quân tháng theo Hợp đồng lao động của bạn là bao nhiêu? (Vui lòng điền tổng thu nhập trước khi khấu trừ các loại Bảo hiểm (BHXH, BHYT, BHTN) và Thuế TNCN)]]</f>
        <v>Từ 18 - 23 triệu VNĐ</v>
      </c>
      <c r="O149">
        <f>step3_validation[[#This Row],[Dependents]]</f>
        <v>0</v>
      </c>
      <c r="P149" t="str">
        <f>survey_responses[[#This Row],[Số người phụ thuộc (con nhỏ, cha mẹ già...) đủ điều kiện giảm trừ gia cảnh:]]</f>
        <v>0 người</v>
      </c>
      <c r="Q149">
        <f>step3_validation[[#This Row],[AI_ENF1]]</f>
        <v>9</v>
      </c>
      <c r="R149" t="str">
        <f t="shared" si="54"/>
        <v>Support</v>
      </c>
      <c r="S149">
        <f>survey_responses[[#This Row],[Tôi tin rằng với các quy định quản lý thuế hiện nay, hành vi gian lận hoặc trốn thuế sẽ dễ dàng bị phát hiện và xử lý nghiêm. - HUMAN-ENF1]]</f>
        <v>6</v>
      </c>
      <c r="T149" t="str">
        <f t="shared" si="55"/>
        <v>Neutral</v>
      </c>
      <c r="U149" s="31">
        <f t="shared" si="56"/>
        <v>3</v>
      </c>
      <c r="V149">
        <f>step3_validation[[#This Row],[AI_ENF2]]</f>
        <v>8</v>
      </c>
      <c r="W149" t="str">
        <f t="shared" si="57"/>
        <v>Support</v>
      </c>
      <c r="X149">
        <f>survey_responses[[#This Row],[Tôi tin rằng Nhà nước, cơ quan thuế có đủ khả năng và công nghệ để phát hiện, xử lý nghiêm các hành vi trốn thuế. - HUMAN-ENF2]]</f>
        <v>6</v>
      </c>
      <c r="Y149" t="str">
        <f t="shared" si="58"/>
        <v>Neutral</v>
      </c>
      <c r="Z149" s="31">
        <f t="shared" si="59"/>
        <v>2</v>
      </c>
      <c r="AA149">
        <f>step3_validation[[#This Row],[AI_FAC1]]</f>
        <v>9</v>
      </c>
      <c r="AB149" t="str">
        <f t="shared" si="60"/>
        <v>Support</v>
      </c>
      <c r="AC149">
        <f>survey_responses[[#This Row],[Các thủ tục khai báo thuế VÀ/HOẶC quy trình làm việc với cơ quan thuế đơn giản, tiện lợi, nhanh chóng hơn so với trước đây. - HUMAN-FAC1]]</f>
        <v>5</v>
      </c>
      <c r="AD149" t="str">
        <f t="shared" si="61"/>
        <v>Neutral</v>
      </c>
      <c r="AE149" s="31">
        <f t="shared" si="62"/>
        <v>4</v>
      </c>
      <c r="AF149">
        <f>step3_validation[[#This Row],[AI_FAC2]]</f>
        <v>8</v>
      </c>
      <c r="AG149" t="str">
        <f t="shared" si="63"/>
        <v>Support</v>
      </c>
      <c r="AH149">
        <f>survey_responses[[#This Row],[So với trước đây, tôi thấy cách tính thuế và các bậc thuế trong phương án mới đơn giản, dễ hiểu và dễ thực hiện hơn. - HUMAN-FAC2]]</f>
        <v>7</v>
      </c>
      <c r="AI149" t="str">
        <f t="shared" si="64"/>
        <v>Neutral</v>
      </c>
      <c r="AJ149" s="31">
        <f t="shared" si="65"/>
        <v>1</v>
      </c>
      <c r="AK149">
        <f>step3_validation[[#This Row],[AI_TRU1]]</f>
        <v>9</v>
      </c>
      <c r="AL149" t="str">
        <f t="shared" si="66"/>
        <v>Support</v>
      </c>
      <c r="AM149">
        <f>survey_responses[[#This Row],[Tôi tin rằng Nhà nước, cơ quan thuế sẽ thực thi chính sách mới một cách khách quan, công tâm và đối xử bình đẳng với mọi người nộp thuế.  - HUMAN-TRU1]]</f>
        <v>5</v>
      </c>
      <c r="AN149" t="str">
        <f t="shared" si="67"/>
        <v>Neutral</v>
      </c>
      <c r="AO149" s="31">
        <f t="shared" si="68"/>
        <v>4</v>
      </c>
      <c r="AP149">
        <f>step3_validation[[#This Row],[AI_TRU2]]</f>
        <v>8</v>
      </c>
      <c r="AQ149" t="str">
        <f t="shared" si="69"/>
        <v>Support</v>
      </c>
      <c r="AR149">
        <f>survey_responses[[#This Row],[Tôi thấy mức thuế tôi phải đóng theo phương án mới là công bằng (người thu nhập như tôi đóng mức này là hợp lý). - HUMAN-TRU2]]</f>
        <v>7</v>
      </c>
      <c r="AS149" t="str">
        <f t="shared" si="70"/>
        <v>Neutral</v>
      </c>
      <c r="AT149" s="31">
        <f t="shared" si="71"/>
        <v>1</v>
      </c>
      <c r="AU149">
        <f>step3_validation[[#This Row],[AI_TRU3]]</f>
        <v>9</v>
      </c>
      <c r="AV149" t="str">
        <f t="shared" si="72"/>
        <v>Support</v>
      </c>
      <c r="AW149">
        <f>survey_responses[[#This Row],[Tôi tin tưởng số tiền thuế tôi đóng sẽ được Nhà nước sử dụng hiệu quả để cải thiện dịch vụ công (y tế, đường xá...). - HUMAN-TRU3]]</f>
        <v>5</v>
      </c>
      <c r="AX149" t="str">
        <f t="shared" si="73"/>
        <v>Neutral</v>
      </c>
      <c r="AY149" s="31">
        <f t="shared" si="74"/>
        <v>4</v>
      </c>
      <c r="AZ149">
        <f>step3_validation[[#This Row],[AI_TRU4]]</f>
        <v>7</v>
      </c>
      <c r="BA149" t="str">
        <f t="shared" si="75"/>
        <v>Neutral</v>
      </c>
      <c r="BB149">
        <f>survey_responses[[#This Row],[Tôi thấy Nhà nước đã giải thích rõ ràng, minh bạch về lý do và mục tiêu của việc sửa đổi thuế lần này. - HUMAN-TRU4]]</f>
        <v>6</v>
      </c>
      <c r="BC149" t="str">
        <f t="shared" si="76"/>
        <v>Neutral</v>
      </c>
      <c r="BD149" s="31">
        <f t="shared" si="77"/>
        <v>1</v>
      </c>
      <c r="BE149">
        <f>step3_validation[[#This Row],[AI_OUT1]]</f>
        <v>8</v>
      </c>
      <c r="BF149" t="str">
        <f t="shared" si="78"/>
        <v>Support</v>
      </c>
      <c r="BG149">
        <f>survey_responses[[#This Row],[Sau khi xem xét các quyền lợi và nghĩa vụ, bạn có ủng hộ và tuân thủ chính sách mới hiện nay? - HUMAN-OUT1]]</f>
        <v>7</v>
      </c>
      <c r="BH149" t="str">
        <f t="shared" si="79"/>
        <v>Neutral</v>
      </c>
      <c r="BI149" s="31">
        <f t="shared" si="80"/>
        <v>1</v>
      </c>
    </row>
    <row r="150" spans="1:61" hidden="1" x14ac:dyDescent="0.45">
      <c r="A150" s="29">
        <f>step3_validation[[#This Row],[Persona_ID]]</f>
        <v>149</v>
      </c>
      <c r="B150" s="30">
        <f>step3_validation[[#This Row],[Used_Seed]]</f>
        <v>190</v>
      </c>
      <c r="C150" t="str">
        <f>step3_validation[[#This Row],[Gender]]</f>
        <v>Nữ</v>
      </c>
      <c r="D150" t="str">
        <f>survey_responses[[#This Row],[Giới tính của bạn:]]</f>
        <v>Nữ</v>
      </c>
      <c r="E150" t="str">
        <f>step3_validation[[#This Row],[Age_Group]]</f>
        <v>40 - 49</v>
      </c>
      <c r="F150" t="str">
        <f>survey_responses[[#This Row],[Độ tuổi của bạn:]]</f>
        <v>40 - 49</v>
      </c>
      <c r="G150" t="str">
        <f>step3_validation[[#This Row],[Region]]</f>
        <v>Thành thị</v>
      </c>
      <c r="H150" t="str">
        <f>survey_responses[[#This Row],[Khu vực bạn đang sinh sống:]]</f>
        <v>Thành thị</v>
      </c>
      <c r="I150" t="str">
        <f>step3_validation[[#This Row],[Education]]</f>
        <v>Đại học</v>
      </c>
      <c r="J150" t="str">
        <f>survey_responses[[#This Row],[Trình độ học vấn cao nhất:]]</f>
        <v>Đại học</v>
      </c>
      <c r="K150" t="str">
        <f>step3_validation[[#This Row],[Employment]]</f>
        <v>Chính thức</v>
      </c>
      <c r="L150" t="str">
        <f>survey_responses[[#This Row],[Tình trạng việc làm chính:]]</f>
        <v>Khu vực chính thức (Có Hợp đồng lao động, đóng BHXH)</v>
      </c>
      <c r="M150">
        <f>step3_validation[[#This Row],[Income_Mil]]</f>
        <v>130.91660072990831</v>
      </c>
      <c r="N150" t="str">
        <f>survey_responses[[#This Row],[Thu nhập bình quân tháng theo Hợp đồng lao động của bạn là bao nhiêu? (Vui lòng điền tổng thu nhập trước khi khấu trừ các loại Bảo hiểm (BHXH, BHYT, BHTN) và Thuế TNCN)]]</f>
        <v>Trên 102 triệu VNĐ</v>
      </c>
      <c r="O150">
        <f>step3_validation[[#This Row],[Dependents]]</f>
        <v>3</v>
      </c>
      <c r="P150" t="str">
        <f>survey_responses[[#This Row],[Số người phụ thuộc (con nhỏ, cha mẹ già...) đủ điều kiện giảm trừ gia cảnh:]]</f>
        <v>3 người</v>
      </c>
      <c r="Q150">
        <f>step3_validation[[#This Row],[AI_ENF1]]</f>
        <v>6</v>
      </c>
      <c r="R150" t="str">
        <f t="shared" si="54"/>
        <v>Neutral</v>
      </c>
      <c r="S150">
        <f>survey_responses[[#This Row],[Tôi tin rằng với các quy định quản lý thuế hiện nay, hành vi gian lận hoặc trốn thuế sẽ dễ dàng bị phát hiện và xử lý nghiêm. - HUMAN-ENF1]]</f>
        <v>10</v>
      </c>
      <c r="T150" t="str">
        <f t="shared" si="55"/>
        <v>Support</v>
      </c>
      <c r="U150" s="31">
        <f t="shared" si="56"/>
        <v>4</v>
      </c>
      <c r="V150">
        <f>step3_validation[[#This Row],[AI_ENF2]]</f>
        <v>7</v>
      </c>
      <c r="W150" t="str">
        <f t="shared" si="57"/>
        <v>Neutral</v>
      </c>
      <c r="X150">
        <f>survey_responses[[#This Row],[Tôi tin rằng Nhà nước, cơ quan thuế có đủ khả năng và công nghệ để phát hiện, xử lý nghiêm các hành vi trốn thuế. - HUMAN-ENF2]]</f>
        <v>10</v>
      </c>
      <c r="Y150" t="str">
        <f t="shared" si="58"/>
        <v>Support</v>
      </c>
      <c r="Z150" s="31">
        <f t="shared" si="59"/>
        <v>3</v>
      </c>
      <c r="AA150">
        <f>step3_validation[[#This Row],[AI_FAC1]]</f>
        <v>9</v>
      </c>
      <c r="AB150" t="str">
        <f t="shared" si="60"/>
        <v>Support</v>
      </c>
      <c r="AC150">
        <f>survey_responses[[#This Row],[Các thủ tục khai báo thuế VÀ/HOẶC quy trình làm việc với cơ quan thuế đơn giản, tiện lợi, nhanh chóng hơn so với trước đây. - HUMAN-FAC1]]</f>
        <v>7</v>
      </c>
      <c r="AD150" t="str">
        <f t="shared" si="61"/>
        <v>Neutral</v>
      </c>
      <c r="AE150" s="31">
        <f t="shared" si="62"/>
        <v>2</v>
      </c>
      <c r="AF150">
        <f>step3_validation[[#This Row],[AI_FAC2]]</f>
        <v>9</v>
      </c>
      <c r="AG150" t="str">
        <f t="shared" si="63"/>
        <v>Support</v>
      </c>
      <c r="AH150">
        <f>survey_responses[[#This Row],[So với trước đây, tôi thấy cách tính thuế và các bậc thuế trong phương án mới đơn giản, dễ hiểu và dễ thực hiện hơn. - HUMAN-FAC2]]</f>
        <v>8</v>
      </c>
      <c r="AI150" t="str">
        <f t="shared" si="64"/>
        <v>Support</v>
      </c>
      <c r="AJ150" s="31">
        <f t="shared" si="65"/>
        <v>1</v>
      </c>
      <c r="AK150">
        <f>step3_validation[[#This Row],[AI_TRU1]]</f>
        <v>8</v>
      </c>
      <c r="AL150" t="str">
        <f t="shared" si="66"/>
        <v>Support</v>
      </c>
      <c r="AM150">
        <f>survey_responses[[#This Row],[Tôi tin rằng Nhà nước, cơ quan thuế sẽ thực thi chính sách mới một cách khách quan, công tâm và đối xử bình đẳng với mọi người nộp thuế.  - HUMAN-TRU1]]</f>
        <v>8</v>
      </c>
      <c r="AN150" t="str">
        <f t="shared" si="67"/>
        <v>Support</v>
      </c>
      <c r="AO150" s="31">
        <f t="shared" si="68"/>
        <v>0</v>
      </c>
      <c r="AP150">
        <f>step3_validation[[#This Row],[AI_TRU2]]</f>
        <v>9</v>
      </c>
      <c r="AQ150" t="str">
        <f t="shared" si="69"/>
        <v>Support</v>
      </c>
      <c r="AR150">
        <f>survey_responses[[#This Row],[Tôi thấy mức thuế tôi phải đóng theo phương án mới là công bằng (người thu nhập như tôi đóng mức này là hợp lý). - HUMAN-TRU2]]</f>
        <v>4</v>
      </c>
      <c r="AS150" t="str">
        <f t="shared" si="70"/>
        <v>Oppose</v>
      </c>
      <c r="AT150" s="31">
        <f t="shared" si="71"/>
        <v>5</v>
      </c>
      <c r="AU150">
        <f>step3_validation[[#This Row],[AI_TRU3]]</f>
        <v>8</v>
      </c>
      <c r="AV150" t="str">
        <f t="shared" si="72"/>
        <v>Support</v>
      </c>
      <c r="AW150">
        <f>survey_responses[[#This Row],[Tôi tin tưởng số tiền thuế tôi đóng sẽ được Nhà nước sử dụng hiệu quả để cải thiện dịch vụ công (y tế, đường xá...). - HUMAN-TRU3]]</f>
        <v>1</v>
      </c>
      <c r="AX150" t="str">
        <f t="shared" si="73"/>
        <v>Oppose</v>
      </c>
      <c r="AY150" s="31">
        <f t="shared" si="74"/>
        <v>7</v>
      </c>
      <c r="AZ150">
        <f>step3_validation[[#This Row],[AI_TRU4]]</f>
        <v>7</v>
      </c>
      <c r="BA150" t="str">
        <f t="shared" si="75"/>
        <v>Neutral</v>
      </c>
      <c r="BB150">
        <f>survey_responses[[#This Row],[Tôi thấy Nhà nước đã giải thích rõ ràng, minh bạch về lý do và mục tiêu của việc sửa đổi thuế lần này. - HUMAN-TRU4]]</f>
        <v>3</v>
      </c>
      <c r="BC150" t="str">
        <f t="shared" si="76"/>
        <v>Oppose</v>
      </c>
      <c r="BD150" s="31">
        <f t="shared" si="77"/>
        <v>4</v>
      </c>
      <c r="BE150">
        <f>step3_validation[[#This Row],[AI_OUT1]]</f>
        <v>9</v>
      </c>
      <c r="BF150" t="str">
        <f t="shared" si="78"/>
        <v>Support</v>
      </c>
      <c r="BG150">
        <f>survey_responses[[#This Row],[Sau khi xem xét các quyền lợi và nghĩa vụ, bạn có ủng hộ và tuân thủ chính sách mới hiện nay? - HUMAN-OUT1]]</f>
        <v>6</v>
      </c>
      <c r="BH150" t="str">
        <f t="shared" si="79"/>
        <v>Neutral</v>
      </c>
      <c r="BI150" s="31">
        <f t="shared" si="80"/>
        <v>3</v>
      </c>
    </row>
    <row r="151" spans="1:61" hidden="1" x14ac:dyDescent="0.45">
      <c r="A151" s="29">
        <f>step3_validation[[#This Row],[Persona_ID]]</f>
        <v>150</v>
      </c>
      <c r="B151" s="30">
        <f>step3_validation[[#This Row],[Used_Seed]]</f>
        <v>191</v>
      </c>
      <c r="C151" t="str">
        <f>step3_validation[[#This Row],[Gender]]</f>
        <v>Nữ</v>
      </c>
      <c r="D151" t="str">
        <f>survey_responses[[#This Row],[Giới tính của bạn:]]</f>
        <v>Nữ</v>
      </c>
      <c r="E151" t="str">
        <f>step3_validation[[#This Row],[Age_Group]]</f>
        <v>40 - 49</v>
      </c>
      <c r="F151" t="str">
        <f>survey_responses[[#This Row],[Độ tuổi của bạn:]]</f>
        <v>40 - 49</v>
      </c>
      <c r="G151" t="str">
        <f>step3_validation[[#This Row],[Region]]</f>
        <v>Thành thị</v>
      </c>
      <c r="H151" t="str">
        <f>survey_responses[[#This Row],[Khu vực bạn đang sinh sống:]]</f>
        <v>Thành thị</v>
      </c>
      <c r="I151" t="str">
        <f>step3_validation[[#This Row],[Education]]</f>
        <v>Đại học</v>
      </c>
      <c r="J151" t="str">
        <f>survey_responses[[#This Row],[Trình độ học vấn cao nhất:]]</f>
        <v>Đại học</v>
      </c>
      <c r="K151" t="str">
        <f>step3_validation[[#This Row],[Employment]]</f>
        <v>Chính thức</v>
      </c>
      <c r="L151" t="str">
        <f>survey_responses[[#This Row],[Tình trạng việc làm chính:]]</f>
        <v>Khu vực chính thức (Có Hợp đồng lao động, đóng BHXH)</v>
      </c>
      <c r="M151">
        <f>step3_validation[[#This Row],[Income_Mil]]</f>
        <v>64.91024447298237</v>
      </c>
      <c r="N151" t="str">
        <f>survey_responses[[#This Row],[Thu nhập bình quân tháng theo Hợp đồng lao động của bạn là bao nhiêu? (Vui lòng điền tổng thu nhập trước khi khấu trừ các loại Bảo hiểm (BHXH, BHYT, BHTN) và Thuế TNCN)]]</f>
        <v>Từ 48 - 70 triệu VNĐ</v>
      </c>
      <c r="O151">
        <f>step3_validation[[#This Row],[Dependents]]</f>
        <v>2</v>
      </c>
      <c r="P151" t="str">
        <f>survey_responses[[#This Row],[Số người phụ thuộc (con nhỏ, cha mẹ già...) đủ điều kiện giảm trừ gia cảnh:]]</f>
        <v>2 người</v>
      </c>
      <c r="Q151">
        <f>step3_validation[[#This Row],[AI_ENF1]]</f>
        <v>7</v>
      </c>
      <c r="R151" t="str">
        <f t="shared" si="54"/>
        <v>Neutral</v>
      </c>
      <c r="S151">
        <f>survey_responses[[#This Row],[Tôi tin rằng với các quy định quản lý thuế hiện nay, hành vi gian lận hoặc trốn thuế sẽ dễ dàng bị phát hiện và xử lý nghiêm. - HUMAN-ENF1]]</f>
        <v>7</v>
      </c>
      <c r="T151" t="str">
        <f t="shared" si="55"/>
        <v>Neutral</v>
      </c>
      <c r="U151" s="31">
        <f t="shared" si="56"/>
        <v>0</v>
      </c>
      <c r="V151">
        <f>step3_validation[[#This Row],[AI_ENF2]]</f>
        <v>8</v>
      </c>
      <c r="W151" t="str">
        <f t="shared" si="57"/>
        <v>Support</v>
      </c>
      <c r="X151">
        <f>survey_responses[[#This Row],[Tôi tin rằng Nhà nước, cơ quan thuế có đủ khả năng và công nghệ để phát hiện, xử lý nghiêm các hành vi trốn thuế. - HUMAN-ENF2]]</f>
        <v>10</v>
      </c>
      <c r="Y151" t="str">
        <f t="shared" si="58"/>
        <v>Support</v>
      </c>
      <c r="Z151" s="31">
        <f t="shared" si="59"/>
        <v>2</v>
      </c>
      <c r="AA151">
        <f>step3_validation[[#This Row],[AI_FAC1]]</f>
        <v>7</v>
      </c>
      <c r="AB151" t="str">
        <f t="shared" si="60"/>
        <v>Neutral</v>
      </c>
      <c r="AC151">
        <f>survey_responses[[#This Row],[Các thủ tục khai báo thuế VÀ/HOẶC quy trình làm việc với cơ quan thuế đơn giản, tiện lợi, nhanh chóng hơn so với trước đây. - HUMAN-FAC1]]</f>
        <v>5</v>
      </c>
      <c r="AD151" t="str">
        <f t="shared" si="61"/>
        <v>Neutral</v>
      </c>
      <c r="AE151" s="31">
        <f t="shared" si="62"/>
        <v>2</v>
      </c>
      <c r="AF151">
        <f>step3_validation[[#This Row],[AI_FAC2]]</f>
        <v>9</v>
      </c>
      <c r="AG151" t="str">
        <f t="shared" si="63"/>
        <v>Support</v>
      </c>
      <c r="AH151">
        <f>survey_responses[[#This Row],[So với trước đây, tôi thấy cách tính thuế và các bậc thuế trong phương án mới đơn giản, dễ hiểu và dễ thực hiện hơn. - HUMAN-FAC2]]</f>
        <v>7</v>
      </c>
      <c r="AI151" t="str">
        <f t="shared" si="64"/>
        <v>Neutral</v>
      </c>
      <c r="AJ151" s="31">
        <f t="shared" si="65"/>
        <v>2</v>
      </c>
      <c r="AK151">
        <f>step3_validation[[#This Row],[AI_TRU1]]</f>
        <v>8</v>
      </c>
      <c r="AL151" t="str">
        <f t="shared" si="66"/>
        <v>Support</v>
      </c>
      <c r="AM151">
        <f>survey_responses[[#This Row],[Tôi tin rằng Nhà nước, cơ quan thuế sẽ thực thi chính sách mới một cách khách quan, công tâm và đối xử bình đẳng với mọi người nộp thuế.  - HUMAN-TRU1]]</f>
        <v>7</v>
      </c>
      <c r="AN151" t="str">
        <f t="shared" si="67"/>
        <v>Neutral</v>
      </c>
      <c r="AO151" s="31">
        <f t="shared" si="68"/>
        <v>1</v>
      </c>
      <c r="AP151">
        <f>step3_validation[[#This Row],[AI_TRU2]]</f>
        <v>9</v>
      </c>
      <c r="AQ151" t="str">
        <f t="shared" si="69"/>
        <v>Support</v>
      </c>
      <c r="AR151">
        <f>survey_responses[[#This Row],[Tôi thấy mức thuế tôi phải đóng theo phương án mới là công bằng (người thu nhập như tôi đóng mức này là hợp lý). - HUMAN-TRU2]]</f>
        <v>7</v>
      </c>
      <c r="AS151" t="str">
        <f t="shared" si="70"/>
        <v>Neutral</v>
      </c>
      <c r="AT151" s="31">
        <f t="shared" si="71"/>
        <v>2</v>
      </c>
      <c r="AU151">
        <f>step3_validation[[#This Row],[AI_TRU3]]</f>
        <v>8</v>
      </c>
      <c r="AV151" t="str">
        <f t="shared" si="72"/>
        <v>Support</v>
      </c>
      <c r="AW151">
        <f>survey_responses[[#This Row],[Tôi tin tưởng số tiền thuế tôi đóng sẽ được Nhà nước sử dụng hiệu quả để cải thiện dịch vụ công (y tế, đường xá...). - HUMAN-TRU3]]</f>
        <v>7</v>
      </c>
      <c r="AX151" t="str">
        <f t="shared" si="73"/>
        <v>Neutral</v>
      </c>
      <c r="AY151" s="31">
        <f t="shared" si="74"/>
        <v>1</v>
      </c>
      <c r="AZ151">
        <f>step3_validation[[#This Row],[AI_TRU4]]</f>
        <v>7</v>
      </c>
      <c r="BA151" t="str">
        <f t="shared" si="75"/>
        <v>Neutral</v>
      </c>
      <c r="BB151">
        <f>survey_responses[[#This Row],[Tôi thấy Nhà nước đã giải thích rõ ràng, minh bạch về lý do và mục tiêu của việc sửa đổi thuế lần này. - HUMAN-TRU4]]</f>
        <v>7</v>
      </c>
      <c r="BC151" t="str">
        <f t="shared" si="76"/>
        <v>Neutral</v>
      </c>
      <c r="BD151" s="31">
        <f t="shared" si="77"/>
        <v>0</v>
      </c>
      <c r="BE151">
        <f>step3_validation[[#This Row],[AI_OUT1]]</f>
        <v>9</v>
      </c>
      <c r="BF151" t="str">
        <f t="shared" si="78"/>
        <v>Support</v>
      </c>
      <c r="BG151">
        <f>survey_responses[[#This Row],[Sau khi xem xét các quyền lợi và nghĩa vụ, bạn có ủng hộ và tuân thủ chính sách mới hiện nay? - HUMAN-OUT1]]</f>
        <v>10</v>
      </c>
      <c r="BH151" t="str">
        <f t="shared" si="79"/>
        <v>Support</v>
      </c>
      <c r="BI151" s="31">
        <f t="shared" si="80"/>
        <v>1</v>
      </c>
    </row>
    <row r="152" spans="1:61" hidden="1" x14ac:dyDescent="0.45">
      <c r="A152" s="29">
        <f>step3_validation[[#This Row],[Persona_ID]]</f>
        <v>151</v>
      </c>
      <c r="B152" s="30">
        <f>step3_validation[[#This Row],[Used_Seed]]</f>
        <v>192</v>
      </c>
      <c r="C152" t="str">
        <f>step3_validation[[#This Row],[Gender]]</f>
        <v>Nữ</v>
      </c>
      <c r="D152" t="str">
        <f>survey_responses[[#This Row],[Giới tính của bạn:]]</f>
        <v>Nữ</v>
      </c>
      <c r="E152" t="str">
        <f>step3_validation[[#This Row],[Age_Group]]</f>
        <v>30 - 39</v>
      </c>
      <c r="F152" t="str">
        <f>survey_responses[[#This Row],[Độ tuổi của bạn:]]</f>
        <v>30 - 39</v>
      </c>
      <c r="G152" t="str">
        <f>step3_validation[[#This Row],[Region]]</f>
        <v>Thành thị</v>
      </c>
      <c r="H152" t="str">
        <f>survey_responses[[#This Row],[Khu vực bạn đang sinh sống:]]</f>
        <v>Thành thị</v>
      </c>
      <c r="I152" t="str">
        <f>step3_validation[[#This Row],[Education]]</f>
        <v>Đại học</v>
      </c>
      <c r="J152" t="str">
        <f>survey_responses[[#This Row],[Trình độ học vấn cao nhất:]]</f>
        <v>Đại học</v>
      </c>
      <c r="K152" t="str">
        <f>step3_validation[[#This Row],[Employment]]</f>
        <v>Chính thức</v>
      </c>
      <c r="L152" t="str">
        <f>survey_responses[[#This Row],[Tình trạng việc làm chính:]]</f>
        <v>Khu vực chính thức (Có Hợp đồng lao động, đóng BHXH)</v>
      </c>
      <c r="M152">
        <f>step3_validation[[#This Row],[Income_Mil]]</f>
        <v>99.654731348476687</v>
      </c>
      <c r="N152" t="str">
        <f>survey_responses[[#This Row],[Thu nhập bình quân tháng theo Hợp đồng lao động của bạn là bao nhiêu? (Vui lòng điền tổng thu nhập trước khi khấu trừ các loại Bảo hiểm (BHXH, BHYT, BHTN) và Thuế TNCN)]]</f>
        <v>Từ 70 - 102 triệu VNĐ</v>
      </c>
      <c r="O152">
        <f>step3_validation[[#This Row],[Dependents]]</f>
        <v>2</v>
      </c>
      <c r="P152" t="str">
        <f>survey_responses[[#This Row],[Số người phụ thuộc (con nhỏ, cha mẹ già...) đủ điều kiện giảm trừ gia cảnh:]]</f>
        <v>2 người</v>
      </c>
      <c r="Q152">
        <f>step3_validation[[#This Row],[AI_ENF1]]</f>
        <v>8</v>
      </c>
      <c r="R152" t="str">
        <f t="shared" si="54"/>
        <v>Support</v>
      </c>
      <c r="S152">
        <f>survey_responses[[#This Row],[Tôi tin rằng với các quy định quản lý thuế hiện nay, hành vi gian lận hoặc trốn thuế sẽ dễ dàng bị phát hiện và xử lý nghiêm. - HUMAN-ENF1]]</f>
        <v>8</v>
      </c>
      <c r="T152" t="str">
        <f t="shared" si="55"/>
        <v>Support</v>
      </c>
      <c r="U152" s="31">
        <f t="shared" si="56"/>
        <v>0</v>
      </c>
      <c r="V152">
        <f>step3_validation[[#This Row],[AI_ENF2]]</f>
        <v>7</v>
      </c>
      <c r="W152" t="str">
        <f t="shared" si="57"/>
        <v>Neutral</v>
      </c>
      <c r="X152">
        <f>survey_responses[[#This Row],[Tôi tin rằng Nhà nước, cơ quan thuế có đủ khả năng và công nghệ để phát hiện, xử lý nghiêm các hành vi trốn thuế. - HUMAN-ENF2]]</f>
        <v>8</v>
      </c>
      <c r="Y152" t="str">
        <f t="shared" si="58"/>
        <v>Support</v>
      </c>
      <c r="Z152" s="31">
        <f t="shared" si="59"/>
        <v>1</v>
      </c>
      <c r="AA152">
        <f>step3_validation[[#This Row],[AI_FAC1]]</f>
        <v>9</v>
      </c>
      <c r="AB152" t="str">
        <f t="shared" si="60"/>
        <v>Support</v>
      </c>
      <c r="AC152">
        <f>survey_responses[[#This Row],[Các thủ tục khai báo thuế VÀ/HOẶC quy trình làm việc với cơ quan thuế đơn giản, tiện lợi, nhanh chóng hơn so với trước đây. - HUMAN-FAC1]]</f>
        <v>8</v>
      </c>
      <c r="AD152" t="str">
        <f t="shared" si="61"/>
        <v>Support</v>
      </c>
      <c r="AE152" s="31">
        <f t="shared" si="62"/>
        <v>1</v>
      </c>
      <c r="AF152">
        <f>step3_validation[[#This Row],[AI_FAC2]]</f>
        <v>8</v>
      </c>
      <c r="AG152" t="str">
        <f t="shared" si="63"/>
        <v>Support</v>
      </c>
      <c r="AH152">
        <f>survey_responses[[#This Row],[So với trước đây, tôi thấy cách tính thuế và các bậc thuế trong phương án mới đơn giản, dễ hiểu và dễ thực hiện hơn. - HUMAN-FAC2]]</f>
        <v>8</v>
      </c>
      <c r="AI152" t="str">
        <f t="shared" si="64"/>
        <v>Support</v>
      </c>
      <c r="AJ152" s="31">
        <f t="shared" si="65"/>
        <v>0</v>
      </c>
      <c r="AK152">
        <f>step3_validation[[#This Row],[AI_TRU1]]</f>
        <v>6</v>
      </c>
      <c r="AL152" t="str">
        <f t="shared" si="66"/>
        <v>Neutral</v>
      </c>
      <c r="AM152">
        <f>survey_responses[[#This Row],[Tôi tin rằng Nhà nước, cơ quan thuế sẽ thực thi chính sách mới một cách khách quan, công tâm và đối xử bình đẳng với mọi người nộp thuế.  - HUMAN-TRU1]]</f>
        <v>8</v>
      </c>
      <c r="AN152" t="str">
        <f t="shared" si="67"/>
        <v>Support</v>
      </c>
      <c r="AO152" s="31">
        <f t="shared" si="68"/>
        <v>2</v>
      </c>
      <c r="AP152">
        <f>step3_validation[[#This Row],[AI_TRU2]]</f>
        <v>8</v>
      </c>
      <c r="AQ152" t="str">
        <f t="shared" si="69"/>
        <v>Support</v>
      </c>
      <c r="AR152">
        <f>survey_responses[[#This Row],[Tôi thấy mức thuế tôi phải đóng theo phương án mới là công bằng (người thu nhập như tôi đóng mức này là hợp lý). - HUMAN-TRU2]]</f>
        <v>8</v>
      </c>
      <c r="AS152" t="str">
        <f t="shared" si="70"/>
        <v>Support</v>
      </c>
      <c r="AT152" s="31">
        <f t="shared" si="71"/>
        <v>0</v>
      </c>
      <c r="AU152">
        <f>step3_validation[[#This Row],[AI_TRU3]]</f>
        <v>7</v>
      </c>
      <c r="AV152" t="str">
        <f t="shared" si="72"/>
        <v>Neutral</v>
      </c>
      <c r="AW152">
        <f>survey_responses[[#This Row],[Tôi tin tưởng số tiền thuế tôi đóng sẽ được Nhà nước sử dụng hiệu quả để cải thiện dịch vụ công (y tế, đường xá...). - HUMAN-TRU3]]</f>
        <v>8</v>
      </c>
      <c r="AX152" t="str">
        <f t="shared" si="73"/>
        <v>Support</v>
      </c>
      <c r="AY152" s="31">
        <f t="shared" si="74"/>
        <v>1</v>
      </c>
      <c r="AZ152">
        <f>step3_validation[[#This Row],[AI_TRU4]]</f>
        <v>8</v>
      </c>
      <c r="BA152" t="str">
        <f t="shared" si="75"/>
        <v>Support</v>
      </c>
      <c r="BB152">
        <f>survey_responses[[#This Row],[Tôi thấy Nhà nước đã giải thích rõ ràng, minh bạch về lý do và mục tiêu của việc sửa đổi thuế lần này. - HUMAN-TRU4]]</f>
        <v>8</v>
      </c>
      <c r="BC152" t="str">
        <f t="shared" si="76"/>
        <v>Support</v>
      </c>
      <c r="BD152" s="31">
        <f t="shared" si="77"/>
        <v>0</v>
      </c>
      <c r="BE152">
        <f>step3_validation[[#This Row],[AI_OUT1]]</f>
        <v>9</v>
      </c>
      <c r="BF152" t="str">
        <f t="shared" si="78"/>
        <v>Support</v>
      </c>
      <c r="BG152">
        <f>survey_responses[[#This Row],[Sau khi xem xét các quyền lợi và nghĩa vụ, bạn có ủng hộ và tuân thủ chính sách mới hiện nay? - HUMAN-OUT1]]</f>
        <v>8</v>
      </c>
      <c r="BH152" t="str">
        <f t="shared" si="79"/>
        <v>Support</v>
      </c>
      <c r="BI152" s="31">
        <f t="shared" si="80"/>
        <v>1</v>
      </c>
    </row>
    <row r="153" spans="1:61" hidden="1" x14ac:dyDescent="0.45">
      <c r="A153" s="29">
        <f>step3_validation[[#This Row],[Persona_ID]]</f>
        <v>152</v>
      </c>
      <c r="B153" s="30">
        <f>step3_validation[[#This Row],[Used_Seed]]</f>
        <v>193</v>
      </c>
      <c r="C153" t="str">
        <f>step3_validation[[#This Row],[Gender]]</f>
        <v>Nữ</v>
      </c>
      <c r="D153" t="str">
        <f>survey_responses[[#This Row],[Giới tính của bạn:]]</f>
        <v>Nữ</v>
      </c>
      <c r="E153" t="str">
        <f>step3_validation[[#This Row],[Age_Group]]</f>
        <v>40 - 49</v>
      </c>
      <c r="F153" t="str">
        <f>survey_responses[[#This Row],[Độ tuổi của bạn:]]</f>
        <v>40 - 49</v>
      </c>
      <c r="G153" t="str">
        <f>step3_validation[[#This Row],[Region]]</f>
        <v>Thành thị</v>
      </c>
      <c r="H153" t="str">
        <f>survey_responses[[#This Row],[Khu vực bạn đang sinh sống:]]</f>
        <v>Thành thị</v>
      </c>
      <c r="I153" t="str">
        <f>step3_validation[[#This Row],[Education]]</f>
        <v>Sau Đại học</v>
      </c>
      <c r="J153" t="str">
        <f>survey_responses[[#This Row],[Trình độ học vấn cao nhất:]]</f>
        <v>Sau Đại học</v>
      </c>
      <c r="K153" t="str">
        <f>step3_validation[[#This Row],[Employment]]</f>
        <v>Chính thức</v>
      </c>
      <c r="L153" t="str">
        <f>survey_responses[[#This Row],[Tình trạng việc làm chính:]]</f>
        <v>Khu vực chính thức (Có Hợp đồng lao động, đóng BHXH)</v>
      </c>
      <c r="M153">
        <f>step3_validation[[#This Row],[Income_Mil]]</f>
        <v>75.496027824512325</v>
      </c>
      <c r="N153" t="str">
        <f>survey_responses[[#This Row],[Thu nhập bình quân tháng theo Hợp đồng lao động của bạn là bao nhiêu? (Vui lòng điền tổng thu nhập trước khi khấu trừ các loại Bảo hiểm (BHXH, BHYT, BHTN) và Thuế TNCN)]]</f>
        <v>Từ 70 - 102 triệu VNĐ</v>
      </c>
      <c r="O153">
        <f>step3_validation[[#This Row],[Dependents]]</f>
        <v>2</v>
      </c>
      <c r="P153" t="str">
        <f>survey_responses[[#This Row],[Số người phụ thuộc (con nhỏ, cha mẹ già...) đủ điều kiện giảm trừ gia cảnh:]]</f>
        <v>2 người</v>
      </c>
      <c r="Q153">
        <f>step3_validation[[#This Row],[AI_ENF1]]</f>
        <v>9</v>
      </c>
      <c r="R153" t="str">
        <f t="shared" si="54"/>
        <v>Support</v>
      </c>
      <c r="S153">
        <f>survey_responses[[#This Row],[Tôi tin rằng với các quy định quản lý thuế hiện nay, hành vi gian lận hoặc trốn thuế sẽ dễ dàng bị phát hiện và xử lý nghiêm. - HUMAN-ENF1]]</f>
        <v>10</v>
      </c>
      <c r="T153" t="str">
        <f t="shared" si="55"/>
        <v>Support</v>
      </c>
      <c r="U153" s="31">
        <f t="shared" si="56"/>
        <v>1</v>
      </c>
      <c r="V153">
        <f>step3_validation[[#This Row],[AI_ENF2]]</f>
        <v>8</v>
      </c>
      <c r="W153" t="str">
        <f t="shared" si="57"/>
        <v>Support</v>
      </c>
      <c r="X153">
        <f>survey_responses[[#This Row],[Tôi tin rằng Nhà nước, cơ quan thuế có đủ khả năng và công nghệ để phát hiện, xử lý nghiêm các hành vi trốn thuế. - HUMAN-ENF2]]</f>
        <v>10</v>
      </c>
      <c r="Y153" t="str">
        <f t="shared" si="58"/>
        <v>Support</v>
      </c>
      <c r="Z153" s="31">
        <f t="shared" si="59"/>
        <v>2</v>
      </c>
      <c r="AA153">
        <f>step3_validation[[#This Row],[AI_FAC1]]</f>
        <v>9</v>
      </c>
      <c r="AB153" t="str">
        <f t="shared" si="60"/>
        <v>Support</v>
      </c>
      <c r="AC153">
        <f>survey_responses[[#This Row],[Các thủ tục khai báo thuế VÀ/HOẶC quy trình làm việc với cơ quan thuế đơn giản, tiện lợi, nhanh chóng hơn so với trước đây. - HUMAN-FAC1]]</f>
        <v>10</v>
      </c>
      <c r="AD153" t="str">
        <f t="shared" si="61"/>
        <v>Support</v>
      </c>
      <c r="AE153" s="31">
        <f t="shared" si="62"/>
        <v>1</v>
      </c>
      <c r="AF153">
        <f>step3_validation[[#This Row],[AI_FAC2]]</f>
        <v>8</v>
      </c>
      <c r="AG153" t="str">
        <f t="shared" si="63"/>
        <v>Support</v>
      </c>
      <c r="AH153">
        <f>survey_responses[[#This Row],[So với trước đây, tôi thấy cách tính thuế và các bậc thuế trong phương án mới đơn giản, dễ hiểu và dễ thực hiện hơn. - HUMAN-FAC2]]</f>
        <v>10</v>
      </c>
      <c r="AI153" t="str">
        <f t="shared" si="64"/>
        <v>Support</v>
      </c>
      <c r="AJ153" s="31">
        <f t="shared" si="65"/>
        <v>2</v>
      </c>
      <c r="AK153">
        <f>step3_validation[[#This Row],[AI_TRU1]]</f>
        <v>9</v>
      </c>
      <c r="AL153" t="str">
        <f t="shared" si="66"/>
        <v>Support</v>
      </c>
      <c r="AM153">
        <f>survey_responses[[#This Row],[Tôi tin rằng Nhà nước, cơ quan thuế sẽ thực thi chính sách mới một cách khách quan, công tâm và đối xử bình đẳng với mọi người nộp thuế.  - HUMAN-TRU1]]</f>
        <v>10</v>
      </c>
      <c r="AN153" t="str">
        <f t="shared" si="67"/>
        <v>Support</v>
      </c>
      <c r="AO153" s="31">
        <f t="shared" si="68"/>
        <v>1</v>
      </c>
      <c r="AP153">
        <f>step3_validation[[#This Row],[AI_TRU2]]</f>
        <v>8</v>
      </c>
      <c r="AQ153" t="str">
        <f t="shared" si="69"/>
        <v>Support</v>
      </c>
      <c r="AR153">
        <f>survey_responses[[#This Row],[Tôi thấy mức thuế tôi phải đóng theo phương án mới là công bằng (người thu nhập như tôi đóng mức này là hợp lý). - HUMAN-TRU2]]</f>
        <v>10</v>
      </c>
      <c r="AS153" t="str">
        <f t="shared" si="70"/>
        <v>Support</v>
      </c>
      <c r="AT153" s="31">
        <f t="shared" si="71"/>
        <v>2</v>
      </c>
      <c r="AU153">
        <f>step3_validation[[#This Row],[AI_TRU3]]</f>
        <v>9</v>
      </c>
      <c r="AV153" t="str">
        <f t="shared" si="72"/>
        <v>Support</v>
      </c>
      <c r="AW153">
        <f>survey_responses[[#This Row],[Tôi tin tưởng số tiền thuế tôi đóng sẽ được Nhà nước sử dụng hiệu quả để cải thiện dịch vụ công (y tế, đường xá...). - HUMAN-TRU3]]</f>
        <v>10</v>
      </c>
      <c r="AX153" t="str">
        <f t="shared" si="73"/>
        <v>Support</v>
      </c>
      <c r="AY153" s="31">
        <f t="shared" si="74"/>
        <v>1</v>
      </c>
      <c r="AZ153">
        <f>step3_validation[[#This Row],[AI_TRU4]]</f>
        <v>8</v>
      </c>
      <c r="BA153" t="str">
        <f t="shared" si="75"/>
        <v>Support</v>
      </c>
      <c r="BB153">
        <f>survey_responses[[#This Row],[Tôi thấy Nhà nước đã giải thích rõ ràng, minh bạch về lý do và mục tiêu của việc sửa đổi thuế lần này. - HUMAN-TRU4]]</f>
        <v>10</v>
      </c>
      <c r="BC153" t="str">
        <f t="shared" si="76"/>
        <v>Support</v>
      </c>
      <c r="BD153" s="31">
        <f t="shared" si="77"/>
        <v>2</v>
      </c>
      <c r="BE153">
        <f>step3_validation[[#This Row],[AI_OUT1]]</f>
        <v>9</v>
      </c>
      <c r="BF153" t="str">
        <f t="shared" si="78"/>
        <v>Support</v>
      </c>
      <c r="BG153">
        <f>survey_responses[[#This Row],[Sau khi xem xét các quyền lợi và nghĩa vụ, bạn có ủng hộ và tuân thủ chính sách mới hiện nay? - HUMAN-OUT1]]</f>
        <v>10</v>
      </c>
      <c r="BH153" t="str">
        <f t="shared" si="79"/>
        <v>Support</v>
      </c>
      <c r="BI153" s="31">
        <f t="shared" si="80"/>
        <v>1</v>
      </c>
    </row>
    <row r="154" spans="1:61" x14ac:dyDescent="0.45">
      <c r="A154" s="29">
        <f>step3_validation[[#This Row],[Persona_ID]]</f>
        <v>153</v>
      </c>
      <c r="B154" s="30">
        <f>step3_validation[[#This Row],[Used_Seed]]</f>
        <v>194</v>
      </c>
      <c r="C154" t="str">
        <f>step3_validation[[#This Row],[Gender]]</f>
        <v>Nam</v>
      </c>
      <c r="D154" t="str">
        <f>survey_responses[[#This Row],[Giới tính của bạn:]]</f>
        <v>Nam</v>
      </c>
      <c r="E154" t="str">
        <f>step3_validation[[#This Row],[Age_Group]]</f>
        <v>30 - 39</v>
      </c>
      <c r="F154" t="str">
        <f>survey_responses[[#This Row],[Độ tuổi của bạn:]]</f>
        <v>30 - 39</v>
      </c>
      <c r="G154" t="str">
        <f>step3_validation[[#This Row],[Region]]</f>
        <v>Thành thị</v>
      </c>
      <c r="H154" t="str">
        <f>survey_responses[[#This Row],[Khu vực bạn đang sinh sống:]]</f>
        <v>Thành thị</v>
      </c>
      <c r="I154" t="str">
        <f>step3_validation[[#This Row],[Education]]</f>
        <v>Đại học</v>
      </c>
      <c r="J154" t="str">
        <f>survey_responses[[#This Row],[Trình độ học vấn cao nhất:]]</f>
        <v>Đại học</v>
      </c>
      <c r="K154" t="str">
        <f>step3_validation[[#This Row],[Employment]]</f>
        <v>Chính thức</v>
      </c>
      <c r="L154" t="str">
        <f>survey_responses[[#This Row],[Tình trạng việc làm chính:]]</f>
        <v>Khu vực chính thức (Có Hợp đồng lao động, đóng BHXH)</v>
      </c>
      <c r="M154">
        <f>step3_validation[[#This Row],[Income_Mil]]</f>
        <v>12</v>
      </c>
      <c r="N154" t="str">
        <f>survey_responses[[#This Row],[Thu nhập bình quân tháng theo Hợp đồng lao động của bạn là bao nhiêu? (Vui lòng điền tổng thu nhập trước khi khấu trừ các loại Bảo hiểm (BHXH, BHYT, BHTN) và Thuế TNCN)]]</f>
        <v>Dưới 12 triệu VNĐ</v>
      </c>
      <c r="O154">
        <f>step3_validation[[#This Row],[Dependents]]</f>
        <v>1</v>
      </c>
      <c r="P154" t="str">
        <f>survey_responses[[#This Row],[Số người phụ thuộc (con nhỏ, cha mẹ già...) đủ điều kiện giảm trừ gia cảnh:]]</f>
        <v>1 người</v>
      </c>
      <c r="Q154">
        <f>step3_validation[[#This Row],[AI_ENF1]]</f>
        <v>10</v>
      </c>
      <c r="R154" t="str">
        <f t="shared" si="54"/>
        <v>Support</v>
      </c>
      <c r="S154">
        <f>survey_responses[[#This Row],[Tôi tin rằng với các quy định quản lý thuế hiện nay, hành vi gian lận hoặc trốn thuế sẽ dễ dàng bị phát hiện và xử lý nghiêm. - HUMAN-ENF1]]</f>
        <v>7</v>
      </c>
      <c r="T154" t="str">
        <f t="shared" si="55"/>
        <v>Neutral</v>
      </c>
      <c r="U154" s="31">
        <f t="shared" si="56"/>
        <v>3</v>
      </c>
      <c r="V154">
        <f>step3_validation[[#This Row],[AI_ENF2]]</f>
        <v>2</v>
      </c>
      <c r="W154" t="str">
        <f t="shared" si="57"/>
        <v>Oppose</v>
      </c>
      <c r="X154">
        <f>survey_responses[[#This Row],[Tôi tin rằng Nhà nước, cơ quan thuế có đủ khả năng và công nghệ để phát hiện, xử lý nghiêm các hành vi trốn thuế. - HUMAN-ENF2]]</f>
        <v>7</v>
      </c>
      <c r="Y154" t="str">
        <f t="shared" si="58"/>
        <v>Neutral</v>
      </c>
      <c r="Z154" s="31">
        <f t="shared" si="59"/>
        <v>5</v>
      </c>
      <c r="AA154">
        <f>step3_validation[[#This Row],[AI_FAC1]]</f>
        <v>10</v>
      </c>
      <c r="AB154" t="str">
        <f t="shared" si="60"/>
        <v>Support</v>
      </c>
      <c r="AC154">
        <f>survey_responses[[#This Row],[Các thủ tục khai báo thuế VÀ/HOẶC quy trình làm việc với cơ quan thuế đơn giản, tiện lợi, nhanh chóng hơn so với trước đây. - HUMAN-FAC1]]</f>
        <v>5</v>
      </c>
      <c r="AD154" t="str">
        <f t="shared" si="61"/>
        <v>Neutral</v>
      </c>
      <c r="AE154" s="31">
        <f t="shared" si="62"/>
        <v>5</v>
      </c>
      <c r="AF154">
        <f>step3_validation[[#This Row],[AI_FAC2]]</f>
        <v>10</v>
      </c>
      <c r="AG154" t="str">
        <f t="shared" si="63"/>
        <v>Support</v>
      </c>
      <c r="AH154">
        <f>survey_responses[[#This Row],[So với trước đây, tôi thấy cách tính thuế và các bậc thuế trong phương án mới đơn giản, dễ hiểu và dễ thực hiện hơn. - HUMAN-FAC2]]</f>
        <v>7</v>
      </c>
      <c r="AI154" t="str">
        <f t="shared" si="64"/>
        <v>Neutral</v>
      </c>
      <c r="AJ154" s="31">
        <f t="shared" si="65"/>
        <v>3</v>
      </c>
      <c r="AK154">
        <f>step3_validation[[#This Row],[AI_TRU1]]</f>
        <v>10</v>
      </c>
      <c r="AL154" t="str">
        <f t="shared" si="66"/>
        <v>Support</v>
      </c>
      <c r="AM154">
        <f>survey_responses[[#This Row],[Tôi tin rằng Nhà nước, cơ quan thuế sẽ thực thi chính sách mới một cách khách quan, công tâm và đối xử bình đẳng với mọi người nộp thuế.  - HUMAN-TRU1]]</f>
        <v>7</v>
      </c>
      <c r="AN154" t="str">
        <f t="shared" si="67"/>
        <v>Neutral</v>
      </c>
      <c r="AO154" s="31">
        <f t="shared" si="68"/>
        <v>3</v>
      </c>
      <c r="AP154">
        <f>step3_validation[[#This Row],[AI_TRU2]]</f>
        <v>10</v>
      </c>
      <c r="AQ154" t="str">
        <f t="shared" si="69"/>
        <v>Support</v>
      </c>
      <c r="AR154">
        <f>survey_responses[[#This Row],[Tôi thấy mức thuế tôi phải đóng theo phương án mới là công bằng (người thu nhập như tôi đóng mức này là hợp lý). - HUMAN-TRU2]]</f>
        <v>7</v>
      </c>
      <c r="AS154" t="str">
        <f t="shared" si="70"/>
        <v>Neutral</v>
      </c>
      <c r="AT154" s="31">
        <f t="shared" si="71"/>
        <v>3</v>
      </c>
      <c r="AU154">
        <f>step3_validation[[#This Row],[AI_TRU3]]</f>
        <v>10</v>
      </c>
      <c r="AV154" t="str">
        <f t="shared" si="72"/>
        <v>Support</v>
      </c>
      <c r="AW154">
        <f>survey_responses[[#This Row],[Tôi tin tưởng số tiền thuế tôi đóng sẽ được Nhà nước sử dụng hiệu quả để cải thiện dịch vụ công (y tế, đường xá...). - HUMAN-TRU3]]</f>
        <v>7</v>
      </c>
      <c r="AX154" t="str">
        <f t="shared" si="73"/>
        <v>Neutral</v>
      </c>
      <c r="AY154" s="31">
        <f t="shared" si="74"/>
        <v>3</v>
      </c>
      <c r="AZ154">
        <f>step3_validation[[#This Row],[AI_TRU4]]</f>
        <v>10</v>
      </c>
      <c r="BA154" t="str">
        <f t="shared" si="75"/>
        <v>Support</v>
      </c>
      <c r="BB154">
        <f>survey_responses[[#This Row],[Tôi thấy Nhà nước đã giải thích rõ ràng, minh bạch về lý do và mục tiêu của việc sửa đổi thuế lần này. - HUMAN-TRU4]]</f>
        <v>7</v>
      </c>
      <c r="BC154" t="str">
        <f t="shared" si="76"/>
        <v>Neutral</v>
      </c>
      <c r="BD154" s="31">
        <f t="shared" si="77"/>
        <v>3</v>
      </c>
      <c r="BE154">
        <f>step3_validation[[#This Row],[AI_OUT1]]</f>
        <v>10</v>
      </c>
      <c r="BF154" t="str">
        <f t="shared" si="78"/>
        <v>Support</v>
      </c>
      <c r="BG154">
        <f>survey_responses[[#This Row],[Sau khi xem xét các quyền lợi và nghĩa vụ, bạn có ủng hộ và tuân thủ chính sách mới hiện nay? - HUMAN-OUT1]]</f>
        <v>7</v>
      </c>
      <c r="BH154" t="str">
        <f t="shared" si="79"/>
        <v>Neutral</v>
      </c>
      <c r="BI154" s="31">
        <f t="shared" si="80"/>
        <v>3</v>
      </c>
    </row>
    <row r="155" spans="1:61" x14ac:dyDescent="0.45">
      <c r="A155" s="29">
        <f>step3_validation[[#This Row],[Persona_ID]]</f>
        <v>154</v>
      </c>
      <c r="B155" s="30">
        <f>step3_validation[[#This Row],[Used_Seed]]</f>
        <v>195</v>
      </c>
      <c r="C155" t="str">
        <f>step3_validation[[#This Row],[Gender]]</f>
        <v>Nữ</v>
      </c>
      <c r="D155" t="str">
        <f>survey_responses[[#This Row],[Giới tính của bạn:]]</f>
        <v>Nữ</v>
      </c>
      <c r="E155" t="str">
        <f>step3_validation[[#This Row],[Age_Group]]</f>
        <v>25 - 29</v>
      </c>
      <c r="F155" t="str">
        <f>survey_responses[[#This Row],[Độ tuổi của bạn:]]</f>
        <v>25 - 29</v>
      </c>
      <c r="G155" t="str">
        <f>step3_validation[[#This Row],[Region]]</f>
        <v>Thành thị</v>
      </c>
      <c r="H155" t="str">
        <f>survey_responses[[#This Row],[Khu vực bạn đang sinh sống:]]</f>
        <v>Thành thị</v>
      </c>
      <c r="I155" t="str">
        <f>step3_validation[[#This Row],[Education]]</f>
        <v>Đại học</v>
      </c>
      <c r="J155" t="str">
        <f>survey_responses[[#This Row],[Trình độ học vấn cao nhất:]]</f>
        <v>Đại học</v>
      </c>
      <c r="K155" t="str">
        <f>step3_validation[[#This Row],[Employment]]</f>
        <v>Chính thức</v>
      </c>
      <c r="L155" t="str">
        <f>survey_responses[[#This Row],[Tình trạng việc làm chính:]]</f>
        <v>Khu vực chính thức (Có Hợp đồng lao động, đóng BHXH)</v>
      </c>
      <c r="M155">
        <f>step3_validation[[#This Row],[Income_Mil]]</f>
        <v>12</v>
      </c>
      <c r="N155" t="str">
        <f>survey_responses[[#This Row],[Thu nhập bình quân tháng theo Hợp đồng lao động của bạn là bao nhiêu? (Vui lòng điền tổng thu nhập trước khi khấu trừ các loại Bảo hiểm (BHXH, BHYT, BHTN) và Thuế TNCN)]]</f>
        <v>Dưới 12 triệu VNĐ</v>
      </c>
      <c r="O155">
        <f>step3_validation[[#This Row],[Dependents]]</f>
        <v>2</v>
      </c>
      <c r="P155" t="str">
        <f>survey_responses[[#This Row],[Số người phụ thuộc (con nhỏ, cha mẹ già...) đủ điều kiện giảm trừ gia cảnh:]]</f>
        <v>2 người</v>
      </c>
      <c r="Q155">
        <f>step3_validation[[#This Row],[AI_ENF1]]</f>
        <v>6</v>
      </c>
      <c r="R155" t="str">
        <f t="shared" si="54"/>
        <v>Neutral</v>
      </c>
      <c r="S155">
        <f>survey_responses[[#This Row],[Tôi tin rằng với các quy định quản lý thuế hiện nay, hành vi gian lận hoặc trốn thuế sẽ dễ dàng bị phát hiện và xử lý nghiêm. - HUMAN-ENF1]]</f>
        <v>7</v>
      </c>
      <c r="T155" t="str">
        <f t="shared" si="55"/>
        <v>Neutral</v>
      </c>
      <c r="U155" s="31">
        <f t="shared" si="56"/>
        <v>1</v>
      </c>
      <c r="V155">
        <f>step3_validation[[#This Row],[AI_ENF2]]</f>
        <v>7</v>
      </c>
      <c r="W155" t="str">
        <f t="shared" si="57"/>
        <v>Neutral</v>
      </c>
      <c r="X155">
        <f>survey_responses[[#This Row],[Tôi tin rằng Nhà nước, cơ quan thuế có đủ khả năng và công nghệ để phát hiện, xử lý nghiêm các hành vi trốn thuế. - HUMAN-ENF2]]</f>
        <v>8</v>
      </c>
      <c r="Y155" t="str">
        <f t="shared" si="58"/>
        <v>Support</v>
      </c>
      <c r="Z155" s="31">
        <f t="shared" si="59"/>
        <v>1</v>
      </c>
      <c r="AA155">
        <f>step3_validation[[#This Row],[AI_FAC1]]</f>
        <v>9</v>
      </c>
      <c r="AB155" t="str">
        <f t="shared" si="60"/>
        <v>Support</v>
      </c>
      <c r="AC155">
        <f>survey_responses[[#This Row],[Các thủ tục khai báo thuế VÀ/HOẶC quy trình làm việc với cơ quan thuế đơn giản, tiện lợi, nhanh chóng hơn so với trước đây. - HUMAN-FAC1]]</f>
        <v>8</v>
      </c>
      <c r="AD155" t="str">
        <f t="shared" si="61"/>
        <v>Support</v>
      </c>
      <c r="AE155" s="31">
        <f t="shared" si="62"/>
        <v>1</v>
      </c>
      <c r="AF155">
        <f>step3_validation[[#This Row],[AI_FAC2]]</f>
        <v>8</v>
      </c>
      <c r="AG155" t="str">
        <f t="shared" si="63"/>
        <v>Support</v>
      </c>
      <c r="AH155">
        <f>survey_responses[[#This Row],[So với trước đây, tôi thấy cách tính thuế và các bậc thuế trong phương án mới đơn giản, dễ hiểu và dễ thực hiện hơn. - HUMAN-FAC2]]</f>
        <v>8</v>
      </c>
      <c r="AI155" t="str">
        <f t="shared" si="64"/>
        <v>Support</v>
      </c>
      <c r="AJ155" s="31">
        <f t="shared" si="65"/>
        <v>0</v>
      </c>
      <c r="AK155">
        <f>step3_validation[[#This Row],[AI_TRU1]]</f>
        <v>9</v>
      </c>
      <c r="AL155" t="str">
        <f t="shared" si="66"/>
        <v>Support</v>
      </c>
      <c r="AM155">
        <f>survey_responses[[#This Row],[Tôi tin rằng Nhà nước, cơ quan thuế sẽ thực thi chính sách mới một cách khách quan, công tâm và đối xử bình đẳng với mọi người nộp thuế.  - HUMAN-TRU1]]</f>
        <v>6</v>
      </c>
      <c r="AN155" t="str">
        <f t="shared" si="67"/>
        <v>Neutral</v>
      </c>
      <c r="AO155" s="31">
        <f t="shared" si="68"/>
        <v>3</v>
      </c>
      <c r="AP155">
        <f>step3_validation[[#This Row],[AI_TRU2]]</f>
        <v>8</v>
      </c>
      <c r="AQ155" t="str">
        <f t="shared" si="69"/>
        <v>Support</v>
      </c>
      <c r="AR155">
        <f>survey_responses[[#This Row],[Tôi thấy mức thuế tôi phải đóng theo phương án mới là công bằng (người thu nhập như tôi đóng mức này là hợp lý). - HUMAN-TRU2]]</f>
        <v>8</v>
      </c>
      <c r="AS155" t="str">
        <f t="shared" si="70"/>
        <v>Support</v>
      </c>
      <c r="AT155" s="31">
        <f t="shared" si="71"/>
        <v>0</v>
      </c>
      <c r="AU155">
        <f>step3_validation[[#This Row],[AI_TRU3]]</f>
        <v>9</v>
      </c>
      <c r="AV155" t="str">
        <f t="shared" si="72"/>
        <v>Support</v>
      </c>
      <c r="AW155">
        <f>survey_responses[[#This Row],[Tôi tin tưởng số tiền thuế tôi đóng sẽ được Nhà nước sử dụng hiệu quả để cải thiện dịch vụ công (y tế, đường xá...). - HUMAN-TRU3]]</f>
        <v>5</v>
      </c>
      <c r="AX155" t="str">
        <f t="shared" si="73"/>
        <v>Neutral</v>
      </c>
      <c r="AY155" s="31">
        <f t="shared" si="74"/>
        <v>4</v>
      </c>
      <c r="AZ155">
        <f>step3_validation[[#This Row],[AI_TRU4]]</f>
        <v>8</v>
      </c>
      <c r="BA155" t="str">
        <f t="shared" si="75"/>
        <v>Support</v>
      </c>
      <c r="BB155">
        <f>survey_responses[[#This Row],[Tôi thấy Nhà nước đã giải thích rõ ràng, minh bạch về lý do và mục tiêu của việc sửa đổi thuế lần này. - HUMAN-TRU4]]</f>
        <v>8</v>
      </c>
      <c r="BC155" t="str">
        <f t="shared" si="76"/>
        <v>Support</v>
      </c>
      <c r="BD155" s="31">
        <f t="shared" si="77"/>
        <v>0</v>
      </c>
      <c r="BE155">
        <f>step3_validation[[#This Row],[AI_OUT1]]</f>
        <v>9</v>
      </c>
      <c r="BF155" t="str">
        <f t="shared" si="78"/>
        <v>Support</v>
      </c>
      <c r="BG155">
        <f>survey_responses[[#This Row],[Sau khi xem xét các quyền lợi và nghĩa vụ, bạn có ủng hộ và tuân thủ chính sách mới hiện nay? - HUMAN-OUT1]]</f>
        <v>8</v>
      </c>
      <c r="BH155" t="str">
        <f t="shared" si="79"/>
        <v>Support</v>
      </c>
      <c r="BI155" s="31">
        <f t="shared" si="80"/>
        <v>1</v>
      </c>
    </row>
    <row r="156" spans="1:61" hidden="1" x14ac:dyDescent="0.45">
      <c r="A156" s="29">
        <f>step3_validation[[#This Row],[Persona_ID]]</f>
        <v>155</v>
      </c>
      <c r="B156" s="30">
        <f>step3_validation[[#This Row],[Used_Seed]]</f>
        <v>196</v>
      </c>
      <c r="C156" t="str">
        <f>step3_validation[[#This Row],[Gender]]</f>
        <v>Nữ</v>
      </c>
      <c r="D156" t="str">
        <f>survey_responses[[#This Row],[Giới tính của bạn:]]</f>
        <v>Nữ</v>
      </c>
      <c r="E156" t="str">
        <f>step3_validation[[#This Row],[Age_Group]]</f>
        <v>30 - 39</v>
      </c>
      <c r="F156" t="str">
        <f>survey_responses[[#This Row],[Độ tuổi của bạn:]]</f>
        <v>30 - 39</v>
      </c>
      <c r="G156" t="str">
        <f>step3_validation[[#This Row],[Region]]</f>
        <v>Thành thị</v>
      </c>
      <c r="H156" t="str">
        <f>survey_responses[[#This Row],[Khu vực bạn đang sinh sống:]]</f>
        <v>Thành thị</v>
      </c>
      <c r="I156" t="str">
        <f>step3_validation[[#This Row],[Education]]</f>
        <v>Sau Đại học</v>
      </c>
      <c r="J156" t="str">
        <f>survey_responses[[#This Row],[Trình độ học vấn cao nhất:]]</f>
        <v>Sau Đại học</v>
      </c>
      <c r="K156" t="str">
        <f>step3_validation[[#This Row],[Employment]]</f>
        <v>Chính thức</v>
      </c>
      <c r="L156" t="str">
        <f>survey_responses[[#This Row],[Tình trạng việc làm chính:]]</f>
        <v>Khu vực chính thức (Có Hợp đồng lao động, đóng BHXH)</v>
      </c>
      <c r="M156">
        <f>step3_validation[[#This Row],[Income_Mil]]</f>
        <v>49.56805591050923</v>
      </c>
      <c r="N156" t="str">
        <f>survey_responses[[#This Row],[Thu nhập bình quân tháng theo Hợp đồng lao động của bạn là bao nhiêu? (Vui lòng điền tổng thu nhập trước khi khấu trừ các loại Bảo hiểm (BHXH, BHYT, BHTN) và Thuế TNCN)]]</f>
        <v>Từ 48 - 70 triệu VNĐ</v>
      </c>
      <c r="O156">
        <f>step3_validation[[#This Row],[Dependents]]</f>
        <v>1</v>
      </c>
      <c r="P156" t="str">
        <f>survey_responses[[#This Row],[Số người phụ thuộc (con nhỏ, cha mẹ già...) đủ điều kiện giảm trừ gia cảnh:]]</f>
        <v>1 người</v>
      </c>
      <c r="Q156">
        <f>step3_validation[[#This Row],[AI_ENF1]]</f>
        <v>7</v>
      </c>
      <c r="R156" t="str">
        <f t="shared" si="54"/>
        <v>Neutral</v>
      </c>
      <c r="S156">
        <f>survey_responses[[#This Row],[Tôi tin rằng với các quy định quản lý thuế hiện nay, hành vi gian lận hoặc trốn thuế sẽ dễ dàng bị phát hiện và xử lý nghiêm. - HUMAN-ENF1]]</f>
        <v>10</v>
      </c>
      <c r="T156" t="str">
        <f t="shared" si="55"/>
        <v>Support</v>
      </c>
      <c r="U156" s="31">
        <f t="shared" si="56"/>
        <v>3</v>
      </c>
      <c r="V156">
        <f>step3_validation[[#This Row],[AI_ENF2]]</f>
        <v>8</v>
      </c>
      <c r="W156" t="str">
        <f t="shared" si="57"/>
        <v>Support</v>
      </c>
      <c r="X156">
        <f>survey_responses[[#This Row],[Tôi tin rằng Nhà nước, cơ quan thuế có đủ khả năng và công nghệ để phát hiện, xử lý nghiêm các hành vi trốn thuế. - HUMAN-ENF2]]</f>
        <v>10</v>
      </c>
      <c r="Y156" t="str">
        <f t="shared" si="58"/>
        <v>Support</v>
      </c>
      <c r="Z156" s="31">
        <f t="shared" si="59"/>
        <v>2</v>
      </c>
      <c r="AA156">
        <f>step3_validation[[#This Row],[AI_FAC1]]</f>
        <v>9</v>
      </c>
      <c r="AB156" t="str">
        <f t="shared" si="60"/>
        <v>Support</v>
      </c>
      <c r="AC156">
        <f>survey_responses[[#This Row],[Các thủ tục khai báo thuế VÀ/HOẶC quy trình làm việc với cơ quan thuế đơn giản, tiện lợi, nhanh chóng hơn so với trước đây. - HUMAN-FAC1]]</f>
        <v>10</v>
      </c>
      <c r="AD156" t="str">
        <f t="shared" si="61"/>
        <v>Support</v>
      </c>
      <c r="AE156" s="31">
        <f t="shared" si="62"/>
        <v>1</v>
      </c>
      <c r="AF156">
        <f>step3_validation[[#This Row],[AI_FAC2]]</f>
        <v>9</v>
      </c>
      <c r="AG156" t="str">
        <f t="shared" si="63"/>
        <v>Support</v>
      </c>
      <c r="AH156">
        <f>survey_responses[[#This Row],[So với trước đây, tôi thấy cách tính thuế và các bậc thuế trong phương án mới đơn giản, dễ hiểu và dễ thực hiện hơn. - HUMAN-FAC2]]</f>
        <v>10</v>
      </c>
      <c r="AI156" t="str">
        <f t="shared" si="64"/>
        <v>Support</v>
      </c>
      <c r="AJ156" s="31">
        <f t="shared" si="65"/>
        <v>1</v>
      </c>
      <c r="AK156">
        <f>step3_validation[[#This Row],[AI_TRU1]]</f>
        <v>7</v>
      </c>
      <c r="AL156" t="str">
        <f t="shared" si="66"/>
        <v>Neutral</v>
      </c>
      <c r="AM156">
        <f>survey_responses[[#This Row],[Tôi tin rằng Nhà nước, cơ quan thuế sẽ thực thi chính sách mới một cách khách quan, công tâm và đối xử bình đẳng với mọi người nộp thuế.  - HUMAN-TRU1]]</f>
        <v>10</v>
      </c>
      <c r="AN156" t="str">
        <f t="shared" si="67"/>
        <v>Support</v>
      </c>
      <c r="AO156" s="31">
        <f t="shared" si="68"/>
        <v>3</v>
      </c>
      <c r="AP156">
        <f>step3_validation[[#This Row],[AI_TRU2]]</f>
        <v>9</v>
      </c>
      <c r="AQ156" t="str">
        <f t="shared" si="69"/>
        <v>Support</v>
      </c>
      <c r="AR156">
        <f>survey_responses[[#This Row],[Tôi thấy mức thuế tôi phải đóng theo phương án mới là công bằng (người thu nhập như tôi đóng mức này là hợp lý). - HUMAN-TRU2]]</f>
        <v>10</v>
      </c>
      <c r="AS156" t="str">
        <f t="shared" si="70"/>
        <v>Support</v>
      </c>
      <c r="AT156" s="31">
        <f t="shared" si="71"/>
        <v>1</v>
      </c>
      <c r="AU156">
        <f>step3_validation[[#This Row],[AI_TRU3]]</f>
        <v>7</v>
      </c>
      <c r="AV156" t="str">
        <f t="shared" si="72"/>
        <v>Neutral</v>
      </c>
      <c r="AW156">
        <f>survey_responses[[#This Row],[Tôi tin tưởng số tiền thuế tôi đóng sẽ được Nhà nước sử dụng hiệu quả để cải thiện dịch vụ công (y tế, đường xá...). - HUMAN-TRU3]]</f>
        <v>10</v>
      </c>
      <c r="AX156" t="str">
        <f t="shared" si="73"/>
        <v>Support</v>
      </c>
      <c r="AY156" s="31">
        <f t="shared" si="74"/>
        <v>3</v>
      </c>
      <c r="AZ156">
        <f>step3_validation[[#This Row],[AI_TRU4]]</f>
        <v>8</v>
      </c>
      <c r="BA156" t="str">
        <f t="shared" si="75"/>
        <v>Support</v>
      </c>
      <c r="BB156">
        <f>survey_responses[[#This Row],[Tôi thấy Nhà nước đã giải thích rõ ràng, minh bạch về lý do và mục tiêu của việc sửa đổi thuế lần này. - HUMAN-TRU4]]</f>
        <v>10</v>
      </c>
      <c r="BC156" t="str">
        <f t="shared" si="76"/>
        <v>Support</v>
      </c>
      <c r="BD156" s="31">
        <f t="shared" si="77"/>
        <v>2</v>
      </c>
      <c r="BE156">
        <f>step3_validation[[#This Row],[AI_OUT1]]</f>
        <v>9</v>
      </c>
      <c r="BF156" t="str">
        <f t="shared" si="78"/>
        <v>Support</v>
      </c>
      <c r="BG156">
        <f>survey_responses[[#This Row],[Sau khi xem xét các quyền lợi và nghĩa vụ, bạn có ủng hộ và tuân thủ chính sách mới hiện nay? - HUMAN-OUT1]]</f>
        <v>10</v>
      </c>
      <c r="BH156" t="str">
        <f t="shared" si="79"/>
        <v>Support</v>
      </c>
      <c r="BI156" s="31">
        <f t="shared" si="80"/>
        <v>1</v>
      </c>
    </row>
    <row r="157" spans="1:61" hidden="1" x14ac:dyDescent="0.45">
      <c r="A157" s="29">
        <f>step3_validation[[#This Row],[Persona_ID]]</f>
        <v>156</v>
      </c>
      <c r="B157" s="30">
        <f>step3_validation[[#This Row],[Used_Seed]]</f>
        <v>197</v>
      </c>
      <c r="C157" t="str">
        <f>step3_validation[[#This Row],[Gender]]</f>
        <v>Nữ</v>
      </c>
      <c r="D157" t="str">
        <f>survey_responses[[#This Row],[Giới tính của bạn:]]</f>
        <v>Nữ</v>
      </c>
      <c r="E157" t="str">
        <f>step3_validation[[#This Row],[Age_Group]]</f>
        <v>30 - 39</v>
      </c>
      <c r="F157" t="str">
        <f>survey_responses[[#This Row],[Độ tuổi của bạn:]]</f>
        <v>30 - 39</v>
      </c>
      <c r="G157" t="str">
        <f>step3_validation[[#This Row],[Region]]</f>
        <v>Thành thị</v>
      </c>
      <c r="H157" t="str">
        <f>survey_responses[[#This Row],[Khu vực bạn đang sinh sống:]]</f>
        <v>Thành thị</v>
      </c>
      <c r="I157" t="str">
        <f>step3_validation[[#This Row],[Education]]</f>
        <v>Sau Đại học</v>
      </c>
      <c r="J157" t="str">
        <f>survey_responses[[#This Row],[Trình độ học vấn cao nhất:]]</f>
        <v>Sau Đại học</v>
      </c>
      <c r="K157" t="str">
        <f>step3_validation[[#This Row],[Employment]]</f>
        <v>Chính thức</v>
      </c>
      <c r="L157" t="str">
        <f>survey_responses[[#This Row],[Tình trạng việc làm chính:]]</f>
        <v>Khu vực chính thức (Có Hợp đồng lao động, đóng BHXH)</v>
      </c>
      <c r="M157">
        <f>step3_validation[[#This Row],[Income_Mil]]</f>
        <v>25.572093263662541</v>
      </c>
      <c r="N157" t="str">
        <f>survey_responses[[#This Row],[Thu nhập bình quân tháng theo Hợp đồng lao động của bạn là bao nhiêu? (Vui lòng điền tổng thu nhập trước khi khấu trừ các loại Bảo hiểm (BHXH, BHYT, BHTN) và Thuế TNCN)]]</f>
        <v>Từ 23 - 32 triệu VNĐ</v>
      </c>
      <c r="O157">
        <f>step3_validation[[#This Row],[Dependents]]</f>
        <v>1</v>
      </c>
      <c r="P157" t="str">
        <f>survey_responses[[#This Row],[Số người phụ thuộc (con nhỏ, cha mẹ già...) đủ điều kiện giảm trừ gia cảnh:]]</f>
        <v>1 người</v>
      </c>
      <c r="Q157">
        <f>step3_validation[[#This Row],[AI_ENF1]]</f>
        <v>6</v>
      </c>
      <c r="R157" t="str">
        <f t="shared" si="54"/>
        <v>Neutral</v>
      </c>
      <c r="S157">
        <f>survey_responses[[#This Row],[Tôi tin rằng với các quy định quản lý thuế hiện nay, hành vi gian lận hoặc trốn thuế sẽ dễ dàng bị phát hiện và xử lý nghiêm. - HUMAN-ENF1]]</f>
        <v>10</v>
      </c>
      <c r="T157" t="str">
        <f t="shared" si="55"/>
        <v>Support</v>
      </c>
      <c r="U157" s="31">
        <f t="shared" si="56"/>
        <v>4</v>
      </c>
      <c r="V157">
        <f>step3_validation[[#This Row],[AI_ENF2]]</f>
        <v>7</v>
      </c>
      <c r="W157" t="str">
        <f t="shared" si="57"/>
        <v>Neutral</v>
      </c>
      <c r="X157">
        <f>survey_responses[[#This Row],[Tôi tin rằng Nhà nước, cơ quan thuế có đủ khả năng và công nghệ để phát hiện, xử lý nghiêm các hành vi trốn thuế. - HUMAN-ENF2]]</f>
        <v>10</v>
      </c>
      <c r="Y157" t="str">
        <f t="shared" si="58"/>
        <v>Support</v>
      </c>
      <c r="Z157" s="31">
        <f t="shared" si="59"/>
        <v>3</v>
      </c>
      <c r="AA157">
        <f>step3_validation[[#This Row],[AI_FAC1]]</f>
        <v>8</v>
      </c>
      <c r="AB157" t="str">
        <f t="shared" si="60"/>
        <v>Support</v>
      </c>
      <c r="AC157">
        <f>survey_responses[[#This Row],[Các thủ tục khai báo thuế VÀ/HOẶC quy trình làm việc với cơ quan thuế đơn giản, tiện lợi, nhanh chóng hơn so với trước đây. - HUMAN-FAC1]]</f>
        <v>10</v>
      </c>
      <c r="AD157" t="str">
        <f t="shared" si="61"/>
        <v>Support</v>
      </c>
      <c r="AE157" s="31">
        <f t="shared" si="62"/>
        <v>2</v>
      </c>
      <c r="AF157">
        <f>step3_validation[[#This Row],[AI_FAC2]]</f>
        <v>9</v>
      </c>
      <c r="AG157" t="str">
        <f t="shared" si="63"/>
        <v>Support</v>
      </c>
      <c r="AH157">
        <f>survey_responses[[#This Row],[So với trước đây, tôi thấy cách tính thuế và các bậc thuế trong phương án mới đơn giản, dễ hiểu và dễ thực hiện hơn. - HUMAN-FAC2]]</f>
        <v>10</v>
      </c>
      <c r="AI157" t="str">
        <f t="shared" si="64"/>
        <v>Support</v>
      </c>
      <c r="AJ157" s="31">
        <f t="shared" si="65"/>
        <v>1</v>
      </c>
      <c r="AK157">
        <f>step3_validation[[#This Row],[AI_TRU1]]</f>
        <v>7</v>
      </c>
      <c r="AL157" t="str">
        <f t="shared" si="66"/>
        <v>Neutral</v>
      </c>
      <c r="AM157">
        <f>survey_responses[[#This Row],[Tôi tin rằng Nhà nước, cơ quan thuế sẽ thực thi chính sách mới một cách khách quan, công tâm và đối xử bình đẳng với mọi người nộp thuế.  - HUMAN-TRU1]]</f>
        <v>10</v>
      </c>
      <c r="AN157" t="str">
        <f t="shared" si="67"/>
        <v>Support</v>
      </c>
      <c r="AO157" s="31">
        <f t="shared" si="68"/>
        <v>3</v>
      </c>
      <c r="AP157">
        <f>step3_validation[[#This Row],[AI_TRU2]]</f>
        <v>9</v>
      </c>
      <c r="AQ157" t="str">
        <f t="shared" si="69"/>
        <v>Support</v>
      </c>
      <c r="AR157">
        <f>survey_responses[[#This Row],[Tôi thấy mức thuế tôi phải đóng theo phương án mới là công bằng (người thu nhập như tôi đóng mức này là hợp lý). - HUMAN-TRU2]]</f>
        <v>10</v>
      </c>
      <c r="AS157" t="str">
        <f t="shared" si="70"/>
        <v>Support</v>
      </c>
      <c r="AT157" s="31">
        <f t="shared" si="71"/>
        <v>1</v>
      </c>
      <c r="AU157">
        <f>step3_validation[[#This Row],[AI_TRU3]]</f>
        <v>8</v>
      </c>
      <c r="AV157" t="str">
        <f t="shared" si="72"/>
        <v>Support</v>
      </c>
      <c r="AW157">
        <f>survey_responses[[#This Row],[Tôi tin tưởng số tiền thuế tôi đóng sẽ được Nhà nước sử dụng hiệu quả để cải thiện dịch vụ công (y tế, đường xá...). - HUMAN-TRU3]]</f>
        <v>10</v>
      </c>
      <c r="AX157" t="str">
        <f t="shared" si="73"/>
        <v>Support</v>
      </c>
      <c r="AY157" s="31">
        <f t="shared" si="74"/>
        <v>2</v>
      </c>
      <c r="AZ157">
        <f>step3_validation[[#This Row],[AI_TRU4]]</f>
        <v>7</v>
      </c>
      <c r="BA157" t="str">
        <f t="shared" si="75"/>
        <v>Neutral</v>
      </c>
      <c r="BB157">
        <f>survey_responses[[#This Row],[Tôi thấy Nhà nước đã giải thích rõ ràng, minh bạch về lý do và mục tiêu của việc sửa đổi thuế lần này. - HUMAN-TRU4]]</f>
        <v>10</v>
      </c>
      <c r="BC157" t="str">
        <f t="shared" si="76"/>
        <v>Support</v>
      </c>
      <c r="BD157" s="31">
        <f t="shared" si="77"/>
        <v>3</v>
      </c>
      <c r="BE157">
        <f>step3_validation[[#This Row],[AI_OUT1]]</f>
        <v>9</v>
      </c>
      <c r="BF157" t="str">
        <f t="shared" si="78"/>
        <v>Support</v>
      </c>
      <c r="BG157">
        <f>survey_responses[[#This Row],[Sau khi xem xét các quyền lợi và nghĩa vụ, bạn có ủng hộ và tuân thủ chính sách mới hiện nay? - HUMAN-OUT1]]</f>
        <v>10</v>
      </c>
      <c r="BH157" t="str">
        <f t="shared" si="79"/>
        <v>Support</v>
      </c>
      <c r="BI157" s="31">
        <f t="shared" si="80"/>
        <v>1</v>
      </c>
    </row>
    <row r="158" spans="1:61" hidden="1" x14ac:dyDescent="0.45">
      <c r="A158" s="29">
        <f>step3_validation[[#This Row],[Persona_ID]]</f>
        <v>157</v>
      </c>
      <c r="B158" s="30">
        <f>step3_validation[[#This Row],[Used_Seed]]</f>
        <v>198</v>
      </c>
      <c r="C158" t="str">
        <f>step3_validation[[#This Row],[Gender]]</f>
        <v>Nam</v>
      </c>
      <c r="D158" t="str">
        <f>survey_responses[[#This Row],[Giới tính của bạn:]]</f>
        <v>Nam</v>
      </c>
      <c r="E158" t="str">
        <f>step3_validation[[#This Row],[Age_Group]]</f>
        <v>30 - 39</v>
      </c>
      <c r="F158" t="str">
        <f>survey_responses[[#This Row],[Độ tuổi của bạn:]]</f>
        <v>30 - 39</v>
      </c>
      <c r="G158" t="str">
        <f>step3_validation[[#This Row],[Region]]</f>
        <v>Thành thị</v>
      </c>
      <c r="H158" t="str">
        <f>survey_responses[[#This Row],[Khu vực bạn đang sinh sống:]]</f>
        <v>Thành thị</v>
      </c>
      <c r="I158" t="str">
        <f>step3_validation[[#This Row],[Education]]</f>
        <v>Đại học</v>
      </c>
      <c r="J158" t="str">
        <f>survey_responses[[#This Row],[Trình độ học vấn cao nhất:]]</f>
        <v>Đại học</v>
      </c>
      <c r="K158" t="str">
        <f>step3_validation[[#This Row],[Employment]]</f>
        <v>Chính thức</v>
      </c>
      <c r="L158" t="str">
        <f>survey_responses[[#This Row],[Tình trạng việc làm chính:]]</f>
        <v>Khu vực chính thức (Có Hợp đồng lao động, đóng BHXH)</v>
      </c>
      <c r="M158">
        <f>step3_validation[[#This Row],[Income_Mil]]</f>
        <v>97.632638972926856</v>
      </c>
      <c r="N158" t="str">
        <f>survey_responses[[#This Row],[Thu nhập bình quân tháng theo Hợp đồng lao động của bạn là bao nhiêu? (Vui lòng điền tổng thu nhập trước khi khấu trừ các loại Bảo hiểm (BHXH, BHYT, BHTN) và Thuế TNCN)]]</f>
        <v>Từ 70 - 102 triệu VNĐ</v>
      </c>
      <c r="O158">
        <f>step3_validation[[#This Row],[Dependents]]</f>
        <v>4</v>
      </c>
      <c r="P158" t="str">
        <f>survey_responses[[#This Row],[Số người phụ thuộc (con nhỏ, cha mẹ già...) đủ điều kiện giảm trừ gia cảnh:]]</f>
        <v>4 người trở lên</v>
      </c>
      <c r="Q158">
        <f>step3_validation[[#This Row],[AI_ENF1]]</f>
        <v>7</v>
      </c>
      <c r="R158" t="str">
        <f t="shared" si="54"/>
        <v>Neutral</v>
      </c>
      <c r="S158">
        <f>survey_responses[[#This Row],[Tôi tin rằng với các quy định quản lý thuế hiện nay, hành vi gian lận hoặc trốn thuế sẽ dễ dàng bị phát hiện và xử lý nghiêm. - HUMAN-ENF1]]</f>
        <v>10</v>
      </c>
      <c r="T158" t="str">
        <f t="shared" si="55"/>
        <v>Support</v>
      </c>
      <c r="U158" s="31">
        <f t="shared" si="56"/>
        <v>3</v>
      </c>
      <c r="V158">
        <f>step3_validation[[#This Row],[AI_ENF2]]</f>
        <v>8</v>
      </c>
      <c r="W158" t="str">
        <f t="shared" si="57"/>
        <v>Support</v>
      </c>
      <c r="X158">
        <f>survey_responses[[#This Row],[Tôi tin rằng Nhà nước, cơ quan thuế có đủ khả năng và công nghệ để phát hiện, xử lý nghiêm các hành vi trốn thuế. - HUMAN-ENF2]]</f>
        <v>10</v>
      </c>
      <c r="Y158" t="str">
        <f t="shared" si="58"/>
        <v>Support</v>
      </c>
      <c r="Z158" s="31">
        <f t="shared" si="59"/>
        <v>2</v>
      </c>
      <c r="AA158">
        <f>step3_validation[[#This Row],[AI_FAC1]]</f>
        <v>7</v>
      </c>
      <c r="AB158" t="str">
        <f t="shared" si="60"/>
        <v>Neutral</v>
      </c>
      <c r="AC158">
        <f>survey_responses[[#This Row],[Các thủ tục khai báo thuế VÀ/HOẶC quy trình làm việc với cơ quan thuế đơn giản, tiện lợi, nhanh chóng hơn so với trước đây. - HUMAN-FAC1]]</f>
        <v>1</v>
      </c>
      <c r="AD158" t="str">
        <f t="shared" si="61"/>
        <v>Oppose</v>
      </c>
      <c r="AE158" s="31">
        <f t="shared" si="62"/>
        <v>6</v>
      </c>
      <c r="AF158">
        <f>step3_validation[[#This Row],[AI_FAC2]]</f>
        <v>9</v>
      </c>
      <c r="AG158" t="str">
        <f t="shared" si="63"/>
        <v>Support</v>
      </c>
      <c r="AH158">
        <f>survey_responses[[#This Row],[So với trước đây, tôi thấy cách tính thuế và các bậc thuế trong phương án mới đơn giản, dễ hiểu và dễ thực hiện hơn. - HUMAN-FAC2]]</f>
        <v>10</v>
      </c>
      <c r="AI158" t="str">
        <f t="shared" si="64"/>
        <v>Support</v>
      </c>
      <c r="AJ158" s="31">
        <f t="shared" si="65"/>
        <v>1</v>
      </c>
      <c r="AK158">
        <f>step3_validation[[#This Row],[AI_TRU1]]</f>
        <v>8</v>
      </c>
      <c r="AL158" t="str">
        <f t="shared" si="66"/>
        <v>Support</v>
      </c>
      <c r="AM158">
        <f>survey_responses[[#This Row],[Tôi tin rằng Nhà nước, cơ quan thuế sẽ thực thi chính sách mới một cách khách quan, công tâm và đối xử bình đẳng với mọi người nộp thuế.  - HUMAN-TRU1]]</f>
        <v>1</v>
      </c>
      <c r="AN158" t="str">
        <f t="shared" si="67"/>
        <v>Oppose</v>
      </c>
      <c r="AO158" s="31">
        <f t="shared" si="68"/>
        <v>7</v>
      </c>
      <c r="AP158">
        <f>step3_validation[[#This Row],[AI_TRU2]]</f>
        <v>9</v>
      </c>
      <c r="AQ158" t="str">
        <f t="shared" si="69"/>
        <v>Support</v>
      </c>
      <c r="AR158">
        <f>survey_responses[[#This Row],[Tôi thấy mức thuế tôi phải đóng theo phương án mới là công bằng (người thu nhập như tôi đóng mức này là hợp lý). - HUMAN-TRU2]]</f>
        <v>1</v>
      </c>
      <c r="AS158" t="str">
        <f t="shared" si="70"/>
        <v>Oppose</v>
      </c>
      <c r="AT158" s="31">
        <f t="shared" si="71"/>
        <v>8</v>
      </c>
      <c r="AU158">
        <f>step3_validation[[#This Row],[AI_TRU3]]</f>
        <v>8</v>
      </c>
      <c r="AV158" t="str">
        <f t="shared" si="72"/>
        <v>Support</v>
      </c>
      <c r="AW158">
        <f>survey_responses[[#This Row],[Tôi tin tưởng số tiền thuế tôi đóng sẽ được Nhà nước sử dụng hiệu quả để cải thiện dịch vụ công (y tế, đường xá...). - HUMAN-TRU3]]</f>
        <v>1</v>
      </c>
      <c r="AX158" t="str">
        <f t="shared" si="73"/>
        <v>Oppose</v>
      </c>
      <c r="AY158" s="31">
        <f t="shared" si="74"/>
        <v>7</v>
      </c>
      <c r="AZ158">
        <f>step3_validation[[#This Row],[AI_TRU4]]</f>
        <v>9</v>
      </c>
      <c r="BA158" t="str">
        <f t="shared" si="75"/>
        <v>Support</v>
      </c>
      <c r="BB158">
        <f>survey_responses[[#This Row],[Tôi thấy Nhà nước đã giải thích rõ ràng, minh bạch về lý do và mục tiêu của việc sửa đổi thuế lần này. - HUMAN-TRU4]]</f>
        <v>1</v>
      </c>
      <c r="BC158" t="str">
        <f t="shared" si="76"/>
        <v>Oppose</v>
      </c>
      <c r="BD158" s="31">
        <f t="shared" si="77"/>
        <v>8</v>
      </c>
      <c r="BE158">
        <f>step3_validation[[#This Row],[AI_OUT1]]</f>
        <v>9</v>
      </c>
      <c r="BF158" t="str">
        <f t="shared" si="78"/>
        <v>Support</v>
      </c>
      <c r="BG158">
        <f>survey_responses[[#This Row],[Sau khi xem xét các quyền lợi và nghĩa vụ, bạn có ủng hộ và tuân thủ chính sách mới hiện nay? - HUMAN-OUT1]]</f>
        <v>6</v>
      </c>
      <c r="BH158" t="str">
        <f t="shared" si="79"/>
        <v>Neutral</v>
      </c>
      <c r="BI158" s="31">
        <f t="shared" si="80"/>
        <v>3</v>
      </c>
    </row>
    <row r="159" spans="1:61" hidden="1" x14ac:dyDescent="0.45">
      <c r="A159" s="29">
        <f>step3_validation[[#This Row],[Persona_ID]]</f>
        <v>158</v>
      </c>
      <c r="B159" s="30">
        <f>step3_validation[[#This Row],[Used_Seed]]</f>
        <v>199</v>
      </c>
      <c r="C159" t="str">
        <f>step3_validation[[#This Row],[Gender]]</f>
        <v>Nữ</v>
      </c>
      <c r="D159" t="str">
        <f>survey_responses[[#This Row],[Giới tính của bạn:]]</f>
        <v>Nữ</v>
      </c>
      <c r="E159" t="str">
        <f>step3_validation[[#This Row],[Age_Group]]</f>
        <v>30 - 39</v>
      </c>
      <c r="F159" t="str">
        <f>survey_responses[[#This Row],[Độ tuổi của bạn:]]</f>
        <v>30 - 39</v>
      </c>
      <c r="G159" t="str">
        <f>step3_validation[[#This Row],[Region]]</f>
        <v>Thành thị</v>
      </c>
      <c r="H159" t="str">
        <f>survey_responses[[#This Row],[Khu vực bạn đang sinh sống:]]</f>
        <v>Thành thị</v>
      </c>
      <c r="I159" t="str">
        <f>step3_validation[[#This Row],[Education]]</f>
        <v>Đại học</v>
      </c>
      <c r="J159" t="str">
        <f>survey_responses[[#This Row],[Trình độ học vấn cao nhất:]]</f>
        <v>Đại học</v>
      </c>
      <c r="K159" t="str">
        <f>step3_validation[[#This Row],[Employment]]</f>
        <v>Chính thức</v>
      </c>
      <c r="L159" t="str">
        <f>survey_responses[[#This Row],[Tình trạng việc làm chính:]]</f>
        <v>Khu vực chính thức (Có Hợp đồng lao động, đóng BHXH)</v>
      </c>
      <c r="M159">
        <f>step3_validation[[#This Row],[Income_Mil]]</f>
        <v>97.283298324113588</v>
      </c>
      <c r="N159" t="str">
        <f>survey_responses[[#This Row],[Thu nhập bình quân tháng theo Hợp đồng lao động của bạn là bao nhiêu? (Vui lòng điền tổng thu nhập trước khi khấu trừ các loại Bảo hiểm (BHXH, BHYT, BHTN) và Thuế TNCN)]]</f>
        <v>Từ 70 - 102 triệu VNĐ</v>
      </c>
      <c r="O159">
        <f>step3_validation[[#This Row],[Dependents]]</f>
        <v>2</v>
      </c>
      <c r="P159" t="str">
        <f>survey_responses[[#This Row],[Số người phụ thuộc (con nhỏ, cha mẹ già...) đủ điều kiện giảm trừ gia cảnh:]]</f>
        <v>2 người</v>
      </c>
      <c r="Q159">
        <f>step3_validation[[#This Row],[AI_ENF1]]</f>
        <v>9</v>
      </c>
      <c r="R159" t="str">
        <f t="shared" si="54"/>
        <v>Support</v>
      </c>
      <c r="S159">
        <f>survey_responses[[#This Row],[Tôi tin rằng với các quy định quản lý thuế hiện nay, hành vi gian lận hoặc trốn thuế sẽ dễ dàng bị phát hiện và xử lý nghiêm. - HUMAN-ENF1]]</f>
        <v>7</v>
      </c>
      <c r="T159" t="str">
        <f t="shared" si="55"/>
        <v>Neutral</v>
      </c>
      <c r="U159" s="31">
        <f t="shared" si="56"/>
        <v>2</v>
      </c>
      <c r="V159">
        <f>step3_validation[[#This Row],[AI_ENF2]]</f>
        <v>8</v>
      </c>
      <c r="W159" t="str">
        <f t="shared" si="57"/>
        <v>Support</v>
      </c>
      <c r="X159">
        <f>survey_responses[[#This Row],[Tôi tin rằng Nhà nước, cơ quan thuế có đủ khả năng và công nghệ để phát hiện, xử lý nghiêm các hành vi trốn thuế. - HUMAN-ENF2]]</f>
        <v>8</v>
      </c>
      <c r="Y159" t="str">
        <f t="shared" si="58"/>
        <v>Support</v>
      </c>
      <c r="Z159" s="31">
        <f t="shared" si="59"/>
        <v>0</v>
      </c>
      <c r="AA159">
        <f>step3_validation[[#This Row],[AI_FAC1]]</f>
        <v>7</v>
      </c>
      <c r="AB159" t="str">
        <f t="shared" si="60"/>
        <v>Neutral</v>
      </c>
      <c r="AC159">
        <f>survey_responses[[#This Row],[Các thủ tục khai báo thuế VÀ/HOẶC quy trình làm việc với cơ quan thuế đơn giản, tiện lợi, nhanh chóng hơn so với trước đây. - HUMAN-FAC1]]</f>
        <v>6</v>
      </c>
      <c r="AD159" t="str">
        <f t="shared" si="61"/>
        <v>Neutral</v>
      </c>
      <c r="AE159" s="31">
        <f t="shared" si="62"/>
        <v>1</v>
      </c>
      <c r="AF159">
        <f>step3_validation[[#This Row],[AI_FAC2]]</f>
        <v>9</v>
      </c>
      <c r="AG159" t="str">
        <f t="shared" si="63"/>
        <v>Support</v>
      </c>
      <c r="AH159">
        <f>survey_responses[[#This Row],[So với trước đây, tôi thấy cách tính thuế và các bậc thuế trong phương án mới đơn giản, dễ hiểu và dễ thực hiện hơn. - HUMAN-FAC2]]</f>
        <v>6</v>
      </c>
      <c r="AI159" t="str">
        <f t="shared" si="64"/>
        <v>Neutral</v>
      </c>
      <c r="AJ159" s="31">
        <f t="shared" si="65"/>
        <v>3</v>
      </c>
      <c r="AK159">
        <f>step3_validation[[#This Row],[AI_TRU1]]</f>
        <v>8</v>
      </c>
      <c r="AL159" t="str">
        <f t="shared" si="66"/>
        <v>Support</v>
      </c>
      <c r="AM159">
        <f>survey_responses[[#This Row],[Tôi tin rằng Nhà nước, cơ quan thuế sẽ thực thi chính sách mới một cách khách quan, công tâm và đối xử bình đẳng với mọi người nộp thuế.  - HUMAN-TRU1]]</f>
        <v>7</v>
      </c>
      <c r="AN159" t="str">
        <f t="shared" si="67"/>
        <v>Neutral</v>
      </c>
      <c r="AO159" s="31">
        <f t="shared" si="68"/>
        <v>1</v>
      </c>
      <c r="AP159">
        <f>step3_validation[[#This Row],[AI_TRU2]]</f>
        <v>9</v>
      </c>
      <c r="AQ159" t="str">
        <f t="shared" si="69"/>
        <v>Support</v>
      </c>
      <c r="AR159">
        <f>survey_responses[[#This Row],[Tôi thấy mức thuế tôi phải đóng theo phương án mới là công bằng (người thu nhập như tôi đóng mức này là hợp lý). - HUMAN-TRU2]]</f>
        <v>5</v>
      </c>
      <c r="AS159" t="str">
        <f t="shared" si="70"/>
        <v>Neutral</v>
      </c>
      <c r="AT159" s="31">
        <f t="shared" si="71"/>
        <v>4</v>
      </c>
      <c r="AU159">
        <f>step3_validation[[#This Row],[AI_TRU3]]</f>
        <v>8</v>
      </c>
      <c r="AV159" t="str">
        <f t="shared" si="72"/>
        <v>Support</v>
      </c>
      <c r="AW159">
        <f>survey_responses[[#This Row],[Tôi tin tưởng số tiền thuế tôi đóng sẽ được Nhà nước sử dụng hiệu quả để cải thiện dịch vụ công (y tế, đường xá...). - HUMAN-TRU3]]</f>
        <v>6</v>
      </c>
      <c r="AX159" t="str">
        <f t="shared" si="73"/>
        <v>Neutral</v>
      </c>
      <c r="AY159" s="31">
        <f t="shared" si="74"/>
        <v>2</v>
      </c>
      <c r="AZ159">
        <f>step3_validation[[#This Row],[AI_TRU4]]</f>
        <v>9</v>
      </c>
      <c r="BA159" t="str">
        <f t="shared" si="75"/>
        <v>Support</v>
      </c>
      <c r="BB159">
        <f>survey_responses[[#This Row],[Tôi thấy Nhà nước đã giải thích rõ ràng, minh bạch về lý do và mục tiêu của việc sửa đổi thuế lần này. - HUMAN-TRU4]]</f>
        <v>7</v>
      </c>
      <c r="BC159" t="str">
        <f t="shared" si="76"/>
        <v>Neutral</v>
      </c>
      <c r="BD159" s="31">
        <f t="shared" si="77"/>
        <v>2</v>
      </c>
      <c r="BE159">
        <f>step3_validation[[#This Row],[AI_OUT1]]</f>
        <v>10</v>
      </c>
      <c r="BF159" t="str">
        <f t="shared" si="78"/>
        <v>Support</v>
      </c>
      <c r="BG159">
        <f>survey_responses[[#This Row],[Sau khi xem xét các quyền lợi và nghĩa vụ, bạn có ủng hộ và tuân thủ chính sách mới hiện nay? - HUMAN-OUT1]]</f>
        <v>7</v>
      </c>
      <c r="BH159" t="str">
        <f t="shared" si="79"/>
        <v>Neutral</v>
      </c>
      <c r="BI159" s="31">
        <f t="shared" si="80"/>
        <v>3</v>
      </c>
    </row>
    <row r="160" spans="1:61" hidden="1" x14ac:dyDescent="0.45">
      <c r="A160" s="29">
        <f>step3_validation[[#This Row],[Persona_ID]]</f>
        <v>159</v>
      </c>
      <c r="B160" s="30">
        <f>step3_validation[[#This Row],[Used_Seed]]</f>
        <v>200</v>
      </c>
      <c r="C160" t="str">
        <f>step3_validation[[#This Row],[Gender]]</f>
        <v>Nam</v>
      </c>
      <c r="D160" t="str">
        <f>survey_responses[[#This Row],[Giới tính của bạn:]]</f>
        <v>Nam</v>
      </c>
      <c r="E160" t="str">
        <f>step3_validation[[#This Row],[Age_Group]]</f>
        <v>40 - 49</v>
      </c>
      <c r="F160" t="str">
        <f>survey_responses[[#This Row],[Độ tuổi của bạn:]]</f>
        <v>40 - 49</v>
      </c>
      <c r="G160" t="str">
        <f>step3_validation[[#This Row],[Region]]</f>
        <v>Thành thị</v>
      </c>
      <c r="H160" t="str">
        <f>survey_responses[[#This Row],[Khu vực bạn đang sinh sống:]]</f>
        <v>Thành thị</v>
      </c>
      <c r="I160" t="str">
        <f>step3_validation[[#This Row],[Education]]</f>
        <v>Đại học</v>
      </c>
      <c r="J160" t="str">
        <f>survey_responses[[#This Row],[Trình độ học vấn cao nhất:]]</f>
        <v>Đại học</v>
      </c>
      <c r="K160" t="str">
        <f>step3_validation[[#This Row],[Employment]]</f>
        <v>Chính thức</v>
      </c>
      <c r="L160" t="str">
        <f>survey_responses[[#This Row],[Tình trạng việc làm chính:]]</f>
        <v>Khu vực chính thức (Có Hợp đồng lao động, đóng BHXH)</v>
      </c>
      <c r="M160">
        <f>step3_validation[[#This Row],[Income_Mil]]</f>
        <v>38.827297441976498</v>
      </c>
      <c r="N160" t="str">
        <f>survey_responses[[#This Row],[Thu nhập bình quân tháng theo Hợp đồng lao động của bạn là bao nhiêu? (Vui lòng điền tổng thu nhập trước khi khấu trừ các loại Bảo hiểm (BHXH, BHYT, BHTN) và Thuế TNCN)]]</f>
        <v>Từ 32 - 48 triệu VNĐ</v>
      </c>
      <c r="O160">
        <f>step3_validation[[#This Row],[Dependents]]</f>
        <v>0</v>
      </c>
      <c r="P160" t="str">
        <f>survey_responses[[#This Row],[Số người phụ thuộc (con nhỏ, cha mẹ già...) đủ điều kiện giảm trừ gia cảnh:]]</f>
        <v>0 người</v>
      </c>
      <c r="Q160">
        <f>step3_validation[[#This Row],[AI_ENF1]]</f>
        <v>7</v>
      </c>
      <c r="R160" t="str">
        <f t="shared" si="54"/>
        <v>Neutral</v>
      </c>
      <c r="S160">
        <f>survey_responses[[#This Row],[Tôi tin rằng với các quy định quản lý thuế hiện nay, hành vi gian lận hoặc trốn thuế sẽ dễ dàng bị phát hiện và xử lý nghiêm. - HUMAN-ENF1]]</f>
        <v>2</v>
      </c>
      <c r="T160" t="str">
        <f t="shared" si="55"/>
        <v>Oppose</v>
      </c>
      <c r="U160" s="31">
        <f t="shared" si="56"/>
        <v>5</v>
      </c>
      <c r="V160">
        <f>step3_validation[[#This Row],[AI_ENF2]]</f>
        <v>6</v>
      </c>
      <c r="W160" t="str">
        <f t="shared" si="57"/>
        <v>Neutral</v>
      </c>
      <c r="X160">
        <f>survey_responses[[#This Row],[Tôi tin rằng Nhà nước, cơ quan thuế có đủ khả năng và công nghệ để phát hiện, xử lý nghiêm các hành vi trốn thuế. - HUMAN-ENF2]]</f>
        <v>7</v>
      </c>
      <c r="Y160" t="str">
        <f t="shared" si="58"/>
        <v>Neutral</v>
      </c>
      <c r="Z160" s="31">
        <f t="shared" si="59"/>
        <v>1</v>
      </c>
      <c r="AA160">
        <f>step3_validation[[#This Row],[AI_FAC1]]</f>
        <v>8</v>
      </c>
      <c r="AB160" t="str">
        <f t="shared" si="60"/>
        <v>Support</v>
      </c>
      <c r="AC160">
        <f>survey_responses[[#This Row],[Các thủ tục khai báo thuế VÀ/HOẶC quy trình làm việc với cơ quan thuế đơn giản, tiện lợi, nhanh chóng hơn so với trước đây. - HUMAN-FAC1]]</f>
        <v>10</v>
      </c>
      <c r="AD160" t="str">
        <f t="shared" si="61"/>
        <v>Support</v>
      </c>
      <c r="AE160" s="31">
        <f t="shared" si="62"/>
        <v>2</v>
      </c>
      <c r="AF160">
        <f>step3_validation[[#This Row],[AI_FAC2]]</f>
        <v>9</v>
      </c>
      <c r="AG160" t="str">
        <f t="shared" si="63"/>
        <v>Support</v>
      </c>
      <c r="AH160">
        <f>survey_responses[[#This Row],[So với trước đây, tôi thấy cách tính thuế và các bậc thuế trong phương án mới đơn giản, dễ hiểu và dễ thực hiện hơn. - HUMAN-FAC2]]</f>
        <v>2</v>
      </c>
      <c r="AI160" t="str">
        <f t="shared" si="64"/>
        <v>Oppose</v>
      </c>
      <c r="AJ160" s="31">
        <f t="shared" si="65"/>
        <v>7</v>
      </c>
      <c r="AK160">
        <f>step3_validation[[#This Row],[AI_TRU1]]</f>
        <v>7</v>
      </c>
      <c r="AL160" t="str">
        <f t="shared" si="66"/>
        <v>Neutral</v>
      </c>
      <c r="AM160">
        <f>survey_responses[[#This Row],[Tôi tin rằng Nhà nước, cơ quan thuế sẽ thực thi chính sách mới một cách khách quan, công tâm và đối xử bình đẳng với mọi người nộp thuế.  - HUMAN-TRU1]]</f>
        <v>10</v>
      </c>
      <c r="AN160" t="str">
        <f t="shared" si="67"/>
        <v>Support</v>
      </c>
      <c r="AO160" s="31">
        <f t="shared" si="68"/>
        <v>3</v>
      </c>
      <c r="AP160">
        <f>step3_validation[[#This Row],[AI_TRU2]]</f>
        <v>8</v>
      </c>
      <c r="AQ160" t="str">
        <f t="shared" si="69"/>
        <v>Support</v>
      </c>
      <c r="AR160">
        <f>survey_responses[[#This Row],[Tôi thấy mức thuế tôi phải đóng theo phương án mới là công bằng (người thu nhập như tôi đóng mức này là hợp lý). - HUMAN-TRU2]]</f>
        <v>5</v>
      </c>
      <c r="AS160" t="str">
        <f t="shared" si="70"/>
        <v>Neutral</v>
      </c>
      <c r="AT160" s="31">
        <f t="shared" si="71"/>
        <v>3</v>
      </c>
      <c r="AU160">
        <f>step3_validation[[#This Row],[AI_TRU3]]</f>
        <v>7</v>
      </c>
      <c r="AV160" t="str">
        <f t="shared" si="72"/>
        <v>Neutral</v>
      </c>
      <c r="AW160">
        <f>survey_responses[[#This Row],[Tôi tin tưởng số tiền thuế tôi đóng sẽ được Nhà nước sử dụng hiệu quả để cải thiện dịch vụ công (y tế, đường xá...). - HUMAN-TRU3]]</f>
        <v>10</v>
      </c>
      <c r="AX160" t="str">
        <f t="shared" si="73"/>
        <v>Support</v>
      </c>
      <c r="AY160" s="31">
        <f t="shared" si="74"/>
        <v>3</v>
      </c>
      <c r="AZ160">
        <f>step3_validation[[#This Row],[AI_TRU4]]</f>
        <v>6</v>
      </c>
      <c r="BA160" t="str">
        <f t="shared" si="75"/>
        <v>Neutral</v>
      </c>
      <c r="BB160">
        <f>survey_responses[[#This Row],[Tôi thấy Nhà nước đã giải thích rõ ràng, minh bạch về lý do và mục tiêu của việc sửa đổi thuế lần này. - HUMAN-TRU4]]</f>
        <v>3</v>
      </c>
      <c r="BC160" t="str">
        <f t="shared" si="76"/>
        <v>Oppose</v>
      </c>
      <c r="BD160" s="31">
        <f t="shared" si="77"/>
        <v>3</v>
      </c>
      <c r="BE160">
        <f>step3_validation[[#This Row],[AI_OUT1]]</f>
        <v>9</v>
      </c>
      <c r="BF160" t="str">
        <f t="shared" si="78"/>
        <v>Support</v>
      </c>
      <c r="BG160">
        <f>survey_responses[[#This Row],[Sau khi xem xét các quyền lợi và nghĩa vụ, bạn có ủng hộ và tuân thủ chính sách mới hiện nay? - HUMAN-OUT1]]</f>
        <v>3</v>
      </c>
      <c r="BH160" t="str">
        <f t="shared" si="79"/>
        <v>Oppose</v>
      </c>
      <c r="BI160" s="31">
        <f t="shared" si="80"/>
        <v>6</v>
      </c>
    </row>
    <row r="161" spans="1:61" hidden="1" x14ac:dyDescent="0.45">
      <c r="A161" s="29">
        <f>step3_validation[[#This Row],[Persona_ID]]</f>
        <v>160</v>
      </c>
      <c r="B161" s="30">
        <f>step3_validation[[#This Row],[Used_Seed]]</f>
        <v>201</v>
      </c>
      <c r="C161" t="str">
        <f>step3_validation[[#This Row],[Gender]]</f>
        <v>Nữ</v>
      </c>
      <c r="D161" t="str">
        <f>survey_responses[[#This Row],[Giới tính của bạn:]]</f>
        <v>Nữ</v>
      </c>
      <c r="E161" t="str">
        <f>step3_validation[[#This Row],[Age_Group]]</f>
        <v>30 - 39</v>
      </c>
      <c r="F161" t="str">
        <f>survey_responses[[#This Row],[Độ tuổi của bạn:]]</f>
        <v>30 - 39</v>
      </c>
      <c r="G161" t="str">
        <f>step3_validation[[#This Row],[Region]]</f>
        <v>Thành thị</v>
      </c>
      <c r="H161" t="str">
        <f>survey_responses[[#This Row],[Khu vực bạn đang sinh sống:]]</f>
        <v>Thành thị</v>
      </c>
      <c r="I161" t="str">
        <f>step3_validation[[#This Row],[Education]]</f>
        <v>Sau Đại học</v>
      </c>
      <c r="J161" t="str">
        <f>survey_responses[[#This Row],[Trình độ học vấn cao nhất:]]</f>
        <v>Sau Đại học</v>
      </c>
      <c r="K161" t="str">
        <f>step3_validation[[#This Row],[Employment]]</f>
        <v>Chính thức</v>
      </c>
      <c r="L161" t="str">
        <f>survey_responses[[#This Row],[Tình trạng việc làm chính:]]</f>
        <v>Khu vực chính thức (Có Hợp đồng lao động, đóng BHXH)</v>
      </c>
      <c r="M161">
        <f>step3_validation[[#This Row],[Income_Mil]]</f>
        <v>40.738305352137964</v>
      </c>
      <c r="N161" t="str">
        <f>survey_responses[[#This Row],[Thu nhập bình quân tháng theo Hợp đồng lao động của bạn là bao nhiêu? (Vui lòng điền tổng thu nhập trước khi khấu trừ các loại Bảo hiểm (BHXH, BHYT, BHTN) và Thuế TNCN)]]</f>
        <v>Từ 32 - 48 triệu VNĐ</v>
      </c>
      <c r="O161">
        <f>step3_validation[[#This Row],[Dependents]]</f>
        <v>0</v>
      </c>
      <c r="P161" t="str">
        <f>survey_responses[[#This Row],[Số người phụ thuộc (con nhỏ, cha mẹ già...) đủ điều kiện giảm trừ gia cảnh:]]</f>
        <v>0 người</v>
      </c>
      <c r="Q161">
        <f>step3_validation[[#This Row],[AI_ENF1]]</f>
        <v>9</v>
      </c>
      <c r="R161" t="str">
        <f t="shared" si="54"/>
        <v>Support</v>
      </c>
      <c r="S161">
        <f>survey_responses[[#This Row],[Tôi tin rằng với các quy định quản lý thuế hiện nay, hành vi gian lận hoặc trốn thuế sẽ dễ dàng bị phát hiện và xử lý nghiêm. - HUMAN-ENF1]]</f>
        <v>9</v>
      </c>
      <c r="T161" t="str">
        <f t="shared" si="55"/>
        <v>Support</v>
      </c>
      <c r="U161" s="31">
        <f t="shared" si="56"/>
        <v>0</v>
      </c>
      <c r="V161">
        <f>step3_validation[[#This Row],[AI_ENF2]]</f>
        <v>9</v>
      </c>
      <c r="W161" t="str">
        <f t="shared" si="57"/>
        <v>Support</v>
      </c>
      <c r="X161">
        <f>survey_responses[[#This Row],[Tôi tin rằng Nhà nước, cơ quan thuế có đủ khả năng và công nghệ để phát hiện, xử lý nghiêm các hành vi trốn thuế. - HUMAN-ENF2]]</f>
        <v>9</v>
      </c>
      <c r="Y161" t="str">
        <f t="shared" si="58"/>
        <v>Support</v>
      </c>
      <c r="Z161" s="31">
        <f t="shared" si="59"/>
        <v>0</v>
      </c>
      <c r="AA161">
        <f>step3_validation[[#This Row],[AI_FAC1]]</f>
        <v>7</v>
      </c>
      <c r="AB161" t="str">
        <f t="shared" si="60"/>
        <v>Neutral</v>
      </c>
      <c r="AC161">
        <f>survey_responses[[#This Row],[Các thủ tục khai báo thuế VÀ/HOẶC quy trình làm việc với cơ quan thuế đơn giản, tiện lợi, nhanh chóng hơn so với trước đây. - HUMAN-FAC1]]</f>
        <v>10</v>
      </c>
      <c r="AD161" t="str">
        <f t="shared" si="61"/>
        <v>Support</v>
      </c>
      <c r="AE161" s="31">
        <f t="shared" si="62"/>
        <v>3</v>
      </c>
      <c r="AF161">
        <f>step3_validation[[#This Row],[AI_FAC2]]</f>
        <v>8</v>
      </c>
      <c r="AG161" t="str">
        <f t="shared" si="63"/>
        <v>Support</v>
      </c>
      <c r="AH161">
        <f>survey_responses[[#This Row],[So với trước đây, tôi thấy cách tính thuế và các bậc thuế trong phương án mới đơn giản, dễ hiểu và dễ thực hiện hơn. - HUMAN-FAC2]]</f>
        <v>2</v>
      </c>
      <c r="AI161" t="str">
        <f t="shared" si="64"/>
        <v>Oppose</v>
      </c>
      <c r="AJ161" s="31">
        <f t="shared" si="65"/>
        <v>6</v>
      </c>
      <c r="AK161">
        <f>step3_validation[[#This Row],[AI_TRU1]]</f>
        <v>9</v>
      </c>
      <c r="AL161" t="str">
        <f t="shared" si="66"/>
        <v>Support</v>
      </c>
      <c r="AM161">
        <f>survey_responses[[#This Row],[Tôi tin rằng Nhà nước, cơ quan thuế sẽ thực thi chính sách mới một cách khách quan, công tâm và đối xử bình đẳng với mọi người nộp thuế.  - HUMAN-TRU1]]</f>
        <v>9</v>
      </c>
      <c r="AN161" t="str">
        <f t="shared" si="67"/>
        <v>Support</v>
      </c>
      <c r="AO161" s="31">
        <f t="shared" si="68"/>
        <v>0</v>
      </c>
      <c r="AP161">
        <f>step3_validation[[#This Row],[AI_TRU2]]</f>
        <v>8</v>
      </c>
      <c r="AQ161" t="str">
        <f t="shared" si="69"/>
        <v>Support</v>
      </c>
      <c r="AR161">
        <f>survey_responses[[#This Row],[Tôi thấy mức thuế tôi phải đóng theo phương án mới là công bằng (người thu nhập như tôi đóng mức này là hợp lý). - HUMAN-TRU2]]</f>
        <v>9</v>
      </c>
      <c r="AS161" t="str">
        <f t="shared" si="70"/>
        <v>Support</v>
      </c>
      <c r="AT161" s="31">
        <f t="shared" si="71"/>
        <v>1</v>
      </c>
      <c r="AU161">
        <f>step3_validation[[#This Row],[AI_TRU3]]</f>
        <v>9</v>
      </c>
      <c r="AV161" t="str">
        <f t="shared" si="72"/>
        <v>Support</v>
      </c>
      <c r="AW161">
        <f>survey_responses[[#This Row],[Tôi tin tưởng số tiền thuế tôi đóng sẽ được Nhà nước sử dụng hiệu quả để cải thiện dịch vụ công (y tế, đường xá...). - HUMAN-TRU3]]</f>
        <v>6</v>
      </c>
      <c r="AX161" t="str">
        <f t="shared" si="73"/>
        <v>Neutral</v>
      </c>
      <c r="AY161" s="31">
        <f t="shared" si="74"/>
        <v>3</v>
      </c>
      <c r="AZ161">
        <f>step3_validation[[#This Row],[AI_TRU4]]</f>
        <v>8</v>
      </c>
      <c r="BA161" t="str">
        <f t="shared" si="75"/>
        <v>Support</v>
      </c>
      <c r="BB161">
        <f>survey_responses[[#This Row],[Tôi thấy Nhà nước đã giải thích rõ ràng, minh bạch về lý do và mục tiêu của việc sửa đổi thuế lần này. - HUMAN-TRU4]]</f>
        <v>8</v>
      </c>
      <c r="BC161" t="str">
        <f t="shared" si="76"/>
        <v>Support</v>
      </c>
      <c r="BD161" s="31">
        <f t="shared" si="77"/>
        <v>0</v>
      </c>
      <c r="BE161">
        <f>step3_validation[[#This Row],[AI_OUT1]]</f>
        <v>9</v>
      </c>
      <c r="BF161" t="str">
        <f t="shared" si="78"/>
        <v>Support</v>
      </c>
      <c r="BG161">
        <f>survey_responses[[#This Row],[Sau khi xem xét các quyền lợi và nghĩa vụ, bạn có ủng hộ và tuân thủ chính sách mới hiện nay? - HUMAN-OUT1]]</f>
        <v>10</v>
      </c>
      <c r="BH161" t="str">
        <f t="shared" si="79"/>
        <v>Support</v>
      </c>
      <c r="BI161" s="31">
        <f t="shared" si="80"/>
        <v>1</v>
      </c>
    </row>
    <row r="162" spans="1:61" hidden="1" x14ac:dyDescent="0.45">
      <c r="A162" s="29">
        <f>step3_validation[[#This Row],[Persona_ID]]</f>
        <v>161</v>
      </c>
      <c r="B162" s="30">
        <f>step3_validation[[#This Row],[Used_Seed]]</f>
        <v>202</v>
      </c>
      <c r="C162" t="str">
        <f>step3_validation[[#This Row],[Gender]]</f>
        <v>Nữ</v>
      </c>
      <c r="D162" t="str">
        <f>survey_responses[[#This Row],[Giới tính của bạn:]]</f>
        <v>Nữ</v>
      </c>
      <c r="E162" t="str">
        <f>step3_validation[[#This Row],[Age_Group]]</f>
        <v>30 - 39</v>
      </c>
      <c r="F162" t="str">
        <f>survey_responses[[#This Row],[Độ tuổi của bạn:]]</f>
        <v>30 - 39</v>
      </c>
      <c r="G162" t="str">
        <f>step3_validation[[#This Row],[Region]]</f>
        <v>Thành thị</v>
      </c>
      <c r="H162" t="str">
        <f>survey_responses[[#This Row],[Khu vực bạn đang sinh sống:]]</f>
        <v>Thành thị</v>
      </c>
      <c r="I162" t="str">
        <f>step3_validation[[#This Row],[Education]]</f>
        <v>Đại học</v>
      </c>
      <c r="J162" t="str">
        <f>survey_responses[[#This Row],[Trình độ học vấn cao nhất:]]</f>
        <v>Đại học</v>
      </c>
      <c r="K162" t="str">
        <f>step3_validation[[#This Row],[Employment]]</f>
        <v>Chính thức</v>
      </c>
      <c r="L162" t="str">
        <f>survey_responses[[#This Row],[Tình trạng việc làm chính:]]</f>
        <v>Khu vực chính thức (Có Hợp đồng lao động, đóng BHXH)</v>
      </c>
      <c r="M162">
        <f>step3_validation[[#This Row],[Income_Mil]]</f>
        <v>16.63015973239985</v>
      </c>
      <c r="N162" t="str">
        <f>survey_responses[[#This Row],[Thu nhập bình quân tháng theo Hợp đồng lao động của bạn là bao nhiêu? (Vui lòng điền tổng thu nhập trước khi khấu trừ các loại Bảo hiểm (BHXH, BHYT, BHTN) và Thuế TNCN)]]</f>
        <v>Từ 12 - 18 triệu VNĐ</v>
      </c>
      <c r="O162">
        <f>step3_validation[[#This Row],[Dependents]]</f>
        <v>0</v>
      </c>
      <c r="P162" t="str">
        <f>survey_responses[[#This Row],[Số người phụ thuộc (con nhỏ, cha mẹ già...) đủ điều kiện giảm trừ gia cảnh:]]</f>
        <v>0 người</v>
      </c>
      <c r="Q162">
        <f>step3_validation[[#This Row],[AI_ENF1]]</f>
        <v>6</v>
      </c>
      <c r="R162" t="str">
        <f t="shared" si="54"/>
        <v>Neutral</v>
      </c>
      <c r="S162">
        <f>survey_responses[[#This Row],[Tôi tin rằng với các quy định quản lý thuế hiện nay, hành vi gian lận hoặc trốn thuế sẽ dễ dàng bị phát hiện và xử lý nghiêm. - HUMAN-ENF1]]</f>
        <v>7</v>
      </c>
      <c r="T162" t="str">
        <f t="shared" si="55"/>
        <v>Neutral</v>
      </c>
      <c r="U162" s="31">
        <f t="shared" si="56"/>
        <v>1</v>
      </c>
      <c r="V162">
        <f>step3_validation[[#This Row],[AI_ENF2]]</f>
        <v>7</v>
      </c>
      <c r="W162" t="str">
        <f t="shared" si="57"/>
        <v>Neutral</v>
      </c>
      <c r="X162">
        <f>survey_responses[[#This Row],[Tôi tin rằng Nhà nước, cơ quan thuế có đủ khả năng và công nghệ để phát hiện, xử lý nghiêm các hành vi trốn thuế. - HUMAN-ENF2]]</f>
        <v>5</v>
      </c>
      <c r="Y162" t="str">
        <f t="shared" si="58"/>
        <v>Neutral</v>
      </c>
      <c r="Z162" s="31">
        <f t="shared" si="59"/>
        <v>2</v>
      </c>
      <c r="AA162">
        <f>step3_validation[[#This Row],[AI_FAC1]]</f>
        <v>8</v>
      </c>
      <c r="AB162" t="str">
        <f t="shared" si="60"/>
        <v>Support</v>
      </c>
      <c r="AC162">
        <f>survey_responses[[#This Row],[Các thủ tục khai báo thuế VÀ/HOẶC quy trình làm việc với cơ quan thuế đơn giản, tiện lợi, nhanh chóng hơn so với trước đây. - HUMAN-FAC1]]</f>
        <v>7</v>
      </c>
      <c r="AD162" t="str">
        <f t="shared" si="61"/>
        <v>Neutral</v>
      </c>
      <c r="AE162" s="31">
        <f t="shared" si="62"/>
        <v>1</v>
      </c>
      <c r="AF162">
        <f>step3_validation[[#This Row],[AI_FAC2]]</f>
        <v>9</v>
      </c>
      <c r="AG162" t="str">
        <f t="shared" si="63"/>
        <v>Support</v>
      </c>
      <c r="AH162">
        <f>survey_responses[[#This Row],[So với trước đây, tôi thấy cách tính thuế và các bậc thuế trong phương án mới đơn giản, dễ hiểu và dễ thực hiện hơn. - HUMAN-FAC2]]</f>
        <v>5</v>
      </c>
      <c r="AI162" t="str">
        <f t="shared" si="64"/>
        <v>Neutral</v>
      </c>
      <c r="AJ162" s="31">
        <f t="shared" si="65"/>
        <v>4</v>
      </c>
      <c r="AK162">
        <f>step3_validation[[#This Row],[AI_TRU1]]</f>
        <v>7</v>
      </c>
      <c r="AL162" t="str">
        <f t="shared" si="66"/>
        <v>Neutral</v>
      </c>
      <c r="AM162">
        <f>survey_responses[[#This Row],[Tôi tin rằng Nhà nước, cơ quan thuế sẽ thực thi chính sách mới một cách khách quan, công tâm và đối xử bình đẳng với mọi người nộp thuế.  - HUMAN-TRU1]]</f>
        <v>3</v>
      </c>
      <c r="AN162" t="str">
        <f t="shared" si="67"/>
        <v>Oppose</v>
      </c>
      <c r="AO162" s="31">
        <f t="shared" si="68"/>
        <v>4</v>
      </c>
      <c r="AP162">
        <f>step3_validation[[#This Row],[AI_TRU2]]</f>
        <v>9</v>
      </c>
      <c r="AQ162" t="str">
        <f t="shared" si="69"/>
        <v>Support</v>
      </c>
      <c r="AR162">
        <f>survey_responses[[#This Row],[Tôi thấy mức thuế tôi phải đóng theo phương án mới là công bằng (người thu nhập như tôi đóng mức này là hợp lý). - HUMAN-TRU2]]</f>
        <v>4</v>
      </c>
      <c r="AS162" t="str">
        <f t="shared" si="70"/>
        <v>Oppose</v>
      </c>
      <c r="AT162" s="31">
        <f t="shared" si="71"/>
        <v>5</v>
      </c>
      <c r="AU162">
        <f>step3_validation[[#This Row],[AI_TRU3]]</f>
        <v>7</v>
      </c>
      <c r="AV162" t="str">
        <f t="shared" si="72"/>
        <v>Neutral</v>
      </c>
      <c r="AW162">
        <f>survey_responses[[#This Row],[Tôi tin tưởng số tiền thuế tôi đóng sẽ được Nhà nước sử dụng hiệu quả để cải thiện dịch vụ công (y tế, đường xá...). - HUMAN-TRU3]]</f>
        <v>1</v>
      </c>
      <c r="AX162" t="str">
        <f t="shared" si="73"/>
        <v>Oppose</v>
      </c>
      <c r="AY162" s="31">
        <f t="shared" si="74"/>
        <v>6</v>
      </c>
      <c r="AZ162">
        <f>step3_validation[[#This Row],[AI_TRU4]]</f>
        <v>8</v>
      </c>
      <c r="BA162" t="str">
        <f t="shared" si="75"/>
        <v>Support</v>
      </c>
      <c r="BB162">
        <f>survey_responses[[#This Row],[Tôi thấy Nhà nước đã giải thích rõ ràng, minh bạch về lý do và mục tiêu của việc sửa đổi thuế lần này. - HUMAN-TRU4]]</f>
        <v>5</v>
      </c>
      <c r="BC162" t="str">
        <f t="shared" si="76"/>
        <v>Neutral</v>
      </c>
      <c r="BD162" s="31">
        <f t="shared" si="77"/>
        <v>3</v>
      </c>
      <c r="BE162">
        <f>step3_validation[[#This Row],[AI_OUT1]]</f>
        <v>9</v>
      </c>
      <c r="BF162" t="str">
        <f t="shared" si="78"/>
        <v>Support</v>
      </c>
      <c r="BG162">
        <f>survey_responses[[#This Row],[Sau khi xem xét các quyền lợi và nghĩa vụ, bạn có ủng hộ và tuân thủ chính sách mới hiện nay? - HUMAN-OUT1]]</f>
        <v>5</v>
      </c>
      <c r="BH162" t="str">
        <f t="shared" si="79"/>
        <v>Neutral</v>
      </c>
      <c r="BI162" s="31">
        <f t="shared" si="80"/>
        <v>4</v>
      </c>
    </row>
    <row r="163" spans="1:61" x14ac:dyDescent="0.45">
      <c r="A163" s="29">
        <f>step3_validation[[#This Row],[Persona_ID]]</f>
        <v>162</v>
      </c>
      <c r="B163" s="30">
        <f>step3_validation[[#This Row],[Used_Seed]]</f>
        <v>203</v>
      </c>
      <c r="C163" t="str">
        <f>step3_validation[[#This Row],[Gender]]</f>
        <v>Nữ</v>
      </c>
      <c r="D163" t="str">
        <f>survey_responses[[#This Row],[Giới tính của bạn:]]</f>
        <v>Nữ</v>
      </c>
      <c r="E163" t="str">
        <f>step3_validation[[#This Row],[Age_Group]]</f>
        <v>25 - 29</v>
      </c>
      <c r="F163" t="str">
        <f>survey_responses[[#This Row],[Độ tuổi của bạn:]]</f>
        <v>25 - 29</v>
      </c>
      <c r="G163" t="str">
        <f>step3_validation[[#This Row],[Region]]</f>
        <v>Thành thị</v>
      </c>
      <c r="H163" t="str">
        <f>survey_responses[[#This Row],[Khu vực bạn đang sinh sống:]]</f>
        <v>Thành thị</v>
      </c>
      <c r="I163" t="str">
        <f>step3_validation[[#This Row],[Education]]</f>
        <v>Đại học</v>
      </c>
      <c r="J163" t="str">
        <f>survey_responses[[#This Row],[Trình độ học vấn cao nhất:]]</f>
        <v>Đại học</v>
      </c>
      <c r="K163" t="str">
        <f>step3_validation[[#This Row],[Employment]]</f>
        <v>Chính thức</v>
      </c>
      <c r="L163" t="str">
        <f>survey_responses[[#This Row],[Tình trạng việc làm chính:]]</f>
        <v>Khu vực chính thức (Có Hợp đồng lao động, đóng BHXH)</v>
      </c>
      <c r="M163">
        <f>step3_validation[[#This Row],[Income_Mil]]</f>
        <v>12</v>
      </c>
      <c r="N163" t="str">
        <f>survey_responses[[#This Row],[Thu nhập bình quân tháng theo Hợp đồng lao động của bạn là bao nhiêu? (Vui lòng điền tổng thu nhập trước khi khấu trừ các loại Bảo hiểm (BHXH, BHYT, BHTN) và Thuế TNCN)]]</f>
        <v>Dưới 12 triệu VNĐ</v>
      </c>
      <c r="O163">
        <f>step3_validation[[#This Row],[Dependents]]</f>
        <v>0</v>
      </c>
      <c r="P163" t="str">
        <f>survey_responses[[#This Row],[Số người phụ thuộc (con nhỏ, cha mẹ già...) đủ điều kiện giảm trừ gia cảnh:]]</f>
        <v>0 người</v>
      </c>
      <c r="Q163">
        <f>step3_validation[[#This Row],[AI_ENF1]]</f>
        <v>8</v>
      </c>
      <c r="R163" t="str">
        <f t="shared" si="54"/>
        <v>Support</v>
      </c>
      <c r="S163">
        <f>survey_responses[[#This Row],[Tôi tin rằng với các quy định quản lý thuế hiện nay, hành vi gian lận hoặc trốn thuế sẽ dễ dàng bị phát hiện và xử lý nghiêm. - HUMAN-ENF1]]</f>
        <v>3</v>
      </c>
      <c r="T163" t="str">
        <f t="shared" si="55"/>
        <v>Oppose</v>
      </c>
      <c r="U163" s="31">
        <f t="shared" si="56"/>
        <v>5</v>
      </c>
      <c r="V163">
        <f>step3_validation[[#This Row],[AI_ENF2]]</f>
        <v>8</v>
      </c>
      <c r="W163" t="str">
        <f t="shared" si="57"/>
        <v>Support</v>
      </c>
      <c r="X163">
        <f>survey_responses[[#This Row],[Tôi tin rằng Nhà nước, cơ quan thuế có đủ khả năng và công nghệ để phát hiện, xử lý nghiêm các hành vi trốn thuế. - HUMAN-ENF2]]</f>
        <v>8</v>
      </c>
      <c r="Y163" t="str">
        <f t="shared" si="58"/>
        <v>Support</v>
      </c>
      <c r="Z163" s="31">
        <f t="shared" si="59"/>
        <v>0</v>
      </c>
      <c r="AA163">
        <f>step3_validation[[#This Row],[AI_FAC1]]</f>
        <v>9</v>
      </c>
      <c r="AB163" t="str">
        <f t="shared" si="60"/>
        <v>Support</v>
      </c>
      <c r="AC163">
        <f>survey_responses[[#This Row],[Các thủ tục khai báo thuế VÀ/HOẶC quy trình làm việc với cơ quan thuế đơn giản, tiện lợi, nhanh chóng hơn so với trước đây. - HUMAN-FAC1]]</f>
        <v>4</v>
      </c>
      <c r="AD163" t="str">
        <f t="shared" si="61"/>
        <v>Oppose</v>
      </c>
      <c r="AE163" s="31">
        <f t="shared" si="62"/>
        <v>5</v>
      </c>
      <c r="AF163">
        <f>step3_validation[[#This Row],[AI_FAC2]]</f>
        <v>9</v>
      </c>
      <c r="AG163" t="str">
        <f t="shared" si="63"/>
        <v>Support</v>
      </c>
      <c r="AH163">
        <f>survey_responses[[#This Row],[So với trước đây, tôi thấy cách tính thuế và các bậc thuế trong phương án mới đơn giản, dễ hiểu và dễ thực hiện hơn. - HUMAN-FAC2]]</f>
        <v>5</v>
      </c>
      <c r="AI163" t="str">
        <f t="shared" si="64"/>
        <v>Neutral</v>
      </c>
      <c r="AJ163" s="31">
        <f t="shared" si="65"/>
        <v>4</v>
      </c>
      <c r="AK163">
        <f>step3_validation[[#This Row],[AI_TRU1]]</f>
        <v>8</v>
      </c>
      <c r="AL163" t="str">
        <f t="shared" si="66"/>
        <v>Support</v>
      </c>
      <c r="AM163">
        <f>survey_responses[[#This Row],[Tôi tin rằng Nhà nước, cơ quan thuế sẽ thực thi chính sách mới một cách khách quan, công tâm và đối xử bình đẳng với mọi người nộp thuế.  - HUMAN-TRU1]]</f>
        <v>5</v>
      </c>
      <c r="AN163" t="str">
        <f t="shared" si="67"/>
        <v>Neutral</v>
      </c>
      <c r="AO163" s="31">
        <f t="shared" si="68"/>
        <v>3</v>
      </c>
      <c r="AP163">
        <f>step3_validation[[#This Row],[AI_TRU2]]</f>
        <v>9</v>
      </c>
      <c r="AQ163" t="str">
        <f t="shared" si="69"/>
        <v>Support</v>
      </c>
      <c r="AR163">
        <f>survey_responses[[#This Row],[Tôi thấy mức thuế tôi phải đóng theo phương án mới là công bằng (người thu nhập như tôi đóng mức này là hợp lý). - HUMAN-TRU2]]</f>
        <v>5</v>
      </c>
      <c r="AS163" t="str">
        <f t="shared" si="70"/>
        <v>Neutral</v>
      </c>
      <c r="AT163" s="31">
        <f t="shared" si="71"/>
        <v>4</v>
      </c>
      <c r="AU163">
        <f>step3_validation[[#This Row],[AI_TRU3]]</f>
        <v>8</v>
      </c>
      <c r="AV163" t="str">
        <f t="shared" si="72"/>
        <v>Support</v>
      </c>
      <c r="AW163">
        <f>survey_responses[[#This Row],[Tôi tin tưởng số tiền thuế tôi đóng sẽ được Nhà nước sử dụng hiệu quả để cải thiện dịch vụ công (y tế, đường xá...). - HUMAN-TRU3]]</f>
        <v>5</v>
      </c>
      <c r="AX163" t="str">
        <f t="shared" si="73"/>
        <v>Neutral</v>
      </c>
      <c r="AY163" s="31">
        <f t="shared" si="74"/>
        <v>3</v>
      </c>
      <c r="AZ163">
        <f>step3_validation[[#This Row],[AI_TRU4]]</f>
        <v>9</v>
      </c>
      <c r="BA163" t="str">
        <f t="shared" si="75"/>
        <v>Support</v>
      </c>
      <c r="BB163">
        <f>survey_responses[[#This Row],[Tôi thấy Nhà nước đã giải thích rõ ràng, minh bạch về lý do và mục tiêu của việc sửa đổi thuế lần này. - HUMAN-TRU4]]</f>
        <v>5</v>
      </c>
      <c r="BC163" t="str">
        <f t="shared" si="76"/>
        <v>Neutral</v>
      </c>
      <c r="BD163" s="31">
        <f t="shared" si="77"/>
        <v>4</v>
      </c>
      <c r="BE163">
        <f>step3_validation[[#This Row],[AI_OUT1]]</f>
        <v>8</v>
      </c>
      <c r="BF163" t="str">
        <f t="shared" si="78"/>
        <v>Support</v>
      </c>
      <c r="BG163">
        <f>survey_responses[[#This Row],[Sau khi xem xét các quyền lợi và nghĩa vụ, bạn có ủng hộ và tuân thủ chính sách mới hiện nay? - HUMAN-OUT1]]</f>
        <v>5</v>
      </c>
      <c r="BH163" t="str">
        <f t="shared" si="79"/>
        <v>Neutral</v>
      </c>
      <c r="BI163" s="31">
        <f t="shared" si="80"/>
        <v>3</v>
      </c>
    </row>
    <row r="164" spans="1:61" hidden="1" x14ac:dyDescent="0.45">
      <c r="A164" s="29">
        <f>step3_validation[[#This Row],[Persona_ID]]</f>
        <v>163</v>
      </c>
      <c r="B164" s="30">
        <f>step3_validation[[#This Row],[Used_Seed]]</f>
        <v>204</v>
      </c>
      <c r="C164" t="str">
        <f>step3_validation[[#This Row],[Gender]]</f>
        <v>Nữ</v>
      </c>
      <c r="D164" t="str">
        <f>survey_responses[[#This Row],[Giới tính của bạn:]]</f>
        <v>Nữ</v>
      </c>
      <c r="E164" t="str">
        <f>step3_validation[[#This Row],[Age_Group]]</f>
        <v>25 - 29</v>
      </c>
      <c r="F164" t="str">
        <f>survey_responses[[#This Row],[Độ tuổi của bạn:]]</f>
        <v>25 - 29</v>
      </c>
      <c r="G164" t="str">
        <f>step3_validation[[#This Row],[Region]]</f>
        <v>Thành thị</v>
      </c>
      <c r="H164" t="str">
        <f>survey_responses[[#This Row],[Khu vực bạn đang sinh sống:]]</f>
        <v>Thành thị</v>
      </c>
      <c r="I164" t="str">
        <f>step3_validation[[#This Row],[Education]]</f>
        <v>Đại học</v>
      </c>
      <c r="J164" t="str">
        <f>survey_responses[[#This Row],[Trình độ học vấn cao nhất:]]</f>
        <v>Đại học</v>
      </c>
      <c r="K164" t="str">
        <f>step3_validation[[#This Row],[Employment]]</f>
        <v>Chính thức</v>
      </c>
      <c r="L164" t="str">
        <f>survey_responses[[#This Row],[Tình trạng việc làm chính:]]</f>
        <v>Khu vực chính thức (Có Hợp đồng lao động, đóng BHXH)</v>
      </c>
      <c r="M164">
        <f>step3_validation[[#This Row],[Income_Mil]]</f>
        <v>15.86806195917138</v>
      </c>
      <c r="N164" t="str">
        <f>survey_responses[[#This Row],[Thu nhập bình quân tháng theo Hợp đồng lao động của bạn là bao nhiêu? (Vui lòng điền tổng thu nhập trước khi khấu trừ các loại Bảo hiểm (BHXH, BHYT, BHTN) và Thuế TNCN)]]</f>
        <v>Từ 12 - 18 triệu VNĐ</v>
      </c>
      <c r="O164">
        <f>step3_validation[[#This Row],[Dependents]]</f>
        <v>0</v>
      </c>
      <c r="P164" t="str">
        <f>survey_responses[[#This Row],[Số người phụ thuộc (con nhỏ, cha mẹ già...) đủ điều kiện giảm trừ gia cảnh:]]</f>
        <v>0 người</v>
      </c>
      <c r="Q164">
        <f>step3_validation[[#This Row],[AI_ENF1]]</f>
        <v>8</v>
      </c>
      <c r="R164" t="str">
        <f t="shared" si="54"/>
        <v>Support</v>
      </c>
      <c r="S164">
        <f>survey_responses[[#This Row],[Tôi tin rằng với các quy định quản lý thuế hiện nay, hành vi gian lận hoặc trốn thuế sẽ dễ dàng bị phát hiện và xử lý nghiêm. - HUMAN-ENF1]]</f>
        <v>10</v>
      </c>
      <c r="T164" t="str">
        <f t="shared" si="55"/>
        <v>Support</v>
      </c>
      <c r="U164" s="31">
        <f t="shared" si="56"/>
        <v>2</v>
      </c>
      <c r="V164">
        <f>step3_validation[[#This Row],[AI_ENF2]]</f>
        <v>7</v>
      </c>
      <c r="W164" t="str">
        <f t="shared" si="57"/>
        <v>Neutral</v>
      </c>
      <c r="X164">
        <f>survey_responses[[#This Row],[Tôi tin rằng Nhà nước, cơ quan thuế có đủ khả năng và công nghệ để phát hiện, xử lý nghiêm các hành vi trốn thuế. - HUMAN-ENF2]]</f>
        <v>10</v>
      </c>
      <c r="Y164" t="str">
        <f t="shared" si="58"/>
        <v>Support</v>
      </c>
      <c r="Z164" s="31">
        <f t="shared" si="59"/>
        <v>3</v>
      </c>
      <c r="AA164">
        <f>step3_validation[[#This Row],[AI_FAC1]]</f>
        <v>6</v>
      </c>
      <c r="AB164" t="str">
        <f t="shared" si="60"/>
        <v>Neutral</v>
      </c>
      <c r="AC164">
        <f>survey_responses[[#This Row],[Các thủ tục khai báo thuế VÀ/HOẶC quy trình làm việc với cơ quan thuế đơn giản, tiện lợi, nhanh chóng hơn so với trước đây. - HUMAN-FAC1]]</f>
        <v>10</v>
      </c>
      <c r="AD164" t="str">
        <f t="shared" si="61"/>
        <v>Support</v>
      </c>
      <c r="AE164" s="31">
        <f t="shared" si="62"/>
        <v>4</v>
      </c>
      <c r="AF164">
        <f>step3_validation[[#This Row],[AI_FAC2]]</f>
        <v>9</v>
      </c>
      <c r="AG164" t="str">
        <f t="shared" si="63"/>
        <v>Support</v>
      </c>
      <c r="AH164">
        <f>survey_responses[[#This Row],[So với trước đây, tôi thấy cách tính thuế và các bậc thuế trong phương án mới đơn giản, dễ hiểu và dễ thực hiện hơn. - HUMAN-FAC2]]</f>
        <v>10</v>
      </c>
      <c r="AI164" t="str">
        <f t="shared" si="64"/>
        <v>Support</v>
      </c>
      <c r="AJ164" s="31">
        <f t="shared" si="65"/>
        <v>1</v>
      </c>
      <c r="AK164">
        <f>step3_validation[[#This Row],[AI_TRU1]]</f>
        <v>7</v>
      </c>
      <c r="AL164" t="str">
        <f t="shared" si="66"/>
        <v>Neutral</v>
      </c>
      <c r="AM164">
        <f>survey_responses[[#This Row],[Tôi tin rằng Nhà nước, cơ quan thuế sẽ thực thi chính sách mới một cách khách quan, công tâm và đối xử bình đẳng với mọi người nộp thuế.  - HUMAN-TRU1]]</f>
        <v>10</v>
      </c>
      <c r="AN164" t="str">
        <f t="shared" si="67"/>
        <v>Support</v>
      </c>
      <c r="AO164" s="31">
        <f t="shared" si="68"/>
        <v>3</v>
      </c>
      <c r="AP164">
        <f>step3_validation[[#This Row],[AI_TRU2]]</f>
        <v>9</v>
      </c>
      <c r="AQ164" t="str">
        <f t="shared" si="69"/>
        <v>Support</v>
      </c>
      <c r="AR164">
        <f>survey_responses[[#This Row],[Tôi thấy mức thuế tôi phải đóng theo phương án mới là công bằng (người thu nhập như tôi đóng mức này là hợp lý). - HUMAN-TRU2]]</f>
        <v>10</v>
      </c>
      <c r="AS164" t="str">
        <f t="shared" si="70"/>
        <v>Support</v>
      </c>
      <c r="AT164" s="31">
        <f t="shared" si="71"/>
        <v>1</v>
      </c>
      <c r="AU164">
        <f>step3_validation[[#This Row],[AI_TRU3]]</f>
        <v>7</v>
      </c>
      <c r="AV164" t="str">
        <f t="shared" si="72"/>
        <v>Neutral</v>
      </c>
      <c r="AW164">
        <f>survey_responses[[#This Row],[Tôi tin tưởng số tiền thuế tôi đóng sẽ được Nhà nước sử dụng hiệu quả để cải thiện dịch vụ công (y tế, đường xá...). - HUMAN-TRU3]]</f>
        <v>10</v>
      </c>
      <c r="AX164" t="str">
        <f t="shared" si="73"/>
        <v>Support</v>
      </c>
      <c r="AY164" s="31">
        <f t="shared" si="74"/>
        <v>3</v>
      </c>
      <c r="AZ164">
        <f>step3_validation[[#This Row],[AI_TRU4]]</f>
        <v>8</v>
      </c>
      <c r="BA164" t="str">
        <f t="shared" si="75"/>
        <v>Support</v>
      </c>
      <c r="BB164">
        <f>survey_responses[[#This Row],[Tôi thấy Nhà nước đã giải thích rõ ràng, minh bạch về lý do và mục tiêu của việc sửa đổi thuế lần này. - HUMAN-TRU4]]</f>
        <v>10</v>
      </c>
      <c r="BC164" t="str">
        <f t="shared" si="76"/>
        <v>Support</v>
      </c>
      <c r="BD164" s="31">
        <f t="shared" si="77"/>
        <v>2</v>
      </c>
      <c r="BE164">
        <f>step3_validation[[#This Row],[AI_OUT1]]</f>
        <v>9</v>
      </c>
      <c r="BF164" t="str">
        <f t="shared" si="78"/>
        <v>Support</v>
      </c>
      <c r="BG164">
        <f>survey_responses[[#This Row],[Sau khi xem xét các quyền lợi và nghĩa vụ, bạn có ủng hộ và tuân thủ chính sách mới hiện nay? - HUMAN-OUT1]]</f>
        <v>10</v>
      </c>
      <c r="BH164" t="str">
        <f t="shared" si="79"/>
        <v>Support</v>
      </c>
      <c r="BI164" s="31">
        <f t="shared" si="80"/>
        <v>1</v>
      </c>
    </row>
    <row r="165" spans="1:61" hidden="1" x14ac:dyDescent="0.45">
      <c r="A165" s="29">
        <f>step3_validation[[#This Row],[Persona_ID]]</f>
        <v>164</v>
      </c>
      <c r="B165" s="30">
        <f>step3_validation[[#This Row],[Used_Seed]]</f>
        <v>205</v>
      </c>
      <c r="C165" t="str">
        <f>step3_validation[[#This Row],[Gender]]</f>
        <v>Nữ</v>
      </c>
      <c r="D165" t="str">
        <f>survey_responses[[#This Row],[Giới tính của bạn:]]</f>
        <v>Nữ</v>
      </c>
      <c r="E165" t="str">
        <f>step3_validation[[#This Row],[Age_Group]]</f>
        <v>40 - 49</v>
      </c>
      <c r="F165" t="str">
        <f>survey_responses[[#This Row],[Độ tuổi của bạn:]]</f>
        <v>40 - 49</v>
      </c>
      <c r="G165" t="str">
        <f>step3_validation[[#This Row],[Region]]</f>
        <v>Thành thị</v>
      </c>
      <c r="H165" t="str">
        <f>survey_responses[[#This Row],[Khu vực bạn đang sinh sống:]]</f>
        <v>Thành thị</v>
      </c>
      <c r="I165" t="str">
        <f>step3_validation[[#This Row],[Education]]</f>
        <v>Đại học</v>
      </c>
      <c r="J165" t="str">
        <f>survey_responses[[#This Row],[Trình độ học vấn cao nhất:]]</f>
        <v>Đại học</v>
      </c>
      <c r="K165" t="str">
        <f>step3_validation[[#This Row],[Employment]]</f>
        <v>Chính thức</v>
      </c>
      <c r="L165" t="str">
        <f>survey_responses[[#This Row],[Tình trạng việc làm chính:]]</f>
        <v>Khu vực chính thức (Có Hợp đồng lao động, đóng BHXH)</v>
      </c>
      <c r="M165">
        <f>step3_validation[[#This Row],[Income_Mil]]</f>
        <v>41.885458473778684</v>
      </c>
      <c r="N165" t="str">
        <f>survey_responses[[#This Row],[Thu nhập bình quân tháng theo Hợp đồng lao động của bạn là bao nhiêu? (Vui lòng điền tổng thu nhập trước khi khấu trừ các loại Bảo hiểm (BHXH, BHYT, BHTN) và Thuế TNCN)]]</f>
        <v>Từ 32 - 48 triệu VNĐ</v>
      </c>
      <c r="O165">
        <f>step3_validation[[#This Row],[Dependents]]</f>
        <v>2</v>
      </c>
      <c r="P165" t="str">
        <f>survey_responses[[#This Row],[Số người phụ thuộc (con nhỏ, cha mẹ già...) đủ điều kiện giảm trừ gia cảnh:]]</f>
        <v>2 người</v>
      </c>
      <c r="Q165">
        <f>step3_validation[[#This Row],[AI_ENF1]]</f>
        <v>5</v>
      </c>
      <c r="R165" t="str">
        <f t="shared" si="54"/>
        <v>Neutral</v>
      </c>
      <c r="S165">
        <f>survey_responses[[#This Row],[Tôi tin rằng với các quy định quản lý thuế hiện nay, hành vi gian lận hoặc trốn thuế sẽ dễ dàng bị phát hiện và xử lý nghiêm. - HUMAN-ENF1]]</f>
        <v>8</v>
      </c>
      <c r="T165" t="str">
        <f t="shared" si="55"/>
        <v>Support</v>
      </c>
      <c r="U165" s="31">
        <f t="shared" si="56"/>
        <v>3</v>
      </c>
      <c r="V165">
        <f>step3_validation[[#This Row],[AI_ENF2]]</f>
        <v>7</v>
      </c>
      <c r="W165" t="str">
        <f t="shared" si="57"/>
        <v>Neutral</v>
      </c>
      <c r="X165">
        <f>survey_responses[[#This Row],[Tôi tin rằng Nhà nước, cơ quan thuế có đủ khả năng và công nghệ để phát hiện, xử lý nghiêm các hành vi trốn thuế. - HUMAN-ENF2]]</f>
        <v>9</v>
      </c>
      <c r="Y165" t="str">
        <f t="shared" si="58"/>
        <v>Support</v>
      </c>
      <c r="Z165" s="31">
        <f t="shared" si="59"/>
        <v>2</v>
      </c>
      <c r="AA165">
        <f>step3_validation[[#This Row],[AI_FAC1]]</f>
        <v>8</v>
      </c>
      <c r="AB165" t="str">
        <f t="shared" si="60"/>
        <v>Support</v>
      </c>
      <c r="AC165">
        <f>survey_responses[[#This Row],[Các thủ tục khai báo thuế VÀ/HOẶC quy trình làm việc với cơ quan thuế đơn giản, tiện lợi, nhanh chóng hơn so với trước đây. - HUMAN-FAC1]]</f>
        <v>9</v>
      </c>
      <c r="AD165" t="str">
        <f t="shared" si="61"/>
        <v>Support</v>
      </c>
      <c r="AE165" s="31">
        <f t="shared" si="62"/>
        <v>1</v>
      </c>
      <c r="AF165">
        <f>step3_validation[[#This Row],[AI_FAC2]]</f>
        <v>7</v>
      </c>
      <c r="AG165" t="str">
        <f t="shared" si="63"/>
        <v>Neutral</v>
      </c>
      <c r="AH165">
        <f>survey_responses[[#This Row],[So với trước đây, tôi thấy cách tính thuế và các bậc thuế trong phương án mới đơn giản, dễ hiểu và dễ thực hiện hơn. - HUMAN-FAC2]]</f>
        <v>9</v>
      </c>
      <c r="AI165" t="str">
        <f t="shared" si="64"/>
        <v>Support</v>
      </c>
      <c r="AJ165" s="31">
        <f t="shared" si="65"/>
        <v>2</v>
      </c>
      <c r="AK165">
        <f>step3_validation[[#This Row],[AI_TRU1]]</f>
        <v>6</v>
      </c>
      <c r="AL165" t="str">
        <f t="shared" si="66"/>
        <v>Neutral</v>
      </c>
      <c r="AM165">
        <f>survey_responses[[#This Row],[Tôi tin rằng Nhà nước, cơ quan thuế sẽ thực thi chính sách mới một cách khách quan, công tâm và đối xử bình đẳng với mọi người nộp thuế.  - HUMAN-TRU1]]</f>
        <v>5</v>
      </c>
      <c r="AN165" t="str">
        <f t="shared" si="67"/>
        <v>Neutral</v>
      </c>
      <c r="AO165" s="31">
        <f t="shared" si="68"/>
        <v>1</v>
      </c>
      <c r="AP165">
        <f>step3_validation[[#This Row],[AI_TRU2]]</f>
        <v>9</v>
      </c>
      <c r="AQ165" t="str">
        <f t="shared" si="69"/>
        <v>Support</v>
      </c>
      <c r="AR165">
        <f>survey_responses[[#This Row],[Tôi thấy mức thuế tôi phải đóng theo phương án mới là công bằng (người thu nhập như tôi đóng mức này là hợp lý). - HUMAN-TRU2]]</f>
        <v>7</v>
      </c>
      <c r="AS165" t="str">
        <f t="shared" si="70"/>
        <v>Neutral</v>
      </c>
      <c r="AT165" s="31">
        <f t="shared" si="71"/>
        <v>2</v>
      </c>
      <c r="AU165">
        <f>step3_validation[[#This Row],[AI_TRU3]]</f>
        <v>5</v>
      </c>
      <c r="AV165" t="str">
        <f t="shared" si="72"/>
        <v>Neutral</v>
      </c>
      <c r="AW165">
        <f>survey_responses[[#This Row],[Tôi tin tưởng số tiền thuế tôi đóng sẽ được Nhà nước sử dụng hiệu quả để cải thiện dịch vụ công (y tế, đường xá...). - HUMAN-TRU3]]</f>
        <v>5</v>
      </c>
      <c r="AX165" t="str">
        <f t="shared" si="73"/>
        <v>Neutral</v>
      </c>
      <c r="AY165" s="31">
        <f t="shared" si="74"/>
        <v>0</v>
      </c>
      <c r="AZ165">
        <f>step3_validation[[#This Row],[AI_TRU4]]</f>
        <v>6</v>
      </c>
      <c r="BA165" t="str">
        <f t="shared" si="75"/>
        <v>Neutral</v>
      </c>
      <c r="BB165">
        <f>survey_responses[[#This Row],[Tôi thấy Nhà nước đã giải thích rõ ràng, minh bạch về lý do và mục tiêu của việc sửa đổi thuế lần này. - HUMAN-TRU4]]</f>
        <v>7</v>
      </c>
      <c r="BC165" t="str">
        <f t="shared" si="76"/>
        <v>Neutral</v>
      </c>
      <c r="BD165" s="31">
        <f t="shared" si="77"/>
        <v>1</v>
      </c>
      <c r="BE165">
        <f>step3_validation[[#This Row],[AI_OUT1]]</f>
        <v>9</v>
      </c>
      <c r="BF165" t="str">
        <f t="shared" si="78"/>
        <v>Support</v>
      </c>
      <c r="BG165">
        <f>survey_responses[[#This Row],[Sau khi xem xét các quyền lợi và nghĩa vụ, bạn có ủng hộ và tuân thủ chính sách mới hiện nay? - HUMAN-OUT1]]</f>
        <v>7</v>
      </c>
      <c r="BH165" t="str">
        <f t="shared" si="79"/>
        <v>Neutral</v>
      </c>
      <c r="BI165" s="31">
        <f t="shared" si="80"/>
        <v>2</v>
      </c>
    </row>
    <row r="166" spans="1:61" hidden="1" x14ac:dyDescent="0.45">
      <c r="A166" s="29">
        <f>step3_validation[[#This Row],[Persona_ID]]</f>
        <v>165</v>
      </c>
      <c r="B166" s="30">
        <f>step3_validation[[#This Row],[Used_Seed]]</f>
        <v>206</v>
      </c>
      <c r="C166" t="str">
        <f>step3_validation[[#This Row],[Gender]]</f>
        <v>Nữ</v>
      </c>
      <c r="D166" t="str">
        <f>survey_responses[[#This Row],[Giới tính của bạn:]]</f>
        <v>Nữ</v>
      </c>
      <c r="E166" t="str">
        <f>step3_validation[[#This Row],[Age_Group]]</f>
        <v>30 - 39</v>
      </c>
      <c r="F166" t="str">
        <f>survey_responses[[#This Row],[Độ tuổi của bạn:]]</f>
        <v>30 - 39</v>
      </c>
      <c r="G166" t="str">
        <f>step3_validation[[#This Row],[Region]]</f>
        <v>Thành thị</v>
      </c>
      <c r="H166" t="str">
        <f>survey_responses[[#This Row],[Khu vực bạn đang sinh sống:]]</f>
        <v>Thành thị</v>
      </c>
      <c r="I166" t="str">
        <f>step3_validation[[#This Row],[Education]]</f>
        <v>Sau Đại học</v>
      </c>
      <c r="J166" t="str">
        <f>survey_responses[[#This Row],[Trình độ học vấn cao nhất:]]</f>
        <v>Sau Đại học</v>
      </c>
      <c r="K166" t="str">
        <f>step3_validation[[#This Row],[Employment]]</f>
        <v>Chính thức</v>
      </c>
      <c r="L166" t="str">
        <f>survey_responses[[#This Row],[Tình trạng việc làm chính:]]</f>
        <v>Khu vực chính thức (Có Hợp đồng lao động, đóng BHXH)</v>
      </c>
      <c r="M166">
        <f>step3_validation[[#This Row],[Income_Mil]]</f>
        <v>38.429560461167455</v>
      </c>
      <c r="N166" t="str">
        <f>survey_responses[[#This Row],[Thu nhập bình quân tháng theo Hợp đồng lao động của bạn là bao nhiêu? (Vui lòng điền tổng thu nhập trước khi khấu trừ các loại Bảo hiểm (BHXH, BHYT, BHTN) và Thuế TNCN)]]</f>
        <v>Từ 32 - 48 triệu VNĐ</v>
      </c>
      <c r="O166">
        <f>step3_validation[[#This Row],[Dependents]]</f>
        <v>0</v>
      </c>
      <c r="P166" t="str">
        <f>survey_responses[[#This Row],[Số người phụ thuộc (con nhỏ, cha mẹ già...) đủ điều kiện giảm trừ gia cảnh:]]</f>
        <v>0 người</v>
      </c>
      <c r="Q166">
        <f>step3_validation[[#This Row],[AI_ENF1]]</f>
        <v>2</v>
      </c>
      <c r="R166" t="str">
        <f t="shared" si="54"/>
        <v>Oppose</v>
      </c>
      <c r="S166">
        <f>survey_responses[[#This Row],[Tôi tin rằng với các quy định quản lý thuế hiện nay, hành vi gian lận hoặc trốn thuế sẽ dễ dàng bị phát hiện và xử lý nghiêm. - HUMAN-ENF1]]</f>
        <v>5</v>
      </c>
      <c r="T166" t="str">
        <f t="shared" si="55"/>
        <v>Neutral</v>
      </c>
      <c r="U166" s="31">
        <f t="shared" si="56"/>
        <v>3</v>
      </c>
      <c r="V166">
        <f>step3_validation[[#This Row],[AI_ENF2]]</f>
        <v>3</v>
      </c>
      <c r="W166" t="str">
        <f t="shared" si="57"/>
        <v>Oppose</v>
      </c>
      <c r="X166">
        <f>survey_responses[[#This Row],[Tôi tin rằng Nhà nước, cơ quan thuế có đủ khả năng và công nghệ để phát hiện, xử lý nghiêm các hành vi trốn thuế. - HUMAN-ENF2]]</f>
        <v>5</v>
      </c>
      <c r="Y166" t="str">
        <f t="shared" si="58"/>
        <v>Neutral</v>
      </c>
      <c r="Z166" s="31">
        <f t="shared" si="59"/>
        <v>2</v>
      </c>
      <c r="AA166">
        <f>step3_validation[[#This Row],[AI_FAC1]]</f>
        <v>7</v>
      </c>
      <c r="AB166" t="str">
        <f t="shared" si="60"/>
        <v>Neutral</v>
      </c>
      <c r="AC166">
        <f>survey_responses[[#This Row],[Các thủ tục khai báo thuế VÀ/HOẶC quy trình làm việc với cơ quan thuế đơn giản, tiện lợi, nhanh chóng hơn so với trước đây. - HUMAN-FAC1]]</f>
        <v>6</v>
      </c>
      <c r="AD166" t="str">
        <f t="shared" si="61"/>
        <v>Neutral</v>
      </c>
      <c r="AE166" s="31">
        <f t="shared" si="62"/>
        <v>1</v>
      </c>
      <c r="AF166">
        <f>step3_validation[[#This Row],[AI_FAC2]]</f>
        <v>9</v>
      </c>
      <c r="AG166" t="str">
        <f t="shared" si="63"/>
        <v>Support</v>
      </c>
      <c r="AH166">
        <f>survey_responses[[#This Row],[So với trước đây, tôi thấy cách tính thuế và các bậc thuế trong phương án mới đơn giản, dễ hiểu và dễ thực hiện hơn. - HUMAN-FAC2]]</f>
        <v>6</v>
      </c>
      <c r="AI166" t="str">
        <f t="shared" si="64"/>
        <v>Neutral</v>
      </c>
      <c r="AJ166" s="31">
        <f t="shared" si="65"/>
        <v>3</v>
      </c>
      <c r="AK166">
        <f>step3_validation[[#This Row],[AI_TRU1]]</f>
        <v>6</v>
      </c>
      <c r="AL166" t="str">
        <f t="shared" si="66"/>
        <v>Neutral</v>
      </c>
      <c r="AM166">
        <f>survey_responses[[#This Row],[Tôi tin rằng Nhà nước, cơ quan thuế sẽ thực thi chính sách mới một cách khách quan, công tâm và đối xử bình đẳng với mọi người nộp thuế.  - HUMAN-TRU1]]</f>
        <v>6</v>
      </c>
      <c r="AN166" t="str">
        <f t="shared" si="67"/>
        <v>Neutral</v>
      </c>
      <c r="AO166" s="31">
        <f t="shared" si="68"/>
        <v>0</v>
      </c>
      <c r="AP166">
        <f>step3_validation[[#This Row],[AI_TRU2]]</f>
        <v>9</v>
      </c>
      <c r="AQ166" t="str">
        <f t="shared" si="69"/>
        <v>Support</v>
      </c>
      <c r="AR166">
        <f>survey_responses[[#This Row],[Tôi thấy mức thuế tôi phải đóng theo phương án mới là công bằng (người thu nhập như tôi đóng mức này là hợp lý). - HUMAN-TRU2]]</f>
        <v>6</v>
      </c>
      <c r="AS166" t="str">
        <f t="shared" si="70"/>
        <v>Neutral</v>
      </c>
      <c r="AT166" s="31">
        <f t="shared" si="71"/>
        <v>3</v>
      </c>
      <c r="AU166">
        <f>step3_validation[[#This Row],[AI_TRU3]]</f>
        <v>7</v>
      </c>
      <c r="AV166" t="str">
        <f t="shared" si="72"/>
        <v>Neutral</v>
      </c>
      <c r="AW166">
        <f>survey_responses[[#This Row],[Tôi tin tưởng số tiền thuế tôi đóng sẽ được Nhà nước sử dụng hiệu quả để cải thiện dịch vụ công (y tế, đường xá...). - HUMAN-TRU3]]</f>
        <v>5</v>
      </c>
      <c r="AX166" t="str">
        <f t="shared" si="73"/>
        <v>Neutral</v>
      </c>
      <c r="AY166" s="31">
        <f t="shared" si="74"/>
        <v>2</v>
      </c>
      <c r="AZ166">
        <f>step3_validation[[#This Row],[AI_TRU4]]</f>
        <v>8</v>
      </c>
      <c r="BA166" t="str">
        <f t="shared" si="75"/>
        <v>Support</v>
      </c>
      <c r="BB166">
        <f>survey_responses[[#This Row],[Tôi thấy Nhà nước đã giải thích rõ ràng, minh bạch về lý do và mục tiêu của việc sửa đổi thuế lần này. - HUMAN-TRU4]]</f>
        <v>7</v>
      </c>
      <c r="BC166" t="str">
        <f t="shared" si="76"/>
        <v>Neutral</v>
      </c>
      <c r="BD166" s="31">
        <f t="shared" si="77"/>
        <v>1</v>
      </c>
      <c r="BE166">
        <f>step3_validation[[#This Row],[AI_OUT1]]</f>
        <v>7</v>
      </c>
      <c r="BF166" t="str">
        <f t="shared" si="78"/>
        <v>Neutral</v>
      </c>
      <c r="BG166">
        <f>survey_responses[[#This Row],[Sau khi xem xét các quyền lợi và nghĩa vụ, bạn có ủng hộ và tuân thủ chính sách mới hiện nay? - HUMAN-OUT1]]</f>
        <v>8</v>
      </c>
      <c r="BH166" t="str">
        <f t="shared" si="79"/>
        <v>Support</v>
      </c>
      <c r="BI166" s="31">
        <f t="shared" si="80"/>
        <v>1</v>
      </c>
    </row>
    <row r="167" spans="1:61" hidden="1" x14ac:dyDescent="0.45">
      <c r="A167" s="29">
        <f>step3_validation[[#This Row],[Persona_ID]]</f>
        <v>166</v>
      </c>
      <c r="B167" s="30">
        <f>step3_validation[[#This Row],[Used_Seed]]</f>
        <v>207</v>
      </c>
      <c r="C167" t="str">
        <f>step3_validation[[#This Row],[Gender]]</f>
        <v>Nữ</v>
      </c>
      <c r="D167" t="str">
        <f>survey_responses[[#This Row],[Giới tính của bạn:]]</f>
        <v>Nữ</v>
      </c>
      <c r="E167" t="str">
        <f>step3_validation[[#This Row],[Age_Group]]</f>
        <v>30 - 39</v>
      </c>
      <c r="F167" t="str">
        <f>survey_responses[[#This Row],[Độ tuổi của bạn:]]</f>
        <v>30 - 39</v>
      </c>
      <c r="G167" t="str">
        <f>step3_validation[[#This Row],[Region]]</f>
        <v>Thành thị</v>
      </c>
      <c r="H167" t="str">
        <f>survey_responses[[#This Row],[Khu vực bạn đang sinh sống:]]</f>
        <v>Thành thị</v>
      </c>
      <c r="I167" t="str">
        <f>step3_validation[[#This Row],[Education]]</f>
        <v>Sau Đại học</v>
      </c>
      <c r="J167" t="str">
        <f>survey_responses[[#This Row],[Trình độ học vấn cao nhất:]]</f>
        <v>Sau Đại học</v>
      </c>
      <c r="K167" t="str">
        <f>step3_validation[[#This Row],[Employment]]</f>
        <v>Chính thức</v>
      </c>
      <c r="L167" t="str">
        <f>survey_responses[[#This Row],[Tình trạng việc làm chính:]]</f>
        <v>Khu vực chính thức (Có Hợp đồng lao động, đóng BHXH)</v>
      </c>
      <c r="M167">
        <f>step3_validation[[#This Row],[Income_Mil]]</f>
        <v>33.145320198862713</v>
      </c>
      <c r="N167" t="str">
        <f>survey_responses[[#This Row],[Thu nhập bình quân tháng theo Hợp đồng lao động của bạn là bao nhiêu? (Vui lòng điền tổng thu nhập trước khi khấu trừ các loại Bảo hiểm (BHXH, BHYT, BHTN) và Thuế TNCN)]]</f>
        <v>Từ 32 - 48 triệu VNĐ</v>
      </c>
      <c r="O167">
        <f>step3_validation[[#This Row],[Dependents]]</f>
        <v>1</v>
      </c>
      <c r="P167" t="str">
        <f>survey_responses[[#This Row],[Số người phụ thuộc (con nhỏ, cha mẹ già...) đủ điều kiện giảm trừ gia cảnh:]]</f>
        <v>1 người</v>
      </c>
      <c r="Q167">
        <f>step3_validation[[#This Row],[AI_ENF1]]</f>
        <v>9</v>
      </c>
      <c r="R167" t="str">
        <f t="shared" si="54"/>
        <v>Support</v>
      </c>
      <c r="S167">
        <f>survey_responses[[#This Row],[Tôi tin rằng với các quy định quản lý thuế hiện nay, hành vi gian lận hoặc trốn thuế sẽ dễ dàng bị phát hiện và xử lý nghiêm. - HUMAN-ENF1]]</f>
        <v>10</v>
      </c>
      <c r="T167" t="str">
        <f t="shared" si="55"/>
        <v>Support</v>
      </c>
      <c r="U167" s="31">
        <f t="shared" si="56"/>
        <v>1</v>
      </c>
      <c r="V167">
        <f>step3_validation[[#This Row],[AI_ENF2]]</f>
        <v>8</v>
      </c>
      <c r="W167" t="str">
        <f t="shared" si="57"/>
        <v>Support</v>
      </c>
      <c r="X167">
        <f>survey_responses[[#This Row],[Tôi tin rằng Nhà nước, cơ quan thuế có đủ khả năng và công nghệ để phát hiện, xử lý nghiêm các hành vi trốn thuế. - HUMAN-ENF2]]</f>
        <v>8</v>
      </c>
      <c r="Y167" t="str">
        <f t="shared" si="58"/>
        <v>Support</v>
      </c>
      <c r="Z167" s="31">
        <f t="shared" si="59"/>
        <v>0</v>
      </c>
      <c r="AA167">
        <f>step3_validation[[#This Row],[AI_FAC1]]</f>
        <v>9</v>
      </c>
      <c r="AB167" t="str">
        <f t="shared" si="60"/>
        <v>Support</v>
      </c>
      <c r="AC167">
        <f>survey_responses[[#This Row],[Các thủ tục khai báo thuế VÀ/HOẶC quy trình làm việc với cơ quan thuế đơn giản, tiện lợi, nhanh chóng hơn so với trước đây. - HUMAN-FAC1]]</f>
        <v>10</v>
      </c>
      <c r="AD167" t="str">
        <f t="shared" si="61"/>
        <v>Support</v>
      </c>
      <c r="AE167" s="31">
        <f t="shared" si="62"/>
        <v>1</v>
      </c>
      <c r="AF167">
        <f>step3_validation[[#This Row],[AI_FAC2]]</f>
        <v>8</v>
      </c>
      <c r="AG167" t="str">
        <f t="shared" si="63"/>
        <v>Support</v>
      </c>
      <c r="AH167">
        <f>survey_responses[[#This Row],[So với trước đây, tôi thấy cách tính thuế và các bậc thuế trong phương án mới đơn giản, dễ hiểu và dễ thực hiện hơn. - HUMAN-FAC2]]</f>
        <v>10</v>
      </c>
      <c r="AI167" t="str">
        <f t="shared" si="64"/>
        <v>Support</v>
      </c>
      <c r="AJ167" s="31">
        <f t="shared" si="65"/>
        <v>2</v>
      </c>
      <c r="AK167">
        <f>step3_validation[[#This Row],[AI_TRU1]]</f>
        <v>9</v>
      </c>
      <c r="AL167" t="str">
        <f t="shared" si="66"/>
        <v>Support</v>
      </c>
      <c r="AM167">
        <f>survey_responses[[#This Row],[Tôi tin rằng Nhà nước, cơ quan thuế sẽ thực thi chính sách mới một cách khách quan, công tâm và đối xử bình đẳng với mọi người nộp thuế.  - HUMAN-TRU1]]</f>
        <v>10</v>
      </c>
      <c r="AN167" t="str">
        <f t="shared" si="67"/>
        <v>Support</v>
      </c>
      <c r="AO167" s="31">
        <f t="shared" si="68"/>
        <v>1</v>
      </c>
      <c r="AP167">
        <f>step3_validation[[#This Row],[AI_TRU2]]</f>
        <v>8</v>
      </c>
      <c r="AQ167" t="str">
        <f t="shared" si="69"/>
        <v>Support</v>
      </c>
      <c r="AR167">
        <f>survey_responses[[#This Row],[Tôi thấy mức thuế tôi phải đóng theo phương án mới là công bằng (người thu nhập như tôi đóng mức này là hợp lý). - HUMAN-TRU2]]</f>
        <v>10</v>
      </c>
      <c r="AS167" t="str">
        <f t="shared" si="70"/>
        <v>Support</v>
      </c>
      <c r="AT167" s="31">
        <f t="shared" si="71"/>
        <v>2</v>
      </c>
      <c r="AU167">
        <f>step3_validation[[#This Row],[AI_TRU3]]</f>
        <v>9</v>
      </c>
      <c r="AV167" t="str">
        <f t="shared" si="72"/>
        <v>Support</v>
      </c>
      <c r="AW167">
        <f>survey_responses[[#This Row],[Tôi tin tưởng số tiền thuế tôi đóng sẽ được Nhà nước sử dụng hiệu quả để cải thiện dịch vụ công (y tế, đường xá...). - HUMAN-TRU3]]</f>
        <v>10</v>
      </c>
      <c r="AX167" t="str">
        <f t="shared" si="73"/>
        <v>Support</v>
      </c>
      <c r="AY167" s="31">
        <f t="shared" si="74"/>
        <v>1</v>
      </c>
      <c r="AZ167">
        <f>step3_validation[[#This Row],[AI_TRU4]]</f>
        <v>8</v>
      </c>
      <c r="BA167" t="str">
        <f t="shared" si="75"/>
        <v>Support</v>
      </c>
      <c r="BB167">
        <f>survey_responses[[#This Row],[Tôi thấy Nhà nước đã giải thích rõ ràng, minh bạch về lý do và mục tiêu của việc sửa đổi thuế lần này. - HUMAN-TRU4]]</f>
        <v>10</v>
      </c>
      <c r="BC167" t="str">
        <f t="shared" si="76"/>
        <v>Support</v>
      </c>
      <c r="BD167" s="31">
        <f t="shared" si="77"/>
        <v>2</v>
      </c>
      <c r="BE167">
        <f>step3_validation[[#This Row],[AI_OUT1]]</f>
        <v>9</v>
      </c>
      <c r="BF167" t="str">
        <f t="shared" si="78"/>
        <v>Support</v>
      </c>
      <c r="BG167">
        <f>survey_responses[[#This Row],[Sau khi xem xét các quyền lợi và nghĩa vụ, bạn có ủng hộ và tuân thủ chính sách mới hiện nay? - HUMAN-OUT1]]</f>
        <v>8</v>
      </c>
      <c r="BH167" t="str">
        <f t="shared" si="79"/>
        <v>Support</v>
      </c>
      <c r="BI167" s="31">
        <f t="shared" si="80"/>
        <v>1</v>
      </c>
    </row>
    <row r="168" spans="1:61" hidden="1" x14ac:dyDescent="0.45">
      <c r="A168" s="29">
        <f>step3_validation[[#This Row],[Persona_ID]]</f>
        <v>167</v>
      </c>
      <c r="B168" s="30">
        <f>step3_validation[[#This Row],[Used_Seed]]</f>
        <v>208</v>
      </c>
      <c r="C168" t="str">
        <f>step3_validation[[#This Row],[Gender]]</f>
        <v>Nam</v>
      </c>
      <c r="D168" t="str">
        <f>survey_responses[[#This Row],[Giới tính của bạn:]]</f>
        <v>Nam</v>
      </c>
      <c r="E168" t="str">
        <f>step3_validation[[#This Row],[Age_Group]]</f>
        <v>30 - 39</v>
      </c>
      <c r="F168" t="str">
        <f>survey_responses[[#This Row],[Độ tuổi của bạn:]]</f>
        <v>30 - 39</v>
      </c>
      <c r="G168" t="str">
        <f>step3_validation[[#This Row],[Region]]</f>
        <v>Thành thị</v>
      </c>
      <c r="H168" t="str">
        <f>survey_responses[[#This Row],[Khu vực bạn đang sinh sống:]]</f>
        <v>Thành thị</v>
      </c>
      <c r="I168" t="str">
        <f>step3_validation[[#This Row],[Education]]</f>
        <v>Sau Đại học</v>
      </c>
      <c r="J168" t="str">
        <f>survey_responses[[#This Row],[Trình độ học vấn cao nhất:]]</f>
        <v>Sau Đại học</v>
      </c>
      <c r="K168" t="str">
        <f>step3_validation[[#This Row],[Employment]]</f>
        <v>Chính thức</v>
      </c>
      <c r="L168" t="str">
        <f>survey_responses[[#This Row],[Tình trạng việc làm chính:]]</f>
        <v>Khu vực chính thức (Có Hợp đồng lao động, đóng BHXH)</v>
      </c>
      <c r="M168">
        <f>step3_validation[[#This Row],[Income_Mil]]</f>
        <v>73.373727280298127</v>
      </c>
      <c r="N168" t="str">
        <f>survey_responses[[#This Row],[Thu nhập bình quân tháng theo Hợp đồng lao động của bạn là bao nhiêu? (Vui lòng điền tổng thu nhập trước khi khấu trừ các loại Bảo hiểm (BHXH, BHYT, BHTN) và Thuế TNCN)]]</f>
        <v>Từ 70 - 102 triệu VNĐ</v>
      </c>
      <c r="O168">
        <f>step3_validation[[#This Row],[Dependents]]</f>
        <v>0</v>
      </c>
      <c r="P168" t="str">
        <f>survey_responses[[#This Row],[Số người phụ thuộc (con nhỏ, cha mẹ già...) đủ điều kiện giảm trừ gia cảnh:]]</f>
        <v>0 người</v>
      </c>
      <c r="Q168">
        <f>step3_validation[[#This Row],[AI_ENF1]]</f>
        <v>7</v>
      </c>
      <c r="R168" t="str">
        <f t="shared" si="54"/>
        <v>Neutral</v>
      </c>
      <c r="S168">
        <f>survey_responses[[#This Row],[Tôi tin rằng với các quy định quản lý thuế hiện nay, hành vi gian lận hoặc trốn thuế sẽ dễ dàng bị phát hiện và xử lý nghiêm. - HUMAN-ENF1]]</f>
        <v>5</v>
      </c>
      <c r="T168" t="str">
        <f t="shared" si="55"/>
        <v>Neutral</v>
      </c>
      <c r="U168" s="31">
        <f t="shared" si="56"/>
        <v>2</v>
      </c>
      <c r="V168">
        <f>step3_validation[[#This Row],[AI_ENF2]]</f>
        <v>7</v>
      </c>
      <c r="W168" t="str">
        <f t="shared" si="57"/>
        <v>Neutral</v>
      </c>
      <c r="X168">
        <f>survey_responses[[#This Row],[Tôi tin rằng Nhà nước, cơ quan thuế có đủ khả năng và công nghệ để phát hiện, xử lý nghiêm các hành vi trốn thuế. - HUMAN-ENF2]]</f>
        <v>8</v>
      </c>
      <c r="Y168" t="str">
        <f t="shared" si="58"/>
        <v>Support</v>
      </c>
      <c r="Z168" s="31">
        <f t="shared" si="59"/>
        <v>1</v>
      </c>
      <c r="AA168">
        <f>step3_validation[[#This Row],[AI_FAC1]]</f>
        <v>6</v>
      </c>
      <c r="AB168" t="str">
        <f t="shared" si="60"/>
        <v>Neutral</v>
      </c>
      <c r="AC168">
        <f>survey_responses[[#This Row],[Các thủ tục khai báo thuế VÀ/HOẶC quy trình làm việc với cơ quan thuế đơn giản, tiện lợi, nhanh chóng hơn so với trước đây. - HUMAN-FAC1]]</f>
        <v>5</v>
      </c>
      <c r="AD168" t="str">
        <f t="shared" si="61"/>
        <v>Neutral</v>
      </c>
      <c r="AE168" s="31">
        <f t="shared" si="62"/>
        <v>1</v>
      </c>
      <c r="AF168">
        <f>step3_validation[[#This Row],[AI_FAC2]]</f>
        <v>8</v>
      </c>
      <c r="AG168" t="str">
        <f t="shared" si="63"/>
        <v>Support</v>
      </c>
      <c r="AH168">
        <f>survey_responses[[#This Row],[So với trước đây, tôi thấy cách tính thuế và các bậc thuế trong phương án mới đơn giản, dễ hiểu và dễ thực hiện hơn. - HUMAN-FAC2]]</f>
        <v>8</v>
      </c>
      <c r="AI168" t="str">
        <f t="shared" si="64"/>
        <v>Support</v>
      </c>
      <c r="AJ168" s="31">
        <f t="shared" si="65"/>
        <v>0</v>
      </c>
      <c r="AK168">
        <f>step3_validation[[#This Row],[AI_TRU1]]</f>
        <v>7</v>
      </c>
      <c r="AL168" t="str">
        <f t="shared" si="66"/>
        <v>Neutral</v>
      </c>
      <c r="AM168">
        <f>survey_responses[[#This Row],[Tôi tin rằng Nhà nước, cơ quan thuế sẽ thực thi chính sách mới một cách khách quan, công tâm và đối xử bình đẳng với mọi người nộp thuế.  - HUMAN-TRU1]]</f>
        <v>4</v>
      </c>
      <c r="AN168" t="str">
        <f t="shared" si="67"/>
        <v>Oppose</v>
      </c>
      <c r="AO168" s="31">
        <f t="shared" si="68"/>
        <v>3</v>
      </c>
      <c r="AP168">
        <f>step3_validation[[#This Row],[AI_TRU2]]</f>
        <v>8</v>
      </c>
      <c r="AQ168" t="str">
        <f t="shared" si="69"/>
        <v>Support</v>
      </c>
      <c r="AR168">
        <f>survey_responses[[#This Row],[Tôi thấy mức thuế tôi phải đóng theo phương án mới là công bằng (người thu nhập như tôi đóng mức này là hợp lý). - HUMAN-TRU2]]</f>
        <v>5</v>
      </c>
      <c r="AS168" t="str">
        <f t="shared" si="70"/>
        <v>Neutral</v>
      </c>
      <c r="AT168" s="31">
        <f t="shared" si="71"/>
        <v>3</v>
      </c>
      <c r="AU168">
        <f>step3_validation[[#This Row],[AI_TRU3]]</f>
        <v>7</v>
      </c>
      <c r="AV168" t="str">
        <f t="shared" si="72"/>
        <v>Neutral</v>
      </c>
      <c r="AW168">
        <f>survey_responses[[#This Row],[Tôi tin tưởng số tiền thuế tôi đóng sẽ được Nhà nước sử dụng hiệu quả để cải thiện dịch vụ công (y tế, đường xá...). - HUMAN-TRU3]]</f>
        <v>1</v>
      </c>
      <c r="AX168" t="str">
        <f t="shared" si="73"/>
        <v>Oppose</v>
      </c>
      <c r="AY168" s="31">
        <f t="shared" si="74"/>
        <v>6</v>
      </c>
      <c r="AZ168">
        <f>step3_validation[[#This Row],[AI_TRU4]]</f>
        <v>6</v>
      </c>
      <c r="BA168" t="str">
        <f t="shared" si="75"/>
        <v>Neutral</v>
      </c>
      <c r="BB168">
        <f>survey_responses[[#This Row],[Tôi thấy Nhà nước đã giải thích rõ ràng, minh bạch về lý do và mục tiêu của việc sửa đổi thuế lần này. - HUMAN-TRU4]]</f>
        <v>5</v>
      </c>
      <c r="BC168" t="str">
        <f t="shared" si="76"/>
        <v>Neutral</v>
      </c>
      <c r="BD168" s="31">
        <f t="shared" si="77"/>
        <v>1</v>
      </c>
      <c r="BE168">
        <f>step3_validation[[#This Row],[AI_OUT1]]</f>
        <v>9</v>
      </c>
      <c r="BF168" t="str">
        <f t="shared" si="78"/>
        <v>Support</v>
      </c>
      <c r="BG168">
        <f>survey_responses[[#This Row],[Sau khi xem xét các quyền lợi và nghĩa vụ, bạn có ủng hộ và tuân thủ chính sách mới hiện nay? - HUMAN-OUT1]]</f>
        <v>5</v>
      </c>
      <c r="BH168" t="str">
        <f t="shared" si="79"/>
        <v>Neutral</v>
      </c>
      <c r="BI168" s="31">
        <f t="shared" si="80"/>
        <v>4</v>
      </c>
    </row>
    <row r="169" spans="1:61" hidden="1" x14ac:dyDescent="0.45">
      <c r="A169" s="29">
        <f>step3_validation[[#This Row],[Persona_ID]]</f>
        <v>168</v>
      </c>
      <c r="B169" s="30">
        <f>step3_validation[[#This Row],[Used_Seed]]</f>
        <v>209</v>
      </c>
      <c r="C169" t="str">
        <f>step3_validation[[#This Row],[Gender]]</f>
        <v>Nữ</v>
      </c>
      <c r="D169" t="str">
        <f>survey_responses[[#This Row],[Giới tính của bạn:]]</f>
        <v>Nữ</v>
      </c>
      <c r="E169" t="str">
        <f>step3_validation[[#This Row],[Age_Group]]</f>
        <v>25 - 29</v>
      </c>
      <c r="F169" t="str">
        <f>survey_responses[[#This Row],[Độ tuổi của bạn:]]</f>
        <v>25 - 29</v>
      </c>
      <c r="G169" t="str">
        <f>step3_validation[[#This Row],[Region]]</f>
        <v>Thành thị</v>
      </c>
      <c r="H169" t="str">
        <f>survey_responses[[#This Row],[Khu vực bạn đang sinh sống:]]</f>
        <v>Thành thị</v>
      </c>
      <c r="I169" t="str">
        <f>step3_validation[[#This Row],[Education]]</f>
        <v>Đại học</v>
      </c>
      <c r="J169" t="str">
        <f>survey_responses[[#This Row],[Trình độ học vấn cao nhất:]]</f>
        <v>Đại học</v>
      </c>
      <c r="K169" t="str">
        <f>step3_validation[[#This Row],[Employment]]</f>
        <v>Chính thức</v>
      </c>
      <c r="L169" t="str">
        <f>survey_responses[[#This Row],[Tình trạng việc làm chính:]]</f>
        <v>Khu vực chính thức (Có Hợp đồng lao động, đóng BHXH)</v>
      </c>
      <c r="M169">
        <f>step3_validation[[#This Row],[Income_Mil]]</f>
        <v>20.655452261962822</v>
      </c>
      <c r="N169" t="str">
        <f>survey_responses[[#This Row],[Thu nhập bình quân tháng theo Hợp đồng lao động của bạn là bao nhiêu? (Vui lòng điền tổng thu nhập trước khi khấu trừ các loại Bảo hiểm (BHXH, BHYT, BHTN) và Thuế TNCN)]]</f>
        <v>Từ 18 - 23 triệu VNĐ</v>
      </c>
      <c r="O169">
        <f>step3_validation[[#This Row],[Dependents]]</f>
        <v>0</v>
      </c>
      <c r="P169" t="str">
        <f>survey_responses[[#This Row],[Số người phụ thuộc (con nhỏ, cha mẹ già...) đủ điều kiện giảm trừ gia cảnh:]]</f>
        <v>0 người</v>
      </c>
      <c r="Q169">
        <f>step3_validation[[#This Row],[AI_ENF1]]</f>
        <v>7</v>
      </c>
      <c r="R169" t="str">
        <f t="shared" si="54"/>
        <v>Neutral</v>
      </c>
      <c r="S169">
        <f>survey_responses[[#This Row],[Tôi tin rằng với các quy định quản lý thuế hiện nay, hành vi gian lận hoặc trốn thuế sẽ dễ dàng bị phát hiện và xử lý nghiêm. - HUMAN-ENF1]]</f>
        <v>7</v>
      </c>
      <c r="T169" t="str">
        <f t="shared" si="55"/>
        <v>Neutral</v>
      </c>
      <c r="U169" s="31">
        <f t="shared" si="56"/>
        <v>0</v>
      </c>
      <c r="V169">
        <f>step3_validation[[#This Row],[AI_ENF2]]</f>
        <v>8</v>
      </c>
      <c r="W169" t="str">
        <f t="shared" si="57"/>
        <v>Support</v>
      </c>
      <c r="X169">
        <f>survey_responses[[#This Row],[Tôi tin rằng Nhà nước, cơ quan thuế có đủ khả năng và công nghệ để phát hiện, xử lý nghiêm các hành vi trốn thuế. - HUMAN-ENF2]]</f>
        <v>7</v>
      </c>
      <c r="Y169" t="str">
        <f t="shared" si="58"/>
        <v>Neutral</v>
      </c>
      <c r="Z169" s="31">
        <f t="shared" si="59"/>
        <v>1</v>
      </c>
      <c r="AA169">
        <f>step3_validation[[#This Row],[AI_FAC1]]</f>
        <v>9</v>
      </c>
      <c r="AB169" t="str">
        <f t="shared" si="60"/>
        <v>Support</v>
      </c>
      <c r="AC169">
        <f>survey_responses[[#This Row],[Các thủ tục khai báo thuế VÀ/HOẶC quy trình làm việc với cơ quan thuế đơn giản, tiện lợi, nhanh chóng hơn so với trước đây. - HUMAN-FAC1]]</f>
        <v>8</v>
      </c>
      <c r="AD169" t="str">
        <f t="shared" si="61"/>
        <v>Support</v>
      </c>
      <c r="AE169" s="31">
        <f t="shared" si="62"/>
        <v>1</v>
      </c>
      <c r="AF169">
        <f>step3_validation[[#This Row],[AI_FAC2]]</f>
        <v>9</v>
      </c>
      <c r="AG169" t="str">
        <f t="shared" si="63"/>
        <v>Support</v>
      </c>
      <c r="AH169">
        <f>survey_responses[[#This Row],[So với trước đây, tôi thấy cách tính thuế và các bậc thuế trong phương án mới đơn giản, dễ hiểu và dễ thực hiện hơn. - HUMAN-FAC2]]</f>
        <v>8</v>
      </c>
      <c r="AI169" t="str">
        <f t="shared" si="64"/>
        <v>Support</v>
      </c>
      <c r="AJ169" s="31">
        <f t="shared" si="65"/>
        <v>1</v>
      </c>
      <c r="AK169">
        <f>step3_validation[[#This Row],[AI_TRU1]]</f>
        <v>8</v>
      </c>
      <c r="AL169" t="str">
        <f t="shared" si="66"/>
        <v>Support</v>
      </c>
      <c r="AM169">
        <f>survey_responses[[#This Row],[Tôi tin rằng Nhà nước, cơ quan thuế sẽ thực thi chính sách mới một cách khách quan, công tâm và đối xử bình đẳng với mọi người nộp thuế.  - HUMAN-TRU1]]</f>
        <v>7</v>
      </c>
      <c r="AN169" t="str">
        <f t="shared" si="67"/>
        <v>Neutral</v>
      </c>
      <c r="AO169" s="31">
        <f t="shared" si="68"/>
        <v>1</v>
      </c>
      <c r="AP169">
        <f>step3_validation[[#This Row],[AI_TRU2]]</f>
        <v>8</v>
      </c>
      <c r="AQ169" t="str">
        <f t="shared" si="69"/>
        <v>Support</v>
      </c>
      <c r="AR169">
        <f>survey_responses[[#This Row],[Tôi thấy mức thuế tôi phải đóng theo phương án mới là công bằng (người thu nhập như tôi đóng mức này là hợp lý). - HUMAN-TRU2]]</f>
        <v>8</v>
      </c>
      <c r="AS169" t="str">
        <f t="shared" si="70"/>
        <v>Support</v>
      </c>
      <c r="AT169" s="31">
        <f t="shared" si="71"/>
        <v>0</v>
      </c>
      <c r="AU169">
        <f>step3_validation[[#This Row],[AI_TRU3]]</f>
        <v>7</v>
      </c>
      <c r="AV169" t="str">
        <f t="shared" si="72"/>
        <v>Neutral</v>
      </c>
      <c r="AW169">
        <f>survey_responses[[#This Row],[Tôi tin tưởng số tiền thuế tôi đóng sẽ được Nhà nước sử dụng hiệu quả để cải thiện dịch vụ công (y tế, đường xá...). - HUMAN-TRU3]]</f>
        <v>8</v>
      </c>
      <c r="AX169" t="str">
        <f t="shared" si="73"/>
        <v>Support</v>
      </c>
      <c r="AY169" s="31">
        <f t="shared" si="74"/>
        <v>1</v>
      </c>
      <c r="AZ169">
        <f>step3_validation[[#This Row],[AI_TRU4]]</f>
        <v>8</v>
      </c>
      <c r="BA169" t="str">
        <f t="shared" si="75"/>
        <v>Support</v>
      </c>
      <c r="BB169">
        <f>survey_responses[[#This Row],[Tôi thấy Nhà nước đã giải thích rõ ràng, minh bạch về lý do và mục tiêu của việc sửa đổi thuế lần này. - HUMAN-TRU4]]</f>
        <v>8</v>
      </c>
      <c r="BC169" t="str">
        <f t="shared" si="76"/>
        <v>Support</v>
      </c>
      <c r="BD169" s="31">
        <f t="shared" si="77"/>
        <v>0</v>
      </c>
      <c r="BE169">
        <f>step3_validation[[#This Row],[AI_OUT1]]</f>
        <v>9</v>
      </c>
      <c r="BF169" t="str">
        <f t="shared" si="78"/>
        <v>Support</v>
      </c>
      <c r="BG169">
        <f>survey_responses[[#This Row],[Sau khi xem xét các quyền lợi và nghĩa vụ, bạn có ủng hộ và tuân thủ chính sách mới hiện nay? - HUMAN-OUT1]]</f>
        <v>9</v>
      </c>
      <c r="BH169" t="str">
        <f t="shared" si="79"/>
        <v>Support</v>
      </c>
      <c r="BI169" s="31">
        <f t="shared" si="80"/>
        <v>0</v>
      </c>
    </row>
    <row r="170" spans="1:61" hidden="1" x14ac:dyDescent="0.45">
      <c r="A170" s="29">
        <f>step3_validation[[#This Row],[Persona_ID]]</f>
        <v>169</v>
      </c>
      <c r="B170" s="30">
        <f>step3_validation[[#This Row],[Used_Seed]]</f>
        <v>210</v>
      </c>
      <c r="C170" t="str">
        <f>step3_validation[[#This Row],[Gender]]</f>
        <v>Nam</v>
      </c>
      <c r="D170" t="str">
        <f>survey_responses[[#This Row],[Giới tính của bạn:]]</f>
        <v>Nam</v>
      </c>
      <c r="E170" t="str">
        <f>step3_validation[[#This Row],[Age_Group]]</f>
        <v>40 - 49</v>
      </c>
      <c r="F170" t="str">
        <f>survey_responses[[#This Row],[Độ tuổi của bạn:]]</f>
        <v>40 - 49</v>
      </c>
      <c r="G170" t="str">
        <f>step3_validation[[#This Row],[Region]]</f>
        <v>Thành thị</v>
      </c>
      <c r="H170" t="str">
        <f>survey_responses[[#This Row],[Khu vực bạn đang sinh sống:]]</f>
        <v>Thành thị</v>
      </c>
      <c r="I170" t="str">
        <f>step3_validation[[#This Row],[Education]]</f>
        <v>Đại học</v>
      </c>
      <c r="J170" t="str">
        <f>survey_responses[[#This Row],[Trình độ học vấn cao nhất:]]</f>
        <v>Đại học</v>
      </c>
      <c r="K170" t="str">
        <f>step3_validation[[#This Row],[Employment]]</f>
        <v>Chính thức</v>
      </c>
      <c r="L170" t="str">
        <f>survey_responses[[#This Row],[Tình trạng việc làm chính:]]</f>
        <v>Khu vực chính thức (Có Hợp đồng lao động, đóng BHXH)</v>
      </c>
      <c r="M170">
        <f>step3_validation[[#This Row],[Income_Mil]]</f>
        <v>36.237678039537457</v>
      </c>
      <c r="N170" t="str">
        <f>survey_responses[[#This Row],[Thu nhập bình quân tháng theo Hợp đồng lao động của bạn là bao nhiêu? (Vui lòng điền tổng thu nhập trước khi khấu trừ các loại Bảo hiểm (BHXH, BHYT, BHTN) và Thuế TNCN)]]</f>
        <v>Từ 32 - 48 triệu VNĐ</v>
      </c>
      <c r="O170">
        <f>step3_validation[[#This Row],[Dependents]]</f>
        <v>0</v>
      </c>
      <c r="P170" t="str">
        <f>survey_responses[[#This Row],[Số người phụ thuộc (con nhỏ, cha mẹ già...) đủ điều kiện giảm trừ gia cảnh:]]</f>
        <v>0 người</v>
      </c>
      <c r="Q170">
        <f>step3_validation[[#This Row],[AI_ENF1]]</f>
        <v>8</v>
      </c>
      <c r="R170" t="str">
        <f t="shared" si="54"/>
        <v>Support</v>
      </c>
      <c r="S170">
        <f>survey_responses[[#This Row],[Tôi tin rằng với các quy định quản lý thuế hiện nay, hành vi gian lận hoặc trốn thuế sẽ dễ dàng bị phát hiện và xử lý nghiêm. - HUMAN-ENF1]]</f>
        <v>8</v>
      </c>
      <c r="T170" t="str">
        <f t="shared" si="55"/>
        <v>Support</v>
      </c>
      <c r="U170" s="31">
        <f t="shared" si="56"/>
        <v>0</v>
      </c>
      <c r="V170">
        <f>step3_validation[[#This Row],[AI_ENF2]]</f>
        <v>9</v>
      </c>
      <c r="W170" t="str">
        <f t="shared" si="57"/>
        <v>Support</v>
      </c>
      <c r="X170">
        <f>survey_responses[[#This Row],[Tôi tin rằng Nhà nước, cơ quan thuế có đủ khả năng và công nghệ để phát hiện, xử lý nghiêm các hành vi trốn thuế. - HUMAN-ENF2]]</f>
        <v>8</v>
      </c>
      <c r="Y170" t="str">
        <f t="shared" si="58"/>
        <v>Support</v>
      </c>
      <c r="Z170" s="31">
        <f t="shared" si="59"/>
        <v>1</v>
      </c>
      <c r="AA170">
        <f>step3_validation[[#This Row],[AI_FAC1]]</f>
        <v>7</v>
      </c>
      <c r="AB170" t="str">
        <f t="shared" si="60"/>
        <v>Neutral</v>
      </c>
      <c r="AC170">
        <f>survey_responses[[#This Row],[Các thủ tục khai báo thuế VÀ/HOẶC quy trình làm việc với cơ quan thuế đơn giản, tiện lợi, nhanh chóng hơn so với trước đây. - HUMAN-FAC1]]</f>
        <v>7</v>
      </c>
      <c r="AD170" t="str">
        <f t="shared" si="61"/>
        <v>Neutral</v>
      </c>
      <c r="AE170" s="31">
        <f t="shared" si="62"/>
        <v>0</v>
      </c>
      <c r="AF170">
        <f>step3_validation[[#This Row],[AI_FAC2]]</f>
        <v>9</v>
      </c>
      <c r="AG170" t="str">
        <f t="shared" si="63"/>
        <v>Support</v>
      </c>
      <c r="AH170">
        <f>survey_responses[[#This Row],[So với trước đây, tôi thấy cách tính thuế và các bậc thuế trong phương án mới đơn giản, dễ hiểu và dễ thực hiện hơn. - HUMAN-FAC2]]</f>
        <v>8</v>
      </c>
      <c r="AI170" t="str">
        <f t="shared" si="64"/>
        <v>Support</v>
      </c>
      <c r="AJ170" s="31">
        <f t="shared" si="65"/>
        <v>1</v>
      </c>
      <c r="AK170">
        <f>step3_validation[[#This Row],[AI_TRU1]]</f>
        <v>8</v>
      </c>
      <c r="AL170" t="str">
        <f t="shared" si="66"/>
        <v>Support</v>
      </c>
      <c r="AM170">
        <f>survey_responses[[#This Row],[Tôi tin rằng Nhà nước, cơ quan thuế sẽ thực thi chính sách mới một cách khách quan, công tâm và đối xử bình đẳng với mọi người nộp thuế.  - HUMAN-TRU1]]</f>
        <v>7</v>
      </c>
      <c r="AN170" t="str">
        <f t="shared" si="67"/>
        <v>Neutral</v>
      </c>
      <c r="AO170" s="31">
        <f t="shared" si="68"/>
        <v>1</v>
      </c>
      <c r="AP170">
        <f>step3_validation[[#This Row],[AI_TRU2]]</f>
        <v>9</v>
      </c>
      <c r="AQ170" t="str">
        <f t="shared" si="69"/>
        <v>Support</v>
      </c>
      <c r="AR170">
        <f>survey_responses[[#This Row],[Tôi thấy mức thuế tôi phải đóng theo phương án mới là công bằng (người thu nhập như tôi đóng mức này là hợp lý). - HUMAN-TRU2]]</f>
        <v>7</v>
      </c>
      <c r="AS170" t="str">
        <f t="shared" si="70"/>
        <v>Neutral</v>
      </c>
      <c r="AT170" s="31">
        <f t="shared" si="71"/>
        <v>2</v>
      </c>
      <c r="AU170">
        <f>step3_validation[[#This Row],[AI_TRU3]]</f>
        <v>8</v>
      </c>
      <c r="AV170" t="str">
        <f t="shared" si="72"/>
        <v>Support</v>
      </c>
      <c r="AW170">
        <f>survey_responses[[#This Row],[Tôi tin tưởng số tiền thuế tôi đóng sẽ được Nhà nước sử dụng hiệu quả để cải thiện dịch vụ công (y tế, đường xá...). - HUMAN-TRU3]]</f>
        <v>7</v>
      </c>
      <c r="AX170" t="str">
        <f t="shared" si="73"/>
        <v>Neutral</v>
      </c>
      <c r="AY170" s="31">
        <f t="shared" si="74"/>
        <v>1</v>
      </c>
      <c r="AZ170">
        <f>step3_validation[[#This Row],[AI_TRU4]]</f>
        <v>9</v>
      </c>
      <c r="BA170" t="str">
        <f t="shared" si="75"/>
        <v>Support</v>
      </c>
      <c r="BB170">
        <f>survey_responses[[#This Row],[Tôi thấy Nhà nước đã giải thích rõ ràng, minh bạch về lý do và mục tiêu của việc sửa đổi thuế lần này. - HUMAN-TRU4]]</f>
        <v>8</v>
      </c>
      <c r="BC170" t="str">
        <f t="shared" si="76"/>
        <v>Support</v>
      </c>
      <c r="BD170" s="31">
        <f t="shared" si="77"/>
        <v>1</v>
      </c>
      <c r="BE170">
        <f>step3_validation[[#This Row],[AI_OUT1]]</f>
        <v>8</v>
      </c>
      <c r="BF170" t="str">
        <f t="shared" si="78"/>
        <v>Support</v>
      </c>
      <c r="BG170">
        <f>survey_responses[[#This Row],[Sau khi xem xét các quyền lợi và nghĩa vụ, bạn có ủng hộ và tuân thủ chính sách mới hiện nay? - HUMAN-OUT1]]</f>
        <v>8</v>
      </c>
      <c r="BH170" t="str">
        <f t="shared" si="79"/>
        <v>Support</v>
      </c>
      <c r="BI170" s="31">
        <f t="shared" si="80"/>
        <v>0</v>
      </c>
    </row>
    <row r="171" spans="1:61" hidden="1" x14ac:dyDescent="0.45">
      <c r="A171" s="29">
        <f>step3_validation[[#This Row],[Persona_ID]]</f>
        <v>170</v>
      </c>
      <c r="B171" s="30">
        <f>step3_validation[[#This Row],[Used_Seed]]</f>
        <v>211</v>
      </c>
      <c r="C171" t="str">
        <f>step3_validation[[#This Row],[Gender]]</f>
        <v>Nam</v>
      </c>
      <c r="D171" t="str">
        <f>survey_responses[[#This Row],[Giới tính của bạn:]]</f>
        <v>Nam</v>
      </c>
      <c r="E171" t="str">
        <f>step3_validation[[#This Row],[Age_Group]]</f>
        <v>25 - 29</v>
      </c>
      <c r="F171" t="str">
        <f>survey_responses[[#This Row],[Độ tuổi của bạn:]]</f>
        <v>25 - 29</v>
      </c>
      <c r="G171" t="str">
        <f>step3_validation[[#This Row],[Region]]</f>
        <v>Thành thị</v>
      </c>
      <c r="H171" t="str">
        <f>survey_responses[[#This Row],[Khu vực bạn đang sinh sống:]]</f>
        <v>Thành thị</v>
      </c>
      <c r="I171" t="str">
        <f>step3_validation[[#This Row],[Education]]</f>
        <v>Đại học</v>
      </c>
      <c r="J171" t="str">
        <f>survey_responses[[#This Row],[Trình độ học vấn cao nhất:]]</f>
        <v>Đại học</v>
      </c>
      <c r="K171" t="str">
        <f>step3_validation[[#This Row],[Employment]]</f>
        <v>Phi chính thức</v>
      </c>
      <c r="L171" t="str">
        <f>survey_responses[[#This Row],[Tình trạng việc làm chính:]]</f>
        <v>Khu vực phi chính thức (Lao động tự do, không có HĐLĐ)</v>
      </c>
      <c r="M171">
        <f>step3_validation[[#This Row],[Income_Mil]]</f>
        <v>16.832813501636757</v>
      </c>
      <c r="N171" t="str">
        <f>survey_responses[[#This Row],[Thu nhập bình quân tháng theo Hợp đồng lao động của bạn là bao nhiêu? (Vui lòng điền tổng thu nhập trước khi khấu trừ các loại Bảo hiểm (BHXH, BHYT, BHTN) và Thuế TNCN)]]</f>
        <v>Từ 12 - 18 triệu VNĐ</v>
      </c>
      <c r="O171">
        <f>step3_validation[[#This Row],[Dependents]]</f>
        <v>0</v>
      </c>
      <c r="P171" t="str">
        <f>survey_responses[[#This Row],[Số người phụ thuộc (con nhỏ, cha mẹ già...) đủ điều kiện giảm trừ gia cảnh:]]</f>
        <v>0 người</v>
      </c>
      <c r="Q171">
        <f>step3_validation[[#This Row],[AI_ENF1]]</f>
        <v>7</v>
      </c>
      <c r="R171" t="str">
        <f t="shared" si="54"/>
        <v>Neutral</v>
      </c>
      <c r="S171">
        <f>survey_responses[[#This Row],[Tôi tin rằng với các quy định quản lý thuế hiện nay, hành vi gian lận hoặc trốn thuế sẽ dễ dàng bị phát hiện và xử lý nghiêm. - HUMAN-ENF1]]</f>
        <v>5</v>
      </c>
      <c r="T171" t="str">
        <f t="shared" si="55"/>
        <v>Neutral</v>
      </c>
      <c r="U171" s="31">
        <f t="shared" si="56"/>
        <v>2</v>
      </c>
      <c r="V171">
        <f>step3_validation[[#This Row],[AI_ENF2]]</f>
        <v>8</v>
      </c>
      <c r="W171" t="str">
        <f t="shared" si="57"/>
        <v>Support</v>
      </c>
      <c r="X171">
        <f>survey_responses[[#This Row],[Tôi tin rằng Nhà nước, cơ quan thuế có đủ khả năng và công nghệ để phát hiện, xử lý nghiêm các hành vi trốn thuế. - HUMAN-ENF2]]</f>
        <v>8</v>
      </c>
      <c r="Y171" t="str">
        <f t="shared" si="58"/>
        <v>Support</v>
      </c>
      <c r="Z171" s="31">
        <f t="shared" si="59"/>
        <v>0</v>
      </c>
      <c r="AA171">
        <f>step3_validation[[#This Row],[AI_FAC1]]</f>
        <v>6</v>
      </c>
      <c r="AB171" t="str">
        <f t="shared" si="60"/>
        <v>Neutral</v>
      </c>
      <c r="AC171">
        <f>survey_responses[[#This Row],[Các thủ tục khai báo thuế VÀ/HOẶC quy trình làm việc với cơ quan thuế đơn giản, tiện lợi, nhanh chóng hơn so với trước đây. - HUMAN-FAC1]]</f>
        <v>7</v>
      </c>
      <c r="AD171" t="str">
        <f t="shared" si="61"/>
        <v>Neutral</v>
      </c>
      <c r="AE171" s="31">
        <f t="shared" si="62"/>
        <v>1</v>
      </c>
      <c r="AF171">
        <f>step3_validation[[#This Row],[AI_FAC2]]</f>
        <v>9</v>
      </c>
      <c r="AG171" t="str">
        <f t="shared" si="63"/>
        <v>Support</v>
      </c>
      <c r="AH171">
        <f>survey_responses[[#This Row],[So với trước đây, tôi thấy cách tính thuế và các bậc thuế trong phương án mới đơn giản, dễ hiểu và dễ thực hiện hơn. - HUMAN-FAC2]]</f>
        <v>8</v>
      </c>
      <c r="AI171" t="str">
        <f t="shared" si="64"/>
        <v>Support</v>
      </c>
      <c r="AJ171" s="31">
        <f t="shared" si="65"/>
        <v>1</v>
      </c>
      <c r="AK171">
        <f>step3_validation[[#This Row],[AI_TRU1]]</f>
        <v>7</v>
      </c>
      <c r="AL171" t="str">
        <f t="shared" si="66"/>
        <v>Neutral</v>
      </c>
      <c r="AM171">
        <f>survey_responses[[#This Row],[Tôi tin rằng Nhà nước, cơ quan thuế sẽ thực thi chính sách mới một cách khách quan, công tâm và đối xử bình đẳng với mọi người nộp thuế.  - HUMAN-TRU1]]</f>
        <v>1</v>
      </c>
      <c r="AN171" t="str">
        <f t="shared" si="67"/>
        <v>Oppose</v>
      </c>
      <c r="AO171" s="31">
        <f t="shared" si="68"/>
        <v>6</v>
      </c>
      <c r="AP171">
        <f>step3_validation[[#This Row],[AI_TRU2]]</f>
        <v>9</v>
      </c>
      <c r="AQ171" t="str">
        <f t="shared" si="69"/>
        <v>Support</v>
      </c>
      <c r="AR171">
        <f>survey_responses[[#This Row],[Tôi thấy mức thuế tôi phải đóng theo phương án mới là công bằng (người thu nhập như tôi đóng mức này là hợp lý). - HUMAN-TRU2]]</f>
        <v>2</v>
      </c>
      <c r="AS171" t="str">
        <f t="shared" si="70"/>
        <v>Oppose</v>
      </c>
      <c r="AT171" s="31">
        <f t="shared" si="71"/>
        <v>7</v>
      </c>
      <c r="AU171">
        <f>step3_validation[[#This Row],[AI_TRU3]]</f>
        <v>7</v>
      </c>
      <c r="AV171" t="str">
        <f t="shared" si="72"/>
        <v>Neutral</v>
      </c>
      <c r="AW171">
        <f>survey_responses[[#This Row],[Tôi tin tưởng số tiền thuế tôi đóng sẽ được Nhà nước sử dụng hiệu quả để cải thiện dịch vụ công (y tế, đường xá...). - HUMAN-TRU3]]</f>
        <v>3</v>
      </c>
      <c r="AX171" t="str">
        <f t="shared" si="73"/>
        <v>Oppose</v>
      </c>
      <c r="AY171" s="31">
        <f t="shared" si="74"/>
        <v>4</v>
      </c>
      <c r="AZ171">
        <f>step3_validation[[#This Row],[AI_TRU4]]</f>
        <v>6</v>
      </c>
      <c r="BA171" t="str">
        <f t="shared" si="75"/>
        <v>Neutral</v>
      </c>
      <c r="BB171">
        <f>survey_responses[[#This Row],[Tôi thấy Nhà nước đã giải thích rõ ràng, minh bạch về lý do và mục tiêu của việc sửa đổi thuế lần này. - HUMAN-TRU4]]</f>
        <v>3</v>
      </c>
      <c r="BC171" t="str">
        <f t="shared" si="76"/>
        <v>Oppose</v>
      </c>
      <c r="BD171" s="31">
        <f t="shared" si="77"/>
        <v>3</v>
      </c>
      <c r="BE171">
        <f>step3_validation[[#This Row],[AI_OUT1]]</f>
        <v>9</v>
      </c>
      <c r="BF171" t="str">
        <f t="shared" si="78"/>
        <v>Support</v>
      </c>
      <c r="BG171">
        <f>survey_responses[[#This Row],[Sau khi xem xét các quyền lợi và nghĩa vụ, bạn có ủng hộ và tuân thủ chính sách mới hiện nay? - HUMAN-OUT1]]</f>
        <v>7</v>
      </c>
      <c r="BH171" t="str">
        <f t="shared" si="79"/>
        <v>Neutral</v>
      </c>
      <c r="BI171" s="31">
        <f t="shared" si="80"/>
        <v>2</v>
      </c>
    </row>
    <row r="172" spans="1:61" x14ac:dyDescent="0.45">
      <c r="A172" s="29">
        <f>step3_validation[[#This Row],[Persona_ID]]</f>
        <v>171</v>
      </c>
      <c r="B172" s="30">
        <f>step3_validation[[#This Row],[Used_Seed]]</f>
        <v>212</v>
      </c>
      <c r="C172" t="str">
        <f>step3_validation[[#This Row],[Gender]]</f>
        <v>Nam</v>
      </c>
      <c r="D172" t="str">
        <f>survey_responses[[#This Row],[Giới tính của bạn:]]</f>
        <v>Nam</v>
      </c>
      <c r="E172" t="str">
        <f>step3_validation[[#This Row],[Age_Group]]</f>
        <v>18 - 24</v>
      </c>
      <c r="F172" t="str">
        <f>survey_responses[[#This Row],[Độ tuổi của bạn:]]</f>
        <v>18 - 24</v>
      </c>
      <c r="G172" t="str">
        <f>step3_validation[[#This Row],[Region]]</f>
        <v>Thành thị</v>
      </c>
      <c r="H172" t="str">
        <f>survey_responses[[#This Row],[Khu vực bạn đang sinh sống:]]</f>
        <v>Thành thị</v>
      </c>
      <c r="I172" t="str">
        <f>step3_validation[[#This Row],[Education]]</f>
        <v>Đại học</v>
      </c>
      <c r="J172" t="str">
        <f>survey_responses[[#This Row],[Trình độ học vấn cao nhất:]]</f>
        <v>Đại học</v>
      </c>
      <c r="K172" t="str">
        <f>step3_validation[[#This Row],[Employment]]</f>
        <v>Chính thức</v>
      </c>
      <c r="L172" t="str">
        <f>survey_responses[[#This Row],[Tình trạng việc làm chính:]]</f>
        <v>Khu vực chính thức (Có Hợp đồng lao động, đóng BHXH)</v>
      </c>
      <c r="M172">
        <f>step3_validation[[#This Row],[Income_Mil]]</f>
        <v>12</v>
      </c>
      <c r="N172" t="str">
        <f>survey_responses[[#This Row],[Thu nhập bình quân tháng theo Hợp đồng lao động của bạn là bao nhiêu? (Vui lòng điền tổng thu nhập trước khi khấu trừ các loại Bảo hiểm (BHXH, BHYT, BHTN) và Thuế TNCN)]]</f>
        <v>Dưới 12 triệu VNĐ</v>
      </c>
      <c r="O172">
        <f>step3_validation[[#This Row],[Dependents]]</f>
        <v>0</v>
      </c>
      <c r="P172" t="str">
        <f>survey_responses[[#This Row],[Số người phụ thuộc (con nhỏ, cha mẹ già...) đủ điều kiện giảm trừ gia cảnh:]]</f>
        <v>0 người</v>
      </c>
      <c r="Q172">
        <f>step3_validation[[#This Row],[AI_ENF1]]</f>
        <v>6</v>
      </c>
      <c r="R172" t="str">
        <f t="shared" si="54"/>
        <v>Neutral</v>
      </c>
      <c r="S172">
        <f>survey_responses[[#This Row],[Tôi tin rằng với các quy định quản lý thuế hiện nay, hành vi gian lận hoặc trốn thuế sẽ dễ dàng bị phát hiện và xử lý nghiêm. - HUMAN-ENF1]]</f>
        <v>6</v>
      </c>
      <c r="T172" t="str">
        <f t="shared" si="55"/>
        <v>Neutral</v>
      </c>
      <c r="U172" s="31">
        <f t="shared" si="56"/>
        <v>0</v>
      </c>
      <c r="V172">
        <f>step3_validation[[#This Row],[AI_ENF2]]</f>
        <v>8</v>
      </c>
      <c r="W172" t="str">
        <f t="shared" si="57"/>
        <v>Support</v>
      </c>
      <c r="X172">
        <f>survey_responses[[#This Row],[Tôi tin rằng Nhà nước, cơ quan thuế có đủ khả năng và công nghệ để phát hiện, xử lý nghiêm các hành vi trốn thuế. - HUMAN-ENF2]]</f>
        <v>7</v>
      </c>
      <c r="Y172" t="str">
        <f t="shared" si="58"/>
        <v>Neutral</v>
      </c>
      <c r="Z172" s="31">
        <f t="shared" si="59"/>
        <v>1</v>
      </c>
      <c r="AA172">
        <f>step3_validation[[#This Row],[AI_FAC1]]</f>
        <v>7</v>
      </c>
      <c r="AB172" t="str">
        <f t="shared" si="60"/>
        <v>Neutral</v>
      </c>
      <c r="AC172">
        <f>survey_responses[[#This Row],[Các thủ tục khai báo thuế VÀ/HOẶC quy trình làm việc với cơ quan thuế đơn giản, tiện lợi, nhanh chóng hơn so với trước đây. - HUMAN-FAC1]]</f>
        <v>5</v>
      </c>
      <c r="AD172" t="str">
        <f t="shared" si="61"/>
        <v>Neutral</v>
      </c>
      <c r="AE172" s="31">
        <f t="shared" si="62"/>
        <v>2</v>
      </c>
      <c r="AF172">
        <f>step3_validation[[#This Row],[AI_FAC2]]</f>
        <v>9</v>
      </c>
      <c r="AG172" t="str">
        <f t="shared" si="63"/>
        <v>Support</v>
      </c>
      <c r="AH172">
        <f>survey_responses[[#This Row],[So với trước đây, tôi thấy cách tính thuế và các bậc thuế trong phương án mới đơn giản, dễ hiểu và dễ thực hiện hơn. - HUMAN-FAC2]]</f>
        <v>7</v>
      </c>
      <c r="AI172" t="str">
        <f t="shared" si="64"/>
        <v>Neutral</v>
      </c>
      <c r="AJ172" s="31">
        <f t="shared" si="65"/>
        <v>2</v>
      </c>
      <c r="AK172">
        <f>step3_validation[[#This Row],[AI_TRU1]]</f>
        <v>8</v>
      </c>
      <c r="AL172" t="str">
        <f t="shared" si="66"/>
        <v>Support</v>
      </c>
      <c r="AM172">
        <f>survey_responses[[#This Row],[Tôi tin rằng Nhà nước, cơ quan thuế sẽ thực thi chính sách mới một cách khách quan, công tâm và đối xử bình đẳng với mọi người nộp thuế.  - HUMAN-TRU1]]</f>
        <v>7</v>
      </c>
      <c r="AN172" t="str">
        <f t="shared" si="67"/>
        <v>Neutral</v>
      </c>
      <c r="AO172" s="31">
        <f t="shared" si="68"/>
        <v>1</v>
      </c>
      <c r="AP172">
        <f>step3_validation[[#This Row],[AI_TRU2]]</f>
        <v>7</v>
      </c>
      <c r="AQ172" t="str">
        <f t="shared" si="69"/>
        <v>Neutral</v>
      </c>
      <c r="AR172">
        <f>survey_responses[[#This Row],[Tôi thấy mức thuế tôi phải đóng theo phương án mới là công bằng (người thu nhập như tôi đóng mức này là hợp lý). - HUMAN-TRU2]]</f>
        <v>7</v>
      </c>
      <c r="AS172" t="str">
        <f t="shared" si="70"/>
        <v>Neutral</v>
      </c>
      <c r="AT172" s="31">
        <f t="shared" si="71"/>
        <v>0</v>
      </c>
      <c r="AU172">
        <f>step3_validation[[#This Row],[AI_TRU3]]</f>
        <v>8</v>
      </c>
      <c r="AV172" t="str">
        <f t="shared" si="72"/>
        <v>Support</v>
      </c>
      <c r="AW172">
        <f>survey_responses[[#This Row],[Tôi tin tưởng số tiền thuế tôi đóng sẽ được Nhà nước sử dụng hiệu quả để cải thiện dịch vụ công (y tế, đường xá...). - HUMAN-TRU3]]</f>
        <v>5</v>
      </c>
      <c r="AX172" t="str">
        <f t="shared" si="73"/>
        <v>Neutral</v>
      </c>
      <c r="AY172" s="31">
        <f t="shared" si="74"/>
        <v>3</v>
      </c>
      <c r="AZ172">
        <f>step3_validation[[#This Row],[AI_TRU4]]</f>
        <v>7</v>
      </c>
      <c r="BA172" t="str">
        <f t="shared" si="75"/>
        <v>Neutral</v>
      </c>
      <c r="BB172">
        <f>survey_responses[[#This Row],[Tôi thấy Nhà nước đã giải thích rõ ràng, minh bạch về lý do và mục tiêu của việc sửa đổi thuế lần này. - HUMAN-TRU4]]</f>
        <v>7</v>
      </c>
      <c r="BC172" t="str">
        <f t="shared" si="76"/>
        <v>Neutral</v>
      </c>
      <c r="BD172" s="31">
        <f t="shared" si="77"/>
        <v>0</v>
      </c>
      <c r="BE172">
        <f>step3_validation[[#This Row],[AI_OUT1]]</f>
        <v>9</v>
      </c>
      <c r="BF172" t="str">
        <f t="shared" si="78"/>
        <v>Support</v>
      </c>
      <c r="BG172">
        <f>survey_responses[[#This Row],[Sau khi xem xét các quyền lợi và nghĩa vụ, bạn có ủng hộ và tuân thủ chính sách mới hiện nay? - HUMAN-OUT1]]</f>
        <v>7</v>
      </c>
      <c r="BH172" t="str">
        <f t="shared" si="79"/>
        <v>Neutral</v>
      </c>
      <c r="BI172" s="31">
        <f t="shared" si="80"/>
        <v>2</v>
      </c>
    </row>
    <row r="173" spans="1:61" hidden="1" x14ac:dyDescent="0.45">
      <c r="A173" s="29">
        <f>step3_validation[[#This Row],[Persona_ID]]</f>
        <v>172</v>
      </c>
      <c r="B173" s="30">
        <f>step3_validation[[#This Row],[Used_Seed]]</f>
        <v>213</v>
      </c>
      <c r="C173" t="str">
        <f>step3_validation[[#This Row],[Gender]]</f>
        <v>Nam</v>
      </c>
      <c r="D173" t="str">
        <f>survey_responses[[#This Row],[Giới tính của bạn:]]</f>
        <v>Nam</v>
      </c>
      <c r="E173" t="str">
        <f>step3_validation[[#This Row],[Age_Group]]</f>
        <v>50 - 54</v>
      </c>
      <c r="F173" t="str">
        <f>survey_responses[[#This Row],[Độ tuổi của bạn:]]</f>
        <v>50 - 54</v>
      </c>
      <c r="G173" t="str">
        <f>step3_validation[[#This Row],[Region]]</f>
        <v>Thành thị</v>
      </c>
      <c r="H173" t="str">
        <f>survey_responses[[#This Row],[Khu vực bạn đang sinh sống:]]</f>
        <v>Thành thị</v>
      </c>
      <c r="I173" t="str">
        <f>step3_validation[[#This Row],[Education]]</f>
        <v>Sau Đại học</v>
      </c>
      <c r="J173" t="str">
        <f>survey_responses[[#This Row],[Trình độ học vấn cao nhất:]]</f>
        <v>Sau Đại học</v>
      </c>
      <c r="K173" t="str">
        <f>step3_validation[[#This Row],[Employment]]</f>
        <v>Chính thức</v>
      </c>
      <c r="L173" t="str">
        <f>survey_responses[[#This Row],[Tình trạng việc làm chính:]]</f>
        <v>Khu vực chính thức (Có Hợp đồng lao động, đóng BHXH)</v>
      </c>
      <c r="M173">
        <f>step3_validation[[#This Row],[Income_Mil]]</f>
        <v>167.27835404196111</v>
      </c>
      <c r="N173" t="str">
        <f>survey_responses[[#This Row],[Thu nhập bình quân tháng theo Hợp đồng lao động của bạn là bao nhiêu? (Vui lòng điền tổng thu nhập trước khi khấu trừ các loại Bảo hiểm (BHXH, BHYT, BHTN) và Thuế TNCN)]]</f>
        <v>Trên 102 triệu VNĐ</v>
      </c>
      <c r="O173">
        <f>step3_validation[[#This Row],[Dependents]]</f>
        <v>4</v>
      </c>
      <c r="P173" t="str">
        <f>survey_responses[[#This Row],[Số người phụ thuộc (con nhỏ, cha mẹ già...) đủ điều kiện giảm trừ gia cảnh:]]</f>
        <v>4 người trở lên</v>
      </c>
      <c r="Q173">
        <f>step3_validation[[#This Row],[AI_ENF1]]</f>
        <v>8</v>
      </c>
      <c r="R173" t="str">
        <f t="shared" si="54"/>
        <v>Support</v>
      </c>
      <c r="S173">
        <f>survey_responses[[#This Row],[Tôi tin rằng với các quy định quản lý thuế hiện nay, hành vi gian lận hoặc trốn thuế sẽ dễ dàng bị phát hiện và xử lý nghiêm. - HUMAN-ENF1]]</f>
        <v>8</v>
      </c>
      <c r="T173" t="str">
        <f t="shared" si="55"/>
        <v>Support</v>
      </c>
      <c r="U173" s="31">
        <f t="shared" si="56"/>
        <v>0</v>
      </c>
      <c r="V173">
        <f>step3_validation[[#This Row],[AI_ENF2]]</f>
        <v>6</v>
      </c>
      <c r="W173" t="str">
        <f t="shared" si="57"/>
        <v>Neutral</v>
      </c>
      <c r="X173">
        <f>survey_responses[[#This Row],[Tôi tin rằng Nhà nước, cơ quan thuế có đủ khả năng và công nghệ để phát hiện, xử lý nghiêm các hành vi trốn thuế. - HUMAN-ENF2]]</f>
        <v>8</v>
      </c>
      <c r="Y173" t="str">
        <f t="shared" si="58"/>
        <v>Support</v>
      </c>
      <c r="Z173" s="31">
        <f t="shared" si="59"/>
        <v>2</v>
      </c>
      <c r="AA173">
        <f>step3_validation[[#This Row],[AI_FAC1]]</f>
        <v>7</v>
      </c>
      <c r="AB173" t="str">
        <f t="shared" si="60"/>
        <v>Neutral</v>
      </c>
      <c r="AC173">
        <f>survey_responses[[#This Row],[Các thủ tục khai báo thuế VÀ/HOẶC quy trình làm việc với cơ quan thuế đơn giản, tiện lợi, nhanh chóng hơn so với trước đây. - HUMAN-FAC1]]</f>
        <v>8</v>
      </c>
      <c r="AD173" t="str">
        <f t="shared" si="61"/>
        <v>Support</v>
      </c>
      <c r="AE173" s="31">
        <f t="shared" si="62"/>
        <v>1</v>
      </c>
      <c r="AF173">
        <f>step3_validation[[#This Row],[AI_FAC2]]</f>
        <v>9</v>
      </c>
      <c r="AG173" t="str">
        <f t="shared" si="63"/>
        <v>Support</v>
      </c>
      <c r="AH173">
        <f>survey_responses[[#This Row],[So với trước đây, tôi thấy cách tính thuế và các bậc thuế trong phương án mới đơn giản, dễ hiểu và dễ thực hiện hơn. - HUMAN-FAC2]]</f>
        <v>9</v>
      </c>
      <c r="AI173" t="str">
        <f t="shared" si="64"/>
        <v>Support</v>
      </c>
      <c r="AJ173" s="31">
        <f t="shared" si="65"/>
        <v>0</v>
      </c>
      <c r="AK173">
        <f>step3_validation[[#This Row],[AI_TRU1]]</f>
        <v>8</v>
      </c>
      <c r="AL173" t="str">
        <f t="shared" si="66"/>
        <v>Support</v>
      </c>
      <c r="AM173">
        <f>survey_responses[[#This Row],[Tôi tin rằng Nhà nước, cơ quan thuế sẽ thực thi chính sách mới một cách khách quan, công tâm và đối xử bình đẳng với mọi người nộp thuế.  - HUMAN-TRU1]]</f>
        <v>9</v>
      </c>
      <c r="AN173" t="str">
        <f t="shared" si="67"/>
        <v>Support</v>
      </c>
      <c r="AO173" s="31">
        <f t="shared" si="68"/>
        <v>1</v>
      </c>
      <c r="AP173">
        <f>step3_validation[[#This Row],[AI_TRU2]]</f>
        <v>9</v>
      </c>
      <c r="AQ173" t="str">
        <f t="shared" si="69"/>
        <v>Support</v>
      </c>
      <c r="AR173">
        <f>survey_responses[[#This Row],[Tôi thấy mức thuế tôi phải đóng theo phương án mới là công bằng (người thu nhập như tôi đóng mức này là hợp lý). - HUMAN-TRU2]]</f>
        <v>5</v>
      </c>
      <c r="AS173" t="str">
        <f t="shared" si="70"/>
        <v>Neutral</v>
      </c>
      <c r="AT173" s="31">
        <f t="shared" si="71"/>
        <v>4</v>
      </c>
      <c r="AU173">
        <f>step3_validation[[#This Row],[AI_TRU3]]</f>
        <v>8</v>
      </c>
      <c r="AV173" t="str">
        <f t="shared" si="72"/>
        <v>Support</v>
      </c>
      <c r="AW173">
        <f>survey_responses[[#This Row],[Tôi tin tưởng số tiền thuế tôi đóng sẽ được Nhà nước sử dụng hiệu quả để cải thiện dịch vụ công (y tế, đường xá...). - HUMAN-TRU3]]</f>
        <v>5</v>
      </c>
      <c r="AX173" t="str">
        <f t="shared" si="73"/>
        <v>Neutral</v>
      </c>
      <c r="AY173" s="31">
        <f t="shared" si="74"/>
        <v>3</v>
      </c>
      <c r="AZ173">
        <f>step3_validation[[#This Row],[AI_TRU4]]</f>
        <v>9</v>
      </c>
      <c r="BA173" t="str">
        <f t="shared" si="75"/>
        <v>Support</v>
      </c>
      <c r="BB173">
        <f>survey_responses[[#This Row],[Tôi thấy Nhà nước đã giải thích rõ ràng, minh bạch về lý do và mục tiêu của việc sửa đổi thuế lần này. - HUMAN-TRU4]]</f>
        <v>8</v>
      </c>
      <c r="BC173" t="str">
        <f t="shared" si="76"/>
        <v>Support</v>
      </c>
      <c r="BD173" s="31">
        <f t="shared" si="77"/>
        <v>1</v>
      </c>
      <c r="BE173">
        <f>step3_validation[[#This Row],[AI_OUT1]]</f>
        <v>9</v>
      </c>
      <c r="BF173" t="str">
        <f t="shared" si="78"/>
        <v>Support</v>
      </c>
      <c r="BG173">
        <f>survey_responses[[#This Row],[Sau khi xem xét các quyền lợi và nghĩa vụ, bạn có ủng hộ và tuân thủ chính sách mới hiện nay? - HUMAN-OUT1]]</f>
        <v>6</v>
      </c>
      <c r="BH173" t="str">
        <f t="shared" si="79"/>
        <v>Neutral</v>
      </c>
      <c r="BI173" s="31">
        <f t="shared" si="80"/>
        <v>3</v>
      </c>
    </row>
    <row r="174" spans="1:61" hidden="1" x14ac:dyDescent="0.45">
      <c r="A174" s="29">
        <f>step3_validation[[#This Row],[Persona_ID]]</f>
        <v>173</v>
      </c>
      <c r="B174" s="30">
        <f>step3_validation[[#This Row],[Used_Seed]]</f>
        <v>214</v>
      </c>
      <c r="C174" t="str">
        <f>step3_validation[[#This Row],[Gender]]</f>
        <v>Nữ</v>
      </c>
      <c r="D174" t="str">
        <f>survey_responses[[#This Row],[Giới tính của bạn:]]</f>
        <v>Nữ</v>
      </c>
      <c r="E174" t="str">
        <f>step3_validation[[#This Row],[Age_Group]]</f>
        <v>40 - 49</v>
      </c>
      <c r="F174" t="str">
        <f>survey_responses[[#This Row],[Độ tuổi của bạn:]]</f>
        <v>40 - 49</v>
      </c>
      <c r="G174" t="str">
        <f>step3_validation[[#This Row],[Region]]</f>
        <v>Thành thị</v>
      </c>
      <c r="H174" t="str">
        <f>survey_responses[[#This Row],[Khu vực bạn đang sinh sống:]]</f>
        <v>Thành thị</v>
      </c>
      <c r="I174" t="str">
        <f>step3_validation[[#This Row],[Education]]</f>
        <v>Đại học</v>
      </c>
      <c r="J174" t="str">
        <f>survey_responses[[#This Row],[Trình độ học vấn cao nhất:]]</f>
        <v>Đại học</v>
      </c>
      <c r="K174" t="str">
        <f>step3_validation[[#This Row],[Employment]]</f>
        <v>Chính thức</v>
      </c>
      <c r="L174" t="str">
        <f>survey_responses[[#This Row],[Tình trạng việc làm chính:]]</f>
        <v>Khu vực chính thức (Có Hợp đồng lao động, đóng BHXH)</v>
      </c>
      <c r="M174">
        <f>step3_validation[[#This Row],[Income_Mil]]</f>
        <v>88.032191317746083</v>
      </c>
      <c r="N174" t="str">
        <f>survey_responses[[#This Row],[Thu nhập bình quân tháng theo Hợp đồng lao động của bạn là bao nhiêu? (Vui lòng điền tổng thu nhập trước khi khấu trừ các loại Bảo hiểm (BHXH, BHYT, BHTN) và Thuế TNCN)]]</f>
        <v>Từ 70 - 102 triệu VNĐ</v>
      </c>
      <c r="O174">
        <f>step3_validation[[#This Row],[Dependents]]</f>
        <v>3</v>
      </c>
      <c r="P174" t="str">
        <f>survey_responses[[#This Row],[Số người phụ thuộc (con nhỏ, cha mẹ già...) đủ điều kiện giảm trừ gia cảnh:]]</f>
        <v>3 người</v>
      </c>
      <c r="Q174">
        <f>step3_validation[[#This Row],[AI_ENF1]]</f>
        <v>7</v>
      </c>
      <c r="R174" t="str">
        <f t="shared" si="54"/>
        <v>Neutral</v>
      </c>
      <c r="S174">
        <f>survey_responses[[#This Row],[Tôi tin rằng với các quy định quản lý thuế hiện nay, hành vi gian lận hoặc trốn thuế sẽ dễ dàng bị phát hiện và xử lý nghiêm. - HUMAN-ENF1]]</f>
        <v>5</v>
      </c>
      <c r="T174" t="str">
        <f t="shared" si="55"/>
        <v>Neutral</v>
      </c>
      <c r="U174" s="31">
        <f t="shared" si="56"/>
        <v>2</v>
      </c>
      <c r="V174">
        <f>step3_validation[[#This Row],[AI_ENF2]]</f>
        <v>8</v>
      </c>
      <c r="W174" t="str">
        <f t="shared" si="57"/>
        <v>Support</v>
      </c>
      <c r="X174">
        <f>survey_responses[[#This Row],[Tôi tin rằng Nhà nước, cơ quan thuế có đủ khả năng và công nghệ để phát hiện, xử lý nghiêm các hành vi trốn thuế. - HUMAN-ENF2]]</f>
        <v>5</v>
      </c>
      <c r="Y174" t="str">
        <f t="shared" si="58"/>
        <v>Neutral</v>
      </c>
      <c r="Z174" s="31">
        <f t="shared" si="59"/>
        <v>3</v>
      </c>
      <c r="AA174">
        <f>step3_validation[[#This Row],[AI_FAC1]]</f>
        <v>7</v>
      </c>
      <c r="AB174" t="str">
        <f t="shared" si="60"/>
        <v>Neutral</v>
      </c>
      <c r="AC174">
        <f>survey_responses[[#This Row],[Các thủ tục khai báo thuế VÀ/HOẶC quy trình làm việc với cơ quan thuế đơn giản, tiện lợi, nhanh chóng hơn so với trước đây. - HUMAN-FAC1]]</f>
        <v>4</v>
      </c>
      <c r="AD174" t="str">
        <f t="shared" si="61"/>
        <v>Oppose</v>
      </c>
      <c r="AE174" s="31">
        <f t="shared" si="62"/>
        <v>3</v>
      </c>
      <c r="AF174">
        <f>step3_validation[[#This Row],[AI_FAC2]]</f>
        <v>9</v>
      </c>
      <c r="AG174" t="str">
        <f t="shared" si="63"/>
        <v>Support</v>
      </c>
      <c r="AH174">
        <f>survey_responses[[#This Row],[So với trước đây, tôi thấy cách tính thuế và các bậc thuế trong phương án mới đơn giản, dễ hiểu và dễ thực hiện hơn. - HUMAN-FAC2]]</f>
        <v>6</v>
      </c>
      <c r="AI174" t="str">
        <f t="shared" si="64"/>
        <v>Neutral</v>
      </c>
      <c r="AJ174" s="31">
        <f t="shared" si="65"/>
        <v>3</v>
      </c>
      <c r="AK174">
        <f>step3_validation[[#This Row],[AI_TRU1]]</f>
        <v>8</v>
      </c>
      <c r="AL174" t="str">
        <f t="shared" si="66"/>
        <v>Support</v>
      </c>
      <c r="AM174">
        <f>survey_responses[[#This Row],[Tôi tin rằng Nhà nước, cơ quan thuế sẽ thực thi chính sách mới một cách khách quan, công tâm và đối xử bình đẳng với mọi người nộp thuế.  - HUMAN-TRU1]]</f>
        <v>5</v>
      </c>
      <c r="AN174" t="str">
        <f t="shared" si="67"/>
        <v>Neutral</v>
      </c>
      <c r="AO174" s="31">
        <f t="shared" si="68"/>
        <v>3</v>
      </c>
      <c r="AP174">
        <f>step3_validation[[#This Row],[AI_TRU2]]</f>
        <v>9</v>
      </c>
      <c r="AQ174" t="str">
        <f t="shared" si="69"/>
        <v>Support</v>
      </c>
      <c r="AR174">
        <f>survey_responses[[#This Row],[Tôi thấy mức thuế tôi phải đóng theo phương án mới là công bằng (người thu nhập như tôi đóng mức này là hợp lý). - HUMAN-TRU2]]</f>
        <v>4</v>
      </c>
      <c r="AS174" t="str">
        <f t="shared" si="70"/>
        <v>Oppose</v>
      </c>
      <c r="AT174" s="31">
        <f t="shared" si="71"/>
        <v>5</v>
      </c>
      <c r="AU174">
        <f>step3_validation[[#This Row],[AI_TRU3]]</f>
        <v>8</v>
      </c>
      <c r="AV174" t="str">
        <f t="shared" si="72"/>
        <v>Support</v>
      </c>
      <c r="AW174">
        <f>survey_responses[[#This Row],[Tôi tin tưởng số tiền thuế tôi đóng sẽ được Nhà nước sử dụng hiệu quả để cải thiện dịch vụ công (y tế, đường xá...). - HUMAN-TRU3]]</f>
        <v>4</v>
      </c>
      <c r="AX174" t="str">
        <f t="shared" si="73"/>
        <v>Oppose</v>
      </c>
      <c r="AY174" s="31">
        <f t="shared" si="74"/>
        <v>4</v>
      </c>
      <c r="AZ174">
        <f>step3_validation[[#This Row],[AI_TRU4]]</f>
        <v>9</v>
      </c>
      <c r="BA174" t="str">
        <f t="shared" si="75"/>
        <v>Support</v>
      </c>
      <c r="BB174">
        <f>survey_responses[[#This Row],[Tôi thấy Nhà nước đã giải thích rõ ràng, minh bạch về lý do và mục tiêu của việc sửa đổi thuế lần này. - HUMAN-TRU4]]</f>
        <v>5</v>
      </c>
      <c r="BC174" t="str">
        <f t="shared" si="76"/>
        <v>Neutral</v>
      </c>
      <c r="BD174" s="31">
        <f t="shared" si="77"/>
        <v>4</v>
      </c>
      <c r="BE174">
        <f>step3_validation[[#This Row],[AI_OUT1]]</f>
        <v>8</v>
      </c>
      <c r="BF174" t="str">
        <f t="shared" si="78"/>
        <v>Support</v>
      </c>
      <c r="BG174">
        <f>survey_responses[[#This Row],[Sau khi xem xét các quyền lợi và nghĩa vụ, bạn có ủng hộ và tuân thủ chính sách mới hiện nay? - HUMAN-OUT1]]</f>
        <v>5</v>
      </c>
      <c r="BH174" t="str">
        <f t="shared" si="79"/>
        <v>Neutral</v>
      </c>
      <c r="BI174" s="31">
        <f t="shared" si="80"/>
        <v>3</v>
      </c>
    </row>
    <row r="175" spans="1:61" hidden="1" x14ac:dyDescent="0.45">
      <c r="A175" s="29">
        <f>step3_validation[[#This Row],[Persona_ID]]</f>
        <v>174</v>
      </c>
      <c r="B175" s="30">
        <f>step3_validation[[#This Row],[Used_Seed]]</f>
        <v>215</v>
      </c>
      <c r="C175" t="str">
        <f>step3_validation[[#This Row],[Gender]]</f>
        <v>Nữ</v>
      </c>
      <c r="D175" t="str">
        <f>survey_responses[[#This Row],[Giới tính của bạn:]]</f>
        <v>Nữ</v>
      </c>
      <c r="E175" t="str">
        <f>step3_validation[[#This Row],[Age_Group]]</f>
        <v>25 - 29</v>
      </c>
      <c r="F175" t="str">
        <f>survey_responses[[#This Row],[Độ tuổi của bạn:]]</f>
        <v>25 - 29</v>
      </c>
      <c r="G175" t="str">
        <f>step3_validation[[#This Row],[Region]]</f>
        <v>Thành thị</v>
      </c>
      <c r="H175" t="str">
        <f>survey_responses[[#This Row],[Khu vực bạn đang sinh sống:]]</f>
        <v>Thành thị</v>
      </c>
      <c r="I175" t="str">
        <f>step3_validation[[#This Row],[Education]]</f>
        <v>Đại học</v>
      </c>
      <c r="J175" t="str">
        <f>survey_responses[[#This Row],[Trình độ học vấn cao nhất:]]</f>
        <v>Đại học</v>
      </c>
      <c r="K175" t="str">
        <f>step3_validation[[#This Row],[Employment]]</f>
        <v>Chính thức</v>
      </c>
      <c r="L175" t="str">
        <f>survey_responses[[#This Row],[Tình trạng việc làm chính:]]</f>
        <v>Khu vực chính thức (Có Hợp đồng lao động, đóng BHXH)</v>
      </c>
      <c r="M175">
        <f>step3_validation[[#This Row],[Income_Mil]]</f>
        <v>36.664878031042349</v>
      </c>
      <c r="N175" t="str">
        <f>survey_responses[[#This Row],[Thu nhập bình quân tháng theo Hợp đồng lao động của bạn là bao nhiêu? (Vui lòng điền tổng thu nhập trước khi khấu trừ các loại Bảo hiểm (BHXH, BHYT, BHTN) và Thuế TNCN)]]</f>
        <v>Từ 32 - 48 triệu VNĐ</v>
      </c>
      <c r="O175">
        <f>step3_validation[[#This Row],[Dependents]]</f>
        <v>1</v>
      </c>
      <c r="P175" t="str">
        <f>survey_responses[[#This Row],[Số người phụ thuộc (con nhỏ, cha mẹ già...) đủ điều kiện giảm trừ gia cảnh:]]</f>
        <v>1 người</v>
      </c>
      <c r="Q175">
        <f>step3_validation[[#This Row],[AI_ENF1]]</f>
        <v>6</v>
      </c>
      <c r="R175" t="str">
        <f t="shared" si="54"/>
        <v>Neutral</v>
      </c>
      <c r="S175">
        <f>survey_responses[[#This Row],[Tôi tin rằng với các quy định quản lý thuế hiện nay, hành vi gian lận hoặc trốn thuế sẽ dễ dàng bị phát hiện và xử lý nghiêm. - HUMAN-ENF1]]</f>
        <v>6</v>
      </c>
      <c r="T175" t="str">
        <f t="shared" si="55"/>
        <v>Neutral</v>
      </c>
      <c r="U175" s="31">
        <f t="shared" si="56"/>
        <v>0</v>
      </c>
      <c r="V175">
        <f>step3_validation[[#This Row],[AI_ENF2]]</f>
        <v>7</v>
      </c>
      <c r="W175" t="str">
        <f t="shared" si="57"/>
        <v>Neutral</v>
      </c>
      <c r="X175">
        <f>survey_responses[[#This Row],[Tôi tin rằng Nhà nước, cơ quan thuế có đủ khả năng và công nghệ để phát hiện, xử lý nghiêm các hành vi trốn thuế. - HUMAN-ENF2]]</f>
        <v>6</v>
      </c>
      <c r="Y175" t="str">
        <f t="shared" si="58"/>
        <v>Neutral</v>
      </c>
      <c r="Z175" s="31">
        <f t="shared" si="59"/>
        <v>1</v>
      </c>
      <c r="AA175">
        <f>step3_validation[[#This Row],[AI_FAC1]]</f>
        <v>8</v>
      </c>
      <c r="AB175" t="str">
        <f t="shared" si="60"/>
        <v>Support</v>
      </c>
      <c r="AC175">
        <f>survey_responses[[#This Row],[Các thủ tục khai báo thuế VÀ/HOẶC quy trình làm việc với cơ quan thuế đơn giản, tiện lợi, nhanh chóng hơn so với trước đây. - HUMAN-FAC1]]</f>
        <v>6</v>
      </c>
      <c r="AD175" t="str">
        <f t="shared" si="61"/>
        <v>Neutral</v>
      </c>
      <c r="AE175" s="31">
        <f t="shared" si="62"/>
        <v>2</v>
      </c>
      <c r="AF175">
        <f>step3_validation[[#This Row],[AI_FAC2]]</f>
        <v>9</v>
      </c>
      <c r="AG175" t="str">
        <f t="shared" si="63"/>
        <v>Support</v>
      </c>
      <c r="AH175">
        <f>survey_responses[[#This Row],[So với trước đây, tôi thấy cách tính thuế và các bậc thuế trong phương án mới đơn giản, dễ hiểu và dễ thực hiện hơn. - HUMAN-FAC2]]</f>
        <v>6</v>
      </c>
      <c r="AI175" t="str">
        <f t="shared" si="64"/>
        <v>Neutral</v>
      </c>
      <c r="AJ175" s="31">
        <f t="shared" si="65"/>
        <v>3</v>
      </c>
      <c r="AK175">
        <f>step3_validation[[#This Row],[AI_TRU1]]</f>
        <v>7</v>
      </c>
      <c r="AL175" t="str">
        <f t="shared" si="66"/>
        <v>Neutral</v>
      </c>
      <c r="AM175">
        <f>survey_responses[[#This Row],[Tôi tin rằng Nhà nước, cơ quan thuế sẽ thực thi chính sách mới một cách khách quan, công tâm và đối xử bình đẳng với mọi người nộp thuế.  - HUMAN-TRU1]]</f>
        <v>7</v>
      </c>
      <c r="AN175" t="str">
        <f t="shared" si="67"/>
        <v>Neutral</v>
      </c>
      <c r="AO175" s="31">
        <f t="shared" si="68"/>
        <v>0</v>
      </c>
      <c r="AP175">
        <f>step3_validation[[#This Row],[AI_TRU2]]</f>
        <v>9</v>
      </c>
      <c r="AQ175" t="str">
        <f t="shared" si="69"/>
        <v>Support</v>
      </c>
      <c r="AR175">
        <f>survey_responses[[#This Row],[Tôi thấy mức thuế tôi phải đóng theo phương án mới là công bằng (người thu nhập như tôi đóng mức này là hợp lý). - HUMAN-TRU2]]</f>
        <v>7</v>
      </c>
      <c r="AS175" t="str">
        <f t="shared" si="70"/>
        <v>Neutral</v>
      </c>
      <c r="AT175" s="31">
        <f t="shared" si="71"/>
        <v>2</v>
      </c>
      <c r="AU175">
        <f>step3_validation[[#This Row],[AI_TRU3]]</f>
        <v>8</v>
      </c>
      <c r="AV175" t="str">
        <f t="shared" si="72"/>
        <v>Support</v>
      </c>
      <c r="AW175">
        <f>survey_responses[[#This Row],[Tôi tin tưởng số tiền thuế tôi đóng sẽ được Nhà nước sử dụng hiệu quả để cải thiện dịch vụ công (y tế, đường xá...). - HUMAN-TRU3]]</f>
        <v>5</v>
      </c>
      <c r="AX175" t="str">
        <f t="shared" si="73"/>
        <v>Neutral</v>
      </c>
      <c r="AY175" s="31">
        <f t="shared" si="74"/>
        <v>3</v>
      </c>
      <c r="AZ175">
        <f>step3_validation[[#This Row],[AI_TRU4]]</f>
        <v>7</v>
      </c>
      <c r="BA175" t="str">
        <f t="shared" si="75"/>
        <v>Neutral</v>
      </c>
      <c r="BB175">
        <f>survey_responses[[#This Row],[Tôi thấy Nhà nước đã giải thích rõ ràng, minh bạch về lý do và mục tiêu của việc sửa đổi thuế lần này. - HUMAN-TRU4]]</f>
        <v>7</v>
      </c>
      <c r="BC175" t="str">
        <f t="shared" si="76"/>
        <v>Neutral</v>
      </c>
      <c r="BD175" s="31">
        <f t="shared" si="77"/>
        <v>0</v>
      </c>
      <c r="BE175">
        <f>step3_validation[[#This Row],[AI_OUT1]]</f>
        <v>9</v>
      </c>
      <c r="BF175" t="str">
        <f t="shared" si="78"/>
        <v>Support</v>
      </c>
      <c r="BG175">
        <f>survey_responses[[#This Row],[Sau khi xem xét các quyền lợi và nghĩa vụ, bạn có ủng hộ và tuân thủ chính sách mới hiện nay? - HUMAN-OUT1]]</f>
        <v>6</v>
      </c>
      <c r="BH175" t="str">
        <f t="shared" si="79"/>
        <v>Neutral</v>
      </c>
      <c r="BI175" s="31">
        <f t="shared" si="80"/>
        <v>3</v>
      </c>
    </row>
    <row r="176" spans="1:61" hidden="1" x14ac:dyDescent="0.45">
      <c r="A176" s="29">
        <f>step3_validation[[#This Row],[Persona_ID]]</f>
        <v>175</v>
      </c>
      <c r="B176" s="30">
        <f>step3_validation[[#This Row],[Used_Seed]]</f>
        <v>216</v>
      </c>
      <c r="C176" t="str">
        <f>step3_validation[[#This Row],[Gender]]</f>
        <v>Nữ</v>
      </c>
      <c r="D176" t="str">
        <f>survey_responses[[#This Row],[Giới tính của bạn:]]</f>
        <v>Nữ</v>
      </c>
      <c r="E176" t="str">
        <f>step3_validation[[#This Row],[Age_Group]]</f>
        <v>50 - 54</v>
      </c>
      <c r="F176" t="str">
        <f>survey_responses[[#This Row],[Độ tuổi của bạn:]]</f>
        <v>50 - 54</v>
      </c>
      <c r="G176" t="str">
        <f>step3_validation[[#This Row],[Region]]</f>
        <v>Thành thị</v>
      </c>
      <c r="H176" t="str">
        <f>survey_responses[[#This Row],[Khu vực bạn đang sinh sống:]]</f>
        <v>Thành thị</v>
      </c>
      <c r="I176" t="str">
        <f>step3_validation[[#This Row],[Education]]</f>
        <v>Sau Đại học</v>
      </c>
      <c r="J176" t="str">
        <f>survey_responses[[#This Row],[Trình độ học vấn cao nhất:]]</f>
        <v>Sau Đại học</v>
      </c>
      <c r="K176" t="str">
        <f>step3_validation[[#This Row],[Employment]]</f>
        <v>Chính thức</v>
      </c>
      <c r="L176" t="str">
        <f>survey_responses[[#This Row],[Tình trạng việc làm chính:]]</f>
        <v>Khu vực chính thức (Có Hợp đồng lao động, đóng BHXH)</v>
      </c>
      <c r="M176">
        <f>step3_validation[[#This Row],[Income_Mil]]</f>
        <v>164.9346824019967</v>
      </c>
      <c r="N176" t="str">
        <f>survey_responses[[#This Row],[Thu nhập bình quân tháng theo Hợp đồng lao động của bạn là bao nhiêu? (Vui lòng điền tổng thu nhập trước khi khấu trừ các loại Bảo hiểm (BHXH, BHYT, BHTN) và Thuế TNCN)]]</f>
        <v>Trên 102 triệu VNĐ</v>
      </c>
      <c r="O176">
        <f>step3_validation[[#This Row],[Dependents]]</f>
        <v>3</v>
      </c>
      <c r="P176" t="str">
        <f>survey_responses[[#This Row],[Số người phụ thuộc (con nhỏ, cha mẹ già...) đủ điều kiện giảm trừ gia cảnh:]]</f>
        <v>3 người</v>
      </c>
      <c r="Q176">
        <f>step3_validation[[#This Row],[AI_ENF1]]</f>
        <v>8</v>
      </c>
      <c r="R176" t="str">
        <f t="shared" si="54"/>
        <v>Support</v>
      </c>
      <c r="S176">
        <f>survey_responses[[#This Row],[Tôi tin rằng với các quy định quản lý thuế hiện nay, hành vi gian lận hoặc trốn thuế sẽ dễ dàng bị phát hiện và xử lý nghiêm. - HUMAN-ENF1]]</f>
        <v>4</v>
      </c>
      <c r="T176" t="str">
        <f t="shared" si="55"/>
        <v>Oppose</v>
      </c>
      <c r="U176" s="31">
        <f t="shared" si="56"/>
        <v>4</v>
      </c>
      <c r="V176">
        <f>step3_validation[[#This Row],[AI_ENF2]]</f>
        <v>9</v>
      </c>
      <c r="W176" t="str">
        <f t="shared" si="57"/>
        <v>Support</v>
      </c>
      <c r="X176">
        <f>survey_responses[[#This Row],[Tôi tin rằng Nhà nước, cơ quan thuế có đủ khả năng và công nghệ để phát hiện, xử lý nghiêm các hành vi trốn thuế. - HUMAN-ENF2]]</f>
        <v>5</v>
      </c>
      <c r="Y176" t="str">
        <f t="shared" si="58"/>
        <v>Neutral</v>
      </c>
      <c r="Z176" s="31">
        <f t="shared" si="59"/>
        <v>4</v>
      </c>
      <c r="AA176">
        <f>step3_validation[[#This Row],[AI_FAC1]]</f>
        <v>8</v>
      </c>
      <c r="AB176" t="str">
        <f t="shared" si="60"/>
        <v>Support</v>
      </c>
      <c r="AC176">
        <f>survey_responses[[#This Row],[Các thủ tục khai báo thuế VÀ/HOẶC quy trình làm việc với cơ quan thuế đơn giản, tiện lợi, nhanh chóng hơn so với trước đây. - HUMAN-FAC1]]</f>
        <v>4</v>
      </c>
      <c r="AD176" t="str">
        <f t="shared" si="61"/>
        <v>Oppose</v>
      </c>
      <c r="AE176" s="31">
        <f t="shared" si="62"/>
        <v>4</v>
      </c>
      <c r="AF176">
        <f>step3_validation[[#This Row],[AI_FAC2]]</f>
        <v>9</v>
      </c>
      <c r="AG176" t="str">
        <f t="shared" si="63"/>
        <v>Support</v>
      </c>
      <c r="AH176">
        <f>survey_responses[[#This Row],[So với trước đây, tôi thấy cách tính thuế và các bậc thuế trong phương án mới đơn giản, dễ hiểu và dễ thực hiện hơn. - HUMAN-FAC2]]</f>
        <v>6</v>
      </c>
      <c r="AI176" t="str">
        <f t="shared" si="64"/>
        <v>Neutral</v>
      </c>
      <c r="AJ176" s="31">
        <f t="shared" si="65"/>
        <v>3</v>
      </c>
      <c r="AK176">
        <f>step3_validation[[#This Row],[AI_TRU1]]</f>
        <v>8</v>
      </c>
      <c r="AL176" t="str">
        <f t="shared" si="66"/>
        <v>Support</v>
      </c>
      <c r="AM176">
        <f>survey_responses[[#This Row],[Tôi tin rằng Nhà nước, cơ quan thuế sẽ thực thi chính sách mới một cách khách quan, công tâm và đối xử bình đẳng với mọi người nộp thuế.  - HUMAN-TRU1]]</f>
        <v>4</v>
      </c>
      <c r="AN176" t="str">
        <f t="shared" si="67"/>
        <v>Oppose</v>
      </c>
      <c r="AO176" s="31">
        <f t="shared" si="68"/>
        <v>4</v>
      </c>
      <c r="AP176">
        <f>step3_validation[[#This Row],[AI_TRU2]]</f>
        <v>9</v>
      </c>
      <c r="AQ176" t="str">
        <f t="shared" si="69"/>
        <v>Support</v>
      </c>
      <c r="AR176">
        <f>survey_responses[[#This Row],[Tôi thấy mức thuế tôi phải đóng theo phương án mới là công bằng (người thu nhập như tôi đóng mức này là hợp lý). - HUMAN-TRU2]]</f>
        <v>4</v>
      </c>
      <c r="AS176" t="str">
        <f t="shared" si="70"/>
        <v>Oppose</v>
      </c>
      <c r="AT176" s="31">
        <f t="shared" si="71"/>
        <v>5</v>
      </c>
      <c r="AU176">
        <f>step3_validation[[#This Row],[AI_TRU3]]</f>
        <v>8</v>
      </c>
      <c r="AV176" t="str">
        <f t="shared" si="72"/>
        <v>Support</v>
      </c>
      <c r="AW176">
        <f>survey_responses[[#This Row],[Tôi tin tưởng số tiền thuế tôi đóng sẽ được Nhà nước sử dụng hiệu quả để cải thiện dịch vụ công (y tế, đường xá...). - HUMAN-TRU3]]</f>
        <v>4</v>
      </c>
      <c r="AX176" t="str">
        <f t="shared" si="73"/>
        <v>Oppose</v>
      </c>
      <c r="AY176" s="31">
        <f t="shared" si="74"/>
        <v>4</v>
      </c>
      <c r="AZ176">
        <f>step3_validation[[#This Row],[AI_TRU4]]</f>
        <v>9</v>
      </c>
      <c r="BA176" t="str">
        <f t="shared" si="75"/>
        <v>Support</v>
      </c>
      <c r="BB176">
        <f>survey_responses[[#This Row],[Tôi thấy Nhà nước đã giải thích rõ ràng, minh bạch về lý do và mục tiêu của việc sửa đổi thuế lần này. - HUMAN-TRU4]]</f>
        <v>5</v>
      </c>
      <c r="BC176" t="str">
        <f t="shared" si="76"/>
        <v>Neutral</v>
      </c>
      <c r="BD176" s="31">
        <f t="shared" si="77"/>
        <v>4</v>
      </c>
      <c r="BE176">
        <f>step3_validation[[#This Row],[AI_OUT1]]</f>
        <v>8</v>
      </c>
      <c r="BF176" t="str">
        <f t="shared" si="78"/>
        <v>Support</v>
      </c>
      <c r="BG176">
        <f>survey_responses[[#This Row],[Sau khi xem xét các quyền lợi và nghĩa vụ, bạn có ủng hộ và tuân thủ chính sách mới hiện nay? - HUMAN-OUT1]]</f>
        <v>4</v>
      </c>
      <c r="BH176" t="str">
        <f t="shared" si="79"/>
        <v>Oppose</v>
      </c>
      <c r="BI176" s="31">
        <f t="shared" si="80"/>
        <v>4</v>
      </c>
    </row>
    <row r="177" spans="1:61" hidden="1" x14ac:dyDescent="0.45">
      <c r="A177" s="29">
        <f>step3_validation[[#This Row],[Persona_ID]]</f>
        <v>176</v>
      </c>
      <c r="B177" s="30">
        <f>step3_validation[[#This Row],[Used_Seed]]</f>
        <v>217</v>
      </c>
      <c r="C177" t="str">
        <f>step3_validation[[#This Row],[Gender]]</f>
        <v>Nữ</v>
      </c>
      <c r="D177" t="str">
        <f>survey_responses[[#This Row],[Giới tính của bạn:]]</f>
        <v>Nữ</v>
      </c>
      <c r="E177" t="str">
        <f>step3_validation[[#This Row],[Age_Group]]</f>
        <v>55 - 64</v>
      </c>
      <c r="F177" t="str">
        <f>survey_responses[[#This Row],[Độ tuổi của bạn:]]</f>
        <v>55 - 64</v>
      </c>
      <c r="G177" t="str">
        <f>step3_validation[[#This Row],[Region]]</f>
        <v>Nông thôn</v>
      </c>
      <c r="H177" t="str">
        <f>survey_responses[[#This Row],[Khu vực bạn đang sinh sống:]]</f>
        <v>Nông thôn</v>
      </c>
      <c r="I177" t="str">
        <f>step3_validation[[#This Row],[Education]]</f>
        <v>Sau Đại học</v>
      </c>
      <c r="J177" t="str">
        <f>survey_responses[[#This Row],[Trình độ học vấn cao nhất:]]</f>
        <v>Sau Đại học</v>
      </c>
      <c r="K177" t="str">
        <f>step3_validation[[#This Row],[Employment]]</f>
        <v>Chính thức</v>
      </c>
      <c r="L177" t="str">
        <f>survey_responses[[#This Row],[Tình trạng việc làm chính:]]</f>
        <v>Khu vực chính thức (Có Hợp đồng lao động, đóng BHXH)</v>
      </c>
      <c r="M177">
        <f>step3_validation[[#This Row],[Income_Mil]]</f>
        <v>200.91230723985751</v>
      </c>
      <c r="N177" t="str">
        <f>survey_responses[[#This Row],[Thu nhập bình quân tháng theo Hợp đồng lao động của bạn là bao nhiêu? (Vui lòng điền tổng thu nhập trước khi khấu trừ các loại Bảo hiểm (BHXH, BHYT, BHTN) và Thuế TNCN)]]</f>
        <v>Trên 102 triệu VNĐ</v>
      </c>
      <c r="O177">
        <f>step3_validation[[#This Row],[Dependents]]</f>
        <v>0</v>
      </c>
      <c r="P177" t="str">
        <f>survey_responses[[#This Row],[Số người phụ thuộc (con nhỏ, cha mẹ già...) đủ điều kiện giảm trừ gia cảnh:]]</f>
        <v>0 người</v>
      </c>
      <c r="Q177">
        <f>step3_validation[[#This Row],[AI_ENF1]]</f>
        <v>7</v>
      </c>
      <c r="R177" t="str">
        <f t="shared" si="54"/>
        <v>Neutral</v>
      </c>
      <c r="S177">
        <f>survey_responses[[#This Row],[Tôi tin rằng với các quy định quản lý thuế hiện nay, hành vi gian lận hoặc trốn thuế sẽ dễ dàng bị phát hiện và xử lý nghiêm. - HUMAN-ENF1]]</f>
        <v>2</v>
      </c>
      <c r="T177" t="str">
        <f t="shared" si="55"/>
        <v>Oppose</v>
      </c>
      <c r="U177" s="31">
        <f t="shared" si="56"/>
        <v>5</v>
      </c>
      <c r="V177">
        <f>step3_validation[[#This Row],[AI_ENF2]]</f>
        <v>6</v>
      </c>
      <c r="W177" t="str">
        <f t="shared" si="57"/>
        <v>Neutral</v>
      </c>
      <c r="X177">
        <f>survey_responses[[#This Row],[Tôi tin rằng Nhà nước, cơ quan thuế có đủ khả năng và công nghệ để phát hiện, xử lý nghiêm các hành vi trốn thuế. - HUMAN-ENF2]]</f>
        <v>4</v>
      </c>
      <c r="Y177" t="str">
        <f t="shared" si="58"/>
        <v>Oppose</v>
      </c>
      <c r="Z177" s="31">
        <f t="shared" si="59"/>
        <v>2</v>
      </c>
      <c r="AA177">
        <f>step3_validation[[#This Row],[AI_FAC1]]</f>
        <v>8</v>
      </c>
      <c r="AB177" t="str">
        <f t="shared" si="60"/>
        <v>Support</v>
      </c>
      <c r="AC177">
        <f>survey_responses[[#This Row],[Các thủ tục khai báo thuế VÀ/HOẶC quy trình làm việc với cơ quan thuế đơn giản, tiện lợi, nhanh chóng hơn so với trước đây. - HUMAN-FAC1]]</f>
        <v>3</v>
      </c>
      <c r="AD177" t="str">
        <f t="shared" si="61"/>
        <v>Oppose</v>
      </c>
      <c r="AE177" s="31">
        <f t="shared" si="62"/>
        <v>5</v>
      </c>
      <c r="AF177">
        <f>step3_validation[[#This Row],[AI_FAC2]]</f>
        <v>9</v>
      </c>
      <c r="AG177" t="str">
        <f t="shared" si="63"/>
        <v>Support</v>
      </c>
      <c r="AH177">
        <f>survey_responses[[#This Row],[So với trước đây, tôi thấy cách tính thuế và các bậc thuế trong phương án mới đơn giản, dễ hiểu và dễ thực hiện hơn. - HUMAN-FAC2]]</f>
        <v>5</v>
      </c>
      <c r="AI177" t="str">
        <f t="shared" si="64"/>
        <v>Neutral</v>
      </c>
      <c r="AJ177" s="31">
        <f t="shared" si="65"/>
        <v>4</v>
      </c>
      <c r="AK177">
        <f>step3_validation[[#This Row],[AI_TRU1]]</f>
        <v>7</v>
      </c>
      <c r="AL177" t="str">
        <f t="shared" si="66"/>
        <v>Neutral</v>
      </c>
      <c r="AM177">
        <f>survey_responses[[#This Row],[Tôi tin rằng Nhà nước, cơ quan thuế sẽ thực thi chính sách mới một cách khách quan, công tâm và đối xử bình đẳng với mọi người nộp thuế.  - HUMAN-TRU1]]</f>
        <v>4</v>
      </c>
      <c r="AN177" t="str">
        <f t="shared" si="67"/>
        <v>Oppose</v>
      </c>
      <c r="AO177" s="31">
        <f t="shared" si="68"/>
        <v>3</v>
      </c>
      <c r="AP177">
        <f>step3_validation[[#This Row],[AI_TRU2]]</f>
        <v>8</v>
      </c>
      <c r="AQ177" t="str">
        <f t="shared" si="69"/>
        <v>Support</v>
      </c>
      <c r="AR177">
        <f>survey_responses[[#This Row],[Tôi thấy mức thuế tôi phải đóng theo phương án mới là công bằng (người thu nhập như tôi đóng mức này là hợp lý). - HUMAN-TRU2]]</f>
        <v>1</v>
      </c>
      <c r="AS177" t="str">
        <f t="shared" si="70"/>
        <v>Oppose</v>
      </c>
      <c r="AT177" s="31">
        <f t="shared" si="71"/>
        <v>7</v>
      </c>
      <c r="AU177">
        <f>step3_validation[[#This Row],[AI_TRU3]]</f>
        <v>6</v>
      </c>
      <c r="AV177" t="str">
        <f t="shared" si="72"/>
        <v>Neutral</v>
      </c>
      <c r="AW177">
        <f>survey_responses[[#This Row],[Tôi tin tưởng số tiền thuế tôi đóng sẽ được Nhà nước sử dụng hiệu quả để cải thiện dịch vụ công (y tế, đường xá...). - HUMAN-TRU3]]</f>
        <v>1</v>
      </c>
      <c r="AX177" t="str">
        <f t="shared" si="73"/>
        <v>Oppose</v>
      </c>
      <c r="AY177" s="31">
        <f t="shared" si="74"/>
        <v>5</v>
      </c>
      <c r="AZ177">
        <f>step3_validation[[#This Row],[AI_TRU4]]</f>
        <v>7</v>
      </c>
      <c r="BA177" t="str">
        <f t="shared" si="75"/>
        <v>Neutral</v>
      </c>
      <c r="BB177">
        <f>survey_responses[[#This Row],[Tôi thấy Nhà nước đã giải thích rõ ràng, minh bạch về lý do và mục tiêu của việc sửa đổi thuế lần này. - HUMAN-TRU4]]</f>
        <v>4</v>
      </c>
      <c r="BC177" t="str">
        <f t="shared" si="76"/>
        <v>Oppose</v>
      </c>
      <c r="BD177" s="31">
        <f t="shared" si="77"/>
        <v>3</v>
      </c>
      <c r="BE177">
        <f>step3_validation[[#This Row],[AI_OUT1]]</f>
        <v>8</v>
      </c>
      <c r="BF177" t="str">
        <f t="shared" si="78"/>
        <v>Support</v>
      </c>
      <c r="BG177">
        <f>survey_responses[[#This Row],[Sau khi xem xét các quyền lợi và nghĩa vụ, bạn có ủng hộ và tuân thủ chính sách mới hiện nay? - HUMAN-OUT1]]</f>
        <v>4</v>
      </c>
      <c r="BH177" t="str">
        <f t="shared" si="79"/>
        <v>Oppose</v>
      </c>
      <c r="BI177" s="31">
        <f t="shared" si="80"/>
        <v>4</v>
      </c>
    </row>
    <row r="178" spans="1:61" hidden="1" x14ac:dyDescent="0.45">
      <c r="A178" s="29">
        <f>step3_validation[[#This Row],[Persona_ID]]</f>
        <v>177</v>
      </c>
      <c r="B178" s="30">
        <f>step3_validation[[#This Row],[Used_Seed]]</f>
        <v>218</v>
      </c>
      <c r="C178" t="str">
        <f>step3_validation[[#This Row],[Gender]]</f>
        <v>Nữ</v>
      </c>
      <c r="D178" t="str">
        <f>survey_responses[[#This Row],[Giới tính của bạn:]]</f>
        <v>Nữ</v>
      </c>
      <c r="E178" t="str">
        <f>step3_validation[[#This Row],[Age_Group]]</f>
        <v>50 - 54</v>
      </c>
      <c r="F178" t="str">
        <f>survey_responses[[#This Row],[Độ tuổi của bạn:]]</f>
        <v>50 - 54</v>
      </c>
      <c r="G178" t="str">
        <f>step3_validation[[#This Row],[Region]]</f>
        <v>Thành thị</v>
      </c>
      <c r="H178" t="str">
        <f>survey_responses[[#This Row],[Khu vực bạn đang sinh sống:]]</f>
        <v>Thành thị</v>
      </c>
      <c r="I178" t="str">
        <f>step3_validation[[#This Row],[Education]]</f>
        <v>Sau Đại học</v>
      </c>
      <c r="J178" t="str">
        <f>survey_responses[[#This Row],[Trình độ học vấn cao nhất:]]</f>
        <v>Sau Đại học</v>
      </c>
      <c r="K178" t="str">
        <f>step3_validation[[#This Row],[Employment]]</f>
        <v>Chính thức</v>
      </c>
      <c r="L178" t="str">
        <f>survey_responses[[#This Row],[Tình trạng việc làm chính:]]</f>
        <v>Khu vực chính thức (Có Hợp đồng lao động, đóng BHXH)</v>
      </c>
      <c r="M178">
        <f>step3_validation[[#This Row],[Income_Mil]]</f>
        <v>87.086821540864065</v>
      </c>
      <c r="N178" t="str">
        <f>survey_responses[[#This Row],[Thu nhập bình quân tháng theo Hợp đồng lao động của bạn là bao nhiêu? (Vui lòng điền tổng thu nhập trước khi khấu trừ các loại Bảo hiểm (BHXH, BHYT, BHTN) và Thuế TNCN)]]</f>
        <v>Từ 70 - 102 triệu VNĐ</v>
      </c>
      <c r="O178">
        <f>step3_validation[[#This Row],[Dependents]]</f>
        <v>2</v>
      </c>
      <c r="P178" t="str">
        <f>survey_responses[[#This Row],[Số người phụ thuộc (con nhỏ, cha mẹ già...) đủ điều kiện giảm trừ gia cảnh:]]</f>
        <v>2 người</v>
      </c>
      <c r="Q178">
        <f>step3_validation[[#This Row],[AI_ENF1]]</f>
        <v>7</v>
      </c>
      <c r="R178" t="str">
        <f t="shared" si="54"/>
        <v>Neutral</v>
      </c>
      <c r="S178">
        <f>survey_responses[[#This Row],[Tôi tin rằng với các quy định quản lý thuế hiện nay, hành vi gian lận hoặc trốn thuế sẽ dễ dàng bị phát hiện và xử lý nghiêm. - HUMAN-ENF1]]</f>
        <v>4</v>
      </c>
      <c r="T178" t="str">
        <f t="shared" si="55"/>
        <v>Oppose</v>
      </c>
      <c r="U178" s="31">
        <f t="shared" si="56"/>
        <v>3</v>
      </c>
      <c r="V178">
        <f>step3_validation[[#This Row],[AI_ENF2]]</f>
        <v>8</v>
      </c>
      <c r="W178" t="str">
        <f t="shared" si="57"/>
        <v>Support</v>
      </c>
      <c r="X178">
        <f>survey_responses[[#This Row],[Tôi tin rằng Nhà nước, cơ quan thuế có đủ khả năng và công nghệ để phát hiện, xử lý nghiêm các hành vi trốn thuế. - HUMAN-ENF2]]</f>
        <v>4</v>
      </c>
      <c r="Y178" t="str">
        <f t="shared" si="58"/>
        <v>Oppose</v>
      </c>
      <c r="Z178" s="31">
        <f t="shared" si="59"/>
        <v>4</v>
      </c>
      <c r="AA178">
        <f>step3_validation[[#This Row],[AI_FAC1]]</f>
        <v>9</v>
      </c>
      <c r="AB178" t="str">
        <f t="shared" si="60"/>
        <v>Support</v>
      </c>
      <c r="AC178">
        <f>survey_responses[[#This Row],[Các thủ tục khai báo thuế VÀ/HOẶC quy trình làm việc với cơ quan thuế đơn giản, tiện lợi, nhanh chóng hơn so với trước đây. - HUMAN-FAC1]]</f>
        <v>3</v>
      </c>
      <c r="AD178" t="str">
        <f t="shared" si="61"/>
        <v>Oppose</v>
      </c>
      <c r="AE178" s="31">
        <f t="shared" si="62"/>
        <v>6</v>
      </c>
      <c r="AF178">
        <f>step3_validation[[#This Row],[AI_FAC2]]</f>
        <v>8</v>
      </c>
      <c r="AG178" t="str">
        <f t="shared" si="63"/>
        <v>Support</v>
      </c>
      <c r="AH178">
        <f>survey_responses[[#This Row],[So với trước đây, tôi thấy cách tính thuế và các bậc thuế trong phương án mới đơn giản, dễ hiểu và dễ thực hiện hơn. - HUMAN-FAC2]]</f>
        <v>5</v>
      </c>
      <c r="AI178" t="str">
        <f t="shared" si="64"/>
        <v>Neutral</v>
      </c>
      <c r="AJ178" s="31">
        <f t="shared" si="65"/>
        <v>3</v>
      </c>
      <c r="AK178">
        <f>step3_validation[[#This Row],[AI_TRU1]]</f>
        <v>9</v>
      </c>
      <c r="AL178" t="str">
        <f t="shared" si="66"/>
        <v>Support</v>
      </c>
      <c r="AM178">
        <f>survey_responses[[#This Row],[Tôi tin rằng Nhà nước, cơ quan thuế sẽ thực thi chính sách mới một cách khách quan, công tâm và đối xử bình đẳng với mọi người nộp thuế.  - HUMAN-TRU1]]</f>
        <v>3</v>
      </c>
      <c r="AN178" t="str">
        <f t="shared" si="67"/>
        <v>Oppose</v>
      </c>
      <c r="AO178" s="31">
        <f t="shared" si="68"/>
        <v>6</v>
      </c>
      <c r="AP178">
        <f>step3_validation[[#This Row],[AI_TRU2]]</f>
        <v>8</v>
      </c>
      <c r="AQ178" t="str">
        <f t="shared" si="69"/>
        <v>Support</v>
      </c>
      <c r="AR178">
        <f>survey_responses[[#This Row],[Tôi thấy mức thuế tôi phải đóng theo phương án mới là công bằng (người thu nhập như tôi đóng mức này là hợp lý). - HUMAN-TRU2]]</f>
        <v>2</v>
      </c>
      <c r="AS178" t="str">
        <f t="shared" si="70"/>
        <v>Oppose</v>
      </c>
      <c r="AT178" s="31">
        <f t="shared" si="71"/>
        <v>6</v>
      </c>
      <c r="AU178">
        <f>step3_validation[[#This Row],[AI_TRU3]]</f>
        <v>9</v>
      </c>
      <c r="AV178" t="str">
        <f t="shared" si="72"/>
        <v>Support</v>
      </c>
      <c r="AW178">
        <f>survey_responses[[#This Row],[Tôi tin tưởng số tiền thuế tôi đóng sẽ được Nhà nước sử dụng hiệu quả để cải thiện dịch vụ công (y tế, đường xá...). - HUMAN-TRU3]]</f>
        <v>1</v>
      </c>
      <c r="AX178" t="str">
        <f t="shared" si="73"/>
        <v>Oppose</v>
      </c>
      <c r="AY178" s="31">
        <f t="shared" si="74"/>
        <v>8</v>
      </c>
      <c r="AZ178">
        <f>step3_validation[[#This Row],[AI_TRU4]]</f>
        <v>8</v>
      </c>
      <c r="BA178" t="str">
        <f t="shared" si="75"/>
        <v>Support</v>
      </c>
      <c r="BB178">
        <f>survey_responses[[#This Row],[Tôi thấy Nhà nước đã giải thích rõ ràng, minh bạch về lý do và mục tiêu của việc sửa đổi thuế lần này. - HUMAN-TRU4]]</f>
        <v>1</v>
      </c>
      <c r="BC178" t="str">
        <f t="shared" si="76"/>
        <v>Oppose</v>
      </c>
      <c r="BD178" s="31">
        <f t="shared" si="77"/>
        <v>7</v>
      </c>
      <c r="BE178">
        <f>step3_validation[[#This Row],[AI_OUT1]]</f>
        <v>9</v>
      </c>
      <c r="BF178" t="str">
        <f t="shared" si="78"/>
        <v>Support</v>
      </c>
      <c r="BG178">
        <f>survey_responses[[#This Row],[Sau khi xem xét các quyền lợi và nghĩa vụ, bạn có ủng hộ và tuân thủ chính sách mới hiện nay? - HUMAN-OUT1]]</f>
        <v>1</v>
      </c>
      <c r="BH178" t="str">
        <f t="shared" si="79"/>
        <v>Oppose</v>
      </c>
      <c r="BI178" s="31">
        <f t="shared" si="80"/>
        <v>8</v>
      </c>
    </row>
    <row r="179" spans="1:61" hidden="1" x14ac:dyDescent="0.45">
      <c r="A179" s="29">
        <f>step3_validation[[#This Row],[Persona_ID]]</f>
        <v>178</v>
      </c>
      <c r="B179" s="30">
        <f>step3_validation[[#This Row],[Used_Seed]]</f>
        <v>219</v>
      </c>
      <c r="C179" t="str">
        <f>step3_validation[[#This Row],[Gender]]</f>
        <v>Nữ</v>
      </c>
      <c r="D179" t="str">
        <f>survey_responses[[#This Row],[Giới tính của bạn:]]</f>
        <v>Nữ</v>
      </c>
      <c r="E179" t="str">
        <f>step3_validation[[#This Row],[Age_Group]]</f>
        <v>55 - 64</v>
      </c>
      <c r="F179" t="str">
        <f>survey_responses[[#This Row],[Độ tuổi của bạn:]]</f>
        <v>55 - 64</v>
      </c>
      <c r="G179" t="str">
        <f>step3_validation[[#This Row],[Region]]</f>
        <v>Thành thị</v>
      </c>
      <c r="H179" t="str">
        <f>survey_responses[[#This Row],[Khu vực bạn đang sinh sống:]]</f>
        <v>Thành thị</v>
      </c>
      <c r="I179" t="str">
        <f>step3_validation[[#This Row],[Education]]</f>
        <v>Đại học</v>
      </c>
      <c r="J179" t="str">
        <f>survey_responses[[#This Row],[Trình độ học vấn cao nhất:]]</f>
        <v>Đại học</v>
      </c>
      <c r="K179" t="str">
        <f>step3_validation[[#This Row],[Employment]]</f>
        <v>Chính thức</v>
      </c>
      <c r="L179" t="str">
        <f>survey_responses[[#This Row],[Tình trạng việc làm chính:]]</f>
        <v>Khu vực chính thức (Có Hợp đồng lao động, đóng BHXH)</v>
      </c>
      <c r="M179">
        <f>step3_validation[[#This Row],[Income_Mil]]</f>
        <v>44.822563117470658</v>
      </c>
      <c r="N179" t="str">
        <f>survey_responses[[#This Row],[Thu nhập bình quân tháng theo Hợp đồng lao động của bạn là bao nhiêu? (Vui lòng điền tổng thu nhập trước khi khấu trừ các loại Bảo hiểm (BHXH, BHYT, BHTN) và Thuế TNCN)]]</f>
        <v>Từ 32 - 48 triệu VNĐ</v>
      </c>
      <c r="O179">
        <f>step3_validation[[#This Row],[Dependents]]</f>
        <v>4</v>
      </c>
      <c r="P179" t="str">
        <f>survey_responses[[#This Row],[Số người phụ thuộc (con nhỏ, cha mẹ già...) đủ điều kiện giảm trừ gia cảnh:]]</f>
        <v>4 người trở lên</v>
      </c>
      <c r="Q179">
        <f>step3_validation[[#This Row],[AI_ENF1]]</f>
        <v>6</v>
      </c>
      <c r="R179" t="str">
        <f t="shared" si="54"/>
        <v>Neutral</v>
      </c>
      <c r="S179">
        <f>survey_responses[[#This Row],[Tôi tin rằng với các quy định quản lý thuế hiện nay, hành vi gian lận hoặc trốn thuế sẽ dễ dàng bị phát hiện và xử lý nghiêm. - HUMAN-ENF1]]</f>
        <v>6</v>
      </c>
      <c r="T179" t="str">
        <f t="shared" si="55"/>
        <v>Neutral</v>
      </c>
      <c r="U179" s="31">
        <f t="shared" si="56"/>
        <v>0</v>
      </c>
      <c r="V179">
        <f>step3_validation[[#This Row],[AI_ENF2]]</f>
        <v>7</v>
      </c>
      <c r="W179" t="str">
        <f t="shared" si="57"/>
        <v>Neutral</v>
      </c>
      <c r="X179">
        <f>survey_responses[[#This Row],[Tôi tin rằng Nhà nước, cơ quan thuế có đủ khả năng và công nghệ để phát hiện, xử lý nghiêm các hành vi trốn thuế. - HUMAN-ENF2]]</f>
        <v>7</v>
      </c>
      <c r="Y179" t="str">
        <f t="shared" si="58"/>
        <v>Neutral</v>
      </c>
      <c r="Z179" s="31">
        <f t="shared" si="59"/>
        <v>0</v>
      </c>
      <c r="AA179">
        <f>step3_validation[[#This Row],[AI_FAC1]]</f>
        <v>9</v>
      </c>
      <c r="AB179" t="str">
        <f t="shared" si="60"/>
        <v>Support</v>
      </c>
      <c r="AC179">
        <f>survey_responses[[#This Row],[Các thủ tục khai báo thuế VÀ/HOẶC quy trình làm việc với cơ quan thuế đơn giản, tiện lợi, nhanh chóng hơn so với trước đây. - HUMAN-FAC1]]</f>
        <v>6</v>
      </c>
      <c r="AD179" t="str">
        <f t="shared" si="61"/>
        <v>Neutral</v>
      </c>
      <c r="AE179" s="31">
        <f t="shared" si="62"/>
        <v>3</v>
      </c>
      <c r="AF179">
        <f>step3_validation[[#This Row],[AI_FAC2]]</f>
        <v>8</v>
      </c>
      <c r="AG179" t="str">
        <f t="shared" si="63"/>
        <v>Support</v>
      </c>
      <c r="AH179">
        <f>survey_responses[[#This Row],[So với trước đây, tôi thấy cách tính thuế và các bậc thuế trong phương án mới đơn giản, dễ hiểu và dễ thực hiện hơn. - HUMAN-FAC2]]</f>
        <v>6</v>
      </c>
      <c r="AI179" t="str">
        <f t="shared" si="64"/>
        <v>Neutral</v>
      </c>
      <c r="AJ179" s="31">
        <f t="shared" si="65"/>
        <v>2</v>
      </c>
      <c r="AK179">
        <f>step3_validation[[#This Row],[AI_TRU1]]</f>
        <v>7</v>
      </c>
      <c r="AL179" t="str">
        <f t="shared" si="66"/>
        <v>Neutral</v>
      </c>
      <c r="AM179">
        <f>survey_responses[[#This Row],[Tôi tin rằng Nhà nước, cơ quan thuế sẽ thực thi chính sách mới một cách khách quan, công tâm và đối xử bình đẳng với mọi người nộp thuế.  - HUMAN-TRU1]]</f>
        <v>6</v>
      </c>
      <c r="AN179" t="str">
        <f t="shared" si="67"/>
        <v>Neutral</v>
      </c>
      <c r="AO179" s="31">
        <f t="shared" si="68"/>
        <v>1</v>
      </c>
      <c r="AP179">
        <f>step3_validation[[#This Row],[AI_TRU2]]</f>
        <v>8</v>
      </c>
      <c r="AQ179" t="str">
        <f t="shared" si="69"/>
        <v>Support</v>
      </c>
      <c r="AR179">
        <f>survey_responses[[#This Row],[Tôi thấy mức thuế tôi phải đóng theo phương án mới là công bằng (người thu nhập như tôi đóng mức này là hợp lý). - HUMAN-TRU2]]</f>
        <v>7</v>
      </c>
      <c r="AS179" t="str">
        <f t="shared" si="70"/>
        <v>Neutral</v>
      </c>
      <c r="AT179" s="31">
        <f t="shared" si="71"/>
        <v>1</v>
      </c>
      <c r="AU179">
        <f>step3_validation[[#This Row],[AI_TRU3]]</f>
        <v>6</v>
      </c>
      <c r="AV179" t="str">
        <f t="shared" si="72"/>
        <v>Neutral</v>
      </c>
      <c r="AW179">
        <f>survey_responses[[#This Row],[Tôi tin tưởng số tiền thuế tôi đóng sẽ được Nhà nước sử dụng hiệu quả để cải thiện dịch vụ công (y tế, đường xá...). - HUMAN-TRU3]]</f>
        <v>5</v>
      </c>
      <c r="AX179" t="str">
        <f t="shared" si="73"/>
        <v>Neutral</v>
      </c>
      <c r="AY179" s="31">
        <f t="shared" si="74"/>
        <v>1</v>
      </c>
      <c r="AZ179">
        <f>step3_validation[[#This Row],[AI_TRU4]]</f>
        <v>7</v>
      </c>
      <c r="BA179" t="str">
        <f t="shared" si="75"/>
        <v>Neutral</v>
      </c>
      <c r="BB179">
        <f>survey_responses[[#This Row],[Tôi thấy Nhà nước đã giải thích rõ ràng, minh bạch về lý do và mục tiêu của việc sửa đổi thuế lần này. - HUMAN-TRU4]]</f>
        <v>6</v>
      </c>
      <c r="BC179" t="str">
        <f t="shared" si="76"/>
        <v>Neutral</v>
      </c>
      <c r="BD179" s="31">
        <f t="shared" si="77"/>
        <v>1</v>
      </c>
      <c r="BE179">
        <f>step3_validation[[#This Row],[AI_OUT1]]</f>
        <v>9</v>
      </c>
      <c r="BF179" t="str">
        <f t="shared" si="78"/>
        <v>Support</v>
      </c>
      <c r="BG179">
        <f>survey_responses[[#This Row],[Sau khi xem xét các quyền lợi và nghĩa vụ, bạn có ủng hộ và tuân thủ chính sách mới hiện nay? - HUMAN-OUT1]]</f>
        <v>7</v>
      </c>
      <c r="BH179" t="str">
        <f t="shared" si="79"/>
        <v>Neutral</v>
      </c>
      <c r="BI179" s="31">
        <f t="shared" si="80"/>
        <v>2</v>
      </c>
    </row>
    <row r="180" spans="1:61" hidden="1" x14ac:dyDescent="0.45">
      <c r="A180" s="29">
        <f>step3_validation[[#This Row],[Persona_ID]]</f>
        <v>179</v>
      </c>
      <c r="B180" s="30">
        <f>step3_validation[[#This Row],[Used_Seed]]</f>
        <v>220</v>
      </c>
      <c r="C180" t="str">
        <f>step3_validation[[#This Row],[Gender]]</f>
        <v>Nữ</v>
      </c>
      <c r="D180" t="str">
        <f>survey_responses[[#This Row],[Giới tính của bạn:]]</f>
        <v>Nữ</v>
      </c>
      <c r="E180" t="str">
        <f>step3_validation[[#This Row],[Age_Group]]</f>
        <v>30 - 39</v>
      </c>
      <c r="F180" t="str">
        <f>survey_responses[[#This Row],[Độ tuổi của bạn:]]</f>
        <v>30 - 39</v>
      </c>
      <c r="G180" t="str">
        <f>step3_validation[[#This Row],[Region]]</f>
        <v>Thành thị</v>
      </c>
      <c r="H180" t="str">
        <f>survey_responses[[#This Row],[Khu vực bạn đang sinh sống:]]</f>
        <v>Thành thị</v>
      </c>
      <c r="I180" t="str">
        <f>step3_validation[[#This Row],[Education]]</f>
        <v>Sau Đại học</v>
      </c>
      <c r="J180" t="str">
        <f>survey_responses[[#This Row],[Trình độ học vấn cao nhất:]]</f>
        <v>Sau Đại học</v>
      </c>
      <c r="K180" t="str">
        <f>step3_validation[[#This Row],[Employment]]</f>
        <v>Chính thức</v>
      </c>
      <c r="L180" t="str">
        <f>survey_responses[[#This Row],[Tình trạng việc làm chính:]]</f>
        <v>Khu vực chính thức (Có Hợp đồng lao động, đóng BHXH)</v>
      </c>
      <c r="M180">
        <f>step3_validation[[#This Row],[Income_Mil]]</f>
        <v>26.706149250357065</v>
      </c>
      <c r="N180" t="str">
        <f>survey_responses[[#This Row],[Thu nhập bình quân tháng theo Hợp đồng lao động của bạn là bao nhiêu? (Vui lòng điền tổng thu nhập trước khi khấu trừ các loại Bảo hiểm (BHXH, BHYT, BHTN) và Thuế TNCN)]]</f>
        <v>Từ 23 - 32 triệu VNĐ</v>
      </c>
      <c r="O180">
        <f>step3_validation[[#This Row],[Dependents]]</f>
        <v>1</v>
      </c>
      <c r="P180" t="str">
        <f>survey_responses[[#This Row],[Số người phụ thuộc (con nhỏ, cha mẹ già...) đủ điều kiện giảm trừ gia cảnh:]]</f>
        <v>1 người</v>
      </c>
      <c r="Q180">
        <f>step3_validation[[#This Row],[AI_ENF1]]</f>
        <v>7</v>
      </c>
      <c r="R180" t="str">
        <f t="shared" si="54"/>
        <v>Neutral</v>
      </c>
      <c r="S180">
        <f>survey_responses[[#This Row],[Tôi tin rằng với các quy định quản lý thuế hiện nay, hành vi gian lận hoặc trốn thuế sẽ dễ dàng bị phát hiện và xử lý nghiêm. - HUMAN-ENF1]]</f>
        <v>7</v>
      </c>
      <c r="T180" t="str">
        <f t="shared" si="55"/>
        <v>Neutral</v>
      </c>
      <c r="U180" s="31">
        <f t="shared" si="56"/>
        <v>0</v>
      </c>
      <c r="V180">
        <f>step3_validation[[#This Row],[AI_ENF2]]</f>
        <v>7</v>
      </c>
      <c r="W180" t="str">
        <f t="shared" si="57"/>
        <v>Neutral</v>
      </c>
      <c r="X180">
        <f>survey_responses[[#This Row],[Tôi tin rằng Nhà nước, cơ quan thuế có đủ khả năng và công nghệ để phát hiện, xử lý nghiêm các hành vi trốn thuế. - HUMAN-ENF2]]</f>
        <v>7</v>
      </c>
      <c r="Y180" t="str">
        <f t="shared" si="58"/>
        <v>Neutral</v>
      </c>
      <c r="Z180" s="31">
        <f t="shared" si="59"/>
        <v>0</v>
      </c>
      <c r="AA180">
        <f>step3_validation[[#This Row],[AI_FAC1]]</f>
        <v>9</v>
      </c>
      <c r="AB180" t="str">
        <f t="shared" si="60"/>
        <v>Support</v>
      </c>
      <c r="AC180">
        <f>survey_responses[[#This Row],[Các thủ tục khai báo thuế VÀ/HOẶC quy trình làm việc với cơ quan thuế đơn giản, tiện lợi, nhanh chóng hơn so với trước đây. - HUMAN-FAC1]]</f>
        <v>7</v>
      </c>
      <c r="AD180" t="str">
        <f t="shared" si="61"/>
        <v>Neutral</v>
      </c>
      <c r="AE180" s="31">
        <f t="shared" si="62"/>
        <v>2</v>
      </c>
      <c r="AF180">
        <f>step3_validation[[#This Row],[AI_FAC2]]</f>
        <v>9</v>
      </c>
      <c r="AG180" t="str">
        <f t="shared" si="63"/>
        <v>Support</v>
      </c>
      <c r="AH180">
        <f>survey_responses[[#This Row],[So với trước đây, tôi thấy cách tính thuế và các bậc thuế trong phương án mới đơn giản, dễ hiểu và dễ thực hiện hơn. - HUMAN-FAC2]]</f>
        <v>8</v>
      </c>
      <c r="AI180" t="str">
        <f t="shared" si="64"/>
        <v>Support</v>
      </c>
      <c r="AJ180" s="31">
        <f t="shared" si="65"/>
        <v>1</v>
      </c>
      <c r="AK180">
        <f>step3_validation[[#This Row],[AI_TRU1]]</f>
        <v>8</v>
      </c>
      <c r="AL180" t="str">
        <f t="shared" si="66"/>
        <v>Support</v>
      </c>
      <c r="AM180">
        <f>survey_responses[[#This Row],[Tôi tin rằng Nhà nước, cơ quan thuế sẽ thực thi chính sách mới một cách khách quan, công tâm và đối xử bình đẳng với mọi người nộp thuế.  - HUMAN-TRU1]]</f>
        <v>7</v>
      </c>
      <c r="AN180" t="str">
        <f t="shared" si="67"/>
        <v>Neutral</v>
      </c>
      <c r="AO180" s="31">
        <f t="shared" si="68"/>
        <v>1</v>
      </c>
      <c r="AP180">
        <f>step3_validation[[#This Row],[AI_TRU2]]</f>
        <v>9</v>
      </c>
      <c r="AQ180" t="str">
        <f t="shared" si="69"/>
        <v>Support</v>
      </c>
      <c r="AR180">
        <f>survey_responses[[#This Row],[Tôi thấy mức thuế tôi phải đóng theo phương án mới là công bằng (người thu nhập như tôi đóng mức này là hợp lý). - HUMAN-TRU2]]</f>
        <v>8</v>
      </c>
      <c r="AS180" t="str">
        <f t="shared" si="70"/>
        <v>Support</v>
      </c>
      <c r="AT180" s="31">
        <f t="shared" si="71"/>
        <v>1</v>
      </c>
      <c r="AU180">
        <f>step3_validation[[#This Row],[AI_TRU3]]</f>
        <v>8</v>
      </c>
      <c r="AV180" t="str">
        <f t="shared" si="72"/>
        <v>Support</v>
      </c>
      <c r="AW180">
        <f>survey_responses[[#This Row],[Tôi tin tưởng số tiền thuế tôi đóng sẽ được Nhà nước sử dụng hiệu quả để cải thiện dịch vụ công (y tế, đường xá...). - HUMAN-TRU3]]</f>
        <v>7</v>
      </c>
      <c r="AX180" t="str">
        <f t="shared" si="73"/>
        <v>Neutral</v>
      </c>
      <c r="AY180" s="31">
        <f t="shared" si="74"/>
        <v>1</v>
      </c>
      <c r="AZ180">
        <f>step3_validation[[#This Row],[AI_TRU4]]</f>
        <v>7</v>
      </c>
      <c r="BA180" t="str">
        <f t="shared" si="75"/>
        <v>Neutral</v>
      </c>
      <c r="BB180">
        <f>survey_responses[[#This Row],[Tôi thấy Nhà nước đã giải thích rõ ràng, minh bạch về lý do và mục tiêu của việc sửa đổi thuế lần này. - HUMAN-TRU4]]</f>
        <v>7</v>
      </c>
      <c r="BC180" t="str">
        <f t="shared" si="76"/>
        <v>Neutral</v>
      </c>
      <c r="BD180" s="31">
        <f t="shared" si="77"/>
        <v>0</v>
      </c>
      <c r="BE180">
        <f>step3_validation[[#This Row],[AI_OUT1]]</f>
        <v>9</v>
      </c>
      <c r="BF180" t="str">
        <f t="shared" si="78"/>
        <v>Support</v>
      </c>
      <c r="BG180">
        <f>survey_responses[[#This Row],[Sau khi xem xét các quyền lợi và nghĩa vụ, bạn có ủng hộ và tuân thủ chính sách mới hiện nay? - HUMAN-OUT1]]</f>
        <v>8</v>
      </c>
      <c r="BH180" t="str">
        <f t="shared" si="79"/>
        <v>Support</v>
      </c>
      <c r="BI180" s="31">
        <f t="shared" si="80"/>
        <v>1</v>
      </c>
    </row>
    <row r="181" spans="1:61" hidden="1" x14ac:dyDescent="0.45">
      <c r="A181" s="29">
        <f>step3_validation[[#This Row],[Persona_ID]]</f>
        <v>180</v>
      </c>
      <c r="B181" s="30">
        <f>step3_validation[[#This Row],[Used_Seed]]</f>
        <v>221</v>
      </c>
      <c r="C181" t="str">
        <f>step3_validation[[#This Row],[Gender]]</f>
        <v>Nữ</v>
      </c>
      <c r="D181" t="str">
        <f>survey_responses[[#This Row],[Giới tính của bạn:]]</f>
        <v>Nữ</v>
      </c>
      <c r="E181" t="str">
        <f>step3_validation[[#This Row],[Age_Group]]</f>
        <v>40 - 49</v>
      </c>
      <c r="F181" t="str">
        <f>survey_responses[[#This Row],[Độ tuổi của bạn:]]</f>
        <v>40 - 49</v>
      </c>
      <c r="G181" t="str">
        <f>step3_validation[[#This Row],[Region]]</f>
        <v>Thành thị</v>
      </c>
      <c r="H181" t="str">
        <f>survey_responses[[#This Row],[Khu vực bạn đang sinh sống:]]</f>
        <v>Thành thị</v>
      </c>
      <c r="I181" t="str">
        <f>step3_validation[[#This Row],[Education]]</f>
        <v>Đại học</v>
      </c>
      <c r="J181" t="str">
        <f>survey_responses[[#This Row],[Trình độ học vấn cao nhất:]]</f>
        <v>Đại học</v>
      </c>
      <c r="K181" t="str">
        <f>step3_validation[[#This Row],[Employment]]</f>
        <v>Chính thức</v>
      </c>
      <c r="L181" t="str">
        <f>survey_responses[[#This Row],[Tình trạng việc làm chính:]]</f>
        <v>Khu vực chính thức (Có Hợp đồng lao động, đóng BHXH)</v>
      </c>
      <c r="M181">
        <f>step3_validation[[#This Row],[Income_Mil]]</f>
        <v>62.297021569555554</v>
      </c>
      <c r="N181" t="str">
        <f>survey_responses[[#This Row],[Thu nhập bình quân tháng theo Hợp đồng lao động của bạn là bao nhiêu? (Vui lòng điền tổng thu nhập trước khi khấu trừ các loại Bảo hiểm (BHXH, BHYT, BHTN) và Thuế TNCN)]]</f>
        <v>Từ 48 - 70 triệu VNĐ</v>
      </c>
      <c r="O181">
        <f>step3_validation[[#This Row],[Dependents]]</f>
        <v>1</v>
      </c>
      <c r="P181" t="str">
        <f>survey_responses[[#This Row],[Số người phụ thuộc (con nhỏ, cha mẹ già...) đủ điều kiện giảm trừ gia cảnh:]]</f>
        <v>1 người</v>
      </c>
      <c r="Q181">
        <f>step3_validation[[#This Row],[AI_ENF1]]</f>
        <v>6</v>
      </c>
      <c r="R181" t="str">
        <f t="shared" si="54"/>
        <v>Neutral</v>
      </c>
      <c r="S181">
        <f>survey_responses[[#This Row],[Tôi tin rằng với các quy định quản lý thuế hiện nay, hành vi gian lận hoặc trốn thuế sẽ dễ dàng bị phát hiện và xử lý nghiêm. - HUMAN-ENF1]]</f>
        <v>5</v>
      </c>
      <c r="T181" t="str">
        <f t="shared" si="55"/>
        <v>Neutral</v>
      </c>
      <c r="U181" s="31">
        <f t="shared" si="56"/>
        <v>1</v>
      </c>
      <c r="V181">
        <f>step3_validation[[#This Row],[AI_ENF2]]</f>
        <v>7</v>
      </c>
      <c r="W181" t="str">
        <f t="shared" si="57"/>
        <v>Neutral</v>
      </c>
      <c r="X181">
        <f>survey_responses[[#This Row],[Tôi tin rằng Nhà nước, cơ quan thuế có đủ khả năng và công nghệ để phát hiện, xử lý nghiêm các hành vi trốn thuế. - HUMAN-ENF2]]</f>
        <v>5</v>
      </c>
      <c r="Y181" t="str">
        <f t="shared" si="58"/>
        <v>Neutral</v>
      </c>
      <c r="Z181" s="31">
        <f t="shared" si="59"/>
        <v>2</v>
      </c>
      <c r="AA181">
        <f>step3_validation[[#This Row],[AI_FAC1]]</f>
        <v>9</v>
      </c>
      <c r="AB181" t="str">
        <f t="shared" si="60"/>
        <v>Support</v>
      </c>
      <c r="AC181">
        <f>survey_responses[[#This Row],[Các thủ tục khai báo thuế VÀ/HOẶC quy trình làm việc với cơ quan thuế đơn giản, tiện lợi, nhanh chóng hơn so với trước đây. - HUMAN-FAC1]]</f>
        <v>5</v>
      </c>
      <c r="AD181" t="str">
        <f t="shared" si="61"/>
        <v>Neutral</v>
      </c>
      <c r="AE181" s="31">
        <f t="shared" si="62"/>
        <v>4</v>
      </c>
      <c r="AF181">
        <f>step3_validation[[#This Row],[AI_FAC2]]</f>
        <v>8</v>
      </c>
      <c r="AG181" t="str">
        <f t="shared" si="63"/>
        <v>Support</v>
      </c>
      <c r="AH181">
        <f>survey_responses[[#This Row],[So với trước đây, tôi thấy cách tính thuế và các bậc thuế trong phương án mới đơn giản, dễ hiểu và dễ thực hiện hơn. - HUMAN-FAC2]]</f>
        <v>7</v>
      </c>
      <c r="AI181" t="str">
        <f t="shared" si="64"/>
        <v>Neutral</v>
      </c>
      <c r="AJ181" s="31">
        <f t="shared" si="65"/>
        <v>1</v>
      </c>
      <c r="AK181">
        <f>step3_validation[[#This Row],[AI_TRU1]]</f>
        <v>9</v>
      </c>
      <c r="AL181" t="str">
        <f t="shared" si="66"/>
        <v>Support</v>
      </c>
      <c r="AM181">
        <f>survey_responses[[#This Row],[Tôi tin rằng Nhà nước, cơ quan thuế sẽ thực thi chính sách mới một cách khách quan, công tâm và đối xử bình đẳng với mọi người nộp thuế.  - HUMAN-TRU1]]</f>
        <v>5</v>
      </c>
      <c r="AN181" t="str">
        <f t="shared" si="67"/>
        <v>Neutral</v>
      </c>
      <c r="AO181" s="31">
        <f t="shared" si="68"/>
        <v>4</v>
      </c>
      <c r="AP181">
        <f>step3_validation[[#This Row],[AI_TRU2]]</f>
        <v>8</v>
      </c>
      <c r="AQ181" t="str">
        <f t="shared" si="69"/>
        <v>Support</v>
      </c>
      <c r="AR181">
        <f>survey_responses[[#This Row],[Tôi thấy mức thuế tôi phải đóng theo phương án mới là công bằng (người thu nhập như tôi đóng mức này là hợp lý). - HUMAN-TRU2]]</f>
        <v>6</v>
      </c>
      <c r="AS181" t="str">
        <f t="shared" si="70"/>
        <v>Neutral</v>
      </c>
      <c r="AT181" s="31">
        <f t="shared" si="71"/>
        <v>2</v>
      </c>
      <c r="AU181">
        <f>step3_validation[[#This Row],[AI_TRU3]]</f>
        <v>9</v>
      </c>
      <c r="AV181" t="str">
        <f t="shared" si="72"/>
        <v>Support</v>
      </c>
      <c r="AW181">
        <f>survey_responses[[#This Row],[Tôi tin tưởng số tiền thuế tôi đóng sẽ được Nhà nước sử dụng hiệu quả để cải thiện dịch vụ công (y tế, đường xá...). - HUMAN-TRU3]]</f>
        <v>5</v>
      </c>
      <c r="AX181" t="str">
        <f t="shared" si="73"/>
        <v>Neutral</v>
      </c>
      <c r="AY181" s="31">
        <f t="shared" si="74"/>
        <v>4</v>
      </c>
      <c r="AZ181">
        <f>step3_validation[[#This Row],[AI_TRU4]]</f>
        <v>8</v>
      </c>
      <c r="BA181" t="str">
        <f t="shared" si="75"/>
        <v>Support</v>
      </c>
      <c r="BB181">
        <f>survey_responses[[#This Row],[Tôi thấy Nhà nước đã giải thích rõ ràng, minh bạch về lý do và mục tiêu của việc sửa đổi thuế lần này. - HUMAN-TRU4]]</f>
        <v>7</v>
      </c>
      <c r="BC181" t="str">
        <f t="shared" si="76"/>
        <v>Neutral</v>
      </c>
      <c r="BD181" s="31">
        <f t="shared" si="77"/>
        <v>1</v>
      </c>
      <c r="BE181">
        <f>step3_validation[[#This Row],[AI_OUT1]]</f>
        <v>9</v>
      </c>
      <c r="BF181" t="str">
        <f t="shared" si="78"/>
        <v>Support</v>
      </c>
      <c r="BG181">
        <f>survey_responses[[#This Row],[Sau khi xem xét các quyền lợi và nghĩa vụ, bạn có ủng hộ và tuân thủ chính sách mới hiện nay? - HUMAN-OUT1]]</f>
        <v>7</v>
      </c>
      <c r="BH181" t="str">
        <f t="shared" si="79"/>
        <v>Neutral</v>
      </c>
      <c r="BI181" s="31">
        <f t="shared" si="80"/>
        <v>2</v>
      </c>
    </row>
    <row r="182" spans="1:61" hidden="1" x14ac:dyDescent="0.45">
      <c r="A182" s="29">
        <f>step3_validation[[#This Row],[Persona_ID]]</f>
        <v>181</v>
      </c>
      <c r="B182" s="30">
        <f>step3_validation[[#This Row],[Used_Seed]]</f>
        <v>222</v>
      </c>
      <c r="C182" t="str">
        <f>step3_validation[[#This Row],[Gender]]</f>
        <v>Nữ</v>
      </c>
      <c r="D182" t="str">
        <f>survey_responses[[#This Row],[Giới tính của bạn:]]</f>
        <v>Nữ</v>
      </c>
      <c r="E182" t="str">
        <f>step3_validation[[#This Row],[Age_Group]]</f>
        <v>30 - 39</v>
      </c>
      <c r="F182" t="str">
        <f>survey_responses[[#This Row],[Độ tuổi của bạn:]]</f>
        <v>30 - 39</v>
      </c>
      <c r="G182" t="str">
        <f>step3_validation[[#This Row],[Region]]</f>
        <v>Thành thị</v>
      </c>
      <c r="H182" t="str">
        <f>survey_responses[[#This Row],[Khu vực bạn đang sinh sống:]]</f>
        <v>Thành thị</v>
      </c>
      <c r="I182" t="str">
        <f>step3_validation[[#This Row],[Education]]</f>
        <v>Sau Đại học</v>
      </c>
      <c r="J182" t="str">
        <f>survey_responses[[#This Row],[Trình độ học vấn cao nhất:]]</f>
        <v>Sau Đại học</v>
      </c>
      <c r="K182" t="str">
        <f>step3_validation[[#This Row],[Employment]]</f>
        <v>Chính thức</v>
      </c>
      <c r="L182" t="str">
        <f>survey_responses[[#This Row],[Tình trạng việc làm chính:]]</f>
        <v>Khu vực chính thức (Có Hợp đồng lao động, đóng BHXH)</v>
      </c>
      <c r="M182">
        <f>step3_validation[[#This Row],[Income_Mil]]</f>
        <v>66.381772253002708</v>
      </c>
      <c r="N182" t="str">
        <f>survey_responses[[#This Row],[Thu nhập bình quân tháng theo Hợp đồng lao động của bạn là bao nhiêu? (Vui lòng điền tổng thu nhập trước khi khấu trừ các loại Bảo hiểm (BHXH, BHYT, BHTN) và Thuế TNCN)]]</f>
        <v>Từ 48 - 70 triệu VNĐ</v>
      </c>
      <c r="O182">
        <f>step3_validation[[#This Row],[Dependents]]</f>
        <v>2</v>
      </c>
      <c r="P182" t="str">
        <f>survey_responses[[#This Row],[Số người phụ thuộc (con nhỏ, cha mẹ già...) đủ điều kiện giảm trừ gia cảnh:]]</f>
        <v>2 người</v>
      </c>
      <c r="Q182">
        <f>step3_validation[[#This Row],[AI_ENF1]]</f>
        <v>6</v>
      </c>
      <c r="R182" t="str">
        <f t="shared" si="54"/>
        <v>Neutral</v>
      </c>
      <c r="S182">
        <f>survey_responses[[#This Row],[Tôi tin rằng với các quy định quản lý thuế hiện nay, hành vi gian lận hoặc trốn thuế sẽ dễ dàng bị phát hiện và xử lý nghiêm. - HUMAN-ENF1]]</f>
        <v>6</v>
      </c>
      <c r="T182" t="str">
        <f t="shared" si="55"/>
        <v>Neutral</v>
      </c>
      <c r="U182" s="31">
        <f t="shared" si="56"/>
        <v>0</v>
      </c>
      <c r="V182">
        <f>step3_validation[[#This Row],[AI_ENF2]]</f>
        <v>6</v>
      </c>
      <c r="W182" t="str">
        <f t="shared" si="57"/>
        <v>Neutral</v>
      </c>
      <c r="X182">
        <f>survey_responses[[#This Row],[Tôi tin rằng Nhà nước, cơ quan thuế có đủ khả năng và công nghệ để phát hiện, xử lý nghiêm các hành vi trốn thuế. - HUMAN-ENF2]]</f>
        <v>7</v>
      </c>
      <c r="Y182" t="str">
        <f t="shared" si="58"/>
        <v>Neutral</v>
      </c>
      <c r="Z182" s="31">
        <f t="shared" si="59"/>
        <v>1</v>
      </c>
      <c r="AA182">
        <f>step3_validation[[#This Row],[AI_FAC1]]</f>
        <v>9</v>
      </c>
      <c r="AB182" t="str">
        <f t="shared" si="60"/>
        <v>Support</v>
      </c>
      <c r="AC182">
        <f>survey_responses[[#This Row],[Các thủ tục khai báo thuế VÀ/HOẶC quy trình làm việc với cơ quan thuế đơn giản, tiện lợi, nhanh chóng hơn so với trước đây. - HUMAN-FAC1]]</f>
        <v>7</v>
      </c>
      <c r="AD182" t="str">
        <f t="shared" si="61"/>
        <v>Neutral</v>
      </c>
      <c r="AE182" s="31">
        <f t="shared" si="62"/>
        <v>2</v>
      </c>
      <c r="AF182">
        <f>step3_validation[[#This Row],[AI_FAC2]]</f>
        <v>8</v>
      </c>
      <c r="AG182" t="str">
        <f t="shared" si="63"/>
        <v>Support</v>
      </c>
      <c r="AH182">
        <f>survey_responses[[#This Row],[So với trước đây, tôi thấy cách tính thuế và các bậc thuế trong phương án mới đơn giản, dễ hiểu và dễ thực hiện hơn. - HUMAN-FAC2]]</f>
        <v>8</v>
      </c>
      <c r="AI182" t="str">
        <f t="shared" si="64"/>
        <v>Support</v>
      </c>
      <c r="AJ182" s="31">
        <f t="shared" si="65"/>
        <v>0</v>
      </c>
      <c r="AK182">
        <f>step3_validation[[#This Row],[AI_TRU1]]</f>
        <v>7</v>
      </c>
      <c r="AL182" t="str">
        <f t="shared" si="66"/>
        <v>Neutral</v>
      </c>
      <c r="AM182">
        <f>survey_responses[[#This Row],[Tôi tin rằng Nhà nước, cơ quan thuế sẽ thực thi chính sách mới một cách khách quan, công tâm và đối xử bình đẳng với mọi người nộp thuế.  - HUMAN-TRU1]]</f>
        <v>8</v>
      </c>
      <c r="AN182" t="str">
        <f t="shared" si="67"/>
        <v>Support</v>
      </c>
      <c r="AO182" s="31">
        <f t="shared" si="68"/>
        <v>1</v>
      </c>
      <c r="AP182">
        <f>step3_validation[[#This Row],[AI_TRU2]]</f>
        <v>8</v>
      </c>
      <c r="AQ182" t="str">
        <f t="shared" si="69"/>
        <v>Support</v>
      </c>
      <c r="AR182">
        <f>survey_responses[[#This Row],[Tôi thấy mức thuế tôi phải đóng theo phương án mới là công bằng (người thu nhập như tôi đóng mức này là hợp lý). - HUMAN-TRU2]]</f>
        <v>7</v>
      </c>
      <c r="AS182" t="str">
        <f t="shared" si="70"/>
        <v>Neutral</v>
      </c>
      <c r="AT182" s="31">
        <f t="shared" si="71"/>
        <v>1</v>
      </c>
      <c r="AU182">
        <f>step3_validation[[#This Row],[AI_TRU3]]</f>
        <v>7</v>
      </c>
      <c r="AV182" t="str">
        <f t="shared" si="72"/>
        <v>Neutral</v>
      </c>
      <c r="AW182">
        <f>survey_responses[[#This Row],[Tôi tin tưởng số tiền thuế tôi đóng sẽ được Nhà nước sử dụng hiệu quả để cải thiện dịch vụ công (y tế, đường xá...). - HUMAN-TRU3]]</f>
        <v>5</v>
      </c>
      <c r="AX182" t="str">
        <f t="shared" si="73"/>
        <v>Neutral</v>
      </c>
      <c r="AY182" s="31">
        <f t="shared" si="74"/>
        <v>2</v>
      </c>
      <c r="AZ182">
        <f>step3_validation[[#This Row],[AI_TRU4]]</f>
        <v>6</v>
      </c>
      <c r="BA182" t="str">
        <f t="shared" si="75"/>
        <v>Neutral</v>
      </c>
      <c r="BB182">
        <f>survey_responses[[#This Row],[Tôi thấy Nhà nước đã giải thích rõ ràng, minh bạch về lý do và mục tiêu của việc sửa đổi thuế lần này. - HUMAN-TRU4]]</f>
        <v>7</v>
      </c>
      <c r="BC182" t="str">
        <f t="shared" si="76"/>
        <v>Neutral</v>
      </c>
      <c r="BD182" s="31">
        <f t="shared" si="77"/>
        <v>1</v>
      </c>
      <c r="BE182">
        <f>step3_validation[[#This Row],[AI_OUT1]]</f>
        <v>7</v>
      </c>
      <c r="BF182" t="str">
        <f t="shared" si="78"/>
        <v>Neutral</v>
      </c>
      <c r="BG182">
        <f>survey_responses[[#This Row],[Sau khi xem xét các quyền lợi và nghĩa vụ, bạn có ủng hộ và tuân thủ chính sách mới hiện nay? - HUMAN-OUT1]]</f>
        <v>7</v>
      </c>
      <c r="BH182" t="str">
        <f t="shared" si="79"/>
        <v>Neutral</v>
      </c>
      <c r="BI182" s="31">
        <f t="shared" si="80"/>
        <v>0</v>
      </c>
    </row>
    <row r="183" spans="1:61" hidden="1" x14ac:dyDescent="0.45">
      <c r="A183" s="29">
        <f>step3_validation[[#This Row],[Persona_ID]]</f>
        <v>182</v>
      </c>
      <c r="B183" s="30">
        <f>step3_validation[[#This Row],[Used_Seed]]</f>
        <v>223</v>
      </c>
      <c r="C183" t="str">
        <f>step3_validation[[#This Row],[Gender]]</f>
        <v>Nữ</v>
      </c>
      <c r="D183" t="str">
        <f>survey_responses[[#This Row],[Giới tính của bạn:]]</f>
        <v>Nữ</v>
      </c>
      <c r="E183" t="str">
        <f>step3_validation[[#This Row],[Age_Group]]</f>
        <v>25 - 29</v>
      </c>
      <c r="F183" t="str">
        <f>survey_responses[[#This Row],[Độ tuổi của bạn:]]</f>
        <v>25 - 29</v>
      </c>
      <c r="G183" t="str">
        <f>step3_validation[[#This Row],[Region]]</f>
        <v>Thành thị</v>
      </c>
      <c r="H183" t="str">
        <f>survey_responses[[#This Row],[Khu vực bạn đang sinh sống:]]</f>
        <v>Thành thị</v>
      </c>
      <c r="I183" t="str">
        <f>step3_validation[[#This Row],[Education]]</f>
        <v>Đại học</v>
      </c>
      <c r="J183" t="str">
        <f>survey_responses[[#This Row],[Trình độ học vấn cao nhất:]]</f>
        <v>Đại học</v>
      </c>
      <c r="K183" t="str">
        <f>step3_validation[[#This Row],[Employment]]</f>
        <v>Chính thức</v>
      </c>
      <c r="L183" t="str">
        <f>survey_responses[[#This Row],[Tình trạng việc làm chính:]]</f>
        <v>Khu vực chính thức (Có Hợp đồng lao động, đóng BHXH)</v>
      </c>
      <c r="M183">
        <f>step3_validation[[#This Row],[Income_Mil]]</f>
        <v>29.04912485721059</v>
      </c>
      <c r="N183" t="str">
        <f>survey_responses[[#This Row],[Thu nhập bình quân tháng theo Hợp đồng lao động của bạn là bao nhiêu? (Vui lòng điền tổng thu nhập trước khi khấu trừ các loại Bảo hiểm (BHXH, BHYT, BHTN) và Thuế TNCN)]]</f>
        <v>Từ 23 - 32 triệu VNĐ</v>
      </c>
      <c r="O183">
        <f>step3_validation[[#This Row],[Dependents]]</f>
        <v>0</v>
      </c>
      <c r="P183" t="str">
        <f>survey_responses[[#This Row],[Số người phụ thuộc (con nhỏ, cha mẹ già...) đủ điều kiện giảm trừ gia cảnh:]]</f>
        <v>0 người</v>
      </c>
      <c r="Q183">
        <f>step3_validation[[#This Row],[AI_ENF1]]</f>
        <v>8</v>
      </c>
      <c r="R183" t="str">
        <f t="shared" si="54"/>
        <v>Support</v>
      </c>
      <c r="S183">
        <f>survey_responses[[#This Row],[Tôi tin rằng với các quy định quản lý thuế hiện nay, hành vi gian lận hoặc trốn thuế sẽ dễ dàng bị phát hiện và xử lý nghiêm. - HUMAN-ENF1]]</f>
        <v>8</v>
      </c>
      <c r="T183" t="str">
        <f t="shared" si="55"/>
        <v>Support</v>
      </c>
      <c r="U183" s="31">
        <f t="shared" si="56"/>
        <v>0</v>
      </c>
      <c r="V183">
        <f>step3_validation[[#This Row],[AI_ENF2]]</f>
        <v>9</v>
      </c>
      <c r="W183" t="str">
        <f t="shared" si="57"/>
        <v>Support</v>
      </c>
      <c r="X183">
        <f>survey_responses[[#This Row],[Tôi tin rằng Nhà nước, cơ quan thuế có đủ khả năng và công nghệ để phát hiện, xử lý nghiêm các hành vi trốn thuế. - HUMAN-ENF2]]</f>
        <v>8</v>
      </c>
      <c r="Y183" t="str">
        <f t="shared" si="58"/>
        <v>Support</v>
      </c>
      <c r="Z183" s="31">
        <f t="shared" si="59"/>
        <v>1</v>
      </c>
      <c r="AA183">
        <f>step3_validation[[#This Row],[AI_FAC1]]</f>
        <v>8</v>
      </c>
      <c r="AB183" t="str">
        <f t="shared" si="60"/>
        <v>Support</v>
      </c>
      <c r="AC183">
        <f>survey_responses[[#This Row],[Các thủ tục khai báo thuế VÀ/HOẶC quy trình làm việc với cơ quan thuế đơn giản, tiện lợi, nhanh chóng hơn so với trước đây. - HUMAN-FAC1]]</f>
        <v>5</v>
      </c>
      <c r="AD183" t="str">
        <f t="shared" si="61"/>
        <v>Neutral</v>
      </c>
      <c r="AE183" s="31">
        <f t="shared" si="62"/>
        <v>3</v>
      </c>
      <c r="AF183">
        <f>step3_validation[[#This Row],[AI_FAC2]]</f>
        <v>9</v>
      </c>
      <c r="AG183" t="str">
        <f t="shared" si="63"/>
        <v>Support</v>
      </c>
      <c r="AH183">
        <f>survey_responses[[#This Row],[So với trước đây, tôi thấy cách tính thuế và các bậc thuế trong phương án mới đơn giản, dễ hiểu và dễ thực hiện hơn. - HUMAN-FAC2]]</f>
        <v>8</v>
      </c>
      <c r="AI183" t="str">
        <f t="shared" si="64"/>
        <v>Support</v>
      </c>
      <c r="AJ183" s="31">
        <f t="shared" si="65"/>
        <v>1</v>
      </c>
      <c r="AK183">
        <f>step3_validation[[#This Row],[AI_TRU1]]</f>
        <v>8</v>
      </c>
      <c r="AL183" t="str">
        <f t="shared" si="66"/>
        <v>Support</v>
      </c>
      <c r="AM183">
        <f>survey_responses[[#This Row],[Tôi tin rằng Nhà nước, cơ quan thuế sẽ thực thi chính sách mới một cách khách quan, công tâm và đối xử bình đẳng với mọi người nộp thuế.  - HUMAN-TRU1]]</f>
        <v>6</v>
      </c>
      <c r="AN183" t="str">
        <f t="shared" si="67"/>
        <v>Neutral</v>
      </c>
      <c r="AO183" s="31">
        <f t="shared" si="68"/>
        <v>2</v>
      </c>
      <c r="AP183">
        <f>step3_validation[[#This Row],[AI_TRU2]]</f>
        <v>9</v>
      </c>
      <c r="AQ183" t="str">
        <f t="shared" si="69"/>
        <v>Support</v>
      </c>
      <c r="AR183">
        <f>survey_responses[[#This Row],[Tôi thấy mức thuế tôi phải đóng theo phương án mới là công bằng (người thu nhập như tôi đóng mức này là hợp lý). - HUMAN-TRU2]]</f>
        <v>8</v>
      </c>
      <c r="AS183" t="str">
        <f t="shared" si="70"/>
        <v>Support</v>
      </c>
      <c r="AT183" s="31">
        <f t="shared" si="71"/>
        <v>1</v>
      </c>
      <c r="AU183">
        <f>step3_validation[[#This Row],[AI_TRU3]]</f>
        <v>8</v>
      </c>
      <c r="AV183" t="str">
        <f t="shared" si="72"/>
        <v>Support</v>
      </c>
      <c r="AW183">
        <f>survey_responses[[#This Row],[Tôi tin tưởng số tiền thuế tôi đóng sẽ được Nhà nước sử dụng hiệu quả để cải thiện dịch vụ công (y tế, đường xá...). - HUMAN-TRU3]]</f>
        <v>6</v>
      </c>
      <c r="AX183" t="str">
        <f t="shared" si="73"/>
        <v>Neutral</v>
      </c>
      <c r="AY183" s="31">
        <f t="shared" si="74"/>
        <v>2</v>
      </c>
      <c r="AZ183">
        <f>step3_validation[[#This Row],[AI_TRU4]]</f>
        <v>9</v>
      </c>
      <c r="BA183" t="str">
        <f t="shared" si="75"/>
        <v>Support</v>
      </c>
      <c r="BB183">
        <f>survey_responses[[#This Row],[Tôi thấy Nhà nước đã giải thích rõ ràng, minh bạch về lý do và mục tiêu của việc sửa đổi thuế lần này. - HUMAN-TRU4]]</f>
        <v>7</v>
      </c>
      <c r="BC183" t="str">
        <f t="shared" si="76"/>
        <v>Neutral</v>
      </c>
      <c r="BD183" s="31">
        <f t="shared" si="77"/>
        <v>2</v>
      </c>
      <c r="BE183">
        <f>step3_validation[[#This Row],[AI_OUT1]]</f>
        <v>9</v>
      </c>
      <c r="BF183" t="str">
        <f t="shared" si="78"/>
        <v>Support</v>
      </c>
      <c r="BG183">
        <f>survey_responses[[#This Row],[Sau khi xem xét các quyền lợi và nghĩa vụ, bạn có ủng hộ và tuân thủ chính sách mới hiện nay? - HUMAN-OUT1]]</f>
        <v>7</v>
      </c>
      <c r="BH183" t="str">
        <f t="shared" si="79"/>
        <v>Neutral</v>
      </c>
      <c r="BI183" s="31">
        <f t="shared" si="80"/>
        <v>2</v>
      </c>
    </row>
    <row r="184" spans="1:61" hidden="1" x14ac:dyDescent="0.45">
      <c r="A184" s="29">
        <f>step3_validation[[#This Row],[Persona_ID]]</f>
        <v>183</v>
      </c>
      <c r="B184" s="30">
        <f>step3_validation[[#This Row],[Used_Seed]]</f>
        <v>224</v>
      </c>
      <c r="C184" t="str">
        <f>step3_validation[[#This Row],[Gender]]</f>
        <v>Nam</v>
      </c>
      <c r="D184" t="str">
        <f>survey_responses[[#This Row],[Giới tính của bạn:]]</f>
        <v>Nam</v>
      </c>
      <c r="E184" t="str">
        <f>step3_validation[[#This Row],[Age_Group]]</f>
        <v>55 - 64</v>
      </c>
      <c r="F184" t="str">
        <f>survey_responses[[#This Row],[Độ tuổi của bạn:]]</f>
        <v>55 - 64</v>
      </c>
      <c r="G184" t="str">
        <f>step3_validation[[#This Row],[Region]]</f>
        <v>Thành thị</v>
      </c>
      <c r="H184" t="str">
        <f>survey_responses[[#This Row],[Khu vực bạn đang sinh sống:]]</f>
        <v>Thành thị</v>
      </c>
      <c r="I184" t="str">
        <f>step3_validation[[#This Row],[Education]]</f>
        <v>Sau Đại học</v>
      </c>
      <c r="J184" t="str">
        <f>survey_responses[[#This Row],[Trình độ học vấn cao nhất:]]</f>
        <v>Sau Đại học</v>
      </c>
      <c r="K184" t="str">
        <f>step3_validation[[#This Row],[Employment]]</f>
        <v>Chính thức</v>
      </c>
      <c r="L184" t="str">
        <f>survey_responses[[#This Row],[Tình trạng việc làm chính:]]</f>
        <v>Khu vực chính thức (Có Hợp đồng lao động, đóng BHXH)</v>
      </c>
      <c r="M184">
        <f>step3_validation[[#This Row],[Income_Mil]]</f>
        <v>103.07788778142726</v>
      </c>
      <c r="N184" t="str">
        <f>survey_responses[[#This Row],[Thu nhập bình quân tháng theo Hợp đồng lao động của bạn là bao nhiêu? (Vui lòng điền tổng thu nhập trước khi khấu trừ các loại Bảo hiểm (BHXH, BHYT, BHTN) và Thuế TNCN)]]</f>
        <v>Trên 102 triệu VNĐ</v>
      </c>
      <c r="O184">
        <f>step3_validation[[#This Row],[Dependents]]</f>
        <v>3</v>
      </c>
      <c r="P184" t="str">
        <f>survey_responses[[#This Row],[Số người phụ thuộc (con nhỏ, cha mẹ già...) đủ điều kiện giảm trừ gia cảnh:]]</f>
        <v>3 người</v>
      </c>
      <c r="Q184">
        <f>step3_validation[[#This Row],[AI_ENF1]]</f>
        <v>9</v>
      </c>
      <c r="R184" t="str">
        <f t="shared" si="54"/>
        <v>Support</v>
      </c>
      <c r="S184">
        <f>survey_responses[[#This Row],[Tôi tin rằng với các quy định quản lý thuế hiện nay, hành vi gian lận hoặc trốn thuế sẽ dễ dàng bị phát hiện và xử lý nghiêm. - HUMAN-ENF1]]</f>
        <v>2</v>
      </c>
      <c r="T184" t="str">
        <f t="shared" si="55"/>
        <v>Oppose</v>
      </c>
      <c r="U184" s="31">
        <f t="shared" si="56"/>
        <v>7</v>
      </c>
      <c r="V184">
        <f>step3_validation[[#This Row],[AI_ENF2]]</f>
        <v>8</v>
      </c>
      <c r="W184" t="str">
        <f t="shared" si="57"/>
        <v>Support</v>
      </c>
      <c r="X184">
        <f>survey_responses[[#This Row],[Tôi tin rằng Nhà nước, cơ quan thuế có đủ khả năng và công nghệ để phát hiện, xử lý nghiêm các hành vi trốn thuế. - HUMAN-ENF2]]</f>
        <v>5</v>
      </c>
      <c r="Y184" t="str">
        <f t="shared" si="58"/>
        <v>Neutral</v>
      </c>
      <c r="Z184" s="31">
        <f t="shared" si="59"/>
        <v>3</v>
      </c>
      <c r="AA184">
        <f>step3_validation[[#This Row],[AI_FAC1]]</f>
        <v>9</v>
      </c>
      <c r="AB184" t="str">
        <f t="shared" si="60"/>
        <v>Support</v>
      </c>
      <c r="AC184">
        <f>survey_responses[[#This Row],[Các thủ tục khai báo thuế VÀ/HOẶC quy trình làm việc với cơ quan thuế đơn giản, tiện lợi, nhanh chóng hơn so với trước đây. - HUMAN-FAC1]]</f>
        <v>3</v>
      </c>
      <c r="AD184" t="str">
        <f t="shared" si="61"/>
        <v>Oppose</v>
      </c>
      <c r="AE184" s="31">
        <f t="shared" si="62"/>
        <v>6</v>
      </c>
      <c r="AF184">
        <f>step3_validation[[#This Row],[AI_FAC2]]</f>
        <v>8</v>
      </c>
      <c r="AG184" t="str">
        <f t="shared" si="63"/>
        <v>Support</v>
      </c>
      <c r="AH184">
        <f>survey_responses[[#This Row],[So với trước đây, tôi thấy cách tính thuế và các bậc thuế trong phương án mới đơn giản, dễ hiểu và dễ thực hiện hơn. - HUMAN-FAC2]]</f>
        <v>5</v>
      </c>
      <c r="AI184" t="str">
        <f t="shared" si="64"/>
        <v>Neutral</v>
      </c>
      <c r="AJ184" s="31">
        <f t="shared" si="65"/>
        <v>3</v>
      </c>
      <c r="AK184">
        <f>step3_validation[[#This Row],[AI_TRU1]]</f>
        <v>9</v>
      </c>
      <c r="AL184" t="str">
        <f t="shared" si="66"/>
        <v>Support</v>
      </c>
      <c r="AM184">
        <f>survey_responses[[#This Row],[Tôi tin rằng Nhà nước, cơ quan thuế sẽ thực thi chính sách mới một cách khách quan, công tâm và đối xử bình đẳng với mọi người nộp thuế.  - HUMAN-TRU1]]</f>
        <v>3</v>
      </c>
      <c r="AN184" t="str">
        <f t="shared" si="67"/>
        <v>Oppose</v>
      </c>
      <c r="AO184" s="31">
        <f t="shared" si="68"/>
        <v>6</v>
      </c>
      <c r="AP184">
        <f>step3_validation[[#This Row],[AI_TRU2]]</f>
        <v>8</v>
      </c>
      <c r="AQ184" t="str">
        <f t="shared" si="69"/>
        <v>Support</v>
      </c>
      <c r="AR184">
        <f>survey_responses[[#This Row],[Tôi thấy mức thuế tôi phải đóng theo phương án mới là công bằng (người thu nhập như tôi đóng mức này là hợp lý). - HUMAN-TRU2]]</f>
        <v>2</v>
      </c>
      <c r="AS184" t="str">
        <f t="shared" si="70"/>
        <v>Oppose</v>
      </c>
      <c r="AT184" s="31">
        <f t="shared" si="71"/>
        <v>6</v>
      </c>
      <c r="AU184">
        <f>step3_validation[[#This Row],[AI_TRU3]]</f>
        <v>7</v>
      </c>
      <c r="AV184" t="str">
        <f t="shared" si="72"/>
        <v>Neutral</v>
      </c>
      <c r="AW184">
        <f>survey_responses[[#This Row],[Tôi tin tưởng số tiền thuế tôi đóng sẽ được Nhà nước sử dụng hiệu quả để cải thiện dịch vụ công (y tế, đường xá...). - HUMAN-TRU3]]</f>
        <v>1</v>
      </c>
      <c r="AX184" t="str">
        <f t="shared" si="73"/>
        <v>Oppose</v>
      </c>
      <c r="AY184" s="31">
        <f t="shared" si="74"/>
        <v>6</v>
      </c>
      <c r="AZ184">
        <f>step3_validation[[#This Row],[AI_TRU4]]</f>
        <v>8</v>
      </c>
      <c r="BA184" t="str">
        <f t="shared" si="75"/>
        <v>Support</v>
      </c>
      <c r="BB184">
        <f>survey_responses[[#This Row],[Tôi thấy Nhà nước đã giải thích rõ ràng, minh bạch về lý do và mục tiêu của việc sửa đổi thuế lần này. - HUMAN-TRU4]]</f>
        <v>5</v>
      </c>
      <c r="BC184" t="str">
        <f t="shared" si="76"/>
        <v>Neutral</v>
      </c>
      <c r="BD184" s="31">
        <f t="shared" si="77"/>
        <v>3</v>
      </c>
      <c r="BE184">
        <f>step3_validation[[#This Row],[AI_OUT1]]</f>
        <v>9</v>
      </c>
      <c r="BF184" t="str">
        <f t="shared" si="78"/>
        <v>Support</v>
      </c>
      <c r="BG184">
        <f>survey_responses[[#This Row],[Sau khi xem xét các quyền lợi và nghĩa vụ, bạn có ủng hộ và tuân thủ chính sách mới hiện nay? - HUMAN-OUT1]]</f>
        <v>5</v>
      </c>
      <c r="BH184" t="str">
        <f t="shared" si="79"/>
        <v>Neutral</v>
      </c>
      <c r="BI184" s="31">
        <f t="shared" si="80"/>
        <v>4</v>
      </c>
    </row>
    <row r="185" spans="1:61" hidden="1" x14ac:dyDescent="0.45">
      <c r="A185" s="29">
        <f>step3_validation[[#This Row],[Persona_ID]]</f>
        <v>184</v>
      </c>
      <c r="B185" s="30">
        <f>step3_validation[[#This Row],[Used_Seed]]</f>
        <v>225</v>
      </c>
      <c r="C185" t="str">
        <f>step3_validation[[#This Row],[Gender]]</f>
        <v>Nam</v>
      </c>
      <c r="D185" t="str">
        <f>survey_responses[[#This Row],[Giới tính của bạn:]]</f>
        <v>Nam</v>
      </c>
      <c r="E185" t="str">
        <f>step3_validation[[#This Row],[Age_Group]]</f>
        <v>18 - 24</v>
      </c>
      <c r="F185" t="str">
        <f>survey_responses[[#This Row],[Độ tuổi của bạn:]]</f>
        <v>18 - 24</v>
      </c>
      <c r="G185" t="str">
        <f>step3_validation[[#This Row],[Region]]</f>
        <v>Thành thị</v>
      </c>
      <c r="H185" t="str">
        <f>survey_responses[[#This Row],[Khu vực bạn đang sinh sống:]]</f>
        <v>Thành thị</v>
      </c>
      <c r="I185" t="str">
        <f>step3_validation[[#This Row],[Education]]</f>
        <v>Đại học</v>
      </c>
      <c r="J185" t="str">
        <f>survey_responses[[#This Row],[Trình độ học vấn cao nhất:]]</f>
        <v>Đại học</v>
      </c>
      <c r="K185" t="str">
        <f>step3_validation[[#This Row],[Employment]]</f>
        <v>Chính thức</v>
      </c>
      <c r="L185" t="str">
        <f>survey_responses[[#This Row],[Tình trạng việc làm chính:]]</f>
        <v>Khu vực chính thức (Có Hợp đồng lao động, đóng BHXH)</v>
      </c>
      <c r="M185">
        <f>step3_validation[[#This Row],[Income_Mil]]</f>
        <v>13.118534696209883</v>
      </c>
      <c r="N185" t="str">
        <f>survey_responses[[#This Row],[Thu nhập bình quân tháng theo Hợp đồng lao động của bạn là bao nhiêu? (Vui lòng điền tổng thu nhập trước khi khấu trừ các loại Bảo hiểm (BHXH, BHYT, BHTN) và Thuế TNCN)]]</f>
        <v>Từ 12 - 18 triệu VNĐ</v>
      </c>
      <c r="O185">
        <f>step3_validation[[#This Row],[Dependents]]</f>
        <v>0</v>
      </c>
      <c r="P185" t="str">
        <f>survey_responses[[#This Row],[Số người phụ thuộc (con nhỏ, cha mẹ già...) đủ điều kiện giảm trừ gia cảnh:]]</f>
        <v>0 người</v>
      </c>
      <c r="Q185">
        <f>step3_validation[[#This Row],[AI_ENF1]]</f>
        <v>7</v>
      </c>
      <c r="R185" t="str">
        <f t="shared" si="54"/>
        <v>Neutral</v>
      </c>
      <c r="S185">
        <f>survey_responses[[#This Row],[Tôi tin rằng với các quy định quản lý thuế hiện nay, hành vi gian lận hoặc trốn thuế sẽ dễ dàng bị phát hiện và xử lý nghiêm. - HUMAN-ENF1]]</f>
        <v>6</v>
      </c>
      <c r="T185" t="str">
        <f t="shared" si="55"/>
        <v>Neutral</v>
      </c>
      <c r="U185" s="31">
        <f t="shared" si="56"/>
        <v>1</v>
      </c>
      <c r="V185">
        <f>step3_validation[[#This Row],[AI_ENF2]]</f>
        <v>8</v>
      </c>
      <c r="W185" t="str">
        <f t="shared" si="57"/>
        <v>Support</v>
      </c>
      <c r="X185">
        <f>survey_responses[[#This Row],[Tôi tin rằng Nhà nước, cơ quan thuế có đủ khả năng và công nghệ để phát hiện, xử lý nghiêm các hành vi trốn thuế. - HUMAN-ENF2]]</f>
        <v>6</v>
      </c>
      <c r="Y185" t="str">
        <f t="shared" si="58"/>
        <v>Neutral</v>
      </c>
      <c r="Z185" s="31">
        <f t="shared" si="59"/>
        <v>2</v>
      </c>
      <c r="AA185">
        <f>step3_validation[[#This Row],[AI_FAC1]]</f>
        <v>9</v>
      </c>
      <c r="AB185" t="str">
        <f t="shared" si="60"/>
        <v>Support</v>
      </c>
      <c r="AC185">
        <f>survey_responses[[#This Row],[Các thủ tục khai báo thuế VÀ/HOẶC quy trình làm việc với cơ quan thuế đơn giản, tiện lợi, nhanh chóng hơn so với trước đây. - HUMAN-FAC1]]</f>
        <v>5</v>
      </c>
      <c r="AD185" t="str">
        <f t="shared" si="61"/>
        <v>Neutral</v>
      </c>
      <c r="AE185" s="31">
        <f t="shared" si="62"/>
        <v>4</v>
      </c>
      <c r="AF185">
        <f>step3_validation[[#This Row],[AI_FAC2]]</f>
        <v>8</v>
      </c>
      <c r="AG185" t="str">
        <f t="shared" si="63"/>
        <v>Support</v>
      </c>
      <c r="AH185">
        <f>survey_responses[[#This Row],[So với trước đây, tôi thấy cách tính thuế và các bậc thuế trong phương án mới đơn giản, dễ hiểu và dễ thực hiện hơn. - HUMAN-FAC2]]</f>
        <v>9</v>
      </c>
      <c r="AI185" t="str">
        <f t="shared" si="64"/>
        <v>Support</v>
      </c>
      <c r="AJ185" s="31">
        <f t="shared" si="65"/>
        <v>1</v>
      </c>
      <c r="AK185">
        <f>step3_validation[[#This Row],[AI_TRU1]]</f>
        <v>7</v>
      </c>
      <c r="AL185" t="str">
        <f t="shared" si="66"/>
        <v>Neutral</v>
      </c>
      <c r="AM185">
        <f>survey_responses[[#This Row],[Tôi tin rằng Nhà nước, cơ quan thuế sẽ thực thi chính sách mới một cách khách quan, công tâm và đối xử bình đẳng với mọi người nộp thuế.  - HUMAN-TRU1]]</f>
        <v>7</v>
      </c>
      <c r="AN185" t="str">
        <f t="shared" si="67"/>
        <v>Neutral</v>
      </c>
      <c r="AO185" s="31">
        <f t="shared" si="68"/>
        <v>0</v>
      </c>
      <c r="AP185">
        <f>step3_validation[[#This Row],[AI_TRU2]]</f>
        <v>8</v>
      </c>
      <c r="AQ185" t="str">
        <f t="shared" si="69"/>
        <v>Support</v>
      </c>
      <c r="AR185">
        <f>survey_responses[[#This Row],[Tôi thấy mức thuế tôi phải đóng theo phương án mới là công bằng (người thu nhập như tôi đóng mức này là hợp lý). - HUMAN-TRU2]]</f>
        <v>8</v>
      </c>
      <c r="AS185" t="str">
        <f t="shared" si="70"/>
        <v>Support</v>
      </c>
      <c r="AT185" s="31">
        <f t="shared" si="71"/>
        <v>0</v>
      </c>
      <c r="AU185">
        <f>step3_validation[[#This Row],[AI_TRU3]]</f>
        <v>7</v>
      </c>
      <c r="AV185" t="str">
        <f t="shared" si="72"/>
        <v>Neutral</v>
      </c>
      <c r="AW185">
        <f>survey_responses[[#This Row],[Tôi tin tưởng số tiền thuế tôi đóng sẽ được Nhà nước sử dụng hiệu quả để cải thiện dịch vụ công (y tế, đường xá...). - HUMAN-TRU3]]</f>
        <v>5</v>
      </c>
      <c r="AX185" t="str">
        <f t="shared" si="73"/>
        <v>Neutral</v>
      </c>
      <c r="AY185" s="31">
        <f t="shared" si="74"/>
        <v>2</v>
      </c>
      <c r="AZ185">
        <f>step3_validation[[#This Row],[AI_TRU4]]</f>
        <v>6</v>
      </c>
      <c r="BA185" t="str">
        <f t="shared" si="75"/>
        <v>Neutral</v>
      </c>
      <c r="BB185">
        <f>survey_responses[[#This Row],[Tôi thấy Nhà nước đã giải thích rõ ràng, minh bạch về lý do và mục tiêu của việc sửa đổi thuế lần này. - HUMAN-TRU4]]</f>
        <v>7</v>
      </c>
      <c r="BC185" t="str">
        <f t="shared" si="76"/>
        <v>Neutral</v>
      </c>
      <c r="BD185" s="31">
        <f t="shared" si="77"/>
        <v>1</v>
      </c>
      <c r="BE185">
        <f>step3_validation[[#This Row],[AI_OUT1]]</f>
        <v>9</v>
      </c>
      <c r="BF185" t="str">
        <f t="shared" si="78"/>
        <v>Support</v>
      </c>
      <c r="BG185">
        <f>survey_responses[[#This Row],[Sau khi xem xét các quyền lợi và nghĩa vụ, bạn có ủng hộ và tuân thủ chính sách mới hiện nay? - HUMAN-OUT1]]</f>
        <v>7</v>
      </c>
      <c r="BH185" t="str">
        <f t="shared" si="79"/>
        <v>Neutral</v>
      </c>
      <c r="BI185" s="31">
        <f t="shared" si="80"/>
        <v>2</v>
      </c>
    </row>
    <row r="186" spans="1:61" hidden="1" x14ac:dyDescent="0.45">
      <c r="A186" s="29">
        <f>step3_validation[[#This Row],[Persona_ID]]</f>
        <v>185</v>
      </c>
      <c r="B186" s="30">
        <f>step3_validation[[#This Row],[Used_Seed]]</f>
        <v>226</v>
      </c>
      <c r="C186" t="str">
        <f>step3_validation[[#This Row],[Gender]]</f>
        <v>Nữ</v>
      </c>
      <c r="D186" t="str">
        <f>survey_responses[[#This Row],[Giới tính của bạn:]]</f>
        <v>Nữ</v>
      </c>
      <c r="E186" t="str">
        <f>step3_validation[[#This Row],[Age_Group]]</f>
        <v>40 - 49</v>
      </c>
      <c r="F186" t="str">
        <f>survey_responses[[#This Row],[Độ tuổi của bạn:]]</f>
        <v>40 - 49</v>
      </c>
      <c r="G186" t="str">
        <f>step3_validation[[#This Row],[Region]]</f>
        <v>Nông thôn</v>
      </c>
      <c r="H186" t="str">
        <f>survey_responses[[#This Row],[Khu vực bạn đang sinh sống:]]</f>
        <v>Nông thôn</v>
      </c>
      <c r="I186" t="str">
        <f>step3_validation[[#This Row],[Education]]</f>
        <v>Đại học</v>
      </c>
      <c r="J186" t="str">
        <f>survey_responses[[#This Row],[Trình độ học vấn cao nhất:]]</f>
        <v>Đại học</v>
      </c>
      <c r="K186" t="str">
        <f>step3_validation[[#This Row],[Employment]]</f>
        <v>Phi chính thức</v>
      </c>
      <c r="L186" t="str">
        <f>survey_responses[[#This Row],[Tình trạng việc làm chính:]]</f>
        <v>Khu vực phi chính thức (Lao động tự do, không có HĐLĐ)</v>
      </c>
      <c r="M186">
        <f>step3_validation[[#This Row],[Income_Mil]]</f>
        <v>39.81870042598301</v>
      </c>
      <c r="N186" t="str">
        <f>survey_responses[[#This Row],[Thu nhập bình quân tháng theo Hợp đồng lao động của bạn là bao nhiêu? (Vui lòng điền tổng thu nhập trước khi khấu trừ các loại Bảo hiểm (BHXH, BHYT, BHTN) và Thuế TNCN)]]</f>
        <v>Từ 32 - 48 triệu VNĐ</v>
      </c>
      <c r="O186">
        <f>step3_validation[[#This Row],[Dependents]]</f>
        <v>3</v>
      </c>
      <c r="P186" t="str">
        <f>survey_responses[[#This Row],[Số người phụ thuộc (con nhỏ, cha mẹ già...) đủ điều kiện giảm trừ gia cảnh:]]</f>
        <v>3 người</v>
      </c>
      <c r="Q186">
        <f>step3_validation[[#This Row],[AI_ENF1]]</f>
        <v>6</v>
      </c>
      <c r="R186" t="str">
        <f t="shared" si="54"/>
        <v>Neutral</v>
      </c>
      <c r="S186">
        <f>survey_responses[[#This Row],[Tôi tin rằng với các quy định quản lý thuế hiện nay, hành vi gian lận hoặc trốn thuế sẽ dễ dàng bị phát hiện và xử lý nghiêm. - HUMAN-ENF1]]</f>
        <v>7</v>
      </c>
      <c r="T186" t="str">
        <f t="shared" si="55"/>
        <v>Neutral</v>
      </c>
      <c r="U186" s="31">
        <f t="shared" si="56"/>
        <v>1</v>
      </c>
      <c r="V186">
        <f>step3_validation[[#This Row],[AI_ENF2]]</f>
        <v>7</v>
      </c>
      <c r="W186" t="str">
        <f t="shared" si="57"/>
        <v>Neutral</v>
      </c>
      <c r="X186">
        <f>survey_responses[[#This Row],[Tôi tin rằng Nhà nước, cơ quan thuế có đủ khả năng và công nghệ để phát hiện, xử lý nghiêm các hành vi trốn thuế. - HUMAN-ENF2]]</f>
        <v>7</v>
      </c>
      <c r="Y186" t="str">
        <f t="shared" si="58"/>
        <v>Neutral</v>
      </c>
      <c r="Z186" s="31">
        <f t="shared" si="59"/>
        <v>0</v>
      </c>
      <c r="AA186">
        <f>step3_validation[[#This Row],[AI_FAC1]]</f>
        <v>9</v>
      </c>
      <c r="AB186" t="str">
        <f t="shared" si="60"/>
        <v>Support</v>
      </c>
      <c r="AC186">
        <f>survey_responses[[#This Row],[Các thủ tục khai báo thuế VÀ/HOẶC quy trình làm việc với cơ quan thuế đơn giản, tiện lợi, nhanh chóng hơn so với trước đây. - HUMAN-FAC1]]</f>
        <v>6</v>
      </c>
      <c r="AD186" t="str">
        <f t="shared" si="61"/>
        <v>Neutral</v>
      </c>
      <c r="AE186" s="31">
        <f t="shared" si="62"/>
        <v>3</v>
      </c>
      <c r="AF186">
        <f>step3_validation[[#This Row],[AI_FAC2]]</f>
        <v>8</v>
      </c>
      <c r="AG186" t="str">
        <f t="shared" si="63"/>
        <v>Support</v>
      </c>
      <c r="AH186">
        <f>survey_responses[[#This Row],[So với trước đây, tôi thấy cách tính thuế và các bậc thuế trong phương án mới đơn giản, dễ hiểu và dễ thực hiện hơn. - HUMAN-FAC2]]</f>
        <v>8</v>
      </c>
      <c r="AI186" t="str">
        <f t="shared" si="64"/>
        <v>Support</v>
      </c>
      <c r="AJ186" s="31">
        <f t="shared" si="65"/>
        <v>0</v>
      </c>
      <c r="AK186">
        <f>step3_validation[[#This Row],[AI_TRU1]]</f>
        <v>7</v>
      </c>
      <c r="AL186" t="str">
        <f t="shared" si="66"/>
        <v>Neutral</v>
      </c>
      <c r="AM186">
        <f>survey_responses[[#This Row],[Tôi tin rằng Nhà nước, cơ quan thuế sẽ thực thi chính sách mới một cách khách quan, công tâm và đối xử bình đẳng với mọi người nộp thuế.  - HUMAN-TRU1]]</f>
        <v>5</v>
      </c>
      <c r="AN186" t="str">
        <f t="shared" si="67"/>
        <v>Neutral</v>
      </c>
      <c r="AO186" s="31">
        <f t="shared" si="68"/>
        <v>2</v>
      </c>
      <c r="AP186">
        <f>step3_validation[[#This Row],[AI_TRU2]]</f>
        <v>9</v>
      </c>
      <c r="AQ186" t="str">
        <f t="shared" si="69"/>
        <v>Support</v>
      </c>
      <c r="AR186">
        <f>survey_responses[[#This Row],[Tôi thấy mức thuế tôi phải đóng theo phương án mới là công bằng (người thu nhập như tôi đóng mức này là hợp lý). - HUMAN-TRU2]]</f>
        <v>5</v>
      </c>
      <c r="AS186" t="str">
        <f t="shared" si="70"/>
        <v>Neutral</v>
      </c>
      <c r="AT186" s="31">
        <f t="shared" si="71"/>
        <v>4</v>
      </c>
      <c r="AU186">
        <f>step3_validation[[#This Row],[AI_TRU3]]</f>
        <v>7</v>
      </c>
      <c r="AV186" t="str">
        <f t="shared" si="72"/>
        <v>Neutral</v>
      </c>
      <c r="AW186">
        <f>survey_responses[[#This Row],[Tôi tin tưởng số tiền thuế tôi đóng sẽ được Nhà nước sử dụng hiệu quả để cải thiện dịch vụ công (y tế, đường xá...). - HUMAN-TRU3]]</f>
        <v>5</v>
      </c>
      <c r="AX186" t="str">
        <f t="shared" si="73"/>
        <v>Neutral</v>
      </c>
      <c r="AY186" s="31">
        <f t="shared" si="74"/>
        <v>2</v>
      </c>
      <c r="AZ186">
        <f>step3_validation[[#This Row],[AI_TRU4]]</f>
        <v>6</v>
      </c>
      <c r="BA186" t="str">
        <f t="shared" si="75"/>
        <v>Neutral</v>
      </c>
      <c r="BB186">
        <f>survey_responses[[#This Row],[Tôi thấy Nhà nước đã giải thích rõ ràng, minh bạch về lý do và mục tiêu của việc sửa đổi thuế lần này. - HUMAN-TRU4]]</f>
        <v>6</v>
      </c>
      <c r="BC186" t="str">
        <f t="shared" si="76"/>
        <v>Neutral</v>
      </c>
      <c r="BD186" s="31">
        <f t="shared" si="77"/>
        <v>0</v>
      </c>
      <c r="BE186">
        <f>step3_validation[[#This Row],[AI_OUT1]]</f>
        <v>8</v>
      </c>
      <c r="BF186" t="str">
        <f t="shared" si="78"/>
        <v>Support</v>
      </c>
      <c r="BG186">
        <f>survey_responses[[#This Row],[Sau khi xem xét các quyền lợi và nghĩa vụ, bạn có ủng hộ và tuân thủ chính sách mới hiện nay? - HUMAN-OUT1]]</f>
        <v>5</v>
      </c>
      <c r="BH186" t="str">
        <f t="shared" si="79"/>
        <v>Neutral</v>
      </c>
      <c r="BI186" s="31">
        <f t="shared" si="80"/>
        <v>3</v>
      </c>
    </row>
    <row r="187" spans="1:61" hidden="1" x14ac:dyDescent="0.45">
      <c r="A187" s="29">
        <f>step3_validation[[#This Row],[Persona_ID]]</f>
        <v>186</v>
      </c>
      <c r="B187" s="30">
        <f>step3_validation[[#This Row],[Used_Seed]]</f>
        <v>227</v>
      </c>
      <c r="C187" t="str">
        <f>step3_validation[[#This Row],[Gender]]</f>
        <v>Nữ</v>
      </c>
      <c r="D187" t="str">
        <f>survey_responses[[#This Row],[Giới tính của bạn:]]</f>
        <v>Nữ</v>
      </c>
      <c r="E187" t="str">
        <f>step3_validation[[#This Row],[Age_Group]]</f>
        <v>55 - 64</v>
      </c>
      <c r="F187" t="str">
        <f>survey_responses[[#This Row],[Độ tuổi của bạn:]]</f>
        <v>55 - 64</v>
      </c>
      <c r="G187" t="str">
        <f>step3_validation[[#This Row],[Region]]</f>
        <v>Thành thị</v>
      </c>
      <c r="H187" t="str">
        <f>survey_responses[[#This Row],[Khu vực bạn đang sinh sống:]]</f>
        <v>Thành thị</v>
      </c>
      <c r="I187" t="str">
        <f>step3_validation[[#This Row],[Education]]</f>
        <v>Đại học</v>
      </c>
      <c r="J187" t="str">
        <f>survey_responses[[#This Row],[Trình độ học vấn cao nhất:]]</f>
        <v>Đại học</v>
      </c>
      <c r="K187" t="str">
        <f>step3_validation[[#This Row],[Employment]]</f>
        <v>Phi chính thức</v>
      </c>
      <c r="L187" t="str">
        <f>survey_responses[[#This Row],[Tình trạng việc làm chính:]]</f>
        <v>Khác (Về hưu, nội trợ, sinh viên)</v>
      </c>
      <c r="M187">
        <f>step3_validation[[#This Row],[Income_Mil]]</f>
        <v>15.283385198639611</v>
      </c>
      <c r="N187" t="str">
        <f>survey_responses[[#This Row],[Thu nhập bình quân tháng theo Hợp đồng lao động của bạn là bao nhiêu? (Vui lòng điền tổng thu nhập trước khi khấu trừ các loại Bảo hiểm (BHXH, BHYT, BHTN) và Thuế TNCN)]]</f>
        <v>Từ 12 - 18 triệu VNĐ</v>
      </c>
      <c r="O187">
        <f>step3_validation[[#This Row],[Dependents]]</f>
        <v>0</v>
      </c>
      <c r="P187" t="str">
        <f>survey_responses[[#This Row],[Số người phụ thuộc (con nhỏ, cha mẹ già...) đủ điều kiện giảm trừ gia cảnh:]]</f>
        <v>0 người</v>
      </c>
      <c r="Q187">
        <f>step3_validation[[#This Row],[AI_ENF1]]</f>
        <v>5</v>
      </c>
      <c r="R187" t="str">
        <f t="shared" si="54"/>
        <v>Neutral</v>
      </c>
      <c r="S187">
        <f>survey_responses[[#This Row],[Tôi tin rằng với các quy định quản lý thuế hiện nay, hành vi gian lận hoặc trốn thuế sẽ dễ dàng bị phát hiện và xử lý nghiêm. - HUMAN-ENF1]]</f>
        <v>7</v>
      </c>
      <c r="T187" t="str">
        <f t="shared" si="55"/>
        <v>Neutral</v>
      </c>
      <c r="U187" s="31">
        <f t="shared" si="56"/>
        <v>2</v>
      </c>
      <c r="V187">
        <f>step3_validation[[#This Row],[AI_ENF2]]</f>
        <v>7</v>
      </c>
      <c r="W187" t="str">
        <f t="shared" si="57"/>
        <v>Neutral</v>
      </c>
      <c r="X187">
        <f>survey_responses[[#This Row],[Tôi tin rằng Nhà nước, cơ quan thuế có đủ khả năng và công nghệ để phát hiện, xử lý nghiêm các hành vi trốn thuế. - HUMAN-ENF2]]</f>
        <v>7</v>
      </c>
      <c r="Y187" t="str">
        <f t="shared" si="58"/>
        <v>Neutral</v>
      </c>
      <c r="Z187" s="31">
        <f t="shared" si="59"/>
        <v>0</v>
      </c>
      <c r="AA187">
        <f>step3_validation[[#This Row],[AI_FAC1]]</f>
        <v>6</v>
      </c>
      <c r="AB187" t="str">
        <f t="shared" si="60"/>
        <v>Neutral</v>
      </c>
      <c r="AC187">
        <f>survey_responses[[#This Row],[Các thủ tục khai báo thuế VÀ/HOẶC quy trình làm việc với cơ quan thuế đơn giản, tiện lợi, nhanh chóng hơn so với trước đây. - HUMAN-FAC1]]</f>
        <v>5</v>
      </c>
      <c r="AD187" t="str">
        <f t="shared" si="61"/>
        <v>Neutral</v>
      </c>
      <c r="AE187" s="31">
        <f t="shared" si="62"/>
        <v>1</v>
      </c>
      <c r="AF187">
        <f>step3_validation[[#This Row],[AI_FAC2]]</f>
        <v>7</v>
      </c>
      <c r="AG187" t="str">
        <f t="shared" si="63"/>
        <v>Neutral</v>
      </c>
      <c r="AH187">
        <f>survey_responses[[#This Row],[So với trước đây, tôi thấy cách tính thuế và các bậc thuế trong phương án mới đơn giản, dễ hiểu và dễ thực hiện hơn. - HUMAN-FAC2]]</f>
        <v>7</v>
      </c>
      <c r="AI187" t="str">
        <f t="shared" si="64"/>
        <v>Neutral</v>
      </c>
      <c r="AJ187" s="31">
        <f t="shared" si="65"/>
        <v>0</v>
      </c>
      <c r="AK187">
        <f>step3_validation[[#This Row],[AI_TRU1]]</f>
        <v>5</v>
      </c>
      <c r="AL187" t="str">
        <f t="shared" si="66"/>
        <v>Neutral</v>
      </c>
      <c r="AM187">
        <f>survey_responses[[#This Row],[Tôi tin rằng Nhà nước, cơ quan thuế sẽ thực thi chính sách mới một cách khách quan, công tâm và đối xử bình đẳng với mọi người nộp thuế.  - HUMAN-TRU1]]</f>
        <v>5</v>
      </c>
      <c r="AN187" t="str">
        <f t="shared" si="67"/>
        <v>Neutral</v>
      </c>
      <c r="AO187" s="31">
        <f t="shared" si="68"/>
        <v>0</v>
      </c>
      <c r="AP187">
        <f>step3_validation[[#This Row],[AI_TRU2]]</f>
        <v>9</v>
      </c>
      <c r="AQ187" t="str">
        <f t="shared" si="69"/>
        <v>Support</v>
      </c>
      <c r="AR187">
        <f>survey_responses[[#This Row],[Tôi thấy mức thuế tôi phải đóng theo phương án mới là công bằng (người thu nhập như tôi đóng mức này là hợp lý). - HUMAN-TRU2]]</f>
        <v>5</v>
      </c>
      <c r="AS187" t="str">
        <f t="shared" si="70"/>
        <v>Neutral</v>
      </c>
      <c r="AT187" s="31">
        <f t="shared" si="71"/>
        <v>4</v>
      </c>
      <c r="AU187">
        <f>step3_validation[[#This Row],[AI_TRU3]]</f>
        <v>7</v>
      </c>
      <c r="AV187" t="str">
        <f t="shared" si="72"/>
        <v>Neutral</v>
      </c>
      <c r="AW187">
        <f>survey_responses[[#This Row],[Tôi tin tưởng số tiền thuế tôi đóng sẽ được Nhà nước sử dụng hiệu quả để cải thiện dịch vụ công (y tế, đường xá...). - HUMAN-TRU3]]</f>
        <v>5</v>
      </c>
      <c r="AX187" t="str">
        <f t="shared" si="73"/>
        <v>Neutral</v>
      </c>
      <c r="AY187" s="31">
        <f t="shared" si="74"/>
        <v>2</v>
      </c>
      <c r="AZ187">
        <f>step3_validation[[#This Row],[AI_TRU4]]</f>
        <v>8</v>
      </c>
      <c r="BA187" t="str">
        <f t="shared" si="75"/>
        <v>Support</v>
      </c>
      <c r="BB187">
        <f>survey_responses[[#This Row],[Tôi thấy Nhà nước đã giải thích rõ ràng, minh bạch về lý do và mục tiêu của việc sửa đổi thuế lần này. - HUMAN-TRU4]]</f>
        <v>5</v>
      </c>
      <c r="BC187" t="str">
        <f t="shared" si="76"/>
        <v>Neutral</v>
      </c>
      <c r="BD187" s="31">
        <f t="shared" si="77"/>
        <v>3</v>
      </c>
      <c r="BE187">
        <f>step3_validation[[#This Row],[AI_OUT1]]</f>
        <v>9</v>
      </c>
      <c r="BF187" t="str">
        <f t="shared" si="78"/>
        <v>Support</v>
      </c>
      <c r="BG187">
        <f>survey_responses[[#This Row],[Sau khi xem xét các quyền lợi và nghĩa vụ, bạn có ủng hộ và tuân thủ chính sách mới hiện nay? - HUMAN-OUT1]]</f>
        <v>6</v>
      </c>
      <c r="BH187" t="str">
        <f t="shared" si="79"/>
        <v>Neutral</v>
      </c>
      <c r="BI187" s="31">
        <f t="shared" si="80"/>
        <v>3</v>
      </c>
    </row>
    <row r="188" spans="1:61" hidden="1" x14ac:dyDescent="0.45">
      <c r="A188" s="29">
        <f>step3_validation[[#This Row],[Persona_ID]]</f>
        <v>187</v>
      </c>
      <c r="B188" s="30">
        <f>step3_validation[[#This Row],[Used_Seed]]</f>
        <v>228</v>
      </c>
      <c r="C188" t="str">
        <f>step3_validation[[#This Row],[Gender]]</f>
        <v>Nam</v>
      </c>
      <c r="D188" t="str">
        <f>survey_responses[[#This Row],[Giới tính của bạn:]]</f>
        <v>Nam</v>
      </c>
      <c r="E188" t="str">
        <f>step3_validation[[#This Row],[Age_Group]]</f>
        <v>40 - 49</v>
      </c>
      <c r="F188" t="str">
        <f>survey_responses[[#This Row],[Độ tuổi của bạn:]]</f>
        <v>40 - 49</v>
      </c>
      <c r="G188" t="str">
        <f>step3_validation[[#This Row],[Region]]</f>
        <v>Thành thị</v>
      </c>
      <c r="H188" t="str">
        <f>survey_responses[[#This Row],[Khu vực bạn đang sinh sống:]]</f>
        <v>Thành thị</v>
      </c>
      <c r="I188" t="str">
        <f>step3_validation[[#This Row],[Education]]</f>
        <v>Sau Đại học</v>
      </c>
      <c r="J188" t="str">
        <f>survey_responses[[#This Row],[Trình độ học vấn cao nhất:]]</f>
        <v>Sau Đại học</v>
      </c>
      <c r="K188" t="str">
        <f>step3_validation[[#This Row],[Employment]]</f>
        <v>Chính thức</v>
      </c>
      <c r="L188" t="str">
        <f>survey_responses[[#This Row],[Tình trạng việc làm chính:]]</f>
        <v>Khu vực chính thức (Có Hợp đồng lao động, đóng BHXH)</v>
      </c>
      <c r="M188">
        <f>step3_validation[[#This Row],[Income_Mil]]</f>
        <v>46.93172428703781</v>
      </c>
      <c r="N188" t="str">
        <f>survey_responses[[#This Row],[Thu nhập bình quân tháng theo Hợp đồng lao động của bạn là bao nhiêu? (Vui lòng điền tổng thu nhập trước khi khấu trừ các loại Bảo hiểm (BHXH, BHYT, BHTN) và Thuế TNCN)]]</f>
        <v>Từ 32 - 48 triệu VNĐ</v>
      </c>
      <c r="O188">
        <f>step3_validation[[#This Row],[Dependents]]</f>
        <v>2</v>
      </c>
      <c r="P188" t="str">
        <f>survey_responses[[#This Row],[Số người phụ thuộc (con nhỏ, cha mẹ già...) đủ điều kiện giảm trừ gia cảnh:]]</f>
        <v>2 người</v>
      </c>
      <c r="Q188">
        <f>step3_validation[[#This Row],[AI_ENF1]]</f>
        <v>5</v>
      </c>
      <c r="R188" t="str">
        <f t="shared" si="54"/>
        <v>Neutral</v>
      </c>
      <c r="S188">
        <f>survey_responses[[#This Row],[Tôi tin rằng với các quy định quản lý thuế hiện nay, hành vi gian lận hoặc trốn thuế sẽ dễ dàng bị phát hiện và xử lý nghiêm. - HUMAN-ENF1]]</f>
        <v>6</v>
      </c>
      <c r="T188" t="str">
        <f t="shared" si="55"/>
        <v>Neutral</v>
      </c>
      <c r="U188" s="31">
        <f t="shared" si="56"/>
        <v>1</v>
      </c>
      <c r="V188">
        <f>step3_validation[[#This Row],[AI_ENF2]]</f>
        <v>7</v>
      </c>
      <c r="W188" t="str">
        <f t="shared" si="57"/>
        <v>Neutral</v>
      </c>
      <c r="X188">
        <f>survey_responses[[#This Row],[Tôi tin rằng Nhà nước, cơ quan thuế có đủ khả năng và công nghệ để phát hiện, xử lý nghiêm các hành vi trốn thuế. - HUMAN-ENF2]]</f>
        <v>7</v>
      </c>
      <c r="Y188" t="str">
        <f t="shared" si="58"/>
        <v>Neutral</v>
      </c>
      <c r="Z188" s="31">
        <f t="shared" si="59"/>
        <v>0</v>
      </c>
      <c r="AA188">
        <f>step3_validation[[#This Row],[AI_FAC1]]</f>
        <v>9</v>
      </c>
      <c r="AB188" t="str">
        <f t="shared" si="60"/>
        <v>Support</v>
      </c>
      <c r="AC188">
        <f>survey_responses[[#This Row],[Các thủ tục khai báo thuế VÀ/HOẶC quy trình làm việc với cơ quan thuế đơn giản, tiện lợi, nhanh chóng hơn so với trước đây. - HUMAN-FAC1]]</f>
        <v>6</v>
      </c>
      <c r="AD188" t="str">
        <f t="shared" si="61"/>
        <v>Neutral</v>
      </c>
      <c r="AE188" s="31">
        <f t="shared" si="62"/>
        <v>3</v>
      </c>
      <c r="AF188">
        <f>step3_validation[[#This Row],[AI_FAC2]]</f>
        <v>8</v>
      </c>
      <c r="AG188" t="str">
        <f t="shared" si="63"/>
        <v>Support</v>
      </c>
      <c r="AH188">
        <f>survey_responses[[#This Row],[So với trước đây, tôi thấy cách tính thuế và các bậc thuế trong phương án mới đơn giản, dễ hiểu và dễ thực hiện hơn. - HUMAN-FAC2]]</f>
        <v>7</v>
      </c>
      <c r="AI188" t="str">
        <f t="shared" si="64"/>
        <v>Neutral</v>
      </c>
      <c r="AJ188" s="31">
        <f t="shared" si="65"/>
        <v>1</v>
      </c>
      <c r="AK188">
        <f>step3_validation[[#This Row],[AI_TRU1]]</f>
        <v>6</v>
      </c>
      <c r="AL188" t="str">
        <f t="shared" si="66"/>
        <v>Neutral</v>
      </c>
      <c r="AM188">
        <f>survey_responses[[#This Row],[Tôi tin rằng Nhà nước, cơ quan thuế sẽ thực thi chính sách mới một cách khách quan, công tâm và đối xử bình đẳng với mọi người nộp thuế.  - HUMAN-TRU1]]</f>
        <v>6</v>
      </c>
      <c r="AN188" t="str">
        <f t="shared" si="67"/>
        <v>Neutral</v>
      </c>
      <c r="AO188" s="31">
        <f t="shared" si="68"/>
        <v>0</v>
      </c>
      <c r="AP188">
        <f>step3_validation[[#This Row],[AI_TRU2]]</f>
        <v>8</v>
      </c>
      <c r="AQ188" t="str">
        <f t="shared" si="69"/>
        <v>Support</v>
      </c>
      <c r="AR188">
        <f>survey_responses[[#This Row],[Tôi thấy mức thuế tôi phải đóng theo phương án mới là công bằng (người thu nhập như tôi đóng mức này là hợp lý). - HUMAN-TRU2]]</f>
        <v>6</v>
      </c>
      <c r="AS188" t="str">
        <f t="shared" si="70"/>
        <v>Neutral</v>
      </c>
      <c r="AT188" s="31">
        <f t="shared" si="71"/>
        <v>2</v>
      </c>
      <c r="AU188">
        <f>step3_validation[[#This Row],[AI_TRU3]]</f>
        <v>7</v>
      </c>
      <c r="AV188" t="str">
        <f t="shared" si="72"/>
        <v>Neutral</v>
      </c>
      <c r="AW188">
        <f>survey_responses[[#This Row],[Tôi tin tưởng số tiền thuế tôi đóng sẽ được Nhà nước sử dụng hiệu quả để cải thiện dịch vụ công (y tế, đường xá...). - HUMAN-TRU3]]</f>
        <v>5</v>
      </c>
      <c r="AX188" t="str">
        <f t="shared" si="73"/>
        <v>Neutral</v>
      </c>
      <c r="AY188" s="31">
        <f t="shared" si="74"/>
        <v>2</v>
      </c>
      <c r="AZ188">
        <f>step3_validation[[#This Row],[AI_TRU4]]</f>
        <v>8</v>
      </c>
      <c r="BA188" t="str">
        <f t="shared" si="75"/>
        <v>Support</v>
      </c>
      <c r="BB188">
        <f>survey_responses[[#This Row],[Tôi thấy Nhà nước đã giải thích rõ ràng, minh bạch về lý do và mục tiêu của việc sửa đổi thuế lần này. - HUMAN-TRU4]]</f>
        <v>5</v>
      </c>
      <c r="BC188" t="str">
        <f t="shared" si="76"/>
        <v>Neutral</v>
      </c>
      <c r="BD188" s="31">
        <f t="shared" si="77"/>
        <v>3</v>
      </c>
      <c r="BE188">
        <f>step3_validation[[#This Row],[AI_OUT1]]</f>
        <v>9</v>
      </c>
      <c r="BF188" t="str">
        <f t="shared" si="78"/>
        <v>Support</v>
      </c>
      <c r="BG188">
        <f>survey_responses[[#This Row],[Sau khi xem xét các quyền lợi và nghĩa vụ, bạn có ủng hộ và tuân thủ chính sách mới hiện nay? - HUMAN-OUT1]]</f>
        <v>6</v>
      </c>
      <c r="BH188" t="str">
        <f t="shared" si="79"/>
        <v>Neutral</v>
      </c>
      <c r="BI188" s="31">
        <f t="shared" si="80"/>
        <v>3</v>
      </c>
    </row>
    <row r="189" spans="1:61" hidden="1" x14ac:dyDescent="0.45">
      <c r="A189" s="29">
        <f>step3_validation[[#This Row],[Persona_ID]]</f>
        <v>188</v>
      </c>
      <c r="B189" s="30">
        <f>step3_validation[[#This Row],[Used_Seed]]</f>
        <v>229</v>
      </c>
      <c r="C189" t="str">
        <f>step3_validation[[#This Row],[Gender]]</f>
        <v>Nam</v>
      </c>
      <c r="D189" t="str">
        <f>survey_responses[[#This Row],[Giới tính của bạn:]]</f>
        <v>Nam</v>
      </c>
      <c r="E189" t="str">
        <f>step3_validation[[#This Row],[Age_Group]]</f>
        <v>25 - 29</v>
      </c>
      <c r="F189" t="str">
        <f>survey_responses[[#This Row],[Độ tuổi của bạn:]]</f>
        <v>25 - 29</v>
      </c>
      <c r="G189" t="str">
        <f>step3_validation[[#This Row],[Region]]</f>
        <v>Thành thị</v>
      </c>
      <c r="H189" t="str">
        <f>survey_responses[[#This Row],[Khu vực bạn đang sinh sống:]]</f>
        <v>Thành thị</v>
      </c>
      <c r="I189" t="str">
        <f>step3_validation[[#This Row],[Education]]</f>
        <v>Đại học</v>
      </c>
      <c r="J189" t="str">
        <f>survey_responses[[#This Row],[Trình độ học vấn cao nhất:]]</f>
        <v>Đại học</v>
      </c>
      <c r="K189" t="str">
        <f>step3_validation[[#This Row],[Employment]]</f>
        <v>Chính thức</v>
      </c>
      <c r="L189" t="str">
        <f>survey_responses[[#This Row],[Tình trạng việc làm chính:]]</f>
        <v>Khu vực chính thức (Có Hợp đồng lao động, đóng BHXH)</v>
      </c>
      <c r="M189">
        <f>step3_validation[[#This Row],[Income_Mil]]</f>
        <v>23.279394241536629</v>
      </c>
      <c r="N189" t="str">
        <f>survey_responses[[#This Row],[Thu nhập bình quân tháng theo Hợp đồng lao động của bạn là bao nhiêu? (Vui lòng điền tổng thu nhập trước khi khấu trừ các loại Bảo hiểm (BHXH, BHYT, BHTN) và Thuế TNCN)]]</f>
        <v>Từ 23 - 32 triệu VNĐ</v>
      </c>
      <c r="O189">
        <f>step3_validation[[#This Row],[Dependents]]</f>
        <v>1</v>
      </c>
      <c r="P189" t="str">
        <f>survey_responses[[#This Row],[Số người phụ thuộc (con nhỏ, cha mẹ già...) đủ điều kiện giảm trừ gia cảnh:]]</f>
        <v>1 người</v>
      </c>
      <c r="Q189">
        <f>step3_validation[[#This Row],[AI_ENF1]]</f>
        <v>8</v>
      </c>
      <c r="R189" t="str">
        <f t="shared" si="54"/>
        <v>Support</v>
      </c>
      <c r="S189">
        <f>survey_responses[[#This Row],[Tôi tin rằng với các quy định quản lý thuế hiện nay, hành vi gian lận hoặc trốn thuế sẽ dễ dàng bị phát hiện và xử lý nghiêm. - HUMAN-ENF1]]</f>
        <v>5</v>
      </c>
      <c r="T189" t="str">
        <f t="shared" si="55"/>
        <v>Neutral</v>
      </c>
      <c r="U189" s="31">
        <f t="shared" si="56"/>
        <v>3</v>
      </c>
      <c r="V189">
        <f>step3_validation[[#This Row],[AI_ENF2]]</f>
        <v>9</v>
      </c>
      <c r="W189" t="str">
        <f t="shared" si="57"/>
        <v>Support</v>
      </c>
      <c r="X189">
        <f>survey_responses[[#This Row],[Tôi tin rằng Nhà nước, cơ quan thuế có đủ khả năng và công nghệ để phát hiện, xử lý nghiêm các hành vi trốn thuế. - HUMAN-ENF2]]</f>
        <v>5</v>
      </c>
      <c r="Y189" t="str">
        <f t="shared" si="58"/>
        <v>Neutral</v>
      </c>
      <c r="Z189" s="31">
        <f t="shared" si="59"/>
        <v>4</v>
      </c>
      <c r="AA189">
        <f>step3_validation[[#This Row],[AI_FAC1]]</f>
        <v>8</v>
      </c>
      <c r="AB189" t="str">
        <f t="shared" si="60"/>
        <v>Support</v>
      </c>
      <c r="AC189">
        <f>survey_responses[[#This Row],[Các thủ tục khai báo thuế VÀ/HOẶC quy trình làm việc với cơ quan thuế đơn giản, tiện lợi, nhanh chóng hơn so với trước đây. - HUMAN-FAC1]]</f>
        <v>4</v>
      </c>
      <c r="AD189" t="str">
        <f t="shared" si="61"/>
        <v>Oppose</v>
      </c>
      <c r="AE189" s="31">
        <f t="shared" si="62"/>
        <v>4</v>
      </c>
      <c r="AF189">
        <f>step3_validation[[#This Row],[AI_FAC2]]</f>
        <v>9</v>
      </c>
      <c r="AG189" t="str">
        <f t="shared" si="63"/>
        <v>Support</v>
      </c>
      <c r="AH189">
        <f>survey_responses[[#This Row],[So với trước đây, tôi thấy cách tính thuế và các bậc thuế trong phương án mới đơn giản, dễ hiểu và dễ thực hiện hơn. - HUMAN-FAC2]]</f>
        <v>6</v>
      </c>
      <c r="AI189" t="str">
        <f t="shared" si="64"/>
        <v>Neutral</v>
      </c>
      <c r="AJ189" s="31">
        <f t="shared" si="65"/>
        <v>3</v>
      </c>
      <c r="AK189">
        <f>step3_validation[[#This Row],[AI_TRU1]]</f>
        <v>8</v>
      </c>
      <c r="AL189" t="str">
        <f t="shared" si="66"/>
        <v>Support</v>
      </c>
      <c r="AM189">
        <f>survey_responses[[#This Row],[Tôi tin rằng Nhà nước, cơ quan thuế sẽ thực thi chính sách mới một cách khách quan, công tâm và đối xử bình đẳng với mọi người nộp thuế.  - HUMAN-TRU1]]</f>
        <v>5</v>
      </c>
      <c r="AN189" t="str">
        <f t="shared" si="67"/>
        <v>Neutral</v>
      </c>
      <c r="AO189" s="31">
        <f t="shared" si="68"/>
        <v>3</v>
      </c>
      <c r="AP189">
        <f>step3_validation[[#This Row],[AI_TRU2]]</f>
        <v>9</v>
      </c>
      <c r="AQ189" t="str">
        <f t="shared" si="69"/>
        <v>Support</v>
      </c>
      <c r="AR189">
        <f>survey_responses[[#This Row],[Tôi thấy mức thuế tôi phải đóng theo phương án mới là công bằng (người thu nhập như tôi đóng mức này là hợp lý). - HUMAN-TRU2]]</f>
        <v>5</v>
      </c>
      <c r="AS189" t="str">
        <f t="shared" si="70"/>
        <v>Neutral</v>
      </c>
      <c r="AT189" s="31">
        <f t="shared" si="71"/>
        <v>4</v>
      </c>
      <c r="AU189">
        <f>step3_validation[[#This Row],[AI_TRU3]]</f>
        <v>8</v>
      </c>
      <c r="AV189" t="str">
        <f t="shared" si="72"/>
        <v>Support</v>
      </c>
      <c r="AW189">
        <f>survey_responses[[#This Row],[Tôi tin tưởng số tiền thuế tôi đóng sẽ được Nhà nước sử dụng hiệu quả để cải thiện dịch vụ công (y tế, đường xá...). - HUMAN-TRU3]]</f>
        <v>5</v>
      </c>
      <c r="AX189" t="str">
        <f t="shared" si="73"/>
        <v>Neutral</v>
      </c>
      <c r="AY189" s="31">
        <f t="shared" si="74"/>
        <v>3</v>
      </c>
      <c r="AZ189">
        <f>step3_validation[[#This Row],[AI_TRU4]]</f>
        <v>9</v>
      </c>
      <c r="BA189" t="str">
        <f t="shared" si="75"/>
        <v>Support</v>
      </c>
      <c r="BB189">
        <f>survey_responses[[#This Row],[Tôi thấy Nhà nước đã giải thích rõ ràng, minh bạch về lý do và mục tiêu của việc sửa đổi thuế lần này. - HUMAN-TRU4]]</f>
        <v>5</v>
      </c>
      <c r="BC189" t="str">
        <f t="shared" si="76"/>
        <v>Neutral</v>
      </c>
      <c r="BD189" s="31">
        <f t="shared" si="77"/>
        <v>4</v>
      </c>
      <c r="BE189">
        <f>step3_validation[[#This Row],[AI_OUT1]]</f>
        <v>9</v>
      </c>
      <c r="BF189" t="str">
        <f t="shared" si="78"/>
        <v>Support</v>
      </c>
      <c r="BG189">
        <f>survey_responses[[#This Row],[Sau khi xem xét các quyền lợi và nghĩa vụ, bạn có ủng hộ và tuân thủ chính sách mới hiện nay? - HUMAN-OUT1]]</f>
        <v>5</v>
      </c>
      <c r="BH189" t="str">
        <f t="shared" si="79"/>
        <v>Neutral</v>
      </c>
      <c r="BI189" s="31">
        <f t="shared" si="80"/>
        <v>4</v>
      </c>
    </row>
    <row r="190" spans="1:61" hidden="1" x14ac:dyDescent="0.45">
      <c r="A190" s="29">
        <f>step3_validation[[#This Row],[Persona_ID]]</f>
        <v>189</v>
      </c>
      <c r="B190" s="30">
        <f>step3_validation[[#This Row],[Used_Seed]]</f>
        <v>230</v>
      </c>
      <c r="C190" t="str">
        <f>step3_validation[[#This Row],[Gender]]</f>
        <v>Nam</v>
      </c>
      <c r="D190" t="str">
        <f>survey_responses[[#This Row],[Giới tính của bạn:]]</f>
        <v>Nam</v>
      </c>
      <c r="E190" t="str">
        <f>step3_validation[[#This Row],[Age_Group]]</f>
        <v>40 - 49</v>
      </c>
      <c r="F190" t="str">
        <f>survey_responses[[#This Row],[Độ tuổi của bạn:]]</f>
        <v>40 - 49</v>
      </c>
      <c r="G190" t="str">
        <f>step3_validation[[#This Row],[Region]]</f>
        <v>Thành thị</v>
      </c>
      <c r="H190" t="str">
        <f>survey_responses[[#This Row],[Khu vực bạn đang sinh sống:]]</f>
        <v>Thành thị</v>
      </c>
      <c r="I190" t="str">
        <f>step3_validation[[#This Row],[Education]]</f>
        <v>Đại học</v>
      </c>
      <c r="J190" t="str">
        <f>survey_responses[[#This Row],[Trình độ học vấn cao nhất:]]</f>
        <v>Đại học</v>
      </c>
      <c r="K190" t="str">
        <f>step3_validation[[#This Row],[Employment]]</f>
        <v>Chính thức</v>
      </c>
      <c r="L190" t="str">
        <f>survey_responses[[#This Row],[Tình trạng việc làm chính:]]</f>
        <v>Khu vực chính thức (Có Hợp đồng lao động, đóng BHXH)</v>
      </c>
      <c r="M190">
        <f>step3_validation[[#This Row],[Income_Mil]]</f>
        <v>48.639861751403579</v>
      </c>
      <c r="N190" t="str">
        <f>survey_responses[[#This Row],[Thu nhập bình quân tháng theo Hợp đồng lao động của bạn là bao nhiêu? (Vui lòng điền tổng thu nhập trước khi khấu trừ các loại Bảo hiểm (BHXH, BHYT, BHTN) và Thuế TNCN)]]</f>
        <v>Từ 48 - 70 triệu VNĐ</v>
      </c>
      <c r="O190">
        <f>step3_validation[[#This Row],[Dependents]]</f>
        <v>2</v>
      </c>
      <c r="P190" t="str">
        <f>survey_responses[[#This Row],[Số người phụ thuộc (con nhỏ, cha mẹ già...) đủ điều kiện giảm trừ gia cảnh:]]</f>
        <v>2 người</v>
      </c>
      <c r="Q190">
        <f>step3_validation[[#This Row],[AI_ENF1]]</f>
        <v>7</v>
      </c>
      <c r="R190" t="str">
        <f t="shared" si="54"/>
        <v>Neutral</v>
      </c>
      <c r="S190">
        <f>survey_responses[[#This Row],[Tôi tin rằng với các quy định quản lý thuế hiện nay, hành vi gian lận hoặc trốn thuế sẽ dễ dàng bị phát hiện và xử lý nghiêm. - HUMAN-ENF1]]</f>
        <v>8</v>
      </c>
      <c r="T190" t="str">
        <f t="shared" si="55"/>
        <v>Support</v>
      </c>
      <c r="U190" s="31">
        <f t="shared" si="56"/>
        <v>1</v>
      </c>
      <c r="V190">
        <f>step3_validation[[#This Row],[AI_ENF2]]</f>
        <v>9</v>
      </c>
      <c r="W190" t="str">
        <f t="shared" si="57"/>
        <v>Support</v>
      </c>
      <c r="X190">
        <f>survey_responses[[#This Row],[Tôi tin rằng Nhà nước, cơ quan thuế có đủ khả năng và công nghệ để phát hiện, xử lý nghiêm các hành vi trốn thuế. - HUMAN-ENF2]]</f>
        <v>8</v>
      </c>
      <c r="Y190" t="str">
        <f t="shared" si="58"/>
        <v>Support</v>
      </c>
      <c r="Z190" s="31">
        <f t="shared" si="59"/>
        <v>1</v>
      </c>
      <c r="AA190">
        <f>step3_validation[[#This Row],[AI_FAC1]]</f>
        <v>8</v>
      </c>
      <c r="AB190" t="str">
        <f t="shared" si="60"/>
        <v>Support</v>
      </c>
      <c r="AC190">
        <f>survey_responses[[#This Row],[Các thủ tục khai báo thuế VÀ/HOẶC quy trình làm việc với cơ quan thuế đơn giản, tiện lợi, nhanh chóng hơn so với trước đây. - HUMAN-FAC1]]</f>
        <v>5</v>
      </c>
      <c r="AD190" t="str">
        <f t="shared" si="61"/>
        <v>Neutral</v>
      </c>
      <c r="AE190" s="31">
        <f t="shared" si="62"/>
        <v>3</v>
      </c>
      <c r="AF190">
        <f>step3_validation[[#This Row],[AI_FAC2]]</f>
        <v>9</v>
      </c>
      <c r="AG190" t="str">
        <f t="shared" si="63"/>
        <v>Support</v>
      </c>
      <c r="AH190">
        <f>survey_responses[[#This Row],[So với trước đây, tôi thấy cách tính thuế và các bậc thuế trong phương án mới đơn giản, dễ hiểu và dễ thực hiện hơn. - HUMAN-FAC2]]</f>
        <v>7</v>
      </c>
      <c r="AI190" t="str">
        <f t="shared" si="64"/>
        <v>Neutral</v>
      </c>
      <c r="AJ190" s="31">
        <f t="shared" si="65"/>
        <v>2</v>
      </c>
      <c r="AK190">
        <f>step3_validation[[#This Row],[AI_TRU1]]</f>
        <v>7</v>
      </c>
      <c r="AL190" t="str">
        <f t="shared" si="66"/>
        <v>Neutral</v>
      </c>
      <c r="AM190">
        <f>survey_responses[[#This Row],[Tôi tin rằng Nhà nước, cơ quan thuế sẽ thực thi chính sách mới một cách khách quan, công tâm và đối xử bình đẳng với mọi người nộp thuế.  - HUMAN-TRU1]]</f>
        <v>6</v>
      </c>
      <c r="AN190" t="str">
        <f t="shared" si="67"/>
        <v>Neutral</v>
      </c>
      <c r="AO190" s="31">
        <f t="shared" si="68"/>
        <v>1</v>
      </c>
      <c r="AP190">
        <f>step3_validation[[#This Row],[AI_TRU2]]</f>
        <v>8</v>
      </c>
      <c r="AQ190" t="str">
        <f t="shared" si="69"/>
        <v>Support</v>
      </c>
      <c r="AR190">
        <f>survey_responses[[#This Row],[Tôi thấy mức thuế tôi phải đóng theo phương án mới là công bằng (người thu nhập như tôi đóng mức này là hợp lý). - HUMAN-TRU2]]</f>
        <v>8</v>
      </c>
      <c r="AS190" t="str">
        <f t="shared" si="70"/>
        <v>Support</v>
      </c>
      <c r="AT190" s="31">
        <f t="shared" si="71"/>
        <v>0</v>
      </c>
      <c r="AU190">
        <f>step3_validation[[#This Row],[AI_TRU3]]</f>
        <v>7</v>
      </c>
      <c r="AV190" t="str">
        <f t="shared" si="72"/>
        <v>Neutral</v>
      </c>
      <c r="AW190">
        <f>survey_responses[[#This Row],[Tôi tin tưởng số tiền thuế tôi đóng sẽ được Nhà nước sử dụng hiệu quả để cải thiện dịch vụ công (y tế, đường xá...). - HUMAN-TRU3]]</f>
        <v>5</v>
      </c>
      <c r="AX190" t="str">
        <f t="shared" si="73"/>
        <v>Neutral</v>
      </c>
      <c r="AY190" s="31">
        <f t="shared" si="74"/>
        <v>2</v>
      </c>
      <c r="AZ190">
        <f>step3_validation[[#This Row],[AI_TRU4]]</f>
        <v>8</v>
      </c>
      <c r="BA190" t="str">
        <f t="shared" si="75"/>
        <v>Support</v>
      </c>
      <c r="BB190">
        <f>survey_responses[[#This Row],[Tôi thấy Nhà nước đã giải thích rõ ràng, minh bạch về lý do và mục tiêu của việc sửa đổi thuế lần này. - HUMAN-TRU4]]</f>
        <v>7</v>
      </c>
      <c r="BC190" t="str">
        <f t="shared" si="76"/>
        <v>Neutral</v>
      </c>
      <c r="BD190" s="31">
        <f t="shared" si="77"/>
        <v>1</v>
      </c>
      <c r="BE190">
        <f>step3_validation[[#This Row],[AI_OUT1]]</f>
        <v>9</v>
      </c>
      <c r="BF190" t="str">
        <f t="shared" si="78"/>
        <v>Support</v>
      </c>
      <c r="BG190">
        <f>survey_responses[[#This Row],[Sau khi xem xét các quyền lợi và nghĩa vụ, bạn có ủng hộ và tuân thủ chính sách mới hiện nay? - HUMAN-OUT1]]</f>
        <v>8</v>
      </c>
      <c r="BH190" t="str">
        <f t="shared" si="79"/>
        <v>Support</v>
      </c>
      <c r="BI190" s="31">
        <f t="shared" si="80"/>
        <v>1</v>
      </c>
    </row>
    <row r="191" spans="1:61" hidden="1" x14ac:dyDescent="0.45">
      <c r="A191" s="29">
        <f>step3_validation[[#This Row],[Persona_ID]]</f>
        <v>190</v>
      </c>
      <c r="B191" s="30">
        <f>step3_validation[[#This Row],[Used_Seed]]</f>
        <v>231</v>
      </c>
      <c r="C191" t="str">
        <f>step3_validation[[#This Row],[Gender]]</f>
        <v>Nam</v>
      </c>
      <c r="D191" t="str">
        <f>survey_responses[[#This Row],[Giới tính của bạn:]]</f>
        <v>Nam</v>
      </c>
      <c r="E191" t="str">
        <f>step3_validation[[#This Row],[Age_Group]]</f>
        <v>25 - 29</v>
      </c>
      <c r="F191" t="str">
        <f>survey_responses[[#This Row],[Độ tuổi của bạn:]]</f>
        <v>25 - 29</v>
      </c>
      <c r="G191" t="str">
        <f>step3_validation[[#This Row],[Region]]</f>
        <v>Thành thị</v>
      </c>
      <c r="H191" t="str">
        <f>survey_responses[[#This Row],[Khu vực bạn đang sinh sống:]]</f>
        <v>Thành thị</v>
      </c>
      <c r="I191" t="str">
        <f>step3_validation[[#This Row],[Education]]</f>
        <v>Sau Đại học</v>
      </c>
      <c r="J191" t="str">
        <f>survey_responses[[#This Row],[Trình độ học vấn cao nhất:]]</f>
        <v>Sau Đại học</v>
      </c>
      <c r="K191" t="str">
        <f>step3_validation[[#This Row],[Employment]]</f>
        <v>Chính thức</v>
      </c>
      <c r="L191" t="str">
        <f>survey_responses[[#This Row],[Tình trạng việc làm chính:]]</f>
        <v>Khu vực chính thức (Có Hợp đồng lao động, đóng BHXH)</v>
      </c>
      <c r="M191">
        <f>step3_validation[[#This Row],[Income_Mil]]</f>
        <v>30.116307536128566</v>
      </c>
      <c r="N191" t="str">
        <f>survey_responses[[#This Row],[Thu nhập bình quân tháng theo Hợp đồng lao động của bạn là bao nhiêu? (Vui lòng điền tổng thu nhập trước khi khấu trừ các loại Bảo hiểm (BHXH, BHYT, BHTN) và Thuế TNCN)]]</f>
        <v>Từ 23 - 32 triệu VNĐ</v>
      </c>
      <c r="O191">
        <f>step3_validation[[#This Row],[Dependents]]</f>
        <v>0</v>
      </c>
      <c r="P191" t="str">
        <f>survey_responses[[#This Row],[Số người phụ thuộc (con nhỏ, cha mẹ già...) đủ điều kiện giảm trừ gia cảnh:]]</f>
        <v>0 người</v>
      </c>
      <c r="Q191">
        <f>step3_validation[[#This Row],[AI_ENF1]]</f>
        <v>9</v>
      </c>
      <c r="R191" t="str">
        <f t="shared" si="54"/>
        <v>Support</v>
      </c>
      <c r="S191">
        <f>survey_responses[[#This Row],[Tôi tin rằng với các quy định quản lý thuế hiện nay, hành vi gian lận hoặc trốn thuế sẽ dễ dàng bị phát hiện và xử lý nghiêm. - HUMAN-ENF1]]</f>
        <v>7</v>
      </c>
      <c r="T191" t="str">
        <f t="shared" si="55"/>
        <v>Neutral</v>
      </c>
      <c r="U191" s="31">
        <f t="shared" si="56"/>
        <v>2</v>
      </c>
      <c r="V191">
        <f>step3_validation[[#This Row],[AI_ENF2]]</f>
        <v>8</v>
      </c>
      <c r="W191" t="str">
        <f t="shared" si="57"/>
        <v>Support</v>
      </c>
      <c r="X191">
        <f>survey_responses[[#This Row],[Tôi tin rằng Nhà nước, cơ quan thuế có đủ khả năng và công nghệ để phát hiện, xử lý nghiêm các hành vi trốn thuế. - HUMAN-ENF2]]</f>
        <v>7</v>
      </c>
      <c r="Y191" t="str">
        <f t="shared" si="58"/>
        <v>Neutral</v>
      </c>
      <c r="Z191" s="31">
        <f t="shared" si="59"/>
        <v>1</v>
      </c>
      <c r="AA191">
        <f>step3_validation[[#This Row],[AI_FAC1]]</f>
        <v>9</v>
      </c>
      <c r="AB191" t="str">
        <f t="shared" si="60"/>
        <v>Support</v>
      </c>
      <c r="AC191">
        <f>survey_responses[[#This Row],[Các thủ tục khai báo thuế VÀ/HOẶC quy trình làm việc với cơ quan thuế đơn giản, tiện lợi, nhanh chóng hơn so với trước đây. - HUMAN-FAC1]]</f>
        <v>7</v>
      </c>
      <c r="AD191" t="str">
        <f t="shared" si="61"/>
        <v>Neutral</v>
      </c>
      <c r="AE191" s="31">
        <f t="shared" si="62"/>
        <v>2</v>
      </c>
      <c r="AF191">
        <f>step3_validation[[#This Row],[AI_FAC2]]</f>
        <v>8</v>
      </c>
      <c r="AG191" t="str">
        <f t="shared" si="63"/>
        <v>Support</v>
      </c>
      <c r="AH191">
        <f>survey_responses[[#This Row],[So với trước đây, tôi thấy cách tính thuế và các bậc thuế trong phương án mới đơn giản, dễ hiểu và dễ thực hiện hơn. - HUMAN-FAC2]]</f>
        <v>8</v>
      </c>
      <c r="AI191" t="str">
        <f t="shared" si="64"/>
        <v>Support</v>
      </c>
      <c r="AJ191" s="31">
        <f t="shared" si="65"/>
        <v>0</v>
      </c>
      <c r="AK191">
        <f>step3_validation[[#This Row],[AI_TRU1]]</f>
        <v>9</v>
      </c>
      <c r="AL191" t="str">
        <f t="shared" si="66"/>
        <v>Support</v>
      </c>
      <c r="AM191">
        <f>survey_responses[[#This Row],[Tôi tin rằng Nhà nước, cơ quan thuế sẽ thực thi chính sách mới một cách khách quan, công tâm và đối xử bình đẳng với mọi người nộp thuế.  - HUMAN-TRU1]]</f>
        <v>3</v>
      </c>
      <c r="AN191" t="str">
        <f t="shared" si="67"/>
        <v>Oppose</v>
      </c>
      <c r="AO191" s="31">
        <f t="shared" si="68"/>
        <v>6</v>
      </c>
      <c r="AP191">
        <f>step3_validation[[#This Row],[AI_TRU2]]</f>
        <v>8</v>
      </c>
      <c r="AQ191" t="str">
        <f t="shared" si="69"/>
        <v>Support</v>
      </c>
      <c r="AR191">
        <f>survey_responses[[#This Row],[Tôi thấy mức thuế tôi phải đóng theo phương án mới là công bằng (người thu nhập như tôi đóng mức này là hợp lý). - HUMAN-TRU2]]</f>
        <v>3</v>
      </c>
      <c r="AS191" t="str">
        <f t="shared" si="70"/>
        <v>Oppose</v>
      </c>
      <c r="AT191" s="31">
        <f t="shared" si="71"/>
        <v>5</v>
      </c>
      <c r="AU191">
        <f>step3_validation[[#This Row],[AI_TRU3]]</f>
        <v>9</v>
      </c>
      <c r="AV191" t="str">
        <f t="shared" si="72"/>
        <v>Support</v>
      </c>
      <c r="AW191">
        <f>survey_responses[[#This Row],[Tôi tin tưởng số tiền thuế tôi đóng sẽ được Nhà nước sử dụng hiệu quả để cải thiện dịch vụ công (y tế, đường xá...). - HUMAN-TRU3]]</f>
        <v>2</v>
      </c>
      <c r="AX191" t="str">
        <f t="shared" si="73"/>
        <v>Oppose</v>
      </c>
      <c r="AY191" s="31">
        <f t="shared" si="74"/>
        <v>7</v>
      </c>
      <c r="AZ191">
        <f>step3_validation[[#This Row],[AI_TRU4]]</f>
        <v>7</v>
      </c>
      <c r="BA191" t="str">
        <f t="shared" si="75"/>
        <v>Neutral</v>
      </c>
      <c r="BB191">
        <f>survey_responses[[#This Row],[Tôi thấy Nhà nước đã giải thích rõ ràng, minh bạch về lý do và mục tiêu của việc sửa đổi thuế lần này. - HUMAN-TRU4]]</f>
        <v>3</v>
      </c>
      <c r="BC191" t="str">
        <f t="shared" si="76"/>
        <v>Oppose</v>
      </c>
      <c r="BD191" s="31">
        <f t="shared" si="77"/>
        <v>4</v>
      </c>
      <c r="BE191">
        <f>step3_validation[[#This Row],[AI_OUT1]]</f>
        <v>9</v>
      </c>
      <c r="BF191" t="str">
        <f t="shared" si="78"/>
        <v>Support</v>
      </c>
      <c r="BG191">
        <f>survey_responses[[#This Row],[Sau khi xem xét các quyền lợi và nghĩa vụ, bạn có ủng hộ và tuân thủ chính sách mới hiện nay? - HUMAN-OUT1]]</f>
        <v>8</v>
      </c>
      <c r="BH191" t="str">
        <f t="shared" si="79"/>
        <v>Support</v>
      </c>
      <c r="BI191" s="31">
        <f t="shared" si="80"/>
        <v>1</v>
      </c>
    </row>
    <row r="192" spans="1:61" hidden="1" x14ac:dyDescent="0.45">
      <c r="A192" s="29">
        <f>step3_validation[[#This Row],[Persona_ID]]</f>
        <v>191</v>
      </c>
      <c r="B192" s="30">
        <f>step3_validation[[#This Row],[Used_Seed]]</f>
        <v>232</v>
      </c>
      <c r="C192" t="str">
        <f>step3_validation[[#This Row],[Gender]]</f>
        <v>Nam</v>
      </c>
      <c r="D192" t="str">
        <f>survey_responses[[#This Row],[Giới tính của bạn:]]</f>
        <v>Nam</v>
      </c>
      <c r="E192" t="str">
        <f>step3_validation[[#This Row],[Age_Group]]</f>
        <v>30 - 39</v>
      </c>
      <c r="F192" t="str">
        <f>survey_responses[[#This Row],[Độ tuổi của bạn:]]</f>
        <v>30 - 39</v>
      </c>
      <c r="G192" t="str">
        <f>step3_validation[[#This Row],[Region]]</f>
        <v>Thành thị</v>
      </c>
      <c r="H192" t="str">
        <f>survey_responses[[#This Row],[Khu vực bạn đang sinh sống:]]</f>
        <v>Thành thị</v>
      </c>
      <c r="I192" t="str">
        <f>step3_validation[[#This Row],[Education]]</f>
        <v>Sau Đại học</v>
      </c>
      <c r="J192" t="str">
        <f>survey_responses[[#This Row],[Trình độ học vấn cao nhất:]]</f>
        <v>Sau Đại học</v>
      </c>
      <c r="K192" t="str">
        <f>step3_validation[[#This Row],[Employment]]</f>
        <v>Chính thức</v>
      </c>
      <c r="L192" t="str">
        <f>survey_responses[[#This Row],[Tình trạng việc làm chính:]]</f>
        <v>Khu vực chính thức (Có Hợp đồng lao động, đóng BHXH)</v>
      </c>
      <c r="M192">
        <f>step3_validation[[#This Row],[Income_Mil]]</f>
        <v>68.771751337108086</v>
      </c>
      <c r="N192" t="str">
        <f>survey_responses[[#This Row],[Thu nhập bình quân tháng theo Hợp đồng lao động của bạn là bao nhiêu? (Vui lòng điền tổng thu nhập trước khi khấu trừ các loại Bảo hiểm (BHXH, BHYT, BHTN) và Thuế TNCN)]]</f>
        <v>Từ 48 - 70 triệu VNĐ</v>
      </c>
      <c r="O192">
        <f>step3_validation[[#This Row],[Dependents]]</f>
        <v>3</v>
      </c>
      <c r="P192" t="str">
        <f>survey_responses[[#This Row],[Số người phụ thuộc (con nhỏ, cha mẹ già...) đủ điều kiện giảm trừ gia cảnh:]]</f>
        <v>3 người</v>
      </c>
      <c r="Q192">
        <f>step3_validation[[#This Row],[AI_ENF1]]</f>
        <v>8</v>
      </c>
      <c r="R192" t="str">
        <f t="shared" si="54"/>
        <v>Support</v>
      </c>
      <c r="S192">
        <f>survey_responses[[#This Row],[Tôi tin rằng với các quy định quản lý thuế hiện nay, hành vi gian lận hoặc trốn thuế sẽ dễ dàng bị phát hiện và xử lý nghiêm. - HUMAN-ENF1]]</f>
        <v>7</v>
      </c>
      <c r="T192" t="str">
        <f t="shared" si="55"/>
        <v>Neutral</v>
      </c>
      <c r="U192" s="31">
        <f t="shared" si="56"/>
        <v>1</v>
      </c>
      <c r="V192">
        <f>step3_validation[[#This Row],[AI_ENF2]]</f>
        <v>7</v>
      </c>
      <c r="W192" t="str">
        <f t="shared" si="57"/>
        <v>Neutral</v>
      </c>
      <c r="X192">
        <f>survey_responses[[#This Row],[Tôi tin rằng Nhà nước, cơ quan thuế có đủ khả năng và công nghệ để phát hiện, xử lý nghiêm các hành vi trốn thuế. - HUMAN-ENF2]]</f>
        <v>7</v>
      </c>
      <c r="Y192" t="str">
        <f t="shared" si="58"/>
        <v>Neutral</v>
      </c>
      <c r="Z192" s="31">
        <f t="shared" si="59"/>
        <v>0</v>
      </c>
      <c r="AA192">
        <f>step3_validation[[#This Row],[AI_FAC1]]</f>
        <v>9</v>
      </c>
      <c r="AB192" t="str">
        <f t="shared" si="60"/>
        <v>Support</v>
      </c>
      <c r="AC192">
        <f>survey_responses[[#This Row],[Các thủ tục khai báo thuế VÀ/HOẶC quy trình làm việc với cơ quan thuế đơn giản, tiện lợi, nhanh chóng hơn so với trước đây. - HUMAN-FAC1]]</f>
        <v>6</v>
      </c>
      <c r="AD192" t="str">
        <f t="shared" si="61"/>
        <v>Neutral</v>
      </c>
      <c r="AE192" s="31">
        <f t="shared" si="62"/>
        <v>3</v>
      </c>
      <c r="AF192">
        <f>step3_validation[[#This Row],[AI_FAC2]]</f>
        <v>8</v>
      </c>
      <c r="AG192" t="str">
        <f t="shared" si="63"/>
        <v>Support</v>
      </c>
      <c r="AH192">
        <f>survey_responses[[#This Row],[So với trước đây, tôi thấy cách tính thuế và các bậc thuế trong phương án mới đơn giản, dễ hiểu và dễ thực hiện hơn. - HUMAN-FAC2]]</f>
        <v>8</v>
      </c>
      <c r="AI192" t="str">
        <f t="shared" si="64"/>
        <v>Support</v>
      </c>
      <c r="AJ192" s="31">
        <f t="shared" si="65"/>
        <v>0</v>
      </c>
      <c r="AK192">
        <f>step3_validation[[#This Row],[AI_TRU1]]</f>
        <v>6</v>
      </c>
      <c r="AL192" t="str">
        <f t="shared" si="66"/>
        <v>Neutral</v>
      </c>
      <c r="AM192">
        <f>survey_responses[[#This Row],[Tôi tin rằng Nhà nước, cơ quan thuế sẽ thực thi chính sách mới một cách khách quan, công tâm và đối xử bình đẳng với mọi người nộp thuế.  - HUMAN-TRU1]]</f>
        <v>7</v>
      </c>
      <c r="AN192" t="str">
        <f t="shared" si="67"/>
        <v>Neutral</v>
      </c>
      <c r="AO192" s="31">
        <f t="shared" si="68"/>
        <v>1</v>
      </c>
      <c r="AP192">
        <f>step3_validation[[#This Row],[AI_TRU2]]</f>
        <v>7</v>
      </c>
      <c r="AQ192" t="str">
        <f t="shared" si="69"/>
        <v>Neutral</v>
      </c>
      <c r="AR192">
        <f>survey_responses[[#This Row],[Tôi thấy mức thuế tôi phải đóng theo phương án mới là công bằng (người thu nhập như tôi đóng mức này là hợp lý). - HUMAN-TRU2]]</f>
        <v>8</v>
      </c>
      <c r="AS192" t="str">
        <f t="shared" si="70"/>
        <v>Support</v>
      </c>
      <c r="AT192" s="31">
        <f t="shared" si="71"/>
        <v>1</v>
      </c>
      <c r="AU192">
        <f>step3_validation[[#This Row],[AI_TRU3]]</f>
        <v>6</v>
      </c>
      <c r="AV192" t="str">
        <f t="shared" si="72"/>
        <v>Neutral</v>
      </c>
      <c r="AW192">
        <f>survey_responses[[#This Row],[Tôi tin tưởng số tiền thuế tôi đóng sẽ được Nhà nước sử dụng hiệu quả để cải thiện dịch vụ công (y tế, đường xá...). - HUMAN-TRU3]]</f>
        <v>7</v>
      </c>
      <c r="AX192" t="str">
        <f t="shared" si="73"/>
        <v>Neutral</v>
      </c>
      <c r="AY192" s="31">
        <f t="shared" si="74"/>
        <v>1</v>
      </c>
      <c r="AZ192">
        <f>step3_validation[[#This Row],[AI_TRU4]]</f>
        <v>7</v>
      </c>
      <c r="BA192" t="str">
        <f t="shared" si="75"/>
        <v>Neutral</v>
      </c>
      <c r="BB192">
        <f>survey_responses[[#This Row],[Tôi thấy Nhà nước đã giải thích rõ ràng, minh bạch về lý do và mục tiêu của việc sửa đổi thuế lần này. - HUMAN-TRU4]]</f>
        <v>7</v>
      </c>
      <c r="BC192" t="str">
        <f t="shared" si="76"/>
        <v>Neutral</v>
      </c>
      <c r="BD192" s="31">
        <f t="shared" si="77"/>
        <v>0</v>
      </c>
      <c r="BE192">
        <f>step3_validation[[#This Row],[AI_OUT1]]</f>
        <v>9</v>
      </c>
      <c r="BF192" t="str">
        <f t="shared" si="78"/>
        <v>Support</v>
      </c>
      <c r="BG192">
        <f>survey_responses[[#This Row],[Sau khi xem xét các quyền lợi và nghĩa vụ, bạn có ủng hộ và tuân thủ chính sách mới hiện nay? - HUMAN-OUT1]]</f>
        <v>7</v>
      </c>
      <c r="BH192" t="str">
        <f t="shared" si="79"/>
        <v>Neutral</v>
      </c>
      <c r="BI192" s="31">
        <f t="shared" si="80"/>
        <v>2</v>
      </c>
    </row>
    <row r="193" spans="1:61" hidden="1" x14ac:dyDescent="0.45">
      <c r="A193" s="29">
        <f>step3_validation[[#This Row],[Persona_ID]]</f>
        <v>192</v>
      </c>
      <c r="B193" s="30">
        <f>step3_validation[[#This Row],[Used_Seed]]</f>
        <v>233</v>
      </c>
      <c r="C193" t="str">
        <f>step3_validation[[#This Row],[Gender]]</f>
        <v>Nữ</v>
      </c>
      <c r="D193" t="str">
        <f>survey_responses[[#This Row],[Giới tính của bạn:]]</f>
        <v>Nữ</v>
      </c>
      <c r="E193" t="str">
        <f>step3_validation[[#This Row],[Age_Group]]</f>
        <v>18 - 24</v>
      </c>
      <c r="F193" t="str">
        <f>survey_responses[[#This Row],[Độ tuổi của bạn:]]</f>
        <v>18 - 24</v>
      </c>
      <c r="G193" t="str">
        <f>step3_validation[[#This Row],[Region]]</f>
        <v>Thành thị</v>
      </c>
      <c r="H193" t="str">
        <f>survey_responses[[#This Row],[Khu vực bạn đang sinh sống:]]</f>
        <v>Thành thị</v>
      </c>
      <c r="I193" t="str">
        <f>step3_validation[[#This Row],[Education]]</f>
        <v>Đại học</v>
      </c>
      <c r="J193" t="str">
        <f>survey_responses[[#This Row],[Trình độ học vấn cao nhất:]]</f>
        <v>Đại học</v>
      </c>
      <c r="K193" t="str">
        <f>step3_validation[[#This Row],[Employment]]</f>
        <v>Chính thức</v>
      </c>
      <c r="L193" t="str">
        <f>survey_responses[[#This Row],[Tình trạng việc làm chính:]]</f>
        <v>Khu vực chính thức (Có Hợp đồng lao động, đóng BHXH)</v>
      </c>
      <c r="M193">
        <f>step3_validation[[#This Row],[Income_Mil]]</f>
        <v>18.636331126654493</v>
      </c>
      <c r="N193" t="str">
        <f>survey_responses[[#This Row],[Thu nhập bình quân tháng theo Hợp đồng lao động của bạn là bao nhiêu? (Vui lòng điền tổng thu nhập trước khi khấu trừ các loại Bảo hiểm (BHXH, BHYT, BHTN) và Thuế TNCN)]]</f>
        <v>Từ 18 - 23 triệu VNĐ</v>
      </c>
      <c r="O193">
        <f>step3_validation[[#This Row],[Dependents]]</f>
        <v>0</v>
      </c>
      <c r="P193" t="str">
        <f>survey_responses[[#This Row],[Số người phụ thuộc (con nhỏ, cha mẹ già...) đủ điều kiện giảm trừ gia cảnh:]]</f>
        <v>0 người</v>
      </c>
      <c r="Q193">
        <f>step3_validation[[#This Row],[AI_ENF1]]</f>
        <v>6</v>
      </c>
      <c r="R193" t="str">
        <f t="shared" si="54"/>
        <v>Neutral</v>
      </c>
      <c r="S193">
        <f>survey_responses[[#This Row],[Tôi tin rằng với các quy định quản lý thuế hiện nay, hành vi gian lận hoặc trốn thuế sẽ dễ dàng bị phát hiện và xử lý nghiêm. - HUMAN-ENF1]]</f>
        <v>8</v>
      </c>
      <c r="T193" t="str">
        <f t="shared" si="55"/>
        <v>Support</v>
      </c>
      <c r="U193" s="31">
        <f t="shared" si="56"/>
        <v>2</v>
      </c>
      <c r="V193">
        <f>step3_validation[[#This Row],[AI_ENF2]]</f>
        <v>7</v>
      </c>
      <c r="W193" t="str">
        <f t="shared" si="57"/>
        <v>Neutral</v>
      </c>
      <c r="X193">
        <f>survey_responses[[#This Row],[Tôi tin rằng Nhà nước, cơ quan thuế có đủ khả năng và công nghệ để phát hiện, xử lý nghiêm các hành vi trốn thuế. - HUMAN-ENF2]]</f>
        <v>8</v>
      </c>
      <c r="Y193" t="str">
        <f t="shared" si="58"/>
        <v>Support</v>
      </c>
      <c r="Z193" s="31">
        <f t="shared" si="59"/>
        <v>1</v>
      </c>
      <c r="AA193">
        <f>step3_validation[[#This Row],[AI_FAC1]]</f>
        <v>6</v>
      </c>
      <c r="AB193" t="str">
        <f t="shared" si="60"/>
        <v>Neutral</v>
      </c>
      <c r="AC193">
        <f>survey_responses[[#This Row],[Các thủ tục khai báo thuế VÀ/HOẶC quy trình làm việc với cơ quan thuế đơn giản, tiện lợi, nhanh chóng hơn so với trước đây. - HUMAN-FAC1]]</f>
        <v>9</v>
      </c>
      <c r="AD193" t="str">
        <f t="shared" si="61"/>
        <v>Support</v>
      </c>
      <c r="AE193" s="31">
        <f t="shared" si="62"/>
        <v>3</v>
      </c>
      <c r="AF193">
        <f>step3_validation[[#This Row],[AI_FAC2]]</f>
        <v>8</v>
      </c>
      <c r="AG193" t="str">
        <f t="shared" si="63"/>
        <v>Support</v>
      </c>
      <c r="AH193">
        <f>survey_responses[[#This Row],[So với trước đây, tôi thấy cách tính thuế và các bậc thuế trong phương án mới đơn giản, dễ hiểu và dễ thực hiện hơn. - HUMAN-FAC2]]</f>
        <v>9</v>
      </c>
      <c r="AI193" t="str">
        <f t="shared" si="64"/>
        <v>Support</v>
      </c>
      <c r="AJ193" s="31">
        <f t="shared" si="65"/>
        <v>1</v>
      </c>
      <c r="AK193">
        <f>step3_validation[[#This Row],[AI_TRU1]]</f>
        <v>9</v>
      </c>
      <c r="AL193" t="str">
        <f t="shared" si="66"/>
        <v>Support</v>
      </c>
      <c r="AM193">
        <f>survey_responses[[#This Row],[Tôi tin rằng Nhà nước, cơ quan thuế sẽ thực thi chính sách mới một cách khách quan, công tâm và đối xử bình đẳng với mọi người nộp thuế.  - HUMAN-TRU1]]</f>
        <v>9</v>
      </c>
      <c r="AN193" t="str">
        <f t="shared" si="67"/>
        <v>Support</v>
      </c>
      <c r="AO193" s="31">
        <f t="shared" si="68"/>
        <v>0</v>
      </c>
      <c r="AP193">
        <f>step3_validation[[#This Row],[AI_TRU2]]</f>
        <v>9</v>
      </c>
      <c r="AQ193" t="str">
        <f t="shared" si="69"/>
        <v>Support</v>
      </c>
      <c r="AR193">
        <f>survey_responses[[#This Row],[Tôi thấy mức thuế tôi phải đóng theo phương án mới là công bằng (người thu nhập như tôi đóng mức này là hợp lý). - HUMAN-TRU2]]</f>
        <v>9</v>
      </c>
      <c r="AS193" t="str">
        <f t="shared" si="70"/>
        <v>Support</v>
      </c>
      <c r="AT193" s="31">
        <f t="shared" si="71"/>
        <v>0</v>
      </c>
      <c r="AU193">
        <f>step3_validation[[#This Row],[AI_TRU3]]</f>
        <v>8</v>
      </c>
      <c r="AV193" t="str">
        <f t="shared" si="72"/>
        <v>Support</v>
      </c>
      <c r="AW193">
        <f>survey_responses[[#This Row],[Tôi tin tưởng số tiền thuế tôi đóng sẽ được Nhà nước sử dụng hiệu quả để cải thiện dịch vụ công (y tế, đường xá...). - HUMAN-TRU3]]</f>
        <v>8</v>
      </c>
      <c r="AX193" t="str">
        <f t="shared" si="73"/>
        <v>Support</v>
      </c>
      <c r="AY193" s="31">
        <f t="shared" si="74"/>
        <v>0</v>
      </c>
      <c r="AZ193">
        <f>step3_validation[[#This Row],[AI_TRU4]]</f>
        <v>7</v>
      </c>
      <c r="BA193" t="str">
        <f t="shared" si="75"/>
        <v>Neutral</v>
      </c>
      <c r="BB193">
        <f>survey_responses[[#This Row],[Tôi thấy Nhà nước đã giải thích rõ ràng, minh bạch về lý do và mục tiêu của việc sửa đổi thuế lần này. - HUMAN-TRU4]]</f>
        <v>8</v>
      </c>
      <c r="BC193" t="str">
        <f t="shared" si="76"/>
        <v>Support</v>
      </c>
      <c r="BD193" s="31">
        <f t="shared" si="77"/>
        <v>1</v>
      </c>
      <c r="BE193">
        <f>step3_validation[[#This Row],[AI_OUT1]]</f>
        <v>9</v>
      </c>
      <c r="BF193" t="str">
        <f t="shared" si="78"/>
        <v>Support</v>
      </c>
      <c r="BG193">
        <f>survey_responses[[#This Row],[Sau khi xem xét các quyền lợi và nghĩa vụ, bạn có ủng hộ và tuân thủ chính sách mới hiện nay? - HUMAN-OUT1]]</f>
        <v>9</v>
      </c>
      <c r="BH193" t="str">
        <f t="shared" si="79"/>
        <v>Support</v>
      </c>
      <c r="BI193" s="31">
        <f t="shared" si="80"/>
        <v>0</v>
      </c>
    </row>
    <row r="194" spans="1:61" hidden="1" x14ac:dyDescent="0.45">
      <c r="A194" s="29">
        <f>step3_validation[[#This Row],[Persona_ID]]</f>
        <v>193</v>
      </c>
      <c r="B194" s="30">
        <f>step3_validation[[#This Row],[Used_Seed]]</f>
        <v>234</v>
      </c>
      <c r="C194" t="str">
        <f>step3_validation[[#This Row],[Gender]]</f>
        <v>Nữ</v>
      </c>
      <c r="D194" t="str">
        <f>survey_responses[[#This Row],[Giới tính của bạn:]]</f>
        <v>Nữ</v>
      </c>
      <c r="E194" t="str">
        <f>step3_validation[[#This Row],[Age_Group]]</f>
        <v>40 - 49</v>
      </c>
      <c r="F194" t="str">
        <f>survey_responses[[#This Row],[Độ tuổi của bạn:]]</f>
        <v>40 - 49</v>
      </c>
      <c r="G194" t="str">
        <f>step3_validation[[#This Row],[Region]]</f>
        <v>Thành thị</v>
      </c>
      <c r="H194" t="str">
        <f>survey_responses[[#This Row],[Khu vực bạn đang sinh sống:]]</f>
        <v>Thành thị</v>
      </c>
      <c r="I194" t="str">
        <f>step3_validation[[#This Row],[Education]]</f>
        <v>Đại học</v>
      </c>
      <c r="J194" t="str">
        <f>survey_responses[[#This Row],[Trình độ học vấn cao nhất:]]</f>
        <v>Đại học</v>
      </c>
      <c r="K194" t="str">
        <f>step3_validation[[#This Row],[Employment]]</f>
        <v>Chính thức</v>
      </c>
      <c r="L194" t="str">
        <f>survey_responses[[#This Row],[Tình trạng việc làm chính:]]</f>
        <v>Khu vực chính thức (Có Hợp đồng lao động, đóng BHXH)</v>
      </c>
      <c r="M194">
        <f>step3_validation[[#This Row],[Income_Mil]]</f>
        <v>27.825111441310725</v>
      </c>
      <c r="N194" t="str">
        <f>survey_responses[[#This Row],[Thu nhập bình quân tháng theo Hợp đồng lao động của bạn là bao nhiêu? (Vui lòng điền tổng thu nhập trước khi khấu trừ các loại Bảo hiểm (BHXH, BHYT, BHTN) và Thuế TNCN)]]</f>
        <v>Từ 23 - 32 triệu VNĐ</v>
      </c>
      <c r="O194">
        <f>step3_validation[[#This Row],[Dependents]]</f>
        <v>2</v>
      </c>
      <c r="P194" t="str">
        <f>survey_responses[[#This Row],[Số người phụ thuộc (con nhỏ, cha mẹ già...) đủ điều kiện giảm trừ gia cảnh:]]</f>
        <v>2 người</v>
      </c>
      <c r="Q194">
        <f>step3_validation[[#This Row],[AI_ENF1]]</f>
        <v>8</v>
      </c>
      <c r="R194" t="str">
        <f t="shared" si="54"/>
        <v>Support</v>
      </c>
      <c r="S194">
        <f>survey_responses[[#This Row],[Tôi tin rằng với các quy định quản lý thuế hiện nay, hành vi gian lận hoặc trốn thuế sẽ dễ dàng bị phát hiện và xử lý nghiêm. - HUMAN-ENF1]]</f>
        <v>1</v>
      </c>
      <c r="T194" t="str">
        <f t="shared" si="55"/>
        <v>Oppose</v>
      </c>
      <c r="U194" s="31">
        <f t="shared" si="56"/>
        <v>7</v>
      </c>
      <c r="V194">
        <f>step3_validation[[#This Row],[AI_ENF2]]</f>
        <v>9</v>
      </c>
      <c r="W194" t="str">
        <f t="shared" si="57"/>
        <v>Support</v>
      </c>
      <c r="X194">
        <f>survey_responses[[#This Row],[Tôi tin rằng Nhà nước, cơ quan thuế có đủ khả năng và công nghệ để phát hiện, xử lý nghiêm các hành vi trốn thuế. - HUMAN-ENF2]]</f>
        <v>1</v>
      </c>
      <c r="Y194" t="str">
        <f t="shared" si="58"/>
        <v>Oppose</v>
      </c>
      <c r="Z194" s="31">
        <f t="shared" si="59"/>
        <v>8</v>
      </c>
      <c r="AA194">
        <f>step3_validation[[#This Row],[AI_FAC1]]</f>
        <v>8</v>
      </c>
      <c r="AB194" t="str">
        <f t="shared" si="60"/>
        <v>Support</v>
      </c>
      <c r="AC194">
        <f>survey_responses[[#This Row],[Các thủ tục khai báo thuế VÀ/HOẶC quy trình làm việc với cơ quan thuế đơn giản, tiện lợi, nhanh chóng hơn so với trước đây. - HUMAN-FAC1]]</f>
        <v>7</v>
      </c>
      <c r="AD194" t="str">
        <f t="shared" si="61"/>
        <v>Neutral</v>
      </c>
      <c r="AE194" s="31">
        <f t="shared" si="62"/>
        <v>1</v>
      </c>
      <c r="AF194">
        <f>step3_validation[[#This Row],[AI_FAC2]]</f>
        <v>9</v>
      </c>
      <c r="AG194" t="str">
        <f t="shared" si="63"/>
        <v>Support</v>
      </c>
      <c r="AH194">
        <f>survey_responses[[#This Row],[So với trước đây, tôi thấy cách tính thuế và các bậc thuế trong phương án mới đơn giản, dễ hiểu và dễ thực hiện hơn. - HUMAN-FAC2]]</f>
        <v>5</v>
      </c>
      <c r="AI194" t="str">
        <f t="shared" si="64"/>
        <v>Neutral</v>
      </c>
      <c r="AJ194" s="31">
        <f t="shared" si="65"/>
        <v>4</v>
      </c>
      <c r="AK194">
        <f>step3_validation[[#This Row],[AI_TRU1]]</f>
        <v>8</v>
      </c>
      <c r="AL194" t="str">
        <f t="shared" si="66"/>
        <v>Support</v>
      </c>
      <c r="AM194">
        <f>survey_responses[[#This Row],[Tôi tin rằng Nhà nước, cơ quan thuế sẽ thực thi chính sách mới một cách khách quan, công tâm và đối xử bình đẳng với mọi người nộp thuế.  - HUMAN-TRU1]]</f>
        <v>5</v>
      </c>
      <c r="AN194" t="str">
        <f t="shared" si="67"/>
        <v>Neutral</v>
      </c>
      <c r="AO194" s="31">
        <f t="shared" si="68"/>
        <v>3</v>
      </c>
      <c r="AP194">
        <f>step3_validation[[#This Row],[AI_TRU2]]</f>
        <v>9</v>
      </c>
      <c r="AQ194" t="str">
        <f t="shared" si="69"/>
        <v>Support</v>
      </c>
      <c r="AR194">
        <f>survey_responses[[#This Row],[Tôi thấy mức thuế tôi phải đóng theo phương án mới là công bằng (người thu nhập như tôi đóng mức này là hợp lý). - HUMAN-TRU2]]</f>
        <v>7</v>
      </c>
      <c r="AS194" t="str">
        <f t="shared" si="70"/>
        <v>Neutral</v>
      </c>
      <c r="AT194" s="31">
        <f t="shared" si="71"/>
        <v>2</v>
      </c>
      <c r="AU194">
        <f>step3_validation[[#This Row],[AI_TRU3]]</f>
        <v>8</v>
      </c>
      <c r="AV194" t="str">
        <f t="shared" si="72"/>
        <v>Support</v>
      </c>
      <c r="AW194">
        <f>survey_responses[[#This Row],[Tôi tin tưởng số tiền thuế tôi đóng sẽ được Nhà nước sử dụng hiệu quả để cải thiện dịch vụ công (y tế, đường xá...). - HUMAN-TRU3]]</f>
        <v>2</v>
      </c>
      <c r="AX194" t="str">
        <f t="shared" si="73"/>
        <v>Oppose</v>
      </c>
      <c r="AY194" s="31">
        <f t="shared" si="74"/>
        <v>6</v>
      </c>
      <c r="AZ194">
        <f>step3_validation[[#This Row],[AI_TRU4]]</f>
        <v>9</v>
      </c>
      <c r="BA194" t="str">
        <f t="shared" si="75"/>
        <v>Support</v>
      </c>
      <c r="BB194">
        <f>survey_responses[[#This Row],[Tôi thấy Nhà nước đã giải thích rõ ràng, minh bạch về lý do và mục tiêu của việc sửa đổi thuế lần này. - HUMAN-TRU4]]</f>
        <v>5</v>
      </c>
      <c r="BC194" t="str">
        <f t="shared" si="76"/>
        <v>Neutral</v>
      </c>
      <c r="BD194" s="31">
        <f t="shared" si="77"/>
        <v>4</v>
      </c>
      <c r="BE194">
        <f>step3_validation[[#This Row],[AI_OUT1]]</f>
        <v>8</v>
      </c>
      <c r="BF194" t="str">
        <f t="shared" si="78"/>
        <v>Support</v>
      </c>
      <c r="BG194">
        <f>survey_responses[[#This Row],[Sau khi xem xét các quyền lợi và nghĩa vụ, bạn có ủng hộ và tuân thủ chính sách mới hiện nay? - HUMAN-OUT1]]</f>
        <v>5</v>
      </c>
      <c r="BH194" t="str">
        <f t="shared" si="79"/>
        <v>Neutral</v>
      </c>
      <c r="BI194" s="31">
        <f t="shared" si="80"/>
        <v>3</v>
      </c>
    </row>
    <row r="195" spans="1:61" hidden="1" x14ac:dyDescent="0.45">
      <c r="A195" s="29">
        <f>step3_validation[[#This Row],[Persona_ID]]</f>
        <v>194</v>
      </c>
      <c r="B195" s="30">
        <f>step3_validation[[#This Row],[Used_Seed]]</f>
        <v>235</v>
      </c>
      <c r="C195" t="str">
        <f>step3_validation[[#This Row],[Gender]]</f>
        <v>Nữ</v>
      </c>
      <c r="D195" t="str">
        <f>survey_responses[[#This Row],[Giới tính của bạn:]]</f>
        <v>Nữ</v>
      </c>
      <c r="E195" t="str">
        <f>step3_validation[[#This Row],[Age_Group]]</f>
        <v>30 - 39</v>
      </c>
      <c r="F195" t="str">
        <f>survey_responses[[#This Row],[Độ tuổi của bạn:]]</f>
        <v>30 - 39</v>
      </c>
      <c r="G195" t="str">
        <f>step3_validation[[#This Row],[Region]]</f>
        <v>Thành thị</v>
      </c>
      <c r="H195" t="str">
        <f>survey_responses[[#This Row],[Khu vực bạn đang sinh sống:]]</f>
        <v>Thành thị</v>
      </c>
      <c r="I195" t="str">
        <f>step3_validation[[#This Row],[Education]]</f>
        <v>Đại học</v>
      </c>
      <c r="J195" t="str">
        <f>survey_responses[[#This Row],[Trình độ học vấn cao nhất:]]</f>
        <v>Đại học</v>
      </c>
      <c r="K195" t="str">
        <f>step3_validation[[#This Row],[Employment]]</f>
        <v>Chính thức</v>
      </c>
      <c r="L195" t="str">
        <f>survey_responses[[#This Row],[Tình trạng việc làm chính:]]</f>
        <v>Khu vực chính thức (Có Hợp đồng lao động, đóng BHXH)</v>
      </c>
      <c r="M195">
        <f>step3_validation[[#This Row],[Income_Mil]]</f>
        <v>18.082461690557448</v>
      </c>
      <c r="N195" t="str">
        <f>survey_responses[[#This Row],[Thu nhập bình quân tháng theo Hợp đồng lao động của bạn là bao nhiêu? (Vui lòng điền tổng thu nhập trước khi khấu trừ các loại Bảo hiểm (BHXH, BHYT, BHTN) và Thuế TNCN)]]</f>
        <v>Từ 18 - 23 triệu VNĐ</v>
      </c>
      <c r="O195">
        <f>step3_validation[[#This Row],[Dependents]]</f>
        <v>1</v>
      </c>
      <c r="P195" t="str">
        <f>survey_responses[[#This Row],[Số người phụ thuộc (con nhỏ, cha mẹ già...) đủ điều kiện giảm trừ gia cảnh:]]</f>
        <v>1 người</v>
      </c>
      <c r="Q195">
        <f>step3_validation[[#This Row],[AI_ENF1]]</f>
        <v>8</v>
      </c>
      <c r="R195" t="str">
        <f t="shared" ref="R195:R258" si="81">IF(AND(Q195&gt;=1,Q195&lt;5),"Oppose",IF(AND(Q195&gt;=5,Q195&lt;8),"Neutral",IF(AND(Q195&gt;=8,Q195&lt;=10),"Support","")))</f>
        <v>Support</v>
      </c>
      <c r="S195">
        <f>survey_responses[[#This Row],[Tôi tin rằng với các quy định quản lý thuế hiện nay, hành vi gian lận hoặc trốn thuế sẽ dễ dàng bị phát hiện và xử lý nghiêm. - HUMAN-ENF1]]</f>
        <v>10</v>
      </c>
      <c r="T195" t="str">
        <f t="shared" ref="T195:T258" si="82">IF(AND(S195&gt;=1,S195&lt;5),"Oppose",IF(AND(S195&gt;=5,S195&lt;8),"Neutral",IF(AND(S195&gt;=8,S195&lt;=10),"Support","")))</f>
        <v>Support</v>
      </c>
      <c r="U195" s="31">
        <f t="shared" ref="U195:U258" si="83">ABS(S195-Q195)</f>
        <v>2</v>
      </c>
      <c r="V195">
        <f>step3_validation[[#This Row],[AI_ENF2]]</f>
        <v>9</v>
      </c>
      <c r="W195" t="str">
        <f t="shared" ref="W195:W258" si="84">IF(AND(V195&gt;=1,V195&lt;5),"Oppose",IF(AND(V195&gt;=5,V195&lt;8),"Neutral",IF(AND(V195&gt;=8,V195&lt;=10),"Support","")))</f>
        <v>Support</v>
      </c>
      <c r="X195">
        <f>survey_responses[[#This Row],[Tôi tin rằng Nhà nước, cơ quan thuế có đủ khả năng và công nghệ để phát hiện, xử lý nghiêm các hành vi trốn thuế. - HUMAN-ENF2]]</f>
        <v>10</v>
      </c>
      <c r="Y195" t="str">
        <f t="shared" ref="Y195:Y258" si="85">IF(AND(X195&gt;=1,X195&lt;5),"Oppose",IF(AND(X195&gt;=5,X195&lt;8),"Neutral",IF(AND(X195&gt;=8,X195&lt;=10),"Support","")))</f>
        <v>Support</v>
      </c>
      <c r="Z195" s="31">
        <f t="shared" ref="Z195:Z258" si="86">ABS(X195-V195)</f>
        <v>1</v>
      </c>
      <c r="AA195">
        <f>step3_validation[[#This Row],[AI_FAC1]]</f>
        <v>8</v>
      </c>
      <c r="AB195" t="str">
        <f t="shared" ref="AB195:AB258" si="87">IF(AND(AA195&gt;=1,AA195&lt;5),"Oppose",IF(AND(AA195&gt;=5,AA195&lt;8),"Neutral",IF(AND(AA195&gt;=8,AA195&lt;=10),"Support","")))</f>
        <v>Support</v>
      </c>
      <c r="AC195">
        <f>survey_responses[[#This Row],[Các thủ tục khai báo thuế VÀ/HOẶC quy trình làm việc với cơ quan thuế đơn giản, tiện lợi, nhanh chóng hơn so với trước đây. - HUMAN-FAC1]]</f>
        <v>6</v>
      </c>
      <c r="AD195" t="str">
        <f t="shared" ref="AD195:AD258" si="88">IF(AND(AC195&gt;=1,AC195&lt;5),"Oppose",IF(AND(AC195&gt;=5,AC195&lt;8),"Neutral",IF(AND(AC195&gt;=8,AC195&lt;=10),"Support","")))</f>
        <v>Neutral</v>
      </c>
      <c r="AE195" s="31">
        <f t="shared" ref="AE195:AE258" si="89">ABS(AC195-AA195)</f>
        <v>2</v>
      </c>
      <c r="AF195">
        <f>step3_validation[[#This Row],[AI_FAC2]]</f>
        <v>9</v>
      </c>
      <c r="AG195" t="str">
        <f t="shared" ref="AG195:AG258" si="90">IF(AND(AF195&gt;=1,AF195&lt;5),"Oppose",IF(AND(AF195&gt;=5,AF195&lt;8),"Neutral",IF(AND(AF195&gt;=8,AF195&lt;=10),"Support","")))</f>
        <v>Support</v>
      </c>
      <c r="AH195">
        <f>survey_responses[[#This Row],[So với trước đây, tôi thấy cách tính thuế và các bậc thuế trong phương án mới đơn giản, dễ hiểu và dễ thực hiện hơn. - HUMAN-FAC2]]</f>
        <v>4</v>
      </c>
      <c r="AI195" t="str">
        <f t="shared" ref="AI195:AI258" si="91">IF(AND(AH195&gt;=1,AH195&lt;5),"Oppose",IF(AND(AH195&gt;=5,AH195&lt;8),"Neutral",IF(AND(AH195&gt;=8,AH195&lt;=10),"Support","")))</f>
        <v>Oppose</v>
      </c>
      <c r="AJ195" s="31">
        <f t="shared" ref="AJ195:AJ258" si="92">ABS(AH195-AF195)</f>
        <v>5</v>
      </c>
      <c r="AK195">
        <f>step3_validation[[#This Row],[AI_TRU1]]</f>
        <v>8</v>
      </c>
      <c r="AL195" t="str">
        <f t="shared" ref="AL195:AL258" si="93">IF(AND(AK195&gt;=1,AK195&lt;5),"Oppose",IF(AND(AK195&gt;=5,AK195&lt;8),"Neutral",IF(AND(AK195&gt;=8,AK195&lt;=10),"Support","")))</f>
        <v>Support</v>
      </c>
      <c r="AM195">
        <f>survey_responses[[#This Row],[Tôi tin rằng Nhà nước, cơ quan thuế sẽ thực thi chính sách mới một cách khách quan, công tâm và đối xử bình đẳng với mọi người nộp thuế.  - HUMAN-TRU1]]</f>
        <v>8</v>
      </c>
      <c r="AN195" t="str">
        <f t="shared" ref="AN195:AN258" si="94">IF(AND(AM195&gt;=1,AM195&lt;5),"Oppose",IF(AND(AM195&gt;=5,AM195&lt;8),"Neutral",IF(AND(AM195&gt;=8,AM195&lt;=10),"Support","")))</f>
        <v>Support</v>
      </c>
      <c r="AO195" s="31">
        <f t="shared" ref="AO195:AO258" si="95">ABS(AM195-AK195)</f>
        <v>0</v>
      </c>
      <c r="AP195">
        <f>step3_validation[[#This Row],[AI_TRU2]]</f>
        <v>9</v>
      </c>
      <c r="AQ195" t="str">
        <f t="shared" ref="AQ195:AQ258" si="96">IF(AND(AP195&gt;=1,AP195&lt;5),"Oppose",IF(AND(AP195&gt;=5,AP195&lt;8),"Neutral",IF(AND(AP195&gt;=8,AP195&lt;=10),"Support","")))</f>
        <v>Support</v>
      </c>
      <c r="AR195">
        <f>survey_responses[[#This Row],[Tôi thấy mức thuế tôi phải đóng theo phương án mới là công bằng (người thu nhập như tôi đóng mức này là hợp lý). - HUMAN-TRU2]]</f>
        <v>3</v>
      </c>
      <c r="AS195" t="str">
        <f t="shared" ref="AS195:AS258" si="97">IF(AND(AR195&gt;=1,AR195&lt;5),"Oppose",IF(AND(AR195&gt;=5,AR195&lt;8),"Neutral",IF(AND(AR195&gt;=8,AR195&lt;=10),"Support","")))</f>
        <v>Oppose</v>
      </c>
      <c r="AT195" s="31">
        <f t="shared" ref="AT195:AT258" si="98">ABS(AR195-AP195)</f>
        <v>6</v>
      </c>
      <c r="AU195">
        <f>step3_validation[[#This Row],[AI_TRU3]]</f>
        <v>8</v>
      </c>
      <c r="AV195" t="str">
        <f t="shared" ref="AV195:AV258" si="99">IF(AND(AU195&gt;=1,AU195&lt;5),"Oppose",IF(AND(AU195&gt;=5,AU195&lt;8),"Neutral",IF(AND(AU195&gt;=8,AU195&lt;=10),"Support","")))</f>
        <v>Support</v>
      </c>
      <c r="AW195">
        <f>survey_responses[[#This Row],[Tôi tin tưởng số tiền thuế tôi đóng sẽ được Nhà nước sử dụng hiệu quả để cải thiện dịch vụ công (y tế, đường xá...). - HUMAN-TRU3]]</f>
        <v>10</v>
      </c>
      <c r="AX195" t="str">
        <f t="shared" ref="AX195:AX258" si="100">IF(AND(AW195&gt;=1,AW195&lt;5),"Oppose",IF(AND(AW195&gt;=5,AW195&lt;8),"Neutral",IF(AND(AW195&gt;=8,AW195&lt;=10),"Support","")))</f>
        <v>Support</v>
      </c>
      <c r="AY195" s="31">
        <f t="shared" ref="AY195:AY258" si="101">ABS(AW195-AU195)</f>
        <v>2</v>
      </c>
      <c r="AZ195">
        <f>step3_validation[[#This Row],[AI_TRU4]]</f>
        <v>9</v>
      </c>
      <c r="BA195" t="str">
        <f t="shared" ref="BA195:BA258" si="102">IF(AND(AZ195&gt;=1,AZ195&lt;5),"Oppose",IF(AND(AZ195&gt;=5,AZ195&lt;8),"Neutral",IF(AND(AZ195&gt;=8,AZ195&lt;=10),"Support","")))</f>
        <v>Support</v>
      </c>
      <c r="BB195">
        <f>survey_responses[[#This Row],[Tôi thấy Nhà nước đã giải thích rõ ràng, minh bạch về lý do và mục tiêu của việc sửa đổi thuế lần này. - HUMAN-TRU4]]</f>
        <v>10</v>
      </c>
      <c r="BC195" t="str">
        <f t="shared" ref="BC195:BC258" si="103">IF(AND(BB195&gt;=1,BB195&lt;5),"Oppose",IF(AND(BB195&gt;=5,BB195&lt;8),"Neutral",IF(AND(BB195&gt;=8,BB195&lt;=10),"Support","")))</f>
        <v>Support</v>
      </c>
      <c r="BD195" s="31">
        <f t="shared" ref="BD195:BD258" si="104">ABS(BB195-AZ195)</f>
        <v>1</v>
      </c>
      <c r="BE195">
        <f>step3_validation[[#This Row],[AI_OUT1]]</f>
        <v>9</v>
      </c>
      <c r="BF195" t="str">
        <f t="shared" ref="BF195:BF258" si="105">IF(AND(BE195&gt;=1,BE195&lt;5),"Oppose",IF(AND(BE195&gt;=5,BE195&lt;8),"Neutral",IF(AND(BE195&gt;=8,BE195&lt;=10),"Support","")))</f>
        <v>Support</v>
      </c>
      <c r="BG195">
        <f>survey_responses[[#This Row],[Sau khi xem xét các quyền lợi và nghĩa vụ, bạn có ủng hộ và tuân thủ chính sách mới hiện nay? - HUMAN-OUT1]]</f>
        <v>10</v>
      </c>
      <c r="BH195" t="str">
        <f t="shared" ref="BH195:BH258" si="106">IF(AND(BG195&gt;=1,BG195&lt;5),"Oppose",IF(AND(BG195&gt;=5,BG195&lt;8),"Neutral",IF(AND(BG195&gt;=8,BG195&lt;=10),"Support","")))</f>
        <v>Support</v>
      </c>
      <c r="BI195" s="31">
        <f t="shared" ref="BI195:BI258" si="107">ABS(BG195-BE195)</f>
        <v>1</v>
      </c>
    </row>
    <row r="196" spans="1:61" hidden="1" x14ac:dyDescent="0.45">
      <c r="A196" s="29">
        <f>step3_validation[[#This Row],[Persona_ID]]</f>
        <v>195</v>
      </c>
      <c r="B196" s="30">
        <f>step3_validation[[#This Row],[Used_Seed]]</f>
        <v>236</v>
      </c>
      <c r="C196" t="str">
        <f>step3_validation[[#This Row],[Gender]]</f>
        <v>Nữ</v>
      </c>
      <c r="D196" t="str">
        <f>survey_responses[[#This Row],[Giới tính của bạn:]]</f>
        <v>Nữ</v>
      </c>
      <c r="E196" t="str">
        <f>step3_validation[[#This Row],[Age_Group]]</f>
        <v>25 - 29</v>
      </c>
      <c r="F196" t="str">
        <f>survey_responses[[#This Row],[Độ tuổi của bạn:]]</f>
        <v>25 - 29</v>
      </c>
      <c r="G196" t="str">
        <f>step3_validation[[#This Row],[Region]]</f>
        <v>Thành thị</v>
      </c>
      <c r="H196" t="str">
        <f>survey_responses[[#This Row],[Khu vực bạn đang sinh sống:]]</f>
        <v>Thành thị</v>
      </c>
      <c r="I196" t="str">
        <f>step3_validation[[#This Row],[Education]]</f>
        <v>Đại học</v>
      </c>
      <c r="J196" t="str">
        <f>survey_responses[[#This Row],[Trình độ học vấn cao nhất:]]</f>
        <v>Đại học</v>
      </c>
      <c r="K196" t="str">
        <f>step3_validation[[#This Row],[Employment]]</f>
        <v>Chính thức</v>
      </c>
      <c r="L196" t="str">
        <f>survey_responses[[#This Row],[Tình trạng việc làm chính:]]</f>
        <v>Khu vực chính thức (Có Hợp đồng lao động, đóng BHXH)</v>
      </c>
      <c r="M196">
        <f>step3_validation[[#This Row],[Income_Mil]]</f>
        <v>14.025094621683548</v>
      </c>
      <c r="N196" t="str">
        <f>survey_responses[[#This Row],[Thu nhập bình quân tháng theo Hợp đồng lao động của bạn là bao nhiêu? (Vui lòng điền tổng thu nhập trước khi khấu trừ các loại Bảo hiểm (BHXH, BHYT, BHTN) và Thuế TNCN)]]</f>
        <v>Từ 12 - 18 triệu VNĐ</v>
      </c>
      <c r="O196">
        <f>step3_validation[[#This Row],[Dependents]]</f>
        <v>1</v>
      </c>
      <c r="P196" t="str">
        <f>survey_responses[[#This Row],[Số người phụ thuộc (con nhỏ, cha mẹ già...) đủ điều kiện giảm trừ gia cảnh:]]</f>
        <v>1 người</v>
      </c>
      <c r="Q196">
        <f>step3_validation[[#This Row],[AI_ENF1]]</f>
        <v>4</v>
      </c>
      <c r="R196" t="str">
        <f t="shared" si="81"/>
        <v>Oppose</v>
      </c>
      <c r="S196">
        <f>survey_responses[[#This Row],[Tôi tin rằng với các quy định quản lý thuế hiện nay, hành vi gian lận hoặc trốn thuế sẽ dễ dàng bị phát hiện và xử lý nghiêm. - HUMAN-ENF1]]</f>
        <v>9</v>
      </c>
      <c r="T196" t="str">
        <f t="shared" si="82"/>
        <v>Support</v>
      </c>
      <c r="U196" s="31">
        <f t="shared" si="83"/>
        <v>5</v>
      </c>
      <c r="V196">
        <f>step3_validation[[#This Row],[AI_ENF2]]</f>
        <v>5</v>
      </c>
      <c r="W196" t="str">
        <f t="shared" si="84"/>
        <v>Neutral</v>
      </c>
      <c r="X196">
        <f>survey_responses[[#This Row],[Tôi tin rằng Nhà nước, cơ quan thuế có đủ khả năng và công nghệ để phát hiện, xử lý nghiêm các hành vi trốn thuế. - HUMAN-ENF2]]</f>
        <v>9</v>
      </c>
      <c r="Y196" t="str">
        <f t="shared" si="85"/>
        <v>Support</v>
      </c>
      <c r="Z196" s="31">
        <f t="shared" si="86"/>
        <v>4</v>
      </c>
      <c r="AA196">
        <f>step3_validation[[#This Row],[AI_FAC1]]</f>
        <v>9</v>
      </c>
      <c r="AB196" t="str">
        <f t="shared" si="87"/>
        <v>Support</v>
      </c>
      <c r="AC196">
        <f>survey_responses[[#This Row],[Các thủ tục khai báo thuế VÀ/HOẶC quy trình làm việc với cơ quan thuế đơn giản, tiện lợi, nhanh chóng hơn so với trước đây. - HUMAN-FAC1]]</f>
        <v>5</v>
      </c>
      <c r="AD196" t="str">
        <f t="shared" si="88"/>
        <v>Neutral</v>
      </c>
      <c r="AE196" s="31">
        <f t="shared" si="89"/>
        <v>4</v>
      </c>
      <c r="AF196">
        <f>step3_validation[[#This Row],[AI_FAC2]]</f>
        <v>8</v>
      </c>
      <c r="AG196" t="str">
        <f t="shared" si="90"/>
        <v>Support</v>
      </c>
      <c r="AH196">
        <f>survey_responses[[#This Row],[So với trước đây, tôi thấy cách tính thuế và các bậc thuế trong phương án mới đơn giản, dễ hiểu và dễ thực hiện hơn. - HUMAN-FAC2]]</f>
        <v>5</v>
      </c>
      <c r="AI196" t="str">
        <f t="shared" si="91"/>
        <v>Neutral</v>
      </c>
      <c r="AJ196" s="31">
        <f t="shared" si="92"/>
        <v>3</v>
      </c>
      <c r="AK196">
        <f>step3_validation[[#This Row],[AI_TRU1]]</f>
        <v>7</v>
      </c>
      <c r="AL196" t="str">
        <f t="shared" si="93"/>
        <v>Neutral</v>
      </c>
      <c r="AM196">
        <f>survey_responses[[#This Row],[Tôi tin rằng Nhà nước, cơ quan thuế sẽ thực thi chính sách mới một cách khách quan, công tâm và đối xử bình đẳng với mọi người nộp thuế.  - HUMAN-TRU1]]</f>
        <v>7</v>
      </c>
      <c r="AN196" t="str">
        <f t="shared" si="94"/>
        <v>Neutral</v>
      </c>
      <c r="AO196" s="31">
        <f t="shared" si="95"/>
        <v>0</v>
      </c>
      <c r="AP196">
        <f>step3_validation[[#This Row],[AI_TRU2]]</f>
        <v>9</v>
      </c>
      <c r="AQ196" t="str">
        <f t="shared" si="96"/>
        <v>Support</v>
      </c>
      <c r="AR196">
        <f>survey_responses[[#This Row],[Tôi thấy mức thuế tôi phải đóng theo phương án mới là công bằng (người thu nhập như tôi đóng mức này là hợp lý). - HUMAN-TRU2]]</f>
        <v>7</v>
      </c>
      <c r="AS196" t="str">
        <f t="shared" si="97"/>
        <v>Neutral</v>
      </c>
      <c r="AT196" s="31">
        <f t="shared" si="98"/>
        <v>2</v>
      </c>
      <c r="AU196">
        <f>step3_validation[[#This Row],[AI_TRU3]]</f>
        <v>6</v>
      </c>
      <c r="AV196" t="str">
        <f t="shared" si="99"/>
        <v>Neutral</v>
      </c>
      <c r="AW196">
        <f>survey_responses[[#This Row],[Tôi tin tưởng số tiền thuế tôi đóng sẽ được Nhà nước sử dụng hiệu quả để cải thiện dịch vụ công (y tế, đường xá...). - HUMAN-TRU3]]</f>
        <v>8</v>
      </c>
      <c r="AX196" t="str">
        <f t="shared" si="100"/>
        <v>Support</v>
      </c>
      <c r="AY196" s="31">
        <f t="shared" si="101"/>
        <v>2</v>
      </c>
      <c r="AZ196">
        <f>step3_validation[[#This Row],[AI_TRU4]]</f>
        <v>8</v>
      </c>
      <c r="BA196" t="str">
        <f t="shared" si="102"/>
        <v>Support</v>
      </c>
      <c r="BB196">
        <f>survey_responses[[#This Row],[Tôi thấy Nhà nước đã giải thích rõ ràng, minh bạch về lý do và mục tiêu của việc sửa đổi thuế lần này. - HUMAN-TRU4]]</f>
        <v>8</v>
      </c>
      <c r="BC196" t="str">
        <f t="shared" si="103"/>
        <v>Support</v>
      </c>
      <c r="BD196" s="31">
        <f t="shared" si="104"/>
        <v>0</v>
      </c>
      <c r="BE196">
        <f>step3_validation[[#This Row],[AI_OUT1]]</f>
        <v>9</v>
      </c>
      <c r="BF196" t="str">
        <f t="shared" si="105"/>
        <v>Support</v>
      </c>
      <c r="BG196">
        <f>survey_responses[[#This Row],[Sau khi xem xét các quyền lợi và nghĩa vụ, bạn có ủng hộ và tuân thủ chính sách mới hiện nay? - HUMAN-OUT1]]</f>
        <v>8</v>
      </c>
      <c r="BH196" t="str">
        <f t="shared" si="106"/>
        <v>Support</v>
      </c>
      <c r="BI196" s="31">
        <f t="shared" si="107"/>
        <v>1</v>
      </c>
    </row>
    <row r="197" spans="1:61" hidden="1" x14ac:dyDescent="0.45">
      <c r="A197" s="29">
        <f>step3_validation[[#This Row],[Persona_ID]]</f>
        <v>196</v>
      </c>
      <c r="B197" s="30">
        <f>step3_validation[[#This Row],[Used_Seed]]</f>
        <v>237</v>
      </c>
      <c r="C197" t="str">
        <f>step3_validation[[#This Row],[Gender]]</f>
        <v>Nam</v>
      </c>
      <c r="D197" t="str">
        <f>survey_responses[[#This Row],[Giới tính của bạn:]]</f>
        <v>Nam</v>
      </c>
      <c r="E197" t="str">
        <f>step3_validation[[#This Row],[Age_Group]]</f>
        <v>40 - 49</v>
      </c>
      <c r="F197" t="str">
        <f>survey_responses[[#This Row],[Độ tuổi của bạn:]]</f>
        <v>40 - 49</v>
      </c>
      <c r="G197" t="str">
        <f>step3_validation[[#This Row],[Region]]</f>
        <v>Thành thị</v>
      </c>
      <c r="H197" t="str">
        <f>survey_responses[[#This Row],[Khu vực bạn đang sinh sống:]]</f>
        <v>Thành thị</v>
      </c>
      <c r="I197" t="str">
        <f>step3_validation[[#This Row],[Education]]</f>
        <v>Đại học</v>
      </c>
      <c r="J197" t="str">
        <f>survey_responses[[#This Row],[Trình độ học vấn cao nhất:]]</f>
        <v>Đại học</v>
      </c>
      <c r="K197" t="str">
        <f>step3_validation[[#This Row],[Employment]]</f>
        <v>Chính thức</v>
      </c>
      <c r="L197" t="str">
        <f>survey_responses[[#This Row],[Tình trạng việc làm chính:]]</f>
        <v>Khu vực chính thức (Có Hợp đồng lao động, đóng BHXH)</v>
      </c>
      <c r="M197">
        <f>step3_validation[[#This Row],[Income_Mil]]</f>
        <v>16.550863679909991</v>
      </c>
      <c r="N197" t="str">
        <f>survey_responses[[#This Row],[Thu nhập bình quân tháng theo Hợp đồng lao động của bạn là bao nhiêu? (Vui lòng điền tổng thu nhập trước khi khấu trừ các loại Bảo hiểm (BHXH, BHYT, BHTN) và Thuế TNCN)]]</f>
        <v>Từ 12 - 18 triệu VNĐ</v>
      </c>
      <c r="O197">
        <f>step3_validation[[#This Row],[Dependents]]</f>
        <v>2</v>
      </c>
      <c r="P197" t="str">
        <f>survey_responses[[#This Row],[Số người phụ thuộc (con nhỏ, cha mẹ già...) đủ điều kiện giảm trừ gia cảnh:]]</f>
        <v>2 người</v>
      </c>
      <c r="Q197">
        <f>step3_validation[[#This Row],[AI_ENF1]]</f>
        <v>7</v>
      </c>
      <c r="R197" t="str">
        <f t="shared" si="81"/>
        <v>Neutral</v>
      </c>
      <c r="S197">
        <f>survey_responses[[#This Row],[Tôi tin rằng với các quy định quản lý thuế hiện nay, hành vi gian lận hoặc trốn thuế sẽ dễ dàng bị phát hiện và xử lý nghiêm. - HUMAN-ENF1]]</f>
        <v>9</v>
      </c>
      <c r="T197" t="str">
        <f t="shared" si="82"/>
        <v>Support</v>
      </c>
      <c r="U197" s="31">
        <f t="shared" si="83"/>
        <v>2</v>
      </c>
      <c r="V197">
        <f>step3_validation[[#This Row],[AI_ENF2]]</f>
        <v>6</v>
      </c>
      <c r="W197" t="str">
        <f t="shared" si="84"/>
        <v>Neutral</v>
      </c>
      <c r="X197">
        <f>survey_responses[[#This Row],[Tôi tin rằng Nhà nước, cơ quan thuế có đủ khả năng và công nghệ để phát hiện, xử lý nghiêm các hành vi trốn thuế. - HUMAN-ENF2]]</f>
        <v>9</v>
      </c>
      <c r="Y197" t="str">
        <f t="shared" si="85"/>
        <v>Support</v>
      </c>
      <c r="Z197" s="31">
        <f t="shared" si="86"/>
        <v>3</v>
      </c>
      <c r="AA197">
        <f>step3_validation[[#This Row],[AI_FAC1]]</f>
        <v>8</v>
      </c>
      <c r="AB197" t="str">
        <f t="shared" si="87"/>
        <v>Support</v>
      </c>
      <c r="AC197">
        <f>survey_responses[[#This Row],[Các thủ tục khai báo thuế VÀ/HOẶC quy trình làm việc với cơ quan thuế đơn giản, tiện lợi, nhanh chóng hơn so với trước đây. - HUMAN-FAC1]]</f>
        <v>9</v>
      </c>
      <c r="AD197" t="str">
        <f t="shared" si="88"/>
        <v>Support</v>
      </c>
      <c r="AE197" s="31">
        <f t="shared" si="89"/>
        <v>1</v>
      </c>
      <c r="AF197">
        <f>step3_validation[[#This Row],[AI_FAC2]]</f>
        <v>9</v>
      </c>
      <c r="AG197" t="str">
        <f t="shared" si="90"/>
        <v>Support</v>
      </c>
      <c r="AH197">
        <f>survey_responses[[#This Row],[So với trước đây, tôi thấy cách tính thuế và các bậc thuế trong phương án mới đơn giản, dễ hiểu và dễ thực hiện hơn. - HUMAN-FAC2]]</f>
        <v>9</v>
      </c>
      <c r="AI197" t="str">
        <f t="shared" si="91"/>
        <v>Support</v>
      </c>
      <c r="AJ197" s="31">
        <f t="shared" si="92"/>
        <v>0</v>
      </c>
      <c r="AK197">
        <f>step3_validation[[#This Row],[AI_TRU1]]</f>
        <v>8</v>
      </c>
      <c r="AL197" t="str">
        <f t="shared" si="93"/>
        <v>Support</v>
      </c>
      <c r="AM197">
        <f>survey_responses[[#This Row],[Tôi tin rằng Nhà nước, cơ quan thuế sẽ thực thi chính sách mới một cách khách quan, công tâm và đối xử bình đẳng với mọi người nộp thuế.  - HUMAN-TRU1]]</f>
        <v>9</v>
      </c>
      <c r="AN197" t="str">
        <f t="shared" si="94"/>
        <v>Support</v>
      </c>
      <c r="AO197" s="31">
        <f t="shared" si="95"/>
        <v>1</v>
      </c>
      <c r="AP197">
        <f>step3_validation[[#This Row],[AI_TRU2]]</f>
        <v>9</v>
      </c>
      <c r="AQ197" t="str">
        <f t="shared" si="96"/>
        <v>Support</v>
      </c>
      <c r="AR197">
        <f>survey_responses[[#This Row],[Tôi thấy mức thuế tôi phải đóng theo phương án mới là công bằng (người thu nhập như tôi đóng mức này là hợp lý). - HUMAN-TRU2]]</f>
        <v>9</v>
      </c>
      <c r="AS197" t="str">
        <f t="shared" si="97"/>
        <v>Support</v>
      </c>
      <c r="AT197" s="31">
        <f t="shared" si="98"/>
        <v>0</v>
      </c>
      <c r="AU197">
        <f>step3_validation[[#This Row],[AI_TRU3]]</f>
        <v>8</v>
      </c>
      <c r="AV197" t="str">
        <f t="shared" si="99"/>
        <v>Support</v>
      </c>
      <c r="AW197">
        <f>survey_responses[[#This Row],[Tôi tin tưởng số tiền thuế tôi đóng sẽ được Nhà nước sử dụng hiệu quả để cải thiện dịch vụ công (y tế, đường xá...). - HUMAN-TRU3]]</f>
        <v>9</v>
      </c>
      <c r="AX197" t="str">
        <f t="shared" si="100"/>
        <v>Support</v>
      </c>
      <c r="AY197" s="31">
        <f t="shared" si="101"/>
        <v>1</v>
      </c>
      <c r="AZ197">
        <f>step3_validation[[#This Row],[AI_TRU4]]</f>
        <v>9</v>
      </c>
      <c r="BA197" t="str">
        <f t="shared" si="102"/>
        <v>Support</v>
      </c>
      <c r="BB197">
        <f>survey_responses[[#This Row],[Tôi thấy Nhà nước đã giải thích rõ ràng, minh bạch về lý do và mục tiêu của việc sửa đổi thuế lần này. - HUMAN-TRU4]]</f>
        <v>9</v>
      </c>
      <c r="BC197" t="str">
        <f t="shared" si="103"/>
        <v>Support</v>
      </c>
      <c r="BD197" s="31">
        <f t="shared" si="104"/>
        <v>0</v>
      </c>
      <c r="BE197">
        <f>step3_validation[[#This Row],[AI_OUT1]]</f>
        <v>9</v>
      </c>
      <c r="BF197" t="str">
        <f t="shared" si="105"/>
        <v>Support</v>
      </c>
      <c r="BG197">
        <f>survey_responses[[#This Row],[Sau khi xem xét các quyền lợi và nghĩa vụ, bạn có ủng hộ và tuân thủ chính sách mới hiện nay? - HUMAN-OUT1]]</f>
        <v>9</v>
      </c>
      <c r="BH197" t="str">
        <f t="shared" si="106"/>
        <v>Support</v>
      </c>
      <c r="BI197" s="31">
        <f t="shared" si="107"/>
        <v>0</v>
      </c>
    </row>
    <row r="198" spans="1:61" hidden="1" x14ac:dyDescent="0.45">
      <c r="A198" s="29">
        <f>step3_validation[[#This Row],[Persona_ID]]</f>
        <v>197</v>
      </c>
      <c r="B198" s="30">
        <f>step3_validation[[#This Row],[Used_Seed]]</f>
        <v>238</v>
      </c>
      <c r="C198" t="str">
        <f>step3_validation[[#This Row],[Gender]]</f>
        <v>Nữ</v>
      </c>
      <c r="D198" t="str">
        <f>survey_responses[[#This Row],[Giới tính của bạn:]]</f>
        <v>Nữ</v>
      </c>
      <c r="E198" t="str">
        <f>step3_validation[[#This Row],[Age_Group]]</f>
        <v>40 - 49</v>
      </c>
      <c r="F198" t="str">
        <f>survey_responses[[#This Row],[Độ tuổi của bạn:]]</f>
        <v>40 - 49</v>
      </c>
      <c r="G198" t="str">
        <f>step3_validation[[#This Row],[Region]]</f>
        <v>Thành thị</v>
      </c>
      <c r="H198" t="str">
        <f>survey_responses[[#This Row],[Khu vực bạn đang sinh sống:]]</f>
        <v>Thành thị</v>
      </c>
      <c r="I198" t="str">
        <f>step3_validation[[#This Row],[Education]]</f>
        <v>Sau Đại học</v>
      </c>
      <c r="J198" t="str">
        <f>survey_responses[[#This Row],[Trình độ học vấn cao nhất:]]</f>
        <v>Sau Đại học</v>
      </c>
      <c r="K198" t="str">
        <f>step3_validation[[#This Row],[Employment]]</f>
        <v>Chính thức</v>
      </c>
      <c r="L198" t="str">
        <f>survey_responses[[#This Row],[Tình trạng việc làm chính:]]</f>
        <v>Khu vực chính thức (Có Hợp đồng lao động, đóng BHXH)</v>
      </c>
      <c r="M198">
        <f>step3_validation[[#This Row],[Income_Mil]]</f>
        <v>13.432072342390809</v>
      </c>
      <c r="N198" t="str">
        <f>survey_responses[[#This Row],[Thu nhập bình quân tháng theo Hợp đồng lao động của bạn là bao nhiêu? (Vui lòng điền tổng thu nhập trước khi khấu trừ các loại Bảo hiểm (BHXH, BHYT, BHTN) và Thuế TNCN)]]</f>
        <v>Từ 12 - 18 triệu VNĐ</v>
      </c>
      <c r="O198">
        <f>step3_validation[[#This Row],[Dependents]]</f>
        <v>3</v>
      </c>
      <c r="P198" t="str">
        <f>survey_responses[[#This Row],[Số người phụ thuộc (con nhỏ, cha mẹ già...) đủ điều kiện giảm trừ gia cảnh:]]</f>
        <v>3 người</v>
      </c>
      <c r="Q198">
        <f>step3_validation[[#This Row],[AI_ENF1]]</f>
        <v>9</v>
      </c>
      <c r="R198" t="str">
        <f t="shared" si="81"/>
        <v>Support</v>
      </c>
      <c r="S198">
        <f>survey_responses[[#This Row],[Tôi tin rằng với các quy định quản lý thuế hiện nay, hành vi gian lận hoặc trốn thuế sẽ dễ dàng bị phát hiện và xử lý nghiêm. - HUMAN-ENF1]]</f>
        <v>9</v>
      </c>
      <c r="T198" t="str">
        <f t="shared" si="82"/>
        <v>Support</v>
      </c>
      <c r="U198" s="31">
        <f t="shared" si="83"/>
        <v>0</v>
      </c>
      <c r="V198">
        <f>step3_validation[[#This Row],[AI_ENF2]]</f>
        <v>8</v>
      </c>
      <c r="W198" t="str">
        <f t="shared" si="84"/>
        <v>Support</v>
      </c>
      <c r="X198">
        <f>survey_responses[[#This Row],[Tôi tin rằng Nhà nước, cơ quan thuế có đủ khả năng và công nghệ để phát hiện, xử lý nghiêm các hành vi trốn thuế. - HUMAN-ENF2]]</f>
        <v>10</v>
      </c>
      <c r="Y198" t="str">
        <f t="shared" si="85"/>
        <v>Support</v>
      </c>
      <c r="Z198" s="31">
        <f t="shared" si="86"/>
        <v>2</v>
      </c>
      <c r="AA198">
        <f>step3_validation[[#This Row],[AI_FAC1]]</f>
        <v>9</v>
      </c>
      <c r="AB198" t="str">
        <f t="shared" si="87"/>
        <v>Support</v>
      </c>
      <c r="AC198">
        <f>survey_responses[[#This Row],[Các thủ tục khai báo thuế VÀ/HOẶC quy trình làm việc với cơ quan thuế đơn giản, tiện lợi, nhanh chóng hơn so với trước đây. - HUMAN-FAC1]]</f>
        <v>10</v>
      </c>
      <c r="AD198" t="str">
        <f t="shared" si="88"/>
        <v>Support</v>
      </c>
      <c r="AE198" s="31">
        <f t="shared" si="89"/>
        <v>1</v>
      </c>
      <c r="AF198">
        <f>step3_validation[[#This Row],[AI_FAC2]]</f>
        <v>9</v>
      </c>
      <c r="AG198" t="str">
        <f t="shared" si="90"/>
        <v>Support</v>
      </c>
      <c r="AH198">
        <f>survey_responses[[#This Row],[So với trước đây, tôi thấy cách tính thuế và các bậc thuế trong phương án mới đơn giản, dễ hiểu và dễ thực hiện hơn. - HUMAN-FAC2]]</f>
        <v>9</v>
      </c>
      <c r="AI198" t="str">
        <f t="shared" si="91"/>
        <v>Support</v>
      </c>
      <c r="AJ198" s="31">
        <f t="shared" si="92"/>
        <v>0</v>
      </c>
      <c r="AK198">
        <f>step3_validation[[#This Row],[AI_TRU1]]</f>
        <v>8</v>
      </c>
      <c r="AL198" t="str">
        <f t="shared" si="93"/>
        <v>Support</v>
      </c>
      <c r="AM198">
        <f>survey_responses[[#This Row],[Tôi tin rằng Nhà nước, cơ quan thuế sẽ thực thi chính sách mới một cách khách quan, công tâm và đối xử bình đẳng với mọi người nộp thuế.  - HUMAN-TRU1]]</f>
        <v>10</v>
      </c>
      <c r="AN198" t="str">
        <f t="shared" si="94"/>
        <v>Support</v>
      </c>
      <c r="AO198" s="31">
        <f t="shared" si="95"/>
        <v>2</v>
      </c>
      <c r="AP198">
        <f>step3_validation[[#This Row],[AI_TRU2]]</f>
        <v>9</v>
      </c>
      <c r="AQ198" t="str">
        <f t="shared" si="96"/>
        <v>Support</v>
      </c>
      <c r="AR198">
        <f>survey_responses[[#This Row],[Tôi thấy mức thuế tôi phải đóng theo phương án mới là công bằng (người thu nhập như tôi đóng mức này là hợp lý). - HUMAN-TRU2]]</f>
        <v>10</v>
      </c>
      <c r="AS198" t="str">
        <f t="shared" si="97"/>
        <v>Support</v>
      </c>
      <c r="AT198" s="31">
        <f t="shared" si="98"/>
        <v>1</v>
      </c>
      <c r="AU198">
        <f>step3_validation[[#This Row],[AI_TRU3]]</f>
        <v>8</v>
      </c>
      <c r="AV198" t="str">
        <f t="shared" si="99"/>
        <v>Support</v>
      </c>
      <c r="AW198">
        <f>survey_responses[[#This Row],[Tôi tin tưởng số tiền thuế tôi đóng sẽ được Nhà nước sử dụng hiệu quả để cải thiện dịch vụ công (y tế, đường xá...). - HUMAN-TRU3]]</f>
        <v>10</v>
      </c>
      <c r="AX198" t="str">
        <f t="shared" si="100"/>
        <v>Support</v>
      </c>
      <c r="AY198" s="31">
        <f t="shared" si="101"/>
        <v>2</v>
      </c>
      <c r="AZ198">
        <f>step3_validation[[#This Row],[AI_TRU4]]</f>
        <v>9</v>
      </c>
      <c r="BA198" t="str">
        <f t="shared" si="102"/>
        <v>Support</v>
      </c>
      <c r="BB198">
        <f>survey_responses[[#This Row],[Tôi thấy Nhà nước đã giải thích rõ ràng, minh bạch về lý do và mục tiêu của việc sửa đổi thuế lần này. - HUMAN-TRU4]]</f>
        <v>9</v>
      </c>
      <c r="BC198" t="str">
        <f t="shared" si="103"/>
        <v>Support</v>
      </c>
      <c r="BD198" s="31">
        <f t="shared" si="104"/>
        <v>0</v>
      </c>
      <c r="BE198">
        <f>step3_validation[[#This Row],[AI_OUT1]]</f>
        <v>9</v>
      </c>
      <c r="BF198" t="str">
        <f t="shared" si="105"/>
        <v>Support</v>
      </c>
      <c r="BG198">
        <f>survey_responses[[#This Row],[Sau khi xem xét các quyền lợi và nghĩa vụ, bạn có ủng hộ và tuân thủ chính sách mới hiện nay? - HUMAN-OUT1]]</f>
        <v>10</v>
      </c>
      <c r="BH198" t="str">
        <f t="shared" si="106"/>
        <v>Support</v>
      </c>
      <c r="BI198" s="31">
        <f t="shared" si="107"/>
        <v>1</v>
      </c>
    </row>
    <row r="199" spans="1:61" hidden="1" x14ac:dyDescent="0.45">
      <c r="A199" s="29">
        <f>step3_validation[[#This Row],[Persona_ID]]</f>
        <v>198</v>
      </c>
      <c r="B199" s="30">
        <f>step3_validation[[#This Row],[Used_Seed]]</f>
        <v>239</v>
      </c>
      <c r="C199" t="str">
        <f>step3_validation[[#This Row],[Gender]]</f>
        <v>Nữ</v>
      </c>
      <c r="D199" t="str">
        <f>survey_responses[[#This Row],[Giới tính của bạn:]]</f>
        <v>Nữ</v>
      </c>
      <c r="E199" t="str">
        <f>step3_validation[[#This Row],[Age_Group]]</f>
        <v>40 - 49</v>
      </c>
      <c r="F199" t="str">
        <f>survey_responses[[#This Row],[Độ tuổi của bạn:]]</f>
        <v>40 - 49</v>
      </c>
      <c r="G199" t="str">
        <f>step3_validation[[#This Row],[Region]]</f>
        <v>Thành thị</v>
      </c>
      <c r="H199" t="str">
        <f>survey_responses[[#This Row],[Khu vực bạn đang sinh sống:]]</f>
        <v>Thành thị</v>
      </c>
      <c r="I199" t="str">
        <f>step3_validation[[#This Row],[Education]]</f>
        <v>Sau Đại học</v>
      </c>
      <c r="J199" t="str">
        <f>survey_responses[[#This Row],[Trình độ học vấn cao nhất:]]</f>
        <v>Sau Đại học</v>
      </c>
      <c r="K199" t="str">
        <f>step3_validation[[#This Row],[Employment]]</f>
        <v>Chính thức</v>
      </c>
      <c r="L199" t="str">
        <f>survey_responses[[#This Row],[Tình trạng việc làm chính:]]</f>
        <v>Khu vực chính thức (Có Hợp đồng lao động, đóng BHXH)</v>
      </c>
      <c r="M199">
        <f>step3_validation[[#This Row],[Income_Mil]]</f>
        <v>15.39142868056393</v>
      </c>
      <c r="N199" t="str">
        <f>survey_responses[[#This Row],[Thu nhập bình quân tháng theo Hợp đồng lao động của bạn là bao nhiêu? (Vui lòng điền tổng thu nhập trước khi khấu trừ các loại Bảo hiểm (BHXH, BHYT, BHTN) và Thuế TNCN)]]</f>
        <v>Từ 12 - 18 triệu VNĐ</v>
      </c>
      <c r="O199">
        <f>step3_validation[[#This Row],[Dependents]]</f>
        <v>2</v>
      </c>
      <c r="P199" t="str">
        <f>survey_responses[[#This Row],[Số người phụ thuộc (con nhỏ, cha mẹ già...) đủ điều kiện giảm trừ gia cảnh:]]</f>
        <v>2 người</v>
      </c>
      <c r="Q199">
        <f>step3_validation[[#This Row],[AI_ENF1]]</f>
        <v>9</v>
      </c>
      <c r="R199" t="str">
        <f t="shared" si="81"/>
        <v>Support</v>
      </c>
      <c r="S199">
        <f>survey_responses[[#This Row],[Tôi tin rằng với các quy định quản lý thuế hiện nay, hành vi gian lận hoặc trốn thuế sẽ dễ dàng bị phát hiện và xử lý nghiêm. - HUMAN-ENF1]]</f>
        <v>5</v>
      </c>
      <c r="T199" t="str">
        <f t="shared" si="82"/>
        <v>Neutral</v>
      </c>
      <c r="U199" s="31">
        <f t="shared" si="83"/>
        <v>4</v>
      </c>
      <c r="V199">
        <f>step3_validation[[#This Row],[AI_ENF2]]</f>
        <v>8</v>
      </c>
      <c r="W199" t="str">
        <f t="shared" si="84"/>
        <v>Support</v>
      </c>
      <c r="X199">
        <f>survey_responses[[#This Row],[Tôi tin rằng Nhà nước, cơ quan thuế có đủ khả năng và công nghệ để phát hiện, xử lý nghiêm các hành vi trốn thuế. - HUMAN-ENF2]]</f>
        <v>5</v>
      </c>
      <c r="Y199" t="str">
        <f t="shared" si="85"/>
        <v>Neutral</v>
      </c>
      <c r="Z199" s="31">
        <f t="shared" si="86"/>
        <v>3</v>
      </c>
      <c r="AA199">
        <f>step3_validation[[#This Row],[AI_FAC1]]</f>
        <v>7</v>
      </c>
      <c r="AB199" t="str">
        <f t="shared" si="87"/>
        <v>Neutral</v>
      </c>
      <c r="AC199">
        <f>survey_responses[[#This Row],[Các thủ tục khai báo thuế VÀ/HOẶC quy trình làm việc với cơ quan thuế đơn giản, tiện lợi, nhanh chóng hơn so với trước đây. - HUMAN-FAC1]]</f>
        <v>5</v>
      </c>
      <c r="AD199" t="str">
        <f t="shared" si="88"/>
        <v>Neutral</v>
      </c>
      <c r="AE199" s="31">
        <f t="shared" si="89"/>
        <v>2</v>
      </c>
      <c r="AF199">
        <f>step3_validation[[#This Row],[AI_FAC2]]</f>
        <v>8</v>
      </c>
      <c r="AG199" t="str">
        <f t="shared" si="90"/>
        <v>Support</v>
      </c>
      <c r="AH199">
        <f>survey_responses[[#This Row],[So với trước đây, tôi thấy cách tính thuế và các bậc thuế trong phương án mới đơn giản, dễ hiểu và dễ thực hiện hơn. - HUMAN-FAC2]]</f>
        <v>5</v>
      </c>
      <c r="AI199" t="str">
        <f t="shared" si="91"/>
        <v>Neutral</v>
      </c>
      <c r="AJ199" s="31">
        <f t="shared" si="92"/>
        <v>3</v>
      </c>
      <c r="AK199">
        <f>step3_validation[[#This Row],[AI_TRU1]]</f>
        <v>9</v>
      </c>
      <c r="AL199" t="str">
        <f t="shared" si="93"/>
        <v>Support</v>
      </c>
      <c r="AM199">
        <f>survey_responses[[#This Row],[Tôi tin rằng Nhà nước, cơ quan thuế sẽ thực thi chính sách mới một cách khách quan, công tâm và đối xử bình đẳng với mọi người nộp thuế.  - HUMAN-TRU1]]</f>
        <v>5</v>
      </c>
      <c r="AN199" t="str">
        <f t="shared" si="94"/>
        <v>Neutral</v>
      </c>
      <c r="AO199" s="31">
        <f t="shared" si="95"/>
        <v>4</v>
      </c>
      <c r="AP199">
        <f>step3_validation[[#This Row],[AI_TRU2]]</f>
        <v>8</v>
      </c>
      <c r="AQ199" t="str">
        <f t="shared" si="96"/>
        <v>Support</v>
      </c>
      <c r="AR199">
        <f>survey_responses[[#This Row],[Tôi thấy mức thuế tôi phải đóng theo phương án mới là công bằng (người thu nhập như tôi đóng mức này là hợp lý). - HUMAN-TRU2]]</f>
        <v>5</v>
      </c>
      <c r="AS199" t="str">
        <f t="shared" si="97"/>
        <v>Neutral</v>
      </c>
      <c r="AT199" s="31">
        <f t="shared" si="98"/>
        <v>3</v>
      </c>
      <c r="AU199">
        <f>step3_validation[[#This Row],[AI_TRU3]]</f>
        <v>9</v>
      </c>
      <c r="AV199" t="str">
        <f t="shared" si="99"/>
        <v>Support</v>
      </c>
      <c r="AW199">
        <f>survey_responses[[#This Row],[Tôi tin tưởng số tiền thuế tôi đóng sẽ được Nhà nước sử dụng hiệu quả để cải thiện dịch vụ công (y tế, đường xá...). - HUMAN-TRU3]]</f>
        <v>5</v>
      </c>
      <c r="AX199" t="str">
        <f t="shared" si="100"/>
        <v>Neutral</v>
      </c>
      <c r="AY199" s="31">
        <f t="shared" si="101"/>
        <v>4</v>
      </c>
      <c r="AZ199">
        <f>step3_validation[[#This Row],[AI_TRU4]]</f>
        <v>8</v>
      </c>
      <c r="BA199" t="str">
        <f t="shared" si="102"/>
        <v>Support</v>
      </c>
      <c r="BB199">
        <f>survey_responses[[#This Row],[Tôi thấy Nhà nước đã giải thích rõ ràng, minh bạch về lý do và mục tiêu của việc sửa đổi thuế lần này. - HUMAN-TRU4]]</f>
        <v>4</v>
      </c>
      <c r="BC199" t="str">
        <f t="shared" si="103"/>
        <v>Oppose</v>
      </c>
      <c r="BD199" s="31">
        <f t="shared" si="104"/>
        <v>4</v>
      </c>
      <c r="BE199">
        <f>step3_validation[[#This Row],[AI_OUT1]]</f>
        <v>9</v>
      </c>
      <c r="BF199" t="str">
        <f t="shared" si="105"/>
        <v>Support</v>
      </c>
      <c r="BG199">
        <f>survey_responses[[#This Row],[Sau khi xem xét các quyền lợi và nghĩa vụ, bạn có ủng hộ và tuân thủ chính sách mới hiện nay? - HUMAN-OUT1]]</f>
        <v>5</v>
      </c>
      <c r="BH199" t="str">
        <f t="shared" si="106"/>
        <v>Neutral</v>
      </c>
      <c r="BI199" s="31">
        <f t="shared" si="107"/>
        <v>4</v>
      </c>
    </row>
    <row r="200" spans="1:61" x14ac:dyDescent="0.45">
      <c r="A200" s="29">
        <f>step3_validation[[#This Row],[Persona_ID]]</f>
        <v>199</v>
      </c>
      <c r="B200" s="30">
        <f>step3_validation[[#This Row],[Used_Seed]]</f>
        <v>240</v>
      </c>
      <c r="C200" t="str">
        <f>step3_validation[[#This Row],[Gender]]</f>
        <v>Nữ</v>
      </c>
      <c r="D200" t="str">
        <f>survey_responses[[#This Row],[Giới tính của bạn:]]</f>
        <v>Nữ</v>
      </c>
      <c r="E200" t="str">
        <f>step3_validation[[#This Row],[Age_Group]]</f>
        <v>55 - 64</v>
      </c>
      <c r="F200" t="str">
        <f>survey_responses[[#This Row],[Độ tuổi của bạn:]]</f>
        <v>55 - 64</v>
      </c>
      <c r="G200" t="str">
        <f>step3_validation[[#This Row],[Region]]</f>
        <v>Thành thị</v>
      </c>
      <c r="H200" t="str">
        <f>survey_responses[[#This Row],[Khu vực bạn đang sinh sống:]]</f>
        <v>Thành thị</v>
      </c>
      <c r="I200" t="str">
        <f>step3_validation[[#This Row],[Education]]</f>
        <v>Sau Đại học</v>
      </c>
      <c r="J200" t="str">
        <f>survey_responses[[#This Row],[Trình độ học vấn cao nhất:]]</f>
        <v>Sau Đại học</v>
      </c>
      <c r="K200" t="str">
        <f>step3_validation[[#This Row],[Employment]]</f>
        <v>Phi chính thức</v>
      </c>
      <c r="L200" t="str">
        <f>survey_responses[[#This Row],[Tình trạng việc làm chính:]]</f>
        <v>Khác (Về hưu, nội trợ, sinh viên)</v>
      </c>
      <c r="M200">
        <f>step3_validation[[#This Row],[Income_Mil]]</f>
        <v>12</v>
      </c>
      <c r="N200" t="str">
        <f>survey_responses[[#This Row],[Thu nhập bình quân tháng theo Hợp đồng lao động của bạn là bao nhiêu? (Vui lòng điền tổng thu nhập trước khi khấu trừ các loại Bảo hiểm (BHXH, BHYT, BHTN) và Thuế TNCN)]]</f>
        <v>Dưới 12 triệu VNĐ</v>
      </c>
      <c r="O200">
        <f>step3_validation[[#This Row],[Dependents]]</f>
        <v>1</v>
      </c>
      <c r="P200" t="str">
        <f>survey_responses[[#This Row],[Số người phụ thuộc (con nhỏ, cha mẹ già...) đủ điều kiện giảm trừ gia cảnh:]]</f>
        <v>1 người</v>
      </c>
      <c r="Q200">
        <f>step3_validation[[#This Row],[AI_ENF1]]</f>
        <v>8</v>
      </c>
      <c r="R200" t="str">
        <f t="shared" si="81"/>
        <v>Support</v>
      </c>
      <c r="S200">
        <f>survey_responses[[#This Row],[Tôi tin rằng với các quy định quản lý thuế hiện nay, hành vi gian lận hoặc trốn thuế sẽ dễ dàng bị phát hiện và xử lý nghiêm. - HUMAN-ENF1]]</f>
        <v>9</v>
      </c>
      <c r="T200" t="str">
        <f t="shared" si="82"/>
        <v>Support</v>
      </c>
      <c r="U200" s="31">
        <f t="shared" si="83"/>
        <v>1</v>
      </c>
      <c r="V200">
        <f>step3_validation[[#This Row],[AI_ENF2]]</f>
        <v>7</v>
      </c>
      <c r="W200" t="str">
        <f t="shared" si="84"/>
        <v>Neutral</v>
      </c>
      <c r="X200">
        <f>survey_responses[[#This Row],[Tôi tin rằng Nhà nước, cơ quan thuế có đủ khả năng và công nghệ để phát hiện, xử lý nghiêm các hành vi trốn thuế. - HUMAN-ENF2]]</f>
        <v>8</v>
      </c>
      <c r="Y200" t="str">
        <f t="shared" si="85"/>
        <v>Support</v>
      </c>
      <c r="Z200" s="31">
        <f t="shared" si="86"/>
        <v>1</v>
      </c>
      <c r="AA200">
        <f>step3_validation[[#This Row],[AI_FAC1]]</f>
        <v>9</v>
      </c>
      <c r="AB200" t="str">
        <f t="shared" si="87"/>
        <v>Support</v>
      </c>
      <c r="AC200">
        <f>survey_responses[[#This Row],[Các thủ tục khai báo thuế VÀ/HOẶC quy trình làm việc với cơ quan thuế đơn giản, tiện lợi, nhanh chóng hơn so với trước đây. - HUMAN-FAC1]]</f>
        <v>9</v>
      </c>
      <c r="AD200" t="str">
        <f t="shared" si="88"/>
        <v>Support</v>
      </c>
      <c r="AE200" s="31">
        <f t="shared" si="89"/>
        <v>0</v>
      </c>
      <c r="AF200">
        <f>step3_validation[[#This Row],[AI_FAC2]]</f>
        <v>8</v>
      </c>
      <c r="AG200" t="str">
        <f t="shared" si="90"/>
        <v>Support</v>
      </c>
      <c r="AH200">
        <f>survey_responses[[#This Row],[So với trước đây, tôi thấy cách tính thuế và các bậc thuế trong phương án mới đơn giản, dễ hiểu và dễ thực hiện hơn. - HUMAN-FAC2]]</f>
        <v>9</v>
      </c>
      <c r="AI200" t="str">
        <f t="shared" si="91"/>
        <v>Support</v>
      </c>
      <c r="AJ200" s="31">
        <f t="shared" si="92"/>
        <v>1</v>
      </c>
      <c r="AK200">
        <f>step3_validation[[#This Row],[AI_TRU1]]</f>
        <v>9</v>
      </c>
      <c r="AL200" t="str">
        <f t="shared" si="93"/>
        <v>Support</v>
      </c>
      <c r="AM200">
        <f>survey_responses[[#This Row],[Tôi tin rằng Nhà nước, cơ quan thuế sẽ thực thi chính sách mới một cách khách quan, công tâm và đối xử bình đẳng với mọi người nộp thuế.  - HUMAN-TRU1]]</f>
        <v>8</v>
      </c>
      <c r="AN200" t="str">
        <f t="shared" si="94"/>
        <v>Support</v>
      </c>
      <c r="AO200" s="31">
        <f t="shared" si="95"/>
        <v>1</v>
      </c>
      <c r="AP200">
        <f>step3_validation[[#This Row],[AI_TRU2]]</f>
        <v>8</v>
      </c>
      <c r="AQ200" t="str">
        <f t="shared" si="96"/>
        <v>Support</v>
      </c>
      <c r="AR200">
        <f>survey_responses[[#This Row],[Tôi thấy mức thuế tôi phải đóng theo phương án mới là công bằng (người thu nhập như tôi đóng mức này là hợp lý). - HUMAN-TRU2]]</f>
        <v>9</v>
      </c>
      <c r="AS200" t="str">
        <f t="shared" si="97"/>
        <v>Support</v>
      </c>
      <c r="AT200" s="31">
        <f t="shared" si="98"/>
        <v>1</v>
      </c>
      <c r="AU200">
        <f>step3_validation[[#This Row],[AI_TRU3]]</f>
        <v>7</v>
      </c>
      <c r="AV200" t="str">
        <f t="shared" si="99"/>
        <v>Neutral</v>
      </c>
      <c r="AW200">
        <f>survey_responses[[#This Row],[Tôi tin tưởng số tiền thuế tôi đóng sẽ được Nhà nước sử dụng hiệu quả để cải thiện dịch vụ công (y tế, đường xá...). - HUMAN-TRU3]]</f>
        <v>10</v>
      </c>
      <c r="AX200" t="str">
        <f t="shared" si="100"/>
        <v>Support</v>
      </c>
      <c r="AY200" s="31">
        <f t="shared" si="101"/>
        <v>3</v>
      </c>
      <c r="AZ200">
        <f>step3_validation[[#This Row],[AI_TRU4]]</f>
        <v>6</v>
      </c>
      <c r="BA200" t="str">
        <f t="shared" si="102"/>
        <v>Neutral</v>
      </c>
      <c r="BB200">
        <f>survey_responses[[#This Row],[Tôi thấy Nhà nước đã giải thích rõ ràng, minh bạch về lý do và mục tiêu của việc sửa đổi thuế lần này. - HUMAN-TRU4]]</f>
        <v>9</v>
      </c>
      <c r="BC200" t="str">
        <f t="shared" si="103"/>
        <v>Support</v>
      </c>
      <c r="BD200" s="31">
        <f t="shared" si="104"/>
        <v>3</v>
      </c>
      <c r="BE200">
        <f>step3_validation[[#This Row],[AI_OUT1]]</f>
        <v>8</v>
      </c>
      <c r="BF200" t="str">
        <f t="shared" si="105"/>
        <v>Support</v>
      </c>
      <c r="BG200">
        <f>survey_responses[[#This Row],[Sau khi xem xét các quyền lợi và nghĩa vụ, bạn có ủng hộ và tuân thủ chính sách mới hiện nay? - HUMAN-OUT1]]</f>
        <v>10</v>
      </c>
      <c r="BH200" t="str">
        <f t="shared" si="106"/>
        <v>Support</v>
      </c>
      <c r="BI200" s="31">
        <f t="shared" si="107"/>
        <v>2</v>
      </c>
    </row>
    <row r="201" spans="1:61" hidden="1" x14ac:dyDescent="0.45">
      <c r="A201" s="29">
        <f>step3_validation[[#This Row],[Persona_ID]]</f>
        <v>200</v>
      </c>
      <c r="B201" s="30">
        <f>step3_validation[[#This Row],[Used_Seed]]</f>
        <v>241</v>
      </c>
      <c r="C201" t="str">
        <f>step3_validation[[#This Row],[Gender]]</f>
        <v>Nam</v>
      </c>
      <c r="D201" t="str">
        <f>survey_responses[[#This Row],[Giới tính của bạn:]]</f>
        <v>Nam</v>
      </c>
      <c r="E201" t="str">
        <f>step3_validation[[#This Row],[Age_Group]]</f>
        <v>50 - 54</v>
      </c>
      <c r="F201" t="str">
        <f>survey_responses[[#This Row],[Độ tuổi của bạn:]]</f>
        <v>50 - 54</v>
      </c>
      <c r="G201" t="str">
        <f>step3_validation[[#This Row],[Region]]</f>
        <v>Thành thị</v>
      </c>
      <c r="H201" t="str">
        <f>survey_responses[[#This Row],[Khu vực bạn đang sinh sống:]]</f>
        <v>Thành thị</v>
      </c>
      <c r="I201" t="str">
        <f>step3_validation[[#This Row],[Education]]</f>
        <v>Đại học</v>
      </c>
      <c r="J201" t="str">
        <f>survey_responses[[#This Row],[Trình độ học vấn cao nhất:]]</f>
        <v>Đại học</v>
      </c>
      <c r="K201" t="str">
        <f>step3_validation[[#This Row],[Employment]]</f>
        <v>Chính thức</v>
      </c>
      <c r="L201" t="str">
        <f>survey_responses[[#This Row],[Tình trạng việc làm chính:]]</f>
        <v>Khu vực chính thức (Có Hợp đồng lao động, đóng BHXH)</v>
      </c>
      <c r="M201">
        <f>step3_validation[[#This Row],[Income_Mil]]</f>
        <v>96.639919317847458</v>
      </c>
      <c r="N201" t="str">
        <f>survey_responses[[#This Row],[Thu nhập bình quân tháng theo Hợp đồng lao động của bạn là bao nhiêu? (Vui lòng điền tổng thu nhập trước khi khấu trừ các loại Bảo hiểm (BHXH, BHYT, BHTN) và Thuế TNCN)]]</f>
        <v>Từ 70 - 102 triệu VNĐ</v>
      </c>
      <c r="O201">
        <f>step3_validation[[#This Row],[Dependents]]</f>
        <v>3</v>
      </c>
      <c r="P201" t="str">
        <f>survey_responses[[#This Row],[Số người phụ thuộc (con nhỏ, cha mẹ già...) đủ điều kiện giảm trừ gia cảnh:]]</f>
        <v>3 người</v>
      </c>
      <c r="Q201">
        <f>step3_validation[[#This Row],[AI_ENF1]]</f>
        <v>7</v>
      </c>
      <c r="R201" t="str">
        <f t="shared" si="81"/>
        <v>Neutral</v>
      </c>
      <c r="S201">
        <f>survey_responses[[#This Row],[Tôi tin rằng với các quy định quản lý thuế hiện nay, hành vi gian lận hoặc trốn thuế sẽ dễ dàng bị phát hiện và xử lý nghiêm. - HUMAN-ENF1]]</f>
        <v>4</v>
      </c>
      <c r="T201" t="str">
        <f t="shared" si="82"/>
        <v>Oppose</v>
      </c>
      <c r="U201" s="31">
        <f t="shared" si="83"/>
        <v>3</v>
      </c>
      <c r="V201">
        <f>step3_validation[[#This Row],[AI_ENF2]]</f>
        <v>6</v>
      </c>
      <c r="W201" t="str">
        <f t="shared" si="84"/>
        <v>Neutral</v>
      </c>
      <c r="X201">
        <f>survey_responses[[#This Row],[Tôi tin rằng Nhà nước, cơ quan thuế có đủ khả năng và công nghệ để phát hiện, xử lý nghiêm các hành vi trốn thuế. - HUMAN-ENF2]]</f>
        <v>4</v>
      </c>
      <c r="Y201" t="str">
        <f t="shared" si="85"/>
        <v>Oppose</v>
      </c>
      <c r="Z201" s="31">
        <f t="shared" si="86"/>
        <v>2</v>
      </c>
      <c r="AA201">
        <f>step3_validation[[#This Row],[AI_FAC1]]</f>
        <v>9</v>
      </c>
      <c r="AB201" t="str">
        <f t="shared" si="87"/>
        <v>Support</v>
      </c>
      <c r="AC201">
        <f>survey_responses[[#This Row],[Các thủ tục khai báo thuế VÀ/HOẶC quy trình làm việc với cơ quan thuế đơn giản, tiện lợi, nhanh chóng hơn so với trước đây. - HUMAN-FAC1]]</f>
        <v>3</v>
      </c>
      <c r="AD201" t="str">
        <f t="shared" si="88"/>
        <v>Oppose</v>
      </c>
      <c r="AE201" s="31">
        <f t="shared" si="89"/>
        <v>6</v>
      </c>
      <c r="AF201">
        <f>step3_validation[[#This Row],[AI_FAC2]]</f>
        <v>8</v>
      </c>
      <c r="AG201" t="str">
        <f t="shared" si="90"/>
        <v>Support</v>
      </c>
      <c r="AH201">
        <f>survey_responses[[#This Row],[So với trước đây, tôi thấy cách tính thuế và các bậc thuế trong phương án mới đơn giản, dễ hiểu và dễ thực hiện hơn. - HUMAN-FAC2]]</f>
        <v>5</v>
      </c>
      <c r="AI201" t="str">
        <f t="shared" si="91"/>
        <v>Neutral</v>
      </c>
      <c r="AJ201" s="31">
        <f t="shared" si="92"/>
        <v>3</v>
      </c>
      <c r="AK201">
        <f>step3_validation[[#This Row],[AI_TRU1]]</f>
        <v>7</v>
      </c>
      <c r="AL201" t="str">
        <f t="shared" si="93"/>
        <v>Neutral</v>
      </c>
      <c r="AM201">
        <f>survey_responses[[#This Row],[Tôi tin rằng Nhà nước, cơ quan thuế sẽ thực thi chính sách mới một cách khách quan, công tâm và đối xử bình đẳng với mọi người nộp thuế.  - HUMAN-TRU1]]</f>
        <v>4</v>
      </c>
      <c r="AN201" t="str">
        <f t="shared" si="94"/>
        <v>Oppose</v>
      </c>
      <c r="AO201" s="31">
        <f t="shared" si="95"/>
        <v>3</v>
      </c>
      <c r="AP201">
        <f>step3_validation[[#This Row],[AI_TRU2]]</f>
        <v>9</v>
      </c>
      <c r="AQ201" t="str">
        <f t="shared" si="96"/>
        <v>Support</v>
      </c>
      <c r="AR201">
        <f>survey_responses[[#This Row],[Tôi thấy mức thuế tôi phải đóng theo phương án mới là công bằng (người thu nhập như tôi đóng mức này là hợp lý). - HUMAN-TRU2]]</f>
        <v>5</v>
      </c>
      <c r="AS201" t="str">
        <f t="shared" si="97"/>
        <v>Neutral</v>
      </c>
      <c r="AT201" s="31">
        <f t="shared" si="98"/>
        <v>4</v>
      </c>
      <c r="AU201">
        <f>step3_validation[[#This Row],[AI_TRU3]]</f>
        <v>8</v>
      </c>
      <c r="AV201" t="str">
        <f t="shared" si="99"/>
        <v>Support</v>
      </c>
      <c r="AW201">
        <f>survey_responses[[#This Row],[Tôi tin tưởng số tiền thuế tôi đóng sẽ được Nhà nước sử dụng hiệu quả để cải thiện dịch vụ công (y tế, đường xá...). - HUMAN-TRU3]]</f>
        <v>1</v>
      </c>
      <c r="AX201" t="str">
        <f t="shared" si="100"/>
        <v>Oppose</v>
      </c>
      <c r="AY201" s="31">
        <f t="shared" si="101"/>
        <v>7</v>
      </c>
      <c r="AZ201">
        <f>step3_validation[[#This Row],[AI_TRU4]]</f>
        <v>9</v>
      </c>
      <c r="BA201" t="str">
        <f t="shared" si="102"/>
        <v>Support</v>
      </c>
      <c r="BB201">
        <f>survey_responses[[#This Row],[Tôi thấy Nhà nước đã giải thích rõ ràng, minh bạch về lý do và mục tiêu của việc sửa đổi thuế lần này. - HUMAN-TRU4]]</f>
        <v>5</v>
      </c>
      <c r="BC201" t="str">
        <f t="shared" si="103"/>
        <v>Neutral</v>
      </c>
      <c r="BD201" s="31">
        <f t="shared" si="104"/>
        <v>4</v>
      </c>
      <c r="BE201">
        <f>step3_validation[[#This Row],[AI_OUT1]]</f>
        <v>8</v>
      </c>
      <c r="BF201" t="str">
        <f t="shared" si="105"/>
        <v>Support</v>
      </c>
      <c r="BG201">
        <f>survey_responses[[#This Row],[Sau khi xem xét các quyền lợi và nghĩa vụ, bạn có ủng hộ và tuân thủ chính sách mới hiện nay? - HUMAN-OUT1]]</f>
        <v>5</v>
      </c>
      <c r="BH201" t="str">
        <f t="shared" si="106"/>
        <v>Neutral</v>
      </c>
      <c r="BI201" s="31">
        <f t="shared" si="107"/>
        <v>3</v>
      </c>
    </row>
    <row r="202" spans="1:61" hidden="1" x14ac:dyDescent="0.45">
      <c r="A202" s="29">
        <f>step3_validation[[#This Row],[Persona_ID]]</f>
        <v>201</v>
      </c>
      <c r="B202" s="30">
        <f>step3_validation[[#This Row],[Used_Seed]]</f>
        <v>242</v>
      </c>
      <c r="C202" t="str">
        <f>step3_validation[[#This Row],[Gender]]</f>
        <v>Nữ</v>
      </c>
      <c r="D202" t="str">
        <f>survey_responses[[#This Row],[Giới tính của bạn:]]</f>
        <v>Nữ</v>
      </c>
      <c r="E202" t="str">
        <f>step3_validation[[#This Row],[Age_Group]]</f>
        <v>55 - 64</v>
      </c>
      <c r="F202" t="str">
        <f>survey_responses[[#This Row],[Độ tuổi của bạn:]]</f>
        <v>55 - 64</v>
      </c>
      <c r="G202" t="str">
        <f>step3_validation[[#This Row],[Region]]</f>
        <v>Thành thị</v>
      </c>
      <c r="H202" t="str">
        <f>survey_responses[[#This Row],[Khu vực bạn đang sinh sống:]]</f>
        <v>Thành thị</v>
      </c>
      <c r="I202" t="str">
        <f>step3_validation[[#This Row],[Education]]</f>
        <v>Sau Đại học</v>
      </c>
      <c r="J202" t="str">
        <f>survey_responses[[#This Row],[Trình độ học vấn cao nhất:]]</f>
        <v>Sau Đại học</v>
      </c>
      <c r="K202" t="str">
        <f>step3_validation[[#This Row],[Employment]]</f>
        <v>Chính thức</v>
      </c>
      <c r="L202" t="str">
        <f>survey_responses[[#This Row],[Tình trạng việc làm chính:]]</f>
        <v>Khu vực chính thức (Có Hợp đồng lao động, đóng BHXH)</v>
      </c>
      <c r="M202">
        <f>step3_validation[[#This Row],[Income_Mil]]</f>
        <v>53.180528659307889</v>
      </c>
      <c r="N202" t="str">
        <f>survey_responses[[#This Row],[Thu nhập bình quân tháng theo Hợp đồng lao động của bạn là bao nhiêu? (Vui lòng điền tổng thu nhập trước khi khấu trừ các loại Bảo hiểm (BHXH, BHYT, BHTN) và Thuế TNCN)]]</f>
        <v>Từ 48 - 70 triệu VNĐ</v>
      </c>
      <c r="O202">
        <f>step3_validation[[#This Row],[Dependents]]</f>
        <v>1</v>
      </c>
      <c r="P202" t="str">
        <f>survey_responses[[#This Row],[Số người phụ thuộc (con nhỏ, cha mẹ già...) đủ điều kiện giảm trừ gia cảnh:]]</f>
        <v>1 người</v>
      </c>
      <c r="Q202">
        <f>step3_validation[[#This Row],[AI_ENF1]]</f>
        <v>6</v>
      </c>
      <c r="R202" t="str">
        <f t="shared" si="81"/>
        <v>Neutral</v>
      </c>
      <c r="S202">
        <f>survey_responses[[#This Row],[Tôi tin rằng với các quy định quản lý thuế hiện nay, hành vi gian lận hoặc trốn thuế sẽ dễ dàng bị phát hiện và xử lý nghiêm. - HUMAN-ENF1]]</f>
        <v>5</v>
      </c>
      <c r="T202" t="str">
        <f t="shared" si="82"/>
        <v>Neutral</v>
      </c>
      <c r="U202" s="31">
        <f t="shared" si="83"/>
        <v>1</v>
      </c>
      <c r="V202">
        <f>step3_validation[[#This Row],[AI_ENF2]]</f>
        <v>7</v>
      </c>
      <c r="W202" t="str">
        <f t="shared" si="84"/>
        <v>Neutral</v>
      </c>
      <c r="X202">
        <f>survey_responses[[#This Row],[Tôi tin rằng Nhà nước, cơ quan thuế có đủ khả năng và công nghệ để phát hiện, xử lý nghiêm các hành vi trốn thuế. - HUMAN-ENF2]]</f>
        <v>5</v>
      </c>
      <c r="Y202" t="str">
        <f t="shared" si="85"/>
        <v>Neutral</v>
      </c>
      <c r="Z202" s="31">
        <f t="shared" si="86"/>
        <v>2</v>
      </c>
      <c r="AA202">
        <f>step3_validation[[#This Row],[AI_FAC1]]</f>
        <v>9</v>
      </c>
      <c r="AB202" t="str">
        <f t="shared" si="87"/>
        <v>Support</v>
      </c>
      <c r="AC202">
        <f>survey_responses[[#This Row],[Các thủ tục khai báo thuế VÀ/HOẶC quy trình làm việc với cơ quan thuế đơn giản, tiện lợi, nhanh chóng hơn so với trước đây. - HUMAN-FAC1]]</f>
        <v>1</v>
      </c>
      <c r="AD202" t="str">
        <f t="shared" si="88"/>
        <v>Oppose</v>
      </c>
      <c r="AE202" s="31">
        <f t="shared" si="89"/>
        <v>8</v>
      </c>
      <c r="AF202">
        <f>step3_validation[[#This Row],[AI_FAC2]]</f>
        <v>8</v>
      </c>
      <c r="AG202" t="str">
        <f t="shared" si="90"/>
        <v>Support</v>
      </c>
      <c r="AH202">
        <f>survey_responses[[#This Row],[So với trước đây, tôi thấy cách tính thuế và các bậc thuế trong phương án mới đơn giản, dễ hiểu và dễ thực hiện hơn. - HUMAN-FAC2]]</f>
        <v>5</v>
      </c>
      <c r="AI202" t="str">
        <f t="shared" si="91"/>
        <v>Neutral</v>
      </c>
      <c r="AJ202" s="31">
        <f t="shared" si="92"/>
        <v>3</v>
      </c>
      <c r="AK202">
        <f>step3_validation[[#This Row],[AI_TRU1]]</f>
        <v>7</v>
      </c>
      <c r="AL202" t="str">
        <f t="shared" si="93"/>
        <v>Neutral</v>
      </c>
      <c r="AM202">
        <f>survey_responses[[#This Row],[Tôi tin rằng Nhà nước, cơ quan thuế sẽ thực thi chính sách mới một cách khách quan, công tâm và đối xử bình đẳng với mọi người nộp thuế.  - HUMAN-TRU1]]</f>
        <v>4</v>
      </c>
      <c r="AN202" t="str">
        <f t="shared" si="94"/>
        <v>Oppose</v>
      </c>
      <c r="AO202" s="31">
        <f t="shared" si="95"/>
        <v>3</v>
      </c>
      <c r="AP202">
        <f>step3_validation[[#This Row],[AI_TRU2]]</f>
        <v>9</v>
      </c>
      <c r="AQ202" t="str">
        <f t="shared" si="96"/>
        <v>Support</v>
      </c>
      <c r="AR202">
        <f>survey_responses[[#This Row],[Tôi thấy mức thuế tôi phải đóng theo phương án mới là công bằng (người thu nhập như tôi đóng mức này là hợp lý). - HUMAN-TRU2]]</f>
        <v>2</v>
      </c>
      <c r="AS202" t="str">
        <f t="shared" si="97"/>
        <v>Oppose</v>
      </c>
      <c r="AT202" s="31">
        <f t="shared" si="98"/>
        <v>7</v>
      </c>
      <c r="AU202">
        <f>step3_validation[[#This Row],[AI_TRU3]]</f>
        <v>7</v>
      </c>
      <c r="AV202" t="str">
        <f t="shared" si="99"/>
        <v>Neutral</v>
      </c>
      <c r="AW202">
        <f>survey_responses[[#This Row],[Tôi tin tưởng số tiền thuế tôi đóng sẽ được Nhà nước sử dụng hiệu quả để cải thiện dịch vụ công (y tế, đường xá...). - HUMAN-TRU3]]</f>
        <v>2</v>
      </c>
      <c r="AX202" t="str">
        <f t="shared" si="100"/>
        <v>Oppose</v>
      </c>
      <c r="AY202" s="31">
        <f t="shared" si="101"/>
        <v>5</v>
      </c>
      <c r="AZ202">
        <f>step3_validation[[#This Row],[AI_TRU4]]</f>
        <v>6</v>
      </c>
      <c r="BA202" t="str">
        <f t="shared" si="102"/>
        <v>Neutral</v>
      </c>
      <c r="BB202">
        <f>survey_responses[[#This Row],[Tôi thấy Nhà nước đã giải thích rõ ràng, minh bạch về lý do và mục tiêu của việc sửa đổi thuế lần này. - HUMAN-TRU4]]</f>
        <v>5</v>
      </c>
      <c r="BC202" t="str">
        <f t="shared" si="103"/>
        <v>Neutral</v>
      </c>
      <c r="BD202" s="31">
        <f t="shared" si="104"/>
        <v>1</v>
      </c>
      <c r="BE202">
        <f>step3_validation[[#This Row],[AI_OUT1]]</f>
        <v>8</v>
      </c>
      <c r="BF202" t="str">
        <f t="shared" si="105"/>
        <v>Support</v>
      </c>
      <c r="BG202">
        <f>survey_responses[[#This Row],[Sau khi xem xét các quyền lợi và nghĩa vụ, bạn có ủng hộ và tuân thủ chính sách mới hiện nay? - HUMAN-OUT1]]</f>
        <v>4</v>
      </c>
      <c r="BH202" t="str">
        <f t="shared" si="106"/>
        <v>Oppose</v>
      </c>
      <c r="BI202" s="31">
        <f t="shared" si="107"/>
        <v>4</v>
      </c>
    </row>
    <row r="203" spans="1:61" hidden="1" x14ac:dyDescent="0.45">
      <c r="A203" s="29">
        <f>step3_validation[[#This Row],[Persona_ID]]</f>
        <v>202</v>
      </c>
      <c r="B203" s="30">
        <f>step3_validation[[#This Row],[Used_Seed]]</f>
        <v>243</v>
      </c>
      <c r="C203" t="str">
        <f>step3_validation[[#This Row],[Gender]]</f>
        <v>Nữ</v>
      </c>
      <c r="D203" t="str">
        <f>survey_responses[[#This Row],[Giới tính của bạn:]]</f>
        <v>Nữ</v>
      </c>
      <c r="E203" t="str">
        <f>step3_validation[[#This Row],[Age_Group]]</f>
        <v>40 - 49</v>
      </c>
      <c r="F203" t="str">
        <f>survey_responses[[#This Row],[Độ tuổi của bạn:]]</f>
        <v>40 - 49</v>
      </c>
      <c r="G203" t="str">
        <f>step3_validation[[#This Row],[Region]]</f>
        <v>Thành thị</v>
      </c>
      <c r="H203" t="str">
        <f>survey_responses[[#This Row],[Khu vực bạn đang sinh sống:]]</f>
        <v>Thành thị</v>
      </c>
      <c r="I203" t="str">
        <f>step3_validation[[#This Row],[Education]]</f>
        <v>Đại học</v>
      </c>
      <c r="J203" t="str">
        <f>survey_responses[[#This Row],[Trình độ học vấn cao nhất:]]</f>
        <v>Đại học</v>
      </c>
      <c r="K203" t="str">
        <f>step3_validation[[#This Row],[Employment]]</f>
        <v>Chính thức</v>
      </c>
      <c r="L203" t="str">
        <f>survey_responses[[#This Row],[Tình trạng việc làm chính:]]</f>
        <v>Khu vực chính thức (Có Hợp đồng lao động, đóng BHXH)</v>
      </c>
      <c r="M203">
        <f>step3_validation[[#This Row],[Income_Mil]]</f>
        <v>81.766804428251689</v>
      </c>
      <c r="N203" t="str">
        <f>survey_responses[[#This Row],[Thu nhập bình quân tháng theo Hợp đồng lao động của bạn là bao nhiêu? (Vui lòng điền tổng thu nhập trước khi khấu trừ các loại Bảo hiểm (BHXH, BHYT, BHTN) và Thuế TNCN)]]</f>
        <v>Từ 70 - 102 triệu VNĐ</v>
      </c>
      <c r="O203">
        <f>step3_validation[[#This Row],[Dependents]]</f>
        <v>4</v>
      </c>
      <c r="P203" t="str">
        <f>survey_responses[[#This Row],[Số người phụ thuộc (con nhỏ, cha mẹ già...) đủ điều kiện giảm trừ gia cảnh:]]</f>
        <v>4 người trở lên</v>
      </c>
      <c r="Q203">
        <f>step3_validation[[#This Row],[AI_ENF1]]</f>
        <v>7</v>
      </c>
      <c r="R203" t="str">
        <f t="shared" si="81"/>
        <v>Neutral</v>
      </c>
      <c r="S203">
        <f>survey_responses[[#This Row],[Tôi tin rằng với các quy định quản lý thuế hiện nay, hành vi gian lận hoặc trốn thuế sẽ dễ dàng bị phát hiện và xử lý nghiêm. - HUMAN-ENF1]]</f>
        <v>6</v>
      </c>
      <c r="T203" t="str">
        <f t="shared" si="82"/>
        <v>Neutral</v>
      </c>
      <c r="U203" s="31">
        <f t="shared" si="83"/>
        <v>1</v>
      </c>
      <c r="V203">
        <f>step3_validation[[#This Row],[AI_ENF2]]</f>
        <v>7</v>
      </c>
      <c r="W203" t="str">
        <f t="shared" si="84"/>
        <v>Neutral</v>
      </c>
      <c r="X203">
        <f>survey_responses[[#This Row],[Tôi tin rằng Nhà nước, cơ quan thuế có đủ khả năng và công nghệ để phát hiện, xử lý nghiêm các hành vi trốn thuế. - HUMAN-ENF2]]</f>
        <v>8</v>
      </c>
      <c r="Y203" t="str">
        <f t="shared" si="85"/>
        <v>Support</v>
      </c>
      <c r="Z203" s="31">
        <f t="shared" si="86"/>
        <v>1</v>
      </c>
      <c r="AA203">
        <f>step3_validation[[#This Row],[AI_FAC1]]</f>
        <v>8</v>
      </c>
      <c r="AB203" t="str">
        <f t="shared" si="87"/>
        <v>Support</v>
      </c>
      <c r="AC203">
        <f>survey_responses[[#This Row],[Các thủ tục khai báo thuế VÀ/HOẶC quy trình làm việc với cơ quan thuế đơn giản, tiện lợi, nhanh chóng hơn so với trước đây. - HUMAN-FAC1]]</f>
        <v>8</v>
      </c>
      <c r="AD203" t="str">
        <f t="shared" si="88"/>
        <v>Support</v>
      </c>
      <c r="AE203" s="31">
        <f t="shared" si="89"/>
        <v>0</v>
      </c>
      <c r="AF203">
        <f>step3_validation[[#This Row],[AI_FAC2]]</f>
        <v>9</v>
      </c>
      <c r="AG203" t="str">
        <f t="shared" si="90"/>
        <v>Support</v>
      </c>
      <c r="AH203">
        <f>survey_responses[[#This Row],[So với trước đây, tôi thấy cách tính thuế và các bậc thuế trong phương án mới đơn giản, dễ hiểu và dễ thực hiện hơn. - HUMAN-FAC2]]</f>
        <v>9</v>
      </c>
      <c r="AI203" t="str">
        <f t="shared" si="91"/>
        <v>Support</v>
      </c>
      <c r="AJ203" s="31">
        <f t="shared" si="92"/>
        <v>0</v>
      </c>
      <c r="AK203">
        <f>step3_validation[[#This Row],[AI_TRU1]]</f>
        <v>7</v>
      </c>
      <c r="AL203" t="str">
        <f t="shared" si="93"/>
        <v>Neutral</v>
      </c>
      <c r="AM203">
        <f>survey_responses[[#This Row],[Tôi tin rằng Nhà nước, cơ quan thuế sẽ thực thi chính sách mới một cách khách quan, công tâm và đối xử bình đẳng với mọi người nộp thuế.  - HUMAN-TRU1]]</f>
        <v>7</v>
      </c>
      <c r="AN203" t="str">
        <f t="shared" si="94"/>
        <v>Neutral</v>
      </c>
      <c r="AO203" s="31">
        <f t="shared" si="95"/>
        <v>0</v>
      </c>
      <c r="AP203">
        <f>step3_validation[[#This Row],[AI_TRU2]]</f>
        <v>9</v>
      </c>
      <c r="AQ203" t="str">
        <f t="shared" si="96"/>
        <v>Support</v>
      </c>
      <c r="AR203">
        <f>survey_responses[[#This Row],[Tôi thấy mức thuế tôi phải đóng theo phương án mới là công bằng (người thu nhập như tôi đóng mức này là hợp lý). - HUMAN-TRU2]]</f>
        <v>7</v>
      </c>
      <c r="AS203" t="str">
        <f t="shared" si="97"/>
        <v>Neutral</v>
      </c>
      <c r="AT203" s="31">
        <f t="shared" si="98"/>
        <v>2</v>
      </c>
      <c r="AU203">
        <f>step3_validation[[#This Row],[AI_TRU3]]</f>
        <v>7</v>
      </c>
      <c r="AV203" t="str">
        <f t="shared" si="99"/>
        <v>Neutral</v>
      </c>
      <c r="AW203">
        <f>survey_responses[[#This Row],[Tôi tin tưởng số tiền thuế tôi đóng sẽ được Nhà nước sử dụng hiệu quả để cải thiện dịch vụ công (y tế, đường xá...). - HUMAN-TRU3]]</f>
        <v>7</v>
      </c>
      <c r="AX203" t="str">
        <f t="shared" si="100"/>
        <v>Neutral</v>
      </c>
      <c r="AY203" s="31">
        <f t="shared" si="101"/>
        <v>0</v>
      </c>
      <c r="AZ203">
        <f>step3_validation[[#This Row],[AI_TRU4]]</f>
        <v>8</v>
      </c>
      <c r="BA203" t="str">
        <f t="shared" si="102"/>
        <v>Support</v>
      </c>
      <c r="BB203">
        <f>survey_responses[[#This Row],[Tôi thấy Nhà nước đã giải thích rõ ràng, minh bạch về lý do và mục tiêu của việc sửa đổi thuế lần này. - HUMAN-TRU4]]</f>
        <v>8</v>
      </c>
      <c r="BC203" t="str">
        <f t="shared" si="103"/>
        <v>Support</v>
      </c>
      <c r="BD203" s="31">
        <f t="shared" si="104"/>
        <v>0</v>
      </c>
      <c r="BE203">
        <f>step3_validation[[#This Row],[AI_OUT1]]</f>
        <v>8</v>
      </c>
      <c r="BF203" t="str">
        <f t="shared" si="105"/>
        <v>Support</v>
      </c>
      <c r="BG203">
        <f>survey_responses[[#This Row],[Sau khi xem xét các quyền lợi và nghĩa vụ, bạn có ủng hộ và tuân thủ chính sách mới hiện nay? - HUMAN-OUT1]]</f>
        <v>8</v>
      </c>
      <c r="BH203" t="str">
        <f t="shared" si="106"/>
        <v>Support</v>
      </c>
      <c r="BI203" s="31">
        <f t="shared" si="107"/>
        <v>0</v>
      </c>
    </row>
    <row r="204" spans="1:61" hidden="1" x14ac:dyDescent="0.45">
      <c r="A204" s="29">
        <f>step3_validation[[#This Row],[Persona_ID]]</f>
        <v>203</v>
      </c>
      <c r="B204" s="30">
        <f>step3_validation[[#This Row],[Used_Seed]]</f>
        <v>244</v>
      </c>
      <c r="C204" t="str">
        <f>step3_validation[[#This Row],[Gender]]</f>
        <v>Nữ</v>
      </c>
      <c r="D204" t="str">
        <f>survey_responses[[#This Row],[Giới tính của bạn:]]</f>
        <v>Nữ</v>
      </c>
      <c r="E204" t="str">
        <f>step3_validation[[#This Row],[Age_Group]]</f>
        <v>50 - 54</v>
      </c>
      <c r="F204" t="str">
        <f>survey_responses[[#This Row],[Độ tuổi của bạn:]]</f>
        <v>50 - 54</v>
      </c>
      <c r="G204" t="str">
        <f>step3_validation[[#This Row],[Region]]</f>
        <v>Thành thị</v>
      </c>
      <c r="H204" t="str">
        <f>survey_responses[[#This Row],[Khu vực bạn đang sinh sống:]]</f>
        <v>Thành thị</v>
      </c>
      <c r="I204" t="str">
        <f>step3_validation[[#This Row],[Education]]</f>
        <v>Sau Đại học</v>
      </c>
      <c r="J204" t="str">
        <f>survey_responses[[#This Row],[Trình độ học vấn cao nhất:]]</f>
        <v>Sau Đại học</v>
      </c>
      <c r="K204" t="str">
        <f>step3_validation[[#This Row],[Employment]]</f>
        <v>Chính thức</v>
      </c>
      <c r="L204" t="str">
        <f>survey_responses[[#This Row],[Tình trạng việc làm chính:]]</f>
        <v>Khu vực chính thức (Có Hợp đồng lao động, đóng BHXH)</v>
      </c>
      <c r="M204">
        <f>step3_validation[[#This Row],[Income_Mil]]</f>
        <v>108.41927328505672</v>
      </c>
      <c r="N204" t="str">
        <f>survey_responses[[#This Row],[Thu nhập bình quân tháng theo Hợp đồng lao động của bạn là bao nhiêu? (Vui lòng điền tổng thu nhập trước khi khấu trừ các loại Bảo hiểm (BHXH, BHYT, BHTN) và Thuế TNCN)]]</f>
        <v>Trên 102 triệu VNĐ</v>
      </c>
      <c r="O204">
        <f>step3_validation[[#This Row],[Dependents]]</f>
        <v>3</v>
      </c>
      <c r="P204" t="str">
        <f>survey_responses[[#This Row],[Số người phụ thuộc (con nhỏ, cha mẹ già...) đủ điều kiện giảm trừ gia cảnh:]]</f>
        <v>3 người</v>
      </c>
      <c r="Q204">
        <f>step3_validation[[#This Row],[AI_ENF1]]</f>
        <v>7</v>
      </c>
      <c r="R204" t="str">
        <f t="shared" si="81"/>
        <v>Neutral</v>
      </c>
      <c r="S204">
        <f>survey_responses[[#This Row],[Tôi tin rằng với các quy định quản lý thuế hiện nay, hành vi gian lận hoặc trốn thuế sẽ dễ dàng bị phát hiện và xử lý nghiêm. - HUMAN-ENF1]]</f>
        <v>5</v>
      </c>
      <c r="T204" t="str">
        <f t="shared" si="82"/>
        <v>Neutral</v>
      </c>
      <c r="U204" s="31">
        <f t="shared" si="83"/>
        <v>2</v>
      </c>
      <c r="V204">
        <f>step3_validation[[#This Row],[AI_ENF2]]</f>
        <v>6</v>
      </c>
      <c r="W204" t="str">
        <f t="shared" si="84"/>
        <v>Neutral</v>
      </c>
      <c r="X204">
        <f>survey_responses[[#This Row],[Tôi tin rằng Nhà nước, cơ quan thuế có đủ khả năng và công nghệ để phát hiện, xử lý nghiêm các hành vi trốn thuế. - HUMAN-ENF2]]</f>
        <v>5</v>
      </c>
      <c r="Y204" t="str">
        <f t="shared" si="85"/>
        <v>Neutral</v>
      </c>
      <c r="Z204" s="31">
        <f t="shared" si="86"/>
        <v>1</v>
      </c>
      <c r="AA204">
        <f>step3_validation[[#This Row],[AI_FAC1]]</f>
        <v>9</v>
      </c>
      <c r="AB204" t="str">
        <f t="shared" si="87"/>
        <v>Support</v>
      </c>
      <c r="AC204">
        <f>survey_responses[[#This Row],[Các thủ tục khai báo thuế VÀ/HOẶC quy trình làm việc với cơ quan thuế đơn giản, tiện lợi, nhanh chóng hơn so với trước đây. - HUMAN-FAC1]]</f>
        <v>5</v>
      </c>
      <c r="AD204" t="str">
        <f t="shared" si="88"/>
        <v>Neutral</v>
      </c>
      <c r="AE204" s="31">
        <f t="shared" si="89"/>
        <v>4</v>
      </c>
      <c r="AF204">
        <f>step3_validation[[#This Row],[AI_FAC2]]</f>
        <v>8</v>
      </c>
      <c r="AG204" t="str">
        <f t="shared" si="90"/>
        <v>Support</v>
      </c>
      <c r="AH204">
        <f>survey_responses[[#This Row],[So với trước đây, tôi thấy cách tính thuế và các bậc thuế trong phương án mới đơn giản, dễ hiểu và dễ thực hiện hơn. - HUMAN-FAC2]]</f>
        <v>5</v>
      </c>
      <c r="AI204" t="str">
        <f t="shared" si="91"/>
        <v>Neutral</v>
      </c>
      <c r="AJ204" s="31">
        <f t="shared" si="92"/>
        <v>3</v>
      </c>
      <c r="AK204">
        <f>step3_validation[[#This Row],[AI_TRU1]]</f>
        <v>7</v>
      </c>
      <c r="AL204" t="str">
        <f t="shared" si="93"/>
        <v>Neutral</v>
      </c>
      <c r="AM204">
        <f>survey_responses[[#This Row],[Tôi tin rằng Nhà nước, cơ quan thuế sẽ thực thi chính sách mới một cách khách quan, công tâm và đối xử bình đẳng với mọi người nộp thuế.  - HUMAN-TRU1]]</f>
        <v>5</v>
      </c>
      <c r="AN204" t="str">
        <f t="shared" si="94"/>
        <v>Neutral</v>
      </c>
      <c r="AO204" s="31">
        <f t="shared" si="95"/>
        <v>2</v>
      </c>
      <c r="AP204">
        <f>step3_validation[[#This Row],[AI_TRU2]]</f>
        <v>8</v>
      </c>
      <c r="AQ204" t="str">
        <f t="shared" si="96"/>
        <v>Support</v>
      </c>
      <c r="AR204">
        <f>survey_responses[[#This Row],[Tôi thấy mức thuế tôi phải đóng theo phương án mới là công bằng (người thu nhập như tôi đóng mức này là hợp lý). - HUMAN-TRU2]]</f>
        <v>5</v>
      </c>
      <c r="AS204" t="str">
        <f t="shared" si="97"/>
        <v>Neutral</v>
      </c>
      <c r="AT204" s="31">
        <f t="shared" si="98"/>
        <v>3</v>
      </c>
      <c r="AU204">
        <f>step3_validation[[#This Row],[AI_TRU3]]</f>
        <v>7</v>
      </c>
      <c r="AV204" t="str">
        <f t="shared" si="99"/>
        <v>Neutral</v>
      </c>
      <c r="AW204">
        <f>survey_responses[[#This Row],[Tôi tin tưởng số tiền thuế tôi đóng sẽ được Nhà nước sử dụng hiệu quả để cải thiện dịch vụ công (y tế, đường xá...). - HUMAN-TRU3]]</f>
        <v>5</v>
      </c>
      <c r="AX204" t="str">
        <f t="shared" si="100"/>
        <v>Neutral</v>
      </c>
      <c r="AY204" s="31">
        <f t="shared" si="101"/>
        <v>2</v>
      </c>
      <c r="AZ204">
        <f>step3_validation[[#This Row],[AI_TRU4]]</f>
        <v>6</v>
      </c>
      <c r="BA204" t="str">
        <f t="shared" si="102"/>
        <v>Neutral</v>
      </c>
      <c r="BB204">
        <f>survey_responses[[#This Row],[Tôi thấy Nhà nước đã giải thích rõ ràng, minh bạch về lý do và mục tiêu của việc sửa đổi thuế lần này. - HUMAN-TRU4]]</f>
        <v>5</v>
      </c>
      <c r="BC204" t="str">
        <f t="shared" si="103"/>
        <v>Neutral</v>
      </c>
      <c r="BD204" s="31">
        <f t="shared" si="104"/>
        <v>1</v>
      </c>
      <c r="BE204">
        <f>step3_validation[[#This Row],[AI_OUT1]]</f>
        <v>9</v>
      </c>
      <c r="BF204" t="str">
        <f t="shared" si="105"/>
        <v>Support</v>
      </c>
      <c r="BG204">
        <f>survey_responses[[#This Row],[Sau khi xem xét các quyền lợi và nghĩa vụ, bạn có ủng hộ và tuân thủ chính sách mới hiện nay? - HUMAN-OUT1]]</f>
        <v>5</v>
      </c>
      <c r="BH204" t="str">
        <f t="shared" si="106"/>
        <v>Neutral</v>
      </c>
      <c r="BI204" s="31">
        <f t="shared" si="107"/>
        <v>4</v>
      </c>
    </row>
    <row r="205" spans="1:61" hidden="1" x14ac:dyDescent="0.45">
      <c r="A205" s="29">
        <f>step3_validation[[#This Row],[Persona_ID]]</f>
        <v>204</v>
      </c>
      <c r="B205" s="30">
        <f>step3_validation[[#This Row],[Used_Seed]]</f>
        <v>245</v>
      </c>
      <c r="C205" t="str">
        <f>step3_validation[[#This Row],[Gender]]</f>
        <v>Nữ</v>
      </c>
      <c r="D205" t="str">
        <f>survey_responses[[#This Row],[Giới tính của bạn:]]</f>
        <v>Nữ</v>
      </c>
      <c r="E205" t="str">
        <f>step3_validation[[#This Row],[Age_Group]]</f>
        <v>30 - 39</v>
      </c>
      <c r="F205" t="str">
        <f>survey_responses[[#This Row],[Độ tuổi của bạn:]]</f>
        <v>30 - 39</v>
      </c>
      <c r="G205" t="str">
        <f>step3_validation[[#This Row],[Region]]</f>
        <v>Thành thị</v>
      </c>
      <c r="H205" t="str">
        <f>survey_responses[[#This Row],[Khu vực bạn đang sinh sống:]]</f>
        <v>Thành thị</v>
      </c>
      <c r="I205" t="str">
        <f>step3_validation[[#This Row],[Education]]</f>
        <v>Đại học</v>
      </c>
      <c r="J205" t="str">
        <f>survey_responses[[#This Row],[Trình độ học vấn cao nhất:]]</f>
        <v>Đại học</v>
      </c>
      <c r="K205" t="str">
        <f>step3_validation[[#This Row],[Employment]]</f>
        <v>Chính thức</v>
      </c>
      <c r="L205" t="str">
        <f>survey_responses[[#This Row],[Tình trạng việc làm chính:]]</f>
        <v>Khu vực chính thức (Có Hợp đồng lao động, đóng BHXH)</v>
      </c>
      <c r="M205">
        <f>step3_validation[[#This Row],[Income_Mil]]</f>
        <v>38.764103884941036</v>
      </c>
      <c r="N205" t="str">
        <f>survey_responses[[#This Row],[Thu nhập bình quân tháng theo Hợp đồng lao động của bạn là bao nhiêu? (Vui lòng điền tổng thu nhập trước khi khấu trừ các loại Bảo hiểm (BHXH, BHYT, BHTN) và Thuế TNCN)]]</f>
        <v>Từ 32 - 48 triệu VNĐ</v>
      </c>
      <c r="O205">
        <f>step3_validation[[#This Row],[Dependents]]</f>
        <v>1</v>
      </c>
      <c r="P205" t="str">
        <f>survey_responses[[#This Row],[Số người phụ thuộc (con nhỏ, cha mẹ già...) đủ điều kiện giảm trừ gia cảnh:]]</f>
        <v>1 người</v>
      </c>
      <c r="Q205">
        <f>step3_validation[[#This Row],[AI_ENF1]]</f>
        <v>8</v>
      </c>
      <c r="R205" t="str">
        <f t="shared" si="81"/>
        <v>Support</v>
      </c>
      <c r="S205">
        <f>survey_responses[[#This Row],[Tôi tin rằng với các quy định quản lý thuế hiện nay, hành vi gian lận hoặc trốn thuế sẽ dễ dàng bị phát hiện và xử lý nghiêm. - HUMAN-ENF1]]</f>
        <v>7</v>
      </c>
      <c r="T205" t="str">
        <f t="shared" si="82"/>
        <v>Neutral</v>
      </c>
      <c r="U205" s="31">
        <f t="shared" si="83"/>
        <v>1</v>
      </c>
      <c r="V205">
        <f>step3_validation[[#This Row],[AI_ENF2]]</f>
        <v>9</v>
      </c>
      <c r="W205" t="str">
        <f t="shared" si="84"/>
        <v>Support</v>
      </c>
      <c r="X205">
        <f>survey_responses[[#This Row],[Tôi tin rằng Nhà nước, cơ quan thuế có đủ khả năng và công nghệ để phát hiện, xử lý nghiêm các hành vi trốn thuế. - HUMAN-ENF2]]</f>
        <v>7</v>
      </c>
      <c r="Y205" t="str">
        <f t="shared" si="85"/>
        <v>Neutral</v>
      </c>
      <c r="Z205" s="31">
        <f t="shared" si="86"/>
        <v>2</v>
      </c>
      <c r="AA205">
        <f>step3_validation[[#This Row],[AI_FAC1]]</f>
        <v>7</v>
      </c>
      <c r="AB205" t="str">
        <f t="shared" si="87"/>
        <v>Neutral</v>
      </c>
      <c r="AC205">
        <f>survey_responses[[#This Row],[Các thủ tục khai báo thuế VÀ/HOẶC quy trình làm việc với cơ quan thuế đơn giản, tiện lợi, nhanh chóng hơn so với trước đây. - HUMAN-FAC1]]</f>
        <v>7</v>
      </c>
      <c r="AD205" t="str">
        <f t="shared" si="88"/>
        <v>Neutral</v>
      </c>
      <c r="AE205" s="31">
        <f t="shared" si="89"/>
        <v>0</v>
      </c>
      <c r="AF205">
        <f>step3_validation[[#This Row],[AI_FAC2]]</f>
        <v>8</v>
      </c>
      <c r="AG205" t="str">
        <f t="shared" si="90"/>
        <v>Support</v>
      </c>
      <c r="AH205">
        <f>survey_responses[[#This Row],[So với trước đây, tôi thấy cách tính thuế và các bậc thuế trong phương án mới đơn giản, dễ hiểu và dễ thực hiện hơn. - HUMAN-FAC2]]</f>
        <v>8</v>
      </c>
      <c r="AI205" t="str">
        <f t="shared" si="91"/>
        <v>Support</v>
      </c>
      <c r="AJ205" s="31">
        <f t="shared" si="92"/>
        <v>0</v>
      </c>
      <c r="AK205">
        <f>step3_validation[[#This Row],[AI_TRU1]]</f>
        <v>0</v>
      </c>
      <c r="AL205" t="str">
        <f t="shared" si="93"/>
        <v/>
      </c>
      <c r="AM205">
        <f>survey_responses[[#This Row],[Tôi tin rằng Nhà nước, cơ quan thuế sẽ thực thi chính sách mới một cách khách quan, công tâm và đối xử bình đẳng với mọi người nộp thuế.  - HUMAN-TRU1]]</f>
        <v>7</v>
      </c>
      <c r="AN205" t="str">
        <f t="shared" si="94"/>
        <v>Neutral</v>
      </c>
      <c r="AO205" s="31">
        <f t="shared" si="95"/>
        <v>7</v>
      </c>
      <c r="AP205">
        <f>step3_validation[[#This Row],[AI_TRU2]]</f>
        <v>0</v>
      </c>
      <c r="AQ205" t="str">
        <f t="shared" si="96"/>
        <v/>
      </c>
      <c r="AR205">
        <f>survey_responses[[#This Row],[Tôi thấy mức thuế tôi phải đóng theo phương án mới là công bằng (người thu nhập như tôi đóng mức này là hợp lý). - HUMAN-TRU2]]</f>
        <v>7</v>
      </c>
      <c r="AS205" t="str">
        <f t="shared" si="97"/>
        <v>Neutral</v>
      </c>
      <c r="AT205" s="31">
        <f t="shared" si="98"/>
        <v>7</v>
      </c>
      <c r="AU205">
        <f>step3_validation[[#This Row],[AI_TRU3]]</f>
        <v>0</v>
      </c>
      <c r="AV205" t="str">
        <f t="shared" si="99"/>
        <v/>
      </c>
      <c r="AW205">
        <f>survey_responses[[#This Row],[Tôi tin tưởng số tiền thuế tôi đóng sẽ được Nhà nước sử dụng hiệu quả để cải thiện dịch vụ công (y tế, đường xá...). - HUMAN-TRU3]]</f>
        <v>7</v>
      </c>
      <c r="AX205" t="str">
        <f t="shared" si="100"/>
        <v>Neutral</v>
      </c>
      <c r="AY205" s="31">
        <f t="shared" si="101"/>
        <v>7</v>
      </c>
      <c r="AZ205">
        <f>step3_validation[[#This Row],[AI_TRU4]]</f>
        <v>0</v>
      </c>
      <c r="BA205" t="str">
        <f t="shared" si="102"/>
        <v/>
      </c>
      <c r="BB205">
        <f>survey_responses[[#This Row],[Tôi thấy Nhà nước đã giải thích rõ ràng, minh bạch về lý do và mục tiêu của việc sửa đổi thuế lần này. - HUMAN-TRU4]]</f>
        <v>7</v>
      </c>
      <c r="BC205" t="str">
        <f t="shared" si="103"/>
        <v>Neutral</v>
      </c>
      <c r="BD205" s="31">
        <f t="shared" si="104"/>
        <v>7</v>
      </c>
      <c r="BE205">
        <f>step3_validation[[#This Row],[AI_OUT1]]</f>
        <v>0</v>
      </c>
      <c r="BF205" t="str">
        <f t="shared" si="105"/>
        <v/>
      </c>
      <c r="BG205">
        <f>survey_responses[[#This Row],[Sau khi xem xét các quyền lợi và nghĩa vụ, bạn có ủng hộ và tuân thủ chính sách mới hiện nay? - HUMAN-OUT1]]</f>
        <v>7</v>
      </c>
      <c r="BH205" t="str">
        <f t="shared" si="106"/>
        <v>Neutral</v>
      </c>
      <c r="BI205" s="31">
        <f t="shared" si="107"/>
        <v>7</v>
      </c>
    </row>
    <row r="206" spans="1:61" hidden="1" x14ac:dyDescent="0.45">
      <c r="A206" s="29">
        <f>step3_validation[[#This Row],[Persona_ID]]</f>
        <v>205</v>
      </c>
      <c r="B206" s="30">
        <f>step3_validation[[#This Row],[Used_Seed]]</f>
        <v>246</v>
      </c>
      <c r="C206" t="str">
        <f>step3_validation[[#This Row],[Gender]]</f>
        <v>Nữ</v>
      </c>
      <c r="D206" t="str">
        <f>survey_responses[[#This Row],[Giới tính của bạn:]]</f>
        <v>Nữ</v>
      </c>
      <c r="E206" t="str">
        <f>step3_validation[[#This Row],[Age_Group]]</f>
        <v>30 - 39</v>
      </c>
      <c r="F206" t="str">
        <f>survey_responses[[#This Row],[Độ tuổi của bạn:]]</f>
        <v>30 - 39</v>
      </c>
      <c r="G206" t="str">
        <f>step3_validation[[#This Row],[Region]]</f>
        <v>Thành thị</v>
      </c>
      <c r="H206" t="str">
        <f>survey_responses[[#This Row],[Khu vực bạn đang sinh sống:]]</f>
        <v>Thành thị</v>
      </c>
      <c r="I206" t="str">
        <f>step3_validation[[#This Row],[Education]]</f>
        <v>Sau Đại học</v>
      </c>
      <c r="J206" t="str">
        <f>survey_responses[[#This Row],[Trình độ học vấn cao nhất:]]</f>
        <v>Sau Đại học</v>
      </c>
      <c r="K206" t="str">
        <f>step3_validation[[#This Row],[Employment]]</f>
        <v>Chính thức</v>
      </c>
      <c r="L206" t="str">
        <f>survey_responses[[#This Row],[Tình trạng việc làm chính:]]</f>
        <v>Khu vực chính thức (Có Hợp đồng lao động, đóng BHXH)</v>
      </c>
      <c r="M206">
        <f>step3_validation[[#This Row],[Income_Mil]]</f>
        <v>25.324684121839315</v>
      </c>
      <c r="N206" t="str">
        <f>survey_responses[[#This Row],[Thu nhập bình quân tháng theo Hợp đồng lao động của bạn là bao nhiêu? (Vui lòng điền tổng thu nhập trước khi khấu trừ các loại Bảo hiểm (BHXH, BHYT, BHTN) và Thuế TNCN)]]</f>
        <v>Từ 23 - 32 triệu VNĐ</v>
      </c>
      <c r="O206">
        <f>step3_validation[[#This Row],[Dependents]]</f>
        <v>0</v>
      </c>
      <c r="P206" t="str">
        <f>survey_responses[[#This Row],[Số người phụ thuộc (con nhỏ, cha mẹ già...) đủ điều kiện giảm trừ gia cảnh:]]</f>
        <v>0 người</v>
      </c>
      <c r="Q206">
        <f>step3_validation[[#This Row],[AI_ENF1]]</f>
        <v>7</v>
      </c>
      <c r="R206" t="str">
        <f t="shared" si="81"/>
        <v>Neutral</v>
      </c>
      <c r="S206">
        <f>survey_responses[[#This Row],[Tôi tin rằng với các quy định quản lý thuế hiện nay, hành vi gian lận hoặc trốn thuế sẽ dễ dàng bị phát hiện và xử lý nghiêm. - HUMAN-ENF1]]</f>
        <v>3</v>
      </c>
      <c r="T206" t="str">
        <f t="shared" si="82"/>
        <v>Oppose</v>
      </c>
      <c r="U206" s="31">
        <f t="shared" si="83"/>
        <v>4</v>
      </c>
      <c r="V206">
        <f>step3_validation[[#This Row],[AI_ENF2]]</f>
        <v>8</v>
      </c>
      <c r="W206" t="str">
        <f t="shared" si="84"/>
        <v>Support</v>
      </c>
      <c r="X206">
        <f>survey_responses[[#This Row],[Tôi tin rằng Nhà nước, cơ quan thuế có đủ khả năng và công nghệ để phát hiện, xử lý nghiêm các hành vi trốn thuế. - HUMAN-ENF2]]</f>
        <v>1</v>
      </c>
      <c r="Y206" t="str">
        <f t="shared" si="85"/>
        <v>Oppose</v>
      </c>
      <c r="Z206" s="31">
        <f t="shared" si="86"/>
        <v>7</v>
      </c>
      <c r="AA206">
        <f>step3_validation[[#This Row],[AI_FAC1]]</f>
        <v>9</v>
      </c>
      <c r="AB206" t="str">
        <f t="shared" si="87"/>
        <v>Support</v>
      </c>
      <c r="AC206">
        <f>survey_responses[[#This Row],[Các thủ tục khai báo thuế VÀ/HOẶC quy trình làm việc với cơ quan thuế đơn giản, tiện lợi, nhanh chóng hơn so với trước đây. - HUMAN-FAC1]]</f>
        <v>1</v>
      </c>
      <c r="AD206" t="str">
        <f t="shared" si="88"/>
        <v>Oppose</v>
      </c>
      <c r="AE206" s="31">
        <f t="shared" si="89"/>
        <v>8</v>
      </c>
      <c r="AF206">
        <f>step3_validation[[#This Row],[AI_FAC2]]</f>
        <v>9</v>
      </c>
      <c r="AG206" t="str">
        <f t="shared" si="90"/>
        <v>Support</v>
      </c>
      <c r="AH206">
        <f>survey_responses[[#This Row],[So với trước đây, tôi thấy cách tính thuế và các bậc thuế trong phương án mới đơn giản, dễ hiểu và dễ thực hiện hơn. - HUMAN-FAC2]]</f>
        <v>5</v>
      </c>
      <c r="AI206" t="str">
        <f t="shared" si="91"/>
        <v>Neutral</v>
      </c>
      <c r="AJ206" s="31">
        <f t="shared" si="92"/>
        <v>4</v>
      </c>
      <c r="AK206">
        <f>step3_validation[[#This Row],[AI_TRU1]]</f>
        <v>8</v>
      </c>
      <c r="AL206" t="str">
        <f t="shared" si="93"/>
        <v>Support</v>
      </c>
      <c r="AM206">
        <f>survey_responses[[#This Row],[Tôi tin rằng Nhà nước, cơ quan thuế sẽ thực thi chính sách mới một cách khách quan, công tâm và đối xử bình đẳng với mọi người nộp thuế.  - HUMAN-TRU1]]</f>
        <v>1</v>
      </c>
      <c r="AN206" t="str">
        <f t="shared" si="94"/>
        <v>Oppose</v>
      </c>
      <c r="AO206" s="31">
        <f t="shared" si="95"/>
        <v>7</v>
      </c>
      <c r="AP206">
        <f>step3_validation[[#This Row],[AI_TRU2]]</f>
        <v>9</v>
      </c>
      <c r="AQ206" t="str">
        <f t="shared" si="96"/>
        <v>Support</v>
      </c>
      <c r="AR206">
        <f>survey_responses[[#This Row],[Tôi thấy mức thuế tôi phải đóng theo phương án mới là công bằng (người thu nhập như tôi đóng mức này là hợp lý). - HUMAN-TRU2]]</f>
        <v>1</v>
      </c>
      <c r="AS206" t="str">
        <f t="shared" si="97"/>
        <v>Oppose</v>
      </c>
      <c r="AT206" s="31">
        <f t="shared" si="98"/>
        <v>8</v>
      </c>
      <c r="AU206">
        <f>step3_validation[[#This Row],[AI_TRU3]]</f>
        <v>8</v>
      </c>
      <c r="AV206" t="str">
        <f t="shared" si="99"/>
        <v>Support</v>
      </c>
      <c r="AW206">
        <f>survey_responses[[#This Row],[Tôi tin tưởng số tiền thuế tôi đóng sẽ được Nhà nước sử dụng hiệu quả để cải thiện dịch vụ công (y tế, đường xá...). - HUMAN-TRU3]]</f>
        <v>1</v>
      </c>
      <c r="AX206" t="str">
        <f t="shared" si="100"/>
        <v>Oppose</v>
      </c>
      <c r="AY206" s="31">
        <f t="shared" si="101"/>
        <v>7</v>
      </c>
      <c r="AZ206">
        <f>step3_validation[[#This Row],[AI_TRU4]]</f>
        <v>7</v>
      </c>
      <c r="BA206" t="str">
        <f t="shared" si="102"/>
        <v>Neutral</v>
      </c>
      <c r="BB206">
        <f>survey_responses[[#This Row],[Tôi thấy Nhà nước đã giải thích rõ ràng, minh bạch về lý do và mục tiêu của việc sửa đổi thuế lần này. - HUMAN-TRU4]]</f>
        <v>4</v>
      </c>
      <c r="BC206" t="str">
        <f t="shared" si="103"/>
        <v>Oppose</v>
      </c>
      <c r="BD206" s="31">
        <f t="shared" si="104"/>
        <v>3</v>
      </c>
      <c r="BE206">
        <f>step3_validation[[#This Row],[AI_OUT1]]</f>
        <v>9</v>
      </c>
      <c r="BF206" t="str">
        <f t="shared" si="105"/>
        <v>Support</v>
      </c>
      <c r="BG206">
        <f>survey_responses[[#This Row],[Sau khi xem xét các quyền lợi và nghĩa vụ, bạn có ủng hộ và tuân thủ chính sách mới hiện nay? - HUMAN-OUT1]]</f>
        <v>5</v>
      </c>
      <c r="BH206" t="str">
        <f t="shared" si="106"/>
        <v>Neutral</v>
      </c>
      <c r="BI206" s="31">
        <f t="shared" si="107"/>
        <v>4</v>
      </c>
    </row>
    <row r="207" spans="1:61" hidden="1" x14ac:dyDescent="0.45">
      <c r="A207" s="29">
        <f>step3_validation[[#This Row],[Persona_ID]]</f>
        <v>206</v>
      </c>
      <c r="B207" s="30">
        <f>step3_validation[[#This Row],[Used_Seed]]</f>
        <v>247</v>
      </c>
      <c r="C207" t="str">
        <f>step3_validation[[#This Row],[Gender]]</f>
        <v>Nữ</v>
      </c>
      <c r="D207" t="str">
        <f>survey_responses[[#This Row],[Giới tính của bạn:]]</f>
        <v>Nữ</v>
      </c>
      <c r="E207" t="str">
        <f>step3_validation[[#This Row],[Age_Group]]</f>
        <v>40 - 49</v>
      </c>
      <c r="F207" t="str">
        <f>survey_responses[[#This Row],[Độ tuổi của bạn:]]</f>
        <v>40 - 49</v>
      </c>
      <c r="G207" t="str">
        <f>step3_validation[[#This Row],[Region]]</f>
        <v>Thành thị</v>
      </c>
      <c r="H207" t="str">
        <f>survey_responses[[#This Row],[Khu vực bạn đang sinh sống:]]</f>
        <v>Thành thị</v>
      </c>
      <c r="I207" t="str">
        <f>step3_validation[[#This Row],[Education]]</f>
        <v>Đại học</v>
      </c>
      <c r="J207" t="str">
        <f>survey_responses[[#This Row],[Trình độ học vấn cao nhất:]]</f>
        <v>Đại học</v>
      </c>
      <c r="K207" t="str">
        <f>step3_validation[[#This Row],[Employment]]</f>
        <v>Chính thức</v>
      </c>
      <c r="L207" t="str">
        <f>survey_responses[[#This Row],[Tình trạng việc làm chính:]]</f>
        <v>Khu vực chính thức (Có Hợp đồng lao động, đóng BHXH)</v>
      </c>
      <c r="M207">
        <f>step3_validation[[#This Row],[Income_Mil]]</f>
        <v>64.590091265394577</v>
      </c>
      <c r="N207" t="str">
        <f>survey_responses[[#This Row],[Thu nhập bình quân tháng theo Hợp đồng lao động của bạn là bao nhiêu? (Vui lòng điền tổng thu nhập trước khi khấu trừ các loại Bảo hiểm (BHXH, BHYT, BHTN) và Thuế TNCN)]]</f>
        <v>Từ 48 - 70 triệu VNĐ</v>
      </c>
      <c r="O207">
        <f>step3_validation[[#This Row],[Dependents]]</f>
        <v>1</v>
      </c>
      <c r="P207" t="str">
        <f>survey_responses[[#This Row],[Số người phụ thuộc (con nhỏ, cha mẹ già...) đủ điều kiện giảm trừ gia cảnh:]]</f>
        <v>1 người</v>
      </c>
      <c r="Q207">
        <f>step3_validation[[#This Row],[AI_ENF1]]</f>
        <v>7</v>
      </c>
      <c r="R207" t="str">
        <f t="shared" si="81"/>
        <v>Neutral</v>
      </c>
      <c r="S207">
        <f>survey_responses[[#This Row],[Tôi tin rằng với các quy định quản lý thuế hiện nay, hành vi gian lận hoặc trốn thuế sẽ dễ dàng bị phát hiện và xử lý nghiêm. - HUMAN-ENF1]]</f>
        <v>8</v>
      </c>
      <c r="T207" t="str">
        <f t="shared" si="82"/>
        <v>Support</v>
      </c>
      <c r="U207" s="31">
        <f t="shared" si="83"/>
        <v>1</v>
      </c>
      <c r="V207">
        <f>step3_validation[[#This Row],[AI_ENF2]]</f>
        <v>7</v>
      </c>
      <c r="W207" t="str">
        <f t="shared" si="84"/>
        <v>Neutral</v>
      </c>
      <c r="X207">
        <f>survey_responses[[#This Row],[Tôi tin rằng Nhà nước, cơ quan thuế có đủ khả năng và công nghệ để phát hiện, xử lý nghiêm các hành vi trốn thuế. - HUMAN-ENF2]]</f>
        <v>8</v>
      </c>
      <c r="Y207" t="str">
        <f t="shared" si="85"/>
        <v>Support</v>
      </c>
      <c r="Z207" s="31">
        <f t="shared" si="86"/>
        <v>1</v>
      </c>
      <c r="AA207">
        <f>step3_validation[[#This Row],[AI_FAC1]]</f>
        <v>8</v>
      </c>
      <c r="AB207" t="str">
        <f t="shared" si="87"/>
        <v>Support</v>
      </c>
      <c r="AC207">
        <f>survey_responses[[#This Row],[Các thủ tục khai báo thuế VÀ/HOẶC quy trình làm việc với cơ quan thuế đơn giản, tiện lợi, nhanh chóng hơn so với trước đây. - HUMAN-FAC1]]</f>
        <v>5</v>
      </c>
      <c r="AD207" t="str">
        <f t="shared" si="88"/>
        <v>Neutral</v>
      </c>
      <c r="AE207" s="31">
        <f t="shared" si="89"/>
        <v>3</v>
      </c>
      <c r="AF207">
        <f>step3_validation[[#This Row],[AI_FAC2]]</f>
        <v>9</v>
      </c>
      <c r="AG207" t="str">
        <f t="shared" si="90"/>
        <v>Support</v>
      </c>
      <c r="AH207">
        <f>survey_responses[[#This Row],[So với trước đây, tôi thấy cách tính thuế và các bậc thuế trong phương án mới đơn giản, dễ hiểu và dễ thực hiện hơn. - HUMAN-FAC2]]</f>
        <v>7</v>
      </c>
      <c r="AI207" t="str">
        <f t="shared" si="91"/>
        <v>Neutral</v>
      </c>
      <c r="AJ207" s="31">
        <f t="shared" si="92"/>
        <v>2</v>
      </c>
      <c r="AK207">
        <f>step3_validation[[#This Row],[AI_TRU1]]</f>
        <v>7</v>
      </c>
      <c r="AL207" t="str">
        <f t="shared" si="93"/>
        <v>Neutral</v>
      </c>
      <c r="AM207">
        <f>survey_responses[[#This Row],[Tôi tin rằng Nhà nước, cơ quan thuế sẽ thực thi chính sách mới một cách khách quan, công tâm và đối xử bình đẳng với mọi người nộp thuế.  - HUMAN-TRU1]]</f>
        <v>7</v>
      </c>
      <c r="AN207" t="str">
        <f t="shared" si="94"/>
        <v>Neutral</v>
      </c>
      <c r="AO207" s="31">
        <f t="shared" si="95"/>
        <v>0</v>
      </c>
      <c r="AP207">
        <f>step3_validation[[#This Row],[AI_TRU2]]</f>
        <v>8</v>
      </c>
      <c r="AQ207" t="str">
        <f t="shared" si="96"/>
        <v>Support</v>
      </c>
      <c r="AR207">
        <f>survey_responses[[#This Row],[Tôi thấy mức thuế tôi phải đóng theo phương án mới là công bằng (người thu nhập như tôi đóng mức này là hợp lý). - HUMAN-TRU2]]</f>
        <v>6</v>
      </c>
      <c r="AS207" t="str">
        <f t="shared" si="97"/>
        <v>Neutral</v>
      </c>
      <c r="AT207" s="31">
        <f t="shared" si="98"/>
        <v>2</v>
      </c>
      <c r="AU207">
        <f>step3_validation[[#This Row],[AI_TRU3]]</f>
        <v>7</v>
      </c>
      <c r="AV207" t="str">
        <f t="shared" si="99"/>
        <v>Neutral</v>
      </c>
      <c r="AW207">
        <f>survey_responses[[#This Row],[Tôi tin tưởng số tiền thuế tôi đóng sẽ được Nhà nước sử dụng hiệu quả để cải thiện dịch vụ công (y tế, đường xá...). - HUMAN-TRU3]]</f>
        <v>6</v>
      </c>
      <c r="AX207" t="str">
        <f t="shared" si="100"/>
        <v>Neutral</v>
      </c>
      <c r="AY207" s="31">
        <f t="shared" si="101"/>
        <v>1</v>
      </c>
      <c r="AZ207">
        <f>step3_validation[[#This Row],[AI_TRU4]]</f>
        <v>6</v>
      </c>
      <c r="BA207" t="str">
        <f t="shared" si="102"/>
        <v>Neutral</v>
      </c>
      <c r="BB207">
        <f>survey_responses[[#This Row],[Tôi thấy Nhà nước đã giải thích rõ ràng, minh bạch về lý do và mục tiêu của việc sửa đổi thuế lần này. - HUMAN-TRU4]]</f>
        <v>7</v>
      </c>
      <c r="BC207" t="str">
        <f t="shared" si="103"/>
        <v>Neutral</v>
      </c>
      <c r="BD207" s="31">
        <f t="shared" si="104"/>
        <v>1</v>
      </c>
      <c r="BE207">
        <f>step3_validation[[#This Row],[AI_OUT1]]</f>
        <v>8</v>
      </c>
      <c r="BF207" t="str">
        <f t="shared" si="105"/>
        <v>Support</v>
      </c>
      <c r="BG207">
        <f>survey_responses[[#This Row],[Sau khi xem xét các quyền lợi và nghĩa vụ, bạn có ủng hộ và tuân thủ chính sách mới hiện nay? - HUMAN-OUT1]]</f>
        <v>7</v>
      </c>
      <c r="BH207" t="str">
        <f t="shared" si="106"/>
        <v>Neutral</v>
      </c>
      <c r="BI207" s="31">
        <f t="shared" si="107"/>
        <v>1</v>
      </c>
    </row>
    <row r="208" spans="1:61" hidden="1" x14ac:dyDescent="0.45">
      <c r="A208" s="29">
        <f>step3_validation[[#This Row],[Persona_ID]]</f>
        <v>207</v>
      </c>
      <c r="B208" s="30">
        <f>step3_validation[[#This Row],[Used_Seed]]</f>
        <v>248</v>
      </c>
      <c r="C208" t="str">
        <f>step3_validation[[#This Row],[Gender]]</f>
        <v>Nam</v>
      </c>
      <c r="D208" t="str">
        <f>survey_responses[[#This Row],[Giới tính của bạn:]]</f>
        <v>Nam</v>
      </c>
      <c r="E208" t="str">
        <f>step3_validation[[#This Row],[Age_Group]]</f>
        <v>30 - 39</v>
      </c>
      <c r="F208" t="str">
        <f>survey_responses[[#This Row],[Độ tuổi của bạn:]]</f>
        <v>30 - 39</v>
      </c>
      <c r="G208" t="str">
        <f>step3_validation[[#This Row],[Region]]</f>
        <v>Thành thị</v>
      </c>
      <c r="H208" t="str">
        <f>survey_responses[[#This Row],[Khu vực bạn đang sinh sống:]]</f>
        <v>Thành thị</v>
      </c>
      <c r="I208" t="str">
        <f>step3_validation[[#This Row],[Education]]</f>
        <v>Đại học</v>
      </c>
      <c r="J208" t="str">
        <f>survey_responses[[#This Row],[Trình độ học vấn cao nhất:]]</f>
        <v>Đại học</v>
      </c>
      <c r="K208" t="str">
        <f>step3_validation[[#This Row],[Employment]]</f>
        <v>Chính thức</v>
      </c>
      <c r="L208" t="str">
        <f>survey_responses[[#This Row],[Tình trạng việc làm chính:]]</f>
        <v>Khu vực chính thức (Có Hợp đồng lao động, đóng BHXH)</v>
      </c>
      <c r="M208">
        <f>step3_validation[[#This Row],[Income_Mil]]</f>
        <v>54.220899937770611</v>
      </c>
      <c r="N208" t="str">
        <f>survey_responses[[#This Row],[Thu nhập bình quân tháng theo Hợp đồng lao động của bạn là bao nhiêu? (Vui lòng điền tổng thu nhập trước khi khấu trừ các loại Bảo hiểm (BHXH, BHYT, BHTN) và Thuế TNCN)]]</f>
        <v>Từ 48 - 70 triệu VNĐ</v>
      </c>
      <c r="O208">
        <f>step3_validation[[#This Row],[Dependents]]</f>
        <v>2</v>
      </c>
      <c r="P208" t="str">
        <f>survey_responses[[#This Row],[Số người phụ thuộc (con nhỏ, cha mẹ già...) đủ điều kiện giảm trừ gia cảnh:]]</f>
        <v>2 người</v>
      </c>
      <c r="Q208">
        <f>step3_validation[[#This Row],[AI_ENF1]]</f>
        <v>6</v>
      </c>
      <c r="R208" t="str">
        <f t="shared" si="81"/>
        <v>Neutral</v>
      </c>
      <c r="S208">
        <f>survey_responses[[#This Row],[Tôi tin rằng với các quy định quản lý thuế hiện nay, hành vi gian lận hoặc trốn thuế sẽ dễ dàng bị phát hiện và xử lý nghiêm. - HUMAN-ENF1]]</f>
        <v>4</v>
      </c>
      <c r="T208" t="str">
        <f t="shared" si="82"/>
        <v>Oppose</v>
      </c>
      <c r="U208" s="31">
        <f t="shared" si="83"/>
        <v>2</v>
      </c>
      <c r="V208">
        <f>step3_validation[[#This Row],[AI_ENF2]]</f>
        <v>7</v>
      </c>
      <c r="W208" t="str">
        <f t="shared" si="84"/>
        <v>Neutral</v>
      </c>
      <c r="X208">
        <f>survey_responses[[#This Row],[Tôi tin rằng Nhà nước, cơ quan thuế có đủ khả năng và công nghệ để phát hiện, xử lý nghiêm các hành vi trốn thuế. - HUMAN-ENF2]]</f>
        <v>3</v>
      </c>
      <c r="Y208" t="str">
        <f t="shared" si="85"/>
        <v>Oppose</v>
      </c>
      <c r="Z208" s="31">
        <f t="shared" si="86"/>
        <v>4</v>
      </c>
      <c r="AA208">
        <f>step3_validation[[#This Row],[AI_FAC1]]</f>
        <v>9</v>
      </c>
      <c r="AB208" t="str">
        <f t="shared" si="87"/>
        <v>Support</v>
      </c>
      <c r="AC208">
        <f>survey_responses[[#This Row],[Các thủ tục khai báo thuế VÀ/HOẶC quy trình làm việc với cơ quan thuế đơn giản, tiện lợi, nhanh chóng hơn so với trước đây. - HUMAN-FAC1]]</f>
        <v>1</v>
      </c>
      <c r="AD208" t="str">
        <f t="shared" si="88"/>
        <v>Oppose</v>
      </c>
      <c r="AE208" s="31">
        <f t="shared" si="89"/>
        <v>8</v>
      </c>
      <c r="AF208">
        <f>step3_validation[[#This Row],[AI_FAC2]]</f>
        <v>8</v>
      </c>
      <c r="AG208" t="str">
        <f t="shared" si="90"/>
        <v>Support</v>
      </c>
      <c r="AH208">
        <f>survey_responses[[#This Row],[So với trước đây, tôi thấy cách tính thuế và các bậc thuế trong phương án mới đơn giản, dễ hiểu và dễ thực hiện hơn. - HUMAN-FAC2]]</f>
        <v>2</v>
      </c>
      <c r="AI208" t="str">
        <f t="shared" si="91"/>
        <v>Oppose</v>
      </c>
      <c r="AJ208" s="31">
        <f t="shared" si="92"/>
        <v>6</v>
      </c>
      <c r="AK208">
        <f>step3_validation[[#This Row],[AI_TRU1]]</f>
        <v>7</v>
      </c>
      <c r="AL208" t="str">
        <f t="shared" si="93"/>
        <v>Neutral</v>
      </c>
      <c r="AM208">
        <f>survey_responses[[#This Row],[Tôi tin rằng Nhà nước, cơ quan thuế sẽ thực thi chính sách mới một cách khách quan, công tâm và đối xử bình đẳng với mọi người nộp thuế.  - HUMAN-TRU1]]</f>
        <v>1</v>
      </c>
      <c r="AN208" t="str">
        <f t="shared" si="94"/>
        <v>Oppose</v>
      </c>
      <c r="AO208" s="31">
        <f t="shared" si="95"/>
        <v>6</v>
      </c>
      <c r="AP208">
        <f>step3_validation[[#This Row],[AI_TRU2]]</f>
        <v>9</v>
      </c>
      <c r="AQ208" t="str">
        <f t="shared" si="96"/>
        <v>Support</v>
      </c>
      <c r="AR208">
        <f>survey_responses[[#This Row],[Tôi thấy mức thuế tôi phải đóng theo phương án mới là công bằng (người thu nhập như tôi đóng mức này là hợp lý). - HUMAN-TRU2]]</f>
        <v>1</v>
      </c>
      <c r="AS208" t="str">
        <f t="shared" si="97"/>
        <v>Oppose</v>
      </c>
      <c r="AT208" s="31">
        <f t="shared" si="98"/>
        <v>8</v>
      </c>
      <c r="AU208">
        <f>step3_validation[[#This Row],[AI_TRU3]]</f>
        <v>8</v>
      </c>
      <c r="AV208" t="str">
        <f t="shared" si="99"/>
        <v>Support</v>
      </c>
      <c r="AW208">
        <f>survey_responses[[#This Row],[Tôi tin tưởng số tiền thuế tôi đóng sẽ được Nhà nước sử dụng hiệu quả để cải thiện dịch vụ công (y tế, đường xá...). - HUMAN-TRU3]]</f>
        <v>1</v>
      </c>
      <c r="AX208" t="str">
        <f t="shared" si="100"/>
        <v>Oppose</v>
      </c>
      <c r="AY208" s="31">
        <f t="shared" si="101"/>
        <v>7</v>
      </c>
      <c r="AZ208">
        <f>step3_validation[[#This Row],[AI_TRU4]]</f>
        <v>9</v>
      </c>
      <c r="BA208" t="str">
        <f t="shared" si="102"/>
        <v>Support</v>
      </c>
      <c r="BB208">
        <f>survey_responses[[#This Row],[Tôi thấy Nhà nước đã giải thích rõ ràng, minh bạch về lý do và mục tiêu của việc sửa đổi thuế lần này. - HUMAN-TRU4]]</f>
        <v>4</v>
      </c>
      <c r="BC208" t="str">
        <f t="shared" si="103"/>
        <v>Oppose</v>
      </c>
      <c r="BD208" s="31">
        <f t="shared" si="104"/>
        <v>5</v>
      </c>
      <c r="BE208">
        <f>step3_validation[[#This Row],[AI_OUT1]]</f>
        <v>10</v>
      </c>
      <c r="BF208" t="str">
        <f t="shared" si="105"/>
        <v>Support</v>
      </c>
      <c r="BG208">
        <f>survey_responses[[#This Row],[Sau khi xem xét các quyền lợi và nghĩa vụ, bạn có ủng hộ và tuân thủ chính sách mới hiện nay? - HUMAN-OUT1]]</f>
        <v>2</v>
      </c>
      <c r="BH208" t="str">
        <f t="shared" si="106"/>
        <v>Oppose</v>
      </c>
      <c r="BI208" s="31">
        <f t="shared" si="107"/>
        <v>8</v>
      </c>
    </row>
    <row r="209" spans="1:61" hidden="1" x14ac:dyDescent="0.45">
      <c r="A209" s="29">
        <f>step3_validation[[#This Row],[Persona_ID]]</f>
        <v>208</v>
      </c>
      <c r="B209" s="30">
        <f>step3_validation[[#This Row],[Used_Seed]]</f>
        <v>249</v>
      </c>
      <c r="C209" t="str">
        <f>step3_validation[[#This Row],[Gender]]</f>
        <v>Nữ</v>
      </c>
      <c r="D209" t="str">
        <f>survey_responses[[#This Row],[Giới tính của bạn:]]</f>
        <v>Nữ</v>
      </c>
      <c r="E209" t="str">
        <f>step3_validation[[#This Row],[Age_Group]]</f>
        <v>30 - 39</v>
      </c>
      <c r="F209" t="str">
        <f>survey_responses[[#This Row],[Độ tuổi của bạn:]]</f>
        <v>30 - 39</v>
      </c>
      <c r="G209" t="str">
        <f>step3_validation[[#This Row],[Region]]</f>
        <v>Thành thị</v>
      </c>
      <c r="H209" t="str">
        <f>survey_responses[[#This Row],[Khu vực bạn đang sinh sống:]]</f>
        <v>Thành thị</v>
      </c>
      <c r="I209" t="str">
        <f>step3_validation[[#This Row],[Education]]</f>
        <v>Sau Đại học</v>
      </c>
      <c r="J209" t="str">
        <f>survey_responses[[#This Row],[Trình độ học vấn cao nhất:]]</f>
        <v>Sau Đại học</v>
      </c>
      <c r="K209" t="str">
        <f>step3_validation[[#This Row],[Employment]]</f>
        <v>Chính thức</v>
      </c>
      <c r="L209" t="str">
        <f>survey_responses[[#This Row],[Tình trạng việc làm chính:]]</f>
        <v>Khu vực chính thức (Có Hợp đồng lao động, đóng BHXH)</v>
      </c>
      <c r="M209">
        <f>step3_validation[[#This Row],[Income_Mil]]</f>
        <v>46.749827958630028</v>
      </c>
      <c r="N209" t="str">
        <f>survey_responses[[#This Row],[Thu nhập bình quân tháng theo Hợp đồng lao động của bạn là bao nhiêu? (Vui lòng điền tổng thu nhập trước khi khấu trừ các loại Bảo hiểm (BHXH, BHYT, BHTN) và Thuế TNCN)]]</f>
        <v>Từ 32 - 48 triệu VNĐ</v>
      </c>
      <c r="O209">
        <f>step3_validation[[#This Row],[Dependents]]</f>
        <v>1</v>
      </c>
      <c r="P209" t="str">
        <f>survey_responses[[#This Row],[Số người phụ thuộc (con nhỏ, cha mẹ già...) đủ điều kiện giảm trừ gia cảnh:]]</f>
        <v>1 người</v>
      </c>
      <c r="Q209">
        <f>step3_validation[[#This Row],[AI_ENF1]]</f>
        <v>6</v>
      </c>
      <c r="R209" t="str">
        <f t="shared" si="81"/>
        <v>Neutral</v>
      </c>
      <c r="S209">
        <f>survey_responses[[#This Row],[Tôi tin rằng với các quy định quản lý thuế hiện nay, hành vi gian lận hoặc trốn thuế sẽ dễ dàng bị phát hiện và xử lý nghiêm. - HUMAN-ENF1]]</f>
        <v>7</v>
      </c>
      <c r="T209" t="str">
        <f t="shared" si="82"/>
        <v>Neutral</v>
      </c>
      <c r="U209" s="31">
        <f t="shared" si="83"/>
        <v>1</v>
      </c>
      <c r="V209">
        <f>step3_validation[[#This Row],[AI_ENF2]]</f>
        <v>6</v>
      </c>
      <c r="W209" t="str">
        <f t="shared" si="84"/>
        <v>Neutral</v>
      </c>
      <c r="X209">
        <f>survey_responses[[#This Row],[Tôi tin rằng Nhà nước, cơ quan thuế có đủ khả năng và công nghệ để phát hiện, xử lý nghiêm các hành vi trốn thuế. - HUMAN-ENF2]]</f>
        <v>8</v>
      </c>
      <c r="Y209" t="str">
        <f t="shared" si="85"/>
        <v>Support</v>
      </c>
      <c r="Z209" s="31">
        <f t="shared" si="86"/>
        <v>2</v>
      </c>
      <c r="AA209">
        <f>step3_validation[[#This Row],[AI_FAC1]]</f>
        <v>9</v>
      </c>
      <c r="AB209" t="str">
        <f t="shared" si="87"/>
        <v>Support</v>
      </c>
      <c r="AC209">
        <f>survey_responses[[#This Row],[Các thủ tục khai báo thuế VÀ/HOẶC quy trình làm việc với cơ quan thuế đơn giản, tiện lợi, nhanh chóng hơn so với trước đây. - HUMAN-FAC1]]</f>
        <v>6</v>
      </c>
      <c r="AD209" t="str">
        <f t="shared" si="88"/>
        <v>Neutral</v>
      </c>
      <c r="AE209" s="31">
        <f t="shared" si="89"/>
        <v>3</v>
      </c>
      <c r="AF209">
        <f>step3_validation[[#This Row],[AI_FAC2]]</f>
        <v>9</v>
      </c>
      <c r="AG209" t="str">
        <f t="shared" si="90"/>
        <v>Support</v>
      </c>
      <c r="AH209">
        <f>survey_responses[[#This Row],[So với trước đây, tôi thấy cách tính thuế và các bậc thuế trong phương án mới đơn giản, dễ hiểu và dễ thực hiện hơn. - HUMAN-FAC2]]</f>
        <v>7</v>
      </c>
      <c r="AI209" t="str">
        <f t="shared" si="91"/>
        <v>Neutral</v>
      </c>
      <c r="AJ209" s="31">
        <f t="shared" si="92"/>
        <v>2</v>
      </c>
      <c r="AK209">
        <f>step3_validation[[#This Row],[AI_TRU1]]</f>
        <v>7</v>
      </c>
      <c r="AL209" t="str">
        <f t="shared" si="93"/>
        <v>Neutral</v>
      </c>
      <c r="AM209">
        <f>survey_responses[[#This Row],[Tôi tin rằng Nhà nước, cơ quan thuế sẽ thực thi chính sách mới một cách khách quan, công tâm và đối xử bình đẳng với mọi người nộp thuế.  - HUMAN-TRU1]]</f>
        <v>6</v>
      </c>
      <c r="AN209" t="str">
        <f t="shared" si="94"/>
        <v>Neutral</v>
      </c>
      <c r="AO209" s="31">
        <f t="shared" si="95"/>
        <v>1</v>
      </c>
      <c r="AP209">
        <f>step3_validation[[#This Row],[AI_TRU2]]</f>
        <v>8</v>
      </c>
      <c r="AQ209" t="str">
        <f t="shared" si="96"/>
        <v>Support</v>
      </c>
      <c r="AR209">
        <f>survey_responses[[#This Row],[Tôi thấy mức thuế tôi phải đóng theo phương án mới là công bằng (người thu nhập như tôi đóng mức này là hợp lý). - HUMAN-TRU2]]</f>
        <v>7</v>
      </c>
      <c r="AS209" t="str">
        <f t="shared" si="97"/>
        <v>Neutral</v>
      </c>
      <c r="AT209" s="31">
        <f t="shared" si="98"/>
        <v>1</v>
      </c>
      <c r="AU209">
        <f>step3_validation[[#This Row],[AI_TRU3]]</f>
        <v>7</v>
      </c>
      <c r="AV209" t="str">
        <f t="shared" si="99"/>
        <v>Neutral</v>
      </c>
      <c r="AW209">
        <f>survey_responses[[#This Row],[Tôi tin tưởng số tiền thuế tôi đóng sẽ được Nhà nước sử dụng hiệu quả để cải thiện dịch vụ công (y tế, đường xá...). - HUMAN-TRU3]]</f>
        <v>6</v>
      </c>
      <c r="AX209" t="str">
        <f t="shared" si="100"/>
        <v>Neutral</v>
      </c>
      <c r="AY209" s="31">
        <f t="shared" si="101"/>
        <v>1</v>
      </c>
      <c r="AZ209">
        <f>step3_validation[[#This Row],[AI_TRU4]]</f>
        <v>6</v>
      </c>
      <c r="BA209" t="str">
        <f t="shared" si="102"/>
        <v>Neutral</v>
      </c>
      <c r="BB209">
        <f>survey_responses[[#This Row],[Tôi thấy Nhà nước đã giải thích rõ ràng, minh bạch về lý do và mục tiêu của việc sửa đổi thuế lần này. - HUMAN-TRU4]]</f>
        <v>6</v>
      </c>
      <c r="BC209" t="str">
        <f t="shared" si="103"/>
        <v>Neutral</v>
      </c>
      <c r="BD209" s="31">
        <f t="shared" si="104"/>
        <v>0</v>
      </c>
      <c r="BE209">
        <f>step3_validation[[#This Row],[AI_OUT1]]</f>
        <v>8</v>
      </c>
      <c r="BF209" t="str">
        <f t="shared" si="105"/>
        <v>Support</v>
      </c>
      <c r="BG209">
        <f>survey_responses[[#This Row],[Sau khi xem xét các quyền lợi và nghĩa vụ, bạn có ủng hộ và tuân thủ chính sách mới hiện nay? - HUMAN-OUT1]]</f>
        <v>6</v>
      </c>
      <c r="BH209" t="str">
        <f t="shared" si="106"/>
        <v>Neutral</v>
      </c>
      <c r="BI209" s="31">
        <f t="shared" si="107"/>
        <v>2</v>
      </c>
    </row>
    <row r="210" spans="1:61" hidden="1" x14ac:dyDescent="0.45">
      <c r="A210" s="29">
        <f>step3_validation[[#This Row],[Persona_ID]]</f>
        <v>209</v>
      </c>
      <c r="B210" s="30">
        <f>step3_validation[[#This Row],[Used_Seed]]</f>
        <v>250</v>
      </c>
      <c r="C210" t="str">
        <f>step3_validation[[#This Row],[Gender]]</f>
        <v>Nữ</v>
      </c>
      <c r="D210" t="str">
        <f>survey_responses[[#This Row],[Giới tính của bạn:]]</f>
        <v>Nữ</v>
      </c>
      <c r="E210" t="str">
        <f>step3_validation[[#This Row],[Age_Group]]</f>
        <v>30 - 39</v>
      </c>
      <c r="F210" t="str">
        <f>survey_responses[[#This Row],[Độ tuổi của bạn:]]</f>
        <v>30 - 39</v>
      </c>
      <c r="G210" t="str">
        <f>step3_validation[[#This Row],[Region]]</f>
        <v>Thành thị</v>
      </c>
      <c r="H210" t="str">
        <f>survey_responses[[#This Row],[Khu vực bạn đang sinh sống:]]</f>
        <v>Thành thị</v>
      </c>
      <c r="I210" t="str">
        <f>step3_validation[[#This Row],[Education]]</f>
        <v>Đại học</v>
      </c>
      <c r="J210" t="str">
        <f>survey_responses[[#This Row],[Trình độ học vấn cao nhất:]]</f>
        <v>Đại học</v>
      </c>
      <c r="K210" t="str">
        <f>step3_validation[[#This Row],[Employment]]</f>
        <v>Chính thức</v>
      </c>
      <c r="L210" t="str">
        <f>survey_responses[[#This Row],[Tình trạng việc làm chính:]]</f>
        <v>Khu vực chính thức (Có Hợp đồng lao động, đóng BHXH)</v>
      </c>
      <c r="M210">
        <f>step3_validation[[#This Row],[Income_Mil]]</f>
        <v>36.637211591419891</v>
      </c>
      <c r="N210" t="str">
        <f>survey_responses[[#This Row],[Thu nhập bình quân tháng theo Hợp đồng lao động của bạn là bao nhiêu? (Vui lòng điền tổng thu nhập trước khi khấu trừ các loại Bảo hiểm (BHXH, BHYT, BHTN) và Thuế TNCN)]]</f>
        <v>Từ 32 - 48 triệu VNĐ</v>
      </c>
      <c r="O210">
        <f>step3_validation[[#This Row],[Dependents]]</f>
        <v>0</v>
      </c>
      <c r="P210" t="str">
        <f>survey_responses[[#This Row],[Số người phụ thuộc (con nhỏ, cha mẹ già...) đủ điều kiện giảm trừ gia cảnh:]]</f>
        <v>0 người</v>
      </c>
      <c r="Q210">
        <f>step3_validation[[#This Row],[AI_ENF1]]</f>
        <v>8</v>
      </c>
      <c r="R210" t="str">
        <f t="shared" si="81"/>
        <v>Support</v>
      </c>
      <c r="S210">
        <f>survey_responses[[#This Row],[Tôi tin rằng với các quy định quản lý thuế hiện nay, hành vi gian lận hoặc trốn thuế sẽ dễ dàng bị phát hiện và xử lý nghiêm. - HUMAN-ENF1]]</f>
        <v>6</v>
      </c>
      <c r="T210" t="str">
        <f t="shared" si="82"/>
        <v>Neutral</v>
      </c>
      <c r="U210" s="31">
        <f t="shared" si="83"/>
        <v>2</v>
      </c>
      <c r="V210">
        <f>step3_validation[[#This Row],[AI_ENF2]]</f>
        <v>9</v>
      </c>
      <c r="W210" t="str">
        <f t="shared" si="84"/>
        <v>Support</v>
      </c>
      <c r="X210">
        <f>survey_responses[[#This Row],[Tôi tin rằng Nhà nước, cơ quan thuế có đủ khả năng và công nghệ để phát hiện, xử lý nghiêm các hành vi trốn thuế. - HUMAN-ENF2]]</f>
        <v>6</v>
      </c>
      <c r="Y210" t="str">
        <f t="shared" si="85"/>
        <v>Neutral</v>
      </c>
      <c r="Z210" s="31">
        <f t="shared" si="86"/>
        <v>3</v>
      </c>
      <c r="AA210">
        <f>step3_validation[[#This Row],[AI_FAC1]]</f>
        <v>9</v>
      </c>
      <c r="AB210" t="str">
        <f t="shared" si="87"/>
        <v>Support</v>
      </c>
      <c r="AC210">
        <f>survey_responses[[#This Row],[Các thủ tục khai báo thuế VÀ/HOẶC quy trình làm việc với cơ quan thuế đơn giản, tiện lợi, nhanh chóng hơn so với trước đây. - HUMAN-FAC1]]</f>
        <v>6</v>
      </c>
      <c r="AD210" t="str">
        <f t="shared" si="88"/>
        <v>Neutral</v>
      </c>
      <c r="AE210" s="31">
        <f t="shared" si="89"/>
        <v>3</v>
      </c>
      <c r="AF210">
        <f>step3_validation[[#This Row],[AI_FAC2]]</f>
        <v>8</v>
      </c>
      <c r="AG210" t="str">
        <f t="shared" si="90"/>
        <v>Support</v>
      </c>
      <c r="AH210">
        <f>survey_responses[[#This Row],[So với trước đây, tôi thấy cách tính thuế và các bậc thuế trong phương án mới đơn giản, dễ hiểu và dễ thực hiện hơn. - HUMAN-FAC2]]</f>
        <v>6</v>
      </c>
      <c r="AI210" t="str">
        <f t="shared" si="91"/>
        <v>Neutral</v>
      </c>
      <c r="AJ210" s="31">
        <f t="shared" si="92"/>
        <v>2</v>
      </c>
      <c r="AK210">
        <f>step3_validation[[#This Row],[AI_TRU1]]</f>
        <v>9</v>
      </c>
      <c r="AL210" t="str">
        <f t="shared" si="93"/>
        <v>Support</v>
      </c>
      <c r="AM210">
        <f>survey_responses[[#This Row],[Tôi tin rằng Nhà nước, cơ quan thuế sẽ thực thi chính sách mới một cách khách quan, công tâm và đối xử bình đẳng với mọi người nộp thuế.  - HUMAN-TRU1]]</f>
        <v>6</v>
      </c>
      <c r="AN210" t="str">
        <f t="shared" si="94"/>
        <v>Neutral</v>
      </c>
      <c r="AO210" s="31">
        <f t="shared" si="95"/>
        <v>3</v>
      </c>
      <c r="AP210">
        <f>step3_validation[[#This Row],[AI_TRU2]]</f>
        <v>8</v>
      </c>
      <c r="AQ210" t="str">
        <f t="shared" si="96"/>
        <v>Support</v>
      </c>
      <c r="AR210">
        <f>survey_responses[[#This Row],[Tôi thấy mức thuế tôi phải đóng theo phương án mới là công bằng (người thu nhập như tôi đóng mức này là hợp lý). - HUMAN-TRU2]]</f>
        <v>5</v>
      </c>
      <c r="AS210" t="str">
        <f t="shared" si="97"/>
        <v>Neutral</v>
      </c>
      <c r="AT210" s="31">
        <f t="shared" si="98"/>
        <v>3</v>
      </c>
      <c r="AU210">
        <f>step3_validation[[#This Row],[AI_TRU3]]</f>
        <v>9</v>
      </c>
      <c r="AV210" t="str">
        <f t="shared" si="99"/>
        <v>Support</v>
      </c>
      <c r="AW210">
        <f>survey_responses[[#This Row],[Tôi tin tưởng số tiền thuế tôi đóng sẽ được Nhà nước sử dụng hiệu quả để cải thiện dịch vụ công (y tế, đường xá...). - HUMAN-TRU3]]</f>
        <v>6</v>
      </c>
      <c r="AX210" t="str">
        <f t="shared" si="100"/>
        <v>Neutral</v>
      </c>
      <c r="AY210" s="31">
        <f t="shared" si="101"/>
        <v>3</v>
      </c>
      <c r="AZ210">
        <f>step3_validation[[#This Row],[AI_TRU4]]</f>
        <v>8</v>
      </c>
      <c r="BA210" t="str">
        <f t="shared" si="102"/>
        <v>Support</v>
      </c>
      <c r="BB210">
        <f>survey_responses[[#This Row],[Tôi thấy Nhà nước đã giải thích rõ ràng, minh bạch về lý do và mục tiêu của việc sửa đổi thuế lần này. - HUMAN-TRU4]]</f>
        <v>6</v>
      </c>
      <c r="BC210" t="str">
        <f t="shared" si="103"/>
        <v>Neutral</v>
      </c>
      <c r="BD210" s="31">
        <f t="shared" si="104"/>
        <v>2</v>
      </c>
      <c r="BE210">
        <f>step3_validation[[#This Row],[AI_OUT1]]</f>
        <v>9</v>
      </c>
      <c r="BF210" t="str">
        <f t="shared" si="105"/>
        <v>Support</v>
      </c>
      <c r="BG210">
        <f>survey_responses[[#This Row],[Sau khi xem xét các quyền lợi và nghĩa vụ, bạn có ủng hộ và tuân thủ chính sách mới hiện nay? - HUMAN-OUT1]]</f>
        <v>6</v>
      </c>
      <c r="BH210" t="str">
        <f t="shared" si="106"/>
        <v>Neutral</v>
      </c>
      <c r="BI210" s="31">
        <f t="shared" si="107"/>
        <v>3</v>
      </c>
    </row>
    <row r="211" spans="1:61" hidden="1" x14ac:dyDescent="0.45">
      <c r="A211" s="29">
        <f>step3_validation[[#This Row],[Persona_ID]]</f>
        <v>210</v>
      </c>
      <c r="B211" s="30">
        <f>step3_validation[[#This Row],[Used_Seed]]</f>
        <v>251</v>
      </c>
      <c r="C211" t="str">
        <f>step3_validation[[#This Row],[Gender]]</f>
        <v>Nam</v>
      </c>
      <c r="D211" t="str">
        <f>survey_responses[[#This Row],[Giới tính của bạn:]]</f>
        <v>Nam</v>
      </c>
      <c r="E211" t="str">
        <f>step3_validation[[#This Row],[Age_Group]]</f>
        <v>30 - 39</v>
      </c>
      <c r="F211" t="str">
        <f>survey_responses[[#This Row],[Độ tuổi của bạn:]]</f>
        <v>30 - 39</v>
      </c>
      <c r="G211" t="str">
        <f>step3_validation[[#This Row],[Region]]</f>
        <v>Thành thị</v>
      </c>
      <c r="H211" t="str">
        <f>survey_responses[[#This Row],[Khu vực bạn đang sinh sống:]]</f>
        <v>Thành thị</v>
      </c>
      <c r="I211" t="str">
        <f>step3_validation[[#This Row],[Education]]</f>
        <v>Đại học</v>
      </c>
      <c r="J211" t="str">
        <f>survey_responses[[#This Row],[Trình độ học vấn cao nhất:]]</f>
        <v>Đại học</v>
      </c>
      <c r="K211" t="str">
        <f>step3_validation[[#This Row],[Employment]]</f>
        <v>Chính thức</v>
      </c>
      <c r="L211" t="str">
        <f>survey_responses[[#This Row],[Tình trạng việc làm chính:]]</f>
        <v>Khu vực chính thức (Có Hợp đồng lao động, đóng BHXH)</v>
      </c>
      <c r="M211">
        <f>step3_validation[[#This Row],[Income_Mil]]</f>
        <v>30.077696527376691</v>
      </c>
      <c r="N211" t="str">
        <f>survey_responses[[#This Row],[Thu nhập bình quân tháng theo Hợp đồng lao động của bạn là bao nhiêu? (Vui lòng điền tổng thu nhập trước khi khấu trừ các loại Bảo hiểm (BHXH, BHYT, BHTN) và Thuế TNCN)]]</f>
        <v>Từ 23 - 32 triệu VNĐ</v>
      </c>
      <c r="O211">
        <f>step3_validation[[#This Row],[Dependents]]</f>
        <v>0</v>
      </c>
      <c r="P211" t="str">
        <f>survey_responses[[#This Row],[Số người phụ thuộc (con nhỏ, cha mẹ già...) đủ điều kiện giảm trừ gia cảnh:]]</f>
        <v>0 người</v>
      </c>
      <c r="Q211">
        <f>step3_validation[[#This Row],[AI_ENF1]]</f>
        <v>7</v>
      </c>
      <c r="R211" t="str">
        <f t="shared" si="81"/>
        <v>Neutral</v>
      </c>
      <c r="S211">
        <f>survey_responses[[#This Row],[Tôi tin rằng với các quy định quản lý thuế hiện nay, hành vi gian lận hoặc trốn thuế sẽ dễ dàng bị phát hiện và xử lý nghiêm. - HUMAN-ENF1]]</f>
        <v>7</v>
      </c>
      <c r="T211" t="str">
        <f t="shared" si="82"/>
        <v>Neutral</v>
      </c>
      <c r="U211" s="31">
        <f t="shared" si="83"/>
        <v>0</v>
      </c>
      <c r="V211">
        <f>step3_validation[[#This Row],[AI_ENF2]]</f>
        <v>8</v>
      </c>
      <c r="W211" t="str">
        <f t="shared" si="84"/>
        <v>Support</v>
      </c>
      <c r="X211">
        <f>survey_responses[[#This Row],[Tôi tin rằng Nhà nước, cơ quan thuế có đủ khả năng và công nghệ để phát hiện, xử lý nghiêm các hành vi trốn thuế. - HUMAN-ENF2]]</f>
        <v>7</v>
      </c>
      <c r="Y211" t="str">
        <f t="shared" si="85"/>
        <v>Neutral</v>
      </c>
      <c r="Z211" s="31">
        <f t="shared" si="86"/>
        <v>1</v>
      </c>
      <c r="AA211">
        <f>step3_validation[[#This Row],[AI_FAC1]]</f>
        <v>9</v>
      </c>
      <c r="AB211" t="str">
        <f t="shared" si="87"/>
        <v>Support</v>
      </c>
      <c r="AC211">
        <f>survey_responses[[#This Row],[Các thủ tục khai báo thuế VÀ/HOẶC quy trình làm việc với cơ quan thuế đơn giản, tiện lợi, nhanh chóng hơn so với trước đây. - HUMAN-FAC1]]</f>
        <v>8</v>
      </c>
      <c r="AD211" t="str">
        <f t="shared" si="88"/>
        <v>Support</v>
      </c>
      <c r="AE211" s="31">
        <f t="shared" si="89"/>
        <v>1</v>
      </c>
      <c r="AF211">
        <f>step3_validation[[#This Row],[AI_FAC2]]</f>
        <v>9</v>
      </c>
      <c r="AG211" t="str">
        <f t="shared" si="90"/>
        <v>Support</v>
      </c>
      <c r="AH211">
        <f>survey_responses[[#This Row],[So với trước đây, tôi thấy cách tính thuế và các bậc thuế trong phương án mới đơn giản, dễ hiểu và dễ thực hiện hơn. - HUMAN-FAC2]]</f>
        <v>8</v>
      </c>
      <c r="AI211" t="str">
        <f t="shared" si="91"/>
        <v>Support</v>
      </c>
      <c r="AJ211" s="31">
        <f t="shared" si="92"/>
        <v>1</v>
      </c>
      <c r="AK211">
        <f>step3_validation[[#This Row],[AI_TRU1]]</f>
        <v>7</v>
      </c>
      <c r="AL211" t="str">
        <f t="shared" si="93"/>
        <v>Neutral</v>
      </c>
      <c r="AM211">
        <f>survey_responses[[#This Row],[Tôi tin rằng Nhà nước, cơ quan thuế sẽ thực thi chính sách mới một cách khách quan, công tâm và đối xử bình đẳng với mọi người nộp thuế.  - HUMAN-TRU1]]</f>
        <v>8</v>
      </c>
      <c r="AN211" t="str">
        <f t="shared" si="94"/>
        <v>Support</v>
      </c>
      <c r="AO211" s="31">
        <f t="shared" si="95"/>
        <v>1</v>
      </c>
      <c r="AP211">
        <f>step3_validation[[#This Row],[AI_TRU2]]</f>
        <v>8</v>
      </c>
      <c r="AQ211" t="str">
        <f t="shared" si="96"/>
        <v>Support</v>
      </c>
      <c r="AR211">
        <f>survey_responses[[#This Row],[Tôi thấy mức thuế tôi phải đóng theo phương án mới là công bằng (người thu nhập như tôi đóng mức này là hợp lý). - HUMAN-TRU2]]</f>
        <v>9</v>
      </c>
      <c r="AS211" t="str">
        <f t="shared" si="97"/>
        <v>Support</v>
      </c>
      <c r="AT211" s="31">
        <f t="shared" si="98"/>
        <v>1</v>
      </c>
      <c r="AU211">
        <f>step3_validation[[#This Row],[AI_TRU3]]</f>
        <v>9</v>
      </c>
      <c r="AV211" t="str">
        <f t="shared" si="99"/>
        <v>Support</v>
      </c>
      <c r="AW211">
        <f>survey_responses[[#This Row],[Tôi tin tưởng số tiền thuế tôi đóng sẽ được Nhà nước sử dụng hiệu quả để cải thiện dịch vụ công (y tế, đường xá...). - HUMAN-TRU3]]</f>
        <v>8</v>
      </c>
      <c r="AX211" t="str">
        <f t="shared" si="100"/>
        <v>Support</v>
      </c>
      <c r="AY211" s="31">
        <f t="shared" si="101"/>
        <v>1</v>
      </c>
      <c r="AZ211">
        <f>step3_validation[[#This Row],[AI_TRU4]]</f>
        <v>8</v>
      </c>
      <c r="BA211" t="str">
        <f t="shared" si="102"/>
        <v>Support</v>
      </c>
      <c r="BB211">
        <f>survey_responses[[#This Row],[Tôi thấy Nhà nước đã giải thích rõ ràng, minh bạch về lý do và mục tiêu của việc sửa đổi thuế lần này. - HUMAN-TRU4]]</f>
        <v>8</v>
      </c>
      <c r="BC211" t="str">
        <f t="shared" si="103"/>
        <v>Support</v>
      </c>
      <c r="BD211" s="31">
        <f t="shared" si="104"/>
        <v>0</v>
      </c>
      <c r="BE211">
        <f>step3_validation[[#This Row],[AI_OUT1]]</f>
        <v>9</v>
      </c>
      <c r="BF211" t="str">
        <f t="shared" si="105"/>
        <v>Support</v>
      </c>
      <c r="BG211">
        <f>survey_responses[[#This Row],[Sau khi xem xét các quyền lợi và nghĩa vụ, bạn có ủng hộ và tuân thủ chính sách mới hiện nay? - HUMAN-OUT1]]</f>
        <v>8</v>
      </c>
      <c r="BH211" t="str">
        <f t="shared" si="106"/>
        <v>Support</v>
      </c>
      <c r="BI211" s="31">
        <f t="shared" si="107"/>
        <v>1</v>
      </c>
    </row>
    <row r="212" spans="1:61" hidden="1" x14ac:dyDescent="0.45">
      <c r="A212" s="29">
        <f>step3_validation[[#This Row],[Persona_ID]]</f>
        <v>211</v>
      </c>
      <c r="B212" s="30">
        <f>step3_validation[[#This Row],[Used_Seed]]</f>
        <v>252</v>
      </c>
      <c r="C212" t="str">
        <f>step3_validation[[#This Row],[Gender]]</f>
        <v>Nữ</v>
      </c>
      <c r="D212" t="str">
        <f>survey_responses[[#This Row],[Giới tính của bạn:]]</f>
        <v>Nữ</v>
      </c>
      <c r="E212" t="str">
        <f>step3_validation[[#This Row],[Age_Group]]</f>
        <v>30 - 39</v>
      </c>
      <c r="F212" t="str">
        <f>survey_responses[[#This Row],[Độ tuổi của bạn:]]</f>
        <v>30 - 39</v>
      </c>
      <c r="G212" t="str">
        <f>step3_validation[[#This Row],[Region]]</f>
        <v>Thành thị</v>
      </c>
      <c r="H212" t="str">
        <f>survey_responses[[#This Row],[Khu vực bạn đang sinh sống:]]</f>
        <v>Thành thị</v>
      </c>
      <c r="I212" t="str">
        <f>step3_validation[[#This Row],[Education]]</f>
        <v>Đại học</v>
      </c>
      <c r="J212" t="str">
        <f>survey_responses[[#This Row],[Trình độ học vấn cao nhất:]]</f>
        <v>Đại học</v>
      </c>
      <c r="K212" t="str">
        <f>step3_validation[[#This Row],[Employment]]</f>
        <v>Chính thức</v>
      </c>
      <c r="L212" t="str">
        <f>survey_responses[[#This Row],[Tình trạng việc làm chính:]]</f>
        <v>Khu vực chính thức (Có Hợp đồng lao động, đóng BHXH)</v>
      </c>
      <c r="M212">
        <f>step3_validation[[#This Row],[Income_Mil]]</f>
        <v>56.552895816583046</v>
      </c>
      <c r="N212" t="str">
        <f>survey_responses[[#This Row],[Thu nhập bình quân tháng theo Hợp đồng lao động của bạn là bao nhiêu? (Vui lòng điền tổng thu nhập trước khi khấu trừ các loại Bảo hiểm (BHXH, BHYT, BHTN) và Thuế TNCN)]]</f>
        <v>Từ 48 - 70 triệu VNĐ</v>
      </c>
      <c r="O212">
        <f>step3_validation[[#This Row],[Dependents]]</f>
        <v>1</v>
      </c>
      <c r="P212" t="str">
        <f>survey_responses[[#This Row],[Số người phụ thuộc (con nhỏ, cha mẹ già...) đủ điều kiện giảm trừ gia cảnh:]]</f>
        <v>1 người</v>
      </c>
      <c r="Q212">
        <f>step3_validation[[#This Row],[AI_ENF1]]</f>
        <v>8</v>
      </c>
      <c r="R212" t="str">
        <f t="shared" si="81"/>
        <v>Support</v>
      </c>
      <c r="S212">
        <f>survey_responses[[#This Row],[Tôi tin rằng với các quy định quản lý thuế hiện nay, hành vi gian lận hoặc trốn thuế sẽ dễ dàng bị phát hiện và xử lý nghiêm. - HUMAN-ENF1]]</f>
        <v>7</v>
      </c>
      <c r="T212" t="str">
        <f t="shared" si="82"/>
        <v>Neutral</v>
      </c>
      <c r="U212" s="31">
        <f t="shared" si="83"/>
        <v>1</v>
      </c>
      <c r="V212">
        <f>step3_validation[[#This Row],[AI_ENF2]]</f>
        <v>9</v>
      </c>
      <c r="W212" t="str">
        <f t="shared" si="84"/>
        <v>Support</v>
      </c>
      <c r="X212">
        <f>survey_responses[[#This Row],[Tôi tin rằng Nhà nước, cơ quan thuế có đủ khả năng và công nghệ để phát hiện, xử lý nghiêm các hành vi trốn thuế. - HUMAN-ENF2]]</f>
        <v>7</v>
      </c>
      <c r="Y212" t="str">
        <f t="shared" si="85"/>
        <v>Neutral</v>
      </c>
      <c r="Z212" s="31">
        <f t="shared" si="86"/>
        <v>2</v>
      </c>
      <c r="AA212">
        <f>step3_validation[[#This Row],[AI_FAC1]]</f>
        <v>8</v>
      </c>
      <c r="AB212" t="str">
        <f t="shared" si="87"/>
        <v>Support</v>
      </c>
      <c r="AC212">
        <f>survey_responses[[#This Row],[Các thủ tục khai báo thuế VÀ/HOẶC quy trình làm việc với cơ quan thuế đơn giản, tiện lợi, nhanh chóng hơn so với trước đây. - HUMAN-FAC1]]</f>
        <v>7</v>
      </c>
      <c r="AD212" t="str">
        <f t="shared" si="88"/>
        <v>Neutral</v>
      </c>
      <c r="AE212" s="31">
        <f t="shared" si="89"/>
        <v>1</v>
      </c>
      <c r="AF212">
        <f>step3_validation[[#This Row],[AI_FAC2]]</f>
        <v>9</v>
      </c>
      <c r="AG212" t="str">
        <f t="shared" si="90"/>
        <v>Support</v>
      </c>
      <c r="AH212">
        <f>survey_responses[[#This Row],[So với trước đây, tôi thấy cách tính thuế và các bậc thuế trong phương án mới đơn giản, dễ hiểu và dễ thực hiện hơn. - HUMAN-FAC2]]</f>
        <v>7</v>
      </c>
      <c r="AI212" t="str">
        <f t="shared" si="91"/>
        <v>Neutral</v>
      </c>
      <c r="AJ212" s="31">
        <f t="shared" si="92"/>
        <v>2</v>
      </c>
      <c r="AK212">
        <f>step3_validation[[#This Row],[AI_TRU1]]</f>
        <v>8</v>
      </c>
      <c r="AL212" t="str">
        <f t="shared" si="93"/>
        <v>Support</v>
      </c>
      <c r="AM212">
        <f>survey_responses[[#This Row],[Tôi tin rằng Nhà nước, cơ quan thuế sẽ thực thi chính sách mới một cách khách quan, công tâm và đối xử bình đẳng với mọi người nộp thuế.  - HUMAN-TRU1]]</f>
        <v>7</v>
      </c>
      <c r="AN212" t="str">
        <f t="shared" si="94"/>
        <v>Neutral</v>
      </c>
      <c r="AO212" s="31">
        <f t="shared" si="95"/>
        <v>1</v>
      </c>
      <c r="AP212">
        <f>step3_validation[[#This Row],[AI_TRU2]]</f>
        <v>9</v>
      </c>
      <c r="AQ212" t="str">
        <f t="shared" si="96"/>
        <v>Support</v>
      </c>
      <c r="AR212">
        <f>survey_responses[[#This Row],[Tôi thấy mức thuế tôi phải đóng theo phương án mới là công bằng (người thu nhập như tôi đóng mức này là hợp lý). - HUMAN-TRU2]]</f>
        <v>7</v>
      </c>
      <c r="AS212" t="str">
        <f t="shared" si="97"/>
        <v>Neutral</v>
      </c>
      <c r="AT212" s="31">
        <f t="shared" si="98"/>
        <v>2</v>
      </c>
      <c r="AU212">
        <f>step3_validation[[#This Row],[AI_TRU3]]</f>
        <v>8</v>
      </c>
      <c r="AV212" t="str">
        <f t="shared" si="99"/>
        <v>Support</v>
      </c>
      <c r="AW212">
        <f>survey_responses[[#This Row],[Tôi tin tưởng số tiền thuế tôi đóng sẽ được Nhà nước sử dụng hiệu quả để cải thiện dịch vụ công (y tế, đường xá...). - HUMAN-TRU3]]</f>
        <v>7</v>
      </c>
      <c r="AX212" t="str">
        <f t="shared" si="100"/>
        <v>Neutral</v>
      </c>
      <c r="AY212" s="31">
        <f t="shared" si="101"/>
        <v>1</v>
      </c>
      <c r="AZ212">
        <f>step3_validation[[#This Row],[AI_TRU4]]</f>
        <v>9</v>
      </c>
      <c r="BA212" t="str">
        <f t="shared" si="102"/>
        <v>Support</v>
      </c>
      <c r="BB212">
        <f>survey_responses[[#This Row],[Tôi thấy Nhà nước đã giải thích rõ ràng, minh bạch về lý do và mục tiêu của việc sửa đổi thuế lần này. - HUMAN-TRU4]]</f>
        <v>7</v>
      </c>
      <c r="BC212" t="str">
        <f t="shared" si="103"/>
        <v>Neutral</v>
      </c>
      <c r="BD212" s="31">
        <f t="shared" si="104"/>
        <v>2</v>
      </c>
      <c r="BE212">
        <f>step3_validation[[#This Row],[AI_OUT1]]</f>
        <v>8</v>
      </c>
      <c r="BF212" t="str">
        <f t="shared" si="105"/>
        <v>Support</v>
      </c>
      <c r="BG212">
        <f>survey_responses[[#This Row],[Sau khi xem xét các quyền lợi và nghĩa vụ, bạn có ủng hộ và tuân thủ chính sách mới hiện nay? - HUMAN-OUT1]]</f>
        <v>7</v>
      </c>
      <c r="BH212" t="str">
        <f t="shared" si="106"/>
        <v>Neutral</v>
      </c>
      <c r="BI212" s="31">
        <f t="shared" si="107"/>
        <v>1</v>
      </c>
    </row>
    <row r="213" spans="1:61" hidden="1" x14ac:dyDescent="0.45">
      <c r="A213" s="29">
        <f>step3_validation[[#This Row],[Persona_ID]]</f>
        <v>212</v>
      </c>
      <c r="B213" s="30">
        <f>step3_validation[[#This Row],[Used_Seed]]</f>
        <v>253</v>
      </c>
      <c r="C213" t="str">
        <f>step3_validation[[#This Row],[Gender]]</f>
        <v>Nữ</v>
      </c>
      <c r="D213" t="str">
        <f>survey_responses[[#This Row],[Giới tính của bạn:]]</f>
        <v>Nữ</v>
      </c>
      <c r="E213" t="str">
        <f>step3_validation[[#This Row],[Age_Group]]</f>
        <v>30 - 39</v>
      </c>
      <c r="F213" t="str">
        <f>survey_responses[[#This Row],[Độ tuổi của bạn:]]</f>
        <v>30 - 39</v>
      </c>
      <c r="G213" t="str">
        <f>step3_validation[[#This Row],[Region]]</f>
        <v>Thành thị</v>
      </c>
      <c r="H213" t="str">
        <f>survey_responses[[#This Row],[Khu vực bạn đang sinh sống:]]</f>
        <v>Thành thị</v>
      </c>
      <c r="I213" t="str">
        <f>step3_validation[[#This Row],[Education]]</f>
        <v>Đại học</v>
      </c>
      <c r="J213" t="str">
        <f>survey_responses[[#This Row],[Trình độ học vấn cao nhất:]]</f>
        <v>Đại học</v>
      </c>
      <c r="K213" t="str">
        <f>step3_validation[[#This Row],[Employment]]</f>
        <v>Chính thức</v>
      </c>
      <c r="L213" t="str">
        <f>survey_responses[[#This Row],[Tình trạng việc làm chính:]]</f>
        <v>Khu vực chính thức (Có Hợp đồng lao động, đóng BHXH)</v>
      </c>
      <c r="M213">
        <f>step3_validation[[#This Row],[Income_Mil]]</f>
        <v>48.306115542435258</v>
      </c>
      <c r="N213" t="str">
        <f>survey_responses[[#This Row],[Thu nhập bình quân tháng theo Hợp đồng lao động của bạn là bao nhiêu? (Vui lòng điền tổng thu nhập trước khi khấu trừ các loại Bảo hiểm (BHXH, BHYT, BHTN) và Thuế TNCN)]]</f>
        <v>Từ 48 - 70 triệu VNĐ</v>
      </c>
      <c r="O213">
        <f>step3_validation[[#This Row],[Dependents]]</f>
        <v>0</v>
      </c>
      <c r="P213" t="str">
        <f>survey_responses[[#This Row],[Số người phụ thuộc (con nhỏ, cha mẹ già...) đủ điều kiện giảm trừ gia cảnh:]]</f>
        <v>0 người</v>
      </c>
      <c r="Q213">
        <f>step3_validation[[#This Row],[AI_ENF1]]</f>
        <v>7</v>
      </c>
      <c r="R213" t="str">
        <f t="shared" si="81"/>
        <v>Neutral</v>
      </c>
      <c r="S213">
        <f>survey_responses[[#This Row],[Tôi tin rằng với các quy định quản lý thuế hiện nay, hành vi gian lận hoặc trốn thuế sẽ dễ dàng bị phát hiện và xử lý nghiêm. - HUMAN-ENF1]]</f>
        <v>5</v>
      </c>
      <c r="T213" t="str">
        <f t="shared" si="82"/>
        <v>Neutral</v>
      </c>
      <c r="U213" s="31">
        <f t="shared" si="83"/>
        <v>2</v>
      </c>
      <c r="V213">
        <f>step3_validation[[#This Row],[AI_ENF2]]</f>
        <v>8</v>
      </c>
      <c r="W213" t="str">
        <f t="shared" si="84"/>
        <v>Support</v>
      </c>
      <c r="X213">
        <f>survey_responses[[#This Row],[Tôi tin rằng Nhà nước, cơ quan thuế có đủ khả năng và công nghệ để phát hiện, xử lý nghiêm các hành vi trốn thuế. - HUMAN-ENF2]]</f>
        <v>5</v>
      </c>
      <c r="Y213" t="str">
        <f t="shared" si="85"/>
        <v>Neutral</v>
      </c>
      <c r="Z213" s="31">
        <f t="shared" si="86"/>
        <v>3</v>
      </c>
      <c r="AA213">
        <f>step3_validation[[#This Row],[AI_FAC1]]</f>
        <v>9</v>
      </c>
      <c r="AB213" t="str">
        <f t="shared" si="87"/>
        <v>Support</v>
      </c>
      <c r="AC213">
        <f>survey_responses[[#This Row],[Các thủ tục khai báo thuế VÀ/HOẶC quy trình làm việc với cơ quan thuế đơn giản, tiện lợi, nhanh chóng hơn so với trước đây. - HUMAN-FAC1]]</f>
        <v>1</v>
      </c>
      <c r="AD213" t="str">
        <f t="shared" si="88"/>
        <v>Oppose</v>
      </c>
      <c r="AE213" s="31">
        <f t="shared" si="89"/>
        <v>8</v>
      </c>
      <c r="AF213">
        <f>step3_validation[[#This Row],[AI_FAC2]]</f>
        <v>10</v>
      </c>
      <c r="AG213" t="str">
        <f t="shared" si="90"/>
        <v>Support</v>
      </c>
      <c r="AH213">
        <f>survey_responses[[#This Row],[So với trước đây, tôi thấy cách tính thuế và các bậc thuế trong phương án mới đơn giản, dễ hiểu và dễ thực hiện hơn. - HUMAN-FAC2]]</f>
        <v>5</v>
      </c>
      <c r="AI213" t="str">
        <f t="shared" si="91"/>
        <v>Neutral</v>
      </c>
      <c r="AJ213" s="31">
        <f t="shared" si="92"/>
        <v>5</v>
      </c>
      <c r="AK213">
        <f>step3_validation[[#This Row],[AI_TRU1]]</f>
        <v>9</v>
      </c>
      <c r="AL213" t="str">
        <f t="shared" si="93"/>
        <v>Support</v>
      </c>
      <c r="AM213">
        <f>survey_responses[[#This Row],[Tôi tin rằng Nhà nước, cơ quan thuế sẽ thực thi chính sách mới một cách khách quan, công tâm và đối xử bình đẳng với mọi người nộp thuế.  - HUMAN-TRU1]]</f>
        <v>5</v>
      </c>
      <c r="AN213" t="str">
        <f t="shared" si="94"/>
        <v>Neutral</v>
      </c>
      <c r="AO213" s="31">
        <f t="shared" si="95"/>
        <v>4</v>
      </c>
      <c r="AP213">
        <f>step3_validation[[#This Row],[AI_TRU2]]</f>
        <v>10</v>
      </c>
      <c r="AQ213" t="str">
        <f t="shared" si="96"/>
        <v>Support</v>
      </c>
      <c r="AR213">
        <f>survey_responses[[#This Row],[Tôi thấy mức thuế tôi phải đóng theo phương án mới là công bằng (người thu nhập như tôi đóng mức này là hợp lý). - HUMAN-TRU2]]</f>
        <v>5</v>
      </c>
      <c r="AS213" t="str">
        <f t="shared" si="97"/>
        <v>Neutral</v>
      </c>
      <c r="AT213" s="31">
        <f t="shared" si="98"/>
        <v>5</v>
      </c>
      <c r="AU213">
        <f>step3_validation[[#This Row],[AI_TRU3]]</f>
        <v>9</v>
      </c>
      <c r="AV213" t="str">
        <f t="shared" si="99"/>
        <v>Support</v>
      </c>
      <c r="AW213">
        <f>survey_responses[[#This Row],[Tôi tin tưởng số tiền thuế tôi đóng sẽ được Nhà nước sử dụng hiệu quả để cải thiện dịch vụ công (y tế, đường xá...). - HUMAN-TRU3]]</f>
        <v>4</v>
      </c>
      <c r="AX213" t="str">
        <f t="shared" si="100"/>
        <v>Oppose</v>
      </c>
      <c r="AY213" s="31">
        <f t="shared" si="101"/>
        <v>5</v>
      </c>
      <c r="AZ213">
        <f>step3_validation[[#This Row],[AI_TRU4]]</f>
        <v>8</v>
      </c>
      <c r="BA213" t="str">
        <f t="shared" si="102"/>
        <v>Support</v>
      </c>
      <c r="BB213">
        <f>survey_responses[[#This Row],[Tôi thấy Nhà nước đã giải thích rõ ràng, minh bạch về lý do và mục tiêu của việc sửa đổi thuế lần này. - HUMAN-TRU4]]</f>
        <v>5</v>
      </c>
      <c r="BC213" t="str">
        <f t="shared" si="103"/>
        <v>Neutral</v>
      </c>
      <c r="BD213" s="31">
        <f t="shared" si="104"/>
        <v>3</v>
      </c>
      <c r="BE213">
        <f>step3_validation[[#This Row],[AI_OUT1]]</f>
        <v>9</v>
      </c>
      <c r="BF213" t="str">
        <f t="shared" si="105"/>
        <v>Support</v>
      </c>
      <c r="BG213">
        <f>survey_responses[[#This Row],[Sau khi xem xét các quyền lợi và nghĩa vụ, bạn có ủng hộ và tuân thủ chính sách mới hiện nay? - HUMAN-OUT1]]</f>
        <v>5</v>
      </c>
      <c r="BH213" t="str">
        <f t="shared" si="106"/>
        <v>Neutral</v>
      </c>
      <c r="BI213" s="31">
        <f t="shared" si="107"/>
        <v>4</v>
      </c>
    </row>
    <row r="214" spans="1:61" hidden="1" x14ac:dyDescent="0.45">
      <c r="A214" s="29">
        <f>step3_validation[[#This Row],[Persona_ID]]</f>
        <v>213</v>
      </c>
      <c r="B214" s="30">
        <f>step3_validation[[#This Row],[Used_Seed]]</f>
        <v>254</v>
      </c>
      <c r="C214" t="str">
        <f>step3_validation[[#This Row],[Gender]]</f>
        <v>Nữ</v>
      </c>
      <c r="D214" t="str">
        <f>survey_responses[[#This Row],[Giới tính của bạn:]]</f>
        <v>Nữ</v>
      </c>
      <c r="E214" t="str">
        <f>step3_validation[[#This Row],[Age_Group]]</f>
        <v>30 - 39</v>
      </c>
      <c r="F214" t="str">
        <f>survey_responses[[#This Row],[Độ tuổi của bạn:]]</f>
        <v>30 - 39</v>
      </c>
      <c r="G214" t="str">
        <f>step3_validation[[#This Row],[Region]]</f>
        <v>Thành thị</v>
      </c>
      <c r="H214" t="str">
        <f>survey_responses[[#This Row],[Khu vực bạn đang sinh sống:]]</f>
        <v>Thành thị</v>
      </c>
      <c r="I214" t="str">
        <f>step3_validation[[#This Row],[Education]]</f>
        <v>Đại học</v>
      </c>
      <c r="J214" t="str">
        <f>survey_responses[[#This Row],[Trình độ học vấn cao nhất:]]</f>
        <v>Đại học</v>
      </c>
      <c r="K214" t="str">
        <f>step3_validation[[#This Row],[Employment]]</f>
        <v>Chính thức</v>
      </c>
      <c r="L214" t="str">
        <f>survey_responses[[#This Row],[Tình trạng việc làm chính:]]</f>
        <v>Khu vực chính thức (Có Hợp đồng lao động, đóng BHXH)</v>
      </c>
      <c r="M214">
        <f>step3_validation[[#This Row],[Income_Mil]]</f>
        <v>54.024649723285115</v>
      </c>
      <c r="N214" t="str">
        <f>survey_responses[[#This Row],[Thu nhập bình quân tháng theo Hợp đồng lao động của bạn là bao nhiêu? (Vui lòng điền tổng thu nhập trước khi khấu trừ các loại Bảo hiểm (BHXH, BHYT, BHTN) và Thuế TNCN)]]</f>
        <v>Từ 48 - 70 triệu VNĐ</v>
      </c>
      <c r="O214">
        <f>step3_validation[[#This Row],[Dependents]]</f>
        <v>4</v>
      </c>
      <c r="P214" t="str">
        <f>survey_responses[[#This Row],[Số người phụ thuộc (con nhỏ, cha mẹ già...) đủ điều kiện giảm trừ gia cảnh:]]</f>
        <v>4 người trở lên</v>
      </c>
      <c r="Q214">
        <f>step3_validation[[#This Row],[AI_ENF1]]</f>
        <v>6</v>
      </c>
      <c r="R214" t="str">
        <f t="shared" si="81"/>
        <v>Neutral</v>
      </c>
      <c r="S214">
        <f>survey_responses[[#This Row],[Tôi tin rằng với các quy định quản lý thuế hiện nay, hành vi gian lận hoặc trốn thuế sẽ dễ dàng bị phát hiện và xử lý nghiêm. - HUMAN-ENF1]]</f>
        <v>7</v>
      </c>
      <c r="T214" t="str">
        <f t="shared" si="82"/>
        <v>Neutral</v>
      </c>
      <c r="U214" s="31">
        <f t="shared" si="83"/>
        <v>1</v>
      </c>
      <c r="V214">
        <f>step3_validation[[#This Row],[AI_ENF2]]</f>
        <v>7</v>
      </c>
      <c r="W214" t="str">
        <f t="shared" si="84"/>
        <v>Neutral</v>
      </c>
      <c r="X214">
        <f>survey_responses[[#This Row],[Tôi tin rằng Nhà nước, cơ quan thuế có đủ khả năng và công nghệ để phát hiện, xử lý nghiêm các hành vi trốn thuế. - HUMAN-ENF2]]</f>
        <v>8</v>
      </c>
      <c r="Y214" t="str">
        <f t="shared" si="85"/>
        <v>Support</v>
      </c>
      <c r="Z214" s="31">
        <f t="shared" si="86"/>
        <v>1</v>
      </c>
      <c r="AA214">
        <f>step3_validation[[#This Row],[AI_FAC1]]</f>
        <v>8</v>
      </c>
      <c r="AB214" t="str">
        <f t="shared" si="87"/>
        <v>Support</v>
      </c>
      <c r="AC214">
        <f>survey_responses[[#This Row],[Các thủ tục khai báo thuế VÀ/HOẶC quy trình làm việc với cơ quan thuế đơn giản, tiện lợi, nhanh chóng hơn so với trước đây. - HUMAN-FAC1]]</f>
        <v>8</v>
      </c>
      <c r="AD214" t="str">
        <f t="shared" si="88"/>
        <v>Support</v>
      </c>
      <c r="AE214" s="31">
        <f t="shared" si="89"/>
        <v>0</v>
      </c>
      <c r="AF214">
        <f>step3_validation[[#This Row],[AI_FAC2]]</f>
        <v>9</v>
      </c>
      <c r="AG214" t="str">
        <f t="shared" si="90"/>
        <v>Support</v>
      </c>
      <c r="AH214">
        <f>survey_responses[[#This Row],[So với trước đây, tôi thấy cách tính thuế và các bậc thuế trong phương án mới đơn giản, dễ hiểu và dễ thực hiện hơn. - HUMAN-FAC2]]</f>
        <v>8</v>
      </c>
      <c r="AI214" t="str">
        <f t="shared" si="91"/>
        <v>Support</v>
      </c>
      <c r="AJ214" s="31">
        <f t="shared" si="92"/>
        <v>1</v>
      </c>
      <c r="AK214">
        <f>step3_validation[[#This Row],[AI_TRU1]]</f>
        <v>7</v>
      </c>
      <c r="AL214" t="str">
        <f t="shared" si="93"/>
        <v>Neutral</v>
      </c>
      <c r="AM214">
        <f>survey_responses[[#This Row],[Tôi tin rằng Nhà nước, cơ quan thuế sẽ thực thi chính sách mới một cách khách quan, công tâm và đối xử bình đẳng với mọi người nộp thuế.  - HUMAN-TRU1]]</f>
        <v>8</v>
      </c>
      <c r="AN214" t="str">
        <f t="shared" si="94"/>
        <v>Support</v>
      </c>
      <c r="AO214" s="31">
        <f t="shared" si="95"/>
        <v>1</v>
      </c>
      <c r="AP214">
        <f>step3_validation[[#This Row],[AI_TRU2]]</f>
        <v>9</v>
      </c>
      <c r="AQ214" t="str">
        <f t="shared" si="96"/>
        <v>Support</v>
      </c>
      <c r="AR214">
        <f>survey_responses[[#This Row],[Tôi thấy mức thuế tôi phải đóng theo phương án mới là công bằng (người thu nhập như tôi đóng mức này là hợp lý). - HUMAN-TRU2]]</f>
        <v>8</v>
      </c>
      <c r="AS214" t="str">
        <f t="shared" si="97"/>
        <v>Support</v>
      </c>
      <c r="AT214" s="31">
        <f t="shared" si="98"/>
        <v>1</v>
      </c>
      <c r="AU214">
        <f>step3_validation[[#This Row],[AI_TRU3]]</f>
        <v>8</v>
      </c>
      <c r="AV214" t="str">
        <f t="shared" si="99"/>
        <v>Support</v>
      </c>
      <c r="AW214">
        <f>survey_responses[[#This Row],[Tôi tin tưởng số tiền thuế tôi đóng sẽ được Nhà nước sử dụng hiệu quả để cải thiện dịch vụ công (y tế, đường xá...). - HUMAN-TRU3]]</f>
        <v>8</v>
      </c>
      <c r="AX214" t="str">
        <f t="shared" si="100"/>
        <v>Support</v>
      </c>
      <c r="AY214" s="31">
        <f t="shared" si="101"/>
        <v>0</v>
      </c>
      <c r="AZ214">
        <f>step3_validation[[#This Row],[AI_TRU4]]</f>
        <v>7</v>
      </c>
      <c r="BA214" t="str">
        <f t="shared" si="102"/>
        <v>Neutral</v>
      </c>
      <c r="BB214">
        <f>survey_responses[[#This Row],[Tôi thấy Nhà nước đã giải thích rõ ràng, minh bạch về lý do và mục tiêu của việc sửa đổi thuế lần này. - HUMAN-TRU4]]</f>
        <v>8</v>
      </c>
      <c r="BC214" t="str">
        <f t="shared" si="103"/>
        <v>Support</v>
      </c>
      <c r="BD214" s="31">
        <f t="shared" si="104"/>
        <v>1</v>
      </c>
      <c r="BE214">
        <f>step3_validation[[#This Row],[AI_OUT1]]</f>
        <v>9</v>
      </c>
      <c r="BF214" t="str">
        <f t="shared" si="105"/>
        <v>Support</v>
      </c>
      <c r="BG214">
        <f>survey_responses[[#This Row],[Sau khi xem xét các quyền lợi và nghĩa vụ, bạn có ủng hộ và tuân thủ chính sách mới hiện nay? - HUMAN-OUT1]]</f>
        <v>8</v>
      </c>
      <c r="BH214" t="str">
        <f t="shared" si="106"/>
        <v>Support</v>
      </c>
      <c r="BI214" s="31">
        <f t="shared" si="107"/>
        <v>1</v>
      </c>
    </row>
    <row r="215" spans="1:61" hidden="1" x14ac:dyDescent="0.45">
      <c r="A215" s="29">
        <f>step3_validation[[#This Row],[Persona_ID]]</f>
        <v>214</v>
      </c>
      <c r="B215" s="30">
        <f>step3_validation[[#This Row],[Used_Seed]]</f>
        <v>255</v>
      </c>
      <c r="C215" t="str">
        <f>step3_validation[[#This Row],[Gender]]</f>
        <v>Nữ</v>
      </c>
      <c r="D215" t="str">
        <f>survey_responses[[#This Row],[Giới tính của bạn:]]</f>
        <v>Nữ</v>
      </c>
      <c r="E215" t="str">
        <f>step3_validation[[#This Row],[Age_Group]]</f>
        <v>30 - 39</v>
      </c>
      <c r="F215" t="str">
        <f>survey_responses[[#This Row],[Độ tuổi của bạn:]]</f>
        <v>30 - 39</v>
      </c>
      <c r="G215" t="str">
        <f>step3_validation[[#This Row],[Region]]</f>
        <v>Thành thị</v>
      </c>
      <c r="H215" t="str">
        <f>survey_responses[[#This Row],[Khu vực bạn đang sinh sống:]]</f>
        <v>Thành thị</v>
      </c>
      <c r="I215" t="str">
        <f>step3_validation[[#This Row],[Education]]</f>
        <v>Sau Đại học</v>
      </c>
      <c r="J215" t="str">
        <f>survey_responses[[#This Row],[Trình độ học vấn cao nhất:]]</f>
        <v>Sau Đại học</v>
      </c>
      <c r="K215" t="str">
        <f>step3_validation[[#This Row],[Employment]]</f>
        <v>Chính thức</v>
      </c>
      <c r="L215" t="str">
        <f>survey_responses[[#This Row],[Tình trạng việc làm chính:]]</f>
        <v>Khu vực chính thức (Có Hợp đồng lao động, đóng BHXH)</v>
      </c>
      <c r="M215">
        <f>step3_validation[[#This Row],[Income_Mil]]</f>
        <v>53.821389581260028</v>
      </c>
      <c r="N215" t="str">
        <f>survey_responses[[#This Row],[Thu nhập bình quân tháng theo Hợp đồng lao động của bạn là bao nhiêu? (Vui lòng điền tổng thu nhập trước khi khấu trừ các loại Bảo hiểm (BHXH, BHYT, BHTN) và Thuế TNCN)]]</f>
        <v>Từ 48 - 70 triệu VNĐ</v>
      </c>
      <c r="O215">
        <f>step3_validation[[#This Row],[Dependents]]</f>
        <v>4</v>
      </c>
      <c r="P215" t="str">
        <f>survey_responses[[#This Row],[Số người phụ thuộc (con nhỏ, cha mẹ già...) đủ điều kiện giảm trừ gia cảnh:]]</f>
        <v>4 người trở lên</v>
      </c>
      <c r="Q215">
        <f>step3_validation[[#This Row],[AI_ENF1]]</f>
        <v>7</v>
      </c>
      <c r="R215" t="str">
        <f t="shared" si="81"/>
        <v>Neutral</v>
      </c>
      <c r="S215">
        <f>survey_responses[[#This Row],[Tôi tin rằng với các quy định quản lý thuế hiện nay, hành vi gian lận hoặc trốn thuế sẽ dễ dàng bị phát hiện và xử lý nghiêm. - HUMAN-ENF1]]</f>
        <v>9</v>
      </c>
      <c r="T215" t="str">
        <f t="shared" si="82"/>
        <v>Support</v>
      </c>
      <c r="U215" s="31">
        <f t="shared" si="83"/>
        <v>2</v>
      </c>
      <c r="V215">
        <f>step3_validation[[#This Row],[AI_ENF2]]</f>
        <v>6</v>
      </c>
      <c r="W215" t="str">
        <f t="shared" si="84"/>
        <v>Neutral</v>
      </c>
      <c r="X215">
        <f>survey_responses[[#This Row],[Tôi tin rằng Nhà nước, cơ quan thuế có đủ khả năng và công nghệ để phát hiện, xử lý nghiêm các hành vi trốn thuế. - HUMAN-ENF2]]</f>
        <v>9</v>
      </c>
      <c r="Y215" t="str">
        <f t="shared" si="85"/>
        <v>Support</v>
      </c>
      <c r="Z215" s="31">
        <f t="shared" si="86"/>
        <v>3</v>
      </c>
      <c r="AA215">
        <f>step3_validation[[#This Row],[AI_FAC1]]</f>
        <v>9</v>
      </c>
      <c r="AB215" t="str">
        <f t="shared" si="87"/>
        <v>Support</v>
      </c>
      <c r="AC215">
        <f>survey_responses[[#This Row],[Các thủ tục khai báo thuế VÀ/HOẶC quy trình làm việc với cơ quan thuế đơn giản, tiện lợi, nhanh chóng hơn so với trước đây. - HUMAN-FAC1]]</f>
        <v>9</v>
      </c>
      <c r="AD215" t="str">
        <f t="shared" si="88"/>
        <v>Support</v>
      </c>
      <c r="AE215" s="31">
        <f t="shared" si="89"/>
        <v>0</v>
      </c>
      <c r="AF215">
        <f>step3_validation[[#This Row],[AI_FAC2]]</f>
        <v>9</v>
      </c>
      <c r="AG215" t="str">
        <f t="shared" si="90"/>
        <v>Support</v>
      </c>
      <c r="AH215">
        <f>survey_responses[[#This Row],[So với trước đây, tôi thấy cách tính thuế và các bậc thuế trong phương án mới đơn giản, dễ hiểu và dễ thực hiện hơn. - HUMAN-FAC2]]</f>
        <v>9</v>
      </c>
      <c r="AI215" t="str">
        <f t="shared" si="91"/>
        <v>Support</v>
      </c>
      <c r="AJ215" s="31">
        <f t="shared" si="92"/>
        <v>0</v>
      </c>
      <c r="AK215">
        <f>step3_validation[[#This Row],[AI_TRU1]]</f>
        <v>7</v>
      </c>
      <c r="AL215" t="str">
        <f t="shared" si="93"/>
        <v>Neutral</v>
      </c>
      <c r="AM215">
        <f>survey_responses[[#This Row],[Tôi tin rằng Nhà nước, cơ quan thuế sẽ thực thi chính sách mới một cách khách quan, công tâm và đối xử bình đẳng với mọi người nộp thuế.  - HUMAN-TRU1]]</f>
        <v>9</v>
      </c>
      <c r="AN215" t="str">
        <f t="shared" si="94"/>
        <v>Support</v>
      </c>
      <c r="AO215" s="31">
        <f t="shared" si="95"/>
        <v>2</v>
      </c>
      <c r="AP215">
        <f>step3_validation[[#This Row],[AI_TRU2]]</f>
        <v>9</v>
      </c>
      <c r="AQ215" t="str">
        <f t="shared" si="96"/>
        <v>Support</v>
      </c>
      <c r="AR215">
        <f>survey_responses[[#This Row],[Tôi thấy mức thuế tôi phải đóng theo phương án mới là công bằng (người thu nhập như tôi đóng mức này là hợp lý). - HUMAN-TRU2]]</f>
        <v>9</v>
      </c>
      <c r="AS215" t="str">
        <f t="shared" si="97"/>
        <v>Support</v>
      </c>
      <c r="AT215" s="31">
        <f t="shared" si="98"/>
        <v>0</v>
      </c>
      <c r="AU215">
        <f>step3_validation[[#This Row],[AI_TRU3]]</f>
        <v>7</v>
      </c>
      <c r="AV215" t="str">
        <f t="shared" si="99"/>
        <v>Neutral</v>
      </c>
      <c r="AW215">
        <f>survey_responses[[#This Row],[Tôi tin tưởng số tiền thuế tôi đóng sẽ được Nhà nước sử dụng hiệu quả để cải thiện dịch vụ công (y tế, đường xá...). - HUMAN-TRU3]]</f>
        <v>9</v>
      </c>
      <c r="AX215" t="str">
        <f t="shared" si="100"/>
        <v>Support</v>
      </c>
      <c r="AY215" s="31">
        <f t="shared" si="101"/>
        <v>2</v>
      </c>
      <c r="AZ215">
        <f>step3_validation[[#This Row],[AI_TRU4]]</f>
        <v>6</v>
      </c>
      <c r="BA215" t="str">
        <f t="shared" si="102"/>
        <v>Neutral</v>
      </c>
      <c r="BB215">
        <f>survey_responses[[#This Row],[Tôi thấy Nhà nước đã giải thích rõ ràng, minh bạch về lý do và mục tiêu của việc sửa đổi thuế lần này. - HUMAN-TRU4]]</f>
        <v>9</v>
      </c>
      <c r="BC215" t="str">
        <f t="shared" si="103"/>
        <v>Support</v>
      </c>
      <c r="BD215" s="31">
        <f t="shared" si="104"/>
        <v>3</v>
      </c>
      <c r="BE215">
        <f>step3_validation[[#This Row],[AI_OUT1]]</f>
        <v>9</v>
      </c>
      <c r="BF215" t="str">
        <f t="shared" si="105"/>
        <v>Support</v>
      </c>
      <c r="BG215">
        <f>survey_responses[[#This Row],[Sau khi xem xét các quyền lợi và nghĩa vụ, bạn có ủng hộ và tuân thủ chính sách mới hiện nay? - HUMAN-OUT1]]</f>
        <v>9</v>
      </c>
      <c r="BH215" t="str">
        <f t="shared" si="106"/>
        <v>Support</v>
      </c>
      <c r="BI215" s="31">
        <f t="shared" si="107"/>
        <v>0</v>
      </c>
    </row>
    <row r="216" spans="1:61" hidden="1" x14ac:dyDescent="0.45">
      <c r="A216" s="29">
        <f>step3_validation[[#This Row],[Persona_ID]]</f>
        <v>215</v>
      </c>
      <c r="B216" s="30">
        <f>step3_validation[[#This Row],[Used_Seed]]</f>
        <v>256</v>
      </c>
      <c r="C216" t="str">
        <f>step3_validation[[#This Row],[Gender]]</f>
        <v>Nữ</v>
      </c>
      <c r="D216" t="str">
        <f>survey_responses[[#This Row],[Giới tính của bạn:]]</f>
        <v>Nữ</v>
      </c>
      <c r="E216" t="str">
        <f>step3_validation[[#This Row],[Age_Group]]</f>
        <v>30 - 39</v>
      </c>
      <c r="F216" t="str">
        <f>survey_responses[[#This Row],[Độ tuổi của bạn:]]</f>
        <v>30 - 39</v>
      </c>
      <c r="G216" t="str">
        <f>step3_validation[[#This Row],[Region]]</f>
        <v>Thành thị</v>
      </c>
      <c r="H216" t="str">
        <f>survey_responses[[#This Row],[Khu vực bạn đang sinh sống:]]</f>
        <v>Thành thị</v>
      </c>
      <c r="I216" t="str">
        <f>step3_validation[[#This Row],[Education]]</f>
        <v>Sau Đại học</v>
      </c>
      <c r="J216" t="str">
        <f>survey_responses[[#This Row],[Trình độ học vấn cao nhất:]]</f>
        <v>Sau Đại học</v>
      </c>
      <c r="K216" t="str">
        <f>step3_validation[[#This Row],[Employment]]</f>
        <v>Chính thức</v>
      </c>
      <c r="L216" t="str">
        <f>survey_responses[[#This Row],[Tình trạng việc làm chính:]]</f>
        <v>Khu vực chính thức (Có Hợp đồng lao động, đóng BHXH)</v>
      </c>
      <c r="M216">
        <f>step3_validation[[#This Row],[Income_Mil]]</f>
        <v>18.719199146531313</v>
      </c>
      <c r="N216" t="str">
        <f>survey_responses[[#This Row],[Thu nhập bình quân tháng theo Hợp đồng lao động của bạn là bao nhiêu? (Vui lòng điền tổng thu nhập trước khi khấu trừ các loại Bảo hiểm (BHXH, BHYT, BHTN) và Thuế TNCN)]]</f>
        <v>Từ 18 - 23 triệu VNĐ</v>
      </c>
      <c r="O216">
        <f>step3_validation[[#This Row],[Dependents]]</f>
        <v>2</v>
      </c>
      <c r="P216" t="str">
        <f>survey_responses[[#This Row],[Số người phụ thuộc (con nhỏ, cha mẹ già...) đủ điều kiện giảm trừ gia cảnh:]]</f>
        <v>2 người</v>
      </c>
      <c r="Q216">
        <f>step3_validation[[#This Row],[AI_ENF1]]</f>
        <v>6</v>
      </c>
      <c r="R216" t="str">
        <f t="shared" si="81"/>
        <v>Neutral</v>
      </c>
      <c r="S216">
        <f>survey_responses[[#This Row],[Tôi tin rằng với các quy định quản lý thuế hiện nay, hành vi gian lận hoặc trốn thuế sẽ dễ dàng bị phát hiện và xử lý nghiêm. - HUMAN-ENF1]]</f>
        <v>5</v>
      </c>
      <c r="T216" t="str">
        <f t="shared" si="82"/>
        <v>Neutral</v>
      </c>
      <c r="U216" s="31">
        <f t="shared" si="83"/>
        <v>1</v>
      </c>
      <c r="V216">
        <f>step3_validation[[#This Row],[AI_ENF2]]</f>
        <v>6</v>
      </c>
      <c r="W216" t="str">
        <f t="shared" si="84"/>
        <v>Neutral</v>
      </c>
      <c r="X216">
        <f>survey_responses[[#This Row],[Tôi tin rằng Nhà nước, cơ quan thuế có đủ khả năng và công nghệ để phát hiện, xử lý nghiêm các hành vi trốn thuế. - HUMAN-ENF2]]</f>
        <v>5</v>
      </c>
      <c r="Y216" t="str">
        <f t="shared" si="85"/>
        <v>Neutral</v>
      </c>
      <c r="Z216" s="31">
        <f t="shared" si="86"/>
        <v>1</v>
      </c>
      <c r="AA216">
        <f>step3_validation[[#This Row],[AI_FAC1]]</f>
        <v>9</v>
      </c>
      <c r="AB216" t="str">
        <f t="shared" si="87"/>
        <v>Support</v>
      </c>
      <c r="AC216">
        <f>survey_responses[[#This Row],[Các thủ tục khai báo thuế VÀ/HOẶC quy trình làm việc với cơ quan thuế đơn giản, tiện lợi, nhanh chóng hơn so với trước đây. - HUMAN-FAC1]]</f>
        <v>5</v>
      </c>
      <c r="AD216" t="str">
        <f t="shared" si="88"/>
        <v>Neutral</v>
      </c>
      <c r="AE216" s="31">
        <f t="shared" si="89"/>
        <v>4</v>
      </c>
      <c r="AF216">
        <f>step3_validation[[#This Row],[AI_FAC2]]</f>
        <v>8</v>
      </c>
      <c r="AG216" t="str">
        <f t="shared" si="90"/>
        <v>Support</v>
      </c>
      <c r="AH216">
        <f>survey_responses[[#This Row],[So với trước đây, tôi thấy cách tính thuế và các bậc thuế trong phương án mới đơn giản, dễ hiểu và dễ thực hiện hơn. - HUMAN-FAC2]]</f>
        <v>5</v>
      </c>
      <c r="AI216" t="str">
        <f t="shared" si="91"/>
        <v>Neutral</v>
      </c>
      <c r="AJ216" s="31">
        <f t="shared" si="92"/>
        <v>3</v>
      </c>
      <c r="AK216">
        <f>step3_validation[[#This Row],[AI_TRU1]]</f>
        <v>9</v>
      </c>
      <c r="AL216" t="str">
        <f t="shared" si="93"/>
        <v>Support</v>
      </c>
      <c r="AM216">
        <f>survey_responses[[#This Row],[Tôi tin rằng Nhà nước, cơ quan thuế sẽ thực thi chính sách mới một cách khách quan, công tâm và đối xử bình đẳng với mọi người nộp thuế.  - HUMAN-TRU1]]</f>
        <v>5</v>
      </c>
      <c r="AN216" t="str">
        <f t="shared" si="94"/>
        <v>Neutral</v>
      </c>
      <c r="AO216" s="31">
        <f t="shared" si="95"/>
        <v>4</v>
      </c>
      <c r="AP216">
        <f>step3_validation[[#This Row],[AI_TRU2]]</f>
        <v>8</v>
      </c>
      <c r="AQ216" t="str">
        <f t="shared" si="96"/>
        <v>Support</v>
      </c>
      <c r="AR216">
        <f>survey_responses[[#This Row],[Tôi thấy mức thuế tôi phải đóng theo phương án mới là công bằng (người thu nhập như tôi đóng mức này là hợp lý). - HUMAN-TRU2]]</f>
        <v>5</v>
      </c>
      <c r="AS216" t="str">
        <f t="shared" si="97"/>
        <v>Neutral</v>
      </c>
      <c r="AT216" s="31">
        <f t="shared" si="98"/>
        <v>3</v>
      </c>
      <c r="AU216">
        <f>step3_validation[[#This Row],[AI_TRU3]]</f>
        <v>6</v>
      </c>
      <c r="AV216" t="str">
        <f t="shared" si="99"/>
        <v>Neutral</v>
      </c>
      <c r="AW216">
        <f>survey_responses[[#This Row],[Tôi tin tưởng số tiền thuế tôi đóng sẽ được Nhà nước sử dụng hiệu quả để cải thiện dịch vụ công (y tế, đường xá...). - HUMAN-TRU3]]</f>
        <v>5</v>
      </c>
      <c r="AX216" t="str">
        <f t="shared" si="100"/>
        <v>Neutral</v>
      </c>
      <c r="AY216" s="31">
        <f t="shared" si="101"/>
        <v>1</v>
      </c>
      <c r="AZ216">
        <f>step3_validation[[#This Row],[AI_TRU4]]</f>
        <v>5</v>
      </c>
      <c r="BA216" t="str">
        <f t="shared" si="102"/>
        <v>Neutral</v>
      </c>
      <c r="BB216">
        <f>survey_responses[[#This Row],[Tôi thấy Nhà nước đã giải thích rõ ràng, minh bạch về lý do và mục tiêu của việc sửa đổi thuế lần này. - HUMAN-TRU4]]</f>
        <v>5</v>
      </c>
      <c r="BC216" t="str">
        <f t="shared" si="103"/>
        <v>Neutral</v>
      </c>
      <c r="BD216" s="31">
        <f t="shared" si="104"/>
        <v>0</v>
      </c>
      <c r="BE216">
        <f>step3_validation[[#This Row],[AI_OUT1]]</f>
        <v>7</v>
      </c>
      <c r="BF216" t="str">
        <f t="shared" si="105"/>
        <v>Neutral</v>
      </c>
      <c r="BG216">
        <f>survey_responses[[#This Row],[Sau khi xem xét các quyền lợi và nghĩa vụ, bạn có ủng hộ và tuân thủ chính sách mới hiện nay? - HUMAN-OUT1]]</f>
        <v>5</v>
      </c>
      <c r="BH216" t="str">
        <f t="shared" si="106"/>
        <v>Neutral</v>
      </c>
      <c r="BI216" s="31">
        <f t="shared" si="107"/>
        <v>2</v>
      </c>
    </row>
    <row r="217" spans="1:61" hidden="1" x14ac:dyDescent="0.45">
      <c r="A217" s="29">
        <f>step3_validation[[#This Row],[Persona_ID]]</f>
        <v>216</v>
      </c>
      <c r="B217" s="30">
        <f>step3_validation[[#This Row],[Used_Seed]]</f>
        <v>257</v>
      </c>
      <c r="C217" t="str">
        <f>step3_validation[[#This Row],[Gender]]</f>
        <v>Nữ</v>
      </c>
      <c r="D217" t="str">
        <f>survey_responses[[#This Row],[Giới tính của bạn:]]</f>
        <v>Nữ</v>
      </c>
      <c r="E217" t="str">
        <f>step3_validation[[#This Row],[Age_Group]]</f>
        <v>30 - 39</v>
      </c>
      <c r="F217" t="str">
        <f>survey_responses[[#This Row],[Độ tuổi của bạn:]]</f>
        <v>30 - 39</v>
      </c>
      <c r="G217" t="str">
        <f>step3_validation[[#This Row],[Region]]</f>
        <v>Thành thị</v>
      </c>
      <c r="H217" t="str">
        <f>survey_responses[[#This Row],[Khu vực bạn đang sinh sống:]]</f>
        <v>Thành thị</v>
      </c>
      <c r="I217" t="str">
        <f>step3_validation[[#This Row],[Education]]</f>
        <v>Sau Đại học</v>
      </c>
      <c r="J217" t="str">
        <f>survey_responses[[#This Row],[Trình độ học vấn cao nhất:]]</f>
        <v>Sau Đại học</v>
      </c>
      <c r="K217" t="str">
        <f>step3_validation[[#This Row],[Employment]]</f>
        <v>Chính thức</v>
      </c>
      <c r="L217" t="str">
        <f>survey_responses[[#This Row],[Tình trạng việc làm chính:]]</f>
        <v>Khu vực chính thức (Có Hợp đồng lao động, đóng BHXH)</v>
      </c>
      <c r="M217">
        <f>step3_validation[[#This Row],[Income_Mil]]</f>
        <v>42.400212876494244</v>
      </c>
      <c r="N217" t="str">
        <f>survey_responses[[#This Row],[Thu nhập bình quân tháng theo Hợp đồng lao động của bạn là bao nhiêu? (Vui lòng điền tổng thu nhập trước khi khấu trừ các loại Bảo hiểm (BHXH, BHYT, BHTN) và Thuế TNCN)]]</f>
        <v>Từ 32 - 48 triệu VNĐ</v>
      </c>
      <c r="O217">
        <f>step3_validation[[#This Row],[Dependents]]</f>
        <v>1</v>
      </c>
      <c r="P217" t="str">
        <f>survey_responses[[#This Row],[Số người phụ thuộc (con nhỏ, cha mẹ già...) đủ điều kiện giảm trừ gia cảnh:]]</f>
        <v>1 người</v>
      </c>
      <c r="Q217">
        <f>step3_validation[[#This Row],[AI_ENF1]]</f>
        <v>7</v>
      </c>
      <c r="R217" t="str">
        <f t="shared" si="81"/>
        <v>Neutral</v>
      </c>
      <c r="S217">
        <f>survey_responses[[#This Row],[Tôi tin rằng với các quy định quản lý thuế hiện nay, hành vi gian lận hoặc trốn thuế sẽ dễ dàng bị phát hiện và xử lý nghiêm. - HUMAN-ENF1]]</f>
        <v>6</v>
      </c>
      <c r="T217" t="str">
        <f t="shared" si="82"/>
        <v>Neutral</v>
      </c>
      <c r="U217" s="31">
        <f t="shared" si="83"/>
        <v>1</v>
      </c>
      <c r="V217">
        <f>step3_validation[[#This Row],[AI_ENF2]]</f>
        <v>6</v>
      </c>
      <c r="W217" t="str">
        <f t="shared" si="84"/>
        <v>Neutral</v>
      </c>
      <c r="X217">
        <f>survey_responses[[#This Row],[Tôi tin rằng Nhà nước, cơ quan thuế có đủ khả năng và công nghệ để phát hiện, xử lý nghiêm các hành vi trốn thuế. - HUMAN-ENF2]]</f>
        <v>7</v>
      </c>
      <c r="Y217" t="str">
        <f t="shared" si="85"/>
        <v>Neutral</v>
      </c>
      <c r="Z217" s="31">
        <f t="shared" si="86"/>
        <v>1</v>
      </c>
      <c r="AA217">
        <f>step3_validation[[#This Row],[AI_FAC1]]</f>
        <v>9</v>
      </c>
      <c r="AB217" t="str">
        <f t="shared" si="87"/>
        <v>Support</v>
      </c>
      <c r="AC217">
        <f>survey_responses[[#This Row],[Các thủ tục khai báo thuế VÀ/HOẶC quy trình làm việc với cơ quan thuế đơn giản, tiện lợi, nhanh chóng hơn so với trước đây. - HUMAN-FAC1]]</f>
        <v>7</v>
      </c>
      <c r="AD217" t="str">
        <f t="shared" si="88"/>
        <v>Neutral</v>
      </c>
      <c r="AE217" s="31">
        <f t="shared" si="89"/>
        <v>2</v>
      </c>
      <c r="AF217">
        <f>step3_validation[[#This Row],[AI_FAC2]]</f>
        <v>8</v>
      </c>
      <c r="AG217" t="str">
        <f t="shared" si="90"/>
        <v>Support</v>
      </c>
      <c r="AH217">
        <f>survey_responses[[#This Row],[So với trước đây, tôi thấy cách tính thuế và các bậc thuế trong phương án mới đơn giản, dễ hiểu và dễ thực hiện hơn. - HUMAN-FAC2]]</f>
        <v>7</v>
      </c>
      <c r="AI217" t="str">
        <f t="shared" si="91"/>
        <v>Neutral</v>
      </c>
      <c r="AJ217" s="31">
        <f t="shared" si="92"/>
        <v>1</v>
      </c>
      <c r="AK217">
        <f>step3_validation[[#This Row],[AI_TRU1]]</f>
        <v>9</v>
      </c>
      <c r="AL217" t="str">
        <f t="shared" si="93"/>
        <v>Support</v>
      </c>
      <c r="AM217">
        <f>survey_responses[[#This Row],[Tôi tin rằng Nhà nước, cơ quan thuế sẽ thực thi chính sách mới một cách khách quan, công tâm và đối xử bình đẳng với mọi người nộp thuế.  - HUMAN-TRU1]]</f>
        <v>6</v>
      </c>
      <c r="AN217" t="str">
        <f t="shared" si="94"/>
        <v>Neutral</v>
      </c>
      <c r="AO217" s="31">
        <f t="shared" si="95"/>
        <v>3</v>
      </c>
      <c r="AP217">
        <f>step3_validation[[#This Row],[AI_TRU2]]</f>
        <v>8</v>
      </c>
      <c r="AQ217" t="str">
        <f t="shared" si="96"/>
        <v>Support</v>
      </c>
      <c r="AR217">
        <f>survey_responses[[#This Row],[Tôi thấy mức thuế tôi phải đóng theo phương án mới là công bằng (người thu nhập như tôi đóng mức này là hợp lý). - HUMAN-TRU2]]</f>
        <v>7</v>
      </c>
      <c r="AS217" t="str">
        <f t="shared" si="97"/>
        <v>Neutral</v>
      </c>
      <c r="AT217" s="31">
        <f t="shared" si="98"/>
        <v>1</v>
      </c>
      <c r="AU217">
        <f>step3_validation[[#This Row],[AI_TRU3]]</f>
        <v>9</v>
      </c>
      <c r="AV217" t="str">
        <f t="shared" si="99"/>
        <v>Support</v>
      </c>
      <c r="AW217">
        <f>survey_responses[[#This Row],[Tôi tin tưởng số tiền thuế tôi đóng sẽ được Nhà nước sử dụng hiệu quả để cải thiện dịch vụ công (y tế, đường xá...). - HUMAN-TRU3]]</f>
        <v>7</v>
      </c>
      <c r="AX217" t="str">
        <f t="shared" si="100"/>
        <v>Neutral</v>
      </c>
      <c r="AY217" s="31">
        <f t="shared" si="101"/>
        <v>2</v>
      </c>
      <c r="AZ217">
        <f>step3_validation[[#This Row],[AI_TRU4]]</f>
        <v>8</v>
      </c>
      <c r="BA217" t="str">
        <f t="shared" si="102"/>
        <v>Support</v>
      </c>
      <c r="BB217">
        <f>survey_responses[[#This Row],[Tôi thấy Nhà nước đã giải thích rõ ràng, minh bạch về lý do và mục tiêu của việc sửa đổi thuế lần này. - HUMAN-TRU4]]</f>
        <v>7</v>
      </c>
      <c r="BC217" t="str">
        <f t="shared" si="103"/>
        <v>Neutral</v>
      </c>
      <c r="BD217" s="31">
        <f t="shared" si="104"/>
        <v>1</v>
      </c>
      <c r="BE217">
        <f>step3_validation[[#This Row],[AI_OUT1]]</f>
        <v>9</v>
      </c>
      <c r="BF217" t="str">
        <f t="shared" si="105"/>
        <v>Support</v>
      </c>
      <c r="BG217">
        <f>survey_responses[[#This Row],[Sau khi xem xét các quyền lợi và nghĩa vụ, bạn có ủng hộ và tuân thủ chính sách mới hiện nay? - HUMAN-OUT1]]</f>
        <v>7</v>
      </c>
      <c r="BH217" t="str">
        <f t="shared" si="106"/>
        <v>Neutral</v>
      </c>
      <c r="BI217" s="31">
        <f t="shared" si="107"/>
        <v>2</v>
      </c>
    </row>
    <row r="218" spans="1:61" hidden="1" x14ac:dyDescent="0.45">
      <c r="A218" s="29">
        <f>step3_validation[[#This Row],[Persona_ID]]</f>
        <v>217</v>
      </c>
      <c r="B218" s="30">
        <f>step3_validation[[#This Row],[Used_Seed]]</f>
        <v>258</v>
      </c>
      <c r="C218" t="str">
        <f>step3_validation[[#This Row],[Gender]]</f>
        <v>Nam</v>
      </c>
      <c r="D218" t="str">
        <f>survey_responses[[#This Row],[Giới tính của bạn:]]</f>
        <v>Nam</v>
      </c>
      <c r="E218" t="str">
        <f>step3_validation[[#This Row],[Age_Group]]</f>
        <v>30 - 39</v>
      </c>
      <c r="F218" t="str">
        <f>survey_responses[[#This Row],[Độ tuổi của bạn:]]</f>
        <v>30 - 39</v>
      </c>
      <c r="G218" t="str">
        <f>step3_validation[[#This Row],[Region]]</f>
        <v>Thành thị</v>
      </c>
      <c r="H218" t="str">
        <f>survey_responses[[#This Row],[Khu vực bạn đang sinh sống:]]</f>
        <v>Thành thị</v>
      </c>
      <c r="I218" t="str">
        <f>step3_validation[[#This Row],[Education]]</f>
        <v>Đại học</v>
      </c>
      <c r="J218" t="str">
        <f>survey_responses[[#This Row],[Trình độ học vấn cao nhất:]]</f>
        <v>Đại học</v>
      </c>
      <c r="K218" t="str">
        <f>step3_validation[[#This Row],[Employment]]</f>
        <v>Chính thức</v>
      </c>
      <c r="L218" t="str">
        <f>survey_responses[[#This Row],[Tình trạng việc làm chính:]]</f>
        <v>Khu vực chính thức (Có Hợp đồng lao động, đóng BHXH)</v>
      </c>
      <c r="M218">
        <f>step3_validation[[#This Row],[Income_Mil]]</f>
        <v>38.912910617398488</v>
      </c>
      <c r="N218" t="str">
        <f>survey_responses[[#This Row],[Thu nhập bình quân tháng theo Hợp đồng lao động của bạn là bao nhiêu? (Vui lòng điền tổng thu nhập trước khi khấu trừ các loại Bảo hiểm (BHXH, BHYT, BHTN) và Thuế TNCN)]]</f>
        <v>Từ 32 - 48 triệu VNĐ</v>
      </c>
      <c r="O218">
        <f>step3_validation[[#This Row],[Dependents]]</f>
        <v>0</v>
      </c>
      <c r="P218" t="str">
        <f>survey_responses[[#This Row],[Số người phụ thuộc (con nhỏ, cha mẹ già...) đủ điều kiện giảm trừ gia cảnh:]]</f>
        <v>0 người</v>
      </c>
      <c r="Q218">
        <f>step3_validation[[#This Row],[AI_ENF1]]</f>
        <v>7</v>
      </c>
      <c r="R218" t="str">
        <f t="shared" si="81"/>
        <v>Neutral</v>
      </c>
      <c r="S218">
        <f>survey_responses[[#This Row],[Tôi tin rằng với các quy định quản lý thuế hiện nay, hành vi gian lận hoặc trốn thuế sẽ dễ dàng bị phát hiện và xử lý nghiêm. - HUMAN-ENF1]]</f>
        <v>5</v>
      </c>
      <c r="T218" t="str">
        <f t="shared" si="82"/>
        <v>Neutral</v>
      </c>
      <c r="U218" s="31">
        <f t="shared" si="83"/>
        <v>2</v>
      </c>
      <c r="V218">
        <f>step3_validation[[#This Row],[AI_ENF2]]</f>
        <v>7</v>
      </c>
      <c r="W218" t="str">
        <f t="shared" si="84"/>
        <v>Neutral</v>
      </c>
      <c r="X218">
        <f>survey_responses[[#This Row],[Tôi tin rằng Nhà nước, cơ quan thuế có đủ khả năng và công nghệ để phát hiện, xử lý nghiêm các hành vi trốn thuế. - HUMAN-ENF2]]</f>
        <v>5</v>
      </c>
      <c r="Y218" t="str">
        <f t="shared" si="85"/>
        <v>Neutral</v>
      </c>
      <c r="Z218" s="31">
        <f t="shared" si="86"/>
        <v>2</v>
      </c>
      <c r="AA218">
        <f>step3_validation[[#This Row],[AI_FAC1]]</f>
        <v>9</v>
      </c>
      <c r="AB218" t="str">
        <f t="shared" si="87"/>
        <v>Support</v>
      </c>
      <c r="AC218">
        <f>survey_responses[[#This Row],[Các thủ tục khai báo thuế VÀ/HOẶC quy trình làm việc với cơ quan thuế đơn giản, tiện lợi, nhanh chóng hơn so với trước đây. - HUMAN-FAC1]]</f>
        <v>5</v>
      </c>
      <c r="AD218" t="str">
        <f t="shared" si="88"/>
        <v>Neutral</v>
      </c>
      <c r="AE218" s="31">
        <f t="shared" si="89"/>
        <v>4</v>
      </c>
      <c r="AF218">
        <f>step3_validation[[#This Row],[AI_FAC2]]</f>
        <v>8</v>
      </c>
      <c r="AG218" t="str">
        <f t="shared" si="90"/>
        <v>Support</v>
      </c>
      <c r="AH218">
        <f>survey_responses[[#This Row],[So với trước đây, tôi thấy cách tính thuế và các bậc thuế trong phương án mới đơn giản, dễ hiểu và dễ thực hiện hơn. - HUMAN-FAC2]]</f>
        <v>6</v>
      </c>
      <c r="AI218" t="str">
        <f t="shared" si="91"/>
        <v>Neutral</v>
      </c>
      <c r="AJ218" s="31">
        <f t="shared" si="92"/>
        <v>2</v>
      </c>
      <c r="AK218">
        <f>step3_validation[[#This Row],[AI_TRU1]]</f>
        <v>8</v>
      </c>
      <c r="AL218" t="str">
        <f t="shared" si="93"/>
        <v>Support</v>
      </c>
      <c r="AM218">
        <f>survey_responses[[#This Row],[Tôi tin rằng Nhà nước, cơ quan thuế sẽ thực thi chính sách mới một cách khách quan, công tâm và đối xử bình đẳng với mọi người nộp thuế.  - HUMAN-TRU1]]</f>
        <v>5</v>
      </c>
      <c r="AN218" t="str">
        <f t="shared" si="94"/>
        <v>Neutral</v>
      </c>
      <c r="AO218" s="31">
        <f t="shared" si="95"/>
        <v>3</v>
      </c>
      <c r="AP218">
        <f>step3_validation[[#This Row],[AI_TRU2]]</f>
        <v>7</v>
      </c>
      <c r="AQ218" t="str">
        <f t="shared" si="96"/>
        <v>Neutral</v>
      </c>
      <c r="AR218">
        <f>survey_responses[[#This Row],[Tôi thấy mức thuế tôi phải đóng theo phương án mới là công bằng (người thu nhập như tôi đóng mức này là hợp lý). - HUMAN-TRU2]]</f>
        <v>5</v>
      </c>
      <c r="AS218" t="str">
        <f t="shared" si="97"/>
        <v>Neutral</v>
      </c>
      <c r="AT218" s="31">
        <f t="shared" si="98"/>
        <v>2</v>
      </c>
      <c r="AU218">
        <f>step3_validation[[#This Row],[AI_TRU3]]</f>
        <v>8</v>
      </c>
      <c r="AV218" t="str">
        <f t="shared" si="99"/>
        <v>Support</v>
      </c>
      <c r="AW218">
        <f>survey_responses[[#This Row],[Tôi tin tưởng số tiền thuế tôi đóng sẽ được Nhà nước sử dụng hiệu quả để cải thiện dịch vụ công (y tế, đường xá...). - HUMAN-TRU3]]</f>
        <v>5</v>
      </c>
      <c r="AX218" t="str">
        <f t="shared" si="100"/>
        <v>Neutral</v>
      </c>
      <c r="AY218" s="31">
        <f t="shared" si="101"/>
        <v>3</v>
      </c>
      <c r="AZ218">
        <f>step3_validation[[#This Row],[AI_TRU4]]</f>
        <v>7</v>
      </c>
      <c r="BA218" t="str">
        <f t="shared" si="102"/>
        <v>Neutral</v>
      </c>
      <c r="BB218">
        <f>survey_responses[[#This Row],[Tôi thấy Nhà nước đã giải thích rõ ràng, minh bạch về lý do và mục tiêu của việc sửa đổi thuế lần này. - HUMAN-TRU4]]</f>
        <v>5</v>
      </c>
      <c r="BC218" t="str">
        <f t="shared" si="103"/>
        <v>Neutral</v>
      </c>
      <c r="BD218" s="31">
        <f t="shared" si="104"/>
        <v>2</v>
      </c>
      <c r="BE218">
        <f>step3_validation[[#This Row],[AI_OUT1]]</f>
        <v>8</v>
      </c>
      <c r="BF218" t="str">
        <f t="shared" si="105"/>
        <v>Support</v>
      </c>
      <c r="BG218">
        <f>survey_responses[[#This Row],[Sau khi xem xét các quyền lợi và nghĩa vụ, bạn có ủng hộ và tuân thủ chính sách mới hiện nay? - HUMAN-OUT1]]</f>
        <v>5</v>
      </c>
      <c r="BH218" t="str">
        <f t="shared" si="106"/>
        <v>Neutral</v>
      </c>
      <c r="BI218" s="31">
        <f t="shared" si="107"/>
        <v>3</v>
      </c>
    </row>
    <row r="219" spans="1:61" hidden="1" x14ac:dyDescent="0.45">
      <c r="A219" s="29">
        <f>step3_validation[[#This Row],[Persona_ID]]</f>
        <v>218</v>
      </c>
      <c r="B219" s="30">
        <f>step3_validation[[#This Row],[Used_Seed]]</f>
        <v>259</v>
      </c>
      <c r="C219" t="str">
        <f>step3_validation[[#This Row],[Gender]]</f>
        <v>Nữ</v>
      </c>
      <c r="D219" t="str">
        <f>survey_responses[[#This Row],[Giới tính của bạn:]]</f>
        <v>Nữ</v>
      </c>
      <c r="E219" t="str">
        <f>step3_validation[[#This Row],[Age_Group]]</f>
        <v>30 - 39</v>
      </c>
      <c r="F219" t="str">
        <f>survey_responses[[#This Row],[Độ tuổi của bạn:]]</f>
        <v>30 - 39</v>
      </c>
      <c r="G219" t="str">
        <f>step3_validation[[#This Row],[Region]]</f>
        <v>Thành thị</v>
      </c>
      <c r="H219" t="str">
        <f>survey_responses[[#This Row],[Khu vực bạn đang sinh sống:]]</f>
        <v>Thành thị</v>
      </c>
      <c r="I219" t="str">
        <f>step3_validation[[#This Row],[Education]]</f>
        <v>Đại học</v>
      </c>
      <c r="J219" t="str">
        <f>survey_responses[[#This Row],[Trình độ học vấn cao nhất:]]</f>
        <v>Đại học</v>
      </c>
      <c r="K219" t="str">
        <f>step3_validation[[#This Row],[Employment]]</f>
        <v>Chính thức</v>
      </c>
      <c r="L219" t="str">
        <f>survey_responses[[#This Row],[Tình trạng việc làm chính:]]</f>
        <v>Khu vực chính thức (Có Hợp đồng lao động, đóng BHXH)</v>
      </c>
      <c r="M219">
        <f>step3_validation[[#This Row],[Income_Mil]]</f>
        <v>67.90424664424836</v>
      </c>
      <c r="N219" t="str">
        <f>survey_responses[[#This Row],[Thu nhập bình quân tháng theo Hợp đồng lao động của bạn là bao nhiêu? (Vui lòng điền tổng thu nhập trước khi khấu trừ các loại Bảo hiểm (BHXH, BHYT, BHTN) và Thuế TNCN)]]</f>
        <v>Từ 48 - 70 triệu VNĐ</v>
      </c>
      <c r="O219">
        <f>step3_validation[[#This Row],[Dependents]]</f>
        <v>3</v>
      </c>
      <c r="P219" t="str">
        <f>survey_responses[[#This Row],[Số người phụ thuộc (con nhỏ, cha mẹ già...) đủ điều kiện giảm trừ gia cảnh:]]</f>
        <v>3 người</v>
      </c>
      <c r="Q219">
        <f>step3_validation[[#This Row],[AI_ENF1]]</f>
        <v>9</v>
      </c>
      <c r="R219" t="str">
        <f t="shared" si="81"/>
        <v>Support</v>
      </c>
      <c r="S219">
        <f>survey_responses[[#This Row],[Tôi tin rằng với các quy định quản lý thuế hiện nay, hành vi gian lận hoặc trốn thuế sẽ dễ dàng bị phát hiện và xử lý nghiêm. - HUMAN-ENF1]]</f>
        <v>6</v>
      </c>
      <c r="T219" t="str">
        <f t="shared" si="82"/>
        <v>Neutral</v>
      </c>
      <c r="U219" s="31">
        <f t="shared" si="83"/>
        <v>3</v>
      </c>
      <c r="V219">
        <f>step3_validation[[#This Row],[AI_ENF2]]</f>
        <v>8</v>
      </c>
      <c r="W219" t="str">
        <f t="shared" si="84"/>
        <v>Support</v>
      </c>
      <c r="X219">
        <f>survey_responses[[#This Row],[Tôi tin rằng Nhà nước, cơ quan thuế có đủ khả năng và công nghệ để phát hiện, xử lý nghiêm các hành vi trốn thuế. - HUMAN-ENF2]]</f>
        <v>7</v>
      </c>
      <c r="Y219" t="str">
        <f t="shared" si="85"/>
        <v>Neutral</v>
      </c>
      <c r="Z219" s="31">
        <f t="shared" si="86"/>
        <v>1</v>
      </c>
      <c r="AA219">
        <f>step3_validation[[#This Row],[AI_FAC1]]</f>
        <v>9</v>
      </c>
      <c r="AB219" t="str">
        <f t="shared" si="87"/>
        <v>Support</v>
      </c>
      <c r="AC219">
        <f>survey_responses[[#This Row],[Các thủ tục khai báo thuế VÀ/HOẶC quy trình làm việc với cơ quan thuế đơn giản, tiện lợi, nhanh chóng hơn so với trước đây. - HUMAN-FAC1]]</f>
        <v>7</v>
      </c>
      <c r="AD219" t="str">
        <f t="shared" si="88"/>
        <v>Neutral</v>
      </c>
      <c r="AE219" s="31">
        <f t="shared" si="89"/>
        <v>2</v>
      </c>
      <c r="AF219">
        <f>step3_validation[[#This Row],[AI_FAC2]]</f>
        <v>8</v>
      </c>
      <c r="AG219" t="str">
        <f t="shared" si="90"/>
        <v>Support</v>
      </c>
      <c r="AH219">
        <f>survey_responses[[#This Row],[So với trước đây, tôi thấy cách tính thuế và các bậc thuế trong phương án mới đơn giản, dễ hiểu và dễ thực hiện hơn. - HUMAN-FAC2]]</f>
        <v>7</v>
      </c>
      <c r="AI219" t="str">
        <f t="shared" si="91"/>
        <v>Neutral</v>
      </c>
      <c r="AJ219" s="31">
        <f t="shared" si="92"/>
        <v>1</v>
      </c>
      <c r="AK219">
        <f>step3_validation[[#This Row],[AI_TRU1]]</f>
        <v>9</v>
      </c>
      <c r="AL219" t="str">
        <f t="shared" si="93"/>
        <v>Support</v>
      </c>
      <c r="AM219">
        <f>survey_responses[[#This Row],[Tôi tin rằng Nhà nước, cơ quan thuế sẽ thực thi chính sách mới một cách khách quan, công tâm và đối xử bình đẳng với mọi người nộp thuế.  - HUMAN-TRU1]]</f>
        <v>7</v>
      </c>
      <c r="AN219" t="str">
        <f t="shared" si="94"/>
        <v>Neutral</v>
      </c>
      <c r="AO219" s="31">
        <f t="shared" si="95"/>
        <v>2</v>
      </c>
      <c r="AP219">
        <f>step3_validation[[#This Row],[AI_TRU2]]</f>
        <v>8</v>
      </c>
      <c r="AQ219" t="str">
        <f t="shared" si="96"/>
        <v>Support</v>
      </c>
      <c r="AR219">
        <f>survey_responses[[#This Row],[Tôi thấy mức thuế tôi phải đóng theo phương án mới là công bằng (người thu nhập như tôi đóng mức này là hợp lý). - HUMAN-TRU2]]</f>
        <v>7</v>
      </c>
      <c r="AS219" t="str">
        <f t="shared" si="97"/>
        <v>Neutral</v>
      </c>
      <c r="AT219" s="31">
        <f t="shared" si="98"/>
        <v>1</v>
      </c>
      <c r="AU219">
        <f>step3_validation[[#This Row],[AI_TRU3]]</f>
        <v>9</v>
      </c>
      <c r="AV219" t="str">
        <f t="shared" si="99"/>
        <v>Support</v>
      </c>
      <c r="AW219">
        <f>survey_responses[[#This Row],[Tôi tin tưởng số tiền thuế tôi đóng sẽ được Nhà nước sử dụng hiệu quả để cải thiện dịch vụ công (y tế, đường xá...). - HUMAN-TRU3]]</f>
        <v>7</v>
      </c>
      <c r="AX219" t="str">
        <f t="shared" si="100"/>
        <v>Neutral</v>
      </c>
      <c r="AY219" s="31">
        <f t="shared" si="101"/>
        <v>2</v>
      </c>
      <c r="AZ219">
        <f>step3_validation[[#This Row],[AI_TRU4]]</f>
        <v>8</v>
      </c>
      <c r="BA219" t="str">
        <f t="shared" si="102"/>
        <v>Support</v>
      </c>
      <c r="BB219">
        <f>survey_responses[[#This Row],[Tôi thấy Nhà nước đã giải thích rõ ràng, minh bạch về lý do và mục tiêu của việc sửa đổi thuế lần này. - HUMAN-TRU4]]</f>
        <v>7</v>
      </c>
      <c r="BC219" t="str">
        <f t="shared" si="103"/>
        <v>Neutral</v>
      </c>
      <c r="BD219" s="31">
        <f t="shared" si="104"/>
        <v>1</v>
      </c>
      <c r="BE219">
        <f>step3_validation[[#This Row],[AI_OUT1]]</f>
        <v>9</v>
      </c>
      <c r="BF219" t="str">
        <f t="shared" si="105"/>
        <v>Support</v>
      </c>
      <c r="BG219">
        <f>survey_responses[[#This Row],[Sau khi xem xét các quyền lợi và nghĩa vụ, bạn có ủng hộ và tuân thủ chính sách mới hiện nay? - HUMAN-OUT1]]</f>
        <v>7</v>
      </c>
      <c r="BH219" t="str">
        <f t="shared" si="106"/>
        <v>Neutral</v>
      </c>
      <c r="BI219" s="31">
        <f t="shared" si="107"/>
        <v>2</v>
      </c>
    </row>
    <row r="220" spans="1:61" hidden="1" x14ac:dyDescent="0.45">
      <c r="A220" s="29">
        <f>step3_validation[[#This Row],[Persona_ID]]</f>
        <v>219</v>
      </c>
      <c r="B220" s="30">
        <f>step3_validation[[#This Row],[Used_Seed]]</f>
        <v>260</v>
      </c>
      <c r="C220" t="str">
        <f>step3_validation[[#This Row],[Gender]]</f>
        <v>Nam</v>
      </c>
      <c r="D220" t="str">
        <f>survey_responses[[#This Row],[Giới tính của bạn:]]</f>
        <v>Nam</v>
      </c>
      <c r="E220" t="str">
        <f>step3_validation[[#This Row],[Age_Group]]</f>
        <v>55 - 64</v>
      </c>
      <c r="F220" t="str">
        <f>survey_responses[[#This Row],[Độ tuổi của bạn:]]</f>
        <v>55 - 64</v>
      </c>
      <c r="G220" t="str">
        <f>step3_validation[[#This Row],[Region]]</f>
        <v>Thành thị</v>
      </c>
      <c r="H220" t="str">
        <f>survey_responses[[#This Row],[Khu vực bạn đang sinh sống:]]</f>
        <v>Thành thị</v>
      </c>
      <c r="I220" t="str">
        <f>step3_validation[[#This Row],[Education]]</f>
        <v>Sau Đại học</v>
      </c>
      <c r="J220" t="str">
        <f>survey_responses[[#This Row],[Trình độ học vấn cao nhất:]]</f>
        <v>Sau Đại học</v>
      </c>
      <c r="K220" t="str">
        <f>step3_validation[[#This Row],[Employment]]</f>
        <v>Chính thức</v>
      </c>
      <c r="L220" t="str">
        <f>survey_responses[[#This Row],[Tình trạng việc làm chính:]]</f>
        <v>Khu vực chính thức (Có Hợp đồng lao động, đóng BHXH)</v>
      </c>
      <c r="M220">
        <f>step3_validation[[#This Row],[Income_Mil]]</f>
        <v>182.21574814922121</v>
      </c>
      <c r="N220" t="str">
        <f>survey_responses[[#This Row],[Thu nhập bình quân tháng theo Hợp đồng lao động của bạn là bao nhiêu? (Vui lòng điền tổng thu nhập trước khi khấu trừ các loại Bảo hiểm (BHXH, BHYT, BHTN) và Thuế TNCN)]]</f>
        <v>Trên 102 triệu VNĐ</v>
      </c>
      <c r="O220">
        <f>step3_validation[[#This Row],[Dependents]]</f>
        <v>2</v>
      </c>
      <c r="P220" t="str">
        <f>survey_responses[[#This Row],[Số người phụ thuộc (con nhỏ, cha mẹ già...) đủ điều kiện giảm trừ gia cảnh:]]</f>
        <v>2 người</v>
      </c>
      <c r="Q220">
        <f>step3_validation[[#This Row],[AI_ENF1]]</f>
        <v>5</v>
      </c>
      <c r="R220" t="str">
        <f t="shared" si="81"/>
        <v>Neutral</v>
      </c>
      <c r="S220">
        <f>survey_responses[[#This Row],[Tôi tin rằng với các quy định quản lý thuế hiện nay, hành vi gian lận hoặc trốn thuế sẽ dễ dàng bị phát hiện và xử lý nghiêm. - HUMAN-ENF1]]</f>
        <v>7</v>
      </c>
      <c r="T220" t="str">
        <f t="shared" si="82"/>
        <v>Neutral</v>
      </c>
      <c r="U220" s="31">
        <f t="shared" si="83"/>
        <v>2</v>
      </c>
      <c r="V220">
        <f>step3_validation[[#This Row],[AI_ENF2]]</f>
        <v>6</v>
      </c>
      <c r="W220" t="str">
        <f t="shared" si="84"/>
        <v>Neutral</v>
      </c>
      <c r="X220">
        <f>survey_responses[[#This Row],[Tôi tin rằng Nhà nước, cơ quan thuế có đủ khả năng và công nghệ để phát hiện, xử lý nghiêm các hành vi trốn thuế. - HUMAN-ENF2]]</f>
        <v>8</v>
      </c>
      <c r="Y220" t="str">
        <f t="shared" si="85"/>
        <v>Support</v>
      </c>
      <c r="Z220" s="31">
        <f t="shared" si="86"/>
        <v>2</v>
      </c>
      <c r="AA220">
        <f>step3_validation[[#This Row],[AI_FAC1]]</f>
        <v>8</v>
      </c>
      <c r="AB220" t="str">
        <f t="shared" si="87"/>
        <v>Support</v>
      </c>
      <c r="AC220">
        <f>survey_responses[[#This Row],[Các thủ tục khai báo thuế VÀ/HOẶC quy trình làm việc với cơ quan thuế đơn giản, tiện lợi, nhanh chóng hơn so với trước đây. - HUMAN-FAC1]]</f>
        <v>8</v>
      </c>
      <c r="AD220" t="str">
        <f t="shared" si="88"/>
        <v>Support</v>
      </c>
      <c r="AE220" s="31">
        <f t="shared" si="89"/>
        <v>0</v>
      </c>
      <c r="AF220">
        <f>step3_validation[[#This Row],[AI_FAC2]]</f>
        <v>7</v>
      </c>
      <c r="AG220" t="str">
        <f t="shared" si="90"/>
        <v>Neutral</v>
      </c>
      <c r="AH220">
        <f>survey_responses[[#This Row],[So với trước đây, tôi thấy cách tính thuế và các bậc thuế trong phương án mới đơn giản, dễ hiểu và dễ thực hiện hơn. - HUMAN-FAC2]]</f>
        <v>8</v>
      </c>
      <c r="AI220" t="str">
        <f t="shared" si="91"/>
        <v>Support</v>
      </c>
      <c r="AJ220" s="31">
        <f t="shared" si="92"/>
        <v>1</v>
      </c>
      <c r="AK220">
        <f>step3_validation[[#This Row],[AI_TRU1]]</f>
        <v>6</v>
      </c>
      <c r="AL220" t="str">
        <f t="shared" si="93"/>
        <v>Neutral</v>
      </c>
      <c r="AM220">
        <f>survey_responses[[#This Row],[Tôi tin rằng Nhà nước, cơ quan thuế sẽ thực thi chính sách mới một cách khách quan, công tâm và đối xử bình đẳng với mọi người nộp thuế.  - HUMAN-TRU1]]</f>
        <v>8</v>
      </c>
      <c r="AN220" t="str">
        <f t="shared" si="94"/>
        <v>Support</v>
      </c>
      <c r="AO220" s="31">
        <f t="shared" si="95"/>
        <v>2</v>
      </c>
      <c r="AP220">
        <f>step3_validation[[#This Row],[AI_TRU2]]</f>
        <v>9</v>
      </c>
      <c r="AQ220" t="str">
        <f t="shared" si="96"/>
        <v>Support</v>
      </c>
      <c r="AR220">
        <f>survey_responses[[#This Row],[Tôi thấy mức thuế tôi phải đóng theo phương án mới là công bằng (người thu nhập như tôi đóng mức này là hợp lý). - HUMAN-TRU2]]</f>
        <v>5</v>
      </c>
      <c r="AS220" t="str">
        <f t="shared" si="97"/>
        <v>Neutral</v>
      </c>
      <c r="AT220" s="31">
        <f t="shared" si="98"/>
        <v>4</v>
      </c>
      <c r="AU220">
        <f>step3_validation[[#This Row],[AI_TRU3]]</f>
        <v>7</v>
      </c>
      <c r="AV220" t="str">
        <f t="shared" si="99"/>
        <v>Neutral</v>
      </c>
      <c r="AW220">
        <f>survey_responses[[#This Row],[Tôi tin tưởng số tiền thuế tôi đóng sẽ được Nhà nước sử dụng hiệu quả để cải thiện dịch vụ công (y tế, đường xá...). - HUMAN-TRU3]]</f>
        <v>5</v>
      </c>
      <c r="AX220" t="str">
        <f t="shared" si="100"/>
        <v>Neutral</v>
      </c>
      <c r="AY220" s="31">
        <f t="shared" si="101"/>
        <v>2</v>
      </c>
      <c r="AZ220">
        <f>step3_validation[[#This Row],[AI_TRU4]]</f>
        <v>6</v>
      </c>
      <c r="BA220" t="str">
        <f t="shared" si="102"/>
        <v>Neutral</v>
      </c>
      <c r="BB220">
        <f>survey_responses[[#This Row],[Tôi thấy Nhà nước đã giải thích rõ ràng, minh bạch về lý do và mục tiêu của việc sửa đổi thuế lần này. - HUMAN-TRU4]]</f>
        <v>7</v>
      </c>
      <c r="BC220" t="str">
        <f t="shared" si="103"/>
        <v>Neutral</v>
      </c>
      <c r="BD220" s="31">
        <f t="shared" si="104"/>
        <v>1</v>
      </c>
      <c r="BE220">
        <f>step3_validation[[#This Row],[AI_OUT1]]</f>
        <v>8</v>
      </c>
      <c r="BF220" t="str">
        <f t="shared" si="105"/>
        <v>Support</v>
      </c>
      <c r="BG220">
        <f>survey_responses[[#This Row],[Sau khi xem xét các quyền lợi và nghĩa vụ, bạn có ủng hộ và tuân thủ chính sách mới hiện nay? - HUMAN-OUT1]]</f>
        <v>6</v>
      </c>
      <c r="BH220" t="str">
        <f t="shared" si="106"/>
        <v>Neutral</v>
      </c>
      <c r="BI220" s="31">
        <f t="shared" si="107"/>
        <v>2</v>
      </c>
    </row>
    <row r="221" spans="1:61" hidden="1" x14ac:dyDescent="0.45">
      <c r="A221" s="29">
        <f>step3_validation[[#This Row],[Persona_ID]]</f>
        <v>220</v>
      </c>
      <c r="B221" s="30">
        <f>step3_validation[[#This Row],[Used_Seed]]</f>
        <v>261</v>
      </c>
      <c r="C221" t="str">
        <f>step3_validation[[#This Row],[Gender]]</f>
        <v>Nữ</v>
      </c>
      <c r="D221" t="str">
        <f>survey_responses[[#This Row],[Giới tính của bạn:]]</f>
        <v>Nữ</v>
      </c>
      <c r="E221" t="str">
        <f>step3_validation[[#This Row],[Age_Group]]</f>
        <v>50 - 54</v>
      </c>
      <c r="F221" t="str">
        <f>survey_responses[[#This Row],[Độ tuổi của bạn:]]</f>
        <v>50 - 54</v>
      </c>
      <c r="G221" t="str">
        <f>step3_validation[[#This Row],[Region]]</f>
        <v>Thành thị</v>
      </c>
      <c r="H221" t="str">
        <f>survey_responses[[#This Row],[Khu vực bạn đang sinh sống:]]</f>
        <v>Thành thị</v>
      </c>
      <c r="I221" t="str">
        <f>step3_validation[[#This Row],[Education]]</f>
        <v>Sau Đại học</v>
      </c>
      <c r="J221" t="str">
        <f>survey_responses[[#This Row],[Trình độ học vấn cao nhất:]]</f>
        <v>Sau Đại học</v>
      </c>
      <c r="K221" t="str">
        <f>step3_validation[[#This Row],[Employment]]</f>
        <v>Chính thức</v>
      </c>
      <c r="L221" t="str">
        <f>survey_responses[[#This Row],[Tình trạng việc làm chính:]]</f>
        <v>Khu vực chính thức (Có Hợp đồng lao động, đóng BHXH)</v>
      </c>
      <c r="M221">
        <f>step3_validation[[#This Row],[Income_Mil]]</f>
        <v>116.72238938428899</v>
      </c>
      <c r="N221" t="str">
        <f>survey_responses[[#This Row],[Thu nhập bình quân tháng theo Hợp đồng lao động của bạn là bao nhiêu? (Vui lòng điền tổng thu nhập trước khi khấu trừ các loại Bảo hiểm (BHXH, BHYT, BHTN) và Thuế TNCN)]]</f>
        <v>Trên 102 triệu VNĐ</v>
      </c>
      <c r="O221">
        <f>step3_validation[[#This Row],[Dependents]]</f>
        <v>1</v>
      </c>
      <c r="P221" t="str">
        <f>survey_responses[[#This Row],[Số người phụ thuộc (con nhỏ, cha mẹ già...) đủ điều kiện giảm trừ gia cảnh:]]</f>
        <v>1 người</v>
      </c>
      <c r="Q221">
        <f>step3_validation[[#This Row],[AI_ENF1]]</f>
        <v>8</v>
      </c>
      <c r="R221" t="str">
        <f t="shared" si="81"/>
        <v>Support</v>
      </c>
      <c r="S221">
        <f>survey_responses[[#This Row],[Tôi tin rằng với các quy định quản lý thuế hiện nay, hành vi gian lận hoặc trốn thuế sẽ dễ dàng bị phát hiện và xử lý nghiêm. - HUMAN-ENF1]]</f>
        <v>10</v>
      </c>
      <c r="T221" t="str">
        <f t="shared" si="82"/>
        <v>Support</v>
      </c>
      <c r="U221" s="31">
        <f t="shared" si="83"/>
        <v>2</v>
      </c>
      <c r="V221">
        <f>step3_validation[[#This Row],[AI_ENF2]]</f>
        <v>8</v>
      </c>
      <c r="W221" t="str">
        <f t="shared" si="84"/>
        <v>Support</v>
      </c>
      <c r="X221">
        <f>survey_responses[[#This Row],[Tôi tin rằng Nhà nước, cơ quan thuế có đủ khả năng và công nghệ để phát hiện, xử lý nghiêm các hành vi trốn thuế. - HUMAN-ENF2]]</f>
        <v>10</v>
      </c>
      <c r="Y221" t="str">
        <f t="shared" si="85"/>
        <v>Support</v>
      </c>
      <c r="Z221" s="31">
        <f t="shared" si="86"/>
        <v>2</v>
      </c>
      <c r="AA221">
        <f>step3_validation[[#This Row],[AI_FAC1]]</f>
        <v>9</v>
      </c>
      <c r="AB221" t="str">
        <f t="shared" si="87"/>
        <v>Support</v>
      </c>
      <c r="AC221">
        <f>survey_responses[[#This Row],[Các thủ tục khai báo thuế VÀ/HOẶC quy trình làm việc với cơ quan thuế đơn giản, tiện lợi, nhanh chóng hơn so với trước đây. - HUMAN-FAC1]]</f>
        <v>6</v>
      </c>
      <c r="AD221" t="str">
        <f t="shared" si="88"/>
        <v>Neutral</v>
      </c>
      <c r="AE221" s="31">
        <f t="shared" si="89"/>
        <v>3</v>
      </c>
      <c r="AF221">
        <f>step3_validation[[#This Row],[AI_FAC2]]</f>
        <v>8</v>
      </c>
      <c r="AG221" t="str">
        <f t="shared" si="90"/>
        <v>Support</v>
      </c>
      <c r="AH221">
        <f>survey_responses[[#This Row],[So với trước đây, tôi thấy cách tính thuế và các bậc thuế trong phương án mới đơn giản, dễ hiểu và dễ thực hiện hơn. - HUMAN-FAC2]]</f>
        <v>9</v>
      </c>
      <c r="AI221" t="str">
        <f t="shared" si="91"/>
        <v>Support</v>
      </c>
      <c r="AJ221" s="31">
        <f t="shared" si="92"/>
        <v>1</v>
      </c>
      <c r="AK221">
        <f>step3_validation[[#This Row],[AI_TRU1]]</f>
        <v>9</v>
      </c>
      <c r="AL221" t="str">
        <f t="shared" si="93"/>
        <v>Support</v>
      </c>
      <c r="AM221">
        <f>survey_responses[[#This Row],[Tôi tin rằng Nhà nước, cơ quan thuế sẽ thực thi chính sách mới một cách khách quan, công tâm và đối xử bình đẳng với mọi người nộp thuế.  - HUMAN-TRU1]]</f>
        <v>9</v>
      </c>
      <c r="AN221" t="str">
        <f t="shared" si="94"/>
        <v>Support</v>
      </c>
      <c r="AO221" s="31">
        <f t="shared" si="95"/>
        <v>0</v>
      </c>
      <c r="AP221">
        <f>step3_validation[[#This Row],[AI_TRU2]]</f>
        <v>8</v>
      </c>
      <c r="AQ221" t="str">
        <f t="shared" si="96"/>
        <v>Support</v>
      </c>
      <c r="AR221">
        <f>survey_responses[[#This Row],[Tôi thấy mức thuế tôi phải đóng theo phương án mới là công bằng (người thu nhập như tôi đóng mức này là hợp lý). - HUMAN-TRU2]]</f>
        <v>9</v>
      </c>
      <c r="AS221" t="str">
        <f t="shared" si="97"/>
        <v>Support</v>
      </c>
      <c r="AT221" s="31">
        <f t="shared" si="98"/>
        <v>1</v>
      </c>
      <c r="AU221">
        <f>step3_validation[[#This Row],[AI_TRU3]]</f>
        <v>7</v>
      </c>
      <c r="AV221" t="str">
        <f t="shared" si="99"/>
        <v>Neutral</v>
      </c>
      <c r="AW221">
        <f>survey_responses[[#This Row],[Tôi tin tưởng số tiền thuế tôi đóng sẽ được Nhà nước sử dụng hiệu quả để cải thiện dịch vụ công (y tế, đường xá...). - HUMAN-TRU3]]</f>
        <v>9</v>
      </c>
      <c r="AX221" t="str">
        <f t="shared" si="100"/>
        <v>Support</v>
      </c>
      <c r="AY221" s="31">
        <f t="shared" si="101"/>
        <v>2</v>
      </c>
      <c r="AZ221">
        <f>step3_validation[[#This Row],[AI_TRU4]]</f>
        <v>9</v>
      </c>
      <c r="BA221" t="str">
        <f t="shared" si="102"/>
        <v>Support</v>
      </c>
      <c r="BB221">
        <f>survey_responses[[#This Row],[Tôi thấy Nhà nước đã giải thích rõ ràng, minh bạch về lý do và mục tiêu của việc sửa đổi thuế lần này. - HUMAN-TRU4]]</f>
        <v>8</v>
      </c>
      <c r="BC221" t="str">
        <f t="shared" si="103"/>
        <v>Support</v>
      </c>
      <c r="BD221" s="31">
        <f t="shared" si="104"/>
        <v>1</v>
      </c>
      <c r="BE221">
        <f>step3_validation[[#This Row],[AI_OUT1]]</f>
        <v>9</v>
      </c>
      <c r="BF221" t="str">
        <f t="shared" si="105"/>
        <v>Support</v>
      </c>
      <c r="BG221">
        <f>survey_responses[[#This Row],[Sau khi xem xét các quyền lợi và nghĩa vụ, bạn có ủng hộ và tuân thủ chính sách mới hiện nay? - HUMAN-OUT1]]</f>
        <v>8</v>
      </c>
      <c r="BH221" t="str">
        <f t="shared" si="106"/>
        <v>Support</v>
      </c>
      <c r="BI221" s="31">
        <f t="shared" si="107"/>
        <v>1</v>
      </c>
    </row>
    <row r="222" spans="1:61" hidden="1" x14ac:dyDescent="0.45">
      <c r="A222" s="29">
        <f>step3_validation[[#This Row],[Persona_ID]]</f>
        <v>221</v>
      </c>
      <c r="B222" s="30">
        <f>step3_validation[[#This Row],[Used_Seed]]</f>
        <v>262</v>
      </c>
      <c r="C222" t="str">
        <f>step3_validation[[#This Row],[Gender]]</f>
        <v>Nữ</v>
      </c>
      <c r="D222" t="str">
        <f>survey_responses[[#This Row],[Giới tính của bạn:]]</f>
        <v>Nữ</v>
      </c>
      <c r="E222" t="str">
        <f>step3_validation[[#This Row],[Age_Group]]</f>
        <v>40 - 49</v>
      </c>
      <c r="F222" t="str">
        <f>survey_responses[[#This Row],[Độ tuổi của bạn:]]</f>
        <v>40 - 49</v>
      </c>
      <c r="G222" t="str">
        <f>step3_validation[[#This Row],[Region]]</f>
        <v>Thành thị</v>
      </c>
      <c r="H222" t="str">
        <f>survey_responses[[#This Row],[Khu vực bạn đang sinh sống:]]</f>
        <v>Thành thị</v>
      </c>
      <c r="I222" t="str">
        <f>step3_validation[[#This Row],[Education]]</f>
        <v>Đại học</v>
      </c>
      <c r="J222" t="str">
        <f>survey_responses[[#This Row],[Trình độ học vấn cao nhất:]]</f>
        <v>Đại học</v>
      </c>
      <c r="K222" t="str">
        <f>step3_validation[[#This Row],[Employment]]</f>
        <v>Chính thức</v>
      </c>
      <c r="L222" t="str">
        <f>survey_responses[[#This Row],[Tình trạng việc làm chính:]]</f>
        <v>Khu vực chính thức (Có Hợp đồng lao động, đóng BHXH)</v>
      </c>
      <c r="M222">
        <f>step3_validation[[#This Row],[Income_Mil]]</f>
        <v>55.158825873441579</v>
      </c>
      <c r="N222" t="str">
        <f>survey_responses[[#This Row],[Thu nhập bình quân tháng theo Hợp đồng lao động của bạn là bao nhiêu? (Vui lòng điền tổng thu nhập trước khi khấu trừ các loại Bảo hiểm (BHXH, BHYT, BHTN) và Thuế TNCN)]]</f>
        <v>Từ 48 - 70 triệu VNĐ</v>
      </c>
      <c r="O222">
        <f>step3_validation[[#This Row],[Dependents]]</f>
        <v>1</v>
      </c>
      <c r="P222" t="str">
        <f>survey_responses[[#This Row],[Số người phụ thuộc (con nhỏ, cha mẹ già...) đủ điều kiện giảm trừ gia cảnh:]]</f>
        <v>1 người</v>
      </c>
      <c r="Q222">
        <f>step3_validation[[#This Row],[AI_ENF1]]</f>
        <v>7</v>
      </c>
      <c r="R222" t="str">
        <f t="shared" si="81"/>
        <v>Neutral</v>
      </c>
      <c r="S222">
        <f>survey_responses[[#This Row],[Tôi tin rằng với các quy định quản lý thuế hiện nay, hành vi gian lận hoặc trốn thuế sẽ dễ dàng bị phát hiện và xử lý nghiêm. - HUMAN-ENF1]]</f>
        <v>4</v>
      </c>
      <c r="T222" t="str">
        <f t="shared" si="82"/>
        <v>Oppose</v>
      </c>
      <c r="U222" s="31">
        <f t="shared" si="83"/>
        <v>3</v>
      </c>
      <c r="V222">
        <f>step3_validation[[#This Row],[AI_ENF2]]</f>
        <v>8</v>
      </c>
      <c r="W222" t="str">
        <f t="shared" si="84"/>
        <v>Support</v>
      </c>
      <c r="X222">
        <f>survey_responses[[#This Row],[Tôi tin rằng Nhà nước, cơ quan thuế có đủ khả năng và công nghệ để phát hiện, xử lý nghiêm các hành vi trốn thuế. - HUMAN-ENF2]]</f>
        <v>4</v>
      </c>
      <c r="Y222" t="str">
        <f t="shared" si="85"/>
        <v>Oppose</v>
      </c>
      <c r="Z222" s="31">
        <f t="shared" si="86"/>
        <v>4</v>
      </c>
      <c r="AA222">
        <f>step3_validation[[#This Row],[AI_FAC1]]</f>
        <v>6</v>
      </c>
      <c r="AB222" t="str">
        <f t="shared" si="87"/>
        <v>Neutral</v>
      </c>
      <c r="AC222">
        <f>survey_responses[[#This Row],[Các thủ tục khai báo thuế VÀ/HOẶC quy trình làm việc với cơ quan thuế đơn giản, tiện lợi, nhanh chóng hơn so với trước đây. - HUMAN-FAC1]]</f>
        <v>4</v>
      </c>
      <c r="AD222" t="str">
        <f t="shared" si="88"/>
        <v>Oppose</v>
      </c>
      <c r="AE222" s="31">
        <f t="shared" si="89"/>
        <v>2</v>
      </c>
      <c r="AF222">
        <f>step3_validation[[#This Row],[AI_FAC2]]</f>
        <v>9</v>
      </c>
      <c r="AG222" t="str">
        <f t="shared" si="90"/>
        <v>Support</v>
      </c>
      <c r="AH222">
        <f>survey_responses[[#This Row],[So với trước đây, tôi thấy cách tính thuế và các bậc thuế trong phương án mới đơn giản, dễ hiểu và dễ thực hiện hơn. - HUMAN-FAC2]]</f>
        <v>6</v>
      </c>
      <c r="AI222" t="str">
        <f t="shared" si="91"/>
        <v>Neutral</v>
      </c>
      <c r="AJ222" s="31">
        <f t="shared" si="92"/>
        <v>3</v>
      </c>
      <c r="AK222">
        <f>step3_validation[[#This Row],[AI_TRU1]]</f>
        <v>7</v>
      </c>
      <c r="AL222" t="str">
        <f t="shared" si="93"/>
        <v>Neutral</v>
      </c>
      <c r="AM222">
        <f>survey_responses[[#This Row],[Tôi tin rằng Nhà nước, cơ quan thuế sẽ thực thi chính sách mới một cách khách quan, công tâm và đối xử bình đẳng với mọi người nộp thuế.  - HUMAN-TRU1]]</f>
        <v>5</v>
      </c>
      <c r="AN222" t="str">
        <f t="shared" si="94"/>
        <v>Neutral</v>
      </c>
      <c r="AO222" s="31">
        <f t="shared" si="95"/>
        <v>2</v>
      </c>
      <c r="AP222">
        <f>step3_validation[[#This Row],[AI_TRU2]]</f>
        <v>8</v>
      </c>
      <c r="AQ222" t="str">
        <f t="shared" si="96"/>
        <v>Support</v>
      </c>
      <c r="AR222">
        <f>survey_responses[[#This Row],[Tôi thấy mức thuế tôi phải đóng theo phương án mới là công bằng (người thu nhập như tôi đóng mức này là hợp lý). - HUMAN-TRU2]]</f>
        <v>6</v>
      </c>
      <c r="AS222" t="str">
        <f t="shared" si="97"/>
        <v>Neutral</v>
      </c>
      <c r="AT222" s="31">
        <f t="shared" si="98"/>
        <v>2</v>
      </c>
      <c r="AU222">
        <f>step3_validation[[#This Row],[AI_TRU3]]</f>
        <v>7</v>
      </c>
      <c r="AV222" t="str">
        <f t="shared" si="99"/>
        <v>Neutral</v>
      </c>
      <c r="AW222">
        <f>survey_responses[[#This Row],[Tôi tin tưởng số tiền thuế tôi đóng sẽ được Nhà nước sử dụng hiệu quả để cải thiện dịch vụ công (y tế, đường xá...). - HUMAN-TRU3]]</f>
        <v>5</v>
      </c>
      <c r="AX222" t="str">
        <f t="shared" si="100"/>
        <v>Neutral</v>
      </c>
      <c r="AY222" s="31">
        <f t="shared" si="101"/>
        <v>2</v>
      </c>
      <c r="AZ222">
        <f>step3_validation[[#This Row],[AI_TRU4]]</f>
        <v>6</v>
      </c>
      <c r="BA222" t="str">
        <f t="shared" si="102"/>
        <v>Neutral</v>
      </c>
      <c r="BB222">
        <f>survey_responses[[#This Row],[Tôi thấy Nhà nước đã giải thích rõ ràng, minh bạch về lý do và mục tiêu của việc sửa đổi thuế lần này. - HUMAN-TRU4]]</f>
        <v>6</v>
      </c>
      <c r="BC222" t="str">
        <f t="shared" si="103"/>
        <v>Neutral</v>
      </c>
      <c r="BD222" s="31">
        <f t="shared" si="104"/>
        <v>0</v>
      </c>
      <c r="BE222">
        <f>step3_validation[[#This Row],[AI_OUT1]]</f>
        <v>8</v>
      </c>
      <c r="BF222" t="str">
        <f t="shared" si="105"/>
        <v>Support</v>
      </c>
      <c r="BG222">
        <f>survey_responses[[#This Row],[Sau khi xem xét các quyền lợi và nghĩa vụ, bạn có ủng hộ và tuân thủ chính sách mới hiện nay? - HUMAN-OUT1]]</f>
        <v>5</v>
      </c>
      <c r="BH222" t="str">
        <f t="shared" si="106"/>
        <v>Neutral</v>
      </c>
      <c r="BI222" s="31">
        <f t="shared" si="107"/>
        <v>3</v>
      </c>
    </row>
    <row r="223" spans="1:61" hidden="1" x14ac:dyDescent="0.45">
      <c r="A223" s="29">
        <f>step3_validation[[#This Row],[Persona_ID]]</f>
        <v>222</v>
      </c>
      <c r="B223" s="30">
        <f>step3_validation[[#This Row],[Used_Seed]]</f>
        <v>263</v>
      </c>
      <c r="C223" t="str">
        <f>step3_validation[[#This Row],[Gender]]</f>
        <v>Nữ</v>
      </c>
      <c r="D223" t="str">
        <f>survey_responses[[#This Row],[Giới tính của bạn:]]</f>
        <v>Nữ</v>
      </c>
      <c r="E223" t="str">
        <f>step3_validation[[#This Row],[Age_Group]]</f>
        <v>50 - 54</v>
      </c>
      <c r="F223" t="str">
        <f>survey_responses[[#This Row],[Độ tuổi của bạn:]]</f>
        <v>50 - 54</v>
      </c>
      <c r="G223" t="str">
        <f>step3_validation[[#This Row],[Region]]</f>
        <v>Thành thị</v>
      </c>
      <c r="H223" t="str">
        <f>survey_responses[[#This Row],[Khu vực bạn đang sinh sống:]]</f>
        <v>Thành thị</v>
      </c>
      <c r="I223" t="str">
        <f>step3_validation[[#This Row],[Education]]</f>
        <v>Đại học</v>
      </c>
      <c r="J223" t="str">
        <f>survey_responses[[#This Row],[Trình độ học vấn cao nhất:]]</f>
        <v>Đại học</v>
      </c>
      <c r="K223" t="str">
        <f>step3_validation[[#This Row],[Employment]]</f>
        <v>Chính thức</v>
      </c>
      <c r="L223" t="str">
        <f>survey_responses[[#This Row],[Tình trạng việc làm chính:]]</f>
        <v>Khu vực chính thức (Có Hợp đồng lao động, đóng BHXH)</v>
      </c>
      <c r="M223">
        <f>step3_validation[[#This Row],[Income_Mil]]</f>
        <v>55.998308302406855</v>
      </c>
      <c r="N223" t="str">
        <f>survey_responses[[#This Row],[Thu nhập bình quân tháng theo Hợp đồng lao động của bạn là bao nhiêu? (Vui lòng điền tổng thu nhập trước khi khấu trừ các loại Bảo hiểm (BHXH, BHYT, BHTN) và Thuế TNCN)]]</f>
        <v>Từ 48 - 70 triệu VNĐ</v>
      </c>
      <c r="O223">
        <f>step3_validation[[#This Row],[Dependents]]</f>
        <v>2</v>
      </c>
      <c r="P223" t="str">
        <f>survey_responses[[#This Row],[Số người phụ thuộc (con nhỏ, cha mẹ già...) đủ điều kiện giảm trừ gia cảnh:]]</f>
        <v>2 người</v>
      </c>
      <c r="Q223">
        <f>step3_validation[[#This Row],[AI_ENF1]]</f>
        <v>8</v>
      </c>
      <c r="R223" t="str">
        <f t="shared" si="81"/>
        <v>Support</v>
      </c>
      <c r="S223">
        <f>survey_responses[[#This Row],[Tôi tin rằng với các quy định quản lý thuế hiện nay, hành vi gian lận hoặc trốn thuế sẽ dễ dàng bị phát hiện và xử lý nghiêm. - HUMAN-ENF1]]</f>
        <v>4</v>
      </c>
      <c r="T223" t="str">
        <f t="shared" si="82"/>
        <v>Oppose</v>
      </c>
      <c r="U223" s="31">
        <f t="shared" si="83"/>
        <v>4</v>
      </c>
      <c r="V223">
        <f>step3_validation[[#This Row],[AI_ENF2]]</f>
        <v>9</v>
      </c>
      <c r="W223" t="str">
        <f t="shared" si="84"/>
        <v>Support</v>
      </c>
      <c r="X223">
        <f>survey_responses[[#This Row],[Tôi tin rằng Nhà nước, cơ quan thuế có đủ khả năng và công nghệ để phát hiện, xử lý nghiêm các hành vi trốn thuế. - HUMAN-ENF2]]</f>
        <v>5</v>
      </c>
      <c r="Y223" t="str">
        <f t="shared" si="85"/>
        <v>Neutral</v>
      </c>
      <c r="Z223" s="31">
        <f t="shared" si="86"/>
        <v>4</v>
      </c>
      <c r="AA223">
        <f>step3_validation[[#This Row],[AI_FAC1]]</f>
        <v>8</v>
      </c>
      <c r="AB223" t="str">
        <f t="shared" si="87"/>
        <v>Support</v>
      </c>
      <c r="AC223">
        <f>survey_responses[[#This Row],[Các thủ tục khai báo thuế VÀ/HOẶC quy trình làm việc với cơ quan thuế đơn giản, tiện lợi, nhanh chóng hơn so với trước đây. - HUMAN-FAC1]]</f>
        <v>4</v>
      </c>
      <c r="AD223" t="str">
        <f t="shared" si="88"/>
        <v>Oppose</v>
      </c>
      <c r="AE223" s="31">
        <f t="shared" si="89"/>
        <v>4</v>
      </c>
      <c r="AF223">
        <f>step3_validation[[#This Row],[AI_FAC2]]</f>
        <v>9</v>
      </c>
      <c r="AG223" t="str">
        <f t="shared" si="90"/>
        <v>Support</v>
      </c>
      <c r="AH223">
        <f>survey_responses[[#This Row],[So với trước đây, tôi thấy cách tính thuế và các bậc thuế trong phương án mới đơn giản, dễ hiểu và dễ thực hiện hơn. - HUMAN-FAC2]]</f>
        <v>5</v>
      </c>
      <c r="AI223" t="str">
        <f t="shared" si="91"/>
        <v>Neutral</v>
      </c>
      <c r="AJ223" s="31">
        <f t="shared" si="92"/>
        <v>4</v>
      </c>
      <c r="AK223">
        <f>step3_validation[[#This Row],[AI_TRU1]]</f>
        <v>8</v>
      </c>
      <c r="AL223" t="str">
        <f t="shared" si="93"/>
        <v>Support</v>
      </c>
      <c r="AM223">
        <f>survey_responses[[#This Row],[Tôi tin rằng Nhà nước, cơ quan thuế sẽ thực thi chính sách mới một cách khách quan, công tâm và đối xử bình đẳng với mọi người nộp thuế.  - HUMAN-TRU1]]</f>
        <v>5</v>
      </c>
      <c r="AN223" t="str">
        <f t="shared" si="94"/>
        <v>Neutral</v>
      </c>
      <c r="AO223" s="31">
        <f t="shared" si="95"/>
        <v>3</v>
      </c>
      <c r="AP223">
        <f>step3_validation[[#This Row],[AI_TRU2]]</f>
        <v>9</v>
      </c>
      <c r="AQ223" t="str">
        <f t="shared" si="96"/>
        <v>Support</v>
      </c>
      <c r="AR223">
        <f>survey_responses[[#This Row],[Tôi thấy mức thuế tôi phải đóng theo phương án mới là công bằng (người thu nhập như tôi đóng mức này là hợp lý). - HUMAN-TRU2]]</f>
        <v>5</v>
      </c>
      <c r="AS223" t="str">
        <f t="shared" si="97"/>
        <v>Neutral</v>
      </c>
      <c r="AT223" s="31">
        <f t="shared" si="98"/>
        <v>4</v>
      </c>
      <c r="AU223">
        <f>step3_validation[[#This Row],[AI_TRU3]]</f>
        <v>8</v>
      </c>
      <c r="AV223" t="str">
        <f t="shared" si="99"/>
        <v>Support</v>
      </c>
      <c r="AW223">
        <f>survey_responses[[#This Row],[Tôi tin tưởng số tiền thuế tôi đóng sẽ được Nhà nước sử dụng hiệu quả để cải thiện dịch vụ công (y tế, đường xá...). - HUMAN-TRU3]]</f>
        <v>5</v>
      </c>
      <c r="AX223" t="str">
        <f t="shared" si="100"/>
        <v>Neutral</v>
      </c>
      <c r="AY223" s="31">
        <f t="shared" si="101"/>
        <v>3</v>
      </c>
      <c r="AZ223">
        <f>step3_validation[[#This Row],[AI_TRU4]]</f>
        <v>9</v>
      </c>
      <c r="BA223" t="str">
        <f t="shared" si="102"/>
        <v>Support</v>
      </c>
      <c r="BB223">
        <f>survey_responses[[#This Row],[Tôi thấy Nhà nước đã giải thích rõ ràng, minh bạch về lý do và mục tiêu của việc sửa đổi thuế lần này. - HUMAN-TRU4]]</f>
        <v>5</v>
      </c>
      <c r="BC223" t="str">
        <f t="shared" si="103"/>
        <v>Neutral</v>
      </c>
      <c r="BD223" s="31">
        <f t="shared" si="104"/>
        <v>4</v>
      </c>
      <c r="BE223">
        <f>step3_validation[[#This Row],[AI_OUT1]]</f>
        <v>9</v>
      </c>
      <c r="BF223" t="str">
        <f t="shared" si="105"/>
        <v>Support</v>
      </c>
      <c r="BG223">
        <f>survey_responses[[#This Row],[Sau khi xem xét các quyền lợi và nghĩa vụ, bạn có ủng hộ và tuân thủ chính sách mới hiện nay? - HUMAN-OUT1]]</f>
        <v>5</v>
      </c>
      <c r="BH223" t="str">
        <f t="shared" si="106"/>
        <v>Neutral</v>
      </c>
      <c r="BI223" s="31">
        <f t="shared" si="107"/>
        <v>4</v>
      </c>
    </row>
    <row r="224" spans="1:61" hidden="1" x14ac:dyDescent="0.45">
      <c r="A224" s="29">
        <f>step3_validation[[#This Row],[Persona_ID]]</f>
        <v>223</v>
      </c>
      <c r="B224" s="30">
        <f>step3_validation[[#This Row],[Used_Seed]]</f>
        <v>264</v>
      </c>
      <c r="C224" t="str">
        <f>step3_validation[[#This Row],[Gender]]</f>
        <v>Nam</v>
      </c>
      <c r="D224" t="str">
        <f>survey_responses[[#This Row],[Giới tính của bạn:]]</f>
        <v>Nam</v>
      </c>
      <c r="E224" t="str">
        <f>step3_validation[[#This Row],[Age_Group]]</f>
        <v>30 - 39</v>
      </c>
      <c r="F224" t="str">
        <f>survey_responses[[#This Row],[Độ tuổi của bạn:]]</f>
        <v>30 - 39</v>
      </c>
      <c r="G224" t="str">
        <f>step3_validation[[#This Row],[Region]]</f>
        <v>Thành thị</v>
      </c>
      <c r="H224" t="str">
        <f>survey_responses[[#This Row],[Khu vực bạn đang sinh sống:]]</f>
        <v>Thành thị</v>
      </c>
      <c r="I224" t="str">
        <f>step3_validation[[#This Row],[Education]]</f>
        <v>Đại học</v>
      </c>
      <c r="J224" t="str">
        <f>survey_responses[[#This Row],[Trình độ học vấn cao nhất:]]</f>
        <v>Đại học</v>
      </c>
      <c r="K224" t="str">
        <f>step3_validation[[#This Row],[Employment]]</f>
        <v>Chính thức</v>
      </c>
      <c r="L224" t="str">
        <f>survey_responses[[#This Row],[Tình trạng việc làm chính:]]</f>
        <v>Khu vực chính thức (Có Hợp đồng lao động, đóng BHXH)</v>
      </c>
      <c r="M224">
        <f>step3_validation[[#This Row],[Income_Mil]]</f>
        <v>55.459135160250725</v>
      </c>
      <c r="N224" t="str">
        <f>survey_responses[[#This Row],[Thu nhập bình quân tháng theo Hợp đồng lao động của bạn là bao nhiêu? (Vui lòng điền tổng thu nhập trước khi khấu trừ các loại Bảo hiểm (BHXH, BHYT, BHTN) và Thuế TNCN)]]</f>
        <v>Từ 48 - 70 triệu VNĐ</v>
      </c>
      <c r="O224">
        <f>step3_validation[[#This Row],[Dependents]]</f>
        <v>2</v>
      </c>
      <c r="P224" t="str">
        <f>survey_responses[[#This Row],[Số người phụ thuộc (con nhỏ, cha mẹ già...) đủ điều kiện giảm trừ gia cảnh:]]</f>
        <v>2 người</v>
      </c>
      <c r="Q224">
        <f>step3_validation[[#This Row],[AI_ENF1]]</f>
        <v>9</v>
      </c>
      <c r="R224" t="str">
        <f t="shared" si="81"/>
        <v>Support</v>
      </c>
      <c r="S224">
        <f>survey_responses[[#This Row],[Tôi tin rằng với các quy định quản lý thuế hiện nay, hành vi gian lận hoặc trốn thuế sẽ dễ dàng bị phát hiện và xử lý nghiêm. - HUMAN-ENF1]]</f>
        <v>6</v>
      </c>
      <c r="T224" t="str">
        <f t="shared" si="82"/>
        <v>Neutral</v>
      </c>
      <c r="U224" s="31">
        <f t="shared" si="83"/>
        <v>3</v>
      </c>
      <c r="V224">
        <f>step3_validation[[#This Row],[AI_ENF2]]</f>
        <v>8</v>
      </c>
      <c r="W224" t="str">
        <f t="shared" si="84"/>
        <v>Support</v>
      </c>
      <c r="X224">
        <f>survey_responses[[#This Row],[Tôi tin rằng Nhà nước, cơ quan thuế có đủ khả năng và công nghệ để phát hiện, xử lý nghiêm các hành vi trốn thuế. - HUMAN-ENF2]]</f>
        <v>6</v>
      </c>
      <c r="Y224" t="str">
        <f t="shared" si="85"/>
        <v>Neutral</v>
      </c>
      <c r="Z224" s="31">
        <f t="shared" si="86"/>
        <v>2</v>
      </c>
      <c r="AA224">
        <f>step3_validation[[#This Row],[AI_FAC1]]</f>
        <v>9</v>
      </c>
      <c r="AB224" t="str">
        <f t="shared" si="87"/>
        <v>Support</v>
      </c>
      <c r="AC224">
        <f>survey_responses[[#This Row],[Các thủ tục khai báo thuế VÀ/HOẶC quy trình làm việc với cơ quan thuế đơn giản, tiện lợi, nhanh chóng hơn so với trước đây. - HUMAN-FAC1]]</f>
        <v>7</v>
      </c>
      <c r="AD224" t="str">
        <f t="shared" si="88"/>
        <v>Neutral</v>
      </c>
      <c r="AE224" s="31">
        <f t="shared" si="89"/>
        <v>2</v>
      </c>
      <c r="AF224">
        <f>step3_validation[[#This Row],[AI_FAC2]]</f>
        <v>8</v>
      </c>
      <c r="AG224" t="str">
        <f t="shared" si="90"/>
        <v>Support</v>
      </c>
      <c r="AH224">
        <f>survey_responses[[#This Row],[So với trước đây, tôi thấy cách tính thuế và các bậc thuế trong phương án mới đơn giản, dễ hiểu và dễ thực hiện hơn. - HUMAN-FAC2]]</f>
        <v>7</v>
      </c>
      <c r="AI224" t="str">
        <f t="shared" si="91"/>
        <v>Neutral</v>
      </c>
      <c r="AJ224" s="31">
        <f t="shared" si="92"/>
        <v>1</v>
      </c>
      <c r="AK224">
        <f>step3_validation[[#This Row],[AI_TRU1]]</f>
        <v>9</v>
      </c>
      <c r="AL224" t="str">
        <f t="shared" si="93"/>
        <v>Support</v>
      </c>
      <c r="AM224">
        <f>survey_responses[[#This Row],[Tôi tin rằng Nhà nước, cơ quan thuế sẽ thực thi chính sách mới một cách khách quan, công tâm và đối xử bình đẳng với mọi người nộp thuế.  - HUMAN-TRU1]]</f>
        <v>6</v>
      </c>
      <c r="AN224" t="str">
        <f t="shared" si="94"/>
        <v>Neutral</v>
      </c>
      <c r="AO224" s="31">
        <f t="shared" si="95"/>
        <v>3</v>
      </c>
      <c r="AP224">
        <f>step3_validation[[#This Row],[AI_TRU2]]</f>
        <v>8</v>
      </c>
      <c r="AQ224" t="str">
        <f t="shared" si="96"/>
        <v>Support</v>
      </c>
      <c r="AR224">
        <f>survey_responses[[#This Row],[Tôi thấy mức thuế tôi phải đóng theo phương án mới là công bằng (người thu nhập như tôi đóng mức này là hợp lý). - HUMAN-TRU2]]</f>
        <v>6</v>
      </c>
      <c r="AS224" t="str">
        <f t="shared" si="97"/>
        <v>Neutral</v>
      </c>
      <c r="AT224" s="31">
        <f t="shared" si="98"/>
        <v>2</v>
      </c>
      <c r="AU224">
        <f>step3_validation[[#This Row],[AI_TRU3]]</f>
        <v>9</v>
      </c>
      <c r="AV224" t="str">
        <f t="shared" si="99"/>
        <v>Support</v>
      </c>
      <c r="AW224">
        <f>survey_responses[[#This Row],[Tôi tin tưởng số tiền thuế tôi đóng sẽ được Nhà nước sử dụng hiệu quả để cải thiện dịch vụ công (y tế, đường xá...). - HUMAN-TRU3]]</f>
        <v>8</v>
      </c>
      <c r="AX224" t="str">
        <f t="shared" si="100"/>
        <v>Support</v>
      </c>
      <c r="AY224" s="31">
        <f t="shared" si="101"/>
        <v>1</v>
      </c>
      <c r="AZ224">
        <f>step3_validation[[#This Row],[AI_TRU4]]</f>
        <v>8</v>
      </c>
      <c r="BA224" t="str">
        <f t="shared" si="102"/>
        <v>Support</v>
      </c>
      <c r="BB224">
        <f>survey_responses[[#This Row],[Tôi thấy Nhà nước đã giải thích rõ ràng, minh bạch về lý do và mục tiêu của việc sửa đổi thuế lần này. - HUMAN-TRU4]]</f>
        <v>8</v>
      </c>
      <c r="BC224" t="str">
        <f t="shared" si="103"/>
        <v>Support</v>
      </c>
      <c r="BD224" s="31">
        <f t="shared" si="104"/>
        <v>0</v>
      </c>
      <c r="BE224">
        <f>step3_validation[[#This Row],[AI_OUT1]]</f>
        <v>9</v>
      </c>
      <c r="BF224" t="str">
        <f t="shared" si="105"/>
        <v>Support</v>
      </c>
      <c r="BG224">
        <f>survey_responses[[#This Row],[Sau khi xem xét các quyền lợi và nghĩa vụ, bạn có ủng hộ và tuân thủ chính sách mới hiện nay? - HUMAN-OUT1]]</f>
        <v>7</v>
      </c>
      <c r="BH224" t="str">
        <f t="shared" si="106"/>
        <v>Neutral</v>
      </c>
      <c r="BI224" s="31">
        <f t="shared" si="107"/>
        <v>2</v>
      </c>
    </row>
    <row r="225" spans="1:61" hidden="1" x14ac:dyDescent="0.45">
      <c r="A225" s="29">
        <f>step3_validation[[#This Row],[Persona_ID]]</f>
        <v>224</v>
      </c>
      <c r="B225" s="30">
        <f>step3_validation[[#This Row],[Used_Seed]]</f>
        <v>265</v>
      </c>
      <c r="C225" t="str">
        <f>step3_validation[[#This Row],[Gender]]</f>
        <v>Nữ</v>
      </c>
      <c r="D225" t="str">
        <f>survey_responses[[#This Row],[Giới tính của bạn:]]</f>
        <v>Nữ</v>
      </c>
      <c r="E225" t="str">
        <f>step3_validation[[#This Row],[Age_Group]]</f>
        <v>30 - 39</v>
      </c>
      <c r="F225" t="str">
        <f>survey_responses[[#This Row],[Độ tuổi của bạn:]]</f>
        <v>30 - 39</v>
      </c>
      <c r="G225" t="str">
        <f>step3_validation[[#This Row],[Region]]</f>
        <v>Thành thị</v>
      </c>
      <c r="H225" t="str">
        <f>survey_responses[[#This Row],[Khu vực bạn đang sinh sống:]]</f>
        <v>Thành thị</v>
      </c>
      <c r="I225" t="str">
        <f>step3_validation[[#This Row],[Education]]</f>
        <v>Sau Đại học</v>
      </c>
      <c r="J225" t="str">
        <f>survey_responses[[#This Row],[Trình độ học vấn cao nhất:]]</f>
        <v>Sau Đại học</v>
      </c>
      <c r="K225" t="str">
        <f>step3_validation[[#This Row],[Employment]]</f>
        <v>Chính thức</v>
      </c>
      <c r="L225" t="str">
        <f>survey_responses[[#This Row],[Tình trạng việc làm chính:]]</f>
        <v>Khu vực chính thức (Có Hợp đồng lao động, đóng BHXH)</v>
      </c>
      <c r="M225">
        <f>step3_validation[[#This Row],[Income_Mil]]</f>
        <v>63.207315378130382</v>
      </c>
      <c r="N225" t="str">
        <f>survey_responses[[#This Row],[Thu nhập bình quân tháng theo Hợp đồng lao động của bạn là bao nhiêu? (Vui lòng điền tổng thu nhập trước khi khấu trừ các loại Bảo hiểm (BHXH, BHYT, BHTN) và Thuế TNCN)]]</f>
        <v>Từ 48 - 70 triệu VNĐ</v>
      </c>
      <c r="O225">
        <f>step3_validation[[#This Row],[Dependents]]</f>
        <v>0</v>
      </c>
      <c r="P225" t="str">
        <f>survey_responses[[#This Row],[Số người phụ thuộc (con nhỏ, cha mẹ già...) đủ điều kiện giảm trừ gia cảnh:]]</f>
        <v>0 người</v>
      </c>
      <c r="Q225">
        <f>step3_validation[[#This Row],[AI_ENF1]]</f>
        <v>8</v>
      </c>
      <c r="R225" t="str">
        <f t="shared" si="81"/>
        <v>Support</v>
      </c>
      <c r="S225">
        <f>survey_responses[[#This Row],[Tôi tin rằng với các quy định quản lý thuế hiện nay, hành vi gian lận hoặc trốn thuế sẽ dễ dàng bị phát hiện và xử lý nghiêm. - HUMAN-ENF1]]</f>
        <v>7</v>
      </c>
      <c r="T225" t="str">
        <f t="shared" si="82"/>
        <v>Neutral</v>
      </c>
      <c r="U225" s="31">
        <f t="shared" si="83"/>
        <v>1</v>
      </c>
      <c r="V225">
        <f>step3_validation[[#This Row],[AI_ENF2]]</f>
        <v>7</v>
      </c>
      <c r="W225" t="str">
        <f t="shared" si="84"/>
        <v>Neutral</v>
      </c>
      <c r="X225">
        <f>survey_responses[[#This Row],[Tôi tin rằng Nhà nước, cơ quan thuế có đủ khả năng và công nghệ để phát hiện, xử lý nghiêm các hành vi trốn thuế. - HUMAN-ENF2]]</f>
        <v>7</v>
      </c>
      <c r="Y225" t="str">
        <f t="shared" si="85"/>
        <v>Neutral</v>
      </c>
      <c r="Z225" s="31">
        <f t="shared" si="86"/>
        <v>0</v>
      </c>
      <c r="AA225">
        <f>step3_validation[[#This Row],[AI_FAC1]]</f>
        <v>9</v>
      </c>
      <c r="AB225" t="str">
        <f t="shared" si="87"/>
        <v>Support</v>
      </c>
      <c r="AC225">
        <f>survey_responses[[#This Row],[Các thủ tục khai báo thuế VÀ/HOẶC quy trình làm việc với cơ quan thuế đơn giản, tiện lợi, nhanh chóng hơn so với trước đây. - HUMAN-FAC1]]</f>
        <v>7</v>
      </c>
      <c r="AD225" t="str">
        <f t="shared" si="88"/>
        <v>Neutral</v>
      </c>
      <c r="AE225" s="31">
        <f t="shared" si="89"/>
        <v>2</v>
      </c>
      <c r="AF225">
        <f>step3_validation[[#This Row],[AI_FAC2]]</f>
        <v>8</v>
      </c>
      <c r="AG225" t="str">
        <f t="shared" si="90"/>
        <v>Support</v>
      </c>
      <c r="AH225">
        <f>survey_responses[[#This Row],[So với trước đây, tôi thấy cách tính thuế và các bậc thuế trong phương án mới đơn giản, dễ hiểu và dễ thực hiện hơn. - HUMAN-FAC2]]</f>
        <v>7</v>
      </c>
      <c r="AI225" t="str">
        <f t="shared" si="91"/>
        <v>Neutral</v>
      </c>
      <c r="AJ225" s="31">
        <f t="shared" si="92"/>
        <v>1</v>
      </c>
      <c r="AK225">
        <f>step3_validation[[#This Row],[AI_TRU1]]</f>
        <v>7</v>
      </c>
      <c r="AL225" t="str">
        <f t="shared" si="93"/>
        <v>Neutral</v>
      </c>
      <c r="AM225">
        <f>survey_responses[[#This Row],[Tôi tin rằng Nhà nước, cơ quan thuế sẽ thực thi chính sách mới một cách khách quan, công tâm và đối xử bình đẳng với mọi người nộp thuế.  - HUMAN-TRU1]]</f>
        <v>7</v>
      </c>
      <c r="AN225" t="str">
        <f t="shared" si="94"/>
        <v>Neutral</v>
      </c>
      <c r="AO225" s="31">
        <f t="shared" si="95"/>
        <v>0</v>
      </c>
      <c r="AP225">
        <f>step3_validation[[#This Row],[AI_TRU2]]</f>
        <v>8</v>
      </c>
      <c r="AQ225" t="str">
        <f t="shared" si="96"/>
        <v>Support</v>
      </c>
      <c r="AR225">
        <f>survey_responses[[#This Row],[Tôi thấy mức thuế tôi phải đóng theo phương án mới là công bằng (người thu nhập như tôi đóng mức này là hợp lý). - HUMAN-TRU2]]</f>
        <v>7</v>
      </c>
      <c r="AS225" t="str">
        <f t="shared" si="97"/>
        <v>Neutral</v>
      </c>
      <c r="AT225" s="31">
        <f t="shared" si="98"/>
        <v>1</v>
      </c>
      <c r="AU225">
        <f>step3_validation[[#This Row],[AI_TRU3]]</f>
        <v>7</v>
      </c>
      <c r="AV225" t="str">
        <f t="shared" si="99"/>
        <v>Neutral</v>
      </c>
      <c r="AW225">
        <f>survey_responses[[#This Row],[Tôi tin tưởng số tiền thuế tôi đóng sẽ được Nhà nước sử dụng hiệu quả để cải thiện dịch vụ công (y tế, đường xá...). - HUMAN-TRU3]]</f>
        <v>7</v>
      </c>
      <c r="AX225" t="str">
        <f t="shared" si="100"/>
        <v>Neutral</v>
      </c>
      <c r="AY225" s="31">
        <f t="shared" si="101"/>
        <v>0</v>
      </c>
      <c r="AZ225">
        <f>step3_validation[[#This Row],[AI_TRU4]]</f>
        <v>8</v>
      </c>
      <c r="BA225" t="str">
        <f t="shared" si="102"/>
        <v>Support</v>
      </c>
      <c r="BB225">
        <f>survey_responses[[#This Row],[Tôi thấy Nhà nước đã giải thích rõ ràng, minh bạch về lý do và mục tiêu của việc sửa đổi thuế lần này. - HUMAN-TRU4]]</f>
        <v>7</v>
      </c>
      <c r="BC225" t="str">
        <f t="shared" si="103"/>
        <v>Neutral</v>
      </c>
      <c r="BD225" s="31">
        <f t="shared" si="104"/>
        <v>1</v>
      </c>
      <c r="BE225">
        <f>step3_validation[[#This Row],[AI_OUT1]]</f>
        <v>9</v>
      </c>
      <c r="BF225" t="str">
        <f t="shared" si="105"/>
        <v>Support</v>
      </c>
      <c r="BG225">
        <f>survey_responses[[#This Row],[Sau khi xem xét các quyền lợi và nghĩa vụ, bạn có ủng hộ và tuân thủ chính sách mới hiện nay? - HUMAN-OUT1]]</f>
        <v>7</v>
      </c>
      <c r="BH225" t="str">
        <f t="shared" si="106"/>
        <v>Neutral</v>
      </c>
      <c r="BI225" s="31">
        <f t="shared" si="107"/>
        <v>2</v>
      </c>
    </row>
    <row r="226" spans="1:61" hidden="1" x14ac:dyDescent="0.45">
      <c r="A226" s="29">
        <f>step3_validation[[#This Row],[Persona_ID]]</f>
        <v>225</v>
      </c>
      <c r="B226" s="30">
        <f>step3_validation[[#This Row],[Used_Seed]]</f>
        <v>266</v>
      </c>
      <c r="C226" t="str">
        <f>step3_validation[[#This Row],[Gender]]</f>
        <v>Nữ</v>
      </c>
      <c r="D226" t="str">
        <f>survey_responses[[#This Row],[Giới tính của bạn:]]</f>
        <v>Nữ</v>
      </c>
      <c r="E226" t="str">
        <f>step3_validation[[#This Row],[Age_Group]]</f>
        <v>30 - 39</v>
      </c>
      <c r="F226" t="str">
        <f>survey_responses[[#This Row],[Độ tuổi của bạn:]]</f>
        <v>30 - 39</v>
      </c>
      <c r="G226" t="str">
        <f>step3_validation[[#This Row],[Region]]</f>
        <v>Thành thị</v>
      </c>
      <c r="H226" t="str">
        <f>survey_responses[[#This Row],[Khu vực bạn đang sinh sống:]]</f>
        <v>Thành thị</v>
      </c>
      <c r="I226" t="str">
        <f>step3_validation[[#This Row],[Education]]</f>
        <v>Đại học</v>
      </c>
      <c r="J226" t="str">
        <f>survey_responses[[#This Row],[Trình độ học vấn cao nhất:]]</f>
        <v>Đại học</v>
      </c>
      <c r="K226" t="str">
        <f>step3_validation[[#This Row],[Employment]]</f>
        <v>Chính thức</v>
      </c>
      <c r="L226" t="str">
        <f>survey_responses[[#This Row],[Tình trạng việc làm chính:]]</f>
        <v>Khu vực chính thức (Có Hợp đồng lao động, đóng BHXH)</v>
      </c>
      <c r="M226">
        <f>step3_validation[[#This Row],[Income_Mil]]</f>
        <v>46.305800017053741</v>
      </c>
      <c r="N226" t="str">
        <f>survey_responses[[#This Row],[Thu nhập bình quân tháng theo Hợp đồng lao động của bạn là bao nhiêu? (Vui lòng điền tổng thu nhập trước khi khấu trừ các loại Bảo hiểm (BHXH, BHYT, BHTN) và Thuế TNCN)]]</f>
        <v>Từ 32 - 48 triệu VNĐ</v>
      </c>
      <c r="O226">
        <f>step3_validation[[#This Row],[Dependents]]</f>
        <v>1</v>
      </c>
      <c r="P226" t="str">
        <f>survey_responses[[#This Row],[Số người phụ thuộc (con nhỏ, cha mẹ già...) đủ điều kiện giảm trừ gia cảnh:]]</f>
        <v>1 người</v>
      </c>
      <c r="Q226">
        <f>step3_validation[[#This Row],[AI_ENF1]]</f>
        <v>8</v>
      </c>
      <c r="R226" t="str">
        <f t="shared" si="81"/>
        <v>Support</v>
      </c>
      <c r="S226">
        <f>survey_responses[[#This Row],[Tôi tin rằng với các quy định quản lý thuế hiện nay, hành vi gian lận hoặc trốn thuế sẽ dễ dàng bị phát hiện và xử lý nghiêm. - HUMAN-ENF1]]</f>
        <v>6</v>
      </c>
      <c r="T226" t="str">
        <f t="shared" si="82"/>
        <v>Neutral</v>
      </c>
      <c r="U226" s="31">
        <f t="shared" si="83"/>
        <v>2</v>
      </c>
      <c r="V226">
        <f>step3_validation[[#This Row],[AI_ENF2]]</f>
        <v>9</v>
      </c>
      <c r="W226" t="str">
        <f t="shared" si="84"/>
        <v>Support</v>
      </c>
      <c r="X226">
        <f>survey_responses[[#This Row],[Tôi tin rằng Nhà nước, cơ quan thuế có đủ khả năng và công nghệ để phát hiện, xử lý nghiêm các hành vi trốn thuế. - HUMAN-ENF2]]</f>
        <v>6</v>
      </c>
      <c r="Y226" t="str">
        <f t="shared" si="85"/>
        <v>Neutral</v>
      </c>
      <c r="Z226" s="31">
        <f t="shared" si="86"/>
        <v>3</v>
      </c>
      <c r="AA226">
        <f>step3_validation[[#This Row],[AI_FAC1]]</f>
        <v>8</v>
      </c>
      <c r="AB226" t="str">
        <f t="shared" si="87"/>
        <v>Support</v>
      </c>
      <c r="AC226">
        <f>survey_responses[[#This Row],[Các thủ tục khai báo thuế VÀ/HOẶC quy trình làm việc với cơ quan thuế đơn giản, tiện lợi, nhanh chóng hơn so với trước đây. - HUMAN-FAC1]]</f>
        <v>7</v>
      </c>
      <c r="AD226" t="str">
        <f t="shared" si="88"/>
        <v>Neutral</v>
      </c>
      <c r="AE226" s="31">
        <f t="shared" si="89"/>
        <v>1</v>
      </c>
      <c r="AF226">
        <f>step3_validation[[#This Row],[AI_FAC2]]</f>
        <v>9</v>
      </c>
      <c r="AG226" t="str">
        <f t="shared" si="90"/>
        <v>Support</v>
      </c>
      <c r="AH226">
        <f>survey_responses[[#This Row],[So với trước đây, tôi thấy cách tính thuế và các bậc thuế trong phương án mới đơn giản, dễ hiểu và dễ thực hiện hơn. - HUMAN-FAC2]]</f>
        <v>7</v>
      </c>
      <c r="AI226" t="str">
        <f t="shared" si="91"/>
        <v>Neutral</v>
      </c>
      <c r="AJ226" s="31">
        <f t="shared" si="92"/>
        <v>2</v>
      </c>
      <c r="AK226">
        <f>step3_validation[[#This Row],[AI_TRU1]]</f>
        <v>8</v>
      </c>
      <c r="AL226" t="str">
        <f t="shared" si="93"/>
        <v>Support</v>
      </c>
      <c r="AM226">
        <f>survey_responses[[#This Row],[Tôi tin rằng Nhà nước, cơ quan thuế sẽ thực thi chính sách mới một cách khách quan, công tâm và đối xử bình đẳng với mọi người nộp thuế.  - HUMAN-TRU1]]</f>
        <v>5</v>
      </c>
      <c r="AN226" t="str">
        <f t="shared" si="94"/>
        <v>Neutral</v>
      </c>
      <c r="AO226" s="31">
        <f t="shared" si="95"/>
        <v>3</v>
      </c>
      <c r="AP226">
        <f>step3_validation[[#This Row],[AI_TRU2]]</f>
        <v>9</v>
      </c>
      <c r="AQ226" t="str">
        <f t="shared" si="96"/>
        <v>Support</v>
      </c>
      <c r="AR226">
        <f>survey_responses[[#This Row],[Tôi thấy mức thuế tôi phải đóng theo phương án mới là công bằng (người thu nhập như tôi đóng mức này là hợp lý). - HUMAN-TRU2]]</f>
        <v>6</v>
      </c>
      <c r="AS226" t="str">
        <f t="shared" si="97"/>
        <v>Neutral</v>
      </c>
      <c r="AT226" s="31">
        <f t="shared" si="98"/>
        <v>3</v>
      </c>
      <c r="AU226">
        <f>step3_validation[[#This Row],[AI_TRU3]]</f>
        <v>8</v>
      </c>
      <c r="AV226" t="str">
        <f t="shared" si="99"/>
        <v>Support</v>
      </c>
      <c r="AW226">
        <f>survey_responses[[#This Row],[Tôi tin tưởng số tiền thuế tôi đóng sẽ được Nhà nước sử dụng hiệu quả để cải thiện dịch vụ công (y tế, đường xá...). - HUMAN-TRU3]]</f>
        <v>6</v>
      </c>
      <c r="AX226" t="str">
        <f t="shared" si="100"/>
        <v>Neutral</v>
      </c>
      <c r="AY226" s="31">
        <f t="shared" si="101"/>
        <v>2</v>
      </c>
      <c r="AZ226">
        <f>step3_validation[[#This Row],[AI_TRU4]]</f>
        <v>9</v>
      </c>
      <c r="BA226" t="str">
        <f t="shared" si="102"/>
        <v>Support</v>
      </c>
      <c r="BB226">
        <f>survey_responses[[#This Row],[Tôi thấy Nhà nước đã giải thích rõ ràng, minh bạch về lý do và mục tiêu của việc sửa đổi thuế lần này. - HUMAN-TRU4]]</f>
        <v>6</v>
      </c>
      <c r="BC226" t="str">
        <f t="shared" si="103"/>
        <v>Neutral</v>
      </c>
      <c r="BD226" s="31">
        <f t="shared" si="104"/>
        <v>3</v>
      </c>
      <c r="BE226">
        <f>step3_validation[[#This Row],[AI_OUT1]]</f>
        <v>10</v>
      </c>
      <c r="BF226" t="str">
        <f t="shared" si="105"/>
        <v>Support</v>
      </c>
      <c r="BG226">
        <f>survey_responses[[#This Row],[Sau khi xem xét các quyền lợi và nghĩa vụ, bạn có ủng hộ và tuân thủ chính sách mới hiện nay? - HUMAN-OUT1]]</f>
        <v>7</v>
      </c>
      <c r="BH226" t="str">
        <f t="shared" si="106"/>
        <v>Neutral</v>
      </c>
      <c r="BI226" s="31">
        <f t="shared" si="107"/>
        <v>3</v>
      </c>
    </row>
    <row r="227" spans="1:61" hidden="1" x14ac:dyDescent="0.45">
      <c r="A227" s="29">
        <f>step3_validation[[#This Row],[Persona_ID]]</f>
        <v>226</v>
      </c>
      <c r="B227" s="30">
        <f>step3_validation[[#This Row],[Used_Seed]]</f>
        <v>267</v>
      </c>
      <c r="C227" t="str">
        <f>step3_validation[[#This Row],[Gender]]</f>
        <v>Nữ</v>
      </c>
      <c r="D227" t="str">
        <f>survey_responses[[#This Row],[Giới tính của bạn:]]</f>
        <v>Nữ</v>
      </c>
      <c r="E227" t="str">
        <f>step3_validation[[#This Row],[Age_Group]]</f>
        <v>55 - 64</v>
      </c>
      <c r="F227" t="str">
        <f>survey_responses[[#This Row],[Độ tuổi của bạn:]]</f>
        <v>55 - 64</v>
      </c>
      <c r="G227" t="str">
        <f>step3_validation[[#This Row],[Region]]</f>
        <v>Thành thị</v>
      </c>
      <c r="H227" t="str">
        <f>survey_responses[[#This Row],[Khu vực bạn đang sinh sống:]]</f>
        <v>Thành thị</v>
      </c>
      <c r="I227" t="str">
        <f>step3_validation[[#This Row],[Education]]</f>
        <v>Sau Đại học</v>
      </c>
      <c r="J227" t="str">
        <f>survey_responses[[#This Row],[Trình độ học vấn cao nhất:]]</f>
        <v>Sau Đại học</v>
      </c>
      <c r="K227" t="str">
        <f>step3_validation[[#This Row],[Employment]]</f>
        <v>Chính thức</v>
      </c>
      <c r="L227" t="str">
        <f>survey_responses[[#This Row],[Tình trạng việc làm chính:]]</f>
        <v>Khu vực chính thức (Có Hợp đồng lao động, đóng BHXH)</v>
      </c>
      <c r="M227">
        <f>step3_validation[[#This Row],[Income_Mil]]</f>
        <v>86.845017367414869</v>
      </c>
      <c r="N227" t="str">
        <f>survey_responses[[#This Row],[Thu nhập bình quân tháng theo Hợp đồng lao động của bạn là bao nhiêu? (Vui lòng điền tổng thu nhập trước khi khấu trừ các loại Bảo hiểm (BHXH, BHYT, BHTN) và Thuế TNCN)]]</f>
        <v>Từ 70 - 102 triệu VNĐ</v>
      </c>
      <c r="O227">
        <f>step3_validation[[#This Row],[Dependents]]</f>
        <v>2</v>
      </c>
      <c r="P227" t="str">
        <f>survey_responses[[#This Row],[Số người phụ thuộc (con nhỏ, cha mẹ già...) đủ điều kiện giảm trừ gia cảnh:]]</f>
        <v>2 người</v>
      </c>
      <c r="Q227">
        <f>step3_validation[[#This Row],[AI_ENF1]]</f>
        <v>6</v>
      </c>
      <c r="R227" t="str">
        <f t="shared" si="81"/>
        <v>Neutral</v>
      </c>
      <c r="S227">
        <f>survey_responses[[#This Row],[Tôi tin rằng với các quy định quản lý thuế hiện nay, hành vi gian lận hoặc trốn thuế sẽ dễ dàng bị phát hiện và xử lý nghiêm. - HUMAN-ENF1]]</f>
        <v>7</v>
      </c>
      <c r="T227" t="str">
        <f t="shared" si="82"/>
        <v>Neutral</v>
      </c>
      <c r="U227" s="31">
        <f t="shared" si="83"/>
        <v>1</v>
      </c>
      <c r="V227">
        <f>step3_validation[[#This Row],[AI_ENF2]]</f>
        <v>6</v>
      </c>
      <c r="W227" t="str">
        <f t="shared" si="84"/>
        <v>Neutral</v>
      </c>
      <c r="X227">
        <f>survey_responses[[#This Row],[Tôi tin rằng Nhà nước, cơ quan thuế có đủ khả năng và công nghệ để phát hiện, xử lý nghiêm các hành vi trốn thuế. - HUMAN-ENF2]]</f>
        <v>7</v>
      </c>
      <c r="Y227" t="str">
        <f t="shared" si="85"/>
        <v>Neutral</v>
      </c>
      <c r="Z227" s="31">
        <f t="shared" si="86"/>
        <v>1</v>
      </c>
      <c r="AA227">
        <f>step3_validation[[#This Row],[AI_FAC1]]</f>
        <v>9</v>
      </c>
      <c r="AB227" t="str">
        <f t="shared" si="87"/>
        <v>Support</v>
      </c>
      <c r="AC227">
        <f>survey_responses[[#This Row],[Các thủ tục khai báo thuế VÀ/HOẶC quy trình làm việc với cơ quan thuế đơn giản, tiện lợi, nhanh chóng hơn so với trước đây. - HUMAN-FAC1]]</f>
        <v>6</v>
      </c>
      <c r="AD227" t="str">
        <f t="shared" si="88"/>
        <v>Neutral</v>
      </c>
      <c r="AE227" s="31">
        <f t="shared" si="89"/>
        <v>3</v>
      </c>
      <c r="AF227">
        <f>step3_validation[[#This Row],[AI_FAC2]]</f>
        <v>8</v>
      </c>
      <c r="AG227" t="str">
        <f t="shared" si="90"/>
        <v>Support</v>
      </c>
      <c r="AH227">
        <f>survey_responses[[#This Row],[So với trước đây, tôi thấy cách tính thuế và các bậc thuế trong phương án mới đơn giản, dễ hiểu và dễ thực hiện hơn. - HUMAN-FAC2]]</f>
        <v>7</v>
      </c>
      <c r="AI227" t="str">
        <f t="shared" si="91"/>
        <v>Neutral</v>
      </c>
      <c r="AJ227" s="31">
        <f t="shared" si="92"/>
        <v>1</v>
      </c>
      <c r="AK227">
        <f>step3_validation[[#This Row],[AI_TRU1]]</f>
        <v>7</v>
      </c>
      <c r="AL227" t="str">
        <f t="shared" si="93"/>
        <v>Neutral</v>
      </c>
      <c r="AM227">
        <f>survey_responses[[#This Row],[Tôi tin rằng Nhà nước, cơ quan thuế sẽ thực thi chính sách mới một cách khách quan, công tâm và đối xử bình đẳng với mọi người nộp thuế.  - HUMAN-TRU1]]</f>
        <v>7</v>
      </c>
      <c r="AN227" t="str">
        <f t="shared" si="94"/>
        <v>Neutral</v>
      </c>
      <c r="AO227" s="31">
        <f t="shared" si="95"/>
        <v>0</v>
      </c>
      <c r="AP227">
        <f>step3_validation[[#This Row],[AI_TRU2]]</f>
        <v>7</v>
      </c>
      <c r="AQ227" t="str">
        <f t="shared" si="96"/>
        <v>Neutral</v>
      </c>
      <c r="AR227">
        <f>survey_responses[[#This Row],[Tôi thấy mức thuế tôi phải đóng theo phương án mới là công bằng (người thu nhập như tôi đóng mức này là hợp lý). - HUMAN-TRU2]]</f>
        <v>7</v>
      </c>
      <c r="AS227" t="str">
        <f t="shared" si="97"/>
        <v>Neutral</v>
      </c>
      <c r="AT227" s="31">
        <f t="shared" si="98"/>
        <v>0</v>
      </c>
      <c r="AU227">
        <f>step3_validation[[#This Row],[AI_TRU3]]</f>
        <v>7</v>
      </c>
      <c r="AV227" t="str">
        <f t="shared" si="99"/>
        <v>Neutral</v>
      </c>
      <c r="AW227">
        <f>survey_responses[[#This Row],[Tôi tin tưởng số tiền thuế tôi đóng sẽ được Nhà nước sử dụng hiệu quả để cải thiện dịch vụ công (y tế, đường xá...). - HUMAN-TRU3]]</f>
        <v>7</v>
      </c>
      <c r="AX227" t="str">
        <f t="shared" si="100"/>
        <v>Neutral</v>
      </c>
      <c r="AY227" s="31">
        <f t="shared" si="101"/>
        <v>0</v>
      </c>
      <c r="AZ227">
        <f>step3_validation[[#This Row],[AI_TRU4]]</f>
        <v>6</v>
      </c>
      <c r="BA227" t="str">
        <f t="shared" si="102"/>
        <v>Neutral</v>
      </c>
      <c r="BB227">
        <f>survey_responses[[#This Row],[Tôi thấy Nhà nước đã giải thích rõ ràng, minh bạch về lý do và mục tiêu của việc sửa đổi thuế lần này. - HUMAN-TRU4]]</f>
        <v>7</v>
      </c>
      <c r="BC227" t="str">
        <f t="shared" si="103"/>
        <v>Neutral</v>
      </c>
      <c r="BD227" s="31">
        <f t="shared" si="104"/>
        <v>1</v>
      </c>
      <c r="BE227">
        <f>step3_validation[[#This Row],[AI_OUT1]]</f>
        <v>8</v>
      </c>
      <c r="BF227" t="str">
        <f t="shared" si="105"/>
        <v>Support</v>
      </c>
      <c r="BG227">
        <f>survey_responses[[#This Row],[Sau khi xem xét các quyền lợi và nghĩa vụ, bạn có ủng hộ và tuân thủ chính sách mới hiện nay? - HUMAN-OUT1]]</f>
        <v>7</v>
      </c>
      <c r="BH227" t="str">
        <f t="shared" si="106"/>
        <v>Neutral</v>
      </c>
      <c r="BI227" s="31">
        <f t="shared" si="107"/>
        <v>1</v>
      </c>
    </row>
    <row r="228" spans="1:61" hidden="1" x14ac:dyDescent="0.45">
      <c r="A228" s="29">
        <f>step3_validation[[#This Row],[Persona_ID]]</f>
        <v>227</v>
      </c>
      <c r="B228" s="30">
        <f>step3_validation[[#This Row],[Used_Seed]]</f>
        <v>268</v>
      </c>
      <c r="C228" t="str">
        <f>step3_validation[[#This Row],[Gender]]</f>
        <v>Nữ</v>
      </c>
      <c r="D228" t="str">
        <f>survey_responses[[#This Row],[Giới tính của bạn:]]</f>
        <v>Nữ</v>
      </c>
      <c r="E228" t="str">
        <f>step3_validation[[#This Row],[Age_Group]]</f>
        <v>25 - 29</v>
      </c>
      <c r="F228" t="str">
        <f>survey_responses[[#This Row],[Độ tuổi của bạn:]]</f>
        <v>25 - 29</v>
      </c>
      <c r="G228" t="str">
        <f>step3_validation[[#This Row],[Region]]</f>
        <v>Thành thị</v>
      </c>
      <c r="H228" t="str">
        <f>survey_responses[[#This Row],[Khu vực bạn đang sinh sống:]]</f>
        <v>Thành thị</v>
      </c>
      <c r="I228" t="str">
        <f>step3_validation[[#This Row],[Education]]</f>
        <v>Đại học</v>
      </c>
      <c r="J228" t="str">
        <f>survey_responses[[#This Row],[Trình độ học vấn cao nhất:]]</f>
        <v>Đại học</v>
      </c>
      <c r="K228" t="str">
        <f>step3_validation[[#This Row],[Employment]]</f>
        <v>Chính thức</v>
      </c>
      <c r="L228" t="str">
        <f>survey_responses[[#This Row],[Tình trạng việc làm chính:]]</f>
        <v>Khu vực chính thức (Có Hợp đồng lao động, đóng BHXH)</v>
      </c>
      <c r="M228">
        <f>step3_validation[[#This Row],[Income_Mil]]</f>
        <v>30.204689012446956</v>
      </c>
      <c r="N228" t="str">
        <f>survey_responses[[#This Row],[Thu nhập bình quân tháng theo Hợp đồng lao động của bạn là bao nhiêu? (Vui lòng điền tổng thu nhập trước khi khấu trừ các loại Bảo hiểm (BHXH, BHYT, BHTN) và Thuế TNCN)]]</f>
        <v>Từ 23 - 32 triệu VNĐ</v>
      </c>
      <c r="O228">
        <f>step3_validation[[#This Row],[Dependents]]</f>
        <v>0</v>
      </c>
      <c r="P228" t="str">
        <f>survey_responses[[#This Row],[Số người phụ thuộc (con nhỏ, cha mẹ già...) đủ điều kiện giảm trừ gia cảnh:]]</f>
        <v>0 người</v>
      </c>
      <c r="Q228">
        <f>step3_validation[[#This Row],[AI_ENF1]]</f>
        <v>8</v>
      </c>
      <c r="R228" t="str">
        <f t="shared" si="81"/>
        <v>Support</v>
      </c>
      <c r="S228">
        <f>survey_responses[[#This Row],[Tôi tin rằng với các quy định quản lý thuế hiện nay, hành vi gian lận hoặc trốn thuế sẽ dễ dàng bị phát hiện và xử lý nghiêm. - HUMAN-ENF1]]</f>
        <v>6</v>
      </c>
      <c r="T228" t="str">
        <f t="shared" si="82"/>
        <v>Neutral</v>
      </c>
      <c r="U228" s="31">
        <f t="shared" si="83"/>
        <v>2</v>
      </c>
      <c r="V228">
        <f>step3_validation[[#This Row],[AI_ENF2]]</f>
        <v>9</v>
      </c>
      <c r="W228" t="str">
        <f t="shared" si="84"/>
        <v>Support</v>
      </c>
      <c r="X228">
        <f>survey_responses[[#This Row],[Tôi tin rằng Nhà nước, cơ quan thuế có đủ khả năng và công nghệ để phát hiện, xử lý nghiêm các hành vi trốn thuế. - HUMAN-ENF2]]</f>
        <v>6</v>
      </c>
      <c r="Y228" t="str">
        <f t="shared" si="85"/>
        <v>Neutral</v>
      </c>
      <c r="Z228" s="31">
        <f t="shared" si="86"/>
        <v>3</v>
      </c>
      <c r="AA228">
        <f>step3_validation[[#This Row],[AI_FAC1]]</f>
        <v>8</v>
      </c>
      <c r="AB228" t="str">
        <f t="shared" si="87"/>
        <v>Support</v>
      </c>
      <c r="AC228">
        <f>survey_responses[[#This Row],[Các thủ tục khai báo thuế VÀ/HOẶC quy trình làm việc với cơ quan thuế đơn giản, tiện lợi, nhanh chóng hơn so với trước đây. - HUMAN-FAC1]]</f>
        <v>6</v>
      </c>
      <c r="AD228" t="str">
        <f t="shared" si="88"/>
        <v>Neutral</v>
      </c>
      <c r="AE228" s="31">
        <f t="shared" si="89"/>
        <v>2</v>
      </c>
      <c r="AF228">
        <f>step3_validation[[#This Row],[AI_FAC2]]</f>
        <v>9</v>
      </c>
      <c r="AG228" t="str">
        <f t="shared" si="90"/>
        <v>Support</v>
      </c>
      <c r="AH228">
        <f>survey_responses[[#This Row],[So với trước đây, tôi thấy cách tính thuế và các bậc thuế trong phương án mới đơn giản, dễ hiểu và dễ thực hiện hơn. - HUMAN-FAC2]]</f>
        <v>6</v>
      </c>
      <c r="AI228" t="str">
        <f t="shared" si="91"/>
        <v>Neutral</v>
      </c>
      <c r="AJ228" s="31">
        <f t="shared" si="92"/>
        <v>3</v>
      </c>
      <c r="AK228">
        <f>step3_validation[[#This Row],[AI_TRU1]]</f>
        <v>8</v>
      </c>
      <c r="AL228" t="str">
        <f t="shared" si="93"/>
        <v>Support</v>
      </c>
      <c r="AM228">
        <f>survey_responses[[#This Row],[Tôi tin rằng Nhà nước, cơ quan thuế sẽ thực thi chính sách mới một cách khách quan, công tâm và đối xử bình đẳng với mọi người nộp thuế.  - HUMAN-TRU1]]</f>
        <v>6</v>
      </c>
      <c r="AN228" t="str">
        <f t="shared" si="94"/>
        <v>Neutral</v>
      </c>
      <c r="AO228" s="31">
        <f t="shared" si="95"/>
        <v>2</v>
      </c>
      <c r="AP228">
        <f>step3_validation[[#This Row],[AI_TRU2]]</f>
        <v>9</v>
      </c>
      <c r="AQ228" t="str">
        <f t="shared" si="96"/>
        <v>Support</v>
      </c>
      <c r="AR228">
        <f>survey_responses[[#This Row],[Tôi thấy mức thuế tôi phải đóng theo phương án mới là công bằng (người thu nhập như tôi đóng mức này là hợp lý). - HUMAN-TRU2]]</f>
        <v>6</v>
      </c>
      <c r="AS228" t="str">
        <f t="shared" si="97"/>
        <v>Neutral</v>
      </c>
      <c r="AT228" s="31">
        <f t="shared" si="98"/>
        <v>3</v>
      </c>
      <c r="AU228">
        <f>step3_validation[[#This Row],[AI_TRU3]]</f>
        <v>8</v>
      </c>
      <c r="AV228" t="str">
        <f t="shared" si="99"/>
        <v>Support</v>
      </c>
      <c r="AW228">
        <f>survey_responses[[#This Row],[Tôi tin tưởng số tiền thuế tôi đóng sẽ được Nhà nước sử dụng hiệu quả để cải thiện dịch vụ công (y tế, đường xá...). - HUMAN-TRU3]]</f>
        <v>6</v>
      </c>
      <c r="AX228" t="str">
        <f t="shared" si="100"/>
        <v>Neutral</v>
      </c>
      <c r="AY228" s="31">
        <f t="shared" si="101"/>
        <v>2</v>
      </c>
      <c r="AZ228">
        <f>step3_validation[[#This Row],[AI_TRU4]]</f>
        <v>9</v>
      </c>
      <c r="BA228" t="str">
        <f t="shared" si="102"/>
        <v>Support</v>
      </c>
      <c r="BB228">
        <f>survey_responses[[#This Row],[Tôi thấy Nhà nước đã giải thích rõ ràng, minh bạch về lý do và mục tiêu của việc sửa đổi thuế lần này. - HUMAN-TRU4]]</f>
        <v>6</v>
      </c>
      <c r="BC228" t="str">
        <f t="shared" si="103"/>
        <v>Neutral</v>
      </c>
      <c r="BD228" s="31">
        <f t="shared" si="104"/>
        <v>3</v>
      </c>
      <c r="BE228">
        <f>step3_validation[[#This Row],[AI_OUT1]]</f>
        <v>8</v>
      </c>
      <c r="BF228" t="str">
        <f t="shared" si="105"/>
        <v>Support</v>
      </c>
      <c r="BG228">
        <f>survey_responses[[#This Row],[Sau khi xem xét các quyền lợi và nghĩa vụ, bạn có ủng hộ và tuân thủ chính sách mới hiện nay? - HUMAN-OUT1]]</f>
        <v>6</v>
      </c>
      <c r="BH228" t="str">
        <f t="shared" si="106"/>
        <v>Neutral</v>
      </c>
      <c r="BI228" s="31">
        <f t="shared" si="107"/>
        <v>2</v>
      </c>
    </row>
    <row r="229" spans="1:61" hidden="1" x14ac:dyDescent="0.45">
      <c r="A229" s="29">
        <f>step3_validation[[#This Row],[Persona_ID]]</f>
        <v>228</v>
      </c>
      <c r="B229" s="30">
        <f>step3_validation[[#This Row],[Used_Seed]]</f>
        <v>269</v>
      </c>
      <c r="C229" t="str">
        <f>step3_validation[[#This Row],[Gender]]</f>
        <v>Nữ</v>
      </c>
      <c r="D229" t="str">
        <f>survey_responses[[#This Row],[Giới tính của bạn:]]</f>
        <v>Nữ</v>
      </c>
      <c r="E229" t="str">
        <f>step3_validation[[#This Row],[Age_Group]]</f>
        <v>25 - 29</v>
      </c>
      <c r="F229" t="str">
        <f>survey_responses[[#This Row],[Độ tuổi của bạn:]]</f>
        <v>25 - 29</v>
      </c>
      <c r="G229" t="str">
        <f>step3_validation[[#This Row],[Region]]</f>
        <v>Thành thị</v>
      </c>
      <c r="H229" t="str">
        <f>survey_responses[[#This Row],[Khu vực bạn đang sinh sống:]]</f>
        <v>Thành thị</v>
      </c>
      <c r="I229" t="str">
        <f>step3_validation[[#This Row],[Education]]</f>
        <v>Đại học</v>
      </c>
      <c r="J229" t="str">
        <f>survey_responses[[#This Row],[Trình độ học vấn cao nhất:]]</f>
        <v>Đại học</v>
      </c>
      <c r="K229" t="str">
        <f>step3_validation[[#This Row],[Employment]]</f>
        <v>Chính thức</v>
      </c>
      <c r="L229" t="str">
        <f>survey_responses[[#This Row],[Tình trạng việc làm chính:]]</f>
        <v>Khu vực chính thức (Có Hợp đồng lao động, đóng BHXH)</v>
      </c>
      <c r="M229">
        <f>step3_validation[[#This Row],[Income_Mil]]</f>
        <v>20.883093601344491</v>
      </c>
      <c r="N229" t="str">
        <f>survey_responses[[#This Row],[Thu nhập bình quân tháng theo Hợp đồng lao động của bạn là bao nhiêu? (Vui lòng điền tổng thu nhập trước khi khấu trừ các loại Bảo hiểm (BHXH, BHYT, BHTN) và Thuế TNCN)]]</f>
        <v>Từ 18 - 23 triệu VNĐ</v>
      </c>
      <c r="O229">
        <f>step3_validation[[#This Row],[Dependents]]</f>
        <v>2</v>
      </c>
      <c r="P229" t="str">
        <f>survey_responses[[#This Row],[Số người phụ thuộc (con nhỏ, cha mẹ già...) đủ điều kiện giảm trừ gia cảnh:]]</f>
        <v>2 người</v>
      </c>
      <c r="Q229">
        <f>step3_validation[[#This Row],[AI_ENF1]]</f>
        <v>9</v>
      </c>
      <c r="R229" t="str">
        <f t="shared" si="81"/>
        <v>Support</v>
      </c>
      <c r="S229">
        <f>survey_responses[[#This Row],[Tôi tin rằng với các quy định quản lý thuế hiện nay, hành vi gian lận hoặc trốn thuế sẽ dễ dàng bị phát hiện và xử lý nghiêm. - HUMAN-ENF1]]</f>
        <v>8</v>
      </c>
      <c r="T229" t="str">
        <f t="shared" si="82"/>
        <v>Support</v>
      </c>
      <c r="U229" s="31">
        <f t="shared" si="83"/>
        <v>1</v>
      </c>
      <c r="V229">
        <f>step3_validation[[#This Row],[AI_ENF2]]</f>
        <v>8</v>
      </c>
      <c r="W229" t="str">
        <f t="shared" si="84"/>
        <v>Support</v>
      </c>
      <c r="X229">
        <f>survey_responses[[#This Row],[Tôi tin rằng Nhà nước, cơ quan thuế có đủ khả năng và công nghệ để phát hiện, xử lý nghiêm các hành vi trốn thuế. - HUMAN-ENF2]]</f>
        <v>9</v>
      </c>
      <c r="Y229" t="str">
        <f t="shared" si="85"/>
        <v>Support</v>
      </c>
      <c r="Z229" s="31">
        <f t="shared" si="86"/>
        <v>1</v>
      </c>
      <c r="AA229">
        <f>step3_validation[[#This Row],[AI_FAC1]]</f>
        <v>9</v>
      </c>
      <c r="AB229" t="str">
        <f t="shared" si="87"/>
        <v>Support</v>
      </c>
      <c r="AC229">
        <f>survey_responses[[#This Row],[Các thủ tục khai báo thuế VÀ/HOẶC quy trình làm việc với cơ quan thuế đơn giản, tiện lợi, nhanh chóng hơn so với trước đây. - HUMAN-FAC1]]</f>
        <v>7</v>
      </c>
      <c r="AD229" t="str">
        <f t="shared" si="88"/>
        <v>Neutral</v>
      </c>
      <c r="AE229" s="31">
        <f t="shared" si="89"/>
        <v>2</v>
      </c>
      <c r="AF229">
        <f>step3_validation[[#This Row],[AI_FAC2]]</f>
        <v>8</v>
      </c>
      <c r="AG229" t="str">
        <f t="shared" si="90"/>
        <v>Support</v>
      </c>
      <c r="AH229">
        <f>survey_responses[[#This Row],[So với trước đây, tôi thấy cách tính thuế và các bậc thuế trong phương án mới đơn giản, dễ hiểu và dễ thực hiện hơn. - HUMAN-FAC2]]</f>
        <v>8</v>
      </c>
      <c r="AI229" t="str">
        <f t="shared" si="91"/>
        <v>Support</v>
      </c>
      <c r="AJ229" s="31">
        <f t="shared" si="92"/>
        <v>0</v>
      </c>
      <c r="AK229">
        <f>step3_validation[[#This Row],[AI_TRU1]]</f>
        <v>9</v>
      </c>
      <c r="AL229" t="str">
        <f t="shared" si="93"/>
        <v>Support</v>
      </c>
      <c r="AM229">
        <f>survey_responses[[#This Row],[Tôi tin rằng Nhà nước, cơ quan thuế sẽ thực thi chính sách mới một cách khách quan, công tâm và đối xử bình đẳng với mọi người nộp thuế.  - HUMAN-TRU1]]</f>
        <v>9</v>
      </c>
      <c r="AN229" t="str">
        <f t="shared" si="94"/>
        <v>Support</v>
      </c>
      <c r="AO229" s="31">
        <f t="shared" si="95"/>
        <v>0</v>
      </c>
      <c r="AP229">
        <f>step3_validation[[#This Row],[AI_TRU2]]</f>
        <v>8</v>
      </c>
      <c r="AQ229" t="str">
        <f t="shared" si="96"/>
        <v>Support</v>
      </c>
      <c r="AR229">
        <f>survey_responses[[#This Row],[Tôi thấy mức thuế tôi phải đóng theo phương án mới là công bằng (người thu nhập như tôi đóng mức này là hợp lý). - HUMAN-TRU2]]</f>
        <v>8</v>
      </c>
      <c r="AS229" t="str">
        <f t="shared" si="97"/>
        <v>Support</v>
      </c>
      <c r="AT229" s="31">
        <f t="shared" si="98"/>
        <v>0</v>
      </c>
      <c r="AU229">
        <f>step3_validation[[#This Row],[AI_TRU3]]</f>
        <v>9</v>
      </c>
      <c r="AV229" t="str">
        <f t="shared" si="99"/>
        <v>Support</v>
      </c>
      <c r="AW229">
        <f>survey_responses[[#This Row],[Tôi tin tưởng số tiền thuế tôi đóng sẽ được Nhà nước sử dụng hiệu quả để cải thiện dịch vụ công (y tế, đường xá...). - HUMAN-TRU3]]</f>
        <v>8</v>
      </c>
      <c r="AX229" t="str">
        <f t="shared" si="100"/>
        <v>Support</v>
      </c>
      <c r="AY229" s="31">
        <f t="shared" si="101"/>
        <v>1</v>
      </c>
      <c r="AZ229">
        <f>step3_validation[[#This Row],[AI_TRU4]]</f>
        <v>8</v>
      </c>
      <c r="BA229" t="str">
        <f t="shared" si="102"/>
        <v>Support</v>
      </c>
      <c r="BB229">
        <f>survey_responses[[#This Row],[Tôi thấy Nhà nước đã giải thích rõ ràng, minh bạch về lý do và mục tiêu của việc sửa đổi thuế lần này. - HUMAN-TRU4]]</f>
        <v>8</v>
      </c>
      <c r="BC229" t="str">
        <f t="shared" si="103"/>
        <v>Support</v>
      </c>
      <c r="BD229" s="31">
        <f t="shared" si="104"/>
        <v>0</v>
      </c>
      <c r="BE229">
        <f>step3_validation[[#This Row],[AI_OUT1]]</f>
        <v>9</v>
      </c>
      <c r="BF229" t="str">
        <f t="shared" si="105"/>
        <v>Support</v>
      </c>
      <c r="BG229">
        <f>survey_responses[[#This Row],[Sau khi xem xét các quyền lợi và nghĩa vụ, bạn có ủng hộ và tuân thủ chính sách mới hiện nay? - HUMAN-OUT1]]</f>
        <v>8</v>
      </c>
      <c r="BH229" t="str">
        <f t="shared" si="106"/>
        <v>Support</v>
      </c>
      <c r="BI229" s="31">
        <f t="shared" si="107"/>
        <v>1</v>
      </c>
    </row>
    <row r="230" spans="1:61" hidden="1" x14ac:dyDescent="0.45">
      <c r="A230" s="29">
        <f>step3_validation[[#This Row],[Persona_ID]]</f>
        <v>229</v>
      </c>
      <c r="B230" s="30">
        <f>step3_validation[[#This Row],[Used_Seed]]</f>
        <v>270</v>
      </c>
      <c r="C230" t="str">
        <f>step3_validation[[#This Row],[Gender]]</f>
        <v>Nữ</v>
      </c>
      <c r="D230" t="str">
        <f>survey_responses[[#This Row],[Giới tính của bạn:]]</f>
        <v>Nữ</v>
      </c>
      <c r="E230" t="str">
        <f>step3_validation[[#This Row],[Age_Group]]</f>
        <v>30 - 39</v>
      </c>
      <c r="F230" t="str">
        <f>survey_responses[[#This Row],[Độ tuổi của bạn:]]</f>
        <v>30 - 39</v>
      </c>
      <c r="G230" t="str">
        <f>step3_validation[[#This Row],[Region]]</f>
        <v>Thành thị</v>
      </c>
      <c r="H230" t="str">
        <f>survey_responses[[#This Row],[Khu vực bạn đang sinh sống:]]</f>
        <v>Thành thị</v>
      </c>
      <c r="I230" t="str">
        <f>step3_validation[[#This Row],[Education]]</f>
        <v>Đại học</v>
      </c>
      <c r="J230" t="str">
        <f>survey_responses[[#This Row],[Trình độ học vấn cao nhất:]]</f>
        <v>Đại học</v>
      </c>
      <c r="K230" t="str">
        <f>step3_validation[[#This Row],[Employment]]</f>
        <v>Chính thức</v>
      </c>
      <c r="L230" t="str">
        <f>survey_responses[[#This Row],[Tình trạng việc làm chính:]]</f>
        <v>Khu vực chính thức (Có Hợp đồng lao động, đóng BHXH)</v>
      </c>
      <c r="M230">
        <f>step3_validation[[#This Row],[Income_Mil]]</f>
        <v>58.570001333168669</v>
      </c>
      <c r="N230" t="str">
        <f>survey_responses[[#This Row],[Thu nhập bình quân tháng theo Hợp đồng lao động của bạn là bao nhiêu? (Vui lòng điền tổng thu nhập trước khi khấu trừ các loại Bảo hiểm (BHXH, BHYT, BHTN) và Thuế TNCN)]]</f>
        <v>Từ 48 - 70 triệu VNĐ</v>
      </c>
      <c r="O230">
        <f>step3_validation[[#This Row],[Dependents]]</f>
        <v>2</v>
      </c>
      <c r="P230" t="str">
        <f>survey_responses[[#This Row],[Số người phụ thuộc (con nhỏ, cha mẹ già...) đủ điều kiện giảm trừ gia cảnh:]]</f>
        <v>2 người</v>
      </c>
      <c r="Q230">
        <f>step3_validation[[#This Row],[AI_ENF1]]</f>
        <v>7</v>
      </c>
      <c r="R230" t="str">
        <f t="shared" si="81"/>
        <v>Neutral</v>
      </c>
      <c r="S230">
        <f>survey_responses[[#This Row],[Tôi tin rằng với các quy định quản lý thuế hiện nay, hành vi gian lận hoặc trốn thuế sẽ dễ dàng bị phát hiện và xử lý nghiêm. - HUMAN-ENF1]]</f>
        <v>6</v>
      </c>
      <c r="T230" t="str">
        <f t="shared" si="82"/>
        <v>Neutral</v>
      </c>
      <c r="U230" s="31">
        <f t="shared" si="83"/>
        <v>1</v>
      </c>
      <c r="V230">
        <f>step3_validation[[#This Row],[AI_ENF2]]</f>
        <v>8</v>
      </c>
      <c r="W230" t="str">
        <f t="shared" si="84"/>
        <v>Support</v>
      </c>
      <c r="X230">
        <f>survey_responses[[#This Row],[Tôi tin rằng Nhà nước, cơ quan thuế có đủ khả năng và công nghệ để phát hiện, xử lý nghiêm các hành vi trốn thuế. - HUMAN-ENF2]]</f>
        <v>6</v>
      </c>
      <c r="Y230" t="str">
        <f t="shared" si="85"/>
        <v>Neutral</v>
      </c>
      <c r="Z230" s="31">
        <f t="shared" si="86"/>
        <v>2</v>
      </c>
      <c r="AA230">
        <f>step3_validation[[#This Row],[AI_FAC1]]</f>
        <v>7</v>
      </c>
      <c r="AB230" t="str">
        <f t="shared" si="87"/>
        <v>Neutral</v>
      </c>
      <c r="AC230">
        <f>survey_responses[[#This Row],[Các thủ tục khai báo thuế VÀ/HOẶC quy trình làm việc với cơ quan thuế đơn giản, tiện lợi, nhanh chóng hơn so với trước đây. - HUMAN-FAC1]]</f>
        <v>6</v>
      </c>
      <c r="AD230" t="str">
        <f t="shared" si="88"/>
        <v>Neutral</v>
      </c>
      <c r="AE230" s="31">
        <f t="shared" si="89"/>
        <v>1</v>
      </c>
      <c r="AF230">
        <f>step3_validation[[#This Row],[AI_FAC2]]</f>
        <v>9</v>
      </c>
      <c r="AG230" t="str">
        <f t="shared" si="90"/>
        <v>Support</v>
      </c>
      <c r="AH230">
        <f>survey_responses[[#This Row],[So với trước đây, tôi thấy cách tính thuế và các bậc thuế trong phương án mới đơn giản, dễ hiểu và dễ thực hiện hơn. - HUMAN-FAC2]]</f>
        <v>6</v>
      </c>
      <c r="AI230" t="str">
        <f t="shared" si="91"/>
        <v>Neutral</v>
      </c>
      <c r="AJ230" s="31">
        <f t="shared" si="92"/>
        <v>3</v>
      </c>
      <c r="AK230">
        <f>step3_validation[[#This Row],[AI_TRU1]]</f>
        <v>7</v>
      </c>
      <c r="AL230" t="str">
        <f t="shared" si="93"/>
        <v>Neutral</v>
      </c>
      <c r="AM230">
        <f>survey_responses[[#This Row],[Tôi tin rằng Nhà nước, cơ quan thuế sẽ thực thi chính sách mới một cách khách quan, công tâm và đối xử bình đẳng với mọi người nộp thuế.  - HUMAN-TRU1]]</f>
        <v>6</v>
      </c>
      <c r="AN230" t="str">
        <f t="shared" si="94"/>
        <v>Neutral</v>
      </c>
      <c r="AO230" s="31">
        <f t="shared" si="95"/>
        <v>1</v>
      </c>
      <c r="AP230">
        <f>step3_validation[[#This Row],[AI_TRU2]]</f>
        <v>9</v>
      </c>
      <c r="AQ230" t="str">
        <f t="shared" si="96"/>
        <v>Support</v>
      </c>
      <c r="AR230">
        <f>survey_responses[[#This Row],[Tôi thấy mức thuế tôi phải đóng theo phương án mới là công bằng (người thu nhập như tôi đóng mức này là hợp lý). - HUMAN-TRU2]]</f>
        <v>7</v>
      </c>
      <c r="AS230" t="str">
        <f t="shared" si="97"/>
        <v>Neutral</v>
      </c>
      <c r="AT230" s="31">
        <f t="shared" si="98"/>
        <v>2</v>
      </c>
      <c r="AU230">
        <f>step3_validation[[#This Row],[AI_TRU3]]</f>
        <v>8</v>
      </c>
      <c r="AV230" t="str">
        <f t="shared" si="99"/>
        <v>Support</v>
      </c>
      <c r="AW230">
        <f>survey_responses[[#This Row],[Tôi tin tưởng số tiền thuế tôi đóng sẽ được Nhà nước sử dụng hiệu quả để cải thiện dịch vụ công (y tế, đường xá...). - HUMAN-TRU3]]</f>
        <v>6</v>
      </c>
      <c r="AX230" t="str">
        <f t="shared" si="100"/>
        <v>Neutral</v>
      </c>
      <c r="AY230" s="31">
        <f t="shared" si="101"/>
        <v>2</v>
      </c>
      <c r="AZ230">
        <f>step3_validation[[#This Row],[AI_TRU4]]</f>
        <v>7</v>
      </c>
      <c r="BA230" t="str">
        <f t="shared" si="102"/>
        <v>Neutral</v>
      </c>
      <c r="BB230">
        <f>survey_responses[[#This Row],[Tôi thấy Nhà nước đã giải thích rõ ràng, minh bạch về lý do và mục tiêu của việc sửa đổi thuế lần này. - HUMAN-TRU4]]</f>
        <v>6</v>
      </c>
      <c r="BC230" t="str">
        <f t="shared" si="103"/>
        <v>Neutral</v>
      </c>
      <c r="BD230" s="31">
        <f t="shared" si="104"/>
        <v>1</v>
      </c>
      <c r="BE230">
        <f>step3_validation[[#This Row],[AI_OUT1]]</f>
        <v>9</v>
      </c>
      <c r="BF230" t="str">
        <f t="shared" si="105"/>
        <v>Support</v>
      </c>
      <c r="BG230">
        <f>survey_responses[[#This Row],[Sau khi xem xét các quyền lợi và nghĩa vụ, bạn có ủng hộ và tuân thủ chính sách mới hiện nay? - HUMAN-OUT1]]</f>
        <v>7</v>
      </c>
      <c r="BH230" t="str">
        <f t="shared" si="106"/>
        <v>Neutral</v>
      </c>
      <c r="BI230" s="31">
        <f t="shared" si="107"/>
        <v>2</v>
      </c>
    </row>
    <row r="231" spans="1:61" hidden="1" x14ac:dyDescent="0.45">
      <c r="A231" s="29">
        <f>step3_validation[[#This Row],[Persona_ID]]</f>
        <v>230</v>
      </c>
      <c r="B231" s="30">
        <f>step3_validation[[#This Row],[Used_Seed]]</f>
        <v>271</v>
      </c>
      <c r="C231" t="str">
        <f>step3_validation[[#This Row],[Gender]]</f>
        <v>Nữ</v>
      </c>
      <c r="D231" t="str">
        <f>survey_responses[[#This Row],[Giới tính của bạn:]]</f>
        <v>Nữ</v>
      </c>
      <c r="E231" t="str">
        <f>step3_validation[[#This Row],[Age_Group]]</f>
        <v>40 - 49</v>
      </c>
      <c r="F231" t="str">
        <f>survey_responses[[#This Row],[Độ tuổi của bạn:]]</f>
        <v>40 - 49</v>
      </c>
      <c r="G231" t="str">
        <f>step3_validation[[#This Row],[Region]]</f>
        <v>Thành thị</v>
      </c>
      <c r="H231" t="str">
        <f>survey_responses[[#This Row],[Khu vực bạn đang sinh sống:]]</f>
        <v>Thành thị</v>
      </c>
      <c r="I231" t="str">
        <f>step3_validation[[#This Row],[Education]]</f>
        <v>Sau Đại học</v>
      </c>
      <c r="J231" t="str">
        <f>survey_responses[[#This Row],[Trình độ học vấn cao nhất:]]</f>
        <v>Sau Đại học</v>
      </c>
      <c r="K231" t="str">
        <f>step3_validation[[#This Row],[Employment]]</f>
        <v>Chính thức</v>
      </c>
      <c r="L231" t="str">
        <f>survey_responses[[#This Row],[Tình trạng việc làm chính:]]</f>
        <v>Khu vực chính thức (Có Hợp đồng lao động, đóng BHXH)</v>
      </c>
      <c r="M231">
        <f>step3_validation[[#This Row],[Income_Mil]]</f>
        <v>74.057443540925746</v>
      </c>
      <c r="N231" t="str">
        <f>survey_responses[[#This Row],[Thu nhập bình quân tháng theo Hợp đồng lao động của bạn là bao nhiêu? (Vui lòng điền tổng thu nhập trước khi khấu trừ các loại Bảo hiểm (BHXH, BHYT, BHTN) và Thuế TNCN)]]</f>
        <v>Từ 70 - 102 triệu VNĐ</v>
      </c>
      <c r="O231">
        <f>step3_validation[[#This Row],[Dependents]]</f>
        <v>4</v>
      </c>
      <c r="P231" t="str">
        <f>survey_responses[[#This Row],[Số người phụ thuộc (con nhỏ, cha mẹ già...) đủ điều kiện giảm trừ gia cảnh:]]</f>
        <v>4 người trở lên</v>
      </c>
      <c r="Q231">
        <f>step3_validation[[#This Row],[AI_ENF1]]</f>
        <v>8</v>
      </c>
      <c r="R231" t="str">
        <f t="shared" si="81"/>
        <v>Support</v>
      </c>
      <c r="S231">
        <f>survey_responses[[#This Row],[Tôi tin rằng với các quy định quản lý thuế hiện nay, hành vi gian lận hoặc trốn thuế sẽ dễ dàng bị phát hiện và xử lý nghiêm. - HUMAN-ENF1]]</f>
        <v>4</v>
      </c>
      <c r="T231" t="str">
        <f t="shared" si="82"/>
        <v>Oppose</v>
      </c>
      <c r="U231" s="31">
        <f t="shared" si="83"/>
        <v>4</v>
      </c>
      <c r="V231">
        <f>step3_validation[[#This Row],[AI_ENF2]]</f>
        <v>8</v>
      </c>
      <c r="W231" t="str">
        <f t="shared" si="84"/>
        <v>Support</v>
      </c>
      <c r="X231">
        <f>survey_responses[[#This Row],[Tôi tin rằng Nhà nước, cơ quan thuế có đủ khả năng và công nghệ để phát hiện, xử lý nghiêm các hành vi trốn thuế. - HUMAN-ENF2]]</f>
        <v>5</v>
      </c>
      <c r="Y231" t="str">
        <f t="shared" si="85"/>
        <v>Neutral</v>
      </c>
      <c r="Z231" s="31">
        <f t="shared" si="86"/>
        <v>3</v>
      </c>
      <c r="AA231">
        <f>step3_validation[[#This Row],[AI_FAC1]]</f>
        <v>9</v>
      </c>
      <c r="AB231" t="str">
        <f t="shared" si="87"/>
        <v>Support</v>
      </c>
      <c r="AC231">
        <f>survey_responses[[#This Row],[Các thủ tục khai báo thuế VÀ/HOẶC quy trình làm việc với cơ quan thuế đơn giản, tiện lợi, nhanh chóng hơn so với trước đây. - HUMAN-FAC1]]</f>
        <v>1</v>
      </c>
      <c r="AD231" t="str">
        <f t="shared" si="88"/>
        <v>Oppose</v>
      </c>
      <c r="AE231" s="31">
        <f t="shared" si="89"/>
        <v>8</v>
      </c>
      <c r="AF231">
        <f>step3_validation[[#This Row],[AI_FAC2]]</f>
        <v>9</v>
      </c>
      <c r="AG231" t="str">
        <f t="shared" si="90"/>
        <v>Support</v>
      </c>
      <c r="AH231">
        <f>survey_responses[[#This Row],[So với trước đây, tôi thấy cách tính thuế và các bậc thuế trong phương án mới đơn giản, dễ hiểu và dễ thực hiện hơn. - HUMAN-FAC2]]</f>
        <v>6</v>
      </c>
      <c r="AI231" t="str">
        <f t="shared" si="91"/>
        <v>Neutral</v>
      </c>
      <c r="AJ231" s="31">
        <f t="shared" si="92"/>
        <v>3</v>
      </c>
      <c r="AK231">
        <f>step3_validation[[#This Row],[AI_TRU1]]</f>
        <v>8</v>
      </c>
      <c r="AL231" t="str">
        <f t="shared" si="93"/>
        <v>Support</v>
      </c>
      <c r="AM231">
        <f>survey_responses[[#This Row],[Tôi tin rằng Nhà nước, cơ quan thuế sẽ thực thi chính sách mới một cách khách quan, công tâm và đối xử bình đẳng với mọi người nộp thuế.  - HUMAN-TRU1]]</f>
        <v>4</v>
      </c>
      <c r="AN231" t="str">
        <f t="shared" si="94"/>
        <v>Oppose</v>
      </c>
      <c r="AO231" s="31">
        <f t="shared" si="95"/>
        <v>4</v>
      </c>
      <c r="AP231">
        <f>step3_validation[[#This Row],[AI_TRU2]]</f>
        <v>8</v>
      </c>
      <c r="AQ231" t="str">
        <f t="shared" si="96"/>
        <v>Support</v>
      </c>
      <c r="AR231">
        <f>survey_responses[[#This Row],[Tôi thấy mức thuế tôi phải đóng theo phương án mới là công bằng (người thu nhập như tôi đóng mức này là hợp lý). - HUMAN-TRU2]]</f>
        <v>4</v>
      </c>
      <c r="AS231" t="str">
        <f t="shared" si="97"/>
        <v>Oppose</v>
      </c>
      <c r="AT231" s="31">
        <f t="shared" si="98"/>
        <v>4</v>
      </c>
      <c r="AU231">
        <f>step3_validation[[#This Row],[AI_TRU3]]</f>
        <v>8</v>
      </c>
      <c r="AV231" t="str">
        <f t="shared" si="99"/>
        <v>Support</v>
      </c>
      <c r="AW231">
        <f>survey_responses[[#This Row],[Tôi tin tưởng số tiền thuế tôi đóng sẽ được Nhà nước sử dụng hiệu quả để cải thiện dịch vụ công (y tế, đường xá...). - HUMAN-TRU3]]</f>
        <v>5</v>
      </c>
      <c r="AX231" t="str">
        <f t="shared" si="100"/>
        <v>Neutral</v>
      </c>
      <c r="AY231" s="31">
        <f t="shared" si="101"/>
        <v>3</v>
      </c>
      <c r="AZ231">
        <f>step3_validation[[#This Row],[AI_TRU4]]</f>
        <v>9</v>
      </c>
      <c r="BA231" t="str">
        <f t="shared" si="102"/>
        <v>Support</v>
      </c>
      <c r="BB231">
        <f>survey_responses[[#This Row],[Tôi thấy Nhà nước đã giải thích rõ ràng, minh bạch về lý do và mục tiêu của việc sửa đổi thuế lần này. - HUMAN-TRU4]]</f>
        <v>5</v>
      </c>
      <c r="BC231" t="str">
        <f t="shared" si="103"/>
        <v>Neutral</v>
      </c>
      <c r="BD231" s="31">
        <f t="shared" si="104"/>
        <v>4</v>
      </c>
      <c r="BE231">
        <f>step3_validation[[#This Row],[AI_OUT1]]</f>
        <v>8</v>
      </c>
      <c r="BF231" t="str">
        <f t="shared" si="105"/>
        <v>Support</v>
      </c>
      <c r="BG231">
        <f>survey_responses[[#This Row],[Sau khi xem xét các quyền lợi và nghĩa vụ, bạn có ủng hộ và tuân thủ chính sách mới hiện nay? - HUMAN-OUT1]]</f>
        <v>5</v>
      </c>
      <c r="BH231" t="str">
        <f t="shared" si="106"/>
        <v>Neutral</v>
      </c>
      <c r="BI231" s="31">
        <f t="shared" si="107"/>
        <v>3</v>
      </c>
    </row>
    <row r="232" spans="1:61" hidden="1" x14ac:dyDescent="0.45">
      <c r="A232" s="29">
        <f>step3_validation[[#This Row],[Persona_ID]]</f>
        <v>231</v>
      </c>
      <c r="B232" s="30">
        <f>step3_validation[[#This Row],[Used_Seed]]</f>
        <v>272</v>
      </c>
      <c r="C232" t="str">
        <f>step3_validation[[#This Row],[Gender]]</f>
        <v>Nam</v>
      </c>
      <c r="D232" t="str">
        <f>survey_responses[[#This Row],[Giới tính của bạn:]]</f>
        <v>Nam</v>
      </c>
      <c r="E232" t="str">
        <f>step3_validation[[#This Row],[Age_Group]]</f>
        <v>55 - 64</v>
      </c>
      <c r="F232" t="str">
        <f>survey_responses[[#This Row],[Độ tuổi của bạn:]]</f>
        <v>55 - 64</v>
      </c>
      <c r="G232" t="str">
        <f>step3_validation[[#This Row],[Region]]</f>
        <v>Thành thị</v>
      </c>
      <c r="H232" t="str">
        <f>survey_responses[[#This Row],[Khu vực bạn đang sinh sống:]]</f>
        <v>Thành thị</v>
      </c>
      <c r="I232" t="str">
        <f>step3_validation[[#This Row],[Education]]</f>
        <v>Sau Đại học</v>
      </c>
      <c r="J232" t="str">
        <f>survey_responses[[#This Row],[Trình độ học vấn cao nhất:]]</f>
        <v>Sau Đại học</v>
      </c>
      <c r="K232" t="str">
        <f>step3_validation[[#This Row],[Employment]]</f>
        <v>Chính thức</v>
      </c>
      <c r="L232" t="str">
        <f>survey_responses[[#This Row],[Tình trạng việc làm chính:]]</f>
        <v>Khu vực chính thức (Có Hợp đồng lao động, đóng BHXH)</v>
      </c>
      <c r="M232">
        <f>step3_validation[[#This Row],[Income_Mil]]</f>
        <v>147.5407463784199</v>
      </c>
      <c r="N232" t="str">
        <f>survey_responses[[#This Row],[Thu nhập bình quân tháng theo Hợp đồng lao động của bạn là bao nhiêu? (Vui lòng điền tổng thu nhập trước khi khấu trừ các loại Bảo hiểm (BHXH, BHYT, BHTN) và Thuế TNCN)]]</f>
        <v>Trên 102 triệu VNĐ</v>
      </c>
      <c r="O232">
        <f>step3_validation[[#This Row],[Dependents]]</f>
        <v>4</v>
      </c>
      <c r="P232" t="str">
        <f>survey_responses[[#This Row],[Số người phụ thuộc (con nhỏ, cha mẹ già...) đủ điều kiện giảm trừ gia cảnh:]]</f>
        <v>4 người trở lên</v>
      </c>
      <c r="Q232">
        <f>step3_validation[[#This Row],[AI_ENF1]]</f>
        <v>7</v>
      </c>
      <c r="R232" t="str">
        <f t="shared" si="81"/>
        <v>Neutral</v>
      </c>
      <c r="S232">
        <f>survey_responses[[#This Row],[Tôi tin rằng với các quy định quản lý thuế hiện nay, hành vi gian lận hoặc trốn thuế sẽ dễ dàng bị phát hiện và xử lý nghiêm. - HUMAN-ENF1]]</f>
        <v>8</v>
      </c>
      <c r="T232" t="str">
        <f t="shared" si="82"/>
        <v>Support</v>
      </c>
      <c r="U232" s="31">
        <f t="shared" si="83"/>
        <v>1</v>
      </c>
      <c r="V232">
        <f>step3_validation[[#This Row],[AI_ENF2]]</f>
        <v>7</v>
      </c>
      <c r="W232" t="str">
        <f t="shared" si="84"/>
        <v>Neutral</v>
      </c>
      <c r="X232">
        <f>survey_responses[[#This Row],[Tôi tin rằng Nhà nước, cơ quan thuế có đủ khả năng và công nghệ để phát hiện, xử lý nghiêm các hành vi trốn thuế. - HUMAN-ENF2]]</f>
        <v>8</v>
      </c>
      <c r="Y232" t="str">
        <f t="shared" si="85"/>
        <v>Support</v>
      </c>
      <c r="Z232" s="31">
        <f t="shared" si="86"/>
        <v>1</v>
      </c>
      <c r="AA232">
        <f>step3_validation[[#This Row],[AI_FAC1]]</f>
        <v>8</v>
      </c>
      <c r="AB232" t="str">
        <f t="shared" si="87"/>
        <v>Support</v>
      </c>
      <c r="AC232">
        <f>survey_responses[[#This Row],[Các thủ tục khai báo thuế VÀ/HOẶC quy trình làm việc với cơ quan thuế đơn giản, tiện lợi, nhanh chóng hơn so với trước đây. - HUMAN-FAC1]]</f>
        <v>8</v>
      </c>
      <c r="AD232" t="str">
        <f t="shared" si="88"/>
        <v>Support</v>
      </c>
      <c r="AE232" s="31">
        <f t="shared" si="89"/>
        <v>0</v>
      </c>
      <c r="AF232">
        <f>step3_validation[[#This Row],[AI_FAC2]]</f>
        <v>9</v>
      </c>
      <c r="AG232" t="str">
        <f t="shared" si="90"/>
        <v>Support</v>
      </c>
      <c r="AH232">
        <f>survey_responses[[#This Row],[So với trước đây, tôi thấy cách tính thuế và các bậc thuế trong phương án mới đơn giản, dễ hiểu và dễ thực hiện hơn. - HUMAN-FAC2]]</f>
        <v>8</v>
      </c>
      <c r="AI232" t="str">
        <f t="shared" si="91"/>
        <v>Support</v>
      </c>
      <c r="AJ232" s="31">
        <f t="shared" si="92"/>
        <v>1</v>
      </c>
      <c r="AK232">
        <f>step3_validation[[#This Row],[AI_TRU1]]</f>
        <v>8</v>
      </c>
      <c r="AL232" t="str">
        <f t="shared" si="93"/>
        <v>Support</v>
      </c>
      <c r="AM232">
        <f>survey_responses[[#This Row],[Tôi tin rằng Nhà nước, cơ quan thuế sẽ thực thi chính sách mới một cách khách quan, công tâm và đối xử bình đẳng với mọi người nộp thuế.  - HUMAN-TRU1]]</f>
        <v>7</v>
      </c>
      <c r="AN232" t="str">
        <f t="shared" si="94"/>
        <v>Neutral</v>
      </c>
      <c r="AO232" s="31">
        <f t="shared" si="95"/>
        <v>1</v>
      </c>
      <c r="AP232">
        <f>step3_validation[[#This Row],[AI_TRU2]]</f>
        <v>9</v>
      </c>
      <c r="AQ232" t="str">
        <f t="shared" si="96"/>
        <v>Support</v>
      </c>
      <c r="AR232">
        <f>survey_responses[[#This Row],[Tôi thấy mức thuế tôi phải đóng theo phương án mới là công bằng (người thu nhập như tôi đóng mức này là hợp lý). - HUMAN-TRU2]]</f>
        <v>7</v>
      </c>
      <c r="AS232" t="str">
        <f t="shared" si="97"/>
        <v>Neutral</v>
      </c>
      <c r="AT232" s="31">
        <f t="shared" si="98"/>
        <v>2</v>
      </c>
      <c r="AU232">
        <f>step3_validation[[#This Row],[AI_TRU3]]</f>
        <v>7</v>
      </c>
      <c r="AV232" t="str">
        <f t="shared" si="99"/>
        <v>Neutral</v>
      </c>
      <c r="AW232">
        <f>survey_responses[[#This Row],[Tôi tin tưởng số tiền thuế tôi đóng sẽ được Nhà nước sử dụng hiệu quả để cải thiện dịch vụ công (y tế, đường xá...). - HUMAN-TRU3]]</f>
        <v>8</v>
      </c>
      <c r="AX232" t="str">
        <f t="shared" si="100"/>
        <v>Support</v>
      </c>
      <c r="AY232" s="31">
        <f t="shared" si="101"/>
        <v>1</v>
      </c>
      <c r="AZ232">
        <f>step3_validation[[#This Row],[AI_TRU4]]</f>
        <v>6</v>
      </c>
      <c r="BA232" t="str">
        <f t="shared" si="102"/>
        <v>Neutral</v>
      </c>
      <c r="BB232">
        <f>survey_responses[[#This Row],[Tôi thấy Nhà nước đã giải thích rõ ràng, minh bạch về lý do và mục tiêu của việc sửa đổi thuế lần này. - HUMAN-TRU4]]</f>
        <v>7</v>
      </c>
      <c r="BC232" t="str">
        <f t="shared" si="103"/>
        <v>Neutral</v>
      </c>
      <c r="BD232" s="31">
        <f t="shared" si="104"/>
        <v>1</v>
      </c>
      <c r="BE232">
        <f>step3_validation[[#This Row],[AI_OUT1]]</f>
        <v>9</v>
      </c>
      <c r="BF232" t="str">
        <f t="shared" si="105"/>
        <v>Support</v>
      </c>
      <c r="BG232">
        <f>survey_responses[[#This Row],[Sau khi xem xét các quyền lợi và nghĩa vụ, bạn có ủng hộ và tuân thủ chính sách mới hiện nay? - HUMAN-OUT1]]</f>
        <v>8</v>
      </c>
      <c r="BH232" t="str">
        <f t="shared" si="106"/>
        <v>Support</v>
      </c>
      <c r="BI232" s="31">
        <f t="shared" si="107"/>
        <v>1</v>
      </c>
    </row>
    <row r="233" spans="1:61" hidden="1" x14ac:dyDescent="0.45">
      <c r="A233" s="29">
        <f>step3_validation[[#This Row],[Persona_ID]]</f>
        <v>232</v>
      </c>
      <c r="B233" s="30">
        <f>step3_validation[[#This Row],[Used_Seed]]</f>
        <v>273</v>
      </c>
      <c r="C233" t="str">
        <f>step3_validation[[#This Row],[Gender]]</f>
        <v>Nam</v>
      </c>
      <c r="D233" t="str">
        <f>survey_responses[[#This Row],[Giới tính của bạn:]]</f>
        <v>Nam</v>
      </c>
      <c r="E233" t="str">
        <f>step3_validation[[#This Row],[Age_Group]]</f>
        <v>30 - 39</v>
      </c>
      <c r="F233" t="str">
        <f>survey_responses[[#This Row],[Độ tuổi của bạn:]]</f>
        <v>30 - 39</v>
      </c>
      <c r="G233" t="str">
        <f>step3_validation[[#This Row],[Region]]</f>
        <v>Thành thị</v>
      </c>
      <c r="H233" t="str">
        <f>survey_responses[[#This Row],[Khu vực bạn đang sinh sống:]]</f>
        <v>Thành thị</v>
      </c>
      <c r="I233" t="str">
        <f>step3_validation[[#This Row],[Education]]</f>
        <v>Đại học</v>
      </c>
      <c r="J233" t="str">
        <f>survey_responses[[#This Row],[Trình độ học vấn cao nhất:]]</f>
        <v>Đại học</v>
      </c>
      <c r="K233" t="str">
        <f>step3_validation[[#This Row],[Employment]]</f>
        <v>Chính thức</v>
      </c>
      <c r="L233" t="str">
        <f>survey_responses[[#This Row],[Tình trạng việc làm chính:]]</f>
        <v>Khu vực chính thức (Có Hợp đồng lao động, đóng BHXH)</v>
      </c>
      <c r="M233">
        <f>step3_validation[[#This Row],[Income_Mil]]</f>
        <v>67.508547023844386</v>
      </c>
      <c r="N233" t="str">
        <f>survey_responses[[#This Row],[Thu nhập bình quân tháng theo Hợp đồng lao động của bạn là bao nhiêu? (Vui lòng điền tổng thu nhập trước khi khấu trừ các loại Bảo hiểm (BHXH, BHYT, BHTN) và Thuế TNCN)]]</f>
        <v>Từ 48 - 70 triệu VNĐ</v>
      </c>
      <c r="O233">
        <f>step3_validation[[#This Row],[Dependents]]</f>
        <v>2</v>
      </c>
      <c r="P233" t="str">
        <f>survey_responses[[#This Row],[Số người phụ thuộc (con nhỏ, cha mẹ già...) đủ điều kiện giảm trừ gia cảnh:]]</f>
        <v>2 người</v>
      </c>
      <c r="Q233">
        <f>step3_validation[[#This Row],[AI_ENF1]]</f>
        <v>7</v>
      </c>
      <c r="R233" t="str">
        <f t="shared" si="81"/>
        <v>Neutral</v>
      </c>
      <c r="S233">
        <f>survey_responses[[#This Row],[Tôi tin rằng với các quy định quản lý thuế hiện nay, hành vi gian lận hoặc trốn thuế sẽ dễ dàng bị phát hiện và xử lý nghiêm. - HUMAN-ENF1]]</f>
        <v>6</v>
      </c>
      <c r="T233" t="str">
        <f t="shared" si="82"/>
        <v>Neutral</v>
      </c>
      <c r="U233" s="31">
        <f t="shared" si="83"/>
        <v>1</v>
      </c>
      <c r="V233">
        <f>step3_validation[[#This Row],[AI_ENF2]]</f>
        <v>7</v>
      </c>
      <c r="W233" t="str">
        <f t="shared" si="84"/>
        <v>Neutral</v>
      </c>
      <c r="X233">
        <f>survey_responses[[#This Row],[Tôi tin rằng Nhà nước, cơ quan thuế có đủ khả năng và công nghệ để phát hiện, xử lý nghiêm các hành vi trốn thuế. - HUMAN-ENF2]]</f>
        <v>6</v>
      </c>
      <c r="Y233" t="str">
        <f t="shared" si="85"/>
        <v>Neutral</v>
      </c>
      <c r="Z233" s="31">
        <f t="shared" si="86"/>
        <v>1</v>
      </c>
      <c r="AA233">
        <f>step3_validation[[#This Row],[AI_FAC1]]</f>
        <v>8</v>
      </c>
      <c r="AB233" t="str">
        <f t="shared" si="87"/>
        <v>Support</v>
      </c>
      <c r="AC233">
        <f>survey_responses[[#This Row],[Các thủ tục khai báo thuế VÀ/HOẶC quy trình làm việc với cơ quan thuế đơn giản, tiện lợi, nhanh chóng hơn so với trước đây. - HUMAN-FAC1]]</f>
        <v>6</v>
      </c>
      <c r="AD233" t="str">
        <f t="shared" si="88"/>
        <v>Neutral</v>
      </c>
      <c r="AE233" s="31">
        <f t="shared" si="89"/>
        <v>2</v>
      </c>
      <c r="AF233">
        <f>step3_validation[[#This Row],[AI_FAC2]]</f>
        <v>9</v>
      </c>
      <c r="AG233" t="str">
        <f t="shared" si="90"/>
        <v>Support</v>
      </c>
      <c r="AH233">
        <f>survey_responses[[#This Row],[So với trước đây, tôi thấy cách tính thuế và các bậc thuế trong phương án mới đơn giản, dễ hiểu và dễ thực hiện hơn. - HUMAN-FAC2]]</f>
        <v>6</v>
      </c>
      <c r="AI233" t="str">
        <f t="shared" si="91"/>
        <v>Neutral</v>
      </c>
      <c r="AJ233" s="31">
        <f t="shared" si="92"/>
        <v>3</v>
      </c>
      <c r="AK233">
        <f>step3_validation[[#This Row],[AI_TRU1]]</f>
        <v>6</v>
      </c>
      <c r="AL233" t="str">
        <f t="shared" si="93"/>
        <v>Neutral</v>
      </c>
      <c r="AM233">
        <f>survey_responses[[#This Row],[Tôi tin rằng Nhà nước, cơ quan thuế sẽ thực thi chính sách mới một cách khách quan, công tâm và đối xử bình đẳng với mọi người nộp thuế.  - HUMAN-TRU1]]</f>
        <v>6</v>
      </c>
      <c r="AN233" t="str">
        <f t="shared" si="94"/>
        <v>Neutral</v>
      </c>
      <c r="AO233" s="31">
        <f t="shared" si="95"/>
        <v>0</v>
      </c>
      <c r="AP233">
        <f>step3_validation[[#This Row],[AI_TRU2]]</f>
        <v>7</v>
      </c>
      <c r="AQ233" t="str">
        <f t="shared" si="96"/>
        <v>Neutral</v>
      </c>
      <c r="AR233">
        <f>survey_responses[[#This Row],[Tôi thấy mức thuế tôi phải đóng theo phương án mới là công bằng (người thu nhập như tôi đóng mức này là hợp lý). - HUMAN-TRU2]]</f>
        <v>6</v>
      </c>
      <c r="AS233" t="str">
        <f t="shared" si="97"/>
        <v>Neutral</v>
      </c>
      <c r="AT233" s="31">
        <f t="shared" si="98"/>
        <v>1</v>
      </c>
      <c r="AU233">
        <f>step3_validation[[#This Row],[AI_TRU3]]</f>
        <v>6</v>
      </c>
      <c r="AV233" t="str">
        <f t="shared" si="99"/>
        <v>Neutral</v>
      </c>
      <c r="AW233">
        <f>survey_responses[[#This Row],[Tôi tin tưởng số tiền thuế tôi đóng sẽ được Nhà nước sử dụng hiệu quả để cải thiện dịch vụ công (y tế, đường xá...). - HUMAN-TRU3]]</f>
        <v>6</v>
      </c>
      <c r="AX233" t="str">
        <f t="shared" si="100"/>
        <v>Neutral</v>
      </c>
      <c r="AY233" s="31">
        <f t="shared" si="101"/>
        <v>0</v>
      </c>
      <c r="AZ233">
        <f>step3_validation[[#This Row],[AI_TRU4]]</f>
        <v>7</v>
      </c>
      <c r="BA233" t="str">
        <f t="shared" si="102"/>
        <v>Neutral</v>
      </c>
      <c r="BB233">
        <f>survey_responses[[#This Row],[Tôi thấy Nhà nước đã giải thích rõ ràng, minh bạch về lý do và mục tiêu của việc sửa đổi thuế lần này. - HUMAN-TRU4]]</f>
        <v>6</v>
      </c>
      <c r="BC233" t="str">
        <f t="shared" si="103"/>
        <v>Neutral</v>
      </c>
      <c r="BD233" s="31">
        <f t="shared" si="104"/>
        <v>1</v>
      </c>
      <c r="BE233">
        <f>step3_validation[[#This Row],[AI_OUT1]]</f>
        <v>8</v>
      </c>
      <c r="BF233" t="str">
        <f t="shared" si="105"/>
        <v>Support</v>
      </c>
      <c r="BG233">
        <f>survey_responses[[#This Row],[Sau khi xem xét các quyền lợi và nghĩa vụ, bạn có ủng hộ và tuân thủ chính sách mới hiện nay? - HUMAN-OUT1]]</f>
        <v>6</v>
      </c>
      <c r="BH233" t="str">
        <f t="shared" si="106"/>
        <v>Neutral</v>
      </c>
      <c r="BI233" s="31">
        <f t="shared" si="107"/>
        <v>2</v>
      </c>
    </row>
    <row r="234" spans="1:61" hidden="1" x14ac:dyDescent="0.45">
      <c r="A234" s="29">
        <f>step3_validation[[#This Row],[Persona_ID]]</f>
        <v>233</v>
      </c>
      <c r="B234" s="30">
        <f>step3_validation[[#This Row],[Used_Seed]]</f>
        <v>274</v>
      </c>
      <c r="C234" t="str">
        <f>step3_validation[[#This Row],[Gender]]</f>
        <v>Nữ</v>
      </c>
      <c r="D234" t="str">
        <f>survey_responses[[#This Row],[Giới tính của bạn:]]</f>
        <v>Nữ</v>
      </c>
      <c r="E234" t="str">
        <f>step3_validation[[#This Row],[Age_Group]]</f>
        <v>40 - 49</v>
      </c>
      <c r="F234" t="str">
        <f>survey_responses[[#This Row],[Độ tuổi của bạn:]]</f>
        <v>40 - 49</v>
      </c>
      <c r="G234" t="str">
        <f>step3_validation[[#This Row],[Region]]</f>
        <v>Thành thị</v>
      </c>
      <c r="H234" t="str">
        <f>survey_responses[[#This Row],[Khu vực bạn đang sinh sống:]]</f>
        <v>Thành thị</v>
      </c>
      <c r="I234" t="str">
        <f>step3_validation[[#This Row],[Education]]</f>
        <v>Đại học</v>
      </c>
      <c r="J234" t="str">
        <f>survey_responses[[#This Row],[Trình độ học vấn cao nhất:]]</f>
        <v>Đại học</v>
      </c>
      <c r="K234" t="str">
        <f>step3_validation[[#This Row],[Employment]]</f>
        <v>Chính thức</v>
      </c>
      <c r="L234" t="str">
        <f>survey_responses[[#This Row],[Tình trạng việc làm chính:]]</f>
        <v>Khu vực chính thức (Có Hợp đồng lao động, đóng BHXH)</v>
      </c>
      <c r="M234">
        <f>step3_validation[[#This Row],[Income_Mil]]</f>
        <v>15.235367395272302</v>
      </c>
      <c r="N234" t="str">
        <f>survey_responses[[#This Row],[Thu nhập bình quân tháng theo Hợp đồng lao động của bạn là bao nhiêu? (Vui lòng điền tổng thu nhập trước khi khấu trừ các loại Bảo hiểm (BHXH, BHYT, BHTN) và Thuế TNCN)]]</f>
        <v>Từ 12 - 18 triệu VNĐ</v>
      </c>
      <c r="O234">
        <f>step3_validation[[#This Row],[Dependents]]</f>
        <v>1</v>
      </c>
      <c r="P234" t="str">
        <f>survey_responses[[#This Row],[Số người phụ thuộc (con nhỏ, cha mẹ già...) đủ điều kiện giảm trừ gia cảnh:]]</f>
        <v>1 người</v>
      </c>
      <c r="Q234">
        <f>step3_validation[[#This Row],[AI_ENF1]]</f>
        <v>7</v>
      </c>
      <c r="R234" t="str">
        <f t="shared" si="81"/>
        <v>Neutral</v>
      </c>
      <c r="S234">
        <f>survey_responses[[#This Row],[Tôi tin rằng với các quy định quản lý thuế hiện nay, hành vi gian lận hoặc trốn thuế sẽ dễ dàng bị phát hiện và xử lý nghiêm. - HUMAN-ENF1]]</f>
        <v>8</v>
      </c>
      <c r="T234" t="str">
        <f t="shared" si="82"/>
        <v>Support</v>
      </c>
      <c r="U234" s="31">
        <f t="shared" si="83"/>
        <v>1</v>
      </c>
      <c r="V234">
        <f>step3_validation[[#This Row],[AI_ENF2]]</f>
        <v>6</v>
      </c>
      <c r="W234" t="str">
        <f t="shared" si="84"/>
        <v>Neutral</v>
      </c>
      <c r="X234">
        <f>survey_responses[[#This Row],[Tôi tin rằng Nhà nước, cơ quan thuế có đủ khả năng và công nghệ để phát hiện, xử lý nghiêm các hành vi trốn thuế. - HUMAN-ENF2]]</f>
        <v>8</v>
      </c>
      <c r="Y234" t="str">
        <f t="shared" si="85"/>
        <v>Support</v>
      </c>
      <c r="Z234" s="31">
        <f t="shared" si="86"/>
        <v>2</v>
      </c>
      <c r="AA234">
        <f>step3_validation[[#This Row],[AI_FAC1]]</f>
        <v>9</v>
      </c>
      <c r="AB234" t="str">
        <f t="shared" si="87"/>
        <v>Support</v>
      </c>
      <c r="AC234">
        <f>survey_responses[[#This Row],[Các thủ tục khai báo thuế VÀ/HOẶC quy trình làm việc với cơ quan thuế đơn giản, tiện lợi, nhanh chóng hơn so với trước đây. - HUMAN-FAC1]]</f>
        <v>8</v>
      </c>
      <c r="AD234" t="str">
        <f t="shared" si="88"/>
        <v>Support</v>
      </c>
      <c r="AE234" s="31">
        <f t="shared" si="89"/>
        <v>1</v>
      </c>
      <c r="AF234">
        <f>step3_validation[[#This Row],[AI_FAC2]]</f>
        <v>8</v>
      </c>
      <c r="AG234" t="str">
        <f t="shared" si="90"/>
        <v>Support</v>
      </c>
      <c r="AH234">
        <f>survey_responses[[#This Row],[So với trước đây, tôi thấy cách tính thuế và các bậc thuế trong phương án mới đơn giản, dễ hiểu và dễ thực hiện hơn. - HUMAN-FAC2]]</f>
        <v>8</v>
      </c>
      <c r="AI234" t="str">
        <f t="shared" si="91"/>
        <v>Support</v>
      </c>
      <c r="AJ234" s="31">
        <f t="shared" si="92"/>
        <v>0</v>
      </c>
      <c r="AK234">
        <f>step3_validation[[#This Row],[AI_TRU1]]</f>
        <v>7</v>
      </c>
      <c r="AL234" t="str">
        <f t="shared" si="93"/>
        <v>Neutral</v>
      </c>
      <c r="AM234">
        <f>survey_responses[[#This Row],[Tôi tin rằng Nhà nước, cơ quan thuế sẽ thực thi chính sách mới một cách khách quan, công tâm và đối xử bình đẳng với mọi người nộp thuế.  - HUMAN-TRU1]]</f>
        <v>9</v>
      </c>
      <c r="AN234" t="str">
        <f t="shared" si="94"/>
        <v>Support</v>
      </c>
      <c r="AO234" s="31">
        <f t="shared" si="95"/>
        <v>2</v>
      </c>
      <c r="AP234">
        <f>step3_validation[[#This Row],[AI_TRU2]]</f>
        <v>9</v>
      </c>
      <c r="AQ234" t="str">
        <f t="shared" si="96"/>
        <v>Support</v>
      </c>
      <c r="AR234">
        <f>survey_responses[[#This Row],[Tôi thấy mức thuế tôi phải đóng theo phương án mới là công bằng (người thu nhập như tôi đóng mức này là hợp lý). - HUMAN-TRU2]]</f>
        <v>8</v>
      </c>
      <c r="AS234" t="str">
        <f t="shared" si="97"/>
        <v>Support</v>
      </c>
      <c r="AT234" s="31">
        <f t="shared" si="98"/>
        <v>1</v>
      </c>
      <c r="AU234">
        <f>step3_validation[[#This Row],[AI_TRU3]]</f>
        <v>8</v>
      </c>
      <c r="AV234" t="str">
        <f t="shared" si="99"/>
        <v>Support</v>
      </c>
      <c r="AW234">
        <f>survey_responses[[#This Row],[Tôi tin tưởng số tiền thuế tôi đóng sẽ được Nhà nước sử dụng hiệu quả để cải thiện dịch vụ công (y tế, đường xá...). - HUMAN-TRU3]]</f>
        <v>8</v>
      </c>
      <c r="AX234" t="str">
        <f t="shared" si="100"/>
        <v>Support</v>
      </c>
      <c r="AY234" s="31">
        <f t="shared" si="101"/>
        <v>0</v>
      </c>
      <c r="AZ234">
        <f>step3_validation[[#This Row],[AI_TRU4]]</f>
        <v>7</v>
      </c>
      <c r="BA234" t="str">
        <f t="shared" si="102"/>
        <v>Neutral</v>
      </c>
      <c r="BB234">
        <f>survey_responses[[#This Row],[Tôi thấy Nhà nước đã giải thích rõ ràng, minh bạch về lý do và mục tiêu của việc sửa đổi thuế lần này. - HUMAN-TRU4]]</f>
        <v>8</v>
      </c>
      <c r="BC234" t="str">
        <f t="shared" si="103"/>
        <v>Support</v>
      </c>
      <c r="BD234" s="31">
        <f t="shared" si="104"/>
        <v>1</v>
      </c>
      <c r="BE234">
        <f>step3_validation[[#This Row],[AI_OUT1]]</f>
        <v>9</v>
      </c>
      <c r="BF234" t="str">
        <f t="shared" si="105"/>
        <v>Support</v>
      </c>
      <c r="BG234">
        <f>survey_responses[[#This Row],[Sau khi xem xét các quyền lợi và nghĩa vụ, bạn có ủng hộ và tuân thủ chính sách mới hiện nay? - HUMAN-OUT1]]</f>
        <v>10</v>
      </c>
      <c r="BH234" t="str">
        <f t="shared" si="106"/>
        <v>Support</v>
      </c>
      <c r="BI234" s="31">
        <f t="shared" si="107"/>
        <v>1</v>
      </c>
    </row>
    <row r="235" spans="1:61" hidden="1" x14ac:dyDescent="0.45">
      <c r="A235" s="29">
        <f>step3_validation[[#This Row],[Persona_ID]]</f>
        <v>234</v>
      </c>
      <c r="B235" s="30">
        <f>step3_validation[[#This Row],[Used_Seed]]</f>
        <v>275</v>
      </c>
      <c r="C235" t="str">
        <f>step3_validation[[#This Row],[Gender]]</f>
        <v>Nữ</v>
      </c>
      <c r="D235" t="str">
        <f>survey_responses[[#This Row],[Giới tính của bạn:]]</f>
        <v>Nữ</v>
      </c>
      <c r="E235" t="str">
        <f>step3_validation[[#This Row],[Age_Group]]</f>
        <v>50 - 54</v>
      </c>
      <c r="F235" t="str">
        <f>survey_responses[[#This Row],[Độ tuổi của bạn:]]</f>
        <v>50 - 54</v>
      </c>
      <c r="G235" t="str">
        <f>step3_validation[[#This Row],[Region]]</f>
        <v>Thành thị</v>
      </c>
      <c r="H235" t="str">
        <f>survey_responses[[#This Row],[Khu vực bạn đang sinh sống:]]</f>
        <v>Thành thị</v>
      </c>
      <c r="I235" t="str">
        <f>step3_validation[[#This Row],[Education]]</f>
        <v>Sau Đại học</v>
      </c>
      <c r="J235" t="str">
        <f>survey_responses[[#This Row],[Trình độ học vấn cao nhất:]]</f>
        <v>Sau Đại học</v>
      </c>
      <c r="K235" t="str">
        <f>step3_validation[[#This Row],[Employment]]</f>
        <v>Chính thức</v>
      </c>
      <c r="L235" t="str">
        <f>survey_responses[[#This Row],[Tình trạng việc làm chính:]]</f>
        <v>Khu vực chính thức (Có Hợp đồng lao động, đóng BHXH)</v>
      </c>
      <c r="M235">
        <f>step3_validation[[#This Row],[Income_Mil]]</f>
        <v>94.931469239853527</v>
      </c>
      <c r="N235" t="str">
        <f>survey_responses[[#This Row],[Thu nhập bình quân tháng theo Hợp đồng lao động của bạn là bao nhiêu? (Vui lòng điền tổng thu nhập trước khi khấu trừ các loại Bảo hiểm (BHXH, BHYT, BHTN) và Thuế TNCN)]]</f>
        <v>Từ 70 - 102 triệu VNĐ</v>
      </c>
      <c r="O235">
        <f>step3_validation[[#This Row],[Dependents]]</f>
        <v>3</v>
      </c>
      <c r="P235" t="str">
        <f>survey_responses[[#This Row],[Số người phụ thuộc (con nhỏ, cha mẹ già...) đủ điều kiện giảm trừ gia cảnh:]]</f>
        <v>3 người</v>
      </c>
      <c r="Q235">
        <f>step3_validation[[#This Row],[AI_ENF1]]</f>
        <v>7</v>
      </c>
      <c r="R235" t="str">
        <f t="shared" si="81"/>
        <v>Neutral</v>
      </c>
      <c r="S235">
        <f>survey_responses[[#This Row],[Tôi tin rằng với các quy định quản lý thuế hiện nay, hành vi gian lận hoặc trốn thuế sẽ dễ dàng bị phát hiện và xử lý nghiêm. - HUMAN-ENF1]]</f>
        <v>4</v>
      </c>
      <c r="T235" t="str">
        <f t="shared" si="82"/>
        <v>Oppose</v>
      </c>
      <c r="U235" s="31">
        <f t="shared" si="83"/>
        <v>3</v>
      </c>
      <c r="V235">
        <f>step3_validation[[#This Row],[AI_ENF2]]</f>
        <v>6</v>
      </c>
      <c r="W235" t="str">
        <f t="shared" si="84"/>
        <v>Neutral</v>
      </c>
      <c r="X235">
        <f>survey_responses[[#This Row],[Tôi tin rằng Nhà nước, cơ quan thuế có đủ khả năng và công nghệ để phát hiện, xử lý nghiêm các hành vi trốn thuế. - HUMAN-ENF2]]</f>
        <v>4</v>
      </c>
      <c r="Y235" t="str">
        <f t="shared" si="85"/>
        <v>Oppose</v>
      </c>
      <c r="Z235" s="31">
        <f t="shared" si="86"/>
        <v>2</v>
      </c>
      <c r="AA235">
        <f>step3_validation[[#This Row],[AI_FAC1]]</f>
        <v>7</v>
      </c>
      <c r="AB235" t="str">
        <f t="shared" si="87"/>
        <v>Neutral</v>
      </c>
      <c r="AC235">
        <f>survey_responses[[#This Row],[Các thủ tục khai báo thuế VÀ/HOẶC quy trình làm việc với cơ quan thuế đơn giản, tiện lợi, nhanh chóng hơn so với trước đây. - HUMAN-FAC1]]</f>
        <v>4</v>
      </c>
      <c r="AD235" t="str">
        <f t="shared" si="88"/>
        <v>Oppose</v>
      </c>
      <c r="AE235" s="31">
        <f t="shared" si="89"/>
        <v>3</v>
      </c>
      <c r="AF235">
        <f>step3_validation[[#This Row],[AI_FAC2]]</f>
        <v>8</v>
      </c>
      <c r="AG235" t="str">
        <f t="shared" si="90"/>
        <v>Support</v>
      </c>
      <c r="AH235">
        <f>survey_responses[[#This Row],[So với trước đây, tôi thấy cách tính thuế và các bậc thuế trong phương án mới đơn giản, dễ hiểu và dễ thực hiện hơn. - HUMAN-FAC2]]</f>
        <v>4</v>
      </c>
      <c r="AI235" t="str">
        <f t="shared" si="91"/>
        <v>Oppose</v>
      </c>
      <c r="AJ235" s="31">
        <f t="shared" si="92"/>
        <v>4</v>
      </c>
      <c r="AK235">
        <f>step3_validation[[#This Row],[AI_TRU1]]</f>
        <v>7</v>
      </c>
      <c r="AL235" t="str">
        <f t="shared" si="93"/>
        <v>Neutral</v>
      </c>
      <c r="AM235">
        <f>survey_responses[[#This Row],[Tôi tin rằng Nhà nước, cơ quan thuế sẽ thực thi chính sách mới một cách khách quan, công tâm và đối xử bình đẳng với mọi người nộp thuế.  - HUMAN-TRU1]]</f>
        <v>1</v>
      </c>
      <c r="AN235" t="str">
        <f t="shared" si="94"/>
        <v>Oppose</v>
      </c>
      <c r="AO235" s="31">
        <f t="shared" si="95"/>
        <v>6</v>
      </c>
      <c r="AP235">
        <f>step3_validation[[#This Row],[AI_TRU2]]</f>
        <v>9</v>
      </c>
      <c r="AQ235" t="str">
        <f t="shared" si="96"/>
        <v>Support</v>
      </c>
      <c r="AR235">
        <f>survey_responses[[#This Row],[Tôi thấy mức thuế tôi phải đóng theo phương án mới là công bằng (người thu nhập như tôi đóng mức này là hợp lý). - HUMAN-TRU2]]</f>
        <v>3</v>
      </c>
      <c r="AS235" t="str">
        <f t="shared" si="97"/>
        <v>Oppose</v>
      </c>
      <c r="AT235" s="31">
        <f t="shared" si="98"/>
        <v>6</v>
      </c>
      <c r="AU235">
        <f>step3_validation[[#This Row],[AI_TRU3]]</f>
        <v>8</v>
      </c>
      <c r="AV235" t="str">
        <f t="shared" si="99"/>
        <v>Support</v>
      </c>
      <c r="AW235">
        <f>survey_responses[[#This Row],[Tôi tin tưởng số tiền thuế tôi đóng sẽ được Nhà nước sử dụng hiệu quả để cải thiện dịch vụ công (y tế, đường xá...). - HUMAN-TRU3]]</f>
        <v>1</v>
      </c>
      <c r="AX235" t="str">
        <f t="shared" si="100"/>
        <v>Oppose</v>
      </c>
      <c r="AY235" s="31">
        <f t="shared" si="101"/>
        <v>7</v>
      </c>
      <c r="AZ235">
        <f>step3_validation[[#This Row],[AI_TRU4]]</f>
        <v>7</v>
      </c>
      <c r="BA235" t="str">
        <f t="shared" si="102"/>
        <v>Neutral</v>
      </c>
      <c r="BB235">
        <f>survey_responses[[#This Row],[Tôi thấy Nhà nước đã giải thích rõ ràng, minh bạch về lý do và mục tiêu của việc sửa đổi thuế lần này. - HUMAN-TRU4]]</f>
        <v>1</v>
      </c>
      <c r="BC235" t="str">
        <f t="shared" si="103"/>
        <v>Oppose</v>
      </c>
      <c r="BD235" s="31">
        <f t="shared" si="104"/>
        <v>6</v>
      </c>
      <c r="BE235">
        <f>step3_validation[[#This Row],[AI_OUT1]]</f>
        <v>9</v>
      </c>
      <c r="BF235" t="str">
        <f t="shared" si="105"/>
        <v>Support</v>
      </c>
      <c r="BG235">
        <f>survey_responses[[#This Row],[Sau khi xem xét các quyền lợi và nghĩa vụ, bạn có ủng hộ và tuân thủ chính sách mới hiện nay? - HUMAN-OUT1]]</f>
        <v>1</v>
      </c>
      <c r="BH235" t="str">
        <f t="shared" si="106"/>
        <v>Oppose</v>
      </c>
      <c r="BI235" s="31">
        <f t="shared" si="107"/>
        <v>8</v>
      </c>
    </row>
    <row r="236" spans="1:61" hidden="1" x14ac:dyDescent="0.45">
      <c r="A236" s="29">
        <f>step3_validation[[#This Row],[Persona_ID]]</f>
        <v>235</v>
      </c>
      <c r="B236" s="30">
        <f>step3_validation[[#This Row],[Used_Seed]]</f>
        <v>276</v>
      </c>
      <c r="C236" t="str">
        <f>step3_validation[[#This Row],[Gender]]</f>
        <v>Nữ</v>
      </c>
      <c r="D236" t="str">
        <f>survey_responses[[#This Row],[Giới tính của bạn:]]</f>
        <v>Nữ</v>
      </c>
      <c r="E236" t="str">
        <f>step3_validation[[#This Row],[Age_Group]]</f>
        <v>30 - 39</v>
      </c>
      <c r="F236" t="str">
        <f>survey_responses[[#This Row],[Độ tuổi của bạn:]]</f>
        <v>30 - 39</v>
      </c>
      <c r="G236" t="str">
        <f>step3_validation[[#This Row],[Region]]</f>
        <v>Thành thị</v>
      </c>
      <c r="H236" t="str">
        <f>survey_responses[[#This Row],[Khu vực bạn đang sinh sống:]]</f>
        <v>Thành thị</v>
      </c>
      <c r="I236" t="str">
        <f>step3_validation[[#This Row],[Education]]</f>
        <v>Đại học</v>
      </c>
      <c r="J236" t="str">
        <f>survey_responses[[#This Row],[Trình độ học vấn cao nhất:]]</f>
        <v>Đại học</v>
      </c>
      <c r="K236" t="str">
        <f>step3_validation[[#This Row],[Employment]]</f>
        <v>Chính thức</v>
      </c>
      <c r="L236" t="str">
        <f>survey_responses[[#This Row],[Tình trạng việc làm chính:]]</f>
        <v>Khu vực chính thức (Có Hợp đồng lao động, đóng BHXH)</v>
      </c>
      <c r="M236">
        <f>step3_validation[[#This Row],[Income_Mil]]</f>
        <v>35.208684615393793</v>
      </c>
      <c r="N236" t="str">
        <f>survey_responses[[#This Row],[Thu nhập bình quân tháng theo Hợp đồng lao động của bạn là bao nhiêu? (Vui lòng điền tổng thu nhập trước khi khấu trừ các loại Bảo hiểm (BHXH, BHYT, BHTN) và Thuế TNCN)]]</f>
        <v>Từ 32 - 48 triệu VNĐ</v>
      </c>
      <c r="O236">
        <f>step3_validation[[#This Row],[Dependents]]</f>
        <v>0</v>
      </c>
      <c r="P236" t="str">
        <f>survey_responses[[#This Row],[Số người phụ thuộc (con nhỏ, cha mẹ già...) đủ điều kiện giảm trừ gia cảnh:]]</f>
        <v>0 người</v>
      </c>
      <c r="Q236">
        <f>step3_validation[[#This Row],[AI_ENF1]]</f>
        <v>8</v>
      </c>
      <c r="R236" t="str">
        <f t="shared" si="81"/>
        <v>Support</v>
      </c>
      <c r="S236">
        <f>survey_responses[[#This Row],[Tôi tin rằng với các quy định quản lý thuế hiện nay, hành vi gian lận hoặc trốn thuế sẽ dễ dàng bị phát hiện và xử lý nghiêm. - HUMAN-ENF1]]</f>
        <v>6</v>
      </c>
      <c r="T236" t="str">
        <f t="shared" si="82"/>
        <v>Neutral</v>
      </c>
      <c r="U236" s="31">
        <f t="shared" si="83"/>
        <v>2</v>
      </c>
      <c r="V236">
        <f>step3_validation[[#This Row],[AI_ENF2]]</f>
        <v>8</v>
      </c>
      <c r="W236" t="str">
        <f t="shared" si="84"/>
        <v>Support</v>
      </c>
      <c r="X236">
        <f>survey_responses[[#This Row],[Tôi tin rằng Nhà nước, cơ quan thuế có đủ khả năng và công nghệ để phát hiện, xử lý nghiêm các hành vi trốn thuế. - HUMAN-ENF2]]</f>
        <v>6</v>
      </c>
      <c r="Y236" t="str">
        <f t="shared" si="85"/>
        <v>Neutral</v>
      </c>
      <c r="Z236" s="31">
        <f t="shared" si="86"/>
        <v>2</v>
      </c>
      <c r="AA236">
        <f>step3_validation[[#This Row],[AI_FAC1]]</f>
        <v>9</v>
      </c>
      <c r="AB236" t="str">
        <f t="shared" si="87"/>
        <v>Support</v>
      </c>
      <c r="AC236">
        <f>survey_responses[[#This Row],[Các thủ tục khai báo thuế VÀ/HOẶC quy trình làm việc với cơ quan thuế đơn giản, tiện lợi, nhanh chóng hơn so với trước đây. - HUMAN-FAC1]]</f>
        <v>1</v>
      </c>
      <c r="AD236" t="str">
        <f t="shared" si="88"/>
        <v>Oppose</v>
      </c>
      <c r="AE236" s="31">
        <f t="shared" si="89"/>
        <v>8</v>
      </c>
      <c r="AF236">
        <f>step3_validation[[#This Row],[AI_FAC2]]</f>
        <v>9</v>
      </c>
      <c r="AG236" t="str">
        <f t="shared" si="90"/>
        <v>Support</v>
      </c>
      <c r="AH236">
        <f>survey_responses[[#This Row],[So với trước đây, tôi thấy cách tính thuế và các bậc thuế trong phương án mới đơn giản, dễ hiểu và dễ thực hiện hơn. - HUMAN-FAC2]]</f>
        <v>6</v>
      </c>
      <c r="AI236" t="str">
        <f t="shared" si="91"/>
        <v>Neutral</v>
      </c>
      <c r="AJ236" s="31">
        <f t="shared" si="92"/>
        <v>3</v>
      </c>
      <c r="AK236">
        <f>step3_validation[[#This Row],[AI_TRU1]]</f>
        <v>9</v>
      </c>
      <c r="AL236" t="str">
        <f t="shared" si="93"/>
        <v>Support</v>
      </c>
      <c r="AM236">
        <f>survey_responses[[#This Row],[Tôi tin rằng Nhà nước, cơ quan thuế sẽ thực thi chính sách mới một cách khách quan, công tâm và đối xử bình đẳng với mọi người nộp thuế.  - HUMAN-TRU1]]</f>
        <v>5</v>
      </c>
      <c r="AN236" t="str">
        <f t="shared" si="94"/>
        <v>Neutral</v>
      </c>
      <c r="AO236" s="31">
        <f t="shared" si="95"/>
        <v>4</v>
      </c>
      <c r="AP236">
        <f>step3_validation[[#This Row],[AI_TRU2]]</f>
        <v>9</v>
      </c>
      <c r="AQ236" t="str">
        <f t="shared" si="96"/>
        <v>Support</v>
      </c>
      <c r="AR236">
        <f>survey_responses[[#This Row],[Tôi thấy mức thuế tôi phải đóng theo phương án mới là công bằng (người thu nhập như tôi đóng mức này là hợp lý). - HUMAN-TRU2]]</f>
        <v>6</v>
      </c>
      <c r="AS236" t="str">
        <f t="shared" si="97"/>
        <v>Neutral</v>
      </c>
      <c r="AT236" s="31">
        <f t="shared" si="98"/>
        <v>3</v>
      </c>
      <c r="AU236">
        <f>step3_validation[[#This Row],[AI_TRU3]]</f>
        <v>9</v>
      </c>
      <c r="AV236" t="str">
        <f t="shared" si="99"/>
        <v>Support</v>
      </c>
      <c r="AW236">
        <f>survey_responses[[#This Row],[Tôi tin tưởng số tiền thuế tôi đóng sẽ được Nhà nước sử dụng hiệu quả để cải thiện dịch vụ công (y tế, đường xá...). - HUMAN-TRU3]]</f>
        <v>5</v>
      </c>
      <c r="AX236" t="str">
        <f t="shared" si="100"/>
        <v>Neutral</v>
      </c>
      <c r="AY236" s="31">
        <f t="shared" si="101"/>
        <v>4</v>
      </c>
      <c r="AZ236">
        <f>step3_validation[[#This Row],[AI_TRU4]]</f>
        <v>9</v>
      </c>
      <c r="BA236" t="str">
        <f t="shared" si="102"/>
        <v>Support</v>
      </c>
      <c r="BB236">
        <f>survey_responses[[#This Row],[Tôi thấy Nhà nước đã giải thích rõ ràng, minh bạch về lý do và mục tiêu của việc sửa đổi thuế lần này. - HUMAN-TRU4]]</f>
        <v>6</v>
      </c>
      <c r="BC236" t="str">
        <f t="shared" si="103"/>
        <v>Neutral</v>
      </c>
      <c r="BD236" s="31">
        <f t="shared" si="104"/>
        <v>3</v>
      </c>
      <c r="BE236">
        <f>step3_validation[[#This Row],[AI_OUT1]]</f>
        <v>9</v>
      </c>
      <c r="BF236" t="str">
        <f t="shared" si="105"/>
        <v>Support</v>
      </c>
      <c r="BG236">
        <f>survey_responses[[#This Row],[Sau khi xem xét các quyền lợi và nghĩa vụ, bạn có ủng hộ và tuân thủ chính sách mới hiện nay? - HUMAN-OUT1]]</f>
        <v>6</v>
      </c>
      <c r="BH236" t="str">
        <f t="shared" si="106"/>
        <v>Neutral</v>
      </c>
      <c r="BI236" s="31">
        <f t="shared" si="107"/>
        <v>3</v>
      </c>
    </row>
    <row r="237" spans="1:61" hidden="1" x14ac:dyDescent="0.45">
      <c r="A237" s="29">
        <f>step3_validation[[#This Row],[Persona_ID]]</f>
        <v>236</v>
      </c>
      <c r="B237" s="30">
        <f>step3_validation[[#This Row],[Used_Seed]]</f>
        <v>277</v>
      </c>
      <c r="C237" t="str">
        <f>step3_validation[[#This Row],[Gender]]</f>
        <v>Nữ</v>
      </c>
      <c r="D237" t="str">
        <f>survey_responses[[#This Row],[Giới tính của bạn:]]</f>
        <v>Nữ</v>
      </c>
      <c r="E237" t="str">
        <f>step3_validation[[#This Row],[Age_Group]]</f>
        <v>30 - 39</v>
      </c>
      <c r="F237" t="str">
        <f>survey_responses[[#This Row],[Độ tuổi của bạn:]]</f>
        <v>30 - 39</v>
      </c>
      <c r="G237" t="str">
        <f>step3_validation[[#This Row],[Region]]</f>
        <v>Thành thị</v>
      </c>
      <c r="H237" t="str">
        <f>survey_responses[[#This Row],[Khu vực bạn đang sinh sống:]]</f>
        <v>Thành thị</v>
      </c>
      <c r="I237" t="str">
        <f>step3_validation[[#This Row],[Education]]</f>
        <v>Sau Đại học</v>
      </c>
      <c r="J237" t="str">
        <f>survey_responses[[#This Row],[Trình độ học vấn cao nhất:]]</f>
        <v>Sau Đại học</v>
      </c>
      <c r="K237" t="str">
        <f>step3_validation[[#This Row],[Employment]]</f>
        <v>Chính thức</v>
      </c>
      <c r="L237" t="str">
        <f>survey_responses[[#This Row],[Tình trạng việc làm chính:]]</f>
        <v>Khu vực chính thức (Có Hợp đồng lao động, đóng BHXH)</v>
      </c>
      <c r="M237">
        <f>step3_validation[[#This Row],[Income_Mil]]</f>
        <v>49.143140403078377</v>
      </c>
      <c r="N237" t="str">
        <f>survey_responses[[#This Row],[Thu nhập bình quân tháng theo Hợp đồng lao động của bạn là bao nhiêu? (Vui lòng điền tổng thu nhập trước khi khấu trừ các loại Bảo hiểm (BHXH, BHYT, BHTN) và Thuế TNCN)]]</f>
        <v>Từ 48 - 70 triệu VNĐ</v>
      </c>
      <c r="O237">
        <f>step3_validation[[#This Row],[Dependents]]</f>
        <v>3</v>
      </c>
      <c r="P237" t="str">
        <f>survey_responses[[#This Row],[Số người phụ thuộc (con nhỏ, cha mẹ già...) đủ điều kiện giảm trừ gia cảnh:]]</f>
        <v>3 người</v>
      </c>
      <c r="Q237">
        <f>step3_validation[[#This Row],[AI_ENF1]]</f>
        <v>6</v>
      </c>
      <c r="R237" t="str">
        <f t="shared" si="81"/>
        <v>Neutral</v>
      </c>
      <c r="S237">
        <f>survey_responses[[#This Row],[Tôi tin rằng với các quy định quản lý thuế hiện nay, hành vi gian lận hoặc trốn thuế sẽ dễ dàng bị phát hiện và xử lý nghiêm. - HUMAN-ENF1]]</f>
        <v>7</v>
      </c>
      <c r="T237" t="str">
        <f t="shared" si="82"/>
        <v>Neutral</v>
      </c>
      <c r="U237" s="31">
        <f t="shared" si="83"/>
        <v>1</v>
      </c>
      <c r="V237">
        <f>step3_validation[[#This Row],[AI_ENF2]]</f>
        <v>8</v>
      </c>
      <c r="W237" t="str">
        <f t="shared" si="84"/>
        <v>Support</v>
      </c>
      <c r="X237">
        <f>survey_responses[[#This Row],[Tôi tin rằng Nhà nước, cơ quan thuế có đủ khả năng và công nghệ để phát hiện, xử lý nghiêm các hành vi trốn thuế. - HUMAN-ENF2]]</f>
        <v>7</v>
      </c>
      <c r="Y237" t="str">
        <f t="shared" si="85"/>
        <v>Neutral</v>
      </c>
      <c r="Z237" s="31">
        <f t="shared" si="86"/>
        <v>1</v>
      </c>
      <c r="AA237">
        <f>step3_validation[[#This Row],[AI_FAC1]]</f>
        <v>9</v>
      </c>
      <c r="AB237" t="str">
        <f t="shared" si="87"/>
        <v>Support</v>
      </c>
      <c r="AC237">
        <f>survey_responses[[#This Row],[Các thủ tục khai báo thuế VÀ/HOẶC quy trình làm việc với cơ quan thuế đơn giản, tiện lợi, nhanh chóng hơn so với trước đây. - HUMAN-FAC1]]</f>
        <v>7</v>
      </c>
      <c r="AD237" t="str">
        <f t="shared" si="88"/>
        <v>Neutral</v>
      </c>
      <c r="AE237" s="31">
        <f t="shared" si="89"/>
        <v>2</v>
      </c>
      <c r="AF237">
        <f>step3_validation[[#This Row],[AI_FAC2]]</f>
        <v>9</v>
      </c>
      <c r="AG237" t="str">
        <f t="shared" si="90"/>
        <v>Support</v>
      </c>
      <c r="AH237">
        <f>survey_responses[[#This Row],[So với trước đây, tôi thấy cách tính thuế và các bậc thuế trong phương án mới đơn giản, dễ hiểu và dễ thực hiện hơn. - HUMAN-FAC2]]</f>
        <v>7</v>
      </c>
      <c r="AI237" t="str">
        <f t="shared" si="91"/>
        <v>Neutral</v>
      </c>
      <c r="AJ237" s="31">
        <f t="shared" si="92"/>
        <v>2</v>
      </c>
      <c r="AK237">
        <f>step3_validation[[#This Row],[AI_TRU1]]</f>
        <v>7</v>
      </c>
      <c r="AL237" t="str">
        <f t="shared" si="93"/>
        <v>Neutral</v>
      </c>
      <c r="AM237">
        <f>survey_responses[[#This Row],[Tôi tin rằng Nhà nước, cơ quan thuế sẽ thực thi chính sách mới một cách khách quan, công tâm và đối xử bình đẳng với mọi người nộp thuế.  - HUMAN-TRU1]]</f>
        <v>7</v>
      </c>
      <c r="AN237" t="str">
        <f t="shared" si="94"/>
        <v>Neutral</v>
      </c>
      <c r="AO237" s="31">
        <f t="shared" si="95"/>
        <v>0</v>
      </c>
      <c r="AP237">
        <f>step3_validation[[#This Row],[AI_TRU2]]</f>
        <v>9</v>
      </c>
      <c r="AQ237" t="str">
        <f t="shared" si="96"/>
        <v>Support</v>
      </c>
      <c r="AR237">
        <f>survey_responses[[#This Row],[Tôi thấy mức thuế tôi phải đóng theo phương án mới là công bằng (người thu nhập như tôi đóng mức này là hợp lý). - HUMAN-TRU2]]</f>
        <v>7</v>
      </c>
      <c r="AS237" t="str">
        <f t="shared" si="97"/>
        <v>Neutral</v>
      </c>
      <c r="AT237" s="31">
        <f t="shared" si="98"/>
        <v>2</v>
      </c>
      <c r="AU237">
        <f>step3_validation[[#This Row],[AI_TRU3]]</f>
        <v>7</v>
      </c>
      <c r="AV237" t="str">
        <f t="shared" si="99"/>
        <v>Neutral</v>
      </c>
      <c r="AW237">
        <f>survey_responses[[#This Row],[Tôi tin tưởng số tiền thuế tôi đóng sẽ được Nhà nước sử dụng hiệu quả để cải thiện dịch vụ công (y tế, đường xá...). - HUMAN-TRU3]]</f>
        <v>7</v>
      </c>
      <c r="AX237" t="str">
        <f t="shared" si="100"/>
        <v>Neutral</v>
      </c>
      <c r="AY237" s="31">
        <f t="shared" si="101"/>
        <v>0</v>
      </c>
      <c r="AZ237">
        <f>step3_validation[[#This Row],[AI_TRU4]]</f>
        <v>8</v>
      </c>
      <c r="BA237" t="str">
        <f t="shared" si="102"/>
        <v>Support</v>
      </c>
      <c r="BB237">
        <f>survey_responses[[#This Row],[Tôi thấy Nhà nước đã giải thích rõ ràng, minh bạch về lý do và mục tiêu của việc sửa đổi thuế lần này. - HUMAN-TRU4]]</f>
        <v>7</v>
      </c>
      <c r="BC237" t="str">
        <f t="shared" si="103"/>
        <v>Neutral</v>
      </c>
      <c r="BD237" s="31">
        <f t="shared" si="104"/>
        <v>1</v>
      </c>
      <c r="BE237">
        <f>step3_validation[[#This Row],[AI_OUT1]]</f>
        <v>9</v>
      </c>
      <c r="BF237" t="str">
        <f t="shared" si="105"/>
        <v>Support</v>
      </c>
      <c r="BG237">
        <f>survey_responses[[#This Row],[Sau khi xem xét các quyền lợi và nghĩa vụ, bạn có ủng hộ và tuân thủ chính sách mới hiện nay? - HUMAN-OUT1]]</f>
        <v>7</v>
      </c>
      <c r="BH237" t="str">
        <f t="shared" si="106"/>
        <v>Neutral</v>
      </c>
      <c r="BI237" s="31">
        <f t="shared" si="107"/>
        <v>2</v>
      </c>
    </row>
    <row r="238" spans="1:61" hidden="1" x14ac:dyDescent="0.45">
      <c r="A238" s="29">
        <f>step3_validation[[#This Row],[Persona_ID]]</f>
        <v>237</v>
      </c>
      <c r="B238" s="30">
        <f>step3_validation[[#This Row],[Used_Seed]]</f>
        <v>278</v>
      </c>
      <c r="C238" t="str">
        <f>step3_validation[[#This Row],[Gender]]</f>
        <v>Nam</v>
      </c>
      <c r="D238" t="str">
        <f>survey_responses[[#This Row],[Giới tính của bạn:]]</f>
        <v>Nam</v>
      </c>
      <c r="E238" t="str">
        <f>step3_validation[[#This Row],[Age_Group]]</f>
        <v>30 - 39</v>
      </c>
      <c r="F238" t="str">
        <f>survey_responses[[#This Row],[Độ tuổi của bạn:]]</f>
        <v>30 - 39</v>
      </c>
      <c r="G238" t="str">
        <f>step3_validation[[#This Row],[Region]]</f>
        <v>Thành thị</v>
      </c>
      <c r="H238" t="str">
        <f>survey_responses[[#This Row],[Khu vực bạn đang sinh sống:]]</f>
        <v>Thành thị</v>
      </c>
      <c r="I238" t="str">
        <f>step3_validation[[#This Row],[Education]]</f>
        <v>Sau Đại học</v>
      </c>
      <c r="J238" t="str">
        <f>survey_responses[[#This Row],[Trình độ học vấn cao nhất:]]</f>
        <v>Sau Đại học</v>
      </c>
      <c r="K238" t="str">
        <f>step3_validation[[#This Row],[Employment]]</f>
        <v>Phi chính thức</v>
      </c>
      <c r="L238" t="str">
        <f>survey_responses[[#This Row],[Tình trạng việc làm chính:]]</f>
        <v>Khu vực phi chính thức (Lao động tự do, không có HĐLĐ)</v>
      </c>
      <c r="M238">
        <f>step3_validation[[#This Row],[Income_Mil]]</f>
        <v>12.923979842089576</v>
      </c>
      <c r="N238" t="str">
        <f>survey_responses[[#This Row],[Thu nhập bình quân tháng theo Hợp đồng lao động của bạn là bao nhiêu? (Vui lòng điền tổng thu nhập trước khi khấu trừ các loại Bảo hiểm (BHXH, BHYT, BHTN) và Thuế TNCN)]]</f>
        <v>Từ 12 - 18 triệu VNĐ</v>
      </c>
      <c r="O238">
        <f>step3_validation[[#This Row],[Dependents]]</f>
        <v>3</v>
      </c>
      <c r="P238" t="str">
        <f>survey_responses[[#This Row],[Số người phụ thuộc (con nhỏ, cha mẹ già...) đủ điều kiện giảm trừ gia cảnh:]]</f>
        <v>3 người</v>
      </c>
      <c r="Q238">
        <f>step3_validation[[#This Row],[AI_ENF1]]</f>
        <v>6</v>
      </c>
      <c r="R238" t="str">
        <f t="shared" si="81"/>
        <v>Neutral</v>
      </c>
      <c r="S238">
        <f>survey_responses[[#This Row],[Tôi tin rằng với các quy định quản lý thuế hiện nay, hành vi gian lận hoặc trốn thuế sẽ dễ dàng bị phát hiện và xử lý nghiêm. - HUMAN-ENF1]]</f>
        <v>10</v>
      </c>
      <c r="T238" t="str">
        <f t="shared" si="82"/>
        <v>Support</v>
      </c>
      <c r="U238" s="31">
        <f t="shared" si="83"/>
        <v>4</v>
      </c>
      <c r="V238">
        <f>step3_validation[[#This Row],[AI_ENF2]]</f>
        <v>8</v>
      </c>
      <c r="W238" t="str">
        <f t="shared" si="84"/>
        <v>Support</v>
      </c>
      <c r="X238">
        <f>survey_responses[[#This Row],[Tôi tin rằng Nhà nước, cơ quan thuế có đủ khả năng và công nghệ để phát hiện, xử lý nghiêm các hành vi trốn thuế. - HUMAN-ENF2]]</f>
        <v>10</v>
      </c>
      <c r="Y238" t="str">
        <f t="shared" si="85"/>
        <v>Support</v>
      </c>
      <c r="Z238" s="31">
        <f t="shared" si="86"/>
        <v>2</v>
      </c>
      <c r="AA238">
        <f>step3_validation[[#This Row],[AI_FAC1]]</f>
        <v>7</v>
      </c>
      <c r="AB238" t="str">
        <f t="shared" si="87"/>
        <v>Neutral</v>
      </c>
      <c r="AC238">
        <f>survey_responses[[#This Row],[Các thủ tục khai báo thuế VÀ/HOẶC quy trình làm việc với cơ quan thuế đơn giản, tiện lợi, nhanh chóng hơn so với trước đây. - HUMAN-FAC1]]</f>
        <v>4</v>
      </c>
      <c r="AD238" t="str">
        <f t="shared" si="88"/>
        <v>Oppose</v>
      </c>
      <c r="AE238" s="31">
        <f t="shared" si="89"/>
        <v>3</v>
      </c>
      <c r="AF238">
        <f>step3_validation[[#This Row],[AI_FAC2]]</f>
        <v>9</v>
      </c>
      <c r="AG238" t="str">
        <f t="shared" si="90"/>
        <v>Support</v>
      </c>
      <c r="AH238">
        <f>survey_responses[[#This Row],[So với trước đây, tôi thấy cách tính thuế và các bậc thuế trong phương án mới đơn giản, dễ hiểu và dễ thực hiện hơn. - HUMAN-FAC2]]</f>
        <v>6</v>
      </c>
      <c r="AI238" t="str">
        <f t="shared" si="91"/>
        <v>Neutral</v>
      </c>
      <c r="AJ238" s="31">
        <f t="shared" si="92"/>
        <v>3</v>
      </c>
      <c r="AK238">
        <f>step3_validation[[#This Row],[AI_TRU1]]</f>
        <v>8</v>
      </c>
      <c r="AL238" t="str">
        <f t="shared" si="93"/>
        <v>Support</v>
      </c>
      <c r="AM238">
        <f>survey_responses[[#This Row],[Tôi tin rằng Nhà nước, cơ quan thuế sẽ thực thi chính sách mới một cách khách quan, công tâm và đối xử bình đẳng với mọi người nộp thuế.  - HUMAN-TRU1]]</f>
        <v>3</v>
      </c>
      <c r="AN238" t="str">
        <f t="shared" si="94"/>
        <v>Oppose</v>
      </c>
      <c r="AO238" s="31">
        <f t="shared" si="95"/>
        <v>5</v>
      </c>
      <c r="AP238">
        <f>step3_validation[[#This Row],[AI_TRU2]]</f>
        <v>9</v>
      </c>
      <c r="AQ238" t="str">
        <f t="shared" si="96"/>
        <v>Support</v>
      </c>
      <c r="AR238">
        <f>survey_responses[[#This Row],[Tôi thấy mức thuế tôi phải đóng theo phương án mới là công bằng (người thu nhập như tôi đóng mức này là hợp lý). - HUMAN-TRU2]]</f>
        <v>1</v>
      </c>
      <c r="AS238" t="str">
        <f t="shared" si="97"/>
        <v>Oppose</v>
      </c>
      <c r="AT238" s="31">
        <f t="shared" si="98"/>
        <v>8</v>
      </c>
      <c r="AU238">
        <f>step3_validation[[#This Row],[AI_TRU3]]</f>
        <v>8</v>
      </c>
      <c r="AV238" t="str">
        <f t="shared" si="99"/>
        <v>Support</v>
      </c>
      <c r="AW238">
        <f>survey_responses[[#This Row],[Tôi tin tưởng số tiền thuế tôi đóng sẽ được Nhà nước sử dụng hiệu quả để cải thiện dịch vụ công (y tế, đường xá...). - HUMAN-TRU3]]</f>
        <v>1</v>
      </c>
      <c r="AX238" t="str">
        <f t="shared" si="100"/>
        <v>Oppose</v>
      </c>
      <c r="AY238" s="31">
        <f t="shared" si="101"/>
        <v>7</v>
      </c>
      <c r="AZ238">
        <f>step3_validation[[#This Row],[AI_TRU4]]</f>
        <v>7</v>
      </c>
      <c r="BA238" t="str">
        <f t="shared" si="102"/>
        <v>Neutral</v>
      </c>
      <c r="BB238">
        <f>survey_responses[[#This Row],[Tôi thấy Nhà nước đã giải thích rõ ràng, minh bạch về lý do và mục tiêu của việc sửa đổi thuế lần này. - HUMAN-TRU4]]</f>
        <v>3</v>
      </c>
      <c r="BC238" t="str">
        <f t="shared" si="103"/>
        <v>Oppose</v>
      </c>
      <c r="BD238" s="31">
        <f t="shared" si="104"/>
        <v>4</v>
      </c>
      <c r="BE238">
        <f>step3_validation[[#This Row],[AI_OUT1]]</f>
        <v>9</v>
      </c>
      <c r="BF238" t="str">
        <f t="shared" si="105"/>
        <v>Support</v>
      </c>
      <c r="BG238">
        <f>survey_responses[[#This Row],[Sau khi xem xét các quyền lợi và nghĩa vụ, bạn có ủng hộ và tuân thủ chính sách mới hiện nay? - HUMAN-OUT1]]</f>
        <v>1</v>
      </c>
      <c r="BH238" t="str">
        <f t="shared" si="106"/>
        <v>Oppose</v>
      </c>
      <c r="BI238" s="31">
        <f t="shared" si="107"/>
        <v>8</v>
      </c>
    </row>
    <row r="239" spans="1:61" hidden="1" x14ac:dyDescent="0.45">
      <c r="A239" s="29">
        <f>step3_validation[[#This Row],[Persona_ID]]</f>
        <v>238</v>
      </c>
      <c r="B239" s="30">
        <f>step3_validation[[#This Row],[Used_Seed]]</f>
        <v>279</v>
      </c>
      <c r="C239" t="str">
        <f>step3_validation[[#This Row],[Gender]]</f>
        <v>Nữ</v>
      </c>
      <c r="D239" t="str">
        <f>survey_responses[[#This Row],[Giới tính của bạn:]]</f>
        <v>Nữ</v>
      </c>
      <c r="E239" t="str">
        <f>step3_validation[[#This Row],[Age_Group]]</f>
        <v>30 - 39</v>
      </c>
      <c r="F239" t="str">
        <f>survey_responses[[#This Row],[Độ tuổi của bạn:]]</f>
        <v>30 - 39</v>
      </c>
      <c r="G239" t="str">
        <f>step3_validation[[#This Row],[Region]]</f>
        <v>Thành thị</v>
      </c>
      <c r="H239" t="str">
        <f>survey_responses[[#This Row],[Khu vực bạn đang sinh sống:]]</f>
        <v>Thành thị</v>
      </c>
      <c r="I239" t="str">
        <f>step3_validation[[#This Row],[Education]]</f>
        <v>Sau Đại học</v>
      </c>
      <c r="J239" t="str">
        <f>survey_responses[[#This Row],[Trình độ học vấn cao nhất:]]</f>
        <v>Sau Đại học</v>
      </c>
      <c r="K239" t="str">
        <f>step3_validation[[#This Row],[Employment]]</f>
        <v>Chính thức</v>
      </c>
      <c r="L239" t="str">
        <f>survey_responses[[#This Row],[Tình trạng việc làm chính:]]</f>
        <v>Khu vực chính thức (Có Hợp đồng lao động, đóng BHXH)</v>
      </c>
      <c r="M239">
        <f>step3_validation[[#This Row],[Income_Mil]]</f>
        <v>25.252542564087936</v>
      </c>
      <c r="N239" t="str">
        <f>survey_responses[[#This Row],[Thu nhập bình quân tháng theo Hợp đồng lao động của bạn là bao nhiêu? (Vui lòng điền tổng thu nhập trước khi khấu trừ các loại Bảo hiểm (BHXH, BHYT, BHTN) và Thuế TNCN)]]</f>
        <v>Từ 23 - 32 triệu VNĐ</v>
      </c>
      <c r="O239">
        <f>step3_validation[[#This Row],[Dependents]]</f>
        <v>1</v>
      </c>
      <c r="P239" t="str">
        <f>survey_responses[[#This Row],[Số người phụ thuộc (con nhỏ, cha mẹ già...) đủ điều kiện giảm trừ gia cảnh:]]</f>
        <v>1 người</v>
      </c>
      <c r="Q239">
        <f>step3_validation[[#This Row],[AI_ENF1]]</f>
        <v>6</v>
      </c>
      <c r="R239" t="str">
        <f t="shared" si="81"/>
        <v>Neutral</v>
      </c>
      <c r="S239">
        <f>survey_responses[[#This Row],[Tôi tin rằng với các quy định quản lý thuế hiện nay, hành vi gian lận hoặc trốn thuế sẽ dễ dàng bị phát hiện và xử lý nghiêm. - HUMAN-ENF1]]</f>
        <v>8</v>
      </c>
      <c r="T239" t="str">
        <f t="shared" si="82"/>
        <v>Support</v>
      </c>
      <c r="U239" s="31">
        <f t="shared" si="83"/>
        <v>2</v>
      </c>
      <c r="V239">
        <f>step3_validation[[#This Row],[AI_ENF2]]</f>
        <v>7</v>
      </c>
      <c r="W239" t="str">
        <f t="shared" si="84"/>
        <v>Neutral</v>
      </c>
      <c r="X239">
        <f>survey_responses[[#This Row],[Tôi tin rằng Nhà nước, cơ quan thuế có đủ khả năng và công nghệ để phát hiện, xử lý nghiêm các hành vi trốn thuế. - HUMAN-ENF2]]</f>
        <v>10</v>
      </c>
      <c r="Y239" t="str">
        <f t="shared" si="85"/>
        <v>Support</v>
      </c>
      <c r="Z239" s="31">
        <f t="shared" si="86"/>
        <v>3</v>
      </c>
      <c r="AA239">
        <f>step3_validation[[#This Row],[AI_FAC1]]</f>
        <v>8</v>
      </c>
      <c r="AB239" t="str">
        <f t="shared" si="87"/>
        <v>Support</v>
      </c>
      <c r="AC239">
        <f>survey_responses[[#This Row],[Các thủ tục khai báo thuế VÀ/HOẶC quy trình làm việc với cơ quan thuế đơn giản, tiện lợi, nhanh chóng hơn so với trước đây. - HUMAN-FAC1]]</f>
        <v>8</v>
      </c>
      <c r="AD239" t="str">
        <f t="shared" si="88"/>
        <v>Support</v>
      </c>
      <c r="AE239" s="31">
        <f t="shared" si="89"/>
        <v>0</v>
      </c>
      <c r="AF239">
        <f>step3_validation[[#This Row],[AI_FAC2]]</f>
        <v>9</v>
      </c>
      <c r="AG239" t="str">
        <f t="shared" si="90"/>
        <v>Support</v>
      </c>
      <c r="AH239">
        <f>survey_responses[[#This Row],[So với trước đây, tôi thấy cách tính thuế và các bậc thuế trong phương án mới đơn giản, dễ hiểu và dễ thực hiện hơn. - HUMAN-FAC2]]</f>
        <v>10</v>
      </c>
      <c r="AI239" t="str">
        <f t="shared" si="91"/>
        <v>Support</v>
      </c>
      <c r="AJ239" s="31">
        <f t="shared" si="92"/>
        <v>1</v>
      </c>
      <c r="AK239">
        <f>step3_validation[[#This Row],[AI_TRU1]]</f>
        <v>8</v>
      </c>
      <c r="AL239" t="str">
        <f t="shared" si="93"/>
        <v>Support</v>
      </c>
      <c r="AM239">
        <f>survey_responses[[#This Row],[Tôi tin rằng Nhà nước, cơ quan thuế sẽ thực thi chính sách mới một cách khách quan, công tâm và đối xử bình đẳng với mọi người nộp thuế.  - HUMAN-TRU1]]</f>
        <v>9</v>
      </c>
      <c r="AN239" t="str">
        <f t="shared" si="94"/>
        <v>Support</v>
      </c>
      <c r="AO239" s="31">
        <f t="shared" si="95"/>
        <v>1</v>
      </c>
      <c r="AP239">
        <f>step3_validation[[#This Row],[AI_TRU2]]</f>
        <v>9</v>
      </c>
      <c r="AQ239" t="str">
        <f t="shared" si="96"/>
        <v>Support</v>
      </c>
      <c r="AR239">
        <f>survey_responses[[#This Row],[Tôi thấy mức thuế tôi phải đóng theo phương án mới là công bằng (người thu nhập như tôi đóng mức này là hợp lý). - HUMAN-TRU2]]</f>
        <v>8</v>
      </c>
      <c r="AS239" t="str">
        <f t="shared" si="97"/>
        <v>Support</v>
      </c>
      <c r="AT239" s="31">
        <f t="shared" si="98"/>
        <v>1</v>
      </c>
      <c r="AU239">
        <f>step3_validation[[#This Row],[AI_TRU3]]</f>
        <v>8</v>
      </c>
      <c r="AV239" t="str">
        <f t="shared" si="99"/>
        <v>Support</v>
      </c>
      <c r="AW239">
        <f>survey_responses[[#This Row],[Tôi tin tưởng số tiền thuế tôi đóng sẽ được Nhà nước sử dụng hiệu quả để cải thiện dịch vụ công (y tế, đường xá...). - HUMAN-TRU3]]</f>
        <v>7</v>
      </c>
      <c r="AX239" t="str">
        <f t="shared" si="100"/>
        <v>Neutral</v>
      </c>
      <c r="AY239" s="31">
        <f t="shared" si="101"/>
        <v>1</v>
      </c>
      <c r="AZ239">
        <f>step3_validation[[#This Row],[AI_TRU4]]</f>
        <v>7</v>
      </c>
      <c r="BA239" t="str">
        <f t="shared" si="102"/>
        <v>Neutral</v>
      </c>
      <c r="BB239">
        <f>survey_responses[[#This Row],[Tôi thấy Nhà nước đã giải thích rõ ràng, minh bạch về lý do và mục tiêu của việc sửa đổi thuế lần này. - HUMAN-TRU4]]</f>
        <v>9</v>
      </c>
      <c r="BC239" t="str">
        <f t="shared" si="103"/>
        <v>Support</v>
      </c>
      <c r="BD239" s="31">
        <f t="shared" si="104"/>
        <v>2</v>
      </c>
      <c r="BE239">
        <f>step3_validation[[#This Row],[AI_OUT1]]</f>
        <v>9</v>
      </c>
      <c r="BF239" t="str">
        <f t="shared" si="105"/>
        <v>Support</v>
      </c>
      <c r="BG239">
        <f>survey_responses[[#This Row],[Sau khi xem xét các quyền lợi và nghĩa vụ, bạn có ủng hộ và tuân thủ chính sách mới hiện nay? - HUMAN-OUT1]]</f>
        <v>9</v>
      </c>
      <c r="BH239" t="str">
        <f t="shared" si="106"/>
        <v>Support</v>
      </c>
      <c r="BI239" s="31">
        <f t="shared" si="107"/>
        <v>0</v>
      </c>
    </row>
    <row r="240" spans="1:61" hidden="1" x14ac:dyDescent="0.45">
      <c r="A240" s="29">
        <f>step3_validation[[#This Row],[Persona_ID]]</f>
        <v>239</v>
      </c>
      <c r="B240" s="30">
        <f>step3_validation[[#This Row],[Used_Seed]]</f>
        <v>280</v>
      </c>
      <c r="C240" t="str">
        <f>step3_validation[[#This Row],[Gender]]</f>
        <v>Nam</v>
      </c>
      <c r="D240" t="str">
        <f>survey_responses[[#This Row],[Giới tính của bạn:]]</f>
        <v>Nam</v>
      </c>
      <c r="E240" t="str">
        <f>step3_validation[[#This Row],[Age_Group]]</f>
        <v>55 - 64</v>
      </c>
      <c r="F240" t="str">
        <f>survey_responses[[#This Row],[Độ tuổi của bạn:]]</f>
        <v>55 - 64</v>
      </c>
      <c r="G240" t="str">
        <f>step3_validation[[#This Row],[Region]]</f>
        <v>Thành thị</v>
      </c>
      <c r="H240" t="str">
        <f>survey_responses[[#This Row],[Khu vực bạn đang sinh sống:]]</f>
        <v>Thành thị</v>
      </c>
      <c r="I240" t="str">
        <f>step3_validation[[#This Row],[Education]]</f>
        <v>Sau Đại học</v>
      </c>
      <c r="J240" t="str">
        <f>survey_responses[[#This Row],[Trình độ học vấn cao nhất:]]</f>
        <v>Sau Đại học</v>
      </c>
      <c r="K240" t="str">
        <f>step3_validation[[#This Row],[Employment]]</f>
        <v>Chính thức</v>
      </c>
      <c r="L240" t="str">
        <f>survey_responses[[#This Row],[Tình trạng việc làm chính:]]</f>
        <v>Khu vực chính thức (Có Hợp đồng lao động, đóng BHXH)</v>
      </c>
      <c r="M240">
        <f>step3_validation[[#This Row],[Income_Mil]]</f>
        <v>98.207445840656391</v>
      </c>
      <c r="N240" t="str">
        <f>survey_responses[[#This Row],[Thu nhập bình quân tháng theo Hợp đồng lao động của bạn là bao nhiêu? (Vui lòng điền tổng thu nhập trước khi khấu trừ các loại Bảo hiểm (BHXH, BHYT, BHTN) và Thuế TNCN)]]</f>
        <v>Từ 70 - 102 triệu VNĐ</v>
      </c>
      <c r="O240">
        <f>step3_validation[[#This Row],[Dependents]]</f>
        <v>4</v>
      </c>
      <c r="P240" t="str">
        <f>survey_responses[[#This Row],[Số người phụ thuộc (con nhỏ, cha mẹ già...) đủ điều kiện giảm trừ gia cảnh:]]</f>
        <v>4 người trở lên</v>
      </c>
      <c r="Q240">
        <f>step3_validation[[#This Row],[AI_ENF1]]</f>
        <v>8</v>
      </c>
      <c r="R240" t="str">
        <f t="shared" si="81"/>
        <v>Support</v>
      </c>
      <c r="S240">
        <f>survey_responses[[#This Row],[Tôi tin rằng với các quy định quản lý thuế hiện nay, hành vi gian lận hoặc trốn thuế sẽ dễ dàng bị phát hiện và xử lý nghiêm. - HUMAN-ENF1]]</f>
        <v>6</v>
      </c>
      <c r="T240" t="str">
        <f t="shared" si="82"/>
        <v>Neutral</v>
      </c>
      <c r="U240" s="31">
        <f t="shared" si="83"/>
        <v>2</v>
      </c>
      <c r="V240">
        <f>step3_validation[[#This Row],[AI_ENF2]]</f>
        <v>9</v>
      </c>
      <c r="W240" t="str">
        <f t="shared" si="84"/>
        <v>Support</v>
      </c>
      <c r="X240">
        <f>survey_responses[[#This Row],[Tôi tin rằng Nhà nước, cơ quan thuế có đủ khả năng và công nghệ để phát hiện, xử lý nghiêm các hành vi trốn thuế. - HUMAN-ENF2]]</f>
        <v>6</v>
      </c>
      <c r="Y240" t="str">
        <f t="shared" si="85"/>
        <v>Neutral</v>
      </c>
      <c r="Z240" s="31">
        <f t="shared" si="86"/>
        <v>3</v>
      </c>
      <c r="AA240">
        <f>step3_validation[[#This Row],[AI_FAC1]]</f>
        <v>8</v>
      </c>
      <c r="AB240" t="str">
        <f t="shared" si="87"/>
        <v>Support</v>
      </c>
      <c r="AC240">
        <f>survey_responses[[#This Row],[Các thủ tục khai báo thuế VÀ/HOẶC quy trình làm việc với cơ quan thuế đơn giản, tiện lợi, nhanh chóng hơn so với trước đây. - HUMAN-FAC1]]</f>
        <v>6</v>
      </c>
      <c r="AD240" t="str">
        <f t="shared" si="88"/>
        <v>Neutral</v>
      </c>
      <c r="AE240" s="31">
        <f t="shared" si="89"/>
        <v>2</v>
      </c>
      <c r="AF240">
        <f>step3_validation[[#This Row],[AI_FAC2]]</f>
        <v>9</v>
      </c>
      <c r="AG240" t="str">
        <f t="shared" si="90"/>
        <v>Support</v>
      </c>
      <c r="AH240">
        <f>survey_responses[[#This Row],[So với trước đây, tôi thấy cách tính thuế và các bậc thuế trong phương án mới đơn giản, dễ hiểu và dễ thực hiện hơn. - HUMAN-FAC2]]</f>
        <v>6</v>
      </c>
      <c r="AI240" t="str">
        <f t="shared" si="91"/>
        <v>Neutral</v>
      </c>
      <c r="AJ240" s="31">
        <f t="shared" si="92"/>
        <v>3</v>
      </c>
      <c r="AK240">
        <f>step3_validation[[#This Row],[AI_TRU1]]</f>
        <v>8</v>
      </c>
      <c r="AL240" t="str">
        <f t="shared" si="93"/>
        <v>Support</v>
      </c>
      <c r="AM240">
        <f>survey_responses[[#This Row],[Tôi tin rằng Nhà nước, cơ quan thuế sẽ thực thi chính sách mới một cách khách quan, công tâm và đối xử bình đẳng với mọi người nộp thuế.  - HUMAN-TRU1]]</f>
        <v>6</v>
      </c>
      <c r="AN240" t="str">
        <f t="shared" si="94"/>
        <v>Neutral</v>
      </c>
      <c r="AO240" s="31">
        <f t="shared" si="95"/>
        <v>2</v>
      </c>
      <c r="AP240">
        <f>step3_validation[[#This Row],[AI_TRU2]]</f>
        <v>9</v>
      </c>
      <c r="AQ240" t="str">
        <f t="shared" si="96"/>
        <v>Support</v>
      </c>
      <c r="AR240">
        <f>survey_responses[[#This Row],[Tôi thấy mức thuế tôi phải đóng theo phương án mới là công bằng (người thu nhập như tôi đóng mức này là hợp lý). - HUMAN-TRU2]]</f>
        <v>6</v>
      </c>
      <c r="AS240" t="str">
        <f t="shared" si="97"/>
        <v>Neutral</v>
      </c>
      <c r="AT240" s="31">
        <f t="shared" si="98"/>
        <v>3</v>
      </c>
      <c r="AU240">
        <f>step3_validation[[#This Row],[AI_TRU3]]</f>
        <v>7</v>
      </c>
      <c r="AV240" t="str">
        <f t="shared" si="99"/>
        <v>Neutral</v>
      </c>
      <c r="AW240">
        <f>survey_responses[[#This Row],[Tôi tin tưởng số tiền thuế tôi đóng sẽ được Nhà nước sử dụng hiệu quả để cải thiện dịch vụ công (y tế, đường xá...). - HUMAN-TRU3]]</f>
        <v>6</v>
      </c>
      <c r="AX240" t="str">
        <f t="shared" si="100"/>
        <v>Neutral</v>
      </c>
      <c r="AY240" s="31">
        <f t="shared" si="101"/>
        <v>1</v>
      </c>
      <c r="AZ240">
        <f>step3_validation[[#This Row],[AI_TRU4]]</f>
        <v>8</v>
      </c>
      <c r="BA240" t="str">
        <f t="shared" si="102"/>
        <v>Support</v>
      </c>
      <c r="BB240">
        <f>survey_responses[[#This Row],[Tôi thấy Nhà nước đã giải thích rõ ràng, minh bạch về lý do và mục tiêu của việc sửa đổi thuế lần này. - HUMAN-TRU4]]</f>
        <v>7</v>
      </c>
      <c r="BC240" t="str">
        <f t="shared" si="103"/>
        <v>Neutral</v>
      </c>
      <c r="BD240" s="31">
        <f t="shared" si="104"/>
        <v>1</v>
      </c>
      <c r="BE240">
        <f>step3_validation[[#This Row],[AI_OUT1]]</f>
        <v>8</v>
      </c>
      <c r="BF240" t="str">
        <f t="shared" si="105"/>
        <v>Support</v>
      </c>
      <c r="BG240">
        <f>survey_responses[[#This Row],[Sau khi xem xét các quyền lợi và nghĩa vụ, bạn có ủng hộ và tuân thủ chính sách mới hiện nay? - HUMAN-OUT1]]</f>
        <v>6</v>
      </c>
      <c r="BH240" t="str">
        <f t="shared" si="106"/>
        <v>Neutral</v>
      </c>
      <c r="BI240" s="31">
        <f t="shared" si="107"/>
        <v>2</v>
      </c>
    </row>
    <row r="241" spans="1:61" hidden="1" x14ac:dyDescent="0.45">
      <c r="A241" s="29">
        <f>step3_validation[[#This Row],[Persona_ID]]</f>
        <v>240</v>
      </c>
      <c r="B241" s="30">
        <f>step3_validation[[#This Row],[Used_Seed]]</f>
        <v>281</v>
      </c>
      <c r="C241" t="str">
        <f>step3_validation[[#This Row],[Gender]]</f>
        <v>Nữ</v>
      </c>
      <c r="D241" t="str">
        <f>survey_responses[[#This Row],[Giới tính của bạn:]]</f>
        <v>Nữ</v>
      </c>
      <c r="E241" t="str">
        <f>step3_validation[[#This Row],[Age_Group]]</f>
        <v>30 - 39</v>
      </c>
      <c r="F241" t="str">
        <f>survey_responses[[#This Row],[Độ tuổi của bạn:]]</f>
        <v>30 - 39</v>
      </c>
      <c r="G241" t="str">
        <f>step3_validation[[#This Row],[Region]]</f>
        <v>Thành thị</v>
      </c>
      <c r="H241" t="str">
        <f>survey_responses[[#This Row],[Khu vực bạn đang sinh sống:]]</f>
        <v>Thành thị</v>
      </c>
      <c r="I241" t="str">
        <f>step3_validation[[#This Row],[Education]]</f>
        <v>Đại học</v>
      </c>
      <c r="J241" t="str">
        <f>survey_responses[[#This Row],[Trình độ học vấn cao nhất:]]</f>
        <v>Đại học</v>
      </c>
      <c r="K241" t="str">
        <f>step3_validation[[#This Row],[Employment]]</f>
        <v>Chính thức</v>
      </c>
      <c r="L241" t="str">
        <f>survey_responses[[#This Row],[Tình trạng việc làm chính:]]</f>
        <v>Khu vực chính thức (Có Hợp đồng lao động, đóng BHXH)</v>
      </c>
      <c r="M241">
        <f>step3_validation[[#This Row],[Income_Mil]]</f>
        <v>62.752585483471158</v>
      </c>
      <c r="N241" t="str">
        <f>survey_responses[[#This Row],[Thu nhập bình quân tháng theo Hợp đồng lao động của bạn là bao nhiêu? (Vui lòng điền tổng thu nhập trước khi khấu trừ các loại Bảo hiểm (BHXH, BHYT, BHTN) và Thuế TNCN)]]</f>
        <v>Từ 48 - 70 triệu VNĐ</v>
      </c>
      <c r="O241">
        <f>step3_validation[[#This Row],[Dependents]]</f>
        <v>3</v>
      </c>
      <c r="P241" t="str">
        <f>survey_responses[[#This Row],[Số người phụ thuộc (con nhỏ, cha mẹ già...) đủ điều kiện giảm trừ gia cảnh:]]</f>
        <v>3 người</v>
      </c>
      <c r="Q241">
        <f>step3_validation[[#This Row],[AI_ENF1]]</f>
        <v>7</v>
      </c>
      <c r="R241" t="str">
        <f t="shared" si="81"/>
        <v>Neutral</v>
      </c>
      <c r="S241">
        <f>survey_responses[[#This Row],[Tôi tin rằng với các quy định quản lý thuế hiện nay, hành vi gian lận hoặc trốn thuế sẽ dễ dàng bị phát hiện và xử lý nghiêm. - HUMAN-ENF1]]</f>
        <v>8</v>
      </c>
      <c r="T241" t="str">
        <f t="shared" si="82"/>
        <v>Support</v>
      </c>
      <c r="U241" s="31">
        <f t="shared" si="83"/>
        <v>1</v>
      </c>
      <c r="V241">
        <f>step3_validation[[#This Row],[AI_ENF2]]</f>
        <v>6</v>
      </c>
      <c r="W241" t="str">
        <f t="shared" si="84"/>
        <v>Neutral</v>
      </c>
      <c r="X241">
        <f>survey_responses[[#This Row],[Tôi tin rằng Nhà nước, cơ quan thuế có đủ khả năng và công nghệ để phát hiện, xử lý nghiêm các hành vi trốn thuế. - HUMAN-ENF2]]</f>
        <v>8</v>
      </c>
      <c r="Y241" t="str">
        <f t="shared" si="85"/>
        <v>Support</v>
      </c>
      <c r="Z241" s="31">
        <f t="shared" si="86"/>
        <v>2</v>
      </c>
      <c r="AA241">
        <f>step3_validation[[#This Row],[AI_FAC1]]</f>
        <v>5</v>
      </c>
      <c r="AB241" t="str">
        <f t="shared" si="87"/>
        <v>Neutral</v>
      </c>
      <c r="AC241">
        <f>survey_responses[[#This Row],[Các thủ tục khai báo thuế VÀ/HOẶC quy trình làm việc với cơ quan thuế đơn giản, tiện lợi, nhanh chóng hơn so với trước đây. - HUMAN-FAC1]]</f>
        <v>8</v>
      </c>
      <c r="AD241" t="str">
        <f t="shared" si="88"/>
        <v>Support</v>
      </c>
      <c r="AE241" s="31">
        <f t="shared" si="89"/>
        <v>3</v>
      </c>
      <c r="AF241">
        <f>step3_validation[[#This Row],[AI_FAC2]]</f>
        <v>8</v>
      </c>
      <c r="AG241" t="str">
        <f t="shared" si="90"/>
        <v>Support</v>
      </c>
      <c r="AH241">
        <f>survey_responses[[#This Row],[So với trước đây, tôi thấy cách tính thuế và các bậc thuế trong phương án mới đơn giản, dễ hiểu và dễ thực hiện hơn. - HUMAN-FAC2]]</f>
        <v>8</v>
      </c>
      <c r="AI241" t="str">
        <f t="shared" si="91"/>
        <v>Support</v>
      </c>
      <c r="AJ241" s="31">
        <f t="shared" si="92"/>
        <v>0</v>
      </c>
      <c r="AK241">
        <f>step3_validation[[#This Row],[AI_TRU1]]</f>
        <v>6</v>
      </c>
      <c r="AL241" t="str">
        <f t="shared" si="93"/>
        <v>Neutral</v>
      </c>
      <c r="AM241">
        <f>survey_responses[[#This Row],[Tôi tin rằng Nhà nước, cơ quan thuế sẽ thực thi chính sách mới một cách khách quan, công tâm và đối xử bình đẳng với mọi người nộp thuế.  - HUMAN-TRU1]]</f>
        <v>8</v>
      </c>
      <c r="AN241" t="str">
        <f t="shared" si="94"/>
        <v>Support</v>
      </c>
      <c r="AO241" s="31">
        <f t="shared" si="95"/>
        <v>2</v>
      </c>
      <c r="AP241">
        <f>step3_validation[[#This Row],[AI_TRU2]]</f>
        <v>9</v>
      </c>
      <c r="AQ241" t="str">
        <f t="shared" si="96"/>
        <v>Support</v>
      </c>
      <c r="AR241">
        <f>survey_responses[[#This Row],[Tôi thấy mức thuế tôi phải đóng theo phương án mới là công bằng (người thu nhập như tôi đóng mức này là hợp lý). - HUMAN-TRU2]]</f>
        <v>8</v>
      </c>
      <c r="AS241" t="str">
        <f t="shared" si="97"/>
        <v>Support</v>
      </c>
      <c r="AT241" s="31">
        <f t="shared" si="98"/>
        <v>1</v>
      </c>
      <c r="AU241">
        <f>step3_validation[[#This Row],[AI_TRU3]]</f>
        <v>8</v>
      </c>
      <c r="AV241" t="str">
        <f t="shared" si="99"/>
        <v>Support</v>
      </c>
      <c r="AW241">
        <f>survey_responses[[#This Row],[Tôi tin tưởng số tiền thuế tôi đóng sẽ được Nhà nước sử dụng hiệu quả để cải thiện dịch vụ công (y tế, đường xá...). - HUMAN-TRU3]]</f>
        <v>8</v>
      </c>
      <c r="AX241" t="str">
        <f t="shared" si="100"/>
        <v>Support</v>
      </c>
      <c r="AY241" s="31">
        <f t="shared" si="101"/>
        <v>0</v>
      </c>
      <c r="AZ241">
        <f>step3_validation[[#This Row],[AI_TRU4]]</f>
        <v>7</v>
      </c>
      <c r="BA241" t="str">
        <f t="shared" si="102"/>
        <v>Neutral</v>
      </c>
      <c r="BB241">
        <f>survey_responses[[#This Row],[Tôi thấy Nhà nước đã giải thích rõ ràng, minh bạch về lý do và mục tiêu của việc sửa đổi thuế lần này. - HUMAN-TRU4]]</f>
        <v>8</v>
      </c>
      <c r="BC241" t="str">
        <f t="shared" si="103"/>
        <v>Support</v>
      </c>
      <c r="BD241" s="31">
        <f t="shared" si="104"/>
        <v>1</v>
      </c>
      <c r="BE241">
        <f>step3_validation[[#This Row],[AI_OUT1]]</f>
        <v>8</v>
      </c>
      <c r="BF241" t="str">
        <f t="shared" si="105"/>
        <v>Support</v>
      </c>
      <c r="BG241">
        <f>survey_responses[[#This Row],[Sau khi xem xét các quyền lợi và nghĩa vụ, bạn có ủng hộ và tuân thủ chính sách mới hiện nay? - HUMAN-OUT1]]</f>
        <v>8</v>
      </c>
      <c r="BH241" t="str">
        <f t="shared" si="106"/>
        <v>Support</v>
      </c>
      <c r="BI241" s="31">
        <f t="shared" si="107"/>
        <v>0</v>
      </c>
    </row>
    <row r="242" spans="1:61" hidden="1" x14ac:dyDescent="0.45">
      <c r="A242" s="29">
        <f>step3_validation[[#This Row],[Persona_ID]]</f>
        <v>241</v>
      </c>
      <c r="B242" s="30">
        <f>step3_validation[[#This Row],[Used_Seed]]</f>
        <v>282</v>
      </c>
      <c r="C242" t="str">
        <f>step3_validation[[#This Row],[Gender]]</f>
        <v>Nữ</v>
      </c>
      <c r="D242" t="str">
        <f>survey_responses[[#This Row],[Giới tính của bạn:]]</f>
        <v>Nữ</v>
      </c>
      <c r="E242" t="str">
        <f>step3_validation[[#This Row],[Age_Group]]</f>
        <v>30 - 39</v>
      </c>
      <c r="F242" t="str">
        <f>survey_responses[[#This Row],[Độ tuổi của bạn:]]</f>
        <v>30 - 39</v>
      </c>
      <c r="G242" t="str">
        <f>step3_validation[[#This Row],[Region]]</f>
        <v>Thành thị</v>
      </c>
      <c r="H242" t="str">
        <f>survey_responses[[#This Row],[Khu vực bạn đang sinh sống:]]</f>
        <v>Thành thị</v>
      </c>
      <c r="I242" t="str">
        <f>step3_validation[[#This Row],[Education]]</f>
        <v>Sau Đại học</v>
      </c>
      <c r="J242" t="str">
        <f>survey_responses[[#This Row],[Trình độ học vấn cao nhất:]]</f>
        <v>Sau Đại học</v>
      </c>
      <c r="K242" t="str">
        <f>step3_validation[[#This Row],[Employment]]</f>
        <v>Chính thức</v>
      </c>
      <c r="L242" t="str">
        <f>survey_responses[[#This Row],[Tình trạng việc làm chính:]]</f>
        <v>Khu vực chính thức (Có Hợp đồng lao động, đóng BHXH)</v>
      </c>
      <c r="M242">
        <f>step3_validation[[#This Row],[Income_Mil]]</f>
        <v>64.754924869796142</v>
      </c>
      <c r="N242" t="str">
        <f>survey_responses[[#This Row],[Thu nhập bình quân tháng theo Hợp đồng lao động của bạn là bao nhiêu? (Vui lòng điền tổng thu nhập trước khi khấu trừ các loại Bảo hiểm (BHXH, BHYT, BHTN) và Thuế TNCN)]]</f>
        <v>Từ 48 - 70 triệu VNĐ</v>
      </c>
      <c r="O242">
        <f>step3_validation[[#This Row],[Dependents]]</f>
        <v>1</v>
      </c>
      <c r="P242" t="str">
        <f>survey_responses[[#This Row],[Số người phụ thuộc (con nhỏ, cha mẹ già...) đủ điều kiện giảm trừ gia cảnh:]]</f>
        <v>1 người</v>
      </c>
      <c r="Q242">
        <f>step3_validation[[#This Row],[AI_ENF1]]</f>
        <v>5</v>
      </c>
      <c r="R242" t="str">
        <f t="shared" si="81"/>
        <v>Neutral</v>
      </c>
      <c r="S242">
        <f>survey_responses[[#This Row],[Tôi tin rằng với các quy định quản lý thuế hiện nay, hành vi gian lận hoặc trốn thuế sẽ dễ dàng bị phát hiện và xử lý nghiêm. - HUMAN-ENF1]]</f>
        <v>7</v>
      </c>
      <c r="T242" t="str">
        <f t="shared" si="82"/>
        <v>Neutral</v>
      </c>
      <c r="U242" s="31">
        <f t="shared" si="83"/>
        <v>2</v>
      </c>
      <c r="V242">
        <f>step3_validation[[#This Row],[AI_ENF2]]</f>
        <v>6</v>
      </c>
      <c r="W242" t="str">
        <f t="shared" si="84"/>
        <v>Neutral</v>
      </c>
      <c r="X242">
        <f>survey_responses[[#This Row],[Tôi tin rằng Nhà nước, cơ quan thuế có đủ khả năng và công nghệ để phát hiện, xử lý nghiêm các hành vi trốn thuế. - HUMAN-ENF2]]</f>
        <v>6</v>
      </c>
      <c r="Y242" t="str">
        <f t="shared" si="85"/>
        <v>Neutral</v>
      </c>
      <c r="Z242" s="31">
        <f t="shared" si="86"/>
        <v>0</v>
      </c>
      <c r="AA242">
        <f>step3_validation[[#This Row],[AI_FAC1]]</f>
        <v>7</v>
      </c>
      <c r="AB242" t="str">
        <f t="shared" si="87"/>
        <v>Neutral</v>
      </c>
      <c r="AC242">
        <f>survey_responses[[#This Row],[Các thủ tục khai báo thuế VÀ/HOẶC quy trình làm việc với cơ quan thuế đơn giản, tiện lợi, nhanh chóng hơn so với trước đây. - HUMAN-FAC1]]</f>
        <v>7</v>
      </c>
      <c r="AD242" t="str">
        <f t="shared" si="88"/>
        <v>Neutral</v>
      </c>
      <c r="AE242" s="31">
        <f t="shared" si="89"/>
        <v>0</v>
      </c>
      <c r="AF242">
        <f>step3_validation[[#This Row],[AI_FAC2]]</f>
        <v>8</v>
      </c>
      <c r="AG242" t="str">
        <f t="shared" si="90"/>
        <v>Support</v>
      </c>
      <c r="AH242">
        <f>survey_responses[[#This Row],[So với trước đây, tôi thấy cách tính thuế và các bậc thuế trong phương án mới đơn giản, dễ hiểu và dễ thực hiện hơn. - HUMAN-FAC2]]</f>
        <v>7</v>
      </c>
      <c r="AI242" t="str">
        <f t="shared" si="91"/>
        <v>Neutral</v>
      </c>
      <c r="AJ242" s="31">
        <f t="shared" si="92"/>
        <v>1</v>
      </c>
      <c r="AK242">
        <f>step3_validation[[#This Row],[AI_TRU1]]</f>
        <v>7</v>
      </c>
      <c r="AL242" t="str">
        <f t="shared" si="93"/>
        <v>Neutral</v>
      </c>
      <c r="AM242">
        <f>survey_responses[[#This Row],[Tôi tin rằng Nhà nước, cơ quan thuế sẽ thực thi chính sách mới một cách khách quan, công tâm và đối xử bình đẳng với mọi người nộp thuế.  - HUMAN-TRU1]]</f>
        <v>8</v>
      </c>
      <c r="AN242" t="str">
        <f t="shared" si="94"/>
        <v>Support</v>
      </c>
      <c r="AO242" s="31">
        <f t="shared" si="95"/>
        <v>1</v>
      </c>
      <c r="AP242">
        <f>step3_validation[[#This Row],[AI_TRU2]]</f>
        <v>9</v>
      </c>
      <c r="AQ242" t="str">
        <f t="shared" si="96"/>
        <v>Support</v>
      </c>
      <c r="AR242">
        <f>survey_responses[[#This Row],[Tôi thấy mức thuế tôi phải đóng theo phương án mới là công bằng (người thu nhập như tôi đóng mức này là hợp lý). - HUMAN-TRU2]]</f>
        <v>8</v>
      </c>
      <c r="AS242" t="str">
        <f t="shared" si="97"/>
        <v>Support</v>
      </c>
      <c r="AT242" s="31">
        <f t="shared" si="98"/>
        <v>1</v>
      </c>
      <c r="AU242">
        <f>step3_validation[[#This Row],[AI_TRU3]]</f>
        <v>9</v>
      </c>
      <c r="AV242" t="str">
        <f t="shared" si="99"/>
        <v>Support</v>
      </c>
      <c r="AW242">
        <f>survey_responses[[#This Row],[Tôi tin tưởng số tiền thuế tôi đóng sẽ được Nhà nước sử dụng hiệu quả để cải thiện dịch vụ công (y tế, đường xá...). - HUMAN-TRU3]]</f>
        <v>8</v>
      </c>
      <c r="AX242" t="str">
        <f t="shared" si="100"/>
        <v>Support</v>
      </c>
      <c r="AY242" s="31">
        <f t="shared" si="101"/>
        <v>1</v>
      </c>
      <c r="AZ242">
        <f>step3_validation[[#This Row],[AI_TRU4]]</f>
        <v>8</v>
      </c>
      <c r="BA242" t="str">
        <f t="shared" si="102"/>
        <v>Support</v>
      </c>
      <c r="BB242">
        <f>survey_responses[[#This Row],[Tôi thấy Nhà nước đã giải thích rõ ràng, minh bạch về lý do và mục tiêu của việc sửa đổi thuế lần này. - HUMAN-TRU4]]</f>
        <v>8</v>
      </c>
      <c r="BC242" t="str">
        <f t="shared" si="103"/>
        <v>Support</v>
      </c>
      <c r="BD242" s="31">
        <f t="shared" si="104"/>
        <v>0</v>
      </c>
      <c r="BE242">
        <f>step3_validation[[#This Row],[AI_OUT1]]</f>
        <v>9</v>
      </c>
      <c r="BF242" t="str">
        <f t="shared" si="105"/>
        <v>Support</v>
      </c>
      <c r="BG242">
        <f>survey_responses[[#This Row],[Sau khi xem xét các quyền lợi và nghĩa vụ, bạn có ủng hộ và tuân thủ chính sách mới hiện nay? - HUMAN-OUT1]]</f>
        <v>8</v>
      </c>
      <c r="BH242" t="str">
        <f t="shared" si="106"/>
        <v>Support</v>
      </c>
      <c r="BI242" s="31">
        <f t="shared" si="107"/>
        <v>1</v>
      </c>
    </row>
    <row r="243" spans="1:61" hidden="1" x14ac:dyDescent="0.45">
      <c r="A243" s="29">
        <f>step3_validation[[#This Row],[Persona_ID]]</f>
        <v>242</v>
      </c>
      <c r="B243" s="30">
        <f>step3_validation[[#This Row],[Used_Seed]]</f>
        <v>283</v>
      </c>
      <c r="C243" t="str">
        <f>step3_validation[[#This Row],[Gender]]</f>
        <v>Nam</v>
      </c>
      <c r="D243" t="str">
        <f>survey_responses[[#This Row],[Giới tính của bạn:]]</f>
        <v>Nam</v>
      </c>
      <c r="E243" t="str">
        <f>step3_validation[[#This Row],[Age_Group]]</f>
        <v>30 - 39</v>
      </c>
      <c r="F243" t="str">
        <f>survey_responses[[#This Row],[Độ tuổi của bạn:]]</f>
        <v>30 - 39</v>
      </c>
      <c r="G243" t="str">
        <f>step3_validation[[#This Row],[Region]]</f>
        <v>Thành thị</v>
      </c>
      <c r="H243" t="str">
        <f>survey_responses[[#This Row],[Khu vực bạn đang sinh sống:]]</f>
        <v>Thành thị</v>
      </c>
      <c r="I243" t="str">
        <f>step3_validation[[#This Row],[Education]]</f>
        <v>Đại học</v>
      </c>
      <c r="J243" t="str">
        <f>survey_responses[[#This Row],[Trình độ học vấn cao nhất:]]</f>
        <v>Đại học</v>
      </c>
      <c r="K243" t="str">
        <f>step3_validation[[#This Row],[Employment]]</f>
        <v>Chính thức</v>
      </c>
      <c r="L243" t="str">
        <f>survey_responses[[#This Row],[Tình trạng việc làm chính:]]</f>
        <v>Khu vực chính thức (Có Hợp đồng lao động, đóng BHXH)</v>
      </c>
      <c r="M243">
        <f>step3_validation[[#This Row],[Income_Mil]]</f>
        <v>67.652674330722348</v>
      </c>
      <c r="N243" t="str">
        <f>survey_responses[[#This Row],[Thu nhập bình quân tháng theo Hợp đồng lao động của bạn là bao nhiêu? (Vui lòng điền tổng thu nhập trước khi khấu trừ các loại Bảo hiểm (BHXH, BHYT, BHTN) và Thuế TNCN)]]</f>
        <v>Từ 48 - 70 triệu VNĐ</v>
      </c>
      <c r="O243">
        <f>step3_validation[[#This Row],[Dependents]]</f>
        <v>2</v>
      </c>
      <c r="P243" t="str">
        <f>survey_responses[[#This Row],[Số người phụ thuộc (con nhỏ, cha mẹ già...) đủ điều kiện giảm trừ gia cảnh:]]</f>
        <v>2 người</v>
      </c>
      <c r="Q243">
        <f>step3_validation[[#This Row],[AI_ENF1]]</f>
        <v>8</v>
      </c>
      <c r="R243" t="str">
        <f t="shared" si="81"/>
        <v>Support</v>
      </c>
      <c r="S243">
        <f>survey_responses[[#This Row],[Tôi tin rằng với các quy định quản lý thuế hiện nay, hành vi gian lận hoặc trốn thuế sẽ dễ dàng bị phát hiện và xử lý nghiêm. - HUMAN-ENF1]]</f>
        <v>6</v>
      </c>
      <c r="T243" t="str">
        <f t="shared" si="82"/>
        <v>Neutral</v>
      </c>
      <c r="U243" s="31">
        <f t="shared" si="83"/>
        <v>2</v>
      </c>
      <c r="V243">
        <f>step3_validation[[#This Row],[AI_ENF2]]</f>
        <v>9</v>
      </c>
      <c r="W243" t="str">
        <f t="shared" si="84"/>
        <v>Support</v>
      </c>
      <c r="X243">
        <f>survey_responses[[#This Row],[Tôi tin rằng Nhà nước, cơ quan thuế có đủ khả năng và công nghệ để phát hiện, xử lý nghiêm các hành vi trốn thuế. - HUMAN-ENF2]]</f>
        <v>5</v>
      </c>
      <c r="Y243" t="str">
        <f t="shared" si="85"/>
        <v>Neutral</v>
      </c>
      <c r="Z243" s="31">
        <f t="shared" si="86"/>
        <v>4</v>
      </c>
      <c r="AA243">
        <f>step3_validation[[#This Row],[AI_FAC1]]</f>
        <v>7</v>
      </c>
      <c r="AB243" t="str">
        <f t="shared" si="87"/>
        <v>Neutral</v>
      </c>
      <c r="AC243">
        <f>survey_responses[[#This Row],[Các thủ tục khai báo thuế VÀ/HOẶC quy trình làm việc với cơ quan thuế đơn giản, tiện lợi, nhanh chóng hơn so với trước đây. - HUMAN-FAC1]]</f>
        <v>5</v>
      </c>
      <c r="AD243" t="str">
        <f t="shared" si="88"/>
        <v>Neutral</v>
      </c>
      <c r="AE243" s="31">
        <f t="shared" si="89"/>
        <v>2</v>
      </c>
      <c r="AF243">
        <f>step3_validation[[#This Row],[AI_FAC2]]</f>
        <v>9</v>
      </c>
      <c r="AG243" t="str">
        <f t="shared" si="90"/>
        <v>Support</v>
      </c>
      <c r="AH243">
        <f>survey_responses[[#This Row],[So với trước đây, tôi thấy cách tính thuế và các bậc thuế trong phương án mới đơn giản, dễ hiểu và dễ thực hiện hơn. - HUMAN-FAC2]]</f>
        <v>7</v>
      </c>
      <c r="AI243" t="str">
        <f t="shared" si="91"/>
        <v>Neutral</v>
      </c>
      <c r="AJ243" s="31">
        <f t="shared" si="92"/>
        <v>2</v>
      </c>
      <c r="AK243">
        <f>step3_validation[[#This Row],[AI_TRU1]]</f>
        <v>7</v>
      </c>
      <c r="AL243" t="str">
        <f t="shared" si="93"/>
        <v>Neutral</v>
      </c>
      <c r="AM243">
        <f>survey_responses[[#This Row],[Tôi tin rằng Nhà nước, cơ quan thuế sẽ thực thi chính sách mới một cách khách quan, công tâm và đối xử bình đẳng với mọi người nộp thuế.  - HUMAN-TRU1]]</f>
        <v>7</v>
      </c>
      <c r="AN243" t="str">
        <f t="shared" si="94"/>
        <v>Neutral</v>
      </c>
      <c r="AO243" s="31">
        <f t="shared" si="95"/>
        <v>0</v>
      </c>
      <c r="AP243">
        <f>step3_validation[[#This Row],[AI_TRU2]]</f>
        <v>9</v>
      </c>
      <c r="AQ243" t="str">
        <f t="shared" si="96"/>
        <v>Support</v>
      </c>
      <c r="AR243">
        <f>survey_responses[[#This Row],[Tôi thấy mức thuế tôi phải đóng theo phương án mới là công bằng (người thu nhập như tôi đóng mức này là hợp lý). - HUMAN-TRU2]]</f>
        <v>7</v>
      </c>
      <c r="AS243" t="str">
        <f t="shared" si="97"/>
        <v>Neutral</v>
      </c>
      <c r="AT243" s="31">
        <f t="shared" si="98"/>
        <v>2</v>
      </c>
      <c r="AU243">
        <f>step3_validation[[#This Row],[AI_TRU3]]</f>
        <v>6</v>
      </c>
      <c r="AV243" t="str">
        <f t="shared" si="99"/>
        <v>Neutral</v>
      </c>
      <c r="AW243">
        <f>survey_responses[[#This Row],[Tôi tin tưởng số tiền thuế tôi đóng sẽ được Nhà nước sử dụng hiệu quả để cải thiện dịch vụ công (y tế, đường xá...). - HUMAN-TRU3]]</f>
        <v>7</v>
      </c>
      <c r="AX243" t="str">
        <f t="shared" si="100"/>
        <v>Neutral</v>
      </c>
      <c r="AY243" s="31">
        <f t="shared" si="101"/>
        <v>1</v>
      </c>
      <c r="AZ243">
        <f>step3_validation[[#This Row],[AI_TRU4]]</f>
        <v>8</v>
      </c>
      <c r="BA243" t="str">
        <f t="shared" si="102"/>
        <v>Support</v>
      </c>
      <c r="BB243">
        <f>survey_responses[[#This Row],[Tôi thấy Nhà nước đã giải thích rõ ràng, minh bạch về lý do và mục tiêu của việc sửa đổi thuế lần này. - HUMAN-TRU4]]</f>
        <v>8</v>
      </c>
      <c r="BC243" t="str">
        <f t="shared" si="103"/>
        <v>Support</v>
      </c>
      <c r="BD243" s="31">
        <f t="shared" si="104"/>
        <v>0</v>
      </c>
      <c r="BE243">
        <f>step3_validation[[#This Row],[AI_OUT1]]</f>
        <v>9</v>
      </c>
      <c r="BF243" t="str">
        <f t="shared" si="105"/>
        <v>Support</v>
      </c>
      <c r="BG243">
        <f>survey_responses[[#This Row],[Sau khi xem xét các quyền lợi và nghĩa vụ, bạn có ủng hộ và tuân thủ chính sách mới hiện nay? - HUMAN-OUT1]]</f>
        <v>8</v>
      </c>
      <c r="BH243" t="str">
        <f t="shared" si="106"/>
        <v>Support</v>
      </c>
      <c r="BI243" s="31">
        <f t="shared" si="107"/>
        <v>1</v>
      </c>
    </row>
    <row r="244" spans="1:61" hidden="1" x14ac:dyDescent="0.45">
      <c r="A244" s="29">
        <f>step3_validation[[#This Row],[Persona_ID]]</f>
        <v>243</v>
      </c>
      <c r="B244" s="30">
        <f>step3_validation[[#This Row],[Used_Seed]]</f>
        <v>284</v>
      </c>
      <c r="C244" t="str">
        <f>step3_validation[[#This Row],[Gender]]</f>
        <v>Nam</v>
      </c>
      <c r="D244" t="str">
        <f>survey_responses[[#This Row],[Giới tính của bạn:]]</f>
        <v>Nam</v>
      </c>
      <c r="E244" t="str">
        <f>step3_validation[[#This Row],[Age_Group]]</f>
        <v>50 - 54</v>
      </c>
      <c r="F244" t="str">
        <f>survey_responses[[#This Row],[Độ tuổi của bạn:]]</f>
        <v>50 - 54</v>
      </c>
      <c r="G244" t="str">
        <f>step3_validation[[#This Row],[Region]]</f>
        <v>Thành thị</v>
      </c>
      <c r="H244" t="str">
        <f>survey_responses[[#This Row],[Khu vực bạn đang sinh sống:]]</f>
        <v>Thành thị</v>
      </c>
      <c r="I244" t="str">
        <f>step3_validation[[#This Row],[Education]]</f>
        <v>Đại học</v>
      </c>
      <c r="J244" t="str">
        <f>survey_responses[[#This Row],[Trình độ học vấn cao nhất:]]</f>
        <v>Đại học</v>
      </c>
      <c r="K244" t="str">
        <f>step3_validation[[#This Row],[Employment]]</f>
        <v>Chính thức</v>
      </c>
      <c r="L244" t="str">
        <f>survey_responses[[#This Row],[Tình trạng việc làm chính:]]</f>
        <v>Khu vực chính thức (Có Hợp đồng lao động, đóng BHXH)</v>
      </c>
      <c r="M244">
        <f>step3_validation[[#This Row],[Income_Mil]]</f>
        <v>93.08618525769117</v>
      </c>
      <c r="N244" t="str">
        <f>survey_responses[[#This Row],[Thu nhập bình quân tháng theo Hợp đồng lao động của bạn là bao nhiêu? (Vui lòng điền tổng thu nhập trước khi khấu trừ các loại Bảo hiểm (BHXH, BHYT, BHTN) và Thuế TNCN)]]</f>
        <v>Từ 70 - 102 triệu VNĐ</v>
      </c>
      <c r="O244">
        <f>step3_validation[[#This Row],[Dependents]]</f>
        <v>2</v>
      </c>
      <c r="P244" t="str">
        <f>survey_responses[[#This Row],[Số người phụ thuộc (con nhỏ, cha mẹ già...) đủ điều kiện giảm trừ gia cảnh:]]</f>
        <v>2 người</v>
      </c>
      <c r="Q244">
        <f>step3_validation[[#This Row],[AI_ENF1]]</f>
        <v>7</v>
      </c>
      <c r="R244" t="str">
        <f t="shared" si="81"/>
        <v>Neutral</v>
      </c>
      <c r="S244">
        <f>survey_responses[[#This Row],[Tôi tin rằng với các quy định quản lý thuế hiện nay, hành vi gian lận hoặc trốn thuế sẽ dễ dàng bị phát hiện và xử lý nghiêm. - HUMAN-ENF1]]</f>
        <v>6</v>
      </c>
      <c r="T244" t="str">
        <f t="shared" si="82"/>
        <v>Neutral</v>
      </c>
      <c r="U244" s="31">
        <f t="shared" si="83"/>
        <v>1</v>
      </c>
      <c r="V244">
        <f>step3_validation[[#This Row],[AI_ENF2]]</f>
        <v>6</v>
      </c>
      <c r="W244" t="str">
        <f t="shared" si="84"/>
        <v>Neutral</v>
      </c>
      <c r="X244">
        <f>survey_responses[[#This Row],[Tôi tin rằng Nhà nước, cơ quan thuế có đủ khả năng và công nghệ để phát hiện, xử lý nghiêm các hành vi trốn thuế. - HUMAN-ENF2]]</f>
        <v>6</v>
      </c>
      <c r="Y244" t="str">
        <f t="shared" si="85"/>
        <v>Neutral</v>
      </c>
      <c r="Z244" s="31">
        <f t="shared" si="86"/>
        <v>0</v>
      </c>
      <c r="AA244">
        <f>step3_validation[[#This Row],[AI_FAC1]]</f>
        <v>9</v>
      </c>
      <c r="AB244" t="str">
        <f t="shared" si="87"/>
        <v>Support</v>
      </c>
      <c r="AC244">
        <f>survey_responses[[#This Row],[Các thủ tục khai báo thuế VÀ/HOẶC quy trình làm việc với cơ quan thuế đơn giản, tiện lợi, nhanh chóng hơn so với trước đây. - HUMAN-FAC1]]</f>
        <v>6</v>
      </c>
      <c r="AD244" t="str">
        <f t="shared" si="88"/>
        <v>Neutral</v>
      </c>
      <c r="AE244" s="31">
        <f t="shared" si="89"/>
        <v>3</v>
      </c>
      <c r="AF244">
        <f>step3_validation[[#This Row],[AI_FAC2]]</f>
        <v>8</v>
      </c>
      <c r="AG244" t="str">
        <f t="shared" si="90"/>
        <v>Support</v>
      </c>
      <c r="AH244">
        <f>survey_responses[[#This Row],[So với trước đây, tôi thấy cách tính thuế và các bậc thuế trong phương án mới đơn giản, dễ hiểu và dễ thực hiện hơn. - HUMAN-FAC2]]</f>
        <v>6</v>
      </c>
      <c r="AI244" t="str">
        <f t="shared" si="91"/>
        <v>Neutral</v>
      </c>
      <c r="AJ244" s="31">
        <f t="shared" si="92"/>
        <v>2</v>
      </c>
      <c r="AK244">
        <f>step3_validation[[#This Row],[AI_TRU1]]</f>
        <v>7</v>
      </c>
      <c r="AL244" t="str">
        <f t="shared" si="93"/>
        <v>Neutral</v>
      </c>
      <c r="AM244">
        <f>survey_responses[[#This Row],[Tôi tin rằng Nhà nước, cơ quan thuế sẽ thực thi chính sách mới một cách khách quan, công tâm và đối xử bình đẳng với mọi người nộp thuế.  - HUMAN-TRU1]]</f>
        <v>6</v>
      </c>
      <c r="AN244" t="str">
        <f t="shared" si="94"/>
        <v>Neutral</v>
      </c>
      <c r="AO244" s="31">
        <f t="shared" si="95"/>
        <v>1</v>
      </c>
      <c r="AP244">
        <f>step3_validation[[#This Row],[AI_TRU2]]</f>
        <v>9</v>
      </c>
      <c r="AQ244" t="str">
        <f t="shared" si="96"/>
        <v>Support</v>
      </c>
      <c r="AR244">
        <f>survey_responses[[#This Row],[Tôi thấy mức thuế tôi phải đóng theo phương án mới là công bằng (người thu nhập như tôi đóng mức này là hợp lý). - HUMAN-TRU2]]</f>
        <v>6</v>
      </c>
      <c r="AS244" t="str">
        <f t="shared" si="97"/>
        <v>Neutral</v>
      </c>
      <c r="AT244" s="31">
        <f t="shared" si="98"/>
        <v>3</v>
      </c>
      <c r="AU244">
        <f>step3_validation[[#This Row],[AI_TRU3]]</f>
        <v>8</v>
      </c>
      <c r="AV244" t="str">
        <f t="shared" si="99"/>
        <v>Support</v>
      </c>
      <c r="AW244">
        <f>survey_responses[[#This Row],[Tôi tin tưởng số tiền thuế tôi đóng sẽ được Nhà nước sử dụng hiệu quả để cải thiện dịch vụ công (y tế, đường xá...). - HUMAN-TRU3]]</f>
        <v>6</v>
      </c>
      <c r="AX244" t="str">
        <f t="shared" si="100"/>
        <v>Neutral</v>
      </c>
      <c r="AY244" s="31">
        <f t="shared" si="101"/>
        <v>2</v>
      </c>
      <c r="AZ244">
        <f>step3_validation[[#This Row],[AI_TRU4]]</f>
        <v>7</v>
      </c>
      <c r="BA244" t="str">
        <f t="shared" si="102"/>
        <v>Neutral</v>
      </c>
      <c r="BB244">
        <f>survey_responses[[#This Row],[Tôi thấy Nhà nước đã giải thích rõ ràng, minh bạch về lý do và mục tiêu của việc sửa đổi thuế lần này. - HUMAN-TRU4]]</f>
        <v>6</v>
      </c>
      <c r="BC244" t="str">
        <f t="shared" si="103"/>
        <v>Neutral</v>
      </c>
      <c r="BD244" s="31">
        <f t="shared" si="104"/>
        <v>1</v>
      </c>
      <c r="BE244">
        <f>step3_validation[[#This Row],[AI_OUT1]]</f>
        <v>9</v>
      </c>
      <c r="BF244" t="str">
        <f t="shared" si="105"/>
        <v>Support</v>
      </c>
      <c r="BG244">
        <f>survey_responses[[#This Row],[Sau khi xem xét các quyền lợi và nghĩa vụ, bạn có ủng hộ và tuân thủ chính sách mới hiện nay? - HUMAN-OUT1]]</f>
        <v>6</v>
      </c>
      <c r="BH244" t="str">
        <f t="shared" si="106"/>
        <v>Neutral</v>
      </c>
      <c r="BI244" s="31">
        <f t="shared" si="107"/>
        <v>3</v>
      </c>
    </row>
    <row r="245" spans="1:61" hidden="1" x14ac:dyDescent="0.45">
      <c r="A245" s="29">
        <f>step3_validation[[#This Row],[Persona_ID]]</f>
        <v>244</v>
      </c>
      <c r="B245" s="30">
        <f>step3_validation[[#This Row],[Used_Seed]]</f>
        <v>285</v>
      </c>
      <c r="C245" t="str">
        <f>step3_validation[[#This Row],[Gender]]</f>
        <v>Nữ</v>
      </c>
      <c r="D245" t="str">
        <f>survey_responses[[#This Row],[Giới tính của bạn:]]</f>
        <v>Nữ</v>
      </c>
      <c r="E245" t="str">
        <f>step3_validation[[#This Row],[Age_Group]]</f>
        <v>40 - 49</v>
      </c>
      <c r="F245" t="str">
        <f>survey_responses[[#This Row],[Độ tuổi của bạn:]]</f>
        <v>40 - 49</v>
      </c>
      <c r="G245" t="str">
        <f>step3_validation[[#This Row],[Region]]</f>
        <v>Thành thị</v>
      </c>
      <c r="H245" t="str">
        <f>survey_responses[[#This Row],[Khu vực bạn đang sinh sống:]]</f>
        <v>Thành thị</v>
      </c>
      <c r="I245" t="str">
        <f>step3_validation[[#This Row],[Education]]</f>
        <v>Sau Đại học</v>
      </c>
      <c r="J245" t="str">
        <f>survey_responses[[#This Row],[Trình độ học vấn cao nhất:]]</f>
        <v>Sau Đại học</v>
      </c>
      <c r="K245" t="str">
        <f>step3_validation[[#This Row],[Employment]]</f>
        <v>Chính thức</v>
      </c>
      <c r="L245" t="str">
        <f>survey_responses[[#This Row],[Tình trạng việc làm chính:]]</f>
        <v>Khu vực chính thức (Có Hợp đồng lao động, đóng BHXH)</v>
      </c>
      <c r="M245">
        <f>step3_validation[[#This Row],[Income_Mil]]</f>
        <v>58.64415741914317</v>
      </c>
      <c r="N245" t="str">
        <f>survey_responses[[#This Row],[Thu nhập bình quân tháng theo Hợp đồng lao động của bạn là bao nhiêu? (Vui lòng điền tổng thu nhập trước khi khấu trừ các loại Bảo hiểm (BHXH, BHYT, BHTN) và Thuế TNCN)]]</f>
        <v>Từ 48 - 70 triệu VNĐ</v>
      </c>
      <c r="O245">
        <f>step3_validation[[#This Row],[Dependents]]</f>
        <v>3</v>
      </c>
      <c r="P245" t="str">
        <f>survey_responses[[#This Row],[Số người phụ thuộc (con nhỏ, cha mẹ già...) đủ điều kiện giảm trừ gia cảnh:]]</f>
        <v>3 người</v>
      </c>
      <c r="Q245">
        <f>step3_validation[[#This Row],[AI_ENF1]]</f>
        <v>6</v>
      </c>
      <c r="R245" t="str">
        <f t="shared" si="81"/>
        <v>Neutral</v>
      </c>
      <c r="S245">
        <f>survey_responses[[#This Row],[Tôi tin rằng với các quy định quản lý thuế hiện nay, hành vi gian lận hoặc trốn thuế sẽ dễ dàng bị phát hiện và xử lý nghiêm. - HUMAN-ENF1]]</f>
        <v>7</v>
      </c>
      <c r="T245" t="str">
        <f t="shared" si="82"/>
        <v>Neutral</v>
      </c>
      <c r="U245" s="31">
        <f t="shared" si="83"/>
        <v>1</v>
      </c>
      <c r="V245">
        <f>step3_validation[[#This Row],[AI_ENF2]]</f>
        <v>6</v>
      </c>
      <c r="W245" t="str">
        <f t="shared" si="84"/>
        <v>Neutral</v>
      </c>
      <c r="X245">
        <f>survey_responses[[#This Row],[Tôi tin rằng Nhà nước, cơ quan thuế có đủ khả năng và công nghệ để phát hiện, xử lý nghiêm các hành vi trốn thuế. - HUMAN-ENF2]]</f>
        <v>6</v>
      </c>
      <c r="Y245" t="str">
        <f t="shared" si="85"/>
        <v>Neutral</v>
      </c>
      <c r="Z245" s="31">
        <f t="shared" si="86"/>
        <v>0</v>
      </c>
      <c r="AA245">
        <f>step3_validation[[#This Row],[AI_FAC1]]</f>
        <v>8</v>
      </c>
      <c r="AB245" t="str">
        <f t="shared" si="87"/>
        <v>Support</v>
      </c>
      <c r="AC245">
        <f>survey_responses[[#This Row],[Các thủ tục khai báo thuế VÀ/HOẶC quy trình làm việc với cơ quan thuế đơn giản, tiện lợi, nhanh chóng hơn so với trước đây. - HUMAN-FAC1]]</f>
        <v>6</v>
      </c>
      <c r="AD245" t="str">
        <f t="shared" si="88"/>
        <v>Neutral</v>
      </c>
      <c r="AE245" s="31">
        <f t="shared" si="89"/>
        <v>2</v>
      </c>
      <c r="AF245">
        <f>step3_validation[[#This Row],[AI_FAC2]]</f>
        <v>9</v>
      </c>
      <c r="AG245" t="str">
        <f t="shared" si="90"/>
        <v>Support</v>
      </c>
      <c r="AH245">
        <f>survey_responses[[#This Row],[So với trước đây, tôi thấy cách tính thuế và các bậc thuế trong phương án mới đơn giản, dễ hiểu và dễ thực hiện hơn. - HUMAN-FAC2]]</f>
        <v>8</v>
      </c>
      <c r="AI245" t="str">
        <f t="shared" si="91"/>
        <v>Support</v>
      </c>
      <c r="AJ245" s="31">
        <f t="shared" si="92"/>
        <v>1</v>
      </c>
      <c r="AK245">
        <f>step3_validation[[#This Row],[AI_TRU1]]</f>
        <v>6</v>
      </c>
      <c r="AL245" t="str">
        <f t="shared" si="93"/>
        <v>Neutral</v>
      </c>
      <c r="AM245">
        <f>survey_responses[[#This Row],[Tôi tin rằng Nhà nước, cơ quan thuế sẽ thực thi chính sách mới một cách khách quan, công tâm và đối xử bình đẳng với mọi người nộp thuế.  - HUMAN-TRU1]]</f>
        <v>6</v>
      </c>
      <c r="AN245" t="str">
        <f t="shared" si="94"/>
        <v>Neutral</v>
      </c>
      <c r="AO245" s="31">
        <f t="shared" si="95"/>
        <v>0</v>
      </c>
      <c r="AP245">
        <f>step3_validation[[#This Row],[AI_TRU2]]</f>
        <v>8</v>
      </c>
      <c r="AQ245" t="str">
        <f t="shared" si="96"/>
        <v>Support</v>
      </c>
      <c r="AR245">
        <f>survey_responses[[#This Row],[Tôi thấy mức thuế tôi phải đóng theo phương án mới là công bằng (người thu nhập như tôi đóng mức này là hợp lý). - HUMAN-TRU2]]</f>
        <v>6</v>
      </c>
      <c r="AS245" t="str">
        <f t="shared" si="97"/>
        <v>Neutral</v>
      </c>
      <c r="AT245" s="31">
        <f t="shared" si="98"/>
        <v>2</v>
      </c>
      <c r="AU245">
        <f>step3_validation[[#This Row],[AI_TRU3]]</f>
        <v>7</v>
      </c>
      <c r="AV245" t="str">
        <f t="shared" si="99"/>
        <v>Neutral</v>
      </c>
      <c r="AW245">
        <f>survey_responses[[#This Row],[Tôi tin tưởng số tiền thuế tôi đóng sẽ được Nhà nước sử dụng hiệu quả để cải thiện dịch vụ công (y tế, đường xá...). - HUMAN-TRU3]]</f>
        <v>6</v>
      </c>
      <c r="AX245" t="str">
        <f t="shared" si="100"/>
        <v>Neutral</v>
      </c>
      <c r="AY245" s="31">
        <f t="shared" si="101"/>
        <v>1</v>
      </c>
      <c r="AZ245">
        <f>step3_validation[[#This Row],[AI_TRU4]]</f>
        <v>6</v>
      </c>
      <c r="BA245" t="str">
        <f t="shared" si="102"/>
        <v>Neutral</v>
      </c>
      <c r="BB245">
        <f>survey_responses[[#This Row],[Tôi thấy Nhà nước đã giải thích rõ ràng, minh bạch về lý do và mục tiêu của việc sửa đổi thuế lần này. - HUMAN-TRU4]]</f>
        <v>6</v>
      </c>
      <c r="BC245" t="str">
        <f t="shared" si="103"/>
        <v>Neutral</v>
      </c>
      <c r="BD245" s="31">
        <f t="shared" si="104"/>
        <v>0</v>
      </c>
      <c r="BE245">
        <f>step3_validation[[#This Row],[AI_OUT1]]</f>
        <v>7</v>
      </c>
      <c r="BF245" t="str">
        <f t="shared" si="105"/>
        <v>Neutral</v>
      </c>
      <c r="BG245">
        <f>survey_responses[[#This Row],[Sau khi xem xét các quyền lợi và nghĩa vụ, bạn có ủng hộ và tuân thủ chính sách mới hiện nay? - HUMAN-OUT1]]</f>
        <v>6</v>
      </c>
      <c r="BH245" t="str">
        <f t="shared" si="106"/>
        <v>Neutral</v>
      </c>
      <c r="BI245" s="31">
        <f t="shared" si="107"/>
        <v>1</v>
      </c>
    </row>
    <row r="246" spans="1:61" hidden="1" x14ac:dyDescent="0.45">
      <c r="A246" s="29">
        <f>step3_validation[[#This Row],[Persona_ID]]</f>
        <v>245</v>
      </c>
      <c r="B246" s="30">
        <f>step3_validation[[#This Row],[Used_Seed]]</f>
        <v>286</v>
      </c>
      <c r="C246" t="str">
        <f>step3_validation[[#This Row],[Gender]]</f>
        <v>Nam</v>
      </c>
      <c r="D246" t="str">
        <f>survey_responses[[#This Row],[Giới tính của bạn:]]</f>
        <v>Nam</v>
      </c>
      <c r="E246" t="str">
        <f>step3_validation[[#This Row],[Age_Group]]</f>
        <v>40 - 49</v>
      </c>
      <c r="F246" t="str">
        <f>survey_responses[[#This Row],[Độ tuổi của bạn:]]</f>
        <v>40 - 49</v>
      </c>
      <c r="G246" t="str">
        <f>step3_validation[[#This Row],[Region]]</f>
        <v>Thành thị</v>
      </c>
      <c r="H246" t="str">
        <f>survey_responses[[#This Row],[Khu vực bạn đang sinh sống:]]</f>
        <v>Thành thị</v>
      </c>
      <c r="I246" t="str">
        <f>step3_validation[[#This Row],[Education]]</f>
        <v>Sau Đại học</v>
      </c>
      <c r="J246" t="str">
        <f>survey_responses[[#This Row],[Trình độ học vấn cao nhất:]]</f>
        <v>Sau Đại học</v>
      </c>
      <c r="K246" t="str">
        <f>step3_validation[[#This Row],[Employment]]</f>
        <v>Chính thức</v>
      </c>
      <c r="L246" t="str">
        <f>survey_responses[[#This Row],[Tình trạng việc làm chính:]]</f>
        <v>Khu vực chính thức (Có Hợp đồng lao động, đóng BHXH)</v>
      </c>
      <c r="M246">
        <f>step3_validation[[#This Row],[Income_Mil]]</f>
        <v>160.23119915397257</v>
      </c>
      <c r="N246" t="str">
        <f>survey_responses[[#This Row],[Thu nhập bình quân tháng theo Hợp đồng lao động của bạn là bao nhiêu? (Vui lòng điền tổng thu nhập trước khi khấu trừ các loại Bảo hiểm (BHXH, BHYT, BHTN) và Thuế TNCN)]]</f>
        <v>Trên 102 triệu VNĐ</v>
      </c>
      <c r="O246">
        <f>step3_validation[[#This Row],[Dependents]]</f>
        <v>0</v>
      </c>
      <c r="P246" t="str">
        <f>survey_responses[[#This Row],[Số người phụ thuộc (con nhỏ, cha mẹ già...) đủ điều kiện giảm trừ gia cảnh:]]</f>
        <v>0 người</v>
      </c>
      <c r="Q246">
        <f>step3_validation[[#This Row],[AI_ENF1]]</f>
        <v>7</v>
      </c>
      <c r="R246" t="str">
        <f t="shared" si="81"/>
        <v>Neutral</v>
      </c>
      <c r="S246">
        <f>survey_responses[[#This Row],[Tôi tin rằng với các quy định quản lý thuế hiện nay, hành vi gian lận hoặc trốn thuế sẽ dễ dàng bị phát hiện và xử lý nghiêm. - HUMAN-ENF1]]</f>
        <v>4</v>
      </c>
      <c r="T246" t="str">
        <f t="shared" si="82"/>
        <v>Oppose</v>
      </c>
      <c r="U246" s="31">
        <f t="shared" si="83"/>
        <v>3</v>
      </c>
      <c r="V246">
        <f>step3_validation[[#This Row],[AI_ENF2]]</f>
        <v>8</v>
      </c>
      <c r="W246" t="str">
        <f t="shared" si="84"/>
        <v>Support</v>
      </c>
      <c r="X246">
        <f>survey_responses[[#This Row],[Tôi tin rằng Nhà nước, cơ quan thuế có đủ khả năng và công nghệ để phát hiện, xử lý nghiêm các hành vi trốn thuế. - HUMAN-ENF2]]</f>
        <v>4</v>
      </c>
      <c r="Y246" t="str">
        <f t="shared" si="85"/>
        <v>Oppose</v>
      </c>
      <c r="Z246" s="31">
        <f t="shared" si="86"/>
        <v>4</v>
      </c>
      <c r="AA246">
        <f>step3_validation[[#This Row],[AI_FAC1]]</f>
        <v>9</v>
      </c>
      <c r="AB246" t="str">
        <f t="shared" si="87"/>
        <v>Support</v>
      </c>
      <c r="AC246">
        <f>survey_responses[[#This Row],[Các thủ tục khai báo thuế VÀ/HOẶC quy trình làm việc với cơ quan thuế đơn giản, tiện lợi, nhanh chóng hơn so với trước đây. - HUMAN-FAC1]]</f>
        <v>1</v>
      </c>
      <c r="AD246" t="str">
        <f t="shared" si="88"/>
        <v>Oppose</v>
      </c>
      <c r="AE246" s="31">
        <f t="shared" si="89"/>
        <v>8</v>
      </c>
      <c r="AF246">
        <f>step3_validation[[#This Row],[AI_FAC2]]</f>
        <v>9</v>
      </c>
      <c r="AG246" t="str">
        <f t="shared" si="90"/>
        <v>Support</v>
      </c>
      <c r="AH246">
        <f>survey_responses[[#This Row],[So với trước đây, tôi thấy cách tính thuế và các bậc thuế trong phương án mới đơn giản, dễ hiểu và dễ thực hiện hơn. - HUMAN-FAC2]]</f>
        <v>4</v>
      </c>
      <c r="AI246" t="str">
        <f t="shared" si="91"/>
        <v>Oppose</v>
      </c>
      <c r="AJ246" s="31">
        <f t="shared" si="92"/>
        <v>5</v>
      </c>
      <c r="AK246">
        <f>step3_validation[[#This Row],[AI_TRU1]]</f>
        <v>8</v>
      </c>
      <c r="AL246" t="str">
        <f t="shared" si="93"/>
        <v>Support</v>
      </c>
      <c r="AM246">
        <f>survey_responses[[#This Row],[Tôi tin rằng Nhà nước, cơ quan thuế sẽ thực thi chính sách mới một cách khách quan, công tâm và đối xử bình đẳng với mọi người nộp thuế.  - HUMAN-TRU1]]</f>
        <v>4</v>
      </c>
      <c r="AN246" t="str">
        <f t="shared" si="94"/>
        <v>Oppose</v>
      </c>
      <c r="AO246" s="31">
        <f t="shared" si="95"/>
        <v>4</v>
      </c>
      <c r="AP246">
        <f>step3_validation[[#This Row],[AI_TRU2]]</f>
        <v>9</v>
      </c>
      <c r="AQ246" t="str">
        <f t="shared" si="96"/>
        <v>Support</v>
      </c>
      <c r="AR246">
        <f>survey_responses[[#This Row],[Tôi thấy mức thuế tôi phải đóng theo phương án mới là công bằng (người thu nhập như tôi đóng mức này là hợp lý). - HUMAN-TRU2]]</f>
        <v>4</v>
      </c>
      <c r="AS246" t="str">
        <f t="shared" si="97"/>
        <v>Oppose</v>
      </c>
      <c r="AT246" s="31">
        <f t="shared" si="98"/>
        <v>5</v>
      </c>
      <c r="AU246">
        <f>step3_validation[[#This Row],[AI_TRU3]]</f>
        <v>8</v>
      </c>
      <c r="AV246" t="str">
        <f t="shared" si="99"/>
        <v>Support</v>
      </c>
      <c r="AW246">
        <f>survey_responses[[#This Row],[Tôi tin tưởng số tiền thuế tôi đóng sẽ được Nhà nước sử dụng hiệu quả để cải thiện dịch vụ công (y tế, đường xá...). - HUMAN-TRU3]]</f>
        <v>5</v>
      </c>
      <c r="AX246" t="str">
        <f t="shared" si="100"/>
        <v>Neutral</v>
      </c>
      <c r="AY246" s="31">
        <f t="shared" si="101"/>
        <v>3</v>
      </c>
      <c r="AZ246">
        <f>step3_validation[[#This Row],[AI_TRU4]]</f>
        <v>9</v>
      </c>
      <c r="BA246" t="str">
        <f t="shared" si="102"/>
        <v>Support</v>
      </c>
      <c r="BB246">
        <f>survey_responses[[#This Row],[Tôi thấy Nhà nước đã giải thích rõ ràng, minh bạch về lý do và mục tiêu của việc sửa đổi thuế lần này. - HUMAN-TRU4]]</f>
        <v>5</v>
      </c>
      <c r="BC246" t="str">
        <f t="shared" si="103"/>
        <v>Neutral</v>
      </c>
      <c r="BD246" s="31">
        <f t="shared" si="104"/>
        <v>4</v>
      </c>
      <c r="BE246">
        <f>step3_validation[[#This Row],[AI_OUT1]]</f>
        <v>9</v>
      </c>
      <c r="BF246" t="str">
        <f t="shared" si="105"/>
        <v>Support</v>
      </c>
      <c r="BG246">
        <f>survey_responses[[#This Row],[Sau khi xem xét các quyền lợi và nghĩa vụ, bạn có ủng hộ và tuân thủ chính sách mới hiện nay? - HUMAN-OUT1]]</f>
        <v>5</v>
      </c>
      <c r="BH246" t="str">
        <f t="shared" si="106"/>
        <v>Neutral</v>
      </c>
      <c r="BI246" s="31">
        <f t="shared" si="107"/>
        <v>4</v>
      </c>
    </row>
    <row r="247" spans="1:61" hidden="1" x14ac:dyDescent="0.45">
      <c r="A247" s="29">
        <f>step3_validation[[#This Row],[Persona_ID]]</f>
        <v>246</v>
      </c>
      <c r="B247" s="30">
        <f>step3_validation[[#This Row],[Used_Seed]]</f>
        <v>287</v>
      </c>
      <c r="C247" t="str">
        <f>step3_validation[[#This Row],[Gender]]</f>
        <v>Nam</v>
      </c>
      <c r="D247" t="str">
        <f>survey_responses[[#This Row],[Giới tính của bạn:]]</f>
        <v>Nam</v>
      </c>
      <c r="E247" t="str">
        <f>step3_validation[[#This Row],[Age_Group]]</f>
        <v>30 - 39</v>
      </c>
      <c r="F247" t="str">
        <f>survey_responses[[#This Row],[Độ tuổi của bạn:]]</f>
        <v>30 - 39</v>
      </c>
      <c r="G247" t="str">
        <f>step3_validation[[#This Row],[Region]]</f>
        <v>Thành thị</v>
      </c>
      <c r="H247" t="str">
        <f>survey_responses[[#This Row],[Khu vực bạn đang sinh sống:]]</f>
        <v>Thành thị</v>
      </c>
      <c r="I247" t="str">
        <f>step3_validation[[#This Row],[Education]]</f>
        <v>Đại học</v>
      </c>
      <c r="J247" t="str">
        <f>survey_responses[[#This Row],[Trình độ học vấn cao nhất:]]</f>
        <v>Đại học</v>
      </c>
      <c r="K247" t="str">
        <f>step3_validation[[#This Row],[Employment]]</f>
        <v>Chính thức</v>
      </c>
      <c r="L247" t="str">
        <f>survey_responses[[#This Row],[Tình trạng việc làm chính:]]</f>
        <v>Khu vực chính thức (Có Hợp đồng lao động, đóng BHXH)</v>
      </c>
      <c r="M247">
        <f>step3_validation[[#This Row],[Income_Mil]]</f>
        <v>26.20264300970296</v>
      </c>
      <c r="N247" t="str">
        <f>survey_responses[[#This Row],[Thu nhập bình quân tháng theo Hợp đồng lao động của bạn là bao nhiêu? (Vui lòng điền tổng thu nhập trước khi khấu trừ các loại Bảo hiểm (BHXH, BHYT, BHTN) và Thuế TNCN)]]</f>
        <v>Từ 23 - 32 triệu VNĐ</v>
      </c>
      <c r="O247">
        <f>step3_validation[[#This Row],[Dependents]]</f>
        <v>0</v>
      </c>
      <c r="P247" t="str">
        <f>survey_responses[[#This Row],[Số người phụ thuộc (con nhỏ, cha mẹ già...) đủ điều kiện giảm trừ gia cảnh:]]</f>
        <v>0 người</v>
      </c>
      <c r="Q247">
        <f>step3_validation[[#This Row],[AI_ENF1]]</f>
        <v>9</v>
      </c>
      <c r="R247" t="str">
        <f t="shared" si="81"/>
        <v>Support</v>
      </c>
      <c r="S247">
        <f>survey_responses[[#This Row],[Tôi tin rằng với các quy định quản lý thuế hiện nay, hành vi gian lận hoặc trốn thuế sẽ dễ dàng bị phát hiện và xử lý nghiêm. - HUMAN-ENF1]]</f>
        <v>6</v>
      </c>
      <c r="T247" t="str">
        <f t="shared" si="82"/>
        <v>Neutral</v>
      </c>
      <c r="U247" s="31">
        <f t="shared" si="83"/>
        <v>3</v>
      </c>
      <c r="V247">
        <f>step3_validation[[#This Row],[AI_ENF2]]</f>
        <v>8</v>
      </c>
      <c r="W247" t="str">
        <f t="shared" si="84"/>
        <v>Support</v>
      </c>
      <c r="X247">
        <f>survey_responses[[#This Row],[Tôi tin rằng Nhà nước, cơ quan thuế có đủ khả năng và công nghệ để phát hiện, xử lý nghiêm các hành vi trốn thuế. - HUMAN-ENF2]]</f>
        <v>7</v>
      </c>
      <c r="Y247" t="str">
        <f t="shared" si="85"/>
        <v>Neutral</v>
      </c>
      <c r="Z247" s="31">
        <f t="shared" si="86"/>
        <v>1</v>
      </c>
      <c r="AA247">
        <f>step3_validation[[#This Row],[AI_FAC1]]</f>
        <v>9</v>
      </c>
      <c r="AB247" t="str">
        <f t="shared" si="87"/>
        <v>Support</v>
      </c>
      <c r="AC247">
        <f>survey_responses[[#This Row],[Các thủ tục khai báo thuế VÀ/HOẶC quy trình làm việc với cơ quan thuế đơn giản, tiện lợi, nhanh chóng hơn so với trước đây. - HUMAN-FAC1]]</f>
        <v>7</v>
      </c>
      <c r="AD247" t="str">
        <f t="shared" si="88"/>
        <v>Neutral</v>
      </c>
      <c r="AE247" s="31">
        <f t="shared" si="89"/>
        <v>2</v>
      </c>
      <c r="AF247">
        <f>step3_validation[[#This Row],[AI_FAC2]]</f>
        <v>9</v>
      </c>
      <c r="AG247" t="str">
        <f t="shared" si="90"/>
        <v>Support</v>
      </c>
      <c r="AH247">
        <f>survey_responses[[#This Row],[So với trước đây, tôi thấy cách tính thuế và các bậc thuế trong phương án mới đơn giản, dễ hiểu và dễ thực hiện hơn. - HUMAN-FAC2]]</f>
        <v>7</v>
      </c>
      <c r="AI247" t="str">
        <f t="shared" si="91"/>
        <v>Neutral</v>
      </c>
      <c r="AJ247" s="31">
        <f t="shared" si="92"/>
        <v>2</v>
      </c>
      <c r="AK247">
        <f>step3_validation[[#This Row],[AI_TRU1]]</f>
        <v>8</v>
      </c>
      <c r="AL247" t="str">
        <f t="shared" si="93"/>
        <v>Support</v>
      </c>
      <c r="AM247">
        <f>survey_responses[[#This Row],[Tôi tin rằng Nhà nước, cơ quan thuế sẽ thực thi chính sách mới một cách khách quan, công tâm và đối xử bình đẳng với mọi người nộp thuế.  - HUMAN-TRU1]]</f>
        <v>7</v>
      </c>
      <c r="AN247" t="str">
        <f t="shared" si="94"/>
        <v>Neutral</v>
      </c>
      <c r="AO247" s="31">
        <f t="shared" si="95"/>
        <v>1</v>
      </c>
      <c r="AP247">
        <f>step3_validation[[#This Row],[AI_TRU2]]</f>
        <v>7</v>
      </c>
      <c r="AQ247" t="str">
        <f t="shared" si="96"/>
        <v>Neutral</v>
      </c>
      <c r="AR247">
        <f>survey_responses[[#This Row],[Tôi thấy mức thuế tôi phải đóng theo phương án mới là công bằng (người thu nhập như tôi đóng mức này là hợp lý). - HUMAN-TRU2]]</f>
        <v>7</v>
      </c>
      <c r="AS247" t="str">
        <f t="shared" si="97"/>
        <v>Neutral</v>
      </c>
      <c r="AT247" s="31">
        <f t="shared" si="98"/>
        <v>0</v>
      </c>
      <c r="AU247">
        <f>step3_validation[[#This Row],[AI_TRU3]]</f>
        <v>8</v>
      </c>
      <c r="AV247" t="str">
        <f t="shared" si="99"/>
        <v>Support</v>
      </c>
      <c r="AW247">
        <f>survey_responses[[#This Row],[Tôi tin tưởng số tiền thuế tôi đóng sẽ được Nhà nước sử dụng hiệu quả để cải thiện dịch vụ công (y tế, đường xá...). - HUMAN-TRU3]]</f>
        <v>7</v>
      </c>
      <c r="AX247" t="str">
        <f t="shared" si="100"/>
        <v>Neutral</v>
      </c>
      <c r="AY247" s="31">
        <f t="shared" si="101"/>
        <v>1</v>
      </c>
      <c r="AZ247">
        <f>step3_validation[[#This Row],[AI_TRU4]]</f>
        <v>9</v>
      </c>
      <c r="BA247" t="str">
        <f t="shared" si="102"/>
        <v>Support</v>
      </c>
      <c r="BB247">
        <f>survey_responses[[#This Row],[Tôi thấy Nhà nước đã giải thích rõ ràng, minh bạch về lý do và mục tiêu của việc sửa đổi thuế lần này. - HUMAN-TRU4]]</f>
        <v>7</v>
      </c>
      <c r="BC247" t="str">
        <f t="shared" si="103"/>
        <v>Neutral</v>
      </c>
      <c r="BD247" s="31">
        <f t="shared" si="104"/>
        <v>2</v>
      </c>
      <c r="BE247">
        <f>step3_validation[[#This Row],[AI_OUT1]]</f>
        <v>9</v>
      </c>
      <c r="BF247" t="str">
        <f t="shared" si="105"/>
        <v>Support</v>
      </c>
      <c r="BG247">
        <f>survey_responses[[#This Row],[Sau khi xem xét các quyền lợi và nghĩa vụ, bạn có ủng hộ và tuân thủ chính sách mới hiện nay? - HUMAN-OUT1]]</f>
        <v>7</v>
      </c>
      <c r="BH247" t="str">
        <f t="shared" si="106"/>
        <v>Neutral</v>
      </c>
      <c r="BI247" s="31">
        <f t="shared" si="107"/>
        <v>2</v>
      </c>
    </row>
    <row r="248" spans="1:61" hidden="1" x14ac:dyDescent="0.45">
      <c r="A248" s="29">
        <f>step3_validation[[#This Row],[Persona_ID]]</f>
        <v>247</v>
      </c>
      <c r="B248" s="30">
        <f>step3_validation[[#This Row],[Used_Seed]]</f>
        <v>288</v>
      </c>
      <c r="C248" t="str">
        <f>step3_validation[[#This Row],[Gender]]</f>
        <v>Nữ</v>
      </c>
      <c r="D248" t="str">
        <f>survey_responses[[#This Row],[Giới tính của bạn:]]</f>
        <v>Nữ</v>
      </c>
      <c r="E248" t="str">
        <f>step3_validation[[#This Row],[Age_Group]]</f>
        <v>50 - 54</v>
      </c>
      <c r="F248" t="str">
        <f>survey_responses[[#This Row],[Độ tuổi của bạn:]]</f>
        <v>50 - 54</v>
      </c>
      <c r="G248" t="str">
        <f>step3_validation[[#This Row],[Region]]</f>
        <v>Thành thị</v>
      </c>
      <c r="H248" t="str">
        <f>survey_responses[[#This Row],[Khu vực bạn đang sinh sống:]]</f>
        <v>Thành thị</v>
      </c>
      <c r="I248" t="str">
        <f>step3_validation[[#This Row],[Education]]</f>
        <v>Sau Đại học</v>
      </c>
      <c r="J248" t="str">
        <f>survey_responses[[#This Row],[Trình độ học vấn cao nhất:]]</f>
        <v>Sau Đại học</v>
      </c>
      <c r="K248" t="str">
        <f>step3_validation[[#This Row],[Employment]]</f>
        <v>Chính thức</v>
      </c>
      <c r="L248" t="str">
        <f>survey_responses[[#This Row],[Tình trạng việc làm chính:]]</f>
        <v>Khu vực chính thức (Có Hợp đồng lao động, đóng BHXH)</v>
      </c>
      <c r="M248">
        <f>step3_validation[[#This Row],[Income_Mil]]</f>
        <v>67.059256104593942</v>
      </c>
      <c r="N248" t="str">
        <f>survey_responses[[#This Row],[Thu nhập bình quân tháng theo Hợp đồng lao động của bạn là bao nhiêu? (Vui lòng điền tổng thu nhập trước khi khấu trừ các loại Bảo hiểm (BHXH, BHYT, BHTN) và Thuế TNCN)]]</f>
        <v>Từ 48 - 70 triệu VNĐ</v>
      </c>
      <c r="O248">
        <f>step3_validation[[#This Row],[Dependents]]</f>
        <v>4</v>
      </c>
      <c r="P248" t="str">
        <f>survey_responses[[#This Row],[Số người phụ thuộc (con nhỏ, cha mẹ già...) đủ điều kiện giảm trừ gia cảnh:]]</f>
        <v>4 người trở lên</v>
      </c>
      <c r="Q248">
        <f>step3_validation[[#This Row],[AI_ENF1]]</f>
        <v>8</v>
      </c>
      <c r="R248" t="str">
        <f t="shared" si="81"/>
        <v>Support</v>
      </c>
      <c r="S248">
        <f>survey_responses[[#This Row],[Tôi tin rằng với các quy định quản lý thuế hiện nay, hành vi gian lận hoặc trốn thuế sẽ dễ dàng bị phát hiện và xử lý nghiêm. - HUMAN-ENF1]]</f>
        <v>8</v>
      </c>
      <c r="T248" t="str">
        <f t="shared" si="82"/>
        <v>Support</v>
      </c>
      <c r="U248" s="31">
        <f t="shared" si="83"/>
        <v>0</v>
      </c>
      <c r="V248">
        <f>step3_validation[[#This Row],[AI_ENF2]]</f>
        <v>9</v>
      </c>
      <c r="W248" t="str">
        <f t="shared" si="84"/>
        <v>Support</v>
      </c>
      <c r="X248">
        <f>survey_responses[[#This Row],[Tôi tin rằng Nhà nước, cơ quan thuế có đủ khả năng và công nghệ để phát hiện, xử lý nghiêm các hành vi trốn thuế. - HUMAN-ENF2]]</f>
        <v>8</v>
      </c>
      <c r="Y248" t="str">
        <f t="shared" si="85"/>
        <v>Support</v>
      </c>
      <c r="Z248" s="31">
        <f t="shared" si="86"/>
        <v>1</v>
      </c>
      <c r="AA248">
        <f>step3_validation[[#This Row],[AI_FAC1]]</f>
        <v>8</v>
      </c>
      <c r="AB248" t="str">
        <f t="shared" si="87"/>
        <v>Support</v>
      </c>
      <c r="AC248">
        <f>survey_responses[[#This Row],[Các thủ tục khai báo thuế VÀ/HOẶC quy trình làm việc với cơ quan thuế đơn giản, tiện lợi, nhanh chóng hơn so với trước đây. - HUMAN-FAC1]]</f>
        <v>8</v>
      </c>
      <c r="AD248" t="str">
        <f t="shared" si="88"/>
        <v>Support</v>
      </c>
      <c r="AE248" s="31">
        <f t="shared" si="89"/>
        <v>0</v>
      </c>
      <c r="AF248">
        <f>step3_validation[[#This Row],[AI_FAC2]]</f>
        <v>9</v>
      </c>
      <c r="AG248" t="str">
        <f t="shared" si="90"/>
        <v>Support</v>
      </c>
      <c r="AH248">
        <f>survey_responses[[#This Row],[So với trước đây, tôi thấy cách tính thuế và các bậc thuế trong phương án mới đơn giản, dễ hiểu và dễ thực hiện hơn. - HUMAN-FAC2]]</f>
        <v>8</v>
      </c>
      <c r="AI248" t="str">
        <f t="shared" si="91"/>
        <v>Support</v>
      </c>
      <c r="AJ248" s="31">
        <f t="shared" si="92"/>
        <v>1</v>
      </c>
      <c r="AK248">
        <f>step3_validation[[#This Row],[AI_TRU1]]</f>
        <v>8</v>
      </c>
      <c r="AL248" t="str">
        <f t="shared" si="93"/>
        <v>Support</v>
      </c>
      <c r="AM248">
        <f>survey_responses[[#This Row],[Tôi tin rằng Nhà nước, cơ quan thuế sẽ thực thi chính sách mới một cách khách quan, công tâm và đối xử bình đẳng với mọi người nộp thuế.  - HUMAN-TRU1]]</f>
        <v>8</v>
      </c>
      <c r="AN248" t="str">
        <f t="shared" si="94"/>
        <v>Support</v>
      </c>
      <c r="AO248" s="31">
        <f t="shared" si="95"/>
        <v>0</v>
      </c>
      <c r="AP248">
        <f>step3_validation[[#This Row],[AI_TRU2]]</f>
        <v>9</v>
      </c>
      <c r="AQ248" t="str">
        <f t="shared" si="96"/>
        <v>Support</v>
      </c>
      <c r="AR248">
        <f>survey_responses[[#This Row],[Tôi thấy mức thuế tôi phải đóng theo phương án mới là công bằng (người thu nhập như tôi đóng mức này là hợp lý). - HUMAN-TRU2]]</f>
        <v>8</v>
      </c>
      <c r="AS248" t="str">
        <f t="shared" si="97"/>
        <v>Support</v>
      </c>
      <c r="AT248" s="31">
        <f t="shared" si="98"/>
        <v>1</v>
      </c>
      <c r="AU248">
        <f>step3_validation[[#This Row],[AI_TRU3]]</f>
        <v>8</v>
      </c>
      <c r="AV248" t="str">
        <f t="shared" si="99"/>
        <v>Support</v>
      </c>
      <c r="AW248">
        <f>survey_responses[[#This Row],[Tôi tin tưởng số tiền thuế tôi đóng sẽ được Nhà nước sử dụng hiệu quả để cải thiện dịch vụ công (y tế, đường xá...). - HUMAN-TRU3]]</f>
        <v>8</v>
      </c>
      <c r="AX248" t="str">
        <f t="shared" si="100"/>
        <v>Support</v>
      </c>
      <c r="AY248" s="31">
        <f t="shared" si="101"/>
        <v>0</v>
      </c>
      <c r="AZ248">
        <f>step3_validation[[#This Row],[AI_TRU4]]</f>
        <v>9</v>
      </c>
      <c r="BA248" t="str">
        <f t="shared" si="102"/>
        <v>Support</v>
      </c>
      <c r="BB248">
        <f>survey_responses[[#This Row],[Tôi thấy Nhà nước đã giải thích rõ ràng, minh bạch về lý do và mục tiêu của việc sửa đổi thuế lần này. - HUMAN-TRU4]]</f>
        <v>8</v>
      </c>
      <c r="BC248" t="str">
        <f t="shared" si="103"/>
        <v>Support</v>
      </c>
      <c r="BD248" s="31">
        <f t="shared" si="104"/>
        <v>1</v>
      </c>
      <c r="BE248">
        <f>step3_validation[[#This Row],[AI_OUT1]]</f>
        <v>8</v>
      </c>
      <c r="BF248" t="str">
        <f t="shared" si="105"/>
        <v>Support</v>
      </c>
      <c r="BG248">
        <f>survey_responses[[#This Row],[Sau khi xem xét các quyền lợi và nghĩa vụ, bạn có ủng hộ và tuân thủ chính sách mới hiện nay? - HUMAN-OUT1]]</f>
        <v>8</v>
      </c>
      <c r="BH248" t="str">
        <f t="shared" si="106"/>
        <v>Support</v>
      </c>
      <c r="BI248" s="31">
        <f t="shared" si="107"/>
        <v>0</v>
      </c>
    </row>
    <row r="249" spans="1:61" hidden="1" x14ac:dyDescent="0.45">
      <c r="A249" s="29">
        <f>step3_validation[[#This Row],[Persona_ID]]</f>
        <v>248</v>
      </c>
      <c r="B249" s="30">
        <f>step3_validation[[#This Row],[Used_Seed]]</f>
        <v>289</v>
      </c>
      <c r="C249" t="str">
        <f>step3_validation[[#This Row],[Gender]]</f>
        <v>Nữ</v>
      </c>
      <c r="D249" t="str">
        <f>survey_responses[[#This Row],[Giới tính của bạn:]]</f>
        <v>Nữ</v>
      </c>
      <c r="E249" t="str">
        <f>step3_validation[[#This Row],[Age_Group]]</f>
        <v>40 - 49</v>
      </c>
      <c r="F249" t="str">
        <f>survey_responses[[#This Row],[Độ tuổi của bạn:]]</f>
        <v>40 - 49</v>
      </c>
      <c r="G249" t="str">
        <f>step3_validation[[#This Row],[Region]]</f>
        <v>Thành thị</v>
      </c>
      <c r="H249" t="str">
        <f>survey_responses[[#This Row],[Khu vực bạn đang sinh sống:]]</f>
        <v>Thành thị</v>
      </c>
      <c r="I249" t="str">
        <f>step3_validation[[#This Row],[Education]]</f>
        <v>Đại học</v>
      </c>
      <c r="J249" t="str">
        <f>survey_responses[[#This Row],[Trình độ học vấn cao nhất:]]</f>
        <v>Đại học</v>
      </c>
      <c r="K249" t="str">
        <f>step3_validation[[#This Row],[Employment]]</f>
        <v>Chính thức</v>
      </c>
      <c r="L249" t="str">
        <f>survey_responses[[#This Row],[Tình trạng việc làm chính:]]</f>
        <v>Khu vực chính thức (Có Hợp đồng lao động, đóng BHXH)</v>
      </c>
      <c r="M249">
        <f>step3_validation[[#This Row],[Income_Mil]]</f>
        <v>46.699044308675738</v>
      </c>
      <c r="N249" t="str">
        <f>survey_responses[[#This Row],[Thu nhập bình quân tháng theo Hợp đồng lao động của bạn là bao nhiêu? (Vui lòng điền tổng thu nhập trước khi khấu trừ các loại Bảo hiểm (BHXH, BHYT, BHTN) và Thuế TNCN)]]</f>
        <v>Từ 32 - 48 triệu VNĐ</v>
      </c>
      <c r="O249">
        <f>step3_validation[[#This Row],[Dependents]]</f>
        <v>1</v>
      </c>
      <c r="P249" t="str">
        <f>survey_responses[[#This Row],[Số người phụ thuộc (con nhỏ, cha mẹ già...) đủ điều kiện giảm trừ gia cảnh:]]</f>
        <v>1 người</v>
      </c>
      <c r="Q249">
        <f>step3_validation[[#This Row],[AI_ENF1]]</f>
        <v>6</v>
      </c>
      <c r="R249" t="str">
        <f t="shared" si="81"/>
        <v>Neutral</v>
      </c>
      <c r="S249">
        <f>survey_responses[[#This Row],[Tôi tin rằng với các quy định quản lý thuế hiện nay, hành vi gian lận hoặc trốn thuế sẽ dễ dàng bị phát hiện và xử lý nghiêm. - HUMAN-ENF1]]</f>
        <v>7</v>
      </c>
      <c r="T249" t="str">
        <f t="shared" si="82"/>
        <v>Neutral</v>
      </c>
      <c r="U249" s="31">
        <f t="shared" si="83"/>
        <v>1</v>
      </c>
      <c r="V249">
        <f>step3_validation[[#This Row],[AI_ENF2]]</f>
        <v>7</v>
      </c>
      <c r="W249" t="str">
        <f t="shared" si="84"/>
        <v>Neutral</v>
      </c>
      <c r="X249">
        <f>survey_responses[[#This Row],[Tôi tin rằng Nhà nước, cơ quan thuế có đủ khả năng và công nghệ để phát hiện, xử lý nghiêm các hành vi trốn thuế. - HUMAN-ENF2]]</f>
        <v>7</v>
      </c>
      <c r="Y249" t="str">
        <f t="shared" si="85"/>
        <v>Neutral</v>
      </c>
      <c r="Z249" s="31">
        <f t="shared" si="86"/>
        <v>0</v>
      </c>
      <c r="AA249">
        <f>step3_validation[[#This Row],[AI_FAC1]]</f>
        <v>6</v>
      </c>
      <c r="AB249" t="str">
        <f t="shared" si="87"/>
        <v>Neutral</v>
      </c>
      <c r="AC249">
        <f>survey_responses[[#This Row],[Các thủ tục khai báo thuế VÀ/HOẶC quy trình làm việc với cơ quan thuế đơn giản, tiện lợi, nhanh chóng hơn so với trước đây. - HUMAN-FAC1]]</f>
        <v>7</v>
      </c>
      <c r="AD249" t="str">
        <f t="shared" si="88"/>
        <v>Neutral</v>
      </c>
      <c r="AE249" s="31">
        <f t="shared" si="89"/>
        <v>1</v>
      </c>
      <c r="AF249">
        <f>step3_validation[[#This Row],[AI_FAC2]]</f>
        <v>8</v>
      </c>
      <c r="AG249" t="str">
        <f t="shared" si="90"/>
        <v>Support</v>
      </c>
      <c r="AH249">
        <f>survey_responses[[#This Row],[So với trước đây, tôi thấy cách tính thuế và các bậc thuế trong phương án mới đơn giản, dễ hiểu và dễ thực hiện hơn. - HUMAN-FAC2]]</f>
        <v>7</v>
      </c>
      <c r="AI249" t="str">
        <f t="shared" si="91"/>
        <v>Neutral</v>
      </c>
      <c r="AJ249" s="31">
        <f t="shared" si="92"/>
        <v>1</v>
      </c>
      <c r="AK249">
        <f>step3_validation[[#This Row],[AI_TRU1]]</f>
        <v>7</v>
      </c>
      <c r="AL249" t="str">
        <f t="shared" si="93"/>
        <v>Neutral</v>
      </c>
      <c r="AM249">
        <f>survey_responses[[#This Row],[Tôi tin rằng Nhà nước, cơ quan thuế sẽ thực thi chính sách mới một cách khách quan, công tâm và đối xử bình đẳng với mọi người nộp thuế.  - HUMAN-TRU1]]</f>
        <v>7</v>
      </c>
      <c r="AN249" t="str">
        <f t="shared" si="94"/>
        <v>Neutral</v>
      </c>
      <c r="AO249" s="31">
        <f t="shared" si="95"/>
        <v>0</v>
      </c>
      <c r="AP249">
        <f>step3_validation[[#This Row],[AI_TRU2]]</f>
        <v>9</v>
      </c>
      <c r="AQ249" t="str">
        <f t="shared" si="96"/>
        <v>Support</v>
      </c>
      <c r="AR249">
        <f>survey_responses[[#This Row],[Tôi thấy mức thuế tôi phải đóng theo phương án mới là công bằng (người thu nhập như tôi đóng mức này là hợp lý). - HUMAN-TRU2]]</f>
        <v>7</v>
      </c>
      <c r="AS249" t="str">
        <f t="shared" si="97"/>
        <v>Neutral</v>
      </c>
      <c r="AT249" s="31">
        <f t="shared" si="98"/>
        <v>2</v>
      </c>
      <c r="AU249">
        <f>step3_validation[[#This Row],[AI_TRU3]]</f>
        <v>7</v>
      </c>
      <c r="AV249" t="str">
        <f t="shared" si="99"/>
        <v>Neutral</v>
      </c>
      <c r="AW249">
        <f>survey_responses[[#This Row],[Tôi tin tưởng số tiền thuế tôi đóng sẽ được Nhà nước sử dụng hiệu quả để cải thiện dịch vụ công (y tế, đường xá...). - HUMAN-TRU3]]</f>
        <v>7</v>
      </c>
      <c r="AX249" t="str">
        <f t="shared" si="100"/>
        <v>Neutral</v>
      </c>
      <c r="AY249" s="31">
        <f t="shared" si="101"/>
        <v>0</v>
      </c>
      <c r="AZ249">
        <f>step3_validation[[#This Row],[AI_TRU4]]</f>
        <v>8</v>
      </c>
      <c r="BA249" t="str">
        <f t="shared" si="102"/>
        <v>Support</v>
      </c>
      <c r="BB249">
        <f>survey_responses[[#This Row],[Tôi thấy Nhà nước đã giải thích rõ ràng, minh bạch về lý do và mục tiêu của việc sửa đổi thuế lần này. - HUMAN-TRU4]]</f>
        <v>7</v>
      </c>
      <c r="BC249" t="str">
        <f t="shared" si="103"/>
        <v>Neutral</v>
      </c>
      <c r="BD249" s="31">
        <f t="shared" si="104"/>
        <v>1</v>
      </c>
      <c r="BE249">
        <f>step3_validation[[#This Row],[AI_OUT1]]</f>
        <v>9</v>
      </c>
      <c r="BF249" t="str">
        <f t="shared" si="105"/>
        <v>Support</v>
      </c>
      <c r="BG249">
        <f>survey_responses[[#This Row],[Sau khi xem xét các quyền lợi và nghĩa vụ, bạn có ủng hộ và tuân thủ chính sách mới hiện nay? - HUMAN-OUT1]]</f>
        <v>7</v>
      </c>
      <c r="BH249" t="str">
        <f t="shared" si="106"/>
        <v>Neutral</v>
      </c>
      <c r="BI249" s="31">
        <f t="shared" si="107"/>
        <v>2</v>
      </c>
    </row>
    <row r="250" spans="1:61" hidden="1" x14ac:dyDescent="0.45">
      <c r="A250" s="29">
        <f>step3_validation[[#This Row],[Persona_ID]]</f>
        <v>249</v>
      </c>
      <c r="B250" s="30">
        <f>step3_validation[[#This Row],[Used_Seed]]</f>
        <v>290</v>
      </c>
      <c r="C250" t="str">
        <f>step3_validation[[#This Row],[Gender]]</f>
        <v>Nam</v>
      </c>
      <c r="D250" t="str">
        <f>survey_responses[[#This Row],[Giới tính của bạn:]]</f>
        <v>Nam</v>
      </c>
      <c r="E250" t="str">
        <f>step3_validation[[#This Row],[Age_Group]]</f>
        <v>55 - 64</v>
      </c>
      <c r="F250" t="str">
        <f>survey_responses[[#This Row],[Độ tuổi của bạn:]]</f>
        <v>55 - 64</v>
      </c>
      <c r="G250" t="str">
        <f>step3_validation[[#This Row],[Region]]</f>
        <v>Thành thị</v>
      </c>
      <c r="H250" t="str">
        <f>survey_responses[[#This Row],[Khu vực bạn đang sinh sống:]]</f>
        <v>Thành thị</v>
      </c>
      <c r="I250" t="str">
        <f>step3_validation[[#This Row],[Education]]</f>
        <v>Sau Đại học</v>
      </c>
      <c r="J250" t="str">
        <f>survey_responses[[#This Row],[Trình độ học vấn cao nhất:]]</f>
        <v>Sau Đại học</v>
      </c>
      <c r="K250" t="str">
        <f>step3_validation[[#This Row],[Employment]]</f>
        <v>Chính thức</v>
      </c>
      <c r="L250" t="str">
        <f>survey_responses[[#This Row],[Tình trạng việc làm chính:]]</f>
        <v>Khu vực chính thức (Có Hợp đồng lao động, đóng BHXH)</v>
      </c>
      <c r="M250">
        <f>step3_validation[[#This Row],[Income_Mil]]</f>
        <v>91.08033688967393</v>
      </c>
      <c r="N250" t="str">
        <f>survey_responses[[#This Row],[Thu nhập bình quân tháng theo Hợp đồng lao động của bạn là bao nhiêu? (Vui lòng điền tổng thu nhập trước khi khấu trừ các loại Bảo hiểm (BHXH, BHYT, BHTN) và Thuế TNCN)]]</f>
        <v>Từ 70 - 102 triệu VNĐ</v>
      </c>
      <c r="O250">
        <f>step3_validation[[#This Row],[Dependents]]</f>
        <v>3</v>
      </c>
      <c r="P250" t="str">
        <f>survey_responses[[#This Row],[Số người phụ thuộc (con nhỏ, cha mẹ già...) đủ điều kiện giảm trừ gia cảnh:]]</f>
        <v>3 người</v>
      </c>
      <c r="Q250">
        <f>step3_validation[[#This Row],[AI_ENF1]]</f>
        <v>6</v>
      </c>
      <c r="R250" t="str">
        <f t="shared" si="81"/>
        <v>Neutral</v>
      </c>
      <c r="S250">
        <f>survey_responses[[#This Row],[Tôi tin rằng với các quy định quản lý thuế hiện nay, hành vi gian lận hoặc trốn thuế sẽ dễ dàng bị phát hiện và xử lý nghiêm. - HUMAN-ENF1]]</f>
        <v>9</v>
      </c>
      <c r="T250" t="str">
        <f t="shared" si="82"/>
        <v>Support</v>
      </c>
      <c r="U250" s="31">
        <f t="shared" si="83"/>
        <v>3</v>
      </c>
      <c r="V250">
        <f>step3_validation[[#This Row],[AI_ENF2]]</f>
        <v>7</v>
      </c>
      <c r="W250" t="str">
        <f t="shared" si="84"/>
        <v>Neutral</v>
      </c>
      <c r="X250">
        <f>survey_responses[[#This Row],[Tôi tin rằng Nhà nước, cơ quan thuế có đủ khả năng và công nghệ để phát hiện, xử lý nghiêm các hành vi trốn thuế. - HUMAN-ENF2]]</f>
        <v>9</v>
      </c>
      <c r="Y250" t="str">
        <f t="shared" si="85"/>
        <v>Support</v>
      </c>
      <c r="Z250" s="31">
        <f t="shared" si="86"/>
        <v>2</v>
      </c>
      <c r="AA250">
        <f>step3_validation[[#This Row],[AI_FAC1]]</f>
        <v>8</v>
      </c>
      <c r="AB250" t="str">
        <f t="shared" si="87"/>
        <v>Support</v>
      </c>
      <c r="AC250">
        <f>survey_responses[[#This Row],[Các thủ tục khai báo thuế VÀ/HOẶC quy trình làm việc với cơ quan thuế đơn giản, tiện lợi, nhanh chóng hơn so với trước đây. - HUMAN-FAC1]]</f>
        <v>9</v>
      </c>
      <c r="AD250" t="str">
        <f t="shared" si="88"/>
        <v>Support</v>
      </c>
      <c r="AE250" s="31">
        <f t="shared" si="89"/>
        <v>1</v>
      </c>
      <c r="AF250">
        <f>step3_validation[[#This Row],[AI_FAC2]]</f>
        <v>9</v>
      </c>
      <c r="AG250" t="str">
        <f t="shared" si="90"/>
        <v>Support</v>
      </c>
      <c r="AH250">
        <f>survey_responses[[#This Row],[So với trước đây, tôi thấy cách tính thuế và các bậc thuế trong phương án mới đơn giản, dễ hiểu và dễ thực hiện hơn. - HUMAN-FAC2]]</f>
        <v>9</v>
      </c>
      <c r="AI250" t="str">
        <f t="shared" si="91"/>
        <v>Support</v>
      </c>
      <c r="AJ250" s="31">
        <f t="shared" si="92"/>
        <v>0</v>
      </c>
      <c r="AK250">
        <f>step3_validation[[#This Row],[AI_TRU1]]</f>
        <v>7</v>
      </c>
      <c r="AL250" t="str">
        <f t="shared" si="93"/>
        <v>Neutral</v>
      </c>
      <c r="AM250">
        <f>survey_responses[[#This Row],[Tôi tin rằng Nhà nước, cơ quan thuế sẽ thực thi chính sách mới một cách khách quan, công tâm và đối xử bình đẳng với mọi người nộp thuế.  - HUMAN-TRU1]]</f>
        <v>9</v>
      </c>
      <c r="AN250" t="str">
        <f t="shared" si="94"/>
        <v>Support</v>
      </c>
      <c r="AO250" s="31">
        <f t="shared" si="95"/>
        <v>2</v>
      </c>
      <c r="AP250">
        <f>step3_validation[[#This Row],[AI_TRU2]]</f>
        <v>8</v>
      </c>
      <c r="AQ250" t="str">
        <f t="shared" si="96"/>
        <v>Support</v>
      </c>
      <c r="AR250">
        <f>survey_responses[[#This Row],[Tôi thấy mức thuế tôi phải đóng theo phương án mới là công bằng (người thu nhập như tôi đóng mức này là hợp lý). - HUMAN-TRU2]]</f>
        <v>9</v>
      </c>
      <c r="AS250" t="str">
        <f t="shared" si="97"/>
        <v>Support</v>
      </c>
      <c r="AT250" s="31">
        <f t="shared" si="98"/>
        <v>1</v>
      </c>
      <c r="AU250">
        <f>step3_validation[[#This Row],[AI_TRU3]]</f>
        <v>7</v>
      </c>
      <c r="AV250" t="str">
        <f t="shared" si="99"/>
        <v>Neutral</v>
      </c>
      <c r="AW250">
        <f>survey_responses[[#This Row],[Tôi tin tưởng số tiền thuế tôi đóng sẽ được Nhà nước sử dụng hiệu quả để cải thiện dịch vụ công (y tế, đường xá...). - HUMAN-TRU3]]</f>
        <v>9</v>
      </c>
      <c r="AX250" t="str">
        <f t="shared" si="100"/>
        <v>Support</v>
      </c>
      <c r="AY250" s="31">
        <f t="shared" si="101"/>
        <v>2</v>
      </c>
      <c r="AZ250">
        <f>step3_validation[[#This Row],[AI_TRU4]]</f>
        <v>9</v>
      </c>
      <c r="BA250" t="str">
        <f t="shared" si="102"/>
        <v>Support</v>
      </c>
      <c r="BB250">
        <f>survey_responses[[#This Row],[Tôi thấy Nhà nước đã giải thích rõ ràng, minh bạch về lý do và mục tiêu của việc sửa đổi thuế lần này. - HUMAN-TRU4]]</f>
        <v>9</v>
      </c>
      <c r="BC250" t="str">
        <f t="shared" si="103"/>
        <v>Support</v>
      </c>
      <c r="BD250" s="31">
        <f t="shared" si="104"/>
        <v>0</v>
      </c>
      <c r="BE250">
        <f>step3_validation[[#This Row],[AI_OUT1]]</f>
        <v>8</v>
      </c>
      <c r="BF250" t="str">
        <f t="shared" si="105"/>
        <v>Support</v>
      </c>
      <c r="BG250">
        <f>survey_responses[[#This Row],[Sau khi xem xét các quyền lợi và nghĩa vụ, bạn có ủng hộ và tuân thủ chính sách mới hiện nay? - HUMAN-OUT1]]</f>
        <v>9</v>
      </c>
      <c r="BH250" t="str">
        <f t="shared" si="106"/>
        <v>Support</v>
      </c>
      <c r="BI250" s="31">
        <f t="shared" si="107"/>
        <v>1</v>
      </c>
    </row>
    <row r="251" spans="1:61" hidden="1" x14ac:dyDescent="0.45">
      <c r="A251" s="29">
        <f>step3_validation[[#This Row],[Persona_ID]]</f>
        <v>250</v>
      </c>
      <c r="B251" s="30">
        <f>step3_validation[[#This Row],[Used_Seed]]</f>
        <v>291</v>
      </c>
      <c r="C251" t="str">
        <f>step3_validation[[#This Row],[Gender]]</f>
        <v>Nữ</v>
      </c>
      <c r="D251" t="str">
        <f>survey_responses[[#This Row],[Giới tính của bạn:]]</f>
        <v>Nữ</v>
      </c>
      <c r="E251" t="str">
        <f>step3_validation[[#This Row],[Age_Group]]</f>
        <v>30 - 39</v>
      </c>
      <c r="F251" t="str">
        <f>survey_responses[[#This Row],[Độ tuổi của bạn:]]</f>
        <v>30 - 39</v>
      </c>
      <c r="G251" t="str">
        <f>step3_validation[[#This Row],[Region]]</f>
        <v>Thành thị</v>
      </c>
      <c r="H251" t="str">
        <f>survey_responses[[#This Row],[Khu vực bạn đang sinh sống:]]</f>
        <v>Thành thị</v>
      </c>
      <c r="I251" t="str">
        <f>step3_validation[[#This Row],[Education]]</f>
        <v>Đại học</v>
      </c>
      <c r="J251" t="str">
        <f>survey_responses[[#This Row],[Trình độ học vấn cao nhất:]]</f>
        <v>Đại học</v>
      </c>
      <c r="K251" t="str">
        <f>step3_validation[[#This Row],[Employment]]</f>
        <v>Chính thức</v>
      </c>
      <c r="L251" t="str">
        <f>survey_responses[[#This Row],[Tình trạng việc làm chính:]]</f>
        <v>Khu vực chính thức (Có Hợp đồng lao động, đóng BHXH)</v>
      </c>
      <c r="M251">
        <f>step3_validation[[#This Row],[Income_Mil]]</f>
        <v>60.161713037313774</v>
      </c>
      <c r="N251" t="str">
        <f>survey_responses[[#This Row],[Thu nhập bình quân tháng theo Hợp đồng lao động của bạn là bao nhiêu? (Vui lòng điền tổng thu nhập trước khi khấu trừ các loại Bảo hiểm (BHXH, BHYT, BHTN) và Thuế TNCN)]]</f>
        <v>Từ 48 - 70 triệu VNĐ</v>
      </c>
      <c r="O251">
        <f>step3_validation[[#This Row],[Dependents]]</f>
        <v>3</v>
      </c>
      <c r="P251" t="str">
        <f>survey_responses[[#This Row],[Số người phụ thuộc (con nhỏ, cha mẹ già...) đủ điều kiện giảm trừ gia cảnh:]]</f>
        <v>3 người</v>
      </c>
      <c r="Q251">
        <f>step3_validation[[#This Row],[AI_ENF1]]</f>
        <v>7</v>
      </c>
      <c r="R251" t="str">
        <f t="shared" si="81"/>
        <v>Neutral</v>
      </c>
      <c r="S251">
        <f>survey_responses[[#This Row],[Tôi tin rằng với các quy định quản lý thuế hiện nay, hành vi gian lận hoặc trốn thuế sẽ dễ dàng bị phát hiện và xử lý nghiêm. - HUMAN-ENF1]]</f>
        <v>7</v>
      </c>
      <c r="T251" t="str">
        <f t="shared" si="82"/>
        <v>Neutral</v>
      </c>
      <c r="U251" s="31">
        <f t="shared" si="83"/>
        <v>0</v>
      </c>
      <c r="V251">
        <f>step3_validation[[#This Row],[AI_ENF2]]</f>
        <v>8</v>
      </c>
      <c r="W251" t="str">
        <f t="shared" si="84"/>
        <v>Support</v>
      </c>
      <c r="X251">
        <f>survey_responses[[#This Row],[Tôi tin rằng Nhà nước, cơ quan thuế có đủ khả năng và công nghệ để phát hiện, xử lý nghiêm các hành vi trốn thuế. - HUMAN-ENF2]]</f>
        <v>6</v>
      </c>
      <c r="Y251" t="str">
        <f t="shared" si="85"/>
        <v>Neutral</v>
      </c>
      <c r="Z251" s="31">
        <f t="shared" si="86"/>
        <v>2</v>
      </c>
      <c r="AA251">
        <f>step3_validation[[#This Row],[AI_FAC1]]</f>
        <v>9</v>
      </c>
      <c r="AB251" t="str">
        <f t="shared" si="87"/>
        <v>Support</v>
      </c>
      <c r="AC251">
        <f>survey_responses[[#This Row],[Các thủ tục khai báo thuế VÀ/HOẶC quy trình làm việc với cơ quan thuế đơn giản, tiện lợi, nhanh chóng hơn so với trước đây. - HUMAN-FAC1]]</f>
        <v>5</v>
      </c>
      <c r="AD251" t="str">
        <f t="shared" si="88"/>
        <v>Neutral</v>
      </c>
      <c r="AE251" s="31">
        <f t="shared" si="89"/>
        <v>4</v>
      </c>
      <c r="AF251">
        <f>step3_validation[[#This Row],[AI_FAC2]]</f>
        <v>9</v>
      </c>
      <c r="AG251" t="str">
        <f t="shared" si="90"/>
        <v>Support</v>
      </c>
      <c r="AH251">
        <f>survey_responses[[#This Row],[So với trước đây, tôi thấy cách tính thuế và các bậc thuế trong phương án mới đơn giản, dễ hiểu và dễ thực hiện hơn. - HUMAN-FAC2]]</f>
        <v>6</v>
      </c>
      <c r="AI251" t="str">
        <f t="shared" si="91"/>
        <v>Neutral</v>
      </c>
      <c r="AJ251" s="31">
        <f t="shared" si="92"/>
        <v>3</v>
      </c>
      <c r="AK251">
        <f>step3_validation[[#This Row],[AI_TRU1]]</f>
        <v>8</v>
      </c>
      <c r="AL251" t="str">
        <f t="shared" si="93"/>
        <v>Support</v>
      </c>
      <c r="AM251">
        <f>survey_responses[[#This Row],[Tôi tin rằng Nhà nước, cơ quan thuế sẽ thực thi chính sách mới một cách khách quan, công tâm và đối xử bình đẳng với mọi người nộp thuế.  - HUMAN-TRU1]]</f>
        <v>6</v>
      </c>
      <c r="AN251" t="str">
        <f t="shared" si="94"/>
        <v>Neutral</v>
      </c>
      <c r="AO251" s="31">
        <f t="shared" si="95"/>
        <v>2</v>
      </c>
      <c r="AP251">
        <f>step3_validation[[#This Row],[AI_TRU2]]</f>
        <v>9</v>
      </c>
      <c r="AQ251" t="str">
        <f t="shared" si="96"/>
        <v>Support</v>
      </c>
      <c r="AR251">
        <f>survey_responses[[#This Row],[Tôi thấy mức thuế tôi phải đóng theo phương án mới là công bằng (người thu nhập như tôi đóng mức này là hợp lý). - HUMAN-TRU2]]</f>
        <v>6</v>
      </c>
      <c r="AS251" t="str">
        <f t="shared" si="97"/>
        <v>Neutral</v>
      </c>
      <c r="AT251" s="31">
        <f t="shared" si="98"/>
        <v>3</v>
      </c>
      <c r="AU251">
        <f>step3_validation[[#This Row],[AI_TRU3]]</f>
        <v>8</v>
      </c>
      <c r="AV251" t="str">
        <f t="shared" si="99"/>
        <v>Support</v>
      </c>
      <c r="AW251">
        <f>survey_responses[[#This Row],[Tôi tin tưởng số tiền thuế tôi đóng sẽ được Nhà nước sử dụng hiệu quả để cải thiện dịch vụ công (y tế, đường xá...). - HUMAN-TRU3]]</f>
        <v>6</v>
      </c>
      <c r="AX251" t="str">
        <f t="shared" si="100"/>
        <v>Neutral</v>
      </c>
      <c r="AY251" s="31">
        <f t="shared" si="101"/>
        <v>2</v>
      </c>
      <c r="AZ251">
        <f>step3_validation[[#This Row],[AI_TRU4]]</f>
        <v>9</v>
      </c>
      <c r="BA251" t="str">
        <f t="shared" si="102"/>
        <v>Support</v>
      </c>
      <c r="BB251">
        <f>survey_responses[[#This Row],[Tôi thấy Nhà nước đã giải thích rõ ràng, minh bạch về lý do và mục tiêu của việc sửa đổi thuế lần này. - HUMAN-TRU4]]</f>
        <v>6</v>
      </c>
      <c r="BC251" t="str">
        <f t="shared" si="103"/>
        <v>Neutral</v>
      </c>
      <c r="BD251" s="31">
        <f t="shared" si="104"/>
        <v>3</v>
      </c>
      <c r="BE251">
        <f>step3_validation[[#This Row],[AI_OUT1]]</f>
        <v>8</v>
      </c>
      <c r="BF251" t="str">
        <f t="shared" si="105"/>
        <v>Support</v>
      </c>
      <c r="BG251">
        <f>survey_responses[[#This Row],[Sau khi xem xét các quyền lợi và nghĩa vụ, bạn có ủng hộ và tuân thủ chính sách mới hiện nay? - HUMAN-OUT1]]</f>
        <v>7</v>
      </c>
      <c r="BH251" t="str">
        <f t="shared" si="106"/>
        <v>Neutral</v>
      </c>
      <c r="BI251" s="31">
        <f t="shared" si="107"/>
        <v>1</v>
      </c>
    </row>
    <row r="252" spans="1:61" hidden="1" x14ac:dyDescent="0.45">
      <c r="A252" s="29">
        <f>step3_validation[[#This Row],[Persona_ID]]</f>
        <v>251</v>
      </c>
      <c r="B252" s="30">
        <f>step3_validation[[#This Row],[Used_Seed]]</f>
        <v>292</v>
      </c>
      <c r="C252" t="str">
        <f>step3_validation[[#This Row],[Gender]]</f>
        <v>Nữ</v>
      </c>
      <c r="D252" t="str">
        <f>survey_responses[[#This Row],[Giới tính của bạn:]]</f>
        <v>Nữ</v>
      </c>
      <c r="E252" t="str">
        <f>step3_validation[[#This Row],[Age_Group]]</f>
        <v>30 - 39</v>
      </c>
      <c r="F252" t="str">
        <f>survey_responses[[#This Row],[Độ tuổi của bạn:]]</f>
        <v>30 - 39</v>
      </c>
      <c r="G252" t="str">
        <f>step3_validation[[#This Row],[Region]]</f>
        <v>Thành thị</v>
      </c>
      <c r="H252" t="str">
        <f>survey_responses[[#This Row],[Khu vực bạn đang sinh sống:]]</f>
        <v>Thành thị</v>
      </c>
      <c r="I252" t="str">
        <f>step3_validation[[#This Row],[Education]]</f>
        <v>Đại học</v>
      </c>
      <c r="J252" t="str">
        <f>survey_responses[[#This Row],[Trình độ học vấn cao nhất:]]</f>
        <v>Đại học</v>
      </c>
      <c r="K252" t="str">
        <f>step3_validation[[#This Row],[Employment]]</f>
        <v>Chính thức</v>
      </c>
      <c r="L252" t="str">
        <f>survey_responses[[#This Row],[Tình trạng việc làm chính:]]</f>
        <v>Khu vực chính thức (Có Hợp đồng lao động, đóng BHXH)</v>
      </c>
      <c r="M252">
        <f>step3_validation[[#This Row],[Income_Mil]]</f>
        <v>32.406243853971198</v>
      </c>
      <c r="N252" t="str">
        <f>survey_responses[[#This Row],[Thu nhập bình quân tháng theo Hợp đồng lao động của bạn là bao nhiêu? (Vui lòng điền tổng thu nhập trước khi khấu trừ các loại Bảo hiểm (BHXH, BHYT, BHTN) và Thuế TNCN)]]</f>
        <v>Từ 32 - 48 triệu VNĐ</v>
      </c>
      <c r="O252">
        <f>step3_validation[[#This Row],[Dependents]]</f>
        <v>4</v>
      </c>
      <c r="P252" t="str">
        <f>survey_responses[[#This Row],[Số người phụ thuộc (con nhỏ, cha mẹ già...) đủ điều kiện giảm trừ gia cảnh:]]</f>
        <v>4 người trở lên</v>
      </c>
      <c r="Q252">
        <f>step3_validation[[#This Row],[AI_ENF1]]</f>
        <v>6</v>
      </c>
      <c r="R252" t="str">
        <f t="shared" si="81"/>
        <v>Neutral</v>
      </c>
      <c r="S252">
        <f>survey_responses[[#This Row],[Tôi tin rằng với các quy định quản lý thuế hiện nay, hành vi gian lận hoặc trốn thuế sẽ dễ dàng bị phát hiện và xử lý nghiêm. - HUMAN-ENF1]]</f>
        <v>8</v>
      </c>
      <c r="T252" t="str">
        <f t="shared" si="82"/>
        <v>Support</v>
      </c>
      <c r="U252" s="31">
        <f t="shared" si="83"/>
        <v>2</v>
      </c>
      <c r="V252">
        <f>step3_validation[[#This Row],[AI_ENF2]]</f>
        <v>8</v>
      </c>
      <c r="W252" t="str">
        <f t="shared" si="84"/>
        <v>Support</v>
      </c>
      <c r="X252">
        <f>survey_responses[[#This Row],[Tôi tin rằng Nhà nước, cơ quan thuế có đủ khả năng và công nghệ để phát hiện, xử lý nghiêm các hành vi trốn thuế. - HUMAN-ENF2]]</f>
        <v>8</v>
      </c>
      <c r="Y252" t="str">
        <f t="shared" si="85"/>
        <v>Support</v>
      </c>
      <c r="Z252" s="31">
        <f t="shared" si="86"/>
        <v>0</v>
      </c>
      <c r="AA252">
        <f>step3_validation[[#This Row],[AI_FAC1]]</f>
        <v>9</v>
      </c>
      <c r="AB252" t="str">
        <f t="shared" si="87"/>
        <v>Support</v>
      </c>
      <c r="AC252">
        <f>survey_responses[[#This Row],[Các thủ tục khai báo thuế VÀ/HOẶC quy trình làm việc với cơ quan thuế đơn giản, tiện lợi, nhanh chóng hơn so với trước đây. - HUMAN-FAC1]]</f>
        <v>8</v>
      </c>
      <c r="AD252" t="str">
        <f t="shared" si="88"/>
        <v>Support</v>
      </c>
      <c r="AE252" s="31">
        <f t="shared" si="89"/>
        <v>1</v>
      </c>
      <c r="AF252">
        <f>step3_validation[[#This Row],[AI_FAC2]]</f>
        <v>8</v>
      </c>
      <c r="AG252" t="str">
        <f t="shared" si="90"/>
        <v>Support</v>
      </c>
      <c r="AH252">
        <f>survey_responses[[#This Row],[So với trước đây, tôi thấy cách tính thuế và các bậc thuế trong phương án mới đơn giản, dễ hiểu và dễ thực hiện hơn. - HUMAN-FAC2]]</f>
        <v>9</v>
      </c>
      <c r="AI252" t="str">
        <f t="shared" si="91"/>
        <v>Support</v>
      </c>
      <c r="AJ252" s="31">
        <f t="shared" si="92"/>
        <v>1</v>
      </c>
      <c r="AK252">
        <f>step3_validation[[#This Row],[AI_TRU1]]</f>
        <v>6</v>
      </c>
      <c r="AL252" t="str">
        <f t="shared" si="93"/>
        <v>Neutral</v>
      </c>
      <c r="AM252">
        <f>survey_responses[[#This Row],[Tôi tin rằng Nhà nước, cơ quan thuế sẽ thực thi chính sách mới một cách khách quan, công tâm và đối xử bình đẳng với mọi người nộp thuế.  - HUMAN-TRU1]]</f>
        <v>8</v>
      </c>
      <c r="AN252" t="str">
        <f t="shared" si="94"/>
        <v>Support</v>
      </c>
      <c r="AO252" s="31">
        <f t="shared" si="95"/>
        <v>2</v>
      </c>
      <c r="AP252">
        <f>step3_validation[[#This Row],[AI_TRU2]]</f>
        <v>9</v>
      </c>
      <c r="AQ252" t="str">
        <f t="shared" si="96"/>
        <v>Support</v>
      </c>
      <c r="AR252">
        <f>survey_responses[[#This Row],[Tôi thấy mức thuế tôi phải đóng theo phương án mới là công bằng (người thu nhập như tôi đóng mức này là hợp lý). - HUMAN-TRU2]]</f>
        <v>10</v>
      </c>
      <c r="AS252" t="str">
        <f t="shared" si="97"/>
        <v>Support</v>
      </c>
      <c r="AT252" s="31">
        <f t="shared" si="98"/>
        <v>1</v>
      </c>
      <c r="AU252">
        <f>step3_validation[[#This Row],[AI_TRU3]]</f>
        <v>5</v>
      </c>
      <c r="AV252" t="str">
        <f t="shared" si="99"/>
        <v>Neutral</v>
      </c>
      <c r="AW252">
        <f>survey_responses[[#This Row],[Tôi tin tưởng số tiền thuế tôi đóng sẽ được Nhà nước sử dụng hiệu quả để cải thiện dịch vụ công (y tế, đường xá...). - HUMAN-TRU3]]</f>
        <v>7</v>
      </c>
      <c r="AX252" t="str">
        <f t="shared" si="100"/>
        <v>Neutral</v>
      </c>
      <c r="AY252" s="31">
        <f t="shared" si="101"/>
        <v>2</v>
      </c>
      <c r="AZ252">
        <f>step3_validation[[#This Row],[AI_TRU4]]</f>
        <v>7</v>
      </c>
      <c r="BA252" t="str">
        <f t="shared" si="102"/>
        <v>Neutral</v>
      </c>
      <c r="BB252">
        <f>survey_responses[[#This Row],[Tôi thấy Nhà nước đã giải thích rõ ràng, minh bạch về lý do và mục tiêu của việc sửa đổi thuế lần này. - HUMAN-TRU4]]</f>
        <v>7</v>
      </c>
      <c r="BC252" t="str">
        <f t="shared" si="103"/>
        <v>Neutral</v>
      </c>
      <c r="BD252" s="31">
        <f t="shared" si="104"/>
        <v>0</v>
      </c>
      <c r="BE252">
        <f>step3_validation[[#This Row],[AI_OUT1]]</f>
        <v>8</v>
      </c>
      <c r="BF252" t="str">
        <f t="shared" si="105"/>
        <v>Support</v>
      </c>
      <c r="BG252">
        <f>survey_responses[[#This Row],[Sau khi xem xét các quyền lợi và nghĩa vụ, bạn có ủng hộ và tuân thủ chính sách mới hiện nay? - HUMAN-OUT1]]</f>
        <v>10</v>
      </c>
      <c r="BH252" t="str">
        <f t="shared" si="106"/>
        <v>Support</v>
      </c>
      <c r="BI252" s="31">
        <f t="shared" si="107"/>
        <v>2</v>
      </c>
    </row>
    <row r="253" spans="1:61" hidden="1" x14ac:dyDescent="0.45">
      <c r="A253" s="29">
        <f>step3_validation[[#This Row],[Persona_ID]]</f>
        <v>252</v>
      </c>
      <c r="B253" s="30">
        <f>step3_validation[[#This Row],[Used_Seed]]</f>
        <v>293</v>
      </c>
      <c r="C253" t="str">
        <f>step3_validation[[#This Row],[Gender]]</f>
        <v>Nữ</v>
      </c>
      <c r="D253" t="str">
        <f>survey_responses[[#This Row],[Giới tính của bạn:]]</f>
        <v>Nữ</v>
      </c>
      <c r="E253" t="str">
        <f>step3_validation[[#This Row],[Age_Group]]</f>
        <v>50 - 54</v>
      </c>
      <c r="F253" t="str">
        <f>survey_responses[[#This Row],[Độ tuổi của bạn:]]</f>
        <v>50 - 54</v>
      </c>
      <c r="G253" t="str">
        <f>step3_validation[[#This Row],[Region]]</f>
        <v>Thành thị</v>
      </c>
      <c r="H253" t="str">
        <f>survey_responses[[#This Row],[Khu vực bạn đang sinh sống:]]</f>
        <v>Thành thị</v>
      </c>
      <c r="I253" t="str">
        <f>step3_validation[[#This Row],[Education]]</f>
        <v>Đại học</v>
      </c>
      <c r="J253" t="str">
        <f>survey_responses[[#This Row],[Trình độ học vấn cao nhất:]]</f>
        <v>Đại học</v>
      </c>
      <c r="K253" t="str">
        <f>step3_validation[[#This Row],[Employment]]</f>
        <v>Chính thức</v>
      </c>
      <c r="L253" t="str">
        <f>survey_responses[[#This Row],[Tình trạng việc làm chính:]]</f>
        <v>Khu vực chính thức (Có Hợp đồng lao động, đóng BHXH)</v>
      </c>
      <c r="M253">
        <f>step3_validation[[#This Row],[Income_Mil]]</f>
        <v>60.95442128279155</v>
      </c>
      <c r="N253" t="str">
        <f>survey_responses[[#This Row],[Thu nhập bình quân tháng theo Hợp đồng lao động của bạn là bao nhiêu? (Vui lòng điền tổng thu nhập trước khi khấu trừ các loại Bảo hiểm (BHXH, BHYT, BHTN) và Thuế TNCN)]]</f>
        <v>Từ 48 - 70 triệu VNĐ</v>
      </c>
      <c r="O253">
        <f>step3_validation[[#This Row],[Dependents]]</f>
        <v>3</v>
      </c>
      <c r="P253" t="str">
        <f>survey_responses[[#This Row],[Số người phụ thuộc (con nhỏ, cha mẹ già...) đủ điều kiện giảm trừ gia cảnh:]]</f>
        <v>3 người</v>
      </c>
      <c r="Q253">
        <f>step3_validation[[#This Row],[AI_ENF1]]</f>
        <v>6</v>
      </c>
      <c r="R253" t="str">
        <f t="shared" si="81"/>
        <v>Neutral</v>
      </c>
      <c r="S253">
        <f>survey_responses[[#This Row],[Tôi tin rằng với các quy định quản lý thuế hiện nay, hành vi gian lận hoặc trốn thuế sẽ dễ dàng bị phát hiện và xử lý nghiêm. - HUMAN-ENF1]]</f>
        <v>6</v>
      </c>
      <c r="T253" t="str">
        <f t="shared" si="82"/>
        <v>Neutral</v>
      </c>
      <c r="U253" s="31">
        <f t="shared" si="83"/>
        <v>0</v>
      </c>
      <c r="V253">
        <f>step3_validation[[#This Row],[AI_ENF2]]</f>
        <v>6</v>
      </c>
      <c r="W253" t="str">
        <f t="shared" si="84"/>
        <v>Neutral</v>
      </c>
      <c r="X253">
        <f>survey_responses[[#This Row],[Tôi tin rằng Nhà nước, cơ quan thuế có đủ khả năng và công nghệ để phát hiện, xử lý nghiêm các hành vi trốn thuế. - HUMAN-ENF2]]</f>
        <v>6</v>
      </c>
      <c r="Y253" t="str">
        <f t="shared" si="85"/>
        <v>Neutral</v>
      </c>
      <c r="Z253" s="31">
        <f t="shared" si="86"/>
        <v>0</v>
      </c>
      <c r="AA253">
        <f>step3_validation[[#This Row],[AI_FAC1]]</f>
        <v>7</v>
      </c>
      <c r="AB253" t="str">
        <f t="shared" si="87"/>
        <v>Neutral</v>
      </c>
      <c r="AC253">
        <f>survey_responses[[#This Row],[Các thủ tục khai báo thuế VÀ/HOẶC quy trình làm việc với cơ quan thuế đơn giản, tiện lợi, nhanh chóng hơn so với trước đây. - HUMAN-FAC1]]</f>
        <v>1</v>
      </c>
      <c r="AD253" t="str">
        <f t="shared" si="88"/>
        <v>Oppose</v>
      </c>
      <c r="AE253" s="31">
        <f t="shared" si="89"/>
        <v>6</v>
      </c>
      <c r="AF253">
        <f>step3_validation[[#This Row],[AI_FAC2]]</f>
        <v>8</v>
      </c>
      <c r="AG253" t="str">
        <f t="shared" si="90"/>
        <v>Support</v>
      </c>
      <c r="AH253">
        <f>survey_responses[[#This Row],[So với trước đây, tôi thấy cách tính thuế và các bậc thuế trong phương án mới đơn giản, dễ hiểu và dễ thực hiện hơn. - HUMAN-FAC2]]</f>
        <v>6</v>
      </c>
      <c r="AI253" t="str">
        <f t="shared" si="91"/>
        <v>Neutral</v>
      </c>
      <c r="AJ253" s="31">
        <f t="shared" si="92"/>
        <v>2</v>
      </c>
      <c r="AK253">
        <f>step3_validation[[#This Row],[AI_TRU1]]</f>
        <v>7</v>
      </c>
      <c r="AL253" t="str">
        <f t="shared" si="93"/>
        <v>Neutral</v>
      </c>
      <c r="AM253">
        <f>survey_responses[[#This Row],[Tôi tin rằng Nhà nước, cơ quan thuế sẽ thực thi chính sách mới một cách khách quan, công tâm và đối xử bình đẳng với mọi người nộp thuế.  - HUMAN-TRU1]]</f>
        <v>5</v>
      </c>
      <c r="AN253" t="str">
        <f t="shared" si="94"/>
        <v>Neutral</v>
      </c>
      <c r="AO253" s="31">
        <f t="shared" si="95"/>
        <v>2</v>
      </c>
      <c r="AP253">
        <f>step3_validation[[#This Row],[AI_TRU2]]</f>
        <v>9</v>
      </c>
      <c r="AQ253" t="str">
        <f t="shared" si="96"/>
        <v>Support</v>
      </c>
      <c r="AR253">
        <f>survey_responses[[#This Row],[Tôi thấy mức thuế tôi phải đóng theo phương án mới là công bằng (người thu nhập như tôi đóng mức này là hợp lý). - HUMAN-TRU2]]</f>
        <v>6</v>
      </c>
      <c r="AS253" t="str">
        <f t="shared" si="97"/>
        <v>Neutral</v>
      </c>
      <c r="AT253" s="31">
        <f t="shared" si="98"/>
        <v>3</v>
      </c>
      <c r="AU253">
        <f>step3_validation[[#This Row],[AI_TRU3]]</f>
        <v>8</v>
      </c>
      <c r="AV253" t="str">
        <f t="shared" si="99"/>
        <v>Support</v>
      </c>
      <c r="AW253">
        <f>survey_responses[[#This Row],[Tôi tin tưởng số tiền thuế tôi đóng sẽ được Nhà nước sử dụng hiệu quả để cải thiện dịch vụ công (y tế, đường xá...). - HUMAN-TRU3]]</f>
        <v>6</v>
      </c>
      <c r="AX253" t="str">
        <f t="shared" si="100"/>
        <v>Neutral</v>
      </c>
      <c r="AY253" s="31">
        <f t="shared" si="101"/>
        <v>2</v>
      </c>
      <c r="AZ253">
        <f>step3_validation[[#This Row],[AI_TRU4]]</f>
        <v>9</v>
      </c>
      <c r="BA253" t="str">
        <f t="shared" si="102"/>
        <v>Support</v>
      </c>
      <c r="BB253">
        <f>survey_responses[[#This Row],[Tôi thấy Nhà nước đã giải thích rõ ràng, minh bạch về lý do và mục tiêu của việc sửa đổi thuế lần này. - HUMAN-TRU4]]</f>
        <v>6</v>
      </c>
      <c r="BC253" t="str">
        <f t="shared" si="103"/>
        <v>Neutral</v>
      </c>
      <c r="BD253" s="31">
        <f t="shared" si="104"/>
        <v>3</v>
      </c>
      <c r="BE253">
        <f>step3_validation[[#This Row],[AI_OUT1]]</f>
        <v>9</v>
      </c>
      <c r="BF253" t="str">
        <f t="shared" si="105"/>
        <v>Support</v>
      </c>
      <c r="BG253">
        <f>survey_responses[[#This Row],[Sau khi xem xét các quyền lợi và nghĩa vụ, bạn có ủng hộ và tuân thủ chính sách mới hiện nay? - HUMAN-OUT1]]</f>
        <v>6</v>
      </c>
      <c r="BH253" t="str">
        <f t="shared" si="106"/>
        <v>Neutral</v>
      </c>
      <c r="BI253" s="31">
        <f t="shared" si="107"/>
        <v>3</v>
      </c>
    </row>
    <row r="254" spans="1:61" hidden="1" x14ac:dyDescent="0.45">
      <c r="A254" s="29">
        <f>step3_validation[[#This Row],[Persona_ID]]</f>
        <v>253</v>
      </c>
      <c r="B254" s="30">
        <f>step3_validation[[#This Row],[Used_Seed]]</f>
        <v>294</v>
      </c>
      <c r="C254" t="str">
        <f>step3_validation[[#This Row],[Gender]]</f>
        <v>Nam</v>
      </c>
      <c r="D254" t="str">
        <f>survey_responses[[#This Row],[Giới tính của bạn:]]</f>
        <v>Nam</v>
      </c>
      <c r="E254" t="str">
        <f>step3_validation[[#This Row],[Age_Group]]</f>
        <v>40 - 49</v>
      </c>
      <c r="F254" t="str">
        <f>survey_responses[[#This Row],[Độ tuổi của bạn:]]</f>
        <v>40 - 49</v>
      </c>
      <c r="G254" t="str">
        <f>step3_validation[[#This Row],[Region]]</f>
        <v>Thành thị</v>
      </c>
      <c r="H254" t="str">
        <f>survey_responses[[#This Row],[Khu vực bạn đang sinh sống:]]</f>
        <v>Thành thị</v>
      </c>
      <c r="I254" t="str">
        <f>step3_validation[[#This Row],[Education]]</f>
        <v>Sau Đại học</v>
      </c>
      <c r="J254" t="str">
        <f>survey_responses[[#This Row],[Trình độ học vấn cao nhất:]]</f>
        <v>Sau Đại học</v>
      </c>
      <c r="K254" t="str">
        <f>step3_validation[[#This Row],[Employment]]</f>
        <v>Chính thức</v>
      </c>
      <c r="L254" t="str">
        <f>survey_responses[[#This Row],[Tình trạng việc làm chính:]]</f>
        <v>Khu vực chính thức (Có Hợp đồng lao động, đóng BHXH)</v>
      </c>
      <c r="M254">
        <f>step3_validation[[#This Row],[Income_Mil]]</f>
        <v>87.557608548001312</v>
      </c>
      <c r="N254" t="str">
        <f>survey_responses[[#This Row],[Thu nhập bình quân tháng theo Hợp đồng lao động của bạn là bao nhiêu? (Vui lòng điền tổng thu nhập trước khi khấu trừ các loại Bảo hiểm (BHXH, BHYT, BHTN) và Thuế TNCN)]]</f>
        <v>Từ 70 - 102 triệu VNĐ</v>
      </c>
      <c r="O254">
        <f>step3_validation[[#This Row],[Dependents]]</f>
        <v>4</v>
      </c>
      <c r="P254" t="str">
        <f>survey_responses[[#This Row],[Số người phụ thuộc (con nhỏ, cha mẹ già...) đủ điều kiện giảm trừ gia cảnh:]]</f>
        <v>4 người trở lên</v>
      </c>
      <c r="Q254">
        <f>step3_validation[[#This Row],[AI_ENF1]]</f>
        <v>8</v>
      </c>
      <c r="R254" t="str">
        <f t="shared" si="81"/>
        <v>Support</v>
      </c>
      <c r="S254">
        <f>survey_responses[[#This Row],[Tôi tin rằng với các quy định quản lý thuế hiện nay, hành vi gian lận hoặc trốn thuế sẽ dễ dàng bị phát hiện và xử lý nghiêm. - HUMAN-ENF1]]</f>
        <v>8</v>
      </c>
      <c r="T254" t="str">
        <f t="shared" si="82"/>
        <v>Support</v>
      </c>
      <c r="U254" s="31">
        <f t="shared" si="83"/>
        <v>0</v>
      </c>
      <c r="V254">
        <f>step3_validation[[#This Row],[AI_ENF2]]</f>
        <v>7</v>
      </c>
      <c r="W254" t="str">
        <f t="shared" si="84"/>
        <v>Neutral</v>
      </c>
      <c r="X254">
        <f>survey_responses[[#This Row],[Tôi tin rằng Nhà nước, cơ quan thuế có đủ khả năng và công nghệ để phát hiện, xử lý nghiêm các hành vi trốn thuế. - HUMAN-ENF2]]</f>
        <v>8</v>
      </c>
      <c r="Y254" t="str">
        <f t="shared" si="85"/>
        <v>Support</v>
      </c>
      <c r="Z254" s="31">
        <f t="shared" si="86"/>
        <v>1</v>
      </c>
      <c r="AA254">
        <f>step3_validation[[#This Row],[AI_FAC1]]</f>
        <v>9</v>
      </c>
      <c r="AB254" t="str">
        <f t="shared" si="87"/>
        <v>Support</v>
      </c>
      <c r="AC254">
        <f>survey_responses[[#This Row],[Các thủ tục khai báo thuế VÀ/HOẶC quy trình làm việc với cơ quan thuế đơn giản, tiện lợi, nhanh chóng hơn so với trước đây. - HUMAN-FAC1]]</f>
        <v>3</v>
      </c>
      <c r="AD254" t="str">
        <f t="shared" si="88"/>
        <v>Oppose</v>
      </c>
      <c r="AE254" s="31">
        <f t="shared" si="89"/>
        <v>6</v>
      </c>
      <c r="AF254">
        <f>step3_validation[[#This Row],[AI_FAC2]]</f>
        <v>8</v>
      </c>
      <c r="AG254" t="str">
        <f t="shared" si="90"/>
        <v>Support</v>
      </c>
      <c r="AH254">
        <f>survey_responses[[#This Row],[So với trước đây, tôi thấy cách tính thuế và các bậc thuế trong phương án mới đơn giản, dễ hiểu và dễ thực hiện hơn. - HUMAN-FAC2]]</f>
        <v>9</v>
      </c>
      <c r="AI254" t="str">
        <f t="shared" si="91"/>
        <v>Support</v>
      </c>
      <c r="AJ254" s="31">
        <f t="shared" si="92"/>
        <v>1</v>
      </c>
      <c r="AK254">
        <f>step3_validation[[#This Row],[AI_TRU1]]</f>
        <v>9</v>
      </c>
      <c r="AL254" t="str">
        <f t="shared" si="93"/>
        <v>Support</v>
      </c>
      <c r="AM254">
        <f>survey_responses[[#This Row],[Tôi tin rằng Nhà nước, cơ quan thuế sẽ thực thi chính sách mới một cách khách quan, công tâm và đối xử bình đẳng với mọi người nộp thuế.  - HUMAN-TRU1]]</f>
        <v>8</v>
      </c>
      <c r="AN254" t="str">
        <f t="shared" si="94"/>
        <v>Support</v>
      </c>
      <c r="AO254" s="31">
        <f t="shared" si="95"/>
        <v>1</v>
      </c>
      <c r="AP254">
        <f>step3_validation[[#This Row],[AI_TRU2]]</f>
        <v>8</v>
      </c>
      <c r="AQ254" t="str">
        <f t="shared" si="96"/>
        <v>Support</v>
      </c>
      <c r="AR254">
        <f>survey_responses[[#This Row],[Tôi thấy mức thuế tôi phải đóng theo phương án mới là công bằng (người thu nhập như tôi đóng mức này là hợp lý). - HUMAN-TRU2]]</f>
        <v>8</v>
      </c>
      <c r="AS254" t="str">
        <f t="shared" si="97"/>
        <v>Support</v>
      </c>
      <c r="AT254" s="31">
        <f t="shared" si="98"/>
        <v>0</v>
      </c>
      <c r="AU254">
        <f>step3_validation[[#This Row],[AI_TRU3]]</f>
        <v>9</v>
      </c>
      <c r="AV254" t="str">
        <f t="shared" si="99"/>
        <v>Support</v>
      </c>
      <c r="AW254">
        <f>survey_responses[[#This Row],[Tôi tin tưởng số tiền thuế tôi đóng sẽ được Nhà nước sử dụng hiệu quả để cải thiện dịch vụ công (y tế, đường xá...). - HUMAN-TRU3]]</f>
        <v>8</v>
      </c>
      <c r="AX254" t="str">
        <f t="shared" si="100"/>
        <v>Support</v>
      </c>
      <c r="AY254" s="31">
        <f t="shared" si="101"/>
        <v>1</v>
      </c>
      <c r="AZ254">
        <f>step3_validation[[#This Row],[AI_TRU4]]</f>
        <v>8</v>
      </c>
      <c r="BA254" t="str">
        <f t="shared" si="102"/>
        <v>Support</v>
      </c>
      <c r="BB254">
        <f>survey_responses[[#This Row],[Tôi thấy Nhà nước đã giải thích rõ ràng, minh bạch về lý do và mục tiêu của việc sửa đổi thuế lần này. - HUMAN-TRU4]]</f>
        <v>8</v>
      </c>
      <c r="BC254" t="str">
        <f t="shared" si="103"/>
        <v>Support</v>
      </c>
      <c r="BD254" s="31">
        <f t="shared" si="104"/>
        <v>0</v>
      </c>
      <c r="BE254">
        <f>step3_validation[[#This Row],[AI_OUT1]]</f>
        <v>9</v>
      </c>
      <c r="BF254" t="str">
        <f t="shared" si="105"/>
        <v>Support</v>
      </c>
      <c r="BG254">
        <f>survey_responses[[#This Row],[Sau khi xem xét các quyền lợi và nghĩa vụ, bạn có ủng hộ và tuân thủ chính sách mới hiện nay? - HUMAN-OUT1]]</f>
        <v>8</v>
      </c>
      <c r="BH254" t="str">
        <f t="shared" si="106"/>
        <v>Support</v>
      </c>
      <c r="BI254" s="31">
        <f t="shared" si="107"/>
        <v>1</v>
      </c>
    </row>
    <row r="255" spans="1:61" hidden="1" x14ac:dyDescent="0.45">
      <c r="A255" s="29">
        <f>step3_validation[[#This Row],[Persona_ID]]</f>
        <v>254</v>
      </c>
      <c r="B255" s="30">
        <f>step3_validation[[#This Row],[Used_Seed]]</f>
        <v>295</v>
      </c>
      <c r="C255" t="str">
        <f>step3_validation[[#This Row],[Gender]]</f>
        <v>Nam</v>
      </c>
      <c r="D255" t="str">
        <f>survey_responses[[#This Row],[Giới tính của bạn:]]</f>
        <v>Nam</v>
      </c>
      <c r="E255" t="str">
        <f>step3_validation[[#This Row],[Age_Group]]</f>
        <v>40 - 49</v>
      </c>
      <c r="F255" t="str">
        <f>survey_responses[[#This Row],[Độ tuổi của bạn:]]</f>
        <v>40 - 49</v>
      </c>
      <c r="G255" t="str">
        <f>step3_validation[[#This Row],[Region]]</f>
        <v>Thành thị</v>
      </c>
      <c r="H255" t="str">
        <f>survey_responses[[#This Row],[Khu vực bạn đang sinh sống:]]</f>
        <v>Thành thị</v>
      </c>
      <c r="I255" t="str">
        <f>step3_validation[[#This Row],[Education]]</f>
        <v>Sau Đại học</v>
      </c>
      <c r="J255" t="str">
        <f>survey_responses[[#This Row],[Trình độ học vấn cao nhất:]]</f>
        <v>Sau Đại học</v>
      </c>
      <c r="K255" t="str">
        <f>step3_validation[[#This Row],[Employment]]</f>
        <v>Chính thức</v>
      </c>
      <c r="L255" t="str">
        <f>survey_responses[[#This Row],[Tình trạng việc làm chính:]]</f>
        <v>Khu vực chính thức (Có Hợp đồng lao động, đóng BHXH)</v>
      </c>
      <c r="M255">
        <f>step3_validation[[#This Row],[Income_Mil]]</f>
        <v>73.395363848232748</v>
      </c>
      <c r="N255" t="str">
        <f>survey_responses[[#This Row],[Thu nhập bình quân tháng theo Hợp đồng lao động của bạn là bao nhiêu? (Vui lòng điền tổng thu nhập trước khi khấu trừ các loại Bảo hiểm (BHXH, BHYT, BHTN) và Thuế TNCN)]]</f>
        <v>Từ 70 - 102 triệu VNĐ</v>
      </c>
      <c r="O255">
        <f>step3_validation[[#This Row],[Dependents]]</f>
        <v>1</v>
      </c>
      <c r="P255" t="str">
        <f>survey_responses[[#This Row],[Số người phụ thuộc (con nhỏ, cha mẹ già...) đủ điều kiện giảm trừ gia cảnh:]]</f>
        <v>1 người</v>
      </c>
      <c r="Q255">
        <f>step3_validation[[#This Row],[AI_ENF1]]</f>
        <v>8</v>
      </c>
      <c r="R255" t="str">
        <f t="shared" si="81"/>
        <v>Support</v>
      </c>
      <c r="S255">
        <f>survey_responses[[#This Row],[Tôi tin rằng với các quy định quản lý thuế hiện nay, hành vi gian lận hoặc trốn thuế sẽ dễ dàng bị phát hiện và xử lý nghiêm. - HUMAN-ENF1]]</f>
        <v>4</v>
      </c>
      <c r="T255" t="str">
        <f t="shared" si="82"/>
        <v>Oppose</v>
      </c>
      <c r="U255" s="31">
        <f t="shared" si="83"/>
        <v>4</v>
      </c>
      <c r="V255">
        <f>step3_validation[[#This Row],[AI_ENF2]]</f>
        <v>9</v>
      </c>
      <c r="W255" t="str">
        <f t="shared" si="84"/>
        <v>Support</v>
      </c>
      <c r="X255">
        <f>survey_responses[[#This Row],[Tôi tin rằng Nhà nước, cơ quan thuế có đủ khả năng và công nghệ để phát hiện, xử lý nghiêm các hành vi trốn thuế. - HUMAN-ENF2]]</f>
        <v>3</v>
      </c>
      <c r="Y255" t="str">
        <f t="shared" si="85"/>
        <v>Oppose</v>
      </c>
      <c r="Z255" s="31">
        <f t="shared" si="86"/>
        <v>6</v>
      </c>
      <c r="AA255">
        <f>step3_validation[[#This Row],[AI_FAC1]]</f>
        <v>8</v>
      </c>
      <c r="AB255" t="str">
        <f t="shared" si="87"/>
        <v>Support</v>
      </c>
      <c r="AC255">
        <f>survey_responses[[#This Row],[Các thủ tục khai báo thuế VÀ/HOẶC quy trình làm việc với cơ quan thuế đơn giản, tiện lợi, nhanh chóng hơn so với trước đây. - HUMAN-FAC1]]</f>
        <v>1</v>
      </c>
      <c r="AD255" t="str">
        <f t="shared" si="88"/>
        <v>Oppose</v>
      </c>
      <c r="AE255" s="31">
        <f t="shared" si="89"/>
        <v>7</v>
      </c>
      <c r="AF255">
        <f>step3_validation[[#This Row],[AI_FAC2]]</f>
        <v>9</v>
      </c>
      <c r="AG255" t="str">
        <f t="shared" si="90"/>
        <v>Support</v>
      </c>
      <c r="AH255">
        <f>survey_responses[[#This Row],[So với trước đây, tôi thấy cách tính thuế và các bậc thuế trong phương án mới đơn giản, dễ hiểu và dễ thực hiện hơn. - HUMAN-FAC2]]</f>
        <v>7</v>
      </c>
      <c r="AI255" t="str">
        <f t="shared" si="91"/>
        <v>Neutral</v>
      </c>
      <c r="AJ255" s="31">
        <f t="shared" si="92"/>
        <v>2</v>
      </c>
      <c r="AK255">
        <f>step3_validation[[#This Row],[AI_TRU1]]</f>
        <v>7</v>
      </c>
      <c r="AL255" t="str">
        <f t="shared" si="93"/>
        <v>Neutral</v>
      </c>
      <c r="AM255">
        <f>survey_responses[[#This Row],[Tôi tin rằng Nhà nước, cơ quan thuế sẽ thực thi chính sách mới một cách khách quan, công tâm và đối xử bình đẳng với mọi người nộp thuế.  - HUMAN-TRU1]]</f>
        <v>3</v>
      </c>
      <c r="AN255" t="str">
        <f t="shared" si="94"/>
        <v>Oppose</v>
      </c>
      <c r="AO255" s="31">
        <f t="shared" si="95"/>
        <v>4</v>
      </c>
      <c r="AP255">
        <f>step3_validation[[#This Row],[AI_TRU2]]</f>
        <v>9</v>
      </c>
      <c r="AQ255" t="str">
        <f t="shared" si="96"/>
        <v>Support</v>
      </c>
      <c r="AR255">
        <f>survey_responses[[#This Row],[Tôi thấy mức thuế tôi phải đóng theo phương án mới là công bằng (người thu nhập như tôi đóng mức này là hợp lý). - HUMAN-TRU2]]</f>
        <v>6</v>
      </c>
      <c r="AS255" t="str">
        <f t="shared" si="97"/>
        <v>Neutral</v>
      </c>
      <c r="AT255" s="31">
        <f t="shared" si="98"/>
        <v>3</v>
      </c>
      <c r="AU255">
        <f>step3_validation[[#This Row],[AI_TRU3]]</f>
        <v>7</v>
      </c>
      <c r="AV255" t="str">
        <f t="shared" si="99"/>
        <v>Neutral</v>
      </c>
      <c r="AW255">
        <f>survey_responses[[#This Row],[Tôi tin tưởng số tiền thuế tôi đóng sẽ được Nhà nước sử dụng hiệu quả để cải thiện dịch vụ công (y tế, đường xá...). - HUMAN-TRU3]]</f>
        <v>5</v>
      </c>
      <c r="AX255" t="str">
        <f t="shared" si="100"/>
        <v>Neutral</v>
      </c>
      <c r="AY255" s="31">
        <f t="shared" si="101"/>
        <v>2</v>
      </c>
      <c r="AZ255">
        <f>step3_validation[[#This Row],[AI_TRU4]]</f>
        <v>6</v>
      </c>
      <c r="BA255" t="str">
        <f t="shared" si="102"/>
        <v>Neutral</v>
      </c>
      <c r="BB255">
        <f>survey_responses[[#This Row],[Tôi thấy Nhà nước đã giải thích rõ ràng, minh bạch về lý do và mục tiêu của việc sửa đổi thuế lần này. - HUMAN-TRU4]]</f>
        <v>6</v>
      </c>
      <c r="BC255" t="str">
        <f t="shared" si="103"/>
        <v>Neutral</v>
      </c>
      <c r="BD255" s="31">
        <f t="shared" si="104"/>
        <v>0</v>
      </c>
      <c r="BE255">
        <f>step3_validation[[#This Row],[AI_OUT1]]</f>
        <v>8</v>
      </c>
      <c r="BF255" t="str">
        <f t="shared" si="105"/>
        <v>Support</v>
      </c>
      <c r="BG255">
        <f>survey_responses[[#This Row],[Sau khi xem xét các quyền lợi và nghĩa vụ, bạn có ủng hộ và tuân thủ chính sách mới hiện nay? - HUMAN-OUT1]]</f>
        <v>6</v>
      </c>
      <c r="BH255" t="str">
        <f t="shared" si="106"/>
        <v>Neutral</v>
      </c>
      <c r="BI255" s="31">
        <f t="shared" si="107"/>
        <v>2</v>
      </c>
    </row>
    <row r="256" spans="1:61" hidden="1" x14ac:dyDescent="0.45">
      <c r="A256" s="29">
        <f>step3_validation[[#This Row],[Persona_ID]]</f>
        <v>255</v>
      </c>
      <c r="B256" s="30">
        <f>step3_validation[[#This Row],[Used_Seed]]</f>
        <v>296</v>
      </c>
      <c r="C256" t="str">
        <f>step3_validation[[#This Row],[Gender]]</f>
        <v>Nữ</v>
      </c>
      <c r="D256" t="str">
        <f>survey_responses[[#This Row],[Giới tính của bạn:]]</f>
        <v>Nữ</v>
      </c>
      <c r="E256" t="str">
        <f>step3_validation[[#This Row],[Age_Group]]</f>
        <v>30 - 39</v>
      </c>
      <c r="F256" t="str">
        <f>survey_responses[[#This Row],[Độ tuổi của bạn:]]</f>
        <v>30 - 39</v>
      </c>
      <c r="G256" t="str">
        <f>step3_validation[[#This Row],[Region]]</f>
        <v>Thành thị</v>
      </c>
      <c r="H256" t="str">
        <f>survey_responses[[#This Row],[Khu vực bạn đang sinh sống:]]</f>
        <v>Thành thị</v>
      </c>
      <c r="I256" t="str">
        <f>step3_validation[[#This Row],[Education]]</f>
        <v>Sau Đại học</v>
      </c>
      <c r="J256" t="str">
        <f>survey_responses[[#This Row],[Trình độ học vấn cao nhất:]]</f>
        <v>Sau Đại học</v>
      </c>
      <c r="K256" t="str">
        <f>step3_validation[[#This Row],[Employment]]</f>
        <v>Chính thức</v>
      </c>
      <c r="L256" t="str">
        <f>survey_responses[[#This Row],[Tình trạng việc làm chính:]]</f>
        <v>Khu vực chính thức (Có Hợp đồng lao động, đóng BHXH)</v>
      </c>
      <c r="M256">
        <f>step3_validation[[#This Row],[Income_Mil]]</f>
        <v>48.208250904428475</v>
      </c>
      <c r="N256" t="str">
        <f>survey_responses[[#This Row],[Thu nhập bình quân tháng theo Hợp đồng lao động của bạn là bao nhiêu? (Vui lòng điền tổng thu nhập trước khi khấu trừ các loại Bảo hiểm (BHXH, BHYT, BHTN) và Thuế TNCN)]]</f>
        <v>Từ 48 - 70 triệu VNĐ</v>
      </c>
      <c r="O256">
        <f>step3_validation[[#This Row],[Dependents]]</f>
        <v>1</v>
      </c>
      <c r="P256" t="str">
        <f>survey_responses[[#This Row],[Số người phụ thuộc (con nhỏ, cha mẹ già...) đủ điều kiện giảm trừ gia cảnh:]]</f>
        <v>1 người</v>
      </c>
      <c r="Q256">
        <f>step3_validation[[#This Row],[AI_ENF1]]</f>
        <v>7</v>
      </c>
      <c r="R256" t="str">
        <f t="shared" si="81"/>
        <v>Neutral</v>
      </c>
      <c r="S256">
        <f>survey_responses[[#This Row],[Tôi tin rằng với các quy định quản lý thuế hiện nay, hành vi gian lận hoặc trốn thuế sẽ dễ dàng bị phát hiện và xử lý nghiêm. - HUMAN-ENF1]]</f>
        <v>6</v>
      </c>
      <c r="T256" t="str">
        <f t="shared" si="82"/>
        <v>Neutral</v>
      </c>
      <c r="U256" s="31">
        <f t="shared" si="83"/>
        <v>1</v>
      </c>
      <c r="V256">
        <f>step3_validation[[#This Row],[AI_ENF2]]</f>
        <v>6</v>
      </c>
      <c r="W256" t="str">
        <f t="shared" si="84"/>
        <v>Neutral</v>
      </c>
      <c r="X256">
        <f>survey_responses[[#This Row],[Tôi tin rằng Nhà nước, cơ quan thuế có đủ khả năng và công nghệ để phát hiện, xử lý nghiêm các hành vi trốn thuế. - HUMAN-ENF2]]</f>
        <v>6</v>
      </c>
      <c r="Y256" t="str">
        <f t="shared" si="85"/>
        <v>Neutral</v>
      </c>
      <c r="Z256" s="31">
        <f t="shared" si="86"/>
        <v>0</v>
      </c>
      <c r="AA256">
        <f>step3_validation[[#This Row],[AI_FAC1]]</f>
        <v>8</v>
      </c>
      <c r="AB256" t="str">
        <f t="shared" si="87"/>
        <v>Support</v>
      </c>
      <c r="AC256">
        <f>survey_responses[[#This Row],[Các thủ tục khai báo thuế VÀ/HOẶC quy trình làm việc với cơ quan thuế đơn giản, tiện lợi, nhanh chóng hơn so với trước đây. - HUMAN-FAC1]]</f>
        <v>1</v>
      </c>
      <c r="AD256" t="str">
        <f t="shared" si="88"/>
        <v>Oppose</v>
      </c>
      <c r="AE256" s="31">
        <f t="shared" si="89"/>
        <v>7</v>
      </c>
      <c r="AF256">
        <f>step3_validation[[#This Row],[AI_FAC2]]</f>
        <v>9</v>
      </c>
      <c r="AG256" t="str">
        <f t="shared" si="90"/>
        <v>Support</v>
      </c>
      <c r="AH256">
        <f>survey_responses[[#This Row],[So với trước đây, tôi thấy cách tính thuế và các bậc thuế trong phương án mới đơn giản, dễ hiểu và dễ thực hiện hơn. - HUMAN-FAC2]]</f>
        <v>7</v>
      </c>
      <c r="AI256" t="str">
        <f t="shared" si="91"/>
        <v>Neutral</v>
      </c>
      <c r="AJ256" s="31">
        <f t="shared" si="92"/>
        <v>2</v>
      </c>
      <c r="AK256">
        <f>step3_validation[[#This Row],[AI_TRU1]]</f>
        <v>8</v>
      </c>
      <c r="AL256" t="str">
        <f t="shared" si="93"/>
        <v>Support</v>
      </c>
      <c r="AM256">
        <f>survey_responses[[#This Row],[Tôi tin rằng Nhà nước, cơ quan thuế sẽ thực thi chính sách mới một cách khách quan, công tâm và đối xử bình đẳng với mọi người nộp thuế.  - HUMAN-TRU1]]</f>
        <v>5</v>
      </c>
      <c r="AN256" t="str">
        <f t="shared" si="94"/>
        <v>Neutral</v>
      </c>
      <c r="AO256" s="31">
        <f t="shared" si="95"/>
        <v>3</v>
      </c>
      <c r="AP256">
        <f>step3_validation[[#This Row],[AI_TRU2]]</f>
        <v>9</v>
      </c>
      <c r="AQ256" t="str">
        <f t="shared" si="96"/>
        <v>Support</v>
      </c>
      <c r="AR256">
        <f>survey_responses[[#This Row],[Tôi thấy mức thuế tôi phải đóng theo phương án mới là công bằng (người thu nhập như tôi đóng mức này là hợp lý). - HUMAN-TRU2]]</f>
        <v>6</v>
      </c>
      <c r="AS256" t="str">
        <f t="shared" si="97"/>
        <v>Neutral</v>
      </c>
      <c r="AT256" s="31">
        <f t="shared" si="98"/>
        <v>3</v>
      </c>
      <c r="AU256">
        <f>step3_validation[[#This Row],[AI_TRU3]]</f>
        <v>7</v>
      </c>
      <c r="AV256" t="str">
        <f t="shared" si="99"/>
        <v>Neutral</v>
      </c>
      <c r="AW256">
        <f>survey_responses[[#This Row],[Tôi tin tưởng số tiền thuế tôi đóng sẽ được Nhà nước sử dụng hiệu quả để cải thiện dịch vụ công (y tế, đường xá...). - HUMAN-TRU3]]</f>
        <v>6</v>
      </c>
      <c r="AX256" t="str">
        <f t="shared" si="100"/>
        <v>Neutral</v>
      </c>
      <c r="AY256" s="31">
        <f t="shared" si="101"/>
        <v>1</v>
      </c>
      <c r="AZ256">
        <f>step3_validation[[#This Row],[AI_TRU4]]</f>
        <v>8</v>
      </c>
      <c r="BA256" t="str">
        <f t="shared" si="102"/>
        <v>Support</v>
      </c>
      <c r="BB256">
        <f>survey_responses[[#This Row],[Tôi thấy Nhà nước đã giải thích rõ ràng, minh bạch về lý do và mục tiêu của việc sửa đổi thuế lần này. - HUMAN-TRU4]]</f>
        <v>6</v>
      </c>
      <c r="BC256" t="str">
        <f t="shared" si="103"/>
        <v>Neutral</v>
      </c>
      <c r="BD256" s="31">
        <f t="shared" si="104"/>
        <v>2</v>
      </c>
      <c r="BE256">
        <f>step3_validation[[#This Row],[AI_OUT1]]</f>
        <v>9</v>
      </c>
      <c r="BF256" t="str">
        <f t="shared" si="105"/>
        <v>Support</v>
      </c>
      <c r="BG256">
        <f>survey_responses[[#This Row],[Sau khi xem xét các quyền lợi và nghĩa vụ, bạn có ủng hộ và tuân thủ chính sách mới hiện nay? - HUMAN-OUT1]]</f>
        <v>6</v>
      </c>
      <c r="BH256" t="str">
        <f t="shared" si="106"/>
        <v>Neutral</v>
      </c>
      <c r="BI256" s="31">
        <f t="shared" si="107"/>
        <v>3</v>
      </c>
    </row>
    <row r="257" spans="1:61" hidden="1" x14ac:dyDescent="0.45">
      <c r="A257" s="29">
        <f>step3_validation[[#This Row],[Persona_ID]]</f>
        <v>256</v>
      </c>
      <c r="B257" s="30">
        <f>step3_validation[[#This Row],[Used_Seed]]</f>
        <v>297</v>
      </c>
      <c r="C257" t="str">
        <f>step3_validation[[#This Row],[Gender]]</f>
        <v>Nữ</v>
      </c>
      <c r="D257" t="str">
        <f>survey_responses[[#This Row],[Giới tính của bạn:]]</f>
        <v>Nữ</v>
      </c>
      <c r="E257" t="str">
        <f>step3_validation[[#This Row],[Age_Group]]</f>
        <v>50 - 54</v>
      </c>
      <c r="F257" t="str">
        <f>survey_responses[[#This Row],[Độ tuổi của bạn:]]</f>
        <v>50 - 54</v>
      </c>
      <c r="G257" t="str">
        <f>step3_validation[[#This Row],[Region]]</f>
        <v>Thành thị</v>
      </c>
      <c r="H257" t="str">
        <f>survey_responses[[#This Row],[Khu vực bạn đang sinh sống:]]</f>
        <v>Thành thị</v>
      </c>
      <c r="I257" t="str">
        <f>step3_validation[[#This Row],[Education]]</f>
        <v>Đại học</v>
      </c>
      <c r="J257" t="str">
        <f>survey_responses[[#This Row],[Trình độ học vấn cao nhất:]]</f>
        <v>Đại học</v>
      </c>
      <c r="K257" t="str">
        <f>step3_validation[[#This Row],[Employment]]</f>
        <v>Chính thức</v>
      </c>
      <c r="L257" t="str">
        <f>survey_responses[[#This Row],[Tình trạng việc làm chính:]]</f>
        <v>Khu vực chính thức (Có Hợp đồng lao động, đóng BHXH)</v>
      </c>
      <c r="M257">
        <f>step3_validation[[#This Row],[Income_Mil]]</f>
        <v>150.64830970873513</v>
      </c>
      <c r="N257" t="str">
        <f>survey_responses[[#This Row],[Thu nhập bình quân tháng theo Hợp đồng lao động của bạn là bao nhiêu? (Vui lòng điền tổng thu nhập trước khi khấu trừ các loại Bảo hiểm (BHXH, BHYT, BHTN) và Thuế TNCN)]]</f>
        <v>Trên 102 triệu VNĐ</v>
      </c>
      <c r="O257">
        <f>step3_validation[[#This Row],[Dependents]]</f>
        <v>4</v>
      </c>
      <c r="P257" t="str">
        <f>survey_responses[[#This Row],[Số người phụ thuộc (con nhỏ, cha mẹ già...) đủ điều kiện giảm trừ gia cảnh:]]</f>
        <v>4 người trở lên</v>
      </c>
      <c r="Q257">
        <f>step3_validation[[#This Row],[AI_ENF1]]</f>
        <v>6</v>
      </c>
      <c r="R257" t="str">
        <f t="shared" si="81"/>
        <v>Neutral</v>
      </c>
      <c r="S257">
        <f>survey_responses[[#This Row],[Tôi tin rằng với các quy định quản lý thuế hiện nay, hành vi gian lận hoặc trốn thuế sẽ dễ dàng bị phát hiện và xử lý nghiêm. - HUMAN-ENF1]]</f>
        <v>8</v>
      </c>
      <c r="T257" t="str">
        <f t="shared" si="82"/>
        <v>Support</v>
      </c>
      <c r="U257" s="31">
        <f t="shared" si="83"/>
        <v>2</v>
      </c>
      <c r="V257">
        <f>step3_validation[[#This Row],[AI_ENF2]]</f>
        <v>7</v>
      </c>
      <c r="W257" t="str">
        <f t="shared" si="84"/>
        <v>Neutral</v>
      </c>
      <c r="X257">
        <f>survey_responses[[#This Row],[Tôi tin rằng Nhà nước, cơ quan thuế có đủ khả năng và công nghệ để phát hiện, xử lý nghiêm các hành vi trốn thuế. - HUMAN-ENF2]]</f>
        <v>8</v>
      </c>
      <c r="Y257" t="str">
        <f t="shared" si="85"/>
        <v>Support</v>
      </c>
      <c r="Z257" s="31">
        <f t="shared" si="86"/>
        <v>1</v>
      </c>
      <c r="AA257">
        <f>step3_validation[[#This Row],[AI_FAC1]]</f>
        <v>9</v>
      </c>
      <c r="AB257" t="str">
        <f t="shared" si="87"/>
        <v>Support</v>
      </c>
      <c r="AC257">
        <f>survey_responses[[#This Row],[Các thủ tục khai báo thuế VÀ/HOẶC quy trình làm việc với cơ quan thuế đơn giản, tiện lợi, nhanh chóng hơn so với trước đây. - HUMAN-FAC1]]</f>
        <v>5</v>
      </c>
      <c r="AD257" t="str">
        <f t="shared" si="88"/>
        <v>Neutral</v>
      </c>
      <c r="AE257" s="31">
        <f t="shared" si="89"/>
        <v>4</v>
      </c>
      <c r="AF257">
        <f>step3_validation[[#This Row],[AI_FAC2]]</f>
        <v>8</v>
      </c>
      <c r="AG257" t="str">
        <f t="shared" si="90"/>
        <v>Support</v>
      </c>
      <c r="AH257">
        <f>survey_responses[[#This Row],[So với trước đây, tôi thấy cách tính thuế và các bậc thuế trong phương án mới đơn giản, dễ hiểu và dễ thực hiện hơn. - HUMAN-FAC2]]</f>
        <v>8</v>
      </c>
      <c r="AI257" t="str">
        <f t="shared" si="91"/>
        <v>Support</v>
      </c>
      <c r="AJ257" s="31">
        <f t="shared" si="92"/>
        <v>0</v>
      </c>
      <c r="AK257">
        <f>step3_validation[[#This Row],[AI_TRU1]]</f>
        <v>9</v>
      </c>
      <c r="AL257" t="str">
        <f t="shared" si="93"/>
        <v>Support</v>
      </c>
      <c r="AM257">
        <f>survey_responses[[#This Row],[Tôi tin rằng Nhà nước, cơ quan thuế sẽ thực thi chính sách mới một cách khách quan, công tâm và đối xử bình đẳng với mọi người nộp thuế.  - HUMAN-TRU1]]</f>
        <v>8</v>
      </c>
      <c r="AN257" t="str">
        <f t="shared" si="94"/>
        <v>Support</v>
      </c>
      <c r="AO257" s="31">
        <f t="shared" si="95"/>
        <v>1</v>
      </c>
      <c r="AP257">
        <f>step3_validation[[#This Row],[AI_TRU2]]</f>
        <v>8</v>
      </c>
      <c r="AQ257" t="str">
        <f t="shared" si="96"/>
        <v>Support</v>
      </c>
      <c r="AR257">
        <f>survey_responses[[#This Row],[Tôi thấy mức thuế tôi phải đóng theo phương án mới là công bằng (người thu nhập như tôi đóng mức này là hợp lý). - HUMAN-TRU2]]</f>
        <v>7</v>
      </c>
      <c r="AS257" t="str">
        <f t="shared" si="97"/>
        <v>Neutral</v>
      </c>
      <c r="AT257" s="31">
        <f t="shared" si="98"/>
        <v>1</v>
      </c>
      <c r="AU257">
        <f>step3_validation[[#This Row],[AI_TRU3]]</f>
        <v>9</v>
      </c>
      <c r="AV257" t="str">
        <f t="shared" si="99"/>
        <v>Support</v>
      </c>
      <c r="AW257">
        <f>survey_responses[[#This Row],[Tôi tin tưởng số tiền thuế tôi đóng sẽ được Nhà nước sử dụng hiệu quả để cải thiện dịch vụ công (y tế, đường xá...). - HUMAN-TRU3]]</f>
        <v>7</v>
      </c>
      <c r="AX257" t="str">
        <f t="shared" si="100"/>
        <v>Neutral</v>
      </c>
      <c r="AY257" s="31">
        <f t="shared" si="101"/>
        <v>2</v>
      </c>
      <c r="AZ257">
        <f>step3_validation[[#This Row],[AI_TRU4]]</f>
        <v>8</v>
      </c>
      <c r="BA257" t="str">
        <f t="shared" si="102"/>
        <v>Support</v>
      </c>
      <c r="BB257">
        <f>survey_responses[[#This Row],[Tôi thấy Nhà nước đã giải thích rõ ràng, minh bạch về lý do và mục tiêu của việc sửa đổi thuế lần này. - HUMAN-TRU4]]</f>
        <v>7</v>
      </c>
      <c r="BC257" t="str">
        <f t="shared" si="103"/>
        <v>Neutral</v>
      </c>
      <c r="BD257" s="31">
        <f t="shared" si="104"/>
        <v>1</v>
      </c>
      <c r="BE257">
        <f>step3_validation[[#This Row],[AI_OUT1]]</f>
        <v>9</v>
      </c>
      <c r="BF257" t="str">
        <f t="shared" si="105"/>
        <v>Support</v>
      </c>
      <c r="BG257">
        <f>survey_responses[[#This Row],[Sau khi xem xét các quyền lợi và nghĩa vụ, bạn có ủng hộ và tuân thủ chính sách mới hiện nay? - HUMAN-OUT1]]</f>
        <v>7</v>
      </c>
      <c r="BH257" t="str">
        <f t="shared" si="106"/>
        <v>Neutral</v>
      </c>
      <c r="BI257" s="31">
        <f t="shared" si="107"/>
        <v>2</v>
      </c>
    </row>
    <row r="258" spans="1:61" hidden="1" x14ac:dyDescent="0.45">
      <c r="A258" s="29">
        <f>step3_validation[[#This Row],[Persona_ID]]</f>
        <v>257</v>
      </c>
      <c r="B258" s="30">
        <f>step3_validation[[#This Row],[Used_Seed]]</f>
        <v>298</v>
      </c>
      <c r="C258" t="str">
        <f>step3_validation[[#This Row],[Gender]]</f>
        <v>Nữ</v>
      </c>
      <c r="D258" t="str">
        <f>survey_responses[[#This Row],[Giới tính của bạn:]]</f>
        <v>Nữ</v>
      </c>
      <c r="E258" t="str">
        <f>step3_validation[[#This Row],[Age_Group]]</f>
        <v>25 - 29</v>
      </c>
      <c r="F258" t="str">
        <f>survey_responses[[#This Row],[Độ tuổi của bạn:]]</f>
        <v>25 - 29</v>
      </c>
      <c r="G258" t="str">
        <f>step3_validation[[#This Row],[Region]]</f>
        <v>Thành thị</v>
      </c>
      <c r="H258" t="str">
        <f>survey_responses[[#This Row],[Khu vực bạn đang sinh sống:]]</f>
        <v>Thành thị</v>
      </c>
      <c r="I258" t="str">
        <f>step3_validation[[#This Row],[Education]]</f>
        <v>Đại học</v>
      </c>
      <c r="J258" t="str">
        <f>survey_responses[[#This Row],[Trình độ học vấn cao nhất:]]</f>
        <v>Đại học</v>
      </c>
      <c r="K258" t="str">
        <f>step3_validation[[#This Row],[Employment]]</f>
        <v>Chính thức</v>
      </c>
      <c r="L258" t="str">
        <f>survey_responses[[#This Row],[Tình trạng việc làm chính:]]</f>
        <v>Khu vực chính thức (Có Hợp đồng lao động, đóng BHXH)</v>
      </c>
      <c r="M258">
        <f>step3_validation[[#This Row],[Income_Mil]]</f>
        <v>36.872721405883112</v>
      </c>
      <c r="N258" t="str">
        <f>survey_responses[[#This Row],[Thu nhập bình quân tháng theo Hợp đồng lao động của bạn là bao nhiêu? (Vui lòng điền tổng thu nhập trước khi khấu trừ các loại Bảo hiểm (BHXH, BHYT, BHTN) và Thuế TNCN)]]</f>
        <v>Từ 32 - 48 triệu VNĐ</v>
      </c>
      <c r="O258">
        <f>step3_validation[[#This Row],[Dependents]]</f>
        <v>1</v>
      </c>
      <c r="P258" t="str">
        <f>survey_responses[[#This Row],[Số người phụ thuộc (con nhỏ, cha mẹ già...) đủ điều kiện giảm trừ gia cảnh:]]</f>
        <v>1 người</v>
      </c>
      <c r="Q258">
        <f>step3_validation[[#This Row],[AI_ENF1]]</f>
        <v>6</v>
      </c>
      <c r="R258" t="str">
        <f t="shared" si="81"/>
        <v>Neutral</v>
      </c>
      <c r="S258">
        <f>survey_responses[[#This Row],[Tôi tin rằng với các quy định quản lý thuế hiện nay, hành vi gian lận hoặc trốn thuế sẽ dễ dàng bị phát hiện và xử lý nghiêm. - HUMAN-ENF1]]</f>
        <v>7</v>
      </c>
      <c r="T258" t="str">
        <f t="shared" si="82"/>
        <v>Neutral</v>
      </c>
      <c r="U258" s="31">
        <f t="shared" si="83"/>
        <v>1</v>
      </c>
      <c r="V258">
        <f>step3_validation[[#This Row],[AI_ENF2]]</f>
        <v>7</v>
      </c>
      <c r="W258" t="str">
        <f t="shared" si="84"/>
        <v>Neutral</v>
      </c>
      <c r="X258">
        <f>survey_responses[[#This Row],[Tôi tin rằng Nhà nước, cơ quan thuế có đủ khả năng và công nghệ để phát hiện, xử lý nghiêm các hành vi trốn thuế. - HUMAN-ENF2]]</f>
        <v>8</v>
      </c>
      <c r="Y258" t="str">
        <f t="shared" si="85"/>
        <v>Support</v>
      </c>
      <c r="Z258" s="31">
        <f t="shared" si="86"/>
        <v>1</v>
      </c>
      <c r="AA258">
        <f>step3_validation[[#This Row],[AI_FAC1]]</f>
        <v>9</v>
      </c>
      <c r="AB258" t="str">
        <f t="shared" si="87"/>
        <v>Support</v>
      </c>
      <c r="AC258">
        <f>survey_responses[[#This Row],[Các thủ tục khai báo thuế VÀ/HOẶC quy trình làm việc với cơ quan thuế đơn giản, tiện lợi, nhanh chóng hơn so với trước đây. - HUMAN-FAC1]]</f>
        <v>4</v>
      </c>
      <c r="AD258" t="str">
        <f t="shared" si="88"/>
        <v>Oppose</v>
      </c>
      <c r="AE258" s="31">
        <f t="shared" si="89"/>
        <v>5</v>
      </c>
      <c r="AF258">
        <f>step3_validation[[#This Row],[AI_FAC2]]</f>
        <v>9</v>
      </c>
      <c r="AG258" t="str">
        <f t="shared" si="90"/>
        <v>Support</v>
      </c>
      <c r="AH258">
        <f>survey_responses[[#This Row],[So với trước đây, tôi thấy cách tính thuế và các bậc thuế trong phương án mới đơn giản, dễ hiểu và dễ thực hiện hơn. - HUMAN-FAC2]]</f>
        <v>8</v>
      </c>
      <c r="AI258" t="str">
        <f t="shared" si="91"/>
        <v>Support</v>
      </c>
      <c r="AJ258" s="31">
        <f t="shared" si="92"/>
        <v>1</v>
      </c>
      <c r="AK258">
        <f>step3_validation[[#This Row],[AI_TRU1]]</f>
        <v>8</v>
      </c>
      <c r="AL258" t="str">
        <f t="shared" si="93"/>
        <v>Support</v>
      </c>
      <c r="AM258">
        <f>survey_responses[[#This Row],[Tôi tin rằng Nhà nước, cơ quan thuế sẽ thực thi chính sách mới một cách khách quan, công tâm và đối xử bình đẳng với mọi người nộp thuế.  - HUMAN-TRU1]]</f>
        <v>5</v>
      </c>
      <c r="AN258" t="str">
        <f t="shared" si="94"/>
        <v>Neutral</v>
      </c>
      <c r="AO258" s="31">
        <f t="shared" si="95"/>
        <v>3</v>
      </c>
      <c r="AP258">
        <f>step3_validation[[#This Row],[AI_TRU2]]</f>
        <v>8</v>
      </c>
      <c r="AQ258" t="str">
        <f t="shared" si="96"/>
        <v>Support</v>
      </c>
      <c r="AR258">
        <f>survey_responses[[#This Row],[Tôi thấy mức thuế tôi phải đóng theo phương án mới là công bằng (người thu nhập như tôi đóng mức này là hợp lý). - HUMAN-TRU2]]</f>
        <v>7</v>
      </c>
      <c r="AS258" t="str">
        <f t="shared" si="97"/>
        <v>Neutral</v>
      </c>
      <c r="AT258" s="31">
        <f t="shared" si="98"/>
        <v>1</v>
      </c>
      <c r="AU258">
        <f>step3_validation[[#This Row],[AI_TRU3]]</f>
        <v>7</v>
      </c>
      <c r="AV258" t="str">
        <f t="shared" si="99"/>
        <v>Neutral</v>
      </c>
      <c r="AW258">
        <f>survey_responses[[#This Row],[Tôi tin tưởng số tiền thuế tôi đóng sẽ được Nhà nước sử dụng hiệu quả để cải thiện dịch vụ công (y tế, đường xá...). - HUMAN-TRU3]]</f>
        <v>5</v>
      </c>
      <c r="AX258" t="str">
        <f t="shared" si="100"/>
        <v>Neutral</v>
      </c>
      <c r="AY258" s="31">
        <f t="shared" si="101"/>
        <v>2</v>
      </c>
      <c r="AZ258">
        <f>step3_validation[[#This Row],[AI_TRU4]]</f>
        <v>6</v>
      </c>
      <c r="BA258" t="str">
        <f t="shared" si="102"/>
        <v>Neutral</v>
      </c>
      <c r="BB258">
        <f>survey_responses[[#This Row],[Tôi thấy Nhà nước đã giải thích rõ ràng, minh bạch về lý do và mục tiêu của việc sửa đổi thuế lần này. - HUMAN-TRU4]]</f>
        <v>6</v>
      </c>
      <c r="BC258" t="str">
        <f t="shared" si="103"/>
        <v>Neutral</v>
      </c>
      <c r="BD258" s="31">
        <f t="shared" si="104"/>
        <v>0</v>
      </c>
      <c r="BE258">
        <f>step3_validation[[#This Row],[AI_OUT1]]</f>
        <v>9</v>
      </c>
      <c r="BF258" t="str">
        <f t="shared" si="105"/>
        <v>Support</v>
      </c>
      <c r="BG258">
        <f>survey_responses[[#This Row],[Sau khi xem xét các quyền lợi và nghĩa vụ, bạn có ủng hộ và tuân thủ chính sách mới hiện nay? - HUMAN-OUT1]]</f>
        <v>6</v>
      </c>
      <c r="BH258" t="str">
        <f t="shared" si="106"/>
        <v>Neutral</v>
      </c>
      <c r="BI258" s="31">
        <f t="shared" si="107"/>
        <v>3</v>
      </c>
    </row>
    <row r="259" spans="1:61" hidden="1" x14ac:dyDescent="0.45">
      <c r="A259" s="29">
        <f>step3_validation[[#This Row],[Persona_ID]]</f>
        <v>258</v>
      </c>
      <c r="B259" s="30">
        <f>step3_validation[[#This Row],[Used_Seed]]</f>
        <v>299</v>
      </c>
      <c r="C259" t="str">
        <f>step3_validation[[#This Row],[Gender]]</f>
        <v>Nam</v>
      </c>
      <c r="D259" t="str">
        <f>survey_responses[[#This Row],[Giới tính của bạn:]]</f>
        <v>Nam</v>
      </c>
      <c r="E259" t="str">
        <f>step3_validation[[#This Row],[Age_Group]]</f>
        <v>40 - 49</v>
      </c>
      <c r="F259" t="str">
        <f>survey_responses[[#This Row],[Độ tuổi của bạn:]]</f>
        <v>40 - 49</v>
      </c>
      <c r="G259" t="str">
        <f>step3_validation[[#This Row],[Region]]</f>
        <v>Thành thị</v>
      </c>
      <c r="H259" t="str">
        <f>survey_responses[[#This Row],[Khu vực bạn đang sinh sống:]]</f>
        <v>Thành thị</v>
      </c>
      <c r="I259" t="str">
        <f>step3_validation[[#This Row],[Education]]</f>
        <v>Đại học</v>
      </c>
      <c r="J259" t="str">
        <f>survey_responses[[#This Row],[Trình độ học vấn cao nhất:]]</f>
        <v>Đại học</v>
      </c>
      <c r="K259" t="str">
        <f>step3_validation[[#This Row],[Employment]]</f>
        <v>Chính thức</v>
      </c>
      <c r="L259" t="str">
        <f>survey_responses[[#This Row],[Tình trạng việc làm chính:]]</f>
        <v>Khu vực chính thức (Có Hợp đồng lao động, đóng BHXH)</v>
      </c>
      <c r="M259">
        <f>step3_validation[[#This Row],[Income_Mil]]</f>
        <v>64.686544718428408</v>
      </c>
      <c r="N259" t="str">
        <f>survey_responses[[#This Row],[Thu nhập bình quân tháng theo Hợp đồng lao động của bạn là bao nhiêu? (Vui lòng điền tổng thu nhập trước khi khấu trừ các loại Bảo hiểm (BHXH, BHYT, BHTN) và Thuế TNCN)]]</f>
        <v>Từ 48 - 70 triệu VNĐ</v>
      </c>
      <c r="O259">
        <f>step3_validation[[#This Row],[Dependents]]</f>
        <v>2</v>
      </c>
      <c r="P259" t="str">
        <f>survey_responses[[#This Row],[Số người phụ thuộc (con nhỏ, cha mẹ già...) đủ điều kiện giảm trừ gia cảnh:]]</f>
        <v>2 người</v>
      </c>
      <c r="Q259">
        <f>step3_validation[[#This Row],[AI_ENF1]]</f>
        <v>7</v>
      </c>
      <c r="R259" t="str">
        <f t="shared" ref="R259:R322" si="108">IF(AND(Q259&gt;=1,Q259&lt;5),"Oppose",IF(AND(Q259&gt;=5,Q259&lt;8),"Neutral",IF(AND(Q259&gt;=8,Q259&lt;=10),"Support","")))</f>
        <v>Neutral</v>
      </c>
      <c r="S259">
        <f>survey_responses[[#This Row],[Tôi tin rằng với các quy định quản lý thuế hiện nay, hành vi gian lận hoặc trốn thuế sẽ dễ dàng bị phát hiện và xử lý nghiêm. - HUMAN-ENF1]]</f>
        <v>6</v>
      </c>
      <c r="T259" t="str">
        <f t="shared" ref="T259:T322" si="109">IF(AND(S259&gt;=1,S259&lt;5),"Oppose",IF(AND(S259&gt;=5,S259&lt;8),"Neutral",IF(AND(S259&gt;=8,S259&lt;=10),"Support","")))</f>
        <v>Neutral</v>
      </c>
      <c r="U259" s="31">
        <f t="shared" ref="U259:U322" si="110">ABS(S259-Q259)</f>
        <v>1</v>
      </c>
      <c r="V259">
        <f>step3_validation[[#This Row],[AI_ENF2]]</f>
        <v>6</v>
      </c>
      <c r="W259" t="str">
        <f t="shared" ref="W259:W322" si="111">IF(AND(V259&gt;=1,V259&lt;5),"Oppose",IF(AND(V259&gt;=5,V259&lt;8),"Neutral",IF(AND(V259&gt;=8,V259&lt;=10),"Support","")))</f>
        <v>Neutral</v>
      </c>
      <c r="X259">
        <f>survey_responses[[#This Row],[Tôi tin rằng Nhà nước, cơ quan thuế có đủ khả năng và công nghệ để phát hiện, xử lý nghiêm các hành vi trốn thuế. - HUMAN-ENF2]]</f>
        <v>7</v>
      </c>
      <c r="Y259" t="str">
        <f t="shared" ref="Y259:Y322" si="112">IF(AND(X259&gt;=1,X259&lt;5),"Oppose",IF(AND(X259&gt;=5,X259&lt;8),"Neutral",IF(AND(X259&gt;=8,X259&lt;=10),"Support","")))</f>
        <v>Neutral</v>
      </c>
      <c r="Z259" s="31">
        <f t="shared" ref="Z259:Z322" si="113">ABS(X259-V259)</f>
        <v>1</v>
      </c>
      <c r="AA259">
        <f>step3_validation[[#This Row],[AI_FAC1]]</f>
        <v>8</v>
      </c>
      <c r="AB259" t="str">
        <f t="shared" ref="AB259:AB322" si="114">IF(AND(AA259&gt;=1,AA259&lt;5),"Oppose",IF(AND(AA259&gt;=5,AA259&lt;8),"Neutral",IF(AND(AA259&gt;=8,AA259&lt;=10),"Support","")))</f>
        <v>Support</v>
      </c>
      <c r="AC259">
        <f>survey_responses[[#This Row],[Các thủ tục khai báo thuế VÀ/HOẶC quy trình làm việc với cơ quan thuế đơn giản, tiện lợi, nhanh chóng hơn so với trước đây. - HUMAN-FAC1]]</f>
        <v>2</v>
      </c>
      <c r="AD259" t="str">
        <f t="shared" ref="AD259:AD322" si="115">IF(AND(AC259&gt;=1,AC259&lt;5),"Oppose",IF(AND(AC259&gt;=5,AC259&lt;8),"Neutral",IF(AND(AC259&gt;=8,AC259&lt;=10),"Support","")))</f>
        <v>Oppose</v>
      </c>
      <c r="AE259" s="31">
        <f t="shared" ref="AE259:AE322" si="116">ABS(AC259-AA259)</f>
        <v>6</v>
      </c>
      <c r="AF259">
        <f>step3_validation[[#This Row],[AI_FAC2]]</f>
        <v>7</v>
      </c>
      <c r="AG259" t="str">
        <f t="shared" ref="AG259:AG322" si="117">IF(AND(AF259&gt;=1,AF259&lt;5),"Oppose",IF(AND(AF259&gt;=5,AF259&lt;8),"Neutral",IF(AND(AF259&gt;=8,AF259&lt;=10),"Support","")))</f>
        <v>Neutral</v>
      </c>
      <c r="AH259">
        <f>survey_responses[[#This Row],[So với trước đây, tôi thấy cách tính thuế và các bậc thuế trong phương án mới đơn giản, dễ hiểu và dễ thực hiện hơn. - HUMAN-FAC2]]</f>
        <v>7</v>
      </c>
      <c r="AI259" t="str">
        <f t="shared" ref="AI259:AI322" si="118">IF(AND(AH259&gt;=1,AH259&lt;5),"Oppose",IF(AND(AH259&gt;=5,AH259&lt;8),"Neutral",IF(AND(AH259&gt;=8,AH259&lt;=10),"Support","")))</f>
        <v>Neutral</v>
      </c>
      <c r="AJ259" s="31">
        <f t="shared" ref="AJ259:AJ322" si="119">ABS(AH259-AF259)</f>
        <v>0</v>
      </c>
      <c r="AK259">
        <f>step3_validation[[#This Row],[AI_TRU1]]</f>
        <v>8</v>
      </c>
      <c r="AL259" t="str">
        <f t="shared" ref="AL259:AL322" si="120">IF(AND(AK259&gt;=1,AK259&lt;5),"Oppose",IF(AND(AK259&gt;=5,AK259&lt;8),"Neutral",IF(AND(AK259&gt;=8,AK259&lt;=10),"Support","")))</f>
        <v>Support</v>
      </c>
      <c r="AM259">
        <f>survey_responses[[#This Row],[Tôi tin rằng Nhà nước, cơ quan thuế sẽ thực thi chính sách mới một cách khách quan, công tâm và đối xử bình đẳng với mọi người nộp thuế.  - HUMAN-TRU1]]</f>
        <v>5</v>
      </c>
      <c r="AN259" t="str">
        <f t="shared" ref="AN259:AN322" si="121">IF(AND(AM259&gt;=1,AM259&lt;5),"Oppose",IF(AND(AM259&gt;=5,AM259&lt;8),"Neutral",IF(AND(AM259&gt;=8,AM259&lt;=10),"Support","")))</f>
        <v>Neutral</v>
      </c>
      <c r="AO259" s="31">
        <f t="shared" ref="AO259:AO322" si="122">ABS(AM259-AK259)</f>
        <v>3</v>
      </c>
      <c r="AP259">
        <f>step3_validation[[#This Row],[AI_TRU2]]</f>
        <v>9</v>
      </c>
      <c r="AQ259" t="str">
        <f t="shared" ref="AQ259:AQ322" si="123">IF(AND(AP259&gt;=1,AP259&lt;5),"Oppose",IF(AND(AP259&gt;=5,AP259&lt;8),"Neutral",IF(AND(AP259&gt;=8,AP259&lt;=10),"Support","")))</f>
        <v>Support</v>
      </c>
      <c r="AR259">
        <f>survey_responses[[#This Row],[Tôi thấy mức thuế tôi phải đóng theo phương án mới là công bằng (người thu nhập như tôi đóng mức này là hợp lý). - HUMAN-TRU2]]</f>
        <v>5</v>
      </c>
      <c r="AS259" t="str">
        <f t="shared" ref="AS259:AS322" si="124">IF(AND(AR259&gt;=1,AR259&lt;5),"Oppose",IF(AND(AR259&gt;=5,AR259&lt;8),"Neutral",IF(AND(AR259&gt;=8,AR259&lt;=10),"Support","")))</f>
        <v>Neutral</v>
      </c>
      <c r="AT259" s="31">
        <f t="shared" ref="AT259:AT322" si="125">ABS(AR259-AP259)</f>
        <v>4</v>
      </c>
      <c r="AU259">
        <f>step3_validation[[#This Row],[AI_TRU3]]</f>
        <v>7</v>
      </c>
      <c r="AV259" t="str">
        <f t="shared" ref="AV259:AV322" si="126">IF(AND(AU259&gt;=1,AU259&lt;5),"Oppose",IF(AND(AU259&gt;=5,AU259&lt;8),"Neutral",IF(AND(AU259&gt;=8,AU259&lt;=10),"Support","")))</f>
        <v>Neutral</v>
      </c>
      <c r="AW259">
        <f>survey_responses[[#This Row],[Tôi tin tưởng số tiền thuế tôi đóng sẽ được Nhà nước sử dụng hiệu quả để cải thiện dịch vụ công (y tế, đường xá...). - HUMAN-TRU3]]</f>
        <v>5</v>
      </c>
      <c r="AX259" t="str">
        <f t="shared" ref="AX259:AX322" si="127">IF(AND(AW259&gt;=1,AW259&lt;5),"Oppose",IF(AND(AW259&gt;=5,AW259&lt;8),"Neutral",IF(AND(AW259&gt;=8,AW259&lt;=10),"Support","")))</f>
        <v>Neutral</v>
      </c>
      <c r="AY259" s="31">
        <f t="shared" ref="AY259:AY322" si="128">ABS(AW259-AU259)</f>
        <v>2</v>
      </c>
      <c r="AZ259">
        <f>step3_validation[[#This Row],[AI_TRU4]]</f>
        <v>6</v>
      </c>
      <c r="BA259" t="str">
        <f t="shared" ref="BA259:BA322" si="129">IF(AND(AZ259&gt;=1,AZ259&lt;5),"Oppose",IF(AND(AZ259&gt;=5,AZ259&lt;8),"Neutral",IF(AND(AZ259&gt;=8,AZ259&lt;=10),"Support","")))</f>
        <v>Neutral</v>
      </c>
      <c r="BB259">
        <f>survey_responses[[#This Row],[Tôi thấy Nhà nước đã giải thích rõ ràng, minh bạch về lý do và mục tiêu của việc sửa đổi thuế lần này. - HUMAN-TRU4]]</f>
        <v>6</v>
      </c>
      <c r="BC259" t="str">
        <f t="shared" ref="BC259:BC322" si="130">IF(AND(BB259&gt;=1,BB259&lt;5),"Oppose",IF(AND(BB259&gt;=5,BB259&lt;8),"Neutral",IF(AND(BB259&gt;=8,BB259&lt;=10),"Support","")))</f>
        <v>Neutral</v>
      </c>
      <c r="BD259" s="31">
        <f t="shared" ref="BD259:BD322" si="131">ABS(BB259-AZ259)</f>
        <v>0</v>
      </c>
      <c r="BE259">
        <f>step3_validation[[#This Row],[AI_OUT1]]</f>
        <v>9</v>
      </c>
      <c r="BF259" t="str">
        <f t="shared" ref="BF259:BF322" si="132">IF(AND(BE259&gt;=1,BE259&lt;5),"Oppose",IF(AND(BE259&gt;=5,BE259&lt;8),"Neutral",IF(AND(BE259&gt;=8,BE259&lt;=10),"Support","")))</f>
        <v>Support</v>
      </c>
      <c r="BG259">
        <f>survey_responses[[#This Row],[Sau khi xem xét các quyền lợi và nghĩa vụ, bạn có ủng hộ và tuân thủ chính sách mới hiện nay? - HUMAN-OUT1]]</f>
        <v>5</v>
      </c>
      <c r="BH259" t="str">
        <f t="shared" ref="BH259:BH322" si="133">IF(AND(BG259&gt;=1,BG259&lt;5),"Oppose",IF(AND(BG259&gt;=5,BG259&lt;8),"Neutral",IF(AND(BG259&gt;=8,BG259&lt;=10),"Support","")))</f>
        <v>Neutral</v>
      </c>
      <c r="BI259" s="31">
        <f t="shared" ref="BI259:BI322" si="134">ABS(BG259-BE259)</f>
        <v>4</v>
      </c>
    </row>
    <row r="260" spans="1:61" hidden="1" x14ac:dyDescent="0.45">
      <c r="A260" s="29">
        <f>step3_validation[[#This Row],[Persona_ID]]</f>
        <v>259</v>
      </c>
      <c r="B260" s="30">
        <f>step3_validation[[#This Row],[Used_Seed]]</f>
        <v>300</v>
      </c>
      <c r="C260" t="str">
        <f>step3_validation[[#This Row],[Gender]]</f>
        <v>Nam</v>
      </c>
      <c r="D260" t="str">
        <f>survey_responses[[#This Row],[Giới tính của bạn:]]</f>
        <v>Nam</v>
      </c>
      <c r="E260" t="str">
        <f>step3_validation[[#This Row],[Age_Group]]</f>
        <v>50 - 54</v>
      </c>
      <c r="F260" t="str">
        <f>survey_responses[[#This Row],[Độ tuổi của bạn:]]</f>
        <v>50 - 54</v>
      </c>
      <c r="G260" t="str">
        <f>step3_validation[[#This Row],[Region]]</f>
        <v>Thành thị</v>
      </c>
      <c r="H260" t="str">
        <f>survey_responses[[#This Row],[Khu vực bạn đang sinh sống:]]</f>
        <v>Thành thị</v>
      </c>
      <c r="I260" t="str">
        <f>step3_validation[[#This Row],[Education]]</f>
        <v>Sau Đại học</v>
      </c>
      <c r="J260" t="str">
        <f>survey_responses[[#This Row],[Trình độ học vấn cao nhất:]]</f>
        <v>Sau Đại học</v>
      </c>
      <c r="K260" t="str">
        <f>step3_validation[[#This Row],[Employment]]</f>
        <v>Chính thức</v>
      </c>
      <c r="L260" t="str">
        <f>survey_responses[[#This Row],[Tình trạng việc làm chính:]]</f>
        <v>Khu vực chính thức (Có Hợp đồng lao động, đóng BHXH)</v>
      </c>
      <c r="M260">
        <f>step3_validation[[#This Row],[Income_Mil]]</f>
        <v>184.12683194829077</v>
      </c>
      <c r="N260" t="str">
        <f>survey_responses[[#This Row],[Thu nhập bình quân tháng theo Hợp đồng lao động của bạn là bao nhiêu? (Vui lòng điền tổng thu nhập trước khi khấu trừ các loại Bảo hiểm (BHXH, BHYT, BHTN) và Thuế TNCN)]]</f>
        <v>Trên 102 triệu VNĐ</v>
      </c>
      <c r="O260">
        <f>step3_validation[[#This Row],[Dependents]]</f>
        <v>4</v>
      </c>
      <c r="P260" t="str">
        <f>survey_responses[[#This Row],[Số người phụ thuộc (con nhỏ, cha mẹ già...) đủ điều kiện giảm trừ gia cảnh:]]</f>
        <v>4 người trở lên</v>
      </c>
      <c r="Q260">
        <f>step3_validation[[#This Row],[AI_ENF1]]</f>
        <v>6</v>
      </c>
      <c r="R260" t="str">
        <f t="shared" si="108"/>
        <v>Neutral</v>
      </c>
      <c r="S260">
        <f>survey_responses[[#This Row],[Tôi tin rằng với các quy định quản lý thuế hiện nay, hành vi gian lận hoặc trốn thuế sẽ dễ dàng bị phát hiện và xử lý nghiêm. - HUMAN-ENF1]]</f>
        <v>2</v>
      </c>
      <c r="T260" t="str">
        <f t="shared" si="109"/>
        <v>Oppose</v>
      </c>
      <c r="U260" s="31">
        <f t="shared" si="110"/>
        <v>4</v>
      </c>
      <c r="V260">
        <f>step3_validation[[#This Row],[AI_ENF2]]</f>
        <v>7</v>
      </c>
      <c r="W260" t="str">
        <f t="shared" si="111"/>
        <v>Neutral</v>
      </c>
      <c r="X260">
        <f>survey_responses[[#This Row],[Tôi tin rằng Nhà nước, cơ quan thuế có đủ khả năng và công nghệ để phát hiện, xử lý nghiêm các hành vi trốn thuế. - HUMAN-ENF2]]</f>
        <v>1</v>
      </c>
      <c r="Y260" t="str">
        <f t="shared" si="112"/>
        <v>Oppose</v>
      </c>
      <c r="Z260" s="31">
        <f t="shared" si="113"/>
        <v>6</v>
      </c>
      <c r="AA260">
        <f>step3_validation[[#This Row],[AI_FAC1]]</f>
        <v>8</v>
      </c>
      <c r="AB260" t="str">
        <f t="shared" si="114"/>
        <v>Support</v>
      </c>
      <c r="AC260">
        <f>survey_responses[[#This Row],[Các thủ tục khai báo thuế VÀ/HOẶC quy trình làm việc với cơ quan thuế đơn giản, tiện lợi, nhanh chóng hơn so với trước đây. - HUMAN-FAC1]]</f>
        <v>1</v>
      </c>
      <c r="AD260" t="str">
        <f t="shared" si="115"/>
        <v>Oppose</v>
      </c>
      <c r="AE260" s="31">
        <f t="shared" si="116"/>
        <v>7</v>
      </c>
      <c r="AF260">
        <f>step3_validation[[#This Row],[AI_FAC2]]</f>
        <v>9</v>
      </c>
      <c r="AG260" t="str">
        <f t="shared" si="117"/>
        <v>Support</v>
      </c>
      <c r="AH260">
        <f>survey_responses[[#This Row],[So với trước đây, tôi thấy cách tính thuế và các bậc thuế trong phương án mới đơn giản, dễ hiểu và dễ thực hiện hơn. - HUMAN-FAC2]]</f>
        <v>6</v>
      </c>
      <c r="AI260" t="str">
        <f t="shared" si="118"/>
        <v>Neutral</v>
      </c>
      <c r="AJ260" s="31">
        <f t="shared" si="119"/>
        <v>3</v>
      </c>
      <c r="AK260">
        <f>step3_validation[[#This Row],[AI_TRU1]]</f>
        <v>7</v>
      </c>
      <c r="AL260" t="str">
        <f t="shared" si="120"/>
        <v>Neutral</v>
      </c>
      <c r="AM260">
        <f>survey_responses[[#This Row],[Tôi tin rằng Nhà nước, cơ quan thuế sẽ thực thi chính sách mới một cách khách quan, công tâm và đối xử bình đẳng với mọi người nộp thuế.  - HUMAN-TRU1]]</f>
        <v>2</v>
      </c>
      <c r="AN260" t="str">
        <f t="shared" si="121"/>
        <v>Oppose</v>
      </c>
      <c r="AO260" s="31">
        <f t="shared" si="122"/>
        <v>5</v>
      </c>
      <c r="AP260">
        <f>step3_validation[[#This Row],[AI_TRU2]]</f>
        <v>8</v>
      </c>
      <c r="AQ260" t="str">
        <f t="shared" si="123"/>
        <v>Support</v>
      </c>
      <c r="AR260">
        <f>survey_responses[[#This Row],[Tôi thấy mức thuế tôi phải đóng theo phương án mới là công bằng (người thu nhập như tôi đóng mức này là hợp lý). - HUMAN-TRU2]]</f>
        <v>3</v>
      </c>
      <c r="AS260" t="str">
        <f t="shared" si="124"/>
        <v>Oppose</v>
      </c>
      <c r="AT260" s="31">
        <f t="shared" si="125"/>
        <v>5</v>
      </c>
      <c r="AU260">
        <f>step3_validation[[#This Row],[AI_TRU3]]</f>
        <v>7</v>
      </c>
      <c r="AV260" t="str">
        <f t="shared" si="126"/>
        <v>Neutral</v>
      </c>
      <c r="AW260">
        <f>survey_responses[[#This Row],[Tôi tin tưởng số tiền thuế tôi đóng sẽ được Nhà nước sử dụng hiệu quả để cải thiện dịch vụ công (y tế, đường xá...). - HUMAN-TRU3]]</f>
        <v>1</v>
      </c>
      <c r="AX260" t="str">
        <f t="shared" si="127"/>
        <v>Oppose</v>
      </c>
      <c r="AY260" s="31">
        <f t="shared" si="128"/>
        <v>6</v>
      </c>
      <c r="AZ260">
        <f>step3_validation[[#This Row],[AI_TRU4]]</f>
        <v>6</v>
      </c>
      <c r="BA260" t="str">
        <f t="shared" si="129"/>
        <v>Neutral</v>
      </c>
      <c r="BB260">
        <f>survey_responses[[#This Row],[Tôi thấy Nhà nước đã giải thích rõ ràng, minh bạch về lý do và mục tiêu của việc sửa đổi thuế lần này. - HUMAN-TRU4]]</f>
        <v>5</v>
      </c>
      <c r="BC260" t="str">
        <f t="shared" si="130"/>
        <v>Neutral</v>
      </c>
      <c r="BD260" s="31">
        <f t="shared" si="131"/>
        <v>1</v>
      </c>
      <c r="BE260">
        <f>step3_validation[[#This Row],[AI_OUT1]]</f>
        <v>9</v>
      </c>
      <c r="BF260" t="str">
        <f t="shared" si="132"/>
        <v>Support</v>
      </c>
      <c r="BG260">
        <f>survey_responses[[#This Row],[Sau khi xem xét các quyền lợi và nghĩa vụ, bạn có ủng hộ và tuân thủ chính sách mới hiện nay? - HUMAN-OUT1]]</f>
        <v>4</v>
      </c>
      <c r="BH260" t="str">
        <f t="shared" si="133"/>
        <v>Oppose</v>
      </c>
      <c r="BI260" s="31">
        <f t="shared" si="134"/>
        <v>5</v>
      </c>
    </row>
    <row r="261" spans="1:61" hidden="1" x14ac:dyDescent="0.45">
      <c r="A261" s="29">
        <f>step3_validation[[#This Row],[Persona_ID]]</f>
        <v>260</v>
      </c>
      <c r="B261" s="30">
        <f>step3_validation[[#This Row],[Used_Seed]]</f>
        <v>301</v>
      </c>
      <c r="C261" t="str">
        <f>step3_validation[[#This Row],[Gender]]</f>
        <v>Nữ</v>
      </c>
      <c r="D261" t="str">
        <f>survey_responses[[#This Row],[Giới tính của bạn:]]</f>
        <v>Nữ</v>
      </c>
      <c r="E261" t="str">
        <f>step3_validation[[#This Row],[Age_Group]]</f>
        <v>30 - 39</v>
      </c>
      <c r="F261" t="str">
        <f>survey_responses[[#This Row],[Độ tuổi của bạn:]]</f>
        <v>30 - 39</v>
      </c>
      <c r="G261" t="str">
        <f>step3_validation[[#This Row],[Region]]</f>
        <v>Nông thôn</v>
      </c>
      <c r="H261" t="str">
        <f>survey_responses[[#This Row],[Khu vực bạn đang sinh sống:]]</f>
        <v>Nông thôn</v>
      </c>
      <c r="I261" t="str">
        <f>step3_validation[[#This Row],[Education]]</f>
        <v>Đại học</v>
      </c>
      <c r="J261" t="str">
        <f>survey_responses[[#This Row],[Trình độ học vấn cao nhất:]]</f>
        <v>Đại học</v>
      </c>
      <c r="K261" t="str">
        <f>step3_validation[[#This Row],[Employment]]</f>
        <v>Chính thức</v>
      </c>
      <c r="L261" t="str">
        <f>survey_responses[[#This Row],[Tình trạng việc làm chính:]]</f>
        <v>Khu vực chính thức (Có Hợp đồng lao động, đóng BHXH)</v>
      </c>
      <c r="M261">
        <f>step3_validation[[#This Row],[Income_Mil]]</f>
        <v>45.176598438441665</v>
      </c>
      <c r="N261" t="str">
        <f>survey_responses[[#This Row],[Thu nhập bình quân tháng theo Hợp đồng lao động của bạn là bao nhiêu? (Vui lòng điền tổng thu nhập trước khi khấu trừ các loại Bảo hiểm (BHXH, BHYT, BHTN) và Thuế TNCN)]]</f>
        <v>Từ 32 - 48 triệu VNĐ</v>
      </c>
      <c r="O261">
        <f>step3_validation[[#This Row],[Dependents]]</f>
        <v>2</v>
      </c>
      <c r="P261" t="str">
        <f>survey_responses[[#This Row],[Số người phụ thuộc (con nhỏ, cha mẹ già...) đủ điều kiện giảm trừ gia cảnh:]]</f>
        <v>2 người</v>
      </c>
      <c r="Q261">
        <f>step3_validation[[#This Row],[AI_ENF1]]</f>
        <v>6</v>
      </c>
      <c r="R261" t="str">
        <f t="shared" si="108"/>
        <v>Neutral</v>
      </c>
      <c r="S261">
        <f>survey_responses[[#This Row],[Tôi tin rằng với các quy định quản lý thuế hiện nay, hành vi gian lận hoặc trốn thuế sẽ dễ dàng bị phát hiện và xử lý nghiêm. - HUMAN-ENF1]]</f>
        <v>6</v>
      </c>
      <c r="T261" t="str">
        <f t="shared" si="109"/>
        <v>Neutral</v>
      </c>
      <c r="U261" s="31">
        <f t="shared" si="110"/>
        <v>0</v>
      </c>
      <c r="V261">
        <f>step3_validation[[#This Row],[AI_ENF2]]</f>
        <v>7</v>
      </c>
      <c r="W261" t="str">
        <f t="shared" si="111"/>
        <v>Neutral</v>
      </c>
      <c r="X261">
        <f>survey_responses[[#This Row],[Tôi tin rằng Nhà nước, cơ quan thuế có đủ khả năng và công nghệ để phát hiện, xử lý nghiêm các hành vi trốn thuế. - HUMAN-ENF2]]</f>
        <v>6</v>
      </c>
      <c r="Y261" t="str">
        <f t="shared" si="112"/>
        <v>Neutral</v>
      </c>
      <c r="Z261" s="31">
        <f t="shared" si="113"/>
        <v>1</v>
      </c>
      <c r="AA261">
        <f>step3_validation[[#This Row],[AI_FAC1]]</f>
        <v>9</v>
      </c>
      <c r="AB261" t="str">
        <f t="shared" si="114"/>
        <v>Support</v>
      </c>
      <c r="AC261">
        <f>survey_responses[[#This Row],[Các thủ tục khai báo thuế VÀ/HOẶC quy trình làm việc với cơ quan thuế đơn giản, tiện lợi, nhanh chóng hơn so với trước đây. - HUMAN-FAC1]]</f>
        <v>7</v>
      </c>
      <c r="AD261" t="str">
        <f t="shared" si="115"/>
        <v>Neutral</v>
      </c>
      <c r="AE261" s="31">
        <f t="shared" si="116"/>
        <v>2</v>
      </c>
      <c r="AF261">
        <f>step3_validation[[#This Row],[AI_FAC2]]</f>
        <v>8</v>
      </c>
      <c r="AG261" t="str">
        <f t="shared" si="117"/>
        <v>Support</v>
      </c>
      <c r="AH261">
        <f>survey_responses[[#This Row],[So với trước đây, tôi thấy cách tính thuế và các bậc thuế trong phương án mới đơn giản, dễ hiểu và dễ thực hiện hơn. - HUMAN-FAC2]]</f>
        <v>6</v>
      </c>
      <c r="AI261" t="str">
        <f t="shared" si="118"/>
        <v>Neutral</v>
      </c>
      <c r="AJ261" s="31">
        <f t="shared" si="119"/>
        <v>2</v>
      </c>
      <c r="AK261">
        <f>step3_validation[[#This Row],[AI_TRU1]]</f>
        <v>7</v>
      </c>
      <c r="AL261" t="str">
        <f t="shared" si="120"/>
        <v>Neutral</v>
      </c>
      <c r="AM261">
        <f>survey_responses[[#This Row],[Tôi tin rằng Nhà nước, cơ quan thuế sẽ thực thi chính sách mới một cách khách quan, công tâm và đối xử bình đẳng với mọi người nộp thuế.  - HUMAN-TRU1]]</f>
        <v>5</v>
      </c>
      <c r="AN261" t="str">
        <f t="shared" si="121"/>
        <v>Neutral</v>
      </c>
      <c r="AO261" s="31">
        <f t="shared" si="122"/>
        <v>2</v>
      </c>
      <c r="AP261">
        <f>step3_validation[[#This Row],[AI_TRU2]]</f>
        <v>8</v>
      </c>
      <c r="AQ261" t="str">
        <f t="shared" si="123"/>
        <v>Support</v>
      </c>
      <c r="AR261">
        <f>survey_responses[[#This Row],[Tôi thấy mức thuế tôi phải đóng theo phương án mới là công bằng (người thu nhập như tôi đóng mức này là hợp lý). - HUMAN-TRU2]]</f>
        <v>6</v>
      </c>
      <c r="AS261" t="str">
        <f t="shared" si="124"/>
        <v>Neutral</v>
      </c>
      <c r="AT261" s="31">
        <f t="shared" si="125"/>
        <v>2</v>
      </c>
      <c r="AU261">
        <f>step3_validation[[#This Row],[AI_TRU3]]</f>
        <v>7</v>
      </c>
      <c r="AV261" t="str">
        <f t="shared" si="126"/>
        <v>Neutral</v>
      </c>
      <c r="AW261">
        <f>survey_responses[[#This Row],[Tôi tin tưởng số tiền thuế tôi đóng sẽ được Nhà nước sử dụng hiệu quả để cải thiện dịch vụ công (y tế, đường xá...). - HUMAN-TRU3]]</f>
        <v>5</v>
      </c>
      <c r="AX261" t="str">
        <f t="shared" si="127"/>
        <v>Neutral</v>
      </c>
      <c r="AY261" s="31">
        <f t="shared" si="128"/>
        <v>2</v>
      </c>
      <c r="AZ261">
        <f>step3_validation[[#This Row],[AI_TRU4]]</f>
        <v>8</v>
      </c>
      <c r="BA261" t="str">
        <f t="shared" si="129"/>
        <v>Support</v>
      </c>
      <c r="BB261">
        <f>survey_responses[[#This Row],[Tôi thấy Nhà nước đã giải thích rõ ràng, minh bạch về lý do và mục tiêu của việc sửa đổi thuế lần này. - HUMAN-TRU4]]</f>
        <v>6</v>
      </c>
      <c r="BC261" t="str">
        <f t="shared" si="130"/>
        <v>Neutral</v>
      </c>
      <c r="BD261" s="31">
        <f t="shared" si="131"/>
        <v>2</v>
      </c>
      <c r="BE261">
        <f>step3_validation[[#This Row],[AI_OUT1]]</f>
        <v>9</v>
      </c>
      <c r="BF261" t="str">
        <f t="shared" si="132"/>
        <v>Support</v>
      </c>
      <c r="BG261">
        <f>survey_responses[[#This Row],[Sau khi xem xét các quyền lợi và nghĩa vụ, bạn có ủng hộ và tuân thủ chính sách mới hiện nay? - HUMAN-OUT1]]</f>
        <v>6</v>
      </c>
      <c r="BH261" t="str">
        <f t="shared" si="133"/>
        <v>Neutral</v>
      </c>
      <c r="BI261" s="31">
        <f t="shared" si="134"/>
        <v>3</v>
      </c>
    </row>
    <row r="262" spans="1:61" hidden="1" x14ac:dyDescent="0.45">
      <c r="A262" s="29">
        <f>step3_validation[[#This Row],[Persona_ID]]</f>
        <v>261</v>
      </c>
      <c r="B262" s="30">
        <f>step3_validation[[#This Row],[Used_Seed]]</f>
        <v>302</v>
      </c>
      <c r="C262" t="str">
        <f>step3_validation[[#This Row],[Gender]]</f>
        <v>Nam</v>
      </c>
      <c r="D262" t="str">
        <f>survey_responses[[#This Row],[Giới tính của bạn:]]</f>
        <v>Nam</v>
      </c>
      <c r="E262" t="str">
        <f>step3_validation[[#This Row],[Age_Group]]</f>
        <v>30 - 39</v>
      </c>
      <c r="F262" t="str">
        <f>survey_responses[[#This Row],[Độ tuổi của bạn:]]</f>
        <v>30 - 39</v>
      </c>
      <c r="G262" t="str">
        <f>step3_validation[[#This Row],[Region]]</f>
        <v>Thành thị</v>
      </c>
      <c r="H262" t="str">
        <f>survey_responses[[#This Row],[Khu vực bạn đang sinh sống:]]</f>
        <v>Thành thị</v>
      </c>
      <c r="I262" t="str">
        <f>step3_validation[[#This Row],[Education]]</f>
        <v>Đại học</v>
      </c>
      <c r="J262" t="str">
        <f>survey_responses[[#This Row],[Trình độ học vấn cao nhất:]]</f>
        <v>Đại học</v>
      </c>
      <c r="K262" t="str">
        <f>step3_validation[[#This Row],[Employment]]</f>
        <v>Chính thức</v>
      </c>
      <c r="L262" t="str">
        <f>survey_responses[[#This Row],[Tình trạng việc làm chính:]]</f>
        <v>Khu vực chính thức (Có Hợp đồng lao động, đóng BHXH)</v>
      </c>
      <c r="M262">
        <f>step3_validation[[#This Row],[Income_Mil]]</f>
        <v>44.639762601834903</v>
      </c>
      <c r="N262" t="str">
        <f>survey_responses[[#This Row],[Thu nhập bình quân tháng theo Hợp đồng lao động của bạn là bao nhiêu? (Vui lòng điền tổng thu nhập trước khi khấu trừ các loại Bảo hiểm (BHXH, BHYT, BHTN) và Thuế TNCN)]]</f>
        <v>Từ 32 - 48 triệu VNĐ</v>
      </c>
      <c r="O262">
        <f>step3_validation[[#This Row],[Dependents]]</f>
        <v>1</v>
      </c>
      <c r="P262" t="str">
        <f>survey_responses[[#This Row],[Số người phụ thuộc (con nhỏ, cha mẹ già...) đủ điều kiện giảm trừ gia cảnh:]]</f>
        <v>1 người</v>
      </c>
      <c r="Q262">
        <f>step3_validation[[#This Row],[AI_ENF1]]</f>
        <v>7</v>
      </c>
      <c r="R262" t="str">
        <f t="shared" si="108"/>
        <v>Neutral</v>
      </c>
      <c r="S262">
        <f>survey_responses[[#This Row],[Tôi tin rằng với các quy định quản lý thuế hiện nay, hành vi gian lận hoặc trốn thuế sẽ dễ dàng bị phát hiện và xử lý nghiêm. - HUMAN-ENF1]]</f>
        <v>6</v>
      </c>
      <c r="T262" t="str">
        <f t="shared" si="109"/>
        <v>Neutral</v>
      </c>
      <c r="U262" s="31">
        <f t="shared" si="110"/>
        <v>1</v>
      </c>
      <c r="V262">
        <f>step3_validation[[#This Row],[AI_ENF2]]</f>
        <v>8</v>
      </c>
      <c r="W262" t="str">
        <f t="shared" si="111"/>
        <v>Support</v>
      </c>
      <c r="X262">
        <f>survey_responses[[#This Row],[Tôi tin rằng Nhà nước, cơ quan thuế có đủ khả năng và công nghệ để phát hiện, xử lý nghiêm các hành vi trốn thuế. - HUMAN-ENF2]]</f>
        <v>7</v>
      </c>
      <c r="Y262" t="str">
        <f t="shared" si="112"/>
        <v>Neutral</v>
      </c>
      <c r="Z262" s="31">
        <f t="shared" si="113"/>
        <v>1</v>
      </c>
      <c r="AA262">
        <f>step3_validation[[#This Row],[AI_FAC1]]</f>
        <v>6</v>
      </c>
      <c r="AB262" t="str">
        <f t="shared" si="114"/>
        <v>Neutral</v>
      </c>
      <c r="AC262">
        <f>survey_responses[[#This Row],[Các thủ tục khai báo thuế VÀ/HOẶC quy trình làm việc với cơ quan thuế đơn giản, tiện lợi, nhanh chóng hơn so với trước đây. - HUMAN-FAC1]]</f>
        <v>1</v>
      </c>
      <c r="AD262" t="str">
        <f t="shared" si="115"/>
        <v>Oppose</v>
      </c>
      <c r="AE262" s="31">
        <f t="shared" si="116"/>
        <v>5</v>
      </c>
      <c r="AF262">
        <f>step3_validation[[#This Row],[AI_FAC2]]</f>
        <v>9</v>
      </c>
      <c r="AG262" t="str">
        <f t="shared" si="117"/>
        <v>Support</v>
      </c>
      <c r="AH262">
        <f>survey_responses[[#This Row],[So với trước đây, tôi thấy cách tính thuế và các bậc thuế trong phương án mới đơn giản, dễ hiểu và dễ thực hiện hơn. - HUMAN-FAC2]]</f>
        <v>9</v>
      </c>
      <c r="AI262" t="str">
        <f t="shared" si="118"/>
        <v>Support</v>
      </c>
      <c r="AJ262" s="31">
        <f t="shared" si="119"/>
        <v>0</v>
      </c>
      <c r="AK262">
        <f>step3_validation[[#This Row],[AI_TRU1]]</f>
        <v>7</v>
      </c>
      <c r="AL262" t="str">
        <f t="shared" si="120"/>
        <v>Neutral</v>
      </c>
      <c r="AM262">
        <f>survey_responses[[#This Row],[Tôi tin rằng Nhà nước, cơ quan thuế sẽ thực thi chính sách mới một cách khách quan, công tâm và đối xử bình đẳng với mọi người nộp thuế.  - HUMAN-TRU1]]</f>
        <v>5</v>
      </c>
      <c r="AN262" t="str">
        <f t="shared" si="121"/>
        <v>Neutral</v>
      </c>
      <c r="AO262" s="31">
        <f t="shared" si="122"/>
        <v>2</v>
      </c>
      <c r="AP262">
        <f>step3_validation[[#This Row],[AI_TRU2]]</f>
        <v>9</v>
      </c>
      <c r="AQ262" t="str">
        <f t="shared" si="123"/>
        <v>Support</v>
      </c>
      <c r="AR262">
        <f>survey_responses[[#This Row],[Tôi thấy mức thuế tôi phải đóng theo phương án mới là công bằng (người thu nhập như tôi đóng mức này là hợp lý). - HUMAN-TRU2]]</f>
        <v>4</v>
      </c>
      <c r="AS262" t="str">
        <f t="shared" si="124"/>
        <v>Oppose</v>
      </c>
      <c r="AT262" s="31">
        <f t="shared" si="125"/>
        <v>5</v>
      </c>
      <c r="AU262">
        <f>step3_validation[[#This Row],[AI_TRU3]]</f>
        <v>8</v>
      </c>
      <c r="AV262" t="str">
        <f t="shared" si="126"/>
        <v>Support</v>
      </c>
      <c r="AW262">
        <f>survey_responses[[#This Row],[Tôi tin tưởng số tiền thuế tôi đóng sẽ được Nhà nước sử dụng hiệu quả để cải thiện dịch vụ công (y tế, đường xá...). - HUMAN-TRU3]]</f>
        <v>4</v>
      </c>
      <c r="AX262" t="str">
        <f t="shared" si="127"/>
        <v>Oppose</v>
      </c>
      <c r="AY262" s="31">
        <f t="shared" si="128"/>
        <v>4</v>
      </c>
      <c r="AZ262">
        <f>step3_validation[[#This Row],[AI_TRU4]]</f>
        <v>7</v>
      </c>
      <c r="BA262" t="str">
        <f t="shared" si="129"/>
        <v>Neutral</v>
      </c>
      <c r="BB262">
        <f>survey_responses[[#This Row],[Tôi thấy Nhà nước đã giải thích rõ ràng, minh bạch về lý do và mục tiêu của việc sửa đổi thuế lần này. - HUMAN-TRU4]]</f>
        <v>5</v>
      </c>
      <c r="BC262" t="str">
        <f t="shared" si="130"/>
        <v>Neutral</v>
      </c>
      <c r="BD262" s="31">
        <f t="shared" si="131"/>
        <v>2</v>
      </c>
      <c r="BE262">
        <f>step3_validation[[#This Row],[AI_OUT1]]</f>
        <v>9</v>
      </c>
      <c r="BF262" t="str">
        <f t="shared" si="132"/>
        <v>Support</v>
      </c>
      <c r="BG262">
        <f>survey_responses[[#This Row],[Sau khi xem xét các quyền lợi và nghĩa vụ, bạn có ủng hộ và tuân thủ chính sách mới hiện nay? - HUMAN-OUT1]]</f>
        <v>5</v>
      </c>
      <c r="BH262" t="str">
        <f t="shared" si="133"/>
        <v>Neutral</v>
      </c>
      <c r="BI262" s="31">
        <f t="shared" si="134"/>
        <v>4</v>
      </c>
    </row>
    <row r="263" spans="1:61" hidden="1" x14ac:dyDescent="0.45">
      <c r="A263" s="29">
        <f>step3_validation[[#This Row],[Persona_ID]]</f>
        <v>262</v>
      </c>
      <c r="B263" s="30">
        <f>step3_validation[[#This Row],[Used_Seed]]</f>
        <v>303</v>
      </c>
      <c r="C263" t="str">
        <f>step3_validation[[#This Row],[Gender]]</f>
        <v>Nam</v>
      </c>
      <c r="D263" t="str">
        <f>survey_responses[[#This Row],[Giới tính của bạn:]]</f>
        <v>Nam</v>
      </c>
      <c r="E263" t="str">
        <f>step3_validation[[#This Row],[Age_Group]]</f>
        <v>30 - 39</v>
      </c>
      <c r="F263" t="str">
        <f>survey_responses[[#This Row],[Độ tuổi của bạn:]]</f>
        <v>30 - 39</v>
      </c>
      <c r="G263" t="str">
        <f>step3_validation[[#This Row],[Region]]</f>
        <v>Thành thị</v>
      </c>
      <c r="H263" t="str">
        <f>survey_responses[[#This Row],[Khu vực bạn đang sinh sống:]]</f>
        <v>Thành thị</v>
      </c>
      <c r="I263" t="str">
        <f>step3_validation[[#This Row],[Education]]</f>
        <v>Đại học</v>
      </c>
      <c r="J263" t="str">
        <f>survey_responses[[#This Row],[Trình độ học vấn cao nhất:]]</f>
        <v>Đại học</v>
      </c>
      <c r="K263" t="str">
        <f>step3_validation[[#This Row],[Employment]]</f>
        <v>Chính thức</v>
      </c>
      <c r="L263" t="str">
        <f>survey_responses[[#This Row],[Tình trạng việc làm chính:]]</f>
        <v>Khu vực chính thức (Có Hợp đồng lao động, đóng BHXH)</v>
      </c>
      <c r="M263">
        <f>step3_validation[[#This Row],[Income_Mil]]</f>
        <v>68.000404351217739</v>
      </c>
      <c r="N263" t="str">
        <f>survey_responses[[#This Row],[Thu nhập bình quân tháng theo Hợp đồng lao động của bạn là bao nhiêu? (Vui lòng điền tổng thu nhập trước khi khấu trừ các loại Bảo hiểm (BHXH, BHYT, BHTN) và Thuế TNCN)]]</f>
        <v>Từ 48 - 70 triệu VNĐ</v>
      </c>
      <c r="O263">
        <f>step3_validation[[#This Row],[Dependents]]</f>
        <v>4</v>
      </c>
      <c r="P263" t="str">
        <f>survey_responses[[#This Row],[Số người phụ thuộc (con nhỏ, cha mẹ già...) đủ điều kiện giảm trừ gia cảnh:]]</f>
        <v>4 người trở lên</v>
      </c>
      <c r="Q263">
        <f>step3_validation[[#This Row],[AI_ENF1]]</f>
        <v>7</v>
      </c>
      <c r="R263" t="str">
        <f t="shared" si="108"/>
        <v>Neutral</v>
      </c>
      <c r="S263">
        <f>survey_responses[[#This Row],[Tôi tin rằng với các quy định quản lý thuế hiện nay, hành vi gian lận hoặc trốn thuế sẽ dễ dàng bị phát hiện và xử lý nghiêm. - HUMAN-ENF1]]</f>
        <v>9</v>
      </c>
      <c r="T263" t="str">
        <f t="shared" si="109"/>
        <v>Support</v>
      </c>
      <c r="U263" s="31">
        <f t="shared" si="110"/>
        <v>2</v>
      </c>
      <c r="V263">
        <f>step3_validation[[#This Row],[AI_ENF2]]</f>
        <v>6</v>
      </c>
      <c r="W263" t="str">
        <f t="shared" si="111"/>
        <v>Neutral</v>
      </c>
      <c r="X263">
        <f>survey_responses[[#This Row],[Tôi tin rằng Nhà nước, cơ quan thuế có đủ khả năng và công nghệ để phát hiện, xử lý nghiêm các hành vi trốn thuế. - HUMAN-ENF2]]</f>
        <v>9</v>
      </c>
      <c r="Y263" t="str">
        <f t="shared" si="112"/>
        <v>Support</v>
      </c>
      <c r="Z263" s="31">
        <f t="shared" si="113"/>
        <v>3</v>
      </c>
      <c r="AA263">
        <f>step3_validation[[#This Row],[AI_FAC1]]</f>
        <v>9</v>
      </c>
      <c r="AB263" t="str">
        <f t="shared" si="114"/>
        <v>Support</v>
      </c>
      <c r="AC263">
        <f>survey_responses[[#This Row],[Các thủ tục khai báo thuế VÀ/HOẶC quy trình làm việc với cơ quan thuế đơn giản, tiện lợi, nhanh chóng hơn so với trước đây. - HUMAN-FAC1]]</f>
        <v>8</v>
      </c>
      <c r="AD263" t="str">
        <f t="shared" si="115"/>
        <v>Support</v>
      </c>
      <c r="AE263" s="31">
        <f t="shared" si="116"/>
        <v>1</v>
      </c>
      <c r="AF263">
        <f>step3_validation[[#This Row],[AI_FAC2]]</f>
        <v>8</v>
      </c>
      <c r="AG263" t="str">
        <f t="shared" si="117"/>
        <v>Support</v>
      </c>
      <c r="AH263">
        <f>survey_responses[[#This Row],[So với trước đây, tôi thấy cách tính thuế và các bậc thuế trong phương án mới đơn giản, dễ hiểu và dễ thực hiện hơn. - HUMAN-FAC2]]</f>
        <v>9</v>
      </c>
      <c r="AI263" t="str">
        <f t="shared" si="118"/>
        <v>Support</v>
      </c>
      <c r="AJ263" s="31">
        <f t="shared" si="119"/>
        <v>1</v>
      </c>
      <c r="AK263">
        <f>step3_validation[[#This Row],[AI_TRU1]]</f>
        <v>9</v>
      </c>
      <c r="AL263" t="str">
        <f t="shared" si="120"/>
        <v>Support</v>
      </c>
      <c r="AM263">
        <f>survey_responses[[#This Row],[Tôi tin rằng Nhà nước, cơ quan thuế sẽ thực thi chính sách mới một cách khách quan, công tâm và đối xử bình đẳng với mọi người nộp thuế.  - HUMAN-TRU1]]</f>
        <v>8</v>
      </c>
      <c r="AN263" t="str">
        <f t="shared" si="121"/>
        <v>Support</v>
      </c>
      <c r="AO263" s="31">
        <f t="shared" si="122"/>
        <v>1</v>
      </c>
      <c r="AP263">
        <f>step3_validation[[#This Row],[AI_TRU2]]</f>
        <v>8</v>
      </c>
      <c r="AQ263" t="str">
        <f t="shared" si="123"/>
        <v>Support</v>
      </c>
      <c r="AR263">
        <f>survey_responses[[#This Row],[Tôi thấy mức thuế tôi phải đóng theo phương án mới là công bằng (người thu nhập như tôi đóng mức này là hợp lý). - HUMAN-TRU2]]</f>
        <v>9</v>
      </c>
      <c r="AS263" t="str">
        <f t="shared" si="124"/>
        <v>Support</v>
      </c>
      <c r="AT263" s="31">
        <f t="shared" si="125"/>
        <v>1</v>
      </c>
      <c r="AU263">
        <f>step3_validation[[#This Row],[AI_TRU3]]</f>
        <v>9</v>
      </c>
      <c r="AV263" t="str">
        <f t="shared" si="126"/>
        <v>Support</v>
      </c>
      <c r="AW263">
        <f>survey_responses[[#This Row],[Tôi tin tưởng số tiền thuế tôi đóng sẽ được Nhà nước sử dụng hiệu quả để cải thiện dịch vụ công (y tế, đường xá...). - HUMAN-TRU3]]</f>
        <v>9</v>
      </c>
      <c r="AX263" t="str">
        <f t="shared" si="127"/>
        <v>Support</v>
      </c>
      <c r="AY263" s="31">
        <f t="shared" si="128"/>
        <v>0</v>
      </c>
      <c r="AZ263">
        <f>step3_validation[[#This Row],[AI_TRU4]]</f>
        <v>8</v>
      </c>
      <c r="BA263" t="str">
        <f t="shared" si="129"/>
        <v>Support</v>
      </c>
      <c r="BB263">
        <f>survey_responses[[#This Row],[Tôi thấy Nhà nước đã giải thích rõ ràng, minh bạch về lý do và mục tiêu của việc sửa đổi thuế lần này. - HUMAN-TRU4]]</f>
        <v>8</v>
      </c>
      <c r="BC263" t="str">
        <f t="shared" si="130"/>
        <v>Support</v>
      </c>
      <c r="BD263" s="31">
        <f t="shared" si="131"/>
        <v>0</v>
      </c>
      <c r="BE263">
        <f>step3_validation[[#This Row],[AI_OUT1]]</f>
        <v>9</v>
      </c>
      <c r="BF263" t="str">
        <f t="shared" si="132"/>
        <v>Support</v>
      </c>
      <c r="BG263">
        <f>survey_responses[[#This Row],[Sau khi xem xét các quyền lợi và nghĩa vụ, bạn có ủng hộ và tuân thủ chính sách mới hiện nay? - HUMAN-OUT1]]</f>
        <v>8</v>
      </c>
      <c r="BH263" t="str">
        <f t="shared" si="133"/>
        <v>Support</v>
      </c>
      <c r="BI263" s="31">
        <f t="shared" si="134"/>
        <v>1</v>
      </c>
    </row>
    <row r="264" spans="1:61" hidden="1" x14ac:dyDescent="0.45">
      <c r="A264" s="29">
        <f>step3_validation[[#This Row],[Persona_ID]]</f>
        <v>263</v>
      </c>
      <c r="B264" s="30">
        <f>step3_validation[[#This Row],[Used_Seed]]</f>
        <v>304</v>
      </c>
      <c r="C264" t="str">
        <f>step3_validation[[#This Row],[Gender]]</f>
        <v>Nam</v>
      </c>
      <c r="D264" t="str">
        <f>survey_responses[[#This Row],[Giới tính của bạn:]]</f>
        <v>Nam</v>
      </c>
      <c r="E264" t="str">
        <f>step3_validation[[#This Row],[Age_Group]]</f>
        <v>30 - 39</v>
      </c>
      <c r="F264" t="str">
        <f>survey_responses[[#This Row],[Độ tuổi của bạn:]]</f>
        <v>30 - 39</v>
      </c>
      <c r="G264" t="str">
        <f>step3_validation[[#This Row],[Region]]</f>
        <v>Thành thị</v>
      </c>
      <c r="H264" t="str">
        <f>survey_responses[[#This Row],[Khu vực bạn đang sinh sống:]]</f>
        <v>Thành thị</v>
      </c>
      <c r="I264" t="str">
        <f>step3_validation[[#This Row],[Education]]</f>
        <v>Sau Đại học</v>
      </c>
      <c r="J264" t="str">
        <f>survey_responses[[#This Row],[Trình độ học vấn cao nhất:]]</f>
        <v>Sau Đại học</v>
      </c>
      <c r="K264" t="str">
        <f>step3_validation[[#This Row],[Employment]]</f>
        <v>Chính thức</v>
      </c>
      <c r="L264" t="str">
        <f>survey_responses[[#This Row],[Tình trạng việc làm chính:]]</f>
        <v>Khu vực chính thức (Có Hợp đồng lao động, đóng BHXH)</v>
      </c>
      <c r="M264">
        <f>step3_validation[[#This Row],[Income_Mil]]</f>
        <v>92.592868479061394</v>
      </c>
      <c r="N264" t="str">
        <f>survey_responses[[#This Row],[Thu nhập bình quân tháng theo Hợp đồng lao động của bạn là bao nhiêu? (Vui lòng điền tổng thu nhập trước khi khấu trừ các loại Bảo hiểm (BHXH, BHYT, BHTN) và Thuế TNCN)]]</f>
        <v>Từ 70 - 102 triệu VNĐ</v>
      </c>
      <c r="O264">
        <f>step3_validation[[#This Row],[Dependents]]</f>
        <v>3</v>
      </c>
      <c r="P264" t="str">
        <f>survey_responses[[#This Row],[Số người phụ thuộc (con nhỏ, cha mẹ già...) đủ điều kiện giảm trừ gia cảnh:]]</f>
        <v>3 người</v>
      </c>
      <c r="Q264">
        <f>step3_validation[[#This Row],[AI_ENF1]]</f>
        <v>7</v>
      </c>
      <c r="R264" t="str">
        <f t="shared" si="108"/>
        <v>Neutral</v>
      </c>
      <c r="S264">
        <f>survey_responses[[#This Row],[Tôi tin rằng với các quy định quản lý thuế hiện nay, hành vi gian lận hoặc trốn thuế sẽ dễ dàng bị phát hiện và xử lý nghiêm. - HUMAN-ENF1]]</f>
        <v>8</v>
      </c>
      <c r="T264" t="str">
        <f t="shared" si="109"/>
        <v>Support</v>
      </c>
      <c r="U264" s="31">
        <f t="shared" si="110"/>
        <v>1</v>
      </c>
      <c r="V264">
        <f>step3_validation[[#This Row],[AI_ENF2]]</f>
        <v>6</v>
      </c>
      <c r="W264" t="str">
        <f t="shared" si="111"/>
        <v>Neutral</v>
      </c>
      <c r="X264">
        <f>survey_responses[[#This Row],[Tôi tin rằng Nhà nước, cơ quan thuế có đủ khả năng và công nghệ để phát hiện, xử lý nghiêm các hành vi trốn thuế. - HUMAN-ENF2]]</f>
        <v>8</v>
      </c>
      <c r="Y264" t="str">
        <f t="shared" si="112"/>
        <v>Support</v>
      </c>
      <c r="Z264" s="31">
        <f t="shared" si="113"/>
        <v>2</v>
      </c>
      <c r="AA264">
        <f>step3_validation[[#This Row],[AI_FAC1]]</f>
        <v>8</v>
      </c>
      <c r="AB264" t="str">
        <f t="shared" si="114"/>
        <v>Support</v>
      </c>
      <c r="AC264">
        <f>survey_responses[[#This Row],[Các thủ tục khai báo thuế VÀ/HOẶC quy trình làm việc với cơ quan thuế đơn giản, tiện lợi, nhanh chóng hơn so với trước đây. - HUMAN-FAC1]]</f>
        <v>5</v>
      </c>
      <c r="AD264" t="str">
        <f t="shared" si="115"/>
        <v>Neutral</v>
      </c>
      <c r="AE264" s="31">
        <f t="shared" si="116"/>
        <v>3</v>
      </c>
      <c r="AF264">
        <f>step3_validation[[#This Row],[AI_FAC2]]</f>
        <v>9</v>
      </c>
      <c r="AG264" t="str">
        <f t="shared" si="117"/>
        <v>Support</v>
      </c>
      <c r="AH264">
        <f>survey_responses[[#This Row],[So với trước đây, tôi thấy cách tính thuế và các bậc thuế trong phương án mới đơn giản, dễ hiểu và dễ thực hiện hơn. - HUMAN-FAC2]]</f>
        <v>7</v>
      </c>
      <c r="AI264" t="str">
        <f t="shared" si="118"/>
        <v>Neutral</v>
      </c>
      <c r="AJ264" s="31">
        <f t="shared" si="119"/>
        <v>2</v>
      </c>
      <c r="AK264">
        <f>step3_validation[[#This Row],[AI_TRU1]]</f>
        <v>8</v>
      </c>
      <c r="AL264" t="str">
        <f t="shared" si="120"/>
        <v>Support</v>
      </c>
      <c r="AM264">
        <f>survey_responses[[#This Row],[Tôi tin rằng Nhà nước, cơ quan thuế sẽ thực thi chính sách mới một cách khách quan, công tâm và đối xử bình đẳng với mọi người nộp thuế.  - HUMAN-TRU1]]</f>
        <v>7</v>
      </c>
      <c r="AN264" t="str">
        <f t="shared" si="121"/>
        <v>Neutral</v>
      </c>
      <c r="AO264" s="31">
        <f t="shared" si="122"/>
        <v>1</v>
      </c>
      <c r="AP264">
        <f>step3_validation[[#This Row],[AI_TRU2]]</f>
        <v>9</v>
      </c>
      <c r="AQ264" t="str">
        <f t="shared" si="123"/>
        <v>Support</v>
      </c>
      <c r="AR264">
        <f>survey_responses[[#This Row],[Tôi thấy mức thuế tôi phải đóng theo phương án mới là công bằng (người thu nhập như tôi đóng mức này là hợp lý). - HUMAN-TRU2]]</f>
        <v>5</v>
      </c>
      <c r="AS264" t="str">
        <f t="shared" si="124"/>
        <v>Neutral</v>
      </c>
      <c r="AT264" s="31">
        <f t="shared" si="125"/>
        <v>4</v>
      </c>
      <c r="AU264">
        <f>step3_validation[[#This Row],[AI_TRU3]]</f>
        <v>8</v>
      </c>
      <c r="AV264" t="str">
        <f t="shared" si="126"/>
        <v>Support</v>
      </c>
      <c r="AW264">
        <f>survey_responses[[#This Row],[Tôi tin tưởng số tiền thuế tôi đóng sẽ được Nhà nước sử dụng hiệu quả để cải thiện dịch vụ công (y tế, đường xá...). - HUMAN-TRU3]]</f>
        <v>5</v>
      </c>
      <c r="AX264" t="str">
        <f t="shared" si="127"/>
        <v>Neutral</v>
      </c>
      <c r="AY264" s="31">
        <f t="shared" si="128"/>
        <v>3</v>
      </c>
      <c r="AZ264">
        <f>step3_validation[[#This Row],[AI_TRU4]]</f>
        <v>7</v>
      </c>
      <c r="BA264" t="str">
        <f t="shared" si="129"/>
        <v>Neutral</v>
      </c>
      <c r="BB264">
        <f>survey_responses[[#This Row],[Tôi thấy Nhà nước đã giải thích rõ ràng, minh bạch về lý do và mục tiêu của việc sửa đổi thuế lần này. - HUMAN-TRU4]]</f>
        <v>6</v>
      </c>
      <c r="BC264" t="str">
        <f t="shared" si="130"/>
        <v>Neutral</v>
      </c>
      <c r="BD264" s="31">
        <f t="shared" si="131"/>
        <v>1</v>
      </c>
      <c r="BE264">
        <f>step3_validation[[#This Row],[AI_OUT1]]</f>
        <v>9</v>
      </c>
      <c r="BF264" t="str">
        <f t="shared" si="132"/>
        <v>Support</v>
      </c>
      <c r="BG264">
        <f>survey_responses[[#This Row],[Sau khi xem xét các quyền lợi và nghĩa vụ, bạn có ủng hộ và tuân thủ chính sách mới hiện nay? - HUMAN-OUT1]]</f>
        <v>6</v>
      </c>
      <c r="BH264" t="str">
        <f t="shared" si="133"/>
        <v>Neutral</v>
      </c>
      <c r="BI264" s="31">
        <f t="shared" si="134"/>
        <v>3</v>
      </c>
    </row>
    <row r="265" spans="1:61" hidden="1" x14ac:dyDescent="0.45">
      <c r="A265" s="29">
        <f>step3_validation[[#This Row],[Persona_ID]]</f>
        <v>264</v>
      </c>
      <c r="B265" s="30">
        <f>step3_validation[[#This Row],[Used_Seed]]</f>
        <v>305</v>
      </c>
      <c r="C265" t="str">
        <f>step3_validation[[#This Row],[Gender]]</f>
        <v>Nam</v>
      </c>
      <c r="D265" t="str">
        <f>survey_responses[[#This Row],[Giới tính của bạn:]]</f>
        <v>Nam</v>
      </c>
      <c r="E265" t="str">
        <f>step3_validation[[#This Row],[Age_Group]]</f>
        <v>40 - 49</v>
      </c>
      <c r="F265" t="str">
        <f>survey_responses[[#This Row],[Độ tuổi của bạn:]]</f>
        <v>40 - 49</v>
      </c>
      <c r="G265" t="str">
        <f>step3_validation[[#This Row],[Region]]</f>
        <v>Thành thị</v>
      </c>
      <c r="H265" t="str">
        <f>survey_responses[[#This Row],[Khu vực bạn đang sinh sống:]]</f>
        <v>Thành thị</v>
      </c>
      <c r="I265" t="str">
        <f>step3_validation[[#This Row],[Education]]</f>
        <v>Sau Đại học</v>
      </c>
      <c r="J265" t="str">
        <f>survey_responses[[#This Row],[Trình độ học vấn cao nhất:]]</f>
        <v>Sau Đại học</v>
      </c>
      <c r="K265" t="str">
        <f>step3_validation[[#This Row],[Employment]]</f>
        <v>Chính thức</v>
      </c>
      <c r="L265" t="str">
        <f>survey_responses[[#This Row],[Tình trạng việc làm chính:]]</f>
        <v>Khu vực chính thức (Có Hợp đồng lao động, đóng BHXH)</v>
      </c>
      <c r="M265">
        <f>step3_validation[[#This Row],[Income_Mil]]</f>
        <v>111.11560768180053</v>
      </c>
      <c r="N265" t="str">
        <f>survey_responses[[#This Row],[Thu nhập bình quân tháng theo Hợp đồng lao động của bạn là bao nhiêu? (Vui lòng điền tổng thu nhập trước khi khấu trừ các loại Bảo hiểm (BHXH, BHYT, BHTN) và Thuế TNCN)]]</f>
        <v>Trên 102 triệu VNĐ</v>
      </c>
      <c r="O265">
        <f>step3_validation[[#This Row],[Dependents]]</f>
        <v>3</v>
      </c>
      <c r="P265" t="str">
        <f>survey_responses[[#This Row],[Số người phụ thuộc (con nhỏ, cha mẹ già...) đủ điều kiện giảm trừ gia cảnh:]]</f>
        <v>3 người</v>
      </c>
      <c r="Q265">
        <f>step3_validation[[#This Row],[AI_ENF1]]</f>
        <v>8</v>
      </c>
      <c r="R265" t="str">
        <f t="shared" si="108"/>
        <v>Support</v>
      </c>
      <c r="S265">
        <f>survey_responses[[#This Row],[Tôi tin rằng với các quy định quản lý thuế hiện nay, hành vi gian lận hoặc trốn thuế sẽ dễ dàng bị phát hiện và xử lý nghiêm. - HUMAN-ENF1]]</f>
        <v>7</v>
      </c>
      <c r="T265" t="str">
        <f t="shared" si="109"/>
        <v>Neutral</v>
      </c>
      <c r="U265" s="31">
        <f t="shared" si="110"/>
        <v>1</v>
      </c>
      <c r="V265">
        <f>step3_validation[[#This Row],[AI_ENF2]]</f>
        <v>9</v>
      </c>
      <c r="W265" t="str">
        <f t="shared" si="111"/>
        <v>Support</v>
      </c>
      <c r="X265">
        <f>survey_responses[[#This Row],[Tôi tin rằng Nhà nước, cơ quan thuế có đủ khả năng và công nghệ để phát hiện, xử lý nghiêm các hành vi trốn thuế. - HUMAN-ENF2]]</f>
        <v>7</v>
      </c>
      <c r="Y265" t="str">
        <f t="shared" si="112"/>
        <v>Neutral</v>
      </c>
      <c r="Z265" s="31">
        <f t="shared" si="113"/>
        <v>2</v>
      </c>
      <c r="AA265">
        <f>step3_validation[[#This Row],[AI_FAC1]]</f>
        <v>8</v>
      </c>
      <c r="AB265" t="str">
        <f t="shared" si="114"/>
        <v>Support</v>
      </c>
      <c r="AC265">
        <f>survey_responses[[#This Row],[Các thủ tục khai báo thuế VÀ/HOẶC quy trình làm việc với cơ quan thuế đơn giản, tiện lợi, nhanh chóng hơn so với trước đây. - HUMAN-FAC1]]</f>
        <v>7</v>
      </c>
      <c r="AD265" t="str">
        <f t="shared" si="115"/>
        <v>Neutral</v>
      </c>
      <c r="AE265" s="31">
        <f t="shared" si="116"/>
        <v>1</v>
      </c>
      <c r="AF265">
        <f>step3_validation[[#This Row],[AI_FAC2]]</f>
        <v>9</v>
      </c>
      <c r="AG265" t="str">
        <f t="shared" si="117"/>
        <v>Support</v>
      </c>
      <c r="AH265">
        <f>survey_responses[[#This Row],[So với trước đây, tôi thấy cách tính thuế và các bậc thuế trong phương án mới đơn giản, dễ hiểu và dễ thực hiện hơn. - HUMAN-FAC2]]</f>
        <v>8</v>
      </c>
      <c r="AI265" t="str">
        <f t="shared" si="118"/>
        <v>Support</v>
      </c>
      <c r="AJ265" s="31">
        <f t="shared" si="119"/>
        <v>1</v>
      </c>
      <c r="AK265">
        <f>step3_validation[[#This Row],[AI_TRU1]]</f>
        <v>8</v>
      </c>
      <c r="AL265" t="str">
        <f t="shared" si="120"/>
        <v>Support</v>
      </c>
      <c r="AM265">
        <f>survey_responses[[#This Row],[Tôi tin rằng Nhà nước, cơ quan thuế sẽ thực thi chính sách mới một cách khách quan, công tâm và đối xử bình đẳng với mọi người nộp thuế.  - HUMAN-TRU1]]</f>
        <v>7</v>
      </c>
      <c r="AN265" t="str">
        <f t="shared" si="121"/>
        <v>Neutral</v>
      </c>
      <c r="AO265" s="31">
        <f t="shared" si="122"/>
        <v>1</v>
      </c>
      <c r="AP265">
        <f>step3_validation[[#This Row],[AI_TRU2]]</f>
        <v>9</v>
      </c>
      <c r="AQ265" t="str">
        <f t="shared" si="123"/>
        <v>Support</v>
      </c>
      <c r="AR265">
        <f>survey_responses[[#This Row],[Tôi thấy mức thuế tôi phải đóng theo phương án mới là công bằng (người thu nhập như tôi đóng mức này là hợp lý). - HUMAN-TRU2]]</f>
        <v>7</v>
      </c>
      <c r="AS265" t="str">
        <f t="shared" si="124"/>
        <v>Neutral</v>
      </c>
      <c r="AT265" s="31">
        <f t="shared" si="125"/>
        <v>2</v>
      </c>
      <c r="AU265">
        <f>step3_validation[[#This Row],[AI_TRU3]]</f>
        <v>8</v>
      </c>
      <c r="AV265" t="str">
        <f t="shared" si="126"/>
        <v>Support</v>
      </c>
      <c r="AW265">
        <f>survey_responses[[#This Row],[Tôi tin tưởng số tiền thuế tôi đóng sẽ được Nhà nước sử dụng hiệu quả để cải thiện dịch vụ công (y tế, đường xá...). - HUMAN-TRU3]]</f>
        <v>7</v>
      </c>
      <c r="AX265" t="str">
        <f t="shared" si="127"/>
        <v>Neutral</v>
      </c>
      <c r="AY265" s="31">
        <f t="shared" si="128"/>
        <v>1</v>
      </c>
      <c r="AZ265">
        <f>step3_validation[[#This Row],[AI_TRU4]]</f>
        <v>9</v>
      </c>
      <c r="BA265" t="str">
        <f t="shared" si="129"/>
        <v>Support</v>
      </c>
      <c r="BB265">
        <f>survey_responses[[#This Row],[Tôi thấy Nhà nước đã giải thích rõ ràng, minh bạch về lý do và mục tiêu của việc sửa đổi thuế lần này. - HUMAN-TRU4]]</f>
        <v>7</v>
      </c>
      <c r="BC265" t="str">
        <f t="shared" si="130"/>
        <v>Neutral</v>
      </c>
      <c r="BD265" s="31">
        <f t="shared" si="131"/>
        <v>2</v>
      </c>
      <c r="BE265">
        <f>step3_validation[[#This Row],[AI_OUT1]]</f>
        <v>8</v>
      </c>
      <c r="BF265" t="str">
        <f t="shared" si="132"/>
        <v>Support</v>
      </c>
      <c r="BG265">
        <f>survey_responses[[#This Row],[Sau khi xem xét các quyền lợi và nghĩa vụ, bạn có ủng hộ và tuân thủ chính sách mới hiện nay? - HUMAN-OUT1]]</f>
        <v>7</v>
      </c>
      <c r="BH265" t="str">
        <f t="shared" si="133"/>
        <v>Neutral</v>
      </c>
      <c r="BI265" s="31">
        <f t="shared" si="134"/>
        <v>1</v>
      </c>
    </row>
    <row r="266" spans="1:61" hidden="1" x14ac:dyDescent="0.45">
      <c r="A266" s="29">
        <f>step3_validation[[#This Row],[Persona_ID]]</f>
        <v>265</v>
      </c>
      <c r="B266" s="30">
        <f>step3_validation[[#This Row],[Used_Seed]]</f>
        <v>306</v>
      </c>
      <c r="C266" t="str">
        <f>step3_validation[[#This Row],[Gender]]</f>
        <v>Nữ</v>
      </c>
      <c r="D266" t="str">
        <f>survey_responses[[#This Row],[Giới tính của bạn:]]</f>
        <v>Nữ</v>
      </c>
      <c r="E266" t="str">
        <f>step3_validation[[#This Row],[Age_Group]]</f>
        <v>30 - 39</v>
      </c>
      <c r="F266" t="str">
        <f>survey_responses[[#This Row],[Độ tuổi của bạn:]]</f>
        <v>30 - 39</v>
      </c>
      <c r="G266" t="str">
        <f>step3_validation[[#This Row],[Region]]</f>
        <v>Thành thị</v>
      </c>
      <c r="H266" t="str">
        <f>survey_responses[[#This Row],[Khu vực bạn đang sinh sống:]]</f>
        <v>Thành thị</v>
      </c>
      <c r="I266" t="str">
        <f>step3_validation[[#This Row],[Education]]</f>
        <v>Đại học</v>
      </c>
      <c r="J266" t="str">
        <f>survey_responses[[#This Row],[Trình độ học vấn cao nhất:]]</f>
        <v>Đại học</v>
      </c>
      <c r="K266" t="str">
        <f>step3_validation[[#This Row],[Employment]]</f>
        <v>Chính thức</v>
      </c>
      <c r="L266" t="str">
        <f>survey_responses[[#This Row],[Tình trạng việc làm chính:]]</f>
        <v>Khu vực chính thức (Có Hợp đồng lao động, đóng BHXH)</v>
      </c>
      <c r="M266">
        <f>step3_validation[[#This Row],[Income_Mil]]</f>
        <v>23.471752547275287</v>
      </c>
      <c r="N266" t="str">
        <f>survey_responses[[#This Row],[Thu nhập bình quân tháng theo Hợp đồng lao động của bạn là bao nhiêu? (Vui lòng điền tổng thu nhập trước khi khấu trừ các loại Bảo hiểm (BHXH, BHYT, BHTN) và Thuế TNCN)]]</f>
        <v>Từ 23 - 32 triệu VNĐ</v>
      </c>
      <c r="O266">
        <f>step3_validation[[#This Row],[Dependents]]</f>
        <v>0</v>
      </c>
      <c r="P266" t="str">
        <f>survey_responses[[#This Row],[Số người phụ thuộc (con nhỏ, cha mẹ già...) đủ điều kiện giảm trừ gia cảnh:]]</f>
        <v>0 người</v>
      </c>
      <c r="Q266">
        <f>step3_validation[[#This Row],[AI_ENF1]]</f>
        <v>6</v>
      </c>
      <c r="R266" t="str">
        <f t="shared" si="108"/>
        <v>Neutral</v>
      </c>
      <c r="S266">
        <f>survey_responses[[#This Row],[Tôi tin rằng với các quy định quản lý thuế hiện nay, hành vi gian lận hoặc trốn thuế sẽ dễ dàng bị phát hiện và xử lý nghiêm. - HUMAN-ENF1]]</f>
        <v>6</v>
      </c>
      <c r="T266" t="str">
        <f t="shared" si="109"/>
        <v>Neutral</v>
      </c>
      <c r="U266" s="31">
        <f t="shared" si="110"/>
        <v>0</v>
      </c>
      <c r="V266">
        <f>step3_validation[[#This Row],[AI_ENF2]]</f>
        <v>5</v>
      </c>
      <c r="W266" t="str">
        <f t="shared" si="111"/>
        <v>Neutral</v>
      </c>
      <c r="X266">
        <f>survey_responses[[#This Row],[Tôi tin rằng Nhà nước, cơ quan thuế có đủ khả năng và công nghệ để phát hiện, xử lý nghiêm các hành vi trốn thuế. - HUMAN-ENF2]]</f>
        <v>5</v>
      </c>
      <c r="Y266" t="str">
        <f t="shared" si="112"/>
        <v>Neutral</v>
      </c>
      <c r="Z266" s="31">
        <f t="shared" si="113"/>
        <v>0</v>
      </c>
      <c r="AA266">
        <f>step3_validation[[#This Row],[AI_FAC1]]</f>
        <v>7</v>
      </c>
      <c r="AB266" t="str">
        <f t="shared" si="114"/>
        <v>Neutral</v>
      </c>
      <c r="AC266">
        <f>survey_responses[[#This Row],[Các thủ tục khai báo thuế VÀ/HOẶC quy trình làm việc với cơ quan thuế đơn giản, tiện lợi, nhanh chóng hơn so với trước đây. - HUMAN-FAC1]]</f>
        <v>5</v>
      </c>
      <c r="AD266" t="str">
        <f t="shared" si="115"/>
        <v>Neutral</v>
      </c>
      <c r="AE266" s="31">
        <f t="shared" si="116"/>
        <v>2</v>
      </c>
      <c r="AF266">
        <f>step3_validation[[#This Row],[AI_FAC2]]</f>
        <v>8</v>
      </c>
      <c r="AG266" t="str">
        <f t="shared" si="117"/>
        <v>Support</v>
      </c>
      <c r="AH266">
        <f>survey_responses[[#This Row],[So với trước đây, tôi thấy cách tính thuế và các bậc thuế trong phương án mới đơn giản, dễ hiểu và dễ thực hiện hơn. - HUMAN-FAC2]]</f>
        <v>7</v>
      </c>
      <c r="AI266" t="str">
        <f t="shared" si="118"/>
        <v>Neutral</v>
      </c>
      <c r="AJ266" s="31">
        <f t="shared" si="119"/>
        <v>1</v>
      </c>
      <c r="AK266">
        <f>step3_validation[[#This Row],[AI_TRU1]]</f>
        <v>6</v>
      </c>
      <c r="AL266" t="str">
        <f t="shared" si="120"/>
        <v>Neutral</v>
      </c>
      <c r="AM266">
        <f>survey_responses[[#This Row],[Tôi tin rằng Nhà nước, cơ quan thuế sẽ thực thi chính sách mới một cách khách quan, công tâm và đối xử bình đẳng với mọi người nộp thuế.  - HUMAN-TRU1]]</f>
        <v>6</v>
      </c>
      <c r="AN266" t="str">
        <f t="shared" si="121"/>
        <v>Neutral</v>
      </c>
      <c r="AO266" s="31">
        <f t="shared" si="122"/>
        <v>0</v>
      </c>
      <c r="AP266">
        <f>step3_validation[[#This Row],[AI_TRU2]]</f>
        <v>9</v>
      </c>
      <c r="AQ266" t="str">
        <f t="shared" si="123"/>
        <v>Support</v>
      </c>
      <c r="AR266">
        <f>survey_responses[[#This Row],[Tôi thấy mức thuế tôi phải đóng theo phương án mới là công bằng (người thu nhập như tôi đóng mức này là hợp lý). - HUMAN-TRU2]]</f>
        <v>7</v>
      </c>
      <c r="AS266" t="str">
        <f t="shared" si="124"/>
        <v>Neutral</v>
      </c>
      <c r="AT266" s="31">
        <f t="shared" si="125"/>
        <v>2</v>
      </c>
      <c r="AU266">
        <f>step3_validation[[#This Row],[AI_TRU3]]</f>
        <v>7</v>
      </c>
      <c r="AV266" t="str">
        <f t="shared" si="126"/>
        <v>Neutral</v>
      </c>
      <c r="AW266">
        <f>survey_responses[[#This Row],[Tôi tin tưởng số tiền thuế tôi đóng sẽ được Nhà nước sử dụng hiệu quả để cải thiện dịch vụ công (y tế, đường xá...). - HUMAN-TRU3]]</f>
        <v>5</v>
      </c>
      <c r="AX266" t="str">
        <f t="shared" si="127"/>
        <v>Neutral</v>
      </c>
      <c r="AY266" s="31">
        <f t="shared" si="128"/>
        <v>2</v>
      </c>
      <c r="AZ266">
        <f>step3_validation[[#This Row],[AI_TRU4]]</f>
        <v>8</v>
      </c>
      <c r="BA266" t="str">
        <f t="shared" si="129"/>
        <v>Support</v>
      </c>
      <c r="BB266">
        <f>survey_responses[[#This Row],[Tôi thấy Nhà nước đã giải thích rõ ràng, minh bạch về lý do và mục tiêu của việc sửa đổi thuế lần này. - HUMAN-TRU4]]</f>
        <v>6</v>
      </c>
      <c r="BC266" t="str">
        <f t="shared" si="130"/>
        <v>Neutral</v>
      </c>
      <c r="BD266" s="31">
        <f t="shared" si="131"/>
        <v>2</v>
      </c>
      <c r="BE266">
        <f>step3_validation[[#This Row],[AI_OUT1]]</f>
        <v>9</v>
      </c>
      <c r="BF266" t="str">
        <f t="shared" si="132"/>
        <v>Support</v>
      </c>
      <c r="BG266">
        <f>survey_responses[[#This Row],[Sau khi xem xét các quyền lợi và nghĩa vụ, bạn có ủng hộ và tuân thủ chính sách mới hiện nay? - HUMAN-OUT1]]</f>
        <v>6</v>
      </c>
      <c r="BH266" t="str">
        <f t="shared" si="133"/>
        <v>Neutral</v>
      </c>
      <c r="BI266" s="31">
        <f t="shared" si="134"/>
        <v>3</v>
      </c>
    </row>
    <row r="267" spans="1:61" hidden="1" x14ac:dyDescent="0.45">
      <c r="A267" s="29">
        <f>step3_validation[[#This Row],[Persona_ID]]</f>
        <v>266</v>
      </c>
      <c r="B267" s="30">
        <f>step3_validation[[#This Row],[Used_Seed]]</f>
        <v>307</v>
      </c>
      <c r="C267" t="str">
        <f>step3_validation[[#This Row],[Gender]]</f>
        <v>Nữ</v>
      </c>
      <c r="D267" t="str">
        <f>survey_responses[[#This Row],[Giới tính của bạn:]]</f>
        <v>Nữ</v>
      </c>
      <c r="E267" t="str">
        <f>step3_validation[[#This Row],[Age_Group]]</f>
        <v>50 - 54</v>
      </c>
      <c r="F267" t="str">
        <f>survey_responses[[#This Row],[Độ tuổi của bạn:]]</f>
        <v>50 - 54</v>
      </c>
      <c r="G267" t="str">
        <f>step3_validation[[#This Row],[Region]]</f>
        <v>Thành thị</v>
      </c>
      <c r="H267" t="str">
        <f>survey_responses[[#This Row],[Khu vực bạn đang sinh sống:]]</f>
        <v>Thành thị</v>
      </c>
      <c r="I267" t="str">
        <f>step3_validation[[#This Row],[Education]]</f>
        <v>Đại học</v>
      </c>
      <c r="J267" t="str">
        <f>survey_responses[[#This Row],[Trình độ học vấn cao nhất:]]</f>
        <v>Đại học</v>
      </c>
      <c r="K267" t="str">
        <f>step3_validation[[#This Row],[Employment]]</f>
        <v>Chính thức</v>
      </c>
      <c r="L267" t="str">
        <f>survey_responses[[#This Row],[Tình trạng việc làm chính:]]</f>
        <v>Khu vực chính thức (Có Hợp đồng lao động, đóng BHXH)</v>
      </c>
      <c r="M267">
        <f>step3_validation[[#This Row],[Income_Mil]]</f>
        <v>50.519403846977397</v>
      </c>
      <c r="N267" t="str">
        <f>survey_responses[[#This Row],[Thu nhập bình quân tháng theo Hợp đồng lao động của bạn là bao nhiêu? (Vui lòng điền tổng thu nhập trước khi khấu trừ các loại Bảo hiểm (BHXH, BHYT, BHTN) và Thuế TNCN)]]</f>
        <v>Từ 48 - 70 triệu VNĐ</v>
      </c>
      <c r="O267">
        <f>step3_validation[[#This Row],[Dependents]]</f>
        <v>3</v>
      </c>
      <c r="P267" t="str">
        <f>survey_responses[[#This Row],[Số người phụ thuộc (con nhỏ, cha mẹ già...) đủ điều kiện giảm trừ gia cảnh:]]</f>
        <v>3 người</v>
      </c>
      <c r="Q267">
        <f>step3_validation[[#This Row],[AI_ENF1]]</f>
        <v>8</v>
      </c>
      <c r="R267" t="str">
        <f t="shared" si="108"/>
        <v>Support</v>
      </c>
      <c r="S267">
        <f>survey_responses[[#This Row],[Tôi tin rằng với các quy định quản lý thuế hiện nay, hành vi gian lận hoặc trốn thuế sẽ dễ dàng bị phát hiện và xử lý nghiêm. - HUMAN-ENF1]]</f>
        <v>7</v>
      </c>
      <c r="T267" t="str">
        <f t="shared" si="109"/>
        <v>Neutral</v>
      </c>
      <c r="U267" s="31">
        <f t="shared" si="110"/>
        <v>1</v>
      </c>
      <c r="V267">
        <f>step3_validation[[#This Row],[AI_ENF2]]</f>
        <v>9</v>
      </c>
      <c r="W267" t="str">
        <f t="shared" si="111"/>
        <v>Support</v>
      </c>
      <c r="X267">
        <f>survey_responses[[#This Row],[Tôi tin rằng Nhà nước, cơ quan thuế có đủ khả năng và công nghệ để phát hiện, xử lý nghiêm các hành vi trốn thuế. - HUMAN-ENF2]]</f>
        <v>6</v>
      </c>
      <c r="Y267" t="str">
        <f t="shared" si="112"/>
        <v>Neutral</v>
      </c>
      <c r="Z267" s="31">
        <f t="shared" si="113"/>
        <v>3</v>
      </c>
      <c r="AA267">
        <f>step3_validation[[#This Row],[AI_FAC1]]</f>
        <v>9</v>
      </c>
      <c r="AB267" t="str">
        <f t="shared" si="114"/>
        <v>Support</v>
      </c>
      <c r="AC267">
        <f>survey_responses[[#This Row],[Các thủ tục khai báo thuế VÀ/HOẶC quy trình làm việc với cơ quan thuế đơn giản, tiện lợi, nhanh chóng hơn so với trước đây. - HUMAN-FAC1]]</f>
        <v>6</v>
      </c>
      <c r="AD267" t="str">
        <f t="shared" si="115"/>
        <v>Neutral</v>
      </c>
      <c r="AE267" s="31">
        <f t="shared" si="116"/>
        <v>3</v>
      </c>
      <c r="AF267">
        <f>step3_validation[[#This Row],[AI_FAC2]]</f>
        <v>8</v>
      </c>
      <c r="AG267" t="str">
        <f t="shared" si="117"/>
        <v>Support</v>
      </c>
      <c r="AH267">
        <f>survey_responses[[#This Row],[So với trước đây, tôi thấy cách tính thuế và các bậc thuế trong phương án mới đơn giản, dễ hiểu và dễ thực hiện hơn. - HUMAN-FAC2]]</f>
        <v>6</v>
      </c>
      <c r="AI267" t="str">
        <f t="shared" si="118"/>
        <v>Neutral</v>
      </c>
      <c r="AJ267" s="31">
        <f t="shared" si="119"/>
        <v>2</v>
      </c>
      <c r="AK267">
        <f>step3_validation[[#This Row],[AI_TRU1]]</f>
        <v>7</v>
      </c>
      <c r="AL267" t="str">
        <f t="shared" si="120"/>
        <v>Neutral</v>
      </c>
      <c r="AM267">
        <f>survey_responses[[#This Row],[Tôi tin rằng Nhà nước, cơ quan thuế sẽ thực thi chính sách mới một cách khách quan, công tâm và đối xử bình đẳng với mọi người nộp thuế.  - HUMAN-TRU1]]</f>
        <v>7</v>
      </c>
      <c r="AN267" t="str">
        <f t="shared" si="121"/>
        <v>Neutral</v>
      </c>
      <c r="AO267" s="31">
        <f t="shared" si="122"/>
        <v>0</v>
      </c>
      <c r="AP267">
        <f>step3_validation[[#This Row],[AI_TRU2]]</f>
        <v>8</v>
      </c>
      <c r="AQ267" t="str">
        <f t="shared" si="123"/>
        <v>Support</v>
      </c>
      <c r="AR267">
        <f>survey_responses[[#This Row],[Tôi thấy mức thuế tôi phải đóng theo phương án mới là công bằng (người thu nhập như tôi đóng mức này là hợp lý). - HUMAN-TRU2]]</f>
        <v>7</v>
      </c>
      <c r="AS267" t="str">
        <f t="shared" si="124"/>
        <v>Neutral</v>
      </c>
      <c r="AT267" s="31">
        <f t="shared" si="125"/>
        <v>1</v>
      </c>
      <c r="AU267">
        <f>step3_validation[[#This Row],[AI_TRU3]]</f>
        <v>7</v>
      </c>
      <c r="AV267" t="str">
        <f t="shared" si="126"/>
        <v>Neutral</v>
      </c>
      <c r="AW267">
        <f>survey_responses[[#This Row],[Tôi tin tưởng số tiền thuế tôi đóng sẽ được Nhà nước sử dụng hiệu quả để cải thiện dịch vụ công (y tế, đường xá...). - HUMAN-TRU3]]</f>
        <v>7</v>
      </c>
      <c r="AX267" t="str">
        <f t="shared" si="127"/>
        <v>Neutral</v>
      </c>
      <c r="AY267" s="31">
        <f t="shared" si="128"/>
        <v>0</v>
      </c>
      <c r="AZ267">
        <f>step3_validation[[#This Row],[AI_TRU4]]</f>
        <v>6</v>
      </c>
      <c r="BA267" t="str">
        <f t="shared" si="129"/>
        <v>Neutral</v>
      </c>
      <c r="BB267">
        <f>survey_responses[[#This Row],[Tôi thấy Nhà nước đã giải thích rõ ràng, minh bạch về lý do và mục tiêu của việc sửa đổi thuế lần này. - HUMAN-TRU4]]</f>
        <v>7</v>
      </c>
      <c r="BC267" t="str">
        <f t="shared" si="130"/>
        <v>Neutral</v>
      </c>
      <c r="BD267" s="31">
        <f t="shared" si="131"/>
        <v>1</v>
      </c>
      <c r="BE267">
        <f>step3_validation[[#This Row],[AI_OUT1]]</f>
        <v>7</v>
      </c>
      <c r="BF267" t="str">
        <f t="shared" si="132"/>
        <v>Neutral</v>
      </c>
      <c r="BG267">
        <f>survey_responses[[#This Row],[Sau khi xem xét các quyền lợi và nghĩa vụ, bạn có ủng hộ và tuân thủ chính sách mới hiện nay? - HUMAN-OUT1]]</f>
        <v>7</v>
      </c>
      <c r="BH267" t="str">
        <f t="shared" si="133"/>
        <v>Neutral</v>
      </c>
      <c r="BI267" s="31">
        <f t="shared" si="134"/>
        <v>0</v>
      </c>
    </row>
    <row r="268" spans="1:61" hidden="1" x14ac:dyDescent="0.45">
      <c r="A268" s="29">
        <f>step3_validation[[#This Row],[Persona_ID]]</f>
        <v>267</v>
      </c>
      <c r="B268" s="30">
        <f>step3_validation[[#This Row],[Used_Seed]]</f>
        <v>308</v>
      </c>
      <c r="C268" t="str">
        <f>step3_validation[[#This Row],[Gender]]</f>
        <v>Nam</v>
      </c>
      <c r="D268" t="str">
        <f>survey_responses[[#This Row],[Giới tính của bạn:]]</f>
        <v>Nam</v>
      </c>
      <c r="E268" t="str">
        <f>step3_validation[[#This Row],[Age_Group]]</f>
        <v>40 - 49</v>
      </c>
      <c r="F268" t="str">
        <f>survey_responses[[#This Row],[Độ tuổi của bạn:]]</f>
        <v>40 - 49</v>
      </c>
      <c r="G268" t="str">
        <f>step3_validation[[#This Row],[Region]]</f>
        <v>Thành thị</v>
      </c>
      <c r="H268" t="str">
        <f>survey_responses[[#This Row],[Khu vực bạn đang sinh sống:]]</f>
        <v>Thành thị</v>
      </c>
      <c r="I268" t="str">
        <f>step3_validation[[#This Row],[Education]]</f>
        <v>Sau Đại học</v>
      </c>
      <c r="J268" t="str">
        <f>survey_responses[[#This Row],[Trình độ học vấn cao nhất:]]</f>
        <v>Sau Đại học</v>
      </c>
      <c r="K268" t="str">
        <f>step3_validation[[#This Row],[Employment]]</f>
        <v>Chính thức</v>
      </c>
      <c r="L268" t="str">
        <f>survey_responses[[#This Row],[Tình trạng việc làm chính:]]</f>
        <v>Khu vực chính thức (Có Hợp đồng lao động, đóng BHXH)</v>
      </c>
      <c r="M268">
        <f>step3_validation[[#This Row],[Income_Mil]]</f>
        <v>52.569711452697604</v>
      </c>
      <c r="N268" t="str">
        <f>survey_responses[[#This Row],[Thu nhập bình quân tháng theo Hợp đồng lao động của bạn là bao nhiêu? (Vui lòng điền tổng thu nhập trước khi khấu trừ các loại Bảo hiểm (BHXH, BHYT, BHTN) và Thuế TNCN)]]</f>
        <v>Từ 48 - 70 triệu VNĐ</v>
      </c>
      <c r="O268">
        <f>step3_validation[[#This Row],[Dependents]]</f>
        <v>2</v>
      </c>
      <c r="P268" t="str">
        <f>survey_responses[[#This Row],[Số người phụ thuộc (con nhỏ, cha mẹ già...) đủ điều kiện giảm trừ gia cảnh:]]</f>
        <v>2 người</v>
      </c>
      <c r="Q268">
        <f>step3_validation[[#This Row],[AI_ENF1]]</f>
        <v>9</v>
      </c>
      <c r="R268" t="str">
        <f t="shared" si="108"/>
        <v>Support</v>
      </c>
      <c r="S268">
        <f>survey_responses[[#This Row],[Tôi tin rằng với các quy định quản lý thuế hiện nay, hành vi gian lận hoặc trốn thuế sẽ dễ dàng bị phát hiện và xử lý nghiêm. - HUMAN-ENF1]]</f>
        <v>6</v>
      </c>
      <c r="T268" t="str">
        <f t="shared" si="109"/>
        <v>Neutral</v>
      </c>
      <c r="U268" s="31">
        <f t="shared" si="110"/>
        <v>3</v>
      </c>
      <c r="V268">
        <f>step3_validation[[#This Row],[AI_ENF2]]</f>
        <v>8</v>
      </c>
      <c r="W268" t="str">
        <f t="shared" si="111"/>
        <v>Support</v>
      </c>
      <c r="X268">
        <f>survey_responses[[#This Row],[Tôi tin rằng Nhà nước, cơ quan thuế có đủ khả năng và công nghệ để phát hiện, xử lý nghiêm các hành vi trốn thuế. - HUMAN-ENF2]]</f>
        <v>7</v>
      </c>
      <c r="Y268" t="str">
        <f t="shared" si="112"/>
        <v>Neutral</v>
      </c>
      <c r="Z268" s="31">
        <f t="shared" si="113"/>
        <v>1</v>
      </c>
      <c r="AA268">
        <f>step3_validation[[#This Row],[AI_FAC1]]</f>
        <v>9</v>
      </c>
      <c r="AB268" t="str">
        <f t="shared" si="114"/>
        <v>Support</v>
      </c>
      <c r="AC268">
        <f>survey_responses[[#This Row],[Các thủ tục khai báo thuế VÀ/HOẶC quy trình làm việc với cơ quan thuế đơn giản, tiện lợi, nhanh chóng hơn so với trước đây. - HUMAN-FAC1]]</f>
        <v>7</v>
      </c>
      <c r="AD268" t="str">
        <f t="shared" si="115"/>
        <v>Neutral</v>
      </c>
      <c r="AE268" s="31">
        <f t="shared" si="116"/>
        <v>2</v>
      </c>
      <c r="AF268">
        <f>step3_validation[[#This Row],[AI_FAC2]]</f>
        <v>8</v>
      </c>
      <c r="AG268" t="str">
        <f t="shared" si="117"/>
        <v>Support</v>
      </c>
      <c r="AH268">
        <f>survey_responses[[#This Row],[So với trước đây, tôi thấy cách tính thuế và các bậc thuế trong phương án mới đơn giản, dễ hiểu và dễ thực hiện hơn. - HUMAN-FAC2]]</f>
        <v>6</v>
      </c>
      <c r="AI268" t="str">
        <f t="shared" si="118"/>
        <v>Neutral</v>
      </c>
      <c r="AJ268" s="31">
        <f t="shared" si="119"/>
        <v>2</v>
      </c>
      <c r="AK268">
        <f>step3_validation[[#This Row],[AI_TRU1]]</f>
        <v>9</v>
      </c>
      <c r="AL268" t="str">
        <f t="shared" si="120"/>
        <v>Support</v>
      </c>
      <c r="AM268">
        <f>survey_responses[[#This Row],[Tôi tin rằng Nhà nước, cơ quan thuế sẽ thực thi chính sách mới một cách khách quan, công tâm và đối xử bình đẳng với mọi người nộp thuế.  - HUMAN-TRU1]]</f>
        <v>6</v>
      </c>
      <c r="AN268" t="str">
        <f t="shared" si="121"/>
        <v>Neutral</v>
      </c>
      <c r="AO268" s="31">
        <f t="shared" si="122"/>
        <v>3</v>
      </c>
      <c r="AP268">
        <f>step3_validation[[#This Row],[AI_TRU2]]</f>
        <v>9</v>
      </c>
      <c r="AQ268" t="str">
        <f t="shared" si="123"/>
        <v>Support</v>
      </c>
      <c r="AR268">
        <f>survey_responses[[#This Row],[Tôi thấy mức thuế tôi phải đóng theo phương án mới là công bằng (người thu nhập như tôi đóng mức này là hợp lý). - HUMAN-TRU2]]</f>
        <v>6</v>
      </c>
      <c r="AS268" t="str">
        <f t="shared" si="124"/>
        <v>Neutral</v>
      </c>
      <c r="AT268" s="31">
        <f t="shared" si="125"/>
        <v>3</v>
      </c>
      <c r="AU268">
        <f>step3_validation[[#This Row],[AI_TRU3]]</f>
        <v>8</v>
      </c>
      <c r="AV268" t="str">
        <f t="shared" si="126"/>
        <v>Support</v>
      </c>
      <c r="AW268">
        <f>survey_responses[[#This Row],[Tôi tin tưởng số tiền thuế tôi đóng sẽ được Nhà nước sử dụng hiệu quả để cải thiện dịch vụ công (y tế, đường xá...). - HUMAN-TRU3]]</f>
        <v>6</v>
      </c>
      <c r="AX268" t="str">
        <f t="shared" si="127"/>
        <v>Neutral</v>
      </c>
      <c r="AY268" s="31">
        <f t="shared" si="128"/>
        <v>2</v>
      </c>
      <c r="AZ268">
        <f>step3_validation[[#This Row],[AI_TRU4]]</f>
        <v>9</v>
      </c>
      <c r="BA268" t="str">
        <f t="shared" si="129"/>
        <v>Support</v>
      </c>
      <c r="BB268">
        <f>survey_responses[[#This Row],[Tôi thấy Nhà nước đã giải thích rõ ràng, minh bạch về lý do và mục tiêu của việc sửa đổi thuế lần này. - HUMAN-TRU4]]</f>
        <v>7</v>
      </c>
      <c r="BC268" t="str">
        <f t="shared" si="130"/>
        <v>Neutral</v>
      </c>
      <c r="BD268" s="31">
        <f t="shared" si="131"/>
        <v>2</v>
      </c>
      <c r="BE268">
        <f>step3_validation[[#This Row],[AI_OUT1]]</f>
        <v>8</v>
      </c>
      <c r="BF268" t="str">
        <f t="shared" si="132"/>
        <v>Support</v>
      </c>
      <c r="BG268">
        <f>survey_responses[[#This Row],[Sau khi xem xét các quyền lợi và nghĩa vụ, bạn có ủng hộ và tuân thủ chính sách mới hiện nay? - HUMAN-OUT1]]</f>
        <v>7</v>
      </c>
      <c r="BH268" t="str">
        <f t="shared" si="133"/>
        <v>Neutral</v>
      </c>
      <c r="BI268" s="31">
        <f t="shared" si="134"/>
        <v>1</v>
      </c>
    </row>
    <row r="269" spans="1:61" hidden="1" x14ac:dyDescent="0.45">
      <c r="A269" s="29">
        <f>step3_validation[[#This Row],[Persona_ID]]</f>
        <v>268</v>
      </c>
      <c r="B269" s="30">
        <f>step3_validation[[#This Row],[Used_Seed]]</f>
        <v>309</v>
      </c>
      <c r="C269" t="str">
        <f>step3_validation[[#This Row],[Gender]]</f>
        <v>Nữ</v>
      </c>
      <c r="D269" t="str">
        <f>survey_responses[[#This Row],[Giới tính của bạn:]]</f>
        <v>Nữ</v>
      </c>
      <c r="E269" t="str">
        <f>step3_validation[[#This Row],[Age_Group]]</f>
        <v>25 - 29</v>
      </c>
      <c r="F269" t="str">
        <f>survey_responses[[#This Row],[Độ tuổi của bạn:]]</f>
        <v>25 - 29</v>
      </c>
      <c r="G269" t="str">
        <f>step3_validation[[#This Row],[Region]]</f>
        <v>Thành thị</v>
      </c>
      <c r="H269" t="str">
        <f>survey_responses[[#This Row],[Khu vực bạn đang sinh sống:]]</f>
        <v>Thành thị</v>
      </c>
      <c r="I269" t="str">
        <f>step3_validation[[#This Row],[Education]]</f>
        <v>Đại học</v>
      </c>
      <c r="J269" t="str">
        <f>survey_responses[[#This Row],[Trình độ học vấn cao nhất:]]</f>
        <v>Đại học</v>
      </c>
      <c r="K269" t="str">
        <f>step3_validation[[#This Row],[Employment]]</f>
        <v>Chính thức</v>
      </c>
      <c r="L269" t="str">
        <f>survey_responses[[#This Row],[Tình trạng việc làm chính:]]</f>
        <v>Khu vực chính thức (Có Hợp đồng lao động, đóng BHXH)</v>
      </c>
      <c r="M269">
        <f>step3_validation[[#This Row],[Income_Mil]]</f>
        <v>28.91998346010287</v>
      </c>
      <c r="N269" t="str">
        <f>survey_responses[[#This Row],[Thu nhập bình quân tháng theo Hợp đồng lao động của bạn là bao nhiêu? (Vui lòng điền tổng thu nhập trước khi khấu trừ các loại Bảo hiểm (BHXH, BHYT, BHTN) và Thuế TNCN)]]</f>
        <v>Từ 23 - 32 triệu VNĐ</v>
      </c>
      <c r="O269">
        <f>step3_validation[[#This Row],[Dependents]]</f>
        <v>2</v>
      </c>
      <c r="P269" t="str">
        <f>survey_responses[[#This Row],[Số người phụ thuộc (con nhỏ, cha mẹ già...) đủ điều kiện giảm trừ gia cảnh:]]</f>
        <v>2 người</v>
      </c>
      <c r="Q269">
        <f>step3_validation[[#This Row],[AI_ENF1]]</f>
        <v>7</v>
      </c>
      <c r="R269" t="str">
        <f t="shared" si="108"/>
        <v>Neutral</v>
      </c>
      <c r="S269">
        <f>survey_responses[[#This Row],[Tôi tin rằng với các quy định quản lý thuế hiện nay, hành vi gian lận hoặc trốn thuế sẽ dễ dàng bị phát hiện và xử lý nghiêm. - HUMAN-ENF1]]</f>
        <v>7</v>
      </c>
      <c r="T269" t="str">
        <f t="shared" si="109"/>
        <v>Neutral</v>
      </c>
      <c r="U269" s="31">
        <f t="shared" si="110"/>
        <v>0</v>
      </c>
      <c r="V269">
        <f>step3_validation[[#This Row],[AI_ENF2]]</f>
        <v>8</v>
      </c>
      <c r="W269" t="str">
        <f t="shared" si="111"/>
        <v>Support</v>
      </c>
      <c r="X269">
        <f>survey_responses[[#This Row],[Tôi tin rằng Nhà nước, cơ quan thuế có đủ khả năng và công nghệ để phát hiện, xử lý nghiêm các hành vi trốn thuế. - HUMAN-ENF2]]</f>
        <v>7</v>
      </c>
      <c r="Y269" t="str">
        <f t="shared" si="112"/>
        <v>Neutral</v>
      </c>
      <c r="Z269" s="31">
        <f t="shared" si="113"/>
        <v>1</v>
      </c>
      <c r="AA269">
        <f>step3_validation[[#This Row],[AI_FAC1]]</f>
        <v>9</v>
      </c>
      <c r="AB269" t="str">
        <f t="shared" si="114"/>
        <v>Support</v>
      </c>
      <c r="AC269">
        <f>survey_responses[[#This Row],[Các thủ tục khai báo thuế VÀ/HOẶC quy trình làm việc với cơ quan thuế đơn giản, tiện lợi, nhanh chóng hơn so với trước đây. - HUMAN-FAC1]]</f>
        <v>2</v>
      </c>
      <c r="AD269" t="str">
        <f t="shared" si="115"/>
        <v>Oppose</v>
      </c>
      <c r="AE269" s="31">
        <f t="shared" si="116"/>
        <v>7</v>
      </c>
      <c r="AF269">
        <f>step3_validation[[#This Row],[AI_FAC2]]</f>
        <v>10</v>
      </c>
      <c r="AG269" t="str">
        <f t="shared" si="117"/>
        <v>Support</v>
      </c>
      <c r="AH269">
        <f>survey_responses[[#This Row],[So với trước đây, tôi thấy cách tính thuế và các bậc thuế trong phương án mới đơn giản, dễ hiểu và dễ thực hiện hơn. - HUMAN-FAC2]]</f>
        <v>7</v>
      </c>
      <c r="AI269" t="str">
        <f t="shared" si="118"/>
        <v>Neutral</v>
      </c>
      <c r="AJ269" s="31">
        <f t="shared" si="119"/>
        <v>3</v>
      </c>
      <c r="AK269">
        <f>step3_validation[[#This Row],[AI_TRU1]]</f>
        <v>8</v>
      </c>
      <c r="AL269" t="str">
        <f t="shared" si="120"/>
        <v>Support</v>
      </c>
      <c r="AM269">
        <f>survey_responses[[#This Row],[Tôi tin rằng Nhà nước, cơ quan thuế sẽ thực thi chính sách mới một cách khách quan, công tâm và đối xử bình đẳng với mọi người nộp thuế.  - HUMAN-TRU1]]</f>
        <v>7</v>
      </c>
      <c r="AN269" t="str">
        <f t="shared" si="121"/>
        <v>Neutral</v>
      </c>
      <c r="AO269" s="31">
        <f t="shared" si="122"/>
        <v>1</v>
      </c>
      <c r="AP269">
        <f>step3_validation[[#This Row],[AI_TRU2]]</f>
        <v>9</v>
      </c>
      <c r="AQ269" t="str">
        <f t="shared" si="123"/>
        <v>Support</v>
      </c>
      <c r="AR269">
        <f>survey_responses[[#This Row],[Tôi thấy mức thuế tôi phải đóng theo phương án mới là công bằng (người thu nhập như tôi đóng mức này là hợp lý). - HUMAN-TRU2]]</f>
        <v>7</v>
      </c>
      <c r="AS269" t="str">
        <f t="shared" si="124"/>
        <v>Neutral</v>
      </c>
      <c r="AT269" s="31">
        <f t="shared" si="125"/>
        <v>2</v>
      </c>
      <c r="AU269">
        <f>step3_validation[[#This Row],[AI_TRU3]]</f>
        <v>8</v>
      </c>
      <c r="AV269" t="str">
        <f t="shared" si="126"/>
        <v>Support</v>
      </c>
      <c r="AW269">
        <f>survey_responses[[#This Row],[Tôi tin tưởng số tiền thuế tôi đóng sẽ được Nhà nước sử dụng hiệu quả để cải thiện dịch vụ công (y tế, đường xá...). - HUMAN-TRU3]]</f>
        <v>7</v>
      </c>
      <c r="AX269" t="str">
        <f t="shared" si="127"/>
        <v>Neutral</v>
      </c>
      <c r="AY269" s="31">
        <f t="shared" si="128"/>
        <v>1</v>
      </c>
      <c r="AZ269">
        <f>step3_validation[[#This Row],[AI_TRU4]]</f>
        <v>9</v>
      </c>
      <c r="BA269" t="str">
        <f t="shared" si="129"/>
        <v>Support</v>
      </c>
      <c r="BB269">
        <f>survey_responses[[#This Row],[Tôi thấy Nhà nước đã giải thích rõ ràng, minh bạch về lý do và mục tiêu của việc sửa đổi thuế lần này. - HUMAN-TRU4]]</f>
        <v>7</v>
      </c>
      <c r="BC269" t="str">
        <f t="shared" si="130"/>
        <v>Neutral</v>
      </c>
      <c r="BD269" s="31">
        <f t="shared" si="131"/>
        <v>2</v>
      </c>
      <c r="BE269">
        <f>step3_validation[[#This Row],[AI_OUT1]]</f>
        <v>9</v>
      </c>
      <c r="BF269" t="str">
        <f t="shared" si="132"/>
        <v>Support</v>
      </c>
      <c r="BG269">
        <f>survey_responses[[#This Row],[Sau khi xem xét các quyền lợi và nghĩa vụ, bạn có ủng hộ và tuân thủ chính sách mới hiện nay? - HUMAN-OUT1]]</f>
        <v>7</v>
      </c>
      <c r="BH269" t="str">
        <f t="shared" si="133"/>
        <v>Neutral</v>
      </c>
      <c r="BI269" s="31">
        <f t="shared" si="134"/>
        <v>2</v>
      </c>
    </row>
    <row r="270" spans="1:61" hidden="1" x14ac:dyDescent="0.45">
      <c r="A270" s="29">
        <f>step3_validation[[#This Row],[Persona_ID]]</f>
        <v>269</v>
      </c>
      <c r="B270" s="30">
        <f>step3_validation[[#This Row],[Used_Seed]]</f>
        <v>310</v>
      </c>
      <c r="C270" t="str">
        <f>step3_validation[[#This Row],[Gender]]</f>
        <v>Nam</v>
      </c>
      <c r="D270" t="str">
        <f>survey_responses[[#This Row],[Giới tính của bạn:]]</f>
        <v>Nam</v>
      </c>
      <c r="E270" t="str">
        <f>step3_validation[[#This Row],[Age_Group]]</f>
        <v>40 - 49</v>
      </c>
      <c r="F270" t="str">
        <f>survey_responses[[#This Row],[Độ tuổi của bạn:]]</f>
        <v>40 - 49</v>
      </c>
      <c r="G270" t="str">
        <f>step3_validation[[#This Row],[Region]]</f>
        <v>Thành thị</v>
      </c>
      <c r="H270" t="str">
        <f>survey_responses[[#This Row],[Khu vực bạn đang sinh sống:]]</f>
        <v>Thành thị</v>
      </c>
      <c r="I270" t="str">
        <f>step3_validation[[#This Row],[Education]]</f>
        <v>Sau Đại học</v>
      </c>
      <c r="J270" t="str">
        <f>survey_responses[[#This Row],[Trình độ học vấn cao nhất:]]</f>
        <v>Sau Đại học</v>
      </c>
      <c r="K270" t="str">
        <f>step3_validation[[#This Row],[Employment]]</f>
        <v>Chính thức</v>
      </c>
      <c r="L270" t="str">
        <f>survey_responses[[#This Row],[Tình trạng việc làm chính:]]</f>
        <v>Khu vực chính thức (Có Hợp đồng lao động, đóng BHXH)</v>
      </c>
      <c r="M270">
        <f>step3_validation[[#This Row],[Income_Mil]]</f>
        <v>86.24176125121042</v>
      </c>
      <c r="N270" t="str">
        <f>survey_responses[[#This Row],[Thu nhập bình quân tháng theo Hợp đồng lao động của bạn là bao nhiêu? (Vui lòng điền tổng thu nhập trước khi khấu trừ các loại Bảo hiểm (BHXH, BHYT, BHTN) và Thuế TNCN)]]</f>
        <v>Từ 70 - 102 triệu VNĐ</v>
      </c>
      <c r="O270">
        <f>step3_validation[[#This Row],[Dependents]]</f>
        <v>4</v>
      </c>
      <c r="P270" t="str">
        <f>survey_responses[[#This Row],[Số người phụ thuộc (con nhỏ, cha mẹ già...) đủ điều kiện giảm trừ gia cảnh:]]</f>
        <v>4 người trở lên</v>
      </c>
      <c r="Q270">
        <f>step3_validation[[#This Row],[AI_ENF1]]</f>
        <v>8</v>
      </c>
      <c r="R270" t="str">
        <f t="shared" si="108"/>
        <v>Support</v>
      </c>
      <c r="S270">
        <f>survey_responses[[#This Row],[Tôi tin rằng với các quy định quản lý thuế hiện nay, hành vi gian lận hoặc trốn thuế sẽ dễ dàng bị phát hiện và xử lý nghiêm. - HUMAN-ENF1]]</f>
        <v>4</v>
      </c>
      <c r="T270" t="str">
        <f t="shared" si="109"/>
        <v>Oppose</v>
      </c>
      <c r="U270" s="31">
        <f t="shared" si="110"/>
        <v>4</v>
      </c>
      <c r="V270">
        <f>step3_validation[[#This Row],[AI_ENF2]]</f>
        <v>8</v>
      </c>
      <c r="W270" t="str">
        <f t="shared" si="111"/>
        <v>Support</v>
      </c>
      <c r="X270">
        <f>survey_responses[[#This Row],[Tôi tin rằng Nhà nước, cơ quan thuế có đủ khả năng và công nghệ để phát hiện, xử lý nghiêm các hành vi trốn thuế. - HUMAN-ENF2]]</f>
        <v>5</v>
      </c>
      <c r="Y270" t="str">
        <f t="shared" si="112"/>
        <v>Neutral</v>
      </c>
      <c r="Z270" s="31">
        <f t="shared" si="113"/>
        <v>3</v>
      </c>
      <c r="AA270">
        <f>step3_validation[[#This Row],[AI_FAC1]]</f>
        <v>9</v>
      </c>
      <c r="AB270" t="str">
        <f t="shared" si="114"/>
        <v>Support</v>
      </c>
      <c r="AC270">
        <f>survey_responses[[#This Row],[Các thủ tục khai báo thuế VÀ/HOẶC quy trình làm việc với cơ quan thuế đơn giản, tiện lợi, nhanh chóng hơn so với trước đây. - HUMAN-FAC1]]</f>
        <v>2</v>
      </c>
      <c r="AD270" t="str">
        <f t="shared" si="115"/>
        <v>Oppose</v>
      </c>
      <c r="AE270" s="31">
        <f t="shared" si="116"/>
        <v>7</v>
      </c>
      <c r="AF270">
        <f>step3_validation[[#This Row],[AI_FAC2]]</f>
        <v>9</v>
      </c>
      <c r="AG270" t="str">
        <f t="shared" si="117"/>
        <v>Support</v>
      </c>
      <c r="AH270">
        <f>survey_responses[[#This Row],[So với trước đây, tôi thấy cách tính thuế và các bậc thuế trong phương án mới đơn giản, dễ hiểu và dễ thực hiện hơn. - HUMAN-FAC2]]</f>
        <v>6</v>
      </c>
      <c r="AI270" t="str">
        <f t="shared" si="118"/>
        <v>Neutral</v>
      </c>
      <c r="AJ270" s="31">
        <f t="shared" si="119"/>
        <v>3</v>
      </c>
      <c r="AK270">
        <f>step3_validation[[#This Row],[AI_TRU1]]</f>
        <v>7</v>
      </c>
      <c r="AL270" t="str">
        <f t="shared" si="120"/>
        <v>Neutral</v>
      </c>
      <c r="AM270">
        <f>survey_responses[[#This Row],[Tôi tin rằng Nhà nước, cơ quan thuế sẽ thực thi chính sách mới một cách khách quan, công tâm và đối xử bình đẳng với mọi người nộp thuế.  - HUMAN-TRU1]]</f>
        <v>3</v>
      </c>
      <c r="AN270" t="str">
        <f t="shared" si="121"/>
        <v>Oppose</v>
      </c>
      <c r="AO270" s="31">
        <f t="shared" si="122"/>
        <v>4</v>
      </c>
      <c r="AP270">
        <f>step3_validation[[#This Row],[AI_TRU2]]</f>
        <v>7</v>
      </c>
      <c r="AQ270" t="str">
        <f t="shared" si="123"/>
        <v>Neutral</v>
      </c>
      <c r="AR270">
        <f>survey_responses[[#This Row],[Tôi thấy mức thuế tôi phải đóng theo phương án mới là công bằng (người thu nhập như tôi đóng mức này là hợp lý). - HUMAN-TRU2]]</f>
        <v>3</v>
      </c>
      <c r="AS270" t="str">
        <f t="shared" si="124"/>
        <v>Oppose</v>
      </c>
      <c r="AT270" s="31">
        <f t="shared" si="125"/>
        <v>4</v>
      </c>
      <c r="AU270">
        <f>step3_validation[[#This Row],[AI_TRU3]]</f>
        <v>6</v>
      </c>
      <c r="AV270" t="str">
        <f t="shared" si="126"/>
        <v>Neutral</v>
      </c>
      <c r="AW270">
        <f>survey_responses[[#This Row],[Tôi tin tưởng số tiền thuế tôi đóng sẽ được Nhà nước sử dụng hiệu quả để cải thiện dịch vụ công (y tế, đường xá...). - HUMAN-TRU3]]</f>
        <v>1</v>
      </c>
      <c r="AX270" t="str">
        <f t="shared" si="127"/>
        <v>Oppose</v>
      </c>
      <c r="AY270" s="31">
        <f t="shared" si="128"/>
        <v>5</v>
      </c>
      <c r="AZ270">
        <f>step3_validation[[#This Row],[AI_TRU4]]</f>
        <v>7</v>
      </c>
      <c r="BA270" t="str">
        <f t="shared" si="129"/>
        <v>Neutral</v>
      </c>
      <c r="BB270">
        <f>survey_responses[[#This Row],[Tôi thấy Nhà nước đã giải thích rõ ràng, minh bạch về lý do và mục tiêu của việc sửa đổi thuế lần này. - HUMAN-TRU4]]</f>
        <v>3</v>
      </c>
      <c r="BC270" t="str">
        <f t="shared" si="130"/>
        <v>Oppose</v>
      </c>
      <c r="BD270" s="31">
        <f t="shared" si="131"/>
        <v>4</v>
      </c>
      <c r="BE270">
        <f>step3_validation[[#This Row],[AI_OUT1]]</f>
        <v>8</v>
      </c>
      <c r="BF270" t="str">
        <f t="shared" si="132"/>
        <v>Support</v>
      </c>
      <c r="BG270">
        <f>survey_responses[[#This Row],[Sau khi xem xét các quyền lợi và nghĩa vụ, bạn có ủng hộ và tuân thủ chính sách mới hiện nay? - HUMAN-OUT1]]</f>
        <v>1</v>
      </c>
      <c r="BH270" t="str">
        <f t="shared" si="133"/>
        <v>Oppose</v>
      </c>
      <c r="BI270" s="31">
        <f t="shared" si="134"/>
        <v>7</v>
      </c>
    </row>
    <row r="271" spans="1:61" hidden="1" x14ac:dyDescent="0.45">
      <c r="A271" s="29">
        <f>step3_validation[[#This Row],[Persona_ID]]</f>
        <v>270</v>
      </c>
      <c r="B271" s="30">
        <f>step3_validation[[#This Row],[Used_Seed]]</f>
        <v>311</v>
      </c>
      <c r="C271" t="str">
        <f>step3_validation[[#This Row],[Gender]]</f>
        <v>Nữ</v>
      </c>
      <c r="D271" t="str">
        <f>survey_responses[[#This Row],[Giới tính của bạn:]]</f>
        <v>Nữ</v>
      </c>
      <c r="E271" t="str">
        <f>step3_validation[[#This Row],[Age_Group]]</f>
        <v>30 - 39</v>
      </c>
      <c r="F271" t="str">
        <f>survey_responses[[#This Row],[Độ tuổi của bạn:]]</f>
        <v>30 - 39</v>
      </c>
      <c r="G271" t="str">
        <f>step3_validation[[#This Row],[Region]]</f>
        <v>Thành thị</v>
      </c>
      <c r="H271" t="str">
        <f>survey_responses[[#This Row],[Khu vực bạn đang sinh sống:]]</f>
        <v>Thành thị</v>
      </c>
      <c r="I271" t="str">
        <f>step3_validation[[#This Row],[Education]]</f>
        <v>Sau Đại học</v>
      </c>
      <c r="J271" t="str">
        <f>survey_responses[[#This Row],[Trình độ học vấn cao nhất:]]</f>
        <v>Sau Đại học</v>
      </c>
      <c r="K271" t="str">
        <f>step3_validation[[#This Row],[Employment]]</f>
        <v>Phi chính thức</v>
      </c>
      <c r="L271" t="str">
        <f>survey_responses[[#This Row],[Tình trạng việc làm chính:]]</f>
        <v>Khu vực phi chính thức (Lao động tự do, không có HĐLĐ)</v>
      </c>
      <c r="M271">
        <f>step3_validation[[#This Row],[Income_Mil]]</f>
        <v>67.77050871738534</v>
      </c>
      <c r="N271" t="str">
        <f>survey_responses[[#This Row],[Thu nhập bình quân tháng theo Hợp đồng lao động của bạn là bao nhiêu? (Vui lòng điền tổng thu nhập trước khi khấu trừ các loại Bảo hiểm (BHXH, BHYT, BHTN) và Thuế TNCN)]]</f>
        <v>Từ 48 - 70 triệu VNĐ</v>
      </c>
      <c r="O271">
        <f>step3_validation[[#This Row],[Dependents]]</f>
        <v>0</v>
      </c>
      <c r="P271" t="str">
        <f>survey_responses[[#This Row],[Số người phụ thuộc (con nhỏ, cha mẹ già...) đủ điều kiện giảm trừ gia cảnh:]]</f>
        <v>0 người</v>
      </c>
      <c r="Q271">
        <f>step3_validation[[#This Row],[AI_ENF1]]</f>
        <v>5</v>
      </c>
      <c r="R271" t="str">
        <f t="shared" si="108"/>
        <v>Neutral</v>
      </c>
      <c r="S271">
        <f>survey_responses[[#This Row],[Tôi tin rằng với các quy định quản lý thuế hiện nay, hành vi gian lận hoặc trốn thuế sẽ dễ dàng bị phát hiện và xử lý nghiêm. - HUMAN-ENF1]]</f>
        <v>8</v>
      </c>
      <c r="T271" t="str">
        <f t="shared" si="109"/>
        <v>Support</v>
      </c>
      <c r="U271" s="31">
        <f t="shared" si="110"/>
        <v>3</v>
      </c>
      <c r="V271">
        <f>step3_validation[[#This Row],[AI_ENF2]]</f>
        <v>6</v>
      </c>
      <c r="W271" t="str">
        <f t="shared" si="111"/>
        <v>Neutral</v>
      </c>
      <c r="X271">
        <f>survey_responses[[#This Row],[Tôi tin rằng Nhà nước, cơ quan thuế có đủ khả năng và công nghệ để phát hiện, xử lý nghiêm các hành vi trốn thuế. - HUMAN-ENF2]]</f>
        <v>8</v>
      </c>
      <c r="Y271" t="str">
        <f t="shared" si="112"/>
        <v>Support</v>
      </c>
      <c r="Z271" s="31">
        <f t="shared" si="113"/>
        <v>2</v>
      </c>
      <c r="AA271">
        <f>step3_validation[[#This Row],[AI_FAC1]]</f>
        <v>9</v>
      </c>
      <c r="AB271" t="str">
        <f t="shared" si="114"/>
        <v>Support</v>
      </c>
      <c r="AC271">
        <f>survey_responses[[#This Row],[Các thủ tục khai báo thuế VÀ/HOẶC quy trình làm việc với cơ quan thuế đơn giản, tiện lợi, nhanh chóng hơn so với trước đây. - HUMAN-FAC1]]</f>
        <v>3</v>
      </c>
      <c r="AD271" t="str">
        <f t="shared" si="115"/>
        <v>Oppose</v>
      </c>
      <c r="AE271" s="31">
        <f t="shared" si="116"/>
        <v>6</v>
      </c>
      <c r="AF271">
        <f>step3_validation[[#This Row],[AI_FAC2]]</f>
        <v>8</v>
      </c>
      <c r="AG271" t="str">
        <f t="shared" si="117"/>
        <v>Support</v>
      </c>
      <c r="AH271">
        <f>survey_responses[[#This Row],[So với trước đây, tôi thấy cách tính thuế và các bậc thuế trong phương án mới đơn giản, dễ hiểu và dễ thực hiện hơn. - HUMAN-FAC2]]</f>
        <v>8</v>
      </c>
      <c r="AI271" t="str">
        <f t="shared" si="118"/>
        <v>Support</v>
      </c>
      <c r="AJ271" s="31">
        <f t="shared" si="119"/>
        <v>0</v>
      </c>
      <c r="AK271">
        <f>step3_validation[[#This Row],[AI_TRU1]]</f>
        <v>7</v>
      </c>
      <c r="AL271" t="str">
        <f t="shared" si="120"/>
        <v>Neutral</v>
      </c>
      <c r="AM271">
        <f>survey_responses[[#This Row],[Tôi tin rằng Nhà nước, cơ quan thuế sẽ thực thi chính sách mới một cách khách quan, công tâm và đối xử bình đẳng với mọi người nộp thuế.  - HUMAN-TRU1]]</f>
        <v>3</v>
      </c>
      <c r="AN271" t="str">
        <f t="shared" si="121"/>
        <v>Oppose</v>
      </c>
      <c r="AO271" s="31">
        <f t="shared" si="122"/>
        <v>4</v>
      </c>
      <c r="AP271">
        <f>step3_validation[[#This Row],[AI_TRU2]]</f>
        <v>9</v>
      </c>
      <c r="AQ271" t="str">
        <f t="shared" si="123"/>
        <v>Support</v>
      </c>
      <c r="AR271">
        <f>survey_responses[[#This Row],[Tôi thấy mức thuế tôi phải đóng theo phương án mới là công bằng (người thu nhập như tôi đóng mức này là hợp lý). - HUMAN-TRU2]]</f>
        <v>1</v>
      </c>
      <c r="AS271" t="str">
        <f t="shared" si="124"/>
        <v>Oppose</v>
      </c>
      <c r="AT271" s="31">
        <f t="shared" si="125"/>
        <v>8</v>
      </c>
      <c r="AU271">
        <f>step3_validation[[#This Row],[AI_TRU3]]</f>
        <v>8</v>
      </c>
      <c r="AV271" t="str">
        <f t="shared" si="126"/>
        <v>Support</v>
      </c>
      <c r="AW271">
        <f>survey_responses[[#This Row],[Tôi tin tưởng số tiền thuế tôi đóng sẽ được Nhà nước sử dụng hiệu quả để cải thiện dịch vụ công (y tế, đường xá...). - HUMAN-TRU3]]</f>
        <v>8</v>
      </c>
      <c r="AX271" t="str">
        <f t="shared" si="127"/>
        <v>Support</v>
      </c>
      <c r="AY271" s="31">
        <f t="shared" si="128"/>
        <v>0</v>
      </c>
      <c r="AZ271">
        <f>step3_validation[[#This Row],[AI_TRU4]]</f>
        <v>7</v>
      </c>
      <c r="BA271" t="str">
        <f t="shared" si="129"/>
        <v>Neutral</v>
      </c>
      <c r="BB271">
        <f>survey_responses[[#This Row],[Tôi thấy Nhà nước đã giải thích rõ ràng, minh bạch về lý do và mục tiêu của việc sửa đổi thuế lần này. - HUMAN-TRU4]]</f>
        <v>6</v>
      </c>
      <c r="BC271" t="str">
        <f t="shared" si="130"/>
        <v>Neutral</v>
      </c>
      <c r="BD271" s="31">
        <f t="shared" si="131"/>
        <v>1</v>
      </c>
      <c r="BE271">
        <f>step3_validation[[#This Row],[AI_OUT1]]</f>
        <v>9</v>
      </c>
      <c r="BF271" t="str">
        <f t="shared" si="132"/>
        <v>Support</v>
      </c>
      <c r="BG271">
        <f>survey_responses[[#This Row],[Sau khi xem xét các quyền lợi và nghĩa vụ, bạn có ủng hộ và tuân thủ chính sách mới hiện nay? - HUMAN-OUT1]]</f>
        <v>7</v>
      </c>
      <c r="BH271" t="str">
        <f t="shared" si="133"/>
        <v>Neutral</v>
      </c>
      <c r="BI271" s="31">
        <f t="shared" si="134"/>
        <v>2</v>
      </c>
    </row>
    <row r="272" spans="1:61" hidden="1" x14ac:dyDescent="0.45">
      <c r="A272" s="29">
        <f>step3_validation[[#This Row],[Persona_ID]]</f>
        <v>271</v>
      </c>
      <c r="B272" s="30">
        <f>step3_validation[[#This Row],[Used_Seed]]</f>
        <v>312</v>
      </c>
      <c r="C272" t="str">
        <f>step3_validation[[#This Row],[Gender]]</f>
        <v>Nữ</v>
      </c>
      <c r="D272" t="str">
        <f>survey_responses[[#This Row],[Giới tính của bạn:]]</f>
        <v>Nữ</v>
      </c>
      <c r="E272" t="str">
        <f>step3_validation[[#This Row],[Age_Group]]</f>
        <v>30 - 39</v>
      </c>
      <c r="F272" t="str">
        <f>survey_responses[[#This Row],[Độ tuổi của bạn:]]</f>
        <v>30 - 39</v>
      </c>
      <c r="G272" t="str">
        <f>step3_validation[[#This Row],[Region]]</f>
        <v>Thành thị</v>
      </c>
      <c r="H272" t="str">
        <f>survey_responses[[#This Row],[Khu vực bạn đang sinh sống:]]</f>
        <v>Thành thị</v>
      </c>
      <c r="I272" t="str">
        <f>step3_validation[[#This Row],[Education]]</f>
        <v>Sau Đại học</v>
      </c>
      <c r="J272" t="str">
        <f>survey_responses[[#This Row],[Trình độ học vấn cao nhất:]]</f>
        <v>Sau Đại học</v>
      </c>
      <c r="K272" t="str">
        <f>step3_validation[[#This Row],[Employment]]</f>
        <v>Chính thức</v>
      </c>
      <c r="L272" t="str">
        <f>survey_responses[[#This Row],[Tình trạng việc làm chính:]]</f>
        <v>Khu vực chính thức (Có Hợp đồng lao động, đóng BHXH)</v>
      </c>
      <c r="M272">
        <f>step3_validation[[#This Row],[Income_Mil]]</f>
        <v>56.8895451578394</v>
      </c>
      <c r="N272" t="str">
        <f>survey_responses[[#This Row],[Thu nhập bình quân tháng theo Hợp đồng lao động của bạn là bao nhiêu? (Vui lòng điền tổng thu nhập trước khi khấu trừ các loại Bảo hiểm (BHXH, BHYT, BHTN) và Thuế TNCN)]]</f>
        <v>Từ 48 - 70 triệu VNĐ</v>
      </c>
      <c r="O272">
        <f>step3_validation[[#This Row],[Dependents]]</f>
        <v>2</v>
      </c>
      <c r="P272" t="str">
        <f>survey_responses[[#This Row],[Số người phụ thuộc (con nhỏ, cha mẹ già...) đủ điều kiện giảm trừ gia cảnh:]]</f>
        <v>2 người</v>
      </c>
      <c r="Q272">
        <f>step3_validation[[#This Row],[AI_ENF1]]</f>
        <v>9</v>
      </c>
      <c r="R272" t="str">
        <f t="shared" si="108"/>
        <v>Support</v>
      </c>
      <c r="S272">
        <f>survey_responses[[#This Row],[Tôi tin rằng với các quy định quản lý thuế hiện nay, hành vi gian lận hoặc trốn thuế sẽ dễ dàng bị phát hiện và xử lý nghiêm. - HUMAN-ENF1]]</f>
        <v>7</v>
      </c>
      <c r="T272" t="str">
        <f t="shared" si="109"/>
        <v>Neutral</v>
      </c>
      <c r="U272" s="31">
        <f t="shared" si="110"/>
        <v>2</v>
      </c>
      <c r="V272">
        <f>step3_validation[[#This Row],[AI_ENF2]]</f>
        <v>8</v>
      </c>
      <c r="W272" t="str">
        <f t="shared" si="111"/>
        <v>Support</v>
      </c>
      <c r="X272">
        <f>survey_responses[[#This Row],[Tôi tin rằng Nhà nước, cơ quan thuế có đủ khả năng và công nghệ để phát hiện, xử lý nghiêm các hành vi trốn thuế. - HUMAN-ENF2]]</f>
        <v>7</v>
      </c>
      <c r="Y272" t="str">
        <f t="shared" si="112"/>
        <v>Neutral</v>
      </c>
      <c r="Z272" s="31">
        <f t="shared" si="113"/>
        <v>1</v>
      </c>
      <c r="AA272">
        <f>step3_validation[[#This Row],[AI_FAC1]]</f>
        <v>9</v>
      </c>
      <c r="AB272" t="str">
        <f t="shared" si="114"/>
        <v>Support</v>
      </c>
      <c r="AC272">
        <f>survey_responses[[#This Row],[Các thủ tục khai báo thuế VÀ/HOẶC quy trình làm việc với cơ quan thuế đơn giản, tiện lợi, nhanh chóng hơn so với trước đây. - HUMAN-FAC1]]</f>
        <v>4</v>
      </c>
      <c r="AD272" t="str">
        <f t="shared" si="115"/>
        <v>Oppose</v>
      </c>
      <c r="AE272" s="31">
        <f t="shared" si="116"/>
        <v>5</v>
      </c>
      <c r="AF272">
        <f>step3_validation[[#This Row],[AI_FAC2]]</f>
        <v>8</v>
      </c>
      <c r="AG272" t="str">
        <f t="shared" si="117"/>
        <v>Support</v>
      </c>
      <c r="AH272">
        <f>survey_responses[[#This Row],[So với trước đây, tôi thấy cách tính thuế và các bậc thuế trong phương án mới đơn giản, dễ hiểu và dễ thực hiện hơn. - HUMAN-FAC2]]</f>
        <v>7</v>
      </c>
      <c r="AI272" t="str">
        <f t="shared" si="118"/>
        <v>Neutral</v>
      </c>
      <c r="AJ272" s="31">
        <f t="shared" si="119"/>
        <v>1</v>
      </c>
      <c r="AK272">
        <f>step3_validation[[#This Row],[AI_TRU1]]</f>
        <v>9</v>
      </c>
      <c r="AL272" t="str">
        <f t="shared" si="120"/>
        <v>Support</v>
      </c>
      <c r="AM272">
        <f>survey_responses[[#This Row],[Tôi tin rằng Nhà nước, cơ quan thuế sẽ thực thi chính sách mới một cách khách quan, công tâm và đối xử bình đẳng với mọi người nộp thuế.  - HUMAN-TRU1]]</f>
        <v>7</v>
      </c>
      <c r="AN272" t="str">
        <f t="shared" si="121"/>
        <v>Neutral</v>
      </c>
      <c r="AO272" s="31">
        <f t="shared" si="122"/>
        <v>2</v>
      </c>
      <c r="AP272">
        <f>step3_validation[[#This Row],[AI_TRU2]]</f>
        <v>8</v>
      </c>
      <c r="AQ272" t="str">
        <f t="shared" si="123"/>
        <v>Support</v>
      </c>
      <c r="AR272">
        <f>survey_responses[[#This Row],[Tôi thấy mức thuế tôi phải đóng theo phương án mới là công bằng (người thu nhập như tôi đóng mức này là hợp lý). - HUMAN-TRU2]]</f>
        <v>6</v>
      </c>
      <c r="AS272" t="str">
        <f t="shared" si="124"/>
        <v>Neutral</v>
      </c>
      <c r="AT272" s="31">
        <f t="shared" si="125"/>
        <v>2</v>
      </c>
      <c r="AU272">
        <f>step3_validation[[#This Row],[AI_TRU3]]</f>
        <v>9</v>
      </c>
      <c r="AV272" t="str">
        <f t="shared" si="126"/>
        <v>Support</v>
      </c>
      <c r="AW272">
        <f>survey_responses[[#This Row],[Tôi tin tưởng số tiền thuế tôi đóng sẽ được Nhà nước sử dụng hiệu quả để cải thiện dịch vụ công (y tế, đường xá...). - HUMAN-TRU3]]</f>
        <v>5</v>
      </c>
      <c r="AX272" t="str">
        <f t="shared" si="127"/>
        <v>Neutral</v>
      </c>
      <c r="AY272" s="31">
        <f t="shared" si="128"/>
        <v>4</v>
      </c>
      <c r="AZ272">
        <f>step3_validation[[#This Row],[AI_TRU4]]</f>
        <v>8</v>
      </c>
      <c r="BA272" t="str">
        <f t="shared" si="129"/>
        <v>Support</v>
      </c>
      <c r="BB272">
        <f>survey_responses[[#This Row],[Tôi thấy Nhà nước đã giải thích rõ ràng, minh bạch về lý do và mục tiêu của việc sửa đổi thuế lần này. - HUMAN-TRU4]]</f>
        <v>7</v>
      </c>
      <c r="BC272" t="str">
        <f t="shared" si="130"/>
        <v>Neutral</v>
      </c>
      <c r="BD272" s="31">
        <f t="shared" si="131"/>
        <v>1</v>
      </c>
      <c r="BE272">
        <f>step3_validation[[#This Row],[AI_OUT1]]</f>
        <v>9</v>
      </c>
      <c r="BF272" t="str">
        <f t="shared" si="132"/>
        <v>Support</v>
      </c>
      <c r="BG272">
        <f>survey_responses[[#This Row],[Sau khi xem xét các quyền lợi và nghĩa vụ, bạn có ủng hộ và tuân thủ chính sách mới hiện nay? - HUMAN-OUT1]]</f>
        <v>6</v>
      </c>
      <c r="BH272" t="str">
        <f t="shared" si="133"/>
        <v>Neutral</v>
      </c>
      <c r="BI272" s="31">
        <f t="shared" si="134"/>
        <v>3</v>
      </c>
    </row>
    <row r="273" spans="1:61" hidden="1" x14ac:dyDescent="0.45">
      <c r="A273" s="29">
        <f>step3_validation[[#This Row],[Persona_ID]]</f>
        <v>272</v>
      </c>
      <c r="B273" s="30">
        <f>step3_validation[[#This Row],[Used_Seed]]</f>
        <v>313</v>
      </c>
      <c r="C273" t="str">
        <f>step3_validation[[#This Row],[Gender]]</f>
        <v>Nam</v>
      </c>
      <c r="D273" t="str">
        <f>survey_responses[[#This Row],[Giới tính của bạn:]]</f>
        <v>Nam</v>
      </c>
      <c r="E273" t="str">
        <f>step3_validation[[#This Row],[Age_Group]]</f>
        <v>30 - 39</v>
      </c>
      <c r="F273" t="str">
        <f>survey_responses[[#This Row],[Độ tuổi của bạn:]]</f>
        <v>30 - 39</v>
      </c>
      <c r="G273" t="str">
        <f>step3_validation[[#This Row],[Region]]</f>
        <v>Thành thị</v>
      </c>
      <c r="H273" t="str">
        <f>survey_responses[[#This Row],[Khu vực bạn đang sinh sống:]]</f>
        <v>Thành thị</v>
      </c>
      <c r="I273" t="str">
        <f>step3_validation[[#This Row],[Education]]</f>
        <v>Đại học</v>
      </c>
      <c r="J273" t="str">
        <f>survey_responses[[#This Row],[Trình độ học vấn cao nhất:]]</f>
        <v>Đại học</v>
      </c>
      <c r="K273" t="str">
        <f>step3_validation[[#This Row],[Employment]]</f>
        <v>Chính thức</v>
      </c>
      <c r="L273" t="str">
        <f>survey_responses[[#This Row],[Tình trạng việc làm chính:]]</f>
        <v>Khu vực chính thức (Có Hợp đồng lao động, đóng BHXH)</v>
      </c>
      <c r="M273">
        <f>step3_validation[[#This Row],[Income_Mil]]</f>
        <v>36.279781845072534</v>
      </c>
      <c r="N273" t="str">
        <f>survey_responses[[#This Row],[Thu nhập bình quân tháng theo Hợp đồng lao động của bạn là bao nhiêu? (Vui lòng điền tổng thu nhập trước khi khấu trừ các loại Bảo hiểm (BHXH, BHYT, BHTN) và Thuế TNCN)]]</f>
        <v>Từ 32 - 48 triệu VNĐ</v>
      </c>
      <c r="O273">
        <f>step3_validation[[#This Row],[Dependents]]</f>
        <v>1</v>
      </c>
      <c r="P273" t="str">
        <f>survey_responses[[#This Row],[Số người phụ thuộc (con nhỏ, cha mẹ già...) đủ điều kiện giảm trừ gia cảnh:]]</f>
        <v>1 người</v>
      </c>
      <c r="Q273">
        <f>step3_validation[[#This Row],[AI_ENF1]]</f>
        <v>7</v>
      </c>
      <c r="R273" t="str">
        <f t="shared" si="108"/>
        <v>Neutral</v>
      </c>
      <c r="S273">
        <f>survey_responses[[#This Row],[Tôi tin rằng với các quy định quản lý thuế hiện nay, hành vi gian lận hoặc trốn thuế sẽ dễ dàng bị phát hiện và xử lý nghiêm. - HUMAN-ENF1]]</f>
        <v>7</v>
      </c>
      <c r="T273" t="str">
        <f t="shared" si="109"/>
        <v>Neutral</v>
      </c>
      <c r="U273" s="31">
        <f t="shared" si="110"/>
        <v>0</v>
      </c>
      <c r="V273">
        <f>step3_validation[[#This Row],[AI_ENF2]]</f>
        <v>8</v>
      </c>
      <c r="W273" t="str">
        <f t="shared" si="111"/>
        <v>Support</v>
      </c>
      <c r="X273">
        <f>survey_responses[[#This Row],[Tôi tin rằng Nhà nước, cơ quan thuế có đủ khả năng và công nghệ để phát hiện, xử lý nghiêm các hành vi trốn thuế. - HUMAN-ENF2]]</f>
        <v>8</v>
      </c>
      <c r="Y273" t="str">
        <f t="shared" si="112"/>
        <v>Support</v>
      </c>
      <c r="Z273" s="31">
        <f t="shared" si="113"/>
        <v>0</v>
      </c>
      <c r="AA273">
        <f>step3_validation[[#This Row],[AI_FAC1]]</f>
        <v>9</v>
      </c>
      <c r="AB273" t="str">
        <f t="shared" si="114"/>
        <v>Support</v>
      </c>
      <c r="AC273">
        <f>survey_responses[[#This Row],[Các thủ tục khai báo thuế VÀ/HOẶC quy trình làm việc với cơ quan thuế đơn giản, tiện lợi, nhanh chóng hơn so với trước đây. - HUMAN-FAC1]]</f>
        <v>2</v>
      </c>
      <c r="AD273" t="str">
        <f t="shared" si="115"/>
        <v>Oppose</v>
      </c>
      <c r="AE273" s="31">
        <f t="shared" si="116"/>
        <v>7</v>
      </c>
      <c r="AF273">
        <f>step3_validation[[#This Row],[AI_FAC2]]</f>
        <v>8</v>
      </c>
      <c r="AG273" t="str">
        <f t="shared" si="117"/>
        <v>Support</v>
      </c>
      <c r="AH273">
        <f>survey_responses[[#This Row],[So với trước đây, tôi thấy cách tính thuế và các bậc thuế trong phương án mới đơn giản, dễ hiểu và dễ thực hiện hơn. - HUMAN-FAC2]]</f>
        <v>6</v>
      </c>
      <c r="AI273" t="str">
        <f t="shared" si="118"/>
        <v>Neutral</v>
      </c>
      <c r="AJ273" s="31">
        <f t="shared" si="119"/>
        <v>2</v>
      </c>
      <c r="AK273">
        <f>step3_validation[[#This Row],[AI_TRU1]]</f>
        <v>9</v>
      </c>
      <c r="AL273" t="str">
        <f t="shared" si="120"/>
        <v>Support</v>
      </c>
      <c r="AM273">
        <f>survey_responses[[#This Row],[Tôi tin rằng Nhà nước, cơ quan thuế sẽ thực thi chính sách mới một cách khách quan, công tâm và đối xử bình đẳng với mọi người nộp thuế.  - HUMAN-TRU1]]</f>
        <v>6</v>
      </c>
      <c r="AN273" t="str">
        <f t="shared" si="121"/>
        <v>Neutral</v>
      </c>
      <c r="AO273" s="31">
        <f t="shared" si="122"/>
        <v>3</v>
      </c>
      <c r="AP273">
        <f>step3_validation[[#This Row],[AI_TRU2]]</f>
        <v>8</v>
      </c>
      <c r="AQ273" t="str">
        <f t="shared" si="123"/>
        <v>Support</v>
      </c>
      <c r="AR273">
        <f>survey_responses[[#This Row],[Tôi thấy mức thuế tôi phải đóng theo phương án mới là công bằng (người thu nhập như tôi đóng mức này là hợp lý). - HUMAN-TRU2]]</f>
        <v>6</v>
      </c>
      <c r="AS273" t="str">
        <f t="shared" si="124"/>
        <v>Neutral</v>
      </c>
      <c r="AT273" s="31">
        <f t="shared" si="125"/>
        <v>2</v>
      </c>
      <c r="AU273">
        <f>step3_validation[[#This Row],[AI_TRU3]]</f>
        <v>9</v>
      </c>
      <c r="AV273" t="str">
        <f t="shared" si="126"/>
        <v>Support</v>
      </c>
      <c r="AW273">
        <f>survey_responses[[#This Row],[Tôi tin tưởng số tiền thuế tôi đóng sẽ được Nhà nước sử dụng hiệu quả để cải thiện dịch vụ công (y tế, đường xá...). - HUMAN-TRU3]]</f>
        <v>5</v>
      </c>
      <c r="AX273" t="str">
        <f t="shared" si="127"/>
        <v>Neutral</v>
      </c>
      <c r="AY273" s="31">
        <f t="shared" si="128"/>
        <v>4</v>
      </c>
      <c r="AZ273">
        <f>step3_validation[[#This Row],[AI_TRU4]]</f>
        <v>8</v>
      </c>
      <c r="BA273" t="str">
        <f t="shared" si="129"/>
        <v>Support</v>
      </c>
      <c r="BB273">
        <f>survey_responses[[#This Row],[Tôi thấy Nhà nước đã giải thích rõ ràng, minh bạch về lý do và mục tiêu của việc sửa đổi thuế lần này. - HUMAN-TRU4]]</f>
        <v>5</v>
      </c>
      <c r="BC273" t="str">
        <f t="shared" si="130"/>
        <v>Neutral</v>
      </c>
      <c r="BD273" s="31">
        <f t="shared" si="131"/>
        <v>3</v>
      </c>
      <c r="BE273">
        <f>step3_validation[[#This Row],[AI_OUT1]]</f>
        <v>9</v>
      </c>
      <c r="BF273" t="str">
        <f t="shared" si="132"/>
        <v>Support</v>
      </c>
      <c r="BG273">
        <f>survey_responses[[#This Row],[Sau khi xem xét các quyền lợi và nghĩa vụ, bạn có ủng hộ và tuân thủ chính sách mới hiện nay? - HUMAN-OUT1]]</f>
        <v>6</v>
      </c>
      <c r="BH273" t="str">
        <f t="shared" si="133"/>
        <v>Neutral</v>
      </c>
      <c r="BI273" s="31">
        <f t="shared" si="134"/>
        <v>3</v>
      </c>
    </row>
    <row r="274" spans="1:61" hidden="1" x14ac:dyDescent="0.45">
      <c r="A274" s="29">
        <f>step3_validation[[#This Row],[Persona_ID]]</f>
        <v>273</v>
      </c>
      <c r="B274" s="30">
        <f>step3_validation[[#This Row],[Used_Seed]]</f>
        <v>314</v>
      </c>
      <c r="C274" t="str">
        <f>step3_validation[[#This Row],[Gender]]</f>
        <v>Nữ</v>
      </c>
      <c r="D274" t="str">
        <f>survey_responses[[#This Row],[Giới tính của bạn:]]</f>
        <v>Nữ</v>
      </c>
      <c r="E274" t="str">
        <f>step3_validation[[#This Row],[Age_Group]]</f>
        <v>50 - 54</v>
      </c>
      <c r="F274" t="str">
        <f>survey_responses[[#This Row],[Độ tuổi của bạn:]]</f>
        <v>50 - 54</v>
      </c>
      <c r="G274" t="str">
        <f>step3_validation[[#This Row],[Region]]</f>
        <v>Thành thị</v>
      </c>
      <c r="H274" t="str">
        <f>survey_responses[[#This Row],[Khu vực bạn đang sinh sống:]]</f>
        <v>Thành thị</v>
      </c>
      <c r="I274" t="str">
        <f>step3_validation[[#This Row],[Education]]</f>
        <v>Sau Đại học</v>
      </c>
      <c r="J274" t="str">
        <f>survey_responses[[#This Row],[Trình độ học vấn cao nhất:]]</f>
        <v>Sau Đại học</v>
      </c>
      <c r="K274" t="str">
        <f>step3_validation[[#This Row],[Employment]]</f>
        <v>Chính thức</v>
      </c>
      <c r="L274" t="str">
        <f>survey_responses[[#This Row],[Tình trạng việc làm chính:]]</f>
        <v>Khu vực chính thức (Có Hợp đồng lao động, đóng BHXH)</v>
      </c>
      <c r="M274">
        <f>step3_validation[[#This Row],[Income_Mil]]</f>
        <v>70.906460480728072</v>
      </c>
      <c r="N274" t="str">
        <f>survey_responses[[#This Row],[Thu nhập bình quân tháng theo Hợp đồng lao động của bạn là bao nhiêu? (Vui lòng điền tổng thu nhập trước khi khấu trừ các loại Bảo hiểm (BHXH, BHYT, BHTN) và Thuế TNCN)]]</f>
        <v>Từ 70 - 102 triệu VNĐ</v>
      </c>
      <c r="O274">
        <f>step3_validation[[#This Row],[Dependents]]</f>
        <v>4</v>
      </c>
      <c r="P274" t="str">
        <f>survey_responses[[#This Row],[Số người phụ thuộc (con nhỏ, cha mẹ già...) đủ điều kiện giảm trừ gia cảnh:]]</f>
        <v>4 người trở lên</v>
      </c>
      <c r="Q274">
        <f>step3_validation[[#This Row],[AI_ENF1]]</f>
        <v>7</v>
      </c>
      <c r="R274" t="str">
        <f t="shared" si="108"/>
        <v>Neutral</v>
      </c>
      <c r="S274">
        <f>survey_responses[[#This Row],[Tôi tin rằng với các quy định quản lý thuế hiện nay, hành vi gian lận hoặc trốn thuế sẽ dễ dàng bị phát hiện và xử lý nghiêm. - HUMAN-ENF1]]</f>
        <v>3</v>
      </c>
      <c r="T274" t="str">
        <f t="shared" si="109"/>
        <v>Oppose</v>
      </c>
      <c r="U274" s="31">
        <f t="shared" si="110"/>
        <v>4</v>
      </c>
      <c r="V274">
        <f>step3_validation[[#This Row],[AI_ENF2]]</f>
        <v>8</v>
      </c>
      <c r="W274" t="str">
        <f t="shared" si="111"/>
        <v>Support</v>
      </c>
      <c r="X274">
        <f>survey_responses[[#This Row],[Tôi tin rằng Nhà nước, cơ quan thuế có đủ khả năng và công nghệ để phát hiện, xử lý nghiêm các hành vi trốn thuế. - HUMAN-ENF2]]</f>
        <v>3</v>
      </c>
      <c r="Y274" t="str">
        <f t="shared" si="112"/>
        <v>Oppose</v>
      </c>
      <c r="Z274" s="31">
        <f t="shared" si="113"/>
        <v>5</v>
      </c>
      <c r="AA274">
        <f>step3_validation[[#This Row],[AI_FAC1]]</f>
        <v>9</v>
      </c>
      <c r="AB274" t="str">
        <f t="shared" si="114"/>
        <v>Support</v>
      </c>
      <c r="AC274">
        <f>survey_responses[[#This Row],[Các thủ tục khai báo thuế VÀ/HOẶC quy trình làm việc với cơ quan thuế đơn giản, tiện lợi, nhanh chóng hơn so với trước đây. - HUMAN-FAC1]]</f>
        <v>1</v>
      </c>
      <c r="AD274" t="str">
        <f t="shared" si="115"/>
        <v>Oppose</v>
      </c>
      <c r="AE274" s="31">
        <f t="shared" si="116"/>
        <v>8</v>
      </c>
      <c r="AF274">
        <f>step3_validation[[#This Row],[AI_FAC2]]</f>
        <v>10</v>
      </c>
      <c r="AG274" t="str">
        <f t="shared" si="117"/>
        <v>Support</v>
      </c>
      <c r="AH274">
        <f>survey_responses[[#This Row],[So với trước đây, tôi thấy cách tính thuế và các bậc thuế trong phương án mới đơn giản, dễ hiểu và dễ thực hiện hơn. - HUMAN-FAC2]]</f>
        <v>6</v>
      </c>
      <c r="AI274" t="str">
        <f t="shared" si="118"/>
        <v>Neutral</v>
      </c>
      <c r="AJ274" s="31">
        <f t="shared" si="119"/>
        <v>4</v>
      </c>
      <c r="AK274">
        <f>step3_validation[[#This Row],[AI_TRU1]]</f>
        <v>7</v>
      </c>
      <c r="AL274" t="str">
        <f t="shared" si="120"/>
        <v>Neutral</v>
      </c>
      <c r="AM274">
        <f>survey_responses[[#This Row],[Tôi tin rằng Nhà nước, cơ quan thuế sẽ thực thi chính sách mới một cách khách quan, công tâm và đối xử bình đẳng với mọi người nộp thuế.  - HUMAN-TRU1]]</f>
        <v>1</v>
      </c>
      <c r="AN274" t="str">
        <f t="shared" si="121"/>
        <v>Oppose</v>
      </c>
      <c r="AO274" s="31">
        <f t="shared" si="122"/>
        <v>6</v>
      </c>
      <c r="AP274">
        <f>step3_validation[[#This Row],[AI_TRU2]]</f>
        <v>9</v>
      </c>
      <c r="AQ274" t="str">
        <f t="shared" si="123"/>
        <v>Support</v>
      </c>
      <c r="AR274">
        <f>survey_responses[[#This Row],[Tôi thấy mức thuế tôi phải đóng theo phương án mới là công bằng (người thu nhập như tôi đóng mức này là hợp lý). - HUMAN-TRU2]]</f>
        <v>1</v>
      </c>
      <c r="AS274" t="str">
        <f t="shared" si="124"/>
        <v>Oppose</v>
      </c>
      <c r="AT274" s="31">
        <f t="shared" si="125"/>
        <v>8</v>
      </c>
      <c r="AU274">
        <f>step3_validation[[#This Row],[AI_TRU3]]</f>
        <v>8</v>
      </c>
      <c r="AV274" t="str">
        <f t="shared" si="126"/>
        <v>Support</v>
      </c>
      <c r="AW274">
        <f>survey_responses[[#This Row],[Tôi tin tưởng số tiền thuế tôi đóng sẽ được Nhà nước sử dụng hiệu quả để cải thiện dịch vụ công (y tế, đường xá...). - HUMAN-TRU3]]</f>
        <v>1</v>
      </c>
      <c r="AX274" t="str">
        <f t="shared" si="127"/>
        <v>Oppose</v>
      </c>
      <c r="AY274" s="31">
        <f t="shared" si="128"/>
        <v>7</v>
      </c>
      <c r="AZ274">
        <f>step3_validation[[#This Row],[AI_TRU4]]</f>
        <v>7</v>
      </c>
      <c r="BA274" t="str">
        <f t="shared" si="129"/>
        <v>Neutral</v>
      </c>
      <c r="BB274">
        <f>survey_responses[[#This Row],[Tôi thấy Nhà nước đã giải thích rõ ràng, minh bạch về lý do và mục tiêu của việc sửa đổi thuế lần này. - HUMAN-TRU4]]</f>
        <v>1</v>
      </c>
      <c r="BC274" t="str">
        <f t="shared" si="130"/>
        <v>Oppose</v>
      </c>
      <c r="BD274" s="31">
        <f t="shared" si="131"/>
        <v>6</v>
      </c>
      <c r="BE274">
        <f>step3_validation[[#This Row],[AI_OUT1]]</f>
        <v>8</v>
      </c>
      <c r="BF274" t="str">
        <f t="shared" si="132"/>
        <v>Support</v>
      </c>
      <c r="BG274">
        <f>survey_responses[[#This Row],[Sau khi xem xét các quyền lợi và nghĩa vụ, bạn có ủng hộ và tuân thủ chính sách mới hiện nay? - HUMAN-OUT1]]</f>
        <v>1</v>
      </c>
      <c r="BH274" t="str">
        <f t="shared" si="133"/>
        <v>Oppose</v>
      </c>
      <c r="BI274" s="31">
        <f t="shared" si="134"/>
        <v>7</v>
      </c>
    </row>
    <row r="275" spans="1:61" hidden="1" x14ac:dyDescent="0.45">
      <c r="A275" s="29">
        <f>step3_validation[[#This Row],[Persona_ID]]</f>
        <v>274</v>
      </c>
      <c r="B275" s="30">
        <f>step3_validation[[#This Row],[Used_Seed]]</f>
        <v>315</v>
      </c>
      <c r="C275" t="str">
        <f>step3_validation[[#This Row],[Gender]]</f>
        <v>Nữ</v>
      </c>
      <c r="D275" t="str">
        <f>survey_responses[[#This Row],[Giới tính của bạn:]]</f>
        <v>Nữ</v>
      </c>
      <c r="E275" t="str">
        <f>step3_validation[[#This Row],[Age_Group]]</f>
        <v>30 - 39</v>
      </c>
      <c r="F275" t="str">
        <f>survey_responses[[#This Row],[Độ tuổi của bạn:]]</f>
        <v>30 - 39</v>
      </c>
      <c r="G275" t="str">
        <f>step3_validation[[#This Row],[Region]]</f>
        <v>Thành thị</v>
      </c>
      <c r="H275" t="str">
        <f>survey_responses[[#This Row],[Khu vực bạn đang sinh sống:]]</f>
        <v>Thành thị</v>
      </c>
      <c r="I275" t="str">
        <f>step3_validation[[#This Row],[Education]]</f>
        <v>Đại học</v>
      </c>
      <c r="J275" t="str">
        <f>survey_responses[[#This Row],[Trình độ học vấn cao nhất:]]</f>
        <v>Đại học</v>
      </c>
      <c r="K275" t="str">
        <f>step3_validation[[#This Row],[Employment]]</f>
        <v>Chính thức</v>
      </c>
      <c r="L275" t="str">
        <f>survey_responses[[#This Row],[Tình trạng việc làm chính:]]</f>
        <v>Khu vực chính thức (Có Hợp đồng lao động, đóng BHXH)</v>
      </c>
      <c r="M275">
        <f>step3_validation[[#This Row],[Income_Mil]]</f>
        <v>66.585178249267827</v>
      </c>
      <c r="N275" t="str">
        <f>survey_responses[[#This Row],[Thu nhập bình quân tháng theo Hợp đồng lao động của bạn là bao nhiêu? (Vui lòng điền tổng thu nhập trước khi khấu trừ các loại Bảo hiểm (BHXH, BHYT, BHTN) và Thuế TNCN)]]</f>
        <v>Từ 48 - 70 triệu VNĐ</v>
      </c>
      <c r="O275">
        <f>step3_validation[[#This Row],[Dependents]]</f>
        <v>2</v>
      </c>
      <c r="P275" t="str">
        <f>survey_responses[[#This Row],[Số người phụ thuộc (con nhỏ, cha mẹ già...) đủ điều kiện giảm trừ gia cảnh:]]</f>
        <v>2 người</v>
      </c>
      <c r="Q275">
        <f>step3_validation[[#This Row],[AI_ENF1]]</f>
        <v>7</v>
      </c>
      <c r="R275" t="str">
        <f t="shared" si="108"/>
        <v>Neutral</v>
      </c>
      <c r="S275">
        <f>survey_responses[[#This Row],[Tôi tin rằng với các quy định quản lý thuế hiện nay, hành vi gian lận hoặc trốn thuế sẽ dễ dàng bị phát hiện và xử lý nghiêm. - HUMAN-ENF1]]</f>
        <v>6</v>
      </c>
      <c r="T275" t="str">
        <f t="shared" si="109"/>
        <v>Neutral</v>
      </c>
      <c r="U275" s="31">
        <f t="shared" si="110"/>
        <v>1</v>
      </c>
      <c r="V275">
        <f>step3_validation[[#This Row],[AI_ENF2]]</f>
        <v>9</v>
      </c>
      <c r="W275" t="str">
        <f t="shared" si="111"/>
        <v>Support</v>
      </c>
      <c r="X275">
        <f>survey_responses[[#This Row],[Tôi tin rằng Nhà nước, cơ quan thuế có đủ khả năng và công nghệ để phát hiện, xử lý nghiêm các hành vi trốn thuế. - HUMAN-ENF2]]</f>
        <v>6</v>
      </c>
      <c r="Y275" t="str">
        <f t="shared" si="112"/>
        <v>Neutral</v>
      </c>
      <c r="Z275" s="31">
        <f t="shared" si="113"/>
        <v>3</v>
      </c>
      <c r="AA275">
        <f>step3_validation[[#This Row],[AI_FAC1]]</f>
        <v>8</v>
      </c>
      <c r="AB275" t="str">
        <f t="shared" si="114"/>
        <v>Support</v>
      </c>
      <c r="AC275">
        <f>survey_responses[[#This Row],[Các thủ tục khai báo thuế VÀ/HOẶC quy trình làm việc với cơ quan thuế đơn giản, tiện lợi, nhanh chóng hơn so với trước đây. - HUMAN-FAC1]]</f>
        <v>5</v>
      </c>
      <c r="AD275" t="str">
        <f t="shared" si="115"/>
        <v>Neutral</v>
      </c>
      <c r="AE275" s="31">
        <f t="shared" si="116"/>
        <v>3</v>
      </c>
      <c r="AF275">
        <f>step3_validation[[#This Row],[AI_FAC2]]</f>
        <v>9</v>
      </c>
      <c r="AG275" t="str">
        <f t="shared" si="117"/>
        <v>Support</v>
      </c>
      <c r="AH275">
        <f>survey_responses[[#This Row],[So với trước đây, tôi thấy cách tính thuế và các bậc thuế trong phương án mới đơn giản, dễ hiểu và dễ thực hiện hơn. - HUMAN-FAC2]]</f>
        <v>6</v>
      </c>
      <c r="AI275" t="str">
        <f t="shared" si="118"/>
        <v>Neutral</v>
      </c>
      <c r="AJ275" s="31">
        <f t="shared" si="119"/>
        <v>3</v>
      </c>
      <c r="AK275">
        <f>step3_validation[[#This Row],[AI_TRU1]]</f>
        <v>8</v>
      </c>
      <c r="AL275" t="str">
        <f t="shared" si="120"/>
        <v>Support</v>
      </c>
      <c r="AM275">
        <f>survey_responses[[#This Row],[Tôi tin rằng Nhà nước, cơ quan thuế sẽ thực thi chính sách mới một cách khách quan, công tâm và đối xử bình đẳng với mọi người nộp thuế.  - HUMAN-TRU1]]</f>
        <v>6</v>
      </c>
      <c r="AN275" t="str">
        <f t="shared" si="121"/>
        <v>Neutral</v>
      </c>
      <c r="AO275" s="31">
        <f t="shared" si="122"/>
        <v>2</v>
      </c>
      <c r="AP275">
        <f>step3_validation[[#This Row],[AI_TRU2]]</f>
        <v>9</v>
      </c>
      <c r="AQ275" t="str">
        <f t="shared" si="123"/>
        <v>Support</v>
      </c>
      <c r="AR275">
        <f>survey_responses[[#This Row],[Tôi thấy mức thuế tôi phải đóng theo phương án mới là công bằng (người thu nhập như tôi đóng mức này là hợp lý). - HUMAN-TRU2]]</f>
        <v>6</v>
      </c>
      <c r="AS275" t="str">
        <f t="shared" si="124"/>
        <v>Neutral</v>
      </c>
      <c r="AT275" s="31">
        <f t="shared" si="125"/>
        <v>3</v>
      </c>
      <c r="AU275">
        <f>step3_validation[[#This Row],[AI_TRU3]]</f>
        <v>8</v>
      </c>
      <c r="AV275" t="str">
        <f t="shared" si="126"/>
        <v>Support</v>
      </c>
      <c r="AW275">
        <f>survey_responses[[#This Row],[Tôi tin tưởng số tiền thuế tôi đóng sẽ được Nhà nước sử dụng hiệu quả để cải thiện dịch vụ công (y tế, đường xá...). - HUMAN-TRU3]]</f>
        <v>6</v>
      </c>
      <c r="AX275" t="str">
        <f t="shared" si="127"/>
        <v>Neutral</v>
      </c>
      <c r="AY275" s="31">
        <f t="shared" si="128"/>
        <v>2</v>
      </c>
      <c r="AZ275">
        <f>step3_validation[[#This Row],[AI_TRU4]]</f>
        <v>9</v>
      </c>
      <c r="BA275" t="str">
        <f t="shared" si="129"/>
        <v>Support</v>
      </c>
      <c r="BB275">
        <f>survey_responses[[#This Row],[Tôi thấy Nhà nước đã giải thích rõ ràng, minh bạch về lý do và mục tiêu của việc sửa đổi thuế lần này. - HUMAN-TRU4]]</f>
        <v>6</v>
      </c>
      <c r="BC275" t="str">
        <f t="shared" si="130"/>
        <v>Neutral</v>
      </c>
      <c r="BD275" s="31">
        <f t="shared" si="131"/>
        <v>3</v>
      </c>
      <c r="BE275">
        <f>step3_validation[[#This Row],[AI_OUT1]]</f>
        <v>10</v>
      </c>
      <c r="BF275" t="str">
        <f t="shared" si="132"/>
        <v>Support</v>
      </c>
      <c r="BG275">
        <f>survey_responses[[#This Row],[Sau khi xem xét các quyền lợi và nghĩa vụ, bạn có ủng hộ và tuân thủ chính sách mới hiện nay? - HUMAN-OUT1]]</f>
        <v>6</v>
      </c>
      <c r="BH275" t="str">
        <f t="shared" si="133"/>
        <v>Neutral</v>
      </c>
      <c r="BI275" s="31">
        <f t="shared" si="134"/>
        <v>4</v>
      </c>
    </row>
    <row r="276" spans="1:61" hidden="1" x14ac:dyDescent="0.45">
      <c r="A276" s="29">
        <f>step3_validation[[#This Row],[Persona_ID]]</f>
        <v>275</v>
      </c>
      <c r="B276" s="30">
        <f>step3_validation[[#This Row],[Used_Seed]]</f>
        <v>316</v>
      </c>
      <c r="C276" t="str">
        <f>step3_validation[[#This Row],[Gender]]</f>
        <v>Nữ</v>
      </c>
      <c r="D276" t="str">
        <f>survey_responses[[#This Row],[Giới tính của bạn:]]</f>
        <v>Nữ</v>
      </c>
      <c r="E276" t="str">
        <f>step3_validation[[#This Row],[Age_Group]]</f>
        <v>40 - 49</v>
      </c>
      <c r="F276" t="str">
        <f>survey_responses[[#This Row],[Độ tuổi của bạn:]]</f>
        <v>40 - 49</v>
      </c>
      <c r="G276" t="str">
        <f>step3_validation[[#This Row],[Region]]</f>
        <v>Thành thị</v>
      </c>
      <c r="H276" t="str">
        <f>survey_responses[[#This Row],[Khu vực bạn đang sinh sống:]]</f>
        <v>Thành thị</v>
      </c>
      <c r="I276" t="str">
        <f>step3_validation[[#This Row],[Education]]</f>
        <v>Sau Đại học</v>
      </c>
      <c r="J276" t="str">
        <f>survey_responses[[#This Row],[Trình độ học vấn cao nhất:]]</f>
        <v>Sau Đại học</v>
      </c>
      <c r="K276" t="str">
        <f>step3_validation[[#This Row],[Employment]]</f>
        <v>Chính thức</v>
      </c>
      <c r="L276" t="str">
        <f>survey_responses[[#This Row],[Tình trạng việc làm chính:]]</f>
        <v>Khu vực chính thức (Có Hợp đồng lao động, đóng BHXH)</v>
      </c>
      <c r="M276">
        <f>step3_validation[[#This Row],[Income_Mil]]</f>
        <v>57.93954691548533</v>
      </c>
      <c r="N276" t="str">
        <f>survey_responses[[#This Row],[Thu nhập bình quân tháng theo Hợp đồng lao động của bạn là bao nhiêu? (Vui lòng điền tổng thu nhập trước khi khấu trừ các loại Bảo hiểm (BHXH, BHYT, BHTN) và Thuế TNCN)]]</f>
        <v>Từ 48 - 70 triệu VNĐ</v>
      </c>
      <c r="O276">
        <f>step3_validation[[#This Row],[Dependents]]</f>
        <v>2</v>
      </c>
      <c r="P276" t="str">
        <f>survey_responses[[#This Row],[Số người phụ thuộc (con nhỏ, cha mẹ già...) đủ điều kiện giảm trừ gia cảnh:]]</f>
        <v>2 người</v>
      </c>
      <c r="Q276">
        <f>step3_validation[[#This Row],[AI_ENF1]]</f>
        <v>8</v>
      </c>
      <c r="R276" t="str">
        <f t="shared" si="108"/>
        <v>Support</v>
      </c>
      <c r="S276">
        <f>survey_responses[[#This Row],[Tôi tin rằng với các quy định quản lý thuế hiện nay, hành vi gian lận hoặc trốn thuế sẽ dễ dàng bị phát hiện và xử lý nghiêm. - HUMAN-ENF1]]</f>
        <v>8</v>
      </c>
      <c r="T276" t="str">
        <f t="shared" si="109"/>
        <v>Support</v>
      </c>
      <c r="U276" s="31">
        <f t="shared" si="110"/>
        <v>0</v>
      </c>
      <c r="V276">
        <f>step3_validation[[#This Row],[AI_ENF2]]</f>
        <v>9</v>
      </c>
      <c r="W276" t="str">
        <f t="shared" si="111"/>
        <v>Support</v>
      </c>
      <c r="X276">
        <f>survey_responses[[#This Row],[Tôi tin rằng Nhà nước, cơ quan thuế có đủ khả năng và công nghệ để phát hiện, xử lý nghiêm các hành vi trốn thuế. - HUMAN-ENF2]]</f>
        <v>9</v>
      </c>
      <c r="Y276" t="str">
        <f t="shared" si="112"/>
        <v>Support</v>
      </c>
      <c r="Z276" s="31">
        <f t="shared" si="113"/>
        <v>0</v>
      </c>
      <c r="AA276">
        <f>step3_validation[[#This Row],[AI_FAC1]]</f>
        <v>9</v>
      </c>
      <c r="AB276" t="str">
        <f t="shared" si="114"/>
        <v>Support</v>
      </c>
      <c r="AC276">
        <f>survey_responses[[#This Row],[Các thủ tục khai báo thuế VÀ/HOẶC quy trình làm việc với cơ quan thuế đơn giản, tiện lợi, nhanh chóng hơn so với trước đây. - HUMAN-FAC1]]</f>
        <v>5</v>
      </c>
      <c r="AD276" t="str">
        <f t="shared" si="115"/>
        <v>Neutral</v>
      </c>
      <c r="AE276" s="31">
        <f t="shared" si="116"/>
        <v>4</v>
      </c>
      <c r="AF276">
        <f>step3_validation[[#This Row],[AI_FAC2]]</f>
        <v>10</v>
      </c>
      <c r="AG276" t="str">
        <f t="shared" si="117"/>
        <v>Support</v>
      </c>
      <c r="AH276">
        <f>survey_responses[[#This Row],[So với trước đây, tôi thấy cách tính thuế và các bậc thuế trong phương án mới đơn giản, dễ hiểu và dễ thực hiện hơn. - HUMAN-FAC2]]</f>
        <v>7</v>
      </c>
      <c r="AI276" t="str">
        <f t="shared" si="118"/>
        <v>Neutral</v>
      </c>
      <c r="AJ276" s="31">
        <f t="shared" si="119"/>
        <v>3</v>
      </c>
      <c r="AK276">
        <f>step3_validation[[#This Row],[AI_TRU1]]</f>
        <v>9</v>
      </c>
      <c r="AL276" t="str">
        <f t="shared" si="120"/>
        <v>Support</v>
      </c>
      <c r="AM276">
        <f>survey_responses[[#This Row],[Tôi tin rằng Nhà nước, cơ quan thuế sẽ thực thi chính sách mới một cách khách quan, công tâm và đối xử bình đẳng với mọi người nộp thuế.  - HUMAN-TRU1]]</f>
        <v>6</v>
      </c>
      <c r="AN276" t="str">
        <f t="shared" si="121"/>
        <v>Neutral</v>
      </c>
      <c r="AO276" s="31">
        <f t="shared" si="122"/>
        <v>3</v>
      </c>
      <c r="AP276">
        <f>step3_validation[[#This Row],[AI_TRU2]]</f>
        <v>9</v>
      </c>
      <c r="AQ276" t="str">
        <f t="shared" si="123"/>
        <v>Support</v>
      </c>
      <c r="AR276">
        <f>survey_responses[[#This Row],[Tôi thấy mức thuế tôi phải đóng theo phương án mới là công bằng (người thu nhập như tôi đóng mức này là hợp lý). - HUMAN-TRU2]]</f>
        <v>7</v>
      </c>
      <c r="AS276" t="str">
        <f t="shared" si="124"/>
        <v>Neutral</v>
      </c>
      <c r="AT276" s="31">
        <f t="shared" si="125"/>
        <v>2</v>
      </c>
      <c r="AU276">
        <f>step3_validation[[#This Row],[AI_TRU3]]</f>
        <v>8</v>
      </c>
      <c r="AV276" t="str">
        <f t="shared" si="126"/>
        <v>Support</v>
      </c>
      <c r="AW276">
        <f>survey_responses[[#This Row],[Tôi tin tưởng số tiền thuế tôi đóng sẽ được Nhà nước sử dụng hiệu quả để cải thiện dịch vụ công (y tế, đường xá...). - HUMAN-TRU3]]</f>
        <v>7</v>
      </c>
      <c r="AX276" t="str">
        <f t="shared" si="127"/>
        <v>Neutral</v>
      </c>
      <c r="AY276" s="31">
        <f t="shared" si="128"/>
        <v>1</v>
      </c>
      <c r="AZ276">
        <f>step3_validation[[#This Row],[AI_TRU4]]</f>
        <v>9</v>
      </c>
      <c r="BA276" t="str">
        <f t="shared" si="129"/>
        <v>Support</v>
      </c>
      <c r="BB276">
        <f>survey_responses[[#This Row],[Tôi thấy Nhà nước đã giải thích rõ ràng, minh bạch về lý do và mục tiêu của việc sửa đổi thuế lần này. - HUMAN-TRU4]]</f>
        <v>7</v>
      </c>
      <c r="BC276" t="str">
        <f t="shared" si="130"/>
        <v>Neutral</v>
      </c>
      <c r="BD276" s="31">
        <f t="shared" si="131"/>
        <v>2</v>
      </c>
      <c r="BE276">
        <f>step3_validation[[#This Row],[AI_OUT1]]</f>
        <v>9</v>
      </c>
      <c r="BF276" t="str">
        <f t="shared" si="132"/>
        <v>Support</v>
      </c>
      <c r="BG276">
        <f>survey_responses[[#This Row],[Sau khi xem xét các quyền lợi và nghĩa vụ, bạn có ủng hộ và tuân thủ chính sách mới hiện nay? - HUMAN-OUT1]]</f>
        <v>7</v>
      </c>
      <c r="BH276" t="str">
        <f t="shared" si="133"/>
        <v>Neutral</v>
      </c>
      <c r="BI276" s="31">
        <f t="shared" si="134"/>
        <v>2</v>
      </c>
    </row>
    <row r="277" spans="1:61" hidden="1" x14ac:dyDescent="0.45">
      <c r="A277" s="29">
        <f>step3_validation[[#This Row],[Persona_ID]]</f>
        <v>276</v>
      </c>
      <c r="B277" s="30">
        <f>step3_validation[[#This Row],[Used_Seed]]</f>
        <v>317</v>
      </c>
      <c r="C277" t="str">
        <f>step3_validation[[#This Row],[Gender]]</f>
        <v>Nam</v>
      </c>
      <c r="D277" t="str">
        <f>survey_responses[[#This Row],[Giới tính của bạn:]]</f>
        <v>Nam</v>
      </c>
      <c r="E277" t="str">
        <f>step3_validation[[#This Row],[Age_Group]]</f>
        <v>30 - 39</v>
      </c>
      <c r="F277" t="str">
        <f>survey_responses[[#This Row],[Độ tuổi của bạn:]]</f>
        <v>30 - 39</v>
      </c>
      <c r="G277" t="str">
        <f>step3_validation[[#This Row],[Region]]</f>
        <v>Thành thị</v>
      </c>
      <c r="H277" t="str">
        <f>survey_responses[[#This Row],[Khu vực bạn đang sinh sống:]]</f>
        <v>Thành thị</v>
      </c>
      <c r="I277" t="str">
        <f>step3_validation[[#This Row],[Education]]</f>
        <v>Đại học</v>
      </c>
      <c r="J277" t="str">
        <f>survey_responses[[#This Row],[Trình độ học vấn cao nhất:]]</f>
        <v>Đại học</v>
      </c>
      <c r="K277" t="str">
        <f>step3_validation[[#This Row],[Employment]]</f>
        <v>Chính thức</v>
      </c>
      <c r="L277" t="str">
        <f>survey_responses[[#This Row],[Tình trạng việc làm chính:]]</f>
        <v>Khu vực chính thức (Có Hợp đồng lao động, đóng BHXH)</v>
      </c>
      <c r="M277">
        <f>step3_validation[[#This Row],[Income_Mil]]</f>
        <v>43.864927887446235</v>
      </c>
      <c r="N277" t="str">
        <f>survey_responses[[#This Row],[Thu nhập bình quân tháng theo Hợp đồng lao động của bạn là bao nhiêu? (Vui lòng điền tổng thu nhập trước khi khấu trừ các loại Bảo hiểm (BHXH, BHYT, BHTN) và Thuế TNCN)]]</f>
        <v>Từ 32 - 48 triệu VNĐ</v>
      </c>
      <c r="O277">
        <f>step3_validation[[#This Row],[Dependents]]</f>
        <v>1</v>
      </c>
      <c r="P277" t="str">
        <f>survey_responses[[#This Row],[Số người phụ thuộc (con nhỏ, cha mẹ già...) đủ điều kiện giảm trừ gia cảnh:]]</f>
        <v>1 người</v>
      </c>
      <c r="Q277">
        <f>step3_validation[[#This Row],[AI_ENF1]]</f>
        <v>8</v>
      </c>
      <c r="R277" t="str">
        <f t="shared" si="108"/>
        <v>Support</v>
      </c>
      <c r="S277">
        <f>survey_responses[[#This Row],[Tôi tin rằng với các quy định quản lý thuế hiện nay, hành vi gian lận hoặc trốn thuế sẽ dễ dàng bị phát hiện và xử lý nghiêm. - HUMAN-ENF1]]</f>
        <v>6</v>
      </c>
      <c r="T277" t="str">
        <f t="shared" si="109"/>
        <v>Neutral</v>
      </c>
      <c r="U277" s="31">
        <f t="shared" si="110"/>
        <v>2</v>
      </c>
      <c r="V277">
        <f>step3_validation[[#This Row],[AI_ENF2]]</f>
        <v>9</v>
      </c>
      <c r="W277" t="str">
        <f t="shared" si="111"/>
        <v>Support</v>
      </c>
      <c r="X277">
        <f>survey_responses[[#This Row],[Tôi tin rằng Nhà nước, cơ quan thuế có đủ khả năng và công nghệ để phát hiện, xử lý nghiêm các hành vi trốn thuế. - HUMAN-ENF2]]</f>
        <v>6</v>
      </c>
      <c r="Y277" t="str">
        <f t="shared" si="112"/>
        <v>Neutral</v>
      </c>
      <c r="Z277" s="31">
        <f t="shared" si="113"/>
        <v>3</v>
      </c>
      <c r="AA277">
        <f>step3_validation[[#This Row],[AI_FAC1]]</f>
        <v>7</v>
      </c>
      <c r="AB277" t="str">
        <f t="shared" si="114"/>
        <v>Neutral</v>
      </c>
      <c r="AC277">
        <f>survey_responses[[#This Row],[Các thủ tục khai báo thuế VÀ/HOẶC quy trình làm việc với cơ quan thuế đơn giản, tiện lợi, nhanh chóng hơn so với trước đây. - HUMAN-FAC1]]</f>
        <v>3</v>
      </c>
      <c r="AD277" t="str">
        <f t="shared" si="115"/>
        <v>Oppose</v>
      </c>
      <c r="AE277" s="31">
        <f t="shared" si="116"/>
        <v>4</v>
      </c>
      <c r="AF277">
        <f>step3_validation[[#This Row],[AI_FAC2]]</f>
        <v>8</v>
      </c>
      <c r="AG277" t="str">
        <f t="shared" si="117"/>
        <v>Support</v>
      </c>
      <c r="AH277">
        <f>survey_responses[[#This Row],[So với trước đây, tôi thấy cách tính thuế và các bậc thuế trong phương án mới đơn giản, dễ hiểu và dễ thực hiện hơn. - HUMAN-FAC2]]</f>
        <v>7</v>
      </c>
      <c r="AI277" t="str">
        <f t="shared" si="118"/>
        <v>Neutral</v>
      </c>
      <c r="AJ277" s="31">
        <f t="shared" si="119"/>
        <v>1</v>
      </c>
      <c r="AK277">
        <f>step3_validation[[#This Row],[AI_TRU1]]</f>
        <v>9</v>
      </c>
      <c r="AL277" t="str">
        <f t="shared" si="120"/>
        <v>Support</v>
      </c>
      <c r="AM277">
        <f>survey_responses[[#This Row],[Tôi tin rằng Nhà nước, cơ quan thuế sẽ thực thi chính sách mới một cách khách quan, công tâm và đối xử bình đẳng với mọi người nộp thuế.  - HUMAN-TRU1]]</f>
        <v>7</v>
      </c>
      <c r="AN277" t="str">
        <f t="shared" si="121"/>
        <v>Neutral</v>
      </c>
      <c r="AO277" s="31">
        <f t="shared" si="122"/>
        <v>2</v>
      </c>
      <c r="AP277">
        <f>step3_validation[[#This Row],[AI_TRU2]]</f>
        <v>8</v>
      </c>
      <c r="AQ277" t="str">
        <f t="shared" si="123"/>
        <v>Support</v>
      </c>
      <c r="AR277">
        <f>survey_responses[[#This Row],[Tôi thấy mức thuế tôi phải đóng theo phương án mới là công bằng (người thu nhập như tôi đóng mức này là hợp lý). - HUMAN-TRU2]]</f>
        <v>7</v>
      </c>
      <c r="AS277" t="str">
        <f t="shared" si="124"/>
        <v>Neutral</v>
      </c>
      <c r="AT277" s="31">
        <f t="shared" si="125"/>
        <v>1</v>
      </c>
      <c r="AU277">
        <f>step3_validation[[#This Row],[AI_TRU3]]</f>
        <v>9</v>
      </c>
      <c r="AV277" t="str">
        <f t="shared" si="126"/>
        <v>Support</v>
      </c>
      <c r="AW277">
        <f>survey_responses[[#This Row],[Tôi tin tưởng số tiền thuế tôi đóng sẽ được Nhà nước sử dụng hiệu quả để cải thiện dịch vụ công (y tế, đường xá...). - HUMAN-TRU3]]</f>
        <v>5</v>
      </c>
      <c r="AX277" t="str">
        <f t="shared" si="127"/>
        <v>Neutral</v>
      </c>
      <c r="AY277" s="31">
        <f t="shared" si="128"/>
        <v>4</v>
      </c>
      <c r="AZ277">
        <f>step3_validation[[#This Row],[AI_TRU4]]</f>
        <v>8</v>
      </c>
      <c r="BA277" t="str">
        <f t="shared" si="129"/>
        <v>Support</v>
      </c>
      <c r="BB277">
        <f>survey_responses[[#This Row],[Tôi thấy Nhà nước đã giải thích rõ ràng, minh bạch về lý do và mục tiêu của việc sửa đổi thuế lần này. - HUMAN-TRU4]]</f>
        <v>7</v>
      </c>
      <c r="BC277" t="str">
        <f t="shared" si="130"/>
        <v>Neutral</v>
      </c>
      <c r="BD277" s="31">
        <f t="shared" si="131"/>
        <v>1</v>
      </c>
      <c r="BE277">
        <f>step3_validation[[#This Row],[AI_OUT1]]</f>
        <v>9</v>
      </c>
      <c r="BF277" t="str">
        <f t="shared" si="132"/>
        <v>Support</v>
      </c>
      <c r="BG277">
        <f>survey_responses[[#This Row],[Sau khi xem xét các quyền lợi và nghĩa vụ, bạn có ủng hộ và tuân thủ chính sách mới hiện nay? - HUMAN-OUT1]]</f>
        <v>7</v>
      </c>
      <c r="BH277" t="str">
        <f t="shared" si="133"/>
        <v>Neutral</v>
      </c>
      <c r="BI277" s="31">
        <f t="shared" si="134"/>
        <v>2</v>
      </c>
    </row>
    <row r="278" spans="1:61" hidden="1" x14ac:dyDescent="0.45">
      <c r="A278" s="29">
        <f>step3_validation[[#This Row],[Persona_ID]]</f>
        <v>277</v>
      </c>
      <c r="B278" s="30">
        <f>step3_validation[[#This Row],[Used_Seed]]</f>
        <v>318</v>
      </c>
      <c r="C278" t="str">
        <f>step3_validation[[#This Row],[Gender]]</f>
        <v>Nữ</v>
      </c>
      <c r="D278" t="str">
        <f>survey_responses[[#This Row],[Giới tính của bạn:]]</f>
        <v>Nữ</v>
      </c>
      <c r="E278" t="str">
        <f>step3_validation[[#This Row],[Age_Group]]</f>
        <v>40 - 49</v>
      </c>
      <c r="F278" t="str">
        <f>survey_responses[[#This Row],[Độ tuổi của bạn:]]</f>
        <v>40 - 49</v>
      </c>
      <c r="G278" t="str">
        <f>step3_validation[[#This Row],[Region]]</f>
        <v>Thành thị</v>
      </c>
      <c r="H278" t="str">
        <f>survey_responses[[#This Row],[Khu vực bạn đang sinh sống:]]</f>
        <v>Thành thị</v>
      </c>
      <c r="I278" t="str">
        <f>step3_validation[[#This Row],[Education]]</f>
        <v>Đại học</v>
      </c>
      <c r="J278" t="str">
        <f>survey_responses[[#This Row],[Trình độ học vấn cao nhất:]]</f>
        <v>Đại học</v>
      </c>
      <c r="K278" t="str">
        <f>step3_validation[[#This Row],[Employment]]</f>
        <v>Chính thức</v>
      </c>
      <c r="L278" t="str">
        <f>survey_responses[[#This Row],[Tình trạng việc làm chính:]]</f>
        <v>Khu vực chính thức (Có Hợp đồng lao động, đóng BHXH)</v>
      </c>
      <c r="M278">
        <f>step3_validation[[#This Row],[Income_Mil]]</f>
        <v>90.62189932755696</v>
      </c>
      <c r="N278" t="str">
        <f>survey_responses[[#This Row],[Thu nhập bình quân tháng theo Hợp đồng lao động của bạn là bao nhiêu? (Vui lòng điền tổng thu nhập trước khi khấu trừ các loại Bảo hiểm (BHXH, BHYT, BHTN) và Thuế TNCN)]]</f>
        <v>Từ 70 - 102 triệu VNĐ</v>
      </c>
      <c r="O278">
        <f>step3_validation[[#This Row],[Dependents]]</f>
        <v>4</v>
      </c>
      <c r="P278" t="str">
        <f>survey_responses[[#This Row],[Số người phụ thuộc (con nhỏ, cha mẹ già...) đủ điều kiện giảm trừ gia cảnh:]]</f>
        <v>4 người trở lên</v>
      </c>
      <c r="Q278">
        <f>step3_validation[[#This Row],[AI_ENF1]]</f>
        <v>8</v>
      </c>
      <c r="R278" t="str">
        <f t="shared" si="108"/>
        <v>Support</v>
      </c>
      <c r="S278">
        <f>survey_responses[[#This Row],[Tôi tin rằng với các quy định quản lý thuế hiện nay, hành vi gian lận hoặc trốn thuế sẽ dễ dàng bị phát hiện và xử lý nghiêm. - HUMAN-ENF1]]</f>
        <v>8</v>
      </c>
      <c r="T278" t="str">
        <f t="shared" si="109"/>
        <v>Support</v>
      </c>
      <c r="U278" s="31">
        <f t="shared" si="110"/>
        <v>0</v>
      </c>
      <c r="V278">
        <f>step3_validation[[#This Row],[AI_ENF2]]</f>
        <v>7</v>
      </c>
      <c r="W278" t="str">
        <f t="shared" si="111"/>
        <v>Neutral</v>
      </c>
      <c r="X278">
        <f>survey_responses[[#This Row],[Tôi tin rằng Nhà nước, cơ quan thuế có đủ khả năng và công nghệ để phát hiện, xử lý nghiêm các hành vi trốn thuế. - HUMAN-ENF2]]</f>
        <v>8</v>
      </c>
      <c r="Y278" t="str">
        <f t="shared" si="112"/>
        <v>Support</v>
      </c>
      <c r="Z278" s="31">
        <f t="shared" si="113"/>
        <v>1</v>
      </c>
      <c r="AA278">
        <f>step3_validation[[#This Row],[AI_FAC1]]</f>
        <v>9</v>
      </c>
      <c r="AB278" t="str">
        <f t="shared" si="114"/>
        <v>Support</v>
      </c>
      <c r="AC278">
        <f>survey_responses[[#This Row],[Các thủ tục khai báo thuế VÀ/HOẶC quy trình làm việc với cơ quan thuế đơn giản, tiện lợi, nhanh chóng hơn so với trước đây. - HUMAN-FAC1]]</f>
        <v>6</v>
      </c>
      <c r="AD278" t="str">
        <f t="shared" si="115"/>
        <v>Neutral</v>
      </c>
      <c r="AE278" s="31">
        <f t="shared" si="116"/>
        <v>3</v>
      </c>
      <c r="AF278">
        <f>step3_validation[[#This Row],[AI_FAC2]]</f>
        <v>8</v>
      </c>
      <c r="AG278" t="str">
        <f t="shared" si="117"/>
        <v>Support</v>
      </c>
      <c r="AH278">
        <f>survey_responses[[#This Row],[So với trước đây, tôi thấy cách tính thuế và các bậc thuế trong phương án mới đơn giản, dễ hiểu và dễ thực hiện hơn. - HUMAN-FAC2]]</f>
        <v>7</v>
      </c>
      <c r="AI278" t="str">
        <f t="shared" si="118"/>
        <v>Neutral</v>
      </c>
      <c r="AJ278" s="31">
        <f t="shared" si="119"/>
        <v>1</v>
      </c>
      <c r="AK278">
        <f>step3_validation[[#This Row],[AI_TRU1]]</f>
        <v>9</v>
      </c>
      <c r="AL278" t="str">
        <f t="shared" si="120"/>
        <v>Support</v>
      </c>
      <c r="AM278">
        <f>survey_responses[[#This Row],[Tôi tin rằng Nhà nước, cơ quan thuế sẽ thực thi chính sách mới một cách khách quan, công tâm và đối xử bình đẳng với mọi người nộp thuế.  - HUMAN-TRU1]]</f>
        <v>7</v>
      </c>
      <c r="AN278" t="str">
        <f t="shared" si="121"/>
        <v>Neutral</v>
      </c>
      <c r="AO278" s="31">
        <f t="shared" si="122"/>
        <v>2</v>
      </c>
      <c r="AP278">
        <f>step3_validation[[#This Row],[AI_TRU2]]</f>
        <v>8</v>
      </c>
      <c r="AQ278" t="str">
        <f t="shared" si="123"/>
        <v>Support</v>
      </c>
      <c r="AR278">
        <f>survey_responses[[#This Row],[Tôi thấy mức thuế tôi phải đóng theo phương án mới là công bằng (người thu nhập như tôi đóng mức này là hợp lý). - HUMAN-TRU2]]</f>
        <v>4</v>
      </c>
      <c r="AS278" t="str">
        <f t="shared" si="124"/>
        <v>Oppose</v>
      </c>
      <c r="AT278" s="31">
        <f t="shared" si="125"/>
        <v>4</v>
      </c>
      <c r="AU278">
        <f>step3_validation[[#This Row],[AI_TRU3]]</f>
        <v>9</v>
      </c>
      <c r="AV278" t="str">
        <f t="shared" si="126"/>
        <v>Support</v>
      </c>
      <c r="AW278">
        <f>survey_responses[[#This Row],[Tôi tin tưởng số tiền thuế tôi đóng sẽ được Nhà nước sử dụng hiệu quả để cải thiện dịch vụ công (y tế, đường xá...). - HUMAN-TRU3]]</f>
        <v>5</v>
      </c>
      <c r="AX278" t="str">
        <f t="shared" si="127"/>
        <v>Neutral</v>
      </c>
      <c r="AY278" s="31">
        <f t="shared" si="128"/>
        <v>4</v>
      </c>
      <c r="AZ278">
        <f>step3_validation[[#This Row],[AI_TRU4]]</f>
        <v>7</v>
      </c>
      <c r="BA278" t="str">
        <f t="shared" si="129"/>
        <v>Neutral</v>
      </c>
      <c r="BB278">
        <f>survey_responses[[#This Row],[Tôi thấy Nhà nước đã giải thích rõ ràng, minh bạch về lý do và mục tiêu của việc sửa đổi thuế lần này. - HUMAN-TRU4]]</f>
        <v>5</v>
      </c>
      <c r="BC278" t="str">
        <f t="shared" si="130"/>
        <v>Neutral</v>
      </c>
      <c r="BD278" s="31">
        <f t="shared" si="131"/>
        <v>2</v>
      </c>
      <c r="BE278">
        <f>step3_validation[[#This Row],[AI_OUT1]]</f>
        <v>9</v>
      </c>
      <c r="BF278" t="str">
        <f t="shared" si="132"/>
        <v>Support</v>
      </c>
      <c r="BG278">
        <f>survey_responses[[#This Row],[Sau khi xem xét các quyền lợi và nghĩa vụ, bạn có ủng hộ và tuân thủ chính sách mới hiện nay? - HUMAN-OUT1]]</f>
        <v>5</v>
      </c>
      <c r="BH278" t="str">
        <f t="shared" si="133"/>
        <v>Neutral</v>
      </c>
      <c r="BI278" s="31">
        <f t="shared" si="134"/>
        <v>4</v>
      </c>
    </row>
    <row r="279" spans="1:61" hidden="1" x14ac:dyDescent="0.45">
      <c r="A279" s="29">
        <f>step3_validation[[#This Row],[Persona_ID]]</f>
        <v>278</v>
      </c>
      <c r="B279" s="30">
        <f>step3_validation[[#This Row],[Used_Seed]]</f>
        <v>319</v>
      </c>
      <c r="C279" t="str">
        <f>step3_validation[[#This Row],[Gender]]</f>
        <v>Nữ</v>
      </c>
      <c r="D279" t="str">
        <f>survey_responses[[#This Row],[Giới tính của bạn:]]</f>
        <v>Nữ</v>
      </c>
      <c r="E279" t="str">
        <f>step3_validation[[#This Row],[Age_Group]]</f>
        <v>30 - 39</v>
      </c>
      <c r="F279" t="str">
        <f>survey_responses[[#This Row],[Độ tuổi của bạn:]]</f>
        <v>30 - 39</v>
      </c>
      <c r="G279" t="str">
        <f>step3_validation[[#This Row],[Region]]</f>
        <v>Thành thị</v>
      </c>
      <c r="H279" t="str">
        <f>survey_responses[[#This Row],[Khu vực bạn đang sinh sống:]]</f>
        <v>Thành thị</v>
      </c>
      <c r="I279" t="str">
        <f>step3_validation[[#This Row],[Education]]</f>
        <v>Đại học</v>
      </c>
      <c r="J279" t="str">
        <f>survey_responses[[#This Row],[Trình độ học vấn cao nhất:]]</f>
        <v>Đại học</v>
      </c>
      <c r="K279" t="str">
        <f>step3_validation[[#This Row],[Employment]]</f>
        <v>Chính thức</v>
      </c>
      <c r="L279" t="str">
        <f>survey_responses[[#This Row],[Tình trạng việc làm chính:]]</f>
        <v>Khu vực chính thức (Có Hợp đồng lao động, đóng BHXH)</v>
      </c>
      <c r="M279">
        <f>step3_validation[[#This Row],[Income_Mil]]</f>
        <v>66.55597708399209</v>
      </c>
      <c r="N279" t="str">
        <f>survey_responses[[#This Row],[Thu nhập bình quân tháng theo Hợp đồng lao động của bạn là bao nhiêu? (Vui lòng điền tổng thu nhập trước khi khấu trừ các loại Bảo hiểm (BHXH, BHYT, BHTN) và Thuế TNCN)]]</f>
        <v>Từ 48 - 70 triệu VNĐ</v>
      </c>
      <c r="O279">
        <f>step3_validation[[#This Row],[Dependents]]</f>
        <v>3</v>
      </c>
      <c r="P279" t="str">
        <f>survey_responses[[#This Row],[Số người phụ thuộc (con nhỏ, cha mẹ già...) đủ điều kiện giảm trừ gia cảnh:]]</f>
        <v>3 người</v>
      </c>
      <c r="Q279">
        <f>step3_validation[[#This Row],[AI_ENF1]]</f>
        <v>7</v>
      </c>
      <c r="R279" t="str">
        <f t="shared" si="108"/>
        <v>Neutral</v>
      </c>
      <c r="S279">
        <f>survey_responses[[#This Row],[Tôi tin rằng với các quy định quản lý thuế hiện nay, hành vi gian lận hoặc trốn thuế sẽ dễ dàng bị phát hiện và xử lý nghiêm. - HUMAN-ENF1]]</f>
        <v>6</v>
      </c>
      <c r="T279" t="str">
        <f t="shared" si="109"/>
        <v>Neutral</v>
      </c>
      <c r="U279" s="31">
        <f t="shared" si="110"/>
        <v>1</v>
      </c>
      <c r="V279">
        <f>step3_validation[[#This Row],[AI_ENF2]]</f>
        <v>8</v>
      </c>
      <c r="W279" t="str">
        <f t="shared" si="111"/>
        <v>Support</v>
      </c>
      <c r="X279">
        <f>survey_responses[[#This Row],[Tôi tin rằng Nhà nước, cơ quan thuế có đủ khả năng và công nghệ để phát hiện, xử lý nghiêm các hành vi trốn thuế. - HUMAN-ENF2]]</f>
        <v>7</v>
      </c>
      <c r="Y279" t="str">
        <f t="shared" si="112"/>
        <v>Neutral</v>
      </c>
      <c r="Z279" s="31">
        <f t="shared" si="113"/>
        <v>1</v>
      </c>
      <c r="AA279">
        <f>step3_validation[[#This Row],[AI_FAC1]]</f>
        <v>9</v>
      </c>
      <c r="AB279" t="str">
        <f t="shared" si="114"/>
        <v>Support</v>
      </c>
      <c r="AC279">
        <f>survey_responses[[#This Row],[Các thủ tục khai báo thuế VÀ/HOẶC quy trình làm việc với cơ quan thuế đơn giản, tiện lợi, nhanh chóng hơn so với trước đây. - HUMAN-FAC1]]</f>
        <v>5</v>
      </c>
      <c r="AD279" t="str">
        <f t="shared" si="115"/>
        <v>Neutral</v>
      </c>
      <c r="AE279" s="31">
        <f t="shared" si="116"/>
        <v>4</v>
      </c>
      <c r="AF279">
        <f>step3_validation[[#This Row],[AI_FAC2]]</f>
        <v>9</v>
      </c>
      <c r="AG279" t="str">
        <f t="shared" si="117"/>
        <v>Support</v>
      </c>
      <c r="AH279">
        <f>survey_responses[[#This Row],[So với trước đây, tôi thấy cách tính thuế và các bậc thuế trong phương án mới đơn giản, dễ hiểu và dễ thực hiện hơn. - HUMAN-FAC2]]</f>
        <v>7</v>
      </c>
      <c r="AI279" t="str">
        <f t="shared" si="118"/>
        <v>Neutral</v>
      </c>
      <c r="AJ279" s="31">
        <f t="shared" si="119"/>
        <v>2</v>
      </c>
      <c r="AK279">
        <f>step3_validation[[#This Row],[AI_TRU1]]</f>
        <v>8</v>
      </c>
      <c r="AL279" t="str">
        <f t="shared" si="120"/>
        <v>Support</v>
      </c>
      <c r="AM279">
        <f>survey_responses[[#This Row],[Tôi tin rằng Nhà nước, cơ quan thuế sẽ thực thi chính sách mới một cách khách quan, công tâm và đối xử bình đẳng với mọi người nộp thuế.  - HUMAN-TRU1]]</f>
        <v>6</v>
      </c>
      <c r="AN279" t="str">
        <f t="shared" si="121"/>
        <v>Neutral</v>
      </c>
      <c r="AO279" s="31">
        <f t="shared" si="122"/>
        <v>2</v>
      </c>
      <c r="AP279">
        <f>step3_validation[[#This Row],[AI_TRU2]]</f>
        <v>9</v>
      </c>
      <c r="AQ279" t="str">
        <f t="shared" si="123"/>
        <v>Support</v>
      </c>
      <c r="AR279">
        <f>survey_responses[[#This Row],[Tôi thấy mức thuế tôi phải đóng theo phương án mới là công bằng (người thu nhập như tôi đóng mức này là hợp lý). - HUMAN-TRU2]]</f>
        <v>6</v>
      </c>
      <c r="AS279" t="str">
        <f t="shared" si="124"/>
        <v>Neutral</v>
      </c>
      <c r="AT279" s="31">
        <f t="shared" si="125"/>
        <v>3</v>
      </c>
      <c r="AU279">
        <f>step3_validation[[#This Row],[AI_TRU3]]</f>
        <v>8</v>
      </c>
      <c r="AV279" t="str">
        <f t="shared" si="126"/>
        <v>Support</v>
      </c>
      <c r="AW279">
        <f>survey_responses[[#This Row],[Tôi tin tưởng số tiền thuế tôi đóng sẽ được Nhà nước sử dụng hiệu quả để cải thiện dịch vụ công (y tế, đường xá...). - HUMAN-TRU3]]</f>
        <v>6</v>
      </c>
      <c r="AX279" t="str">
        <f t="shared" si="127"/>
        <v>Neutral</v>
      </c>
      <c r="AY279" s="31">
        <f t="shared" si="128"/>
        <v>2</v>
      </c>
      <c r="AZ279">
        <f>step3_validation[[#This Row],[AI_TRU4]]</f>
        <v>9</v>
      </c>
      <c r="BA279" t="str">
        <f t="shared" si="129"/>
        <v>Support</v>
      </c>
      <c r="BB279">
        <f>survey_responses[[#This Row],[Tôi thấy Nhà nước đã giải thích rõ ràng, minh bạch về lý do và mục tiêu của việc sửa đổi thuế lần này. - HUMAN-TRU4]]</f>
        <v>6</v>
      </c>
      <c r="BC279" t="str">
        <f t="shared" si="130"/>
        <v>Neutral</v>
      </c>
      <c r="BD279" s="31">
        <f t="shared" si="131"/>
        <v>3</v>
      </c>
      <c r="BE279">
        <f>step3_validation[[#This Row],[AI_OUT1]]</f>
        <v>10</v>
      </c>
      <c r="BF279" t="str">
        <f t="shared" si="132"/>
        <v>Support</v>
      </c>
      <c r="BG279">
        <f>survey_responses[[#This Row],[Sau khi xem xét các quyền lợi và nghĩa vụ, bạn có ủng hộ và tuân thủ chính sách mới hiện nay? - HUMAN-OUT1]]</f>
        <v>6</v>
      </c>
      <c r="BH279" t="str">
        <f t="shared" si="133"/>
        <v>Neutral</v>
      </c>
      <c r="BI279" s="31">
        <f t="shared" si="134"/>
        <v>4</v>
      </c>
    </row>
    <row r="280" spans="1:61" hidden="1" x14ac:dyDescent="0.45">
      <c r="A280" s="29">
        <f>step3_validation[[#This Row],[Persona_ID]]</f>
        <v>279</v>
      </c>
      <c r="B280" s="30">
        <f>step3_validation[[#This Row],[Used_Seed]]</f>
        <v>320</v>
      </c>
      <c r="C280" t="str">
        <f>step3_validation[[#This Row],[Gender]]</f>
        <v>Nam</v>
      </c>
      <c r="D280" t="str">
        <f>survey_responses[[#This Row],[Giới tính của bạn:]]</f>
        <v>Nam</v>
      </c>
      <c r="E280" t="str">
        <f>step3_validation[[#This Row],[Age_Group]]</f>
        <v>30 - 39</v>
      </c>
      <c r="F280" t="str">
        <f>survey_responses[[#This Row],[Độ tuổi của bạn:]]</f>
        <v>30 - 39</v>
      </c>
      <c r="G280" t="str">
        <f>step3_validation[[#This Row],[Region]]</f>
        <v>Thành thị</v>
      </c>
      <c r="H280" t="str">
        <f>survey_responses[[#This Row],[Khu vực bạn đang sinh sống:]]</f>
        <v>Thành thị</v>
      </c>
      <c r="I280" t="str">
        <f>step3_validation[[#This Row],[Education]]</f>
        <v>Sau Đại học</v>
      </c>
      <c r="J280" t="str">
        <f>survey_responses[[#This Row],[Trình độ học vấn cao nhất:]]</f>
        <v>Sau Đại học</v>
      </c>
      <c r="K280" t="str">
        <f>step3_validation[[#This Row],[Employment]]</f>
        <v>Phi chính thức</v>
      </c>
      <c r="L280" t="str">
        <f>survey_responses[[#This Row],[Tình trạng việc làm chính:]]</f>
        <v>Khu vực phi chính thức (Lao động tự do, không có HĐLĐ)</v>
      </c>
      <c r="M280">
        <f>step3_validation[[#This Row],[Income_Mil]]</f>
        <v>81.512302712743661</v>
      </c>
      <c r="N280" t="str">
        <f>survey_responses[[#This Row],[Thu nhập bình quân tháng theo Hợp đồng lao động của bạn là bao nhiêu? (Vui lòng điền tổng thu nhập trước khi khấu trừ các loại Bảo hiểm (BHXH, BHYT, BHTN) và Thuế TNCN)]]</f>
        <v>Từ 70 - 102 triệu VNĐ</v>
      </c>
      <c r="O280">
        <f>step3_validation[[#This Row],[Dependents]]</f>
        <v>0</v>
      </c>
      <c r="P280" t="str">
        <f>survey_responses[[#This Row],[Số người phụ thuộc (con nhỏ, cha mẹ già...) đủ điều kiện giảm trừ gia cảnh:]]</f>
        <v>0 người</v>
      </c>
      <c r="Q280">
        <f>step3_validation[[#This Row],[AI_ENF1]]</f>
        <v>7</v>
      </c>
      <c r="R280" t="str">
        <f t="shared" si="108"/>
        <v>Neutral</v>
      </c>
      <c r="S280">
        <f>survey_responses[[#This Row],[Tôi tin rằng với các quy định quản lý thuế hiện nay, hành vi gian lận hoặc trốn thuế sẽ dễ dàng bị phát hiện và xử lý nghiêm. - HUMAN-ENF1]]</f>
        <v>6</v>
      </c>
      <c r="T280" t="str">
        <f t="shared" si="109"/>
        <v>Neutral</v>
      </c>
      <c r="U280" s="31">
        <f t="shared" si="110"/>
        <v>1</v>
      </c>
      <c r="V280">
        <f>step3_validation[[#This Row],[AI_ENF2]]</f>
        <v>8</v>
      </c>
      <c r="W280" t="str">
        <f t="shared" si="111"/>
        <v>Support</v>
      </c>
      <c r="X280">
        <f>survey_responses[[#This Row],[Tôi tin rằng Nhà nước, cơ quan thuế có đủ khả năng và công nghệ để phát hiện, xử lý nghiêm các hành vi trốn thuế. - HUMAN-ENF2]]</f>
        <v>7</v>
      </c>
      <c r="Y280" t="str">
        <f t="shared" si="112"/>
        <v>Neutral</v>
      </c>
      <c r="Z280" s="31">
        <f t="shared" si="113"/>
        <v>1</v>
      </c>
      <c r="AA280">
        <f>step3_validation[[#This Row],[AI_FAC1]]</f>
        <v>6</v>
      </c>
      <c r="AB280" t="str">
        <f t="shared" si="114"/>
        <v>Neutral</v>
      </c>
      <c r="AC280">
        <f>survey_responses[[#This Row],[Các thủ tục khai báo thuế VÀ/HOẶC quy trình làm việc với cơ quan thuế đơn giản, tiện lợi, nhanh chóng hơn so với trước đây. - HUMAN-FAC1]]</f>
        <v>5</v>
      </c>
      <c r="AD280" t="str">
        <f t="shared" si="115"/>
        <v>Neutral</v>
      </c>
      <c r="AE280" s="31">
        <f t="shared" si="116"/>
        <v>1</v>
      </c>
      <c r="AF280">
        <f>step3_validation[[#This Row],[AI_FAC2]]</f>
        <v>9</v>
      </c>
      <c r="AG280" t="str">
        <f t="shared" si="117"/>
        <v>Support</v>
      </c>
      <c r="AH280">
        <f>survey_responses[[#This Row],[So với trước đây, tôi thấy cách tính thuế và các bậc thuế trong phương án mới đơn giản, dễ hiểu và dễ thực hiện hơn. - HUMAN-FAC2]]</f>
        <v>8</v>
      </c>
      <c r="AI280" t="str">
        <f t="shared" si="118"/>
        <v>Support</v>
      </c>
      <c r="AJ280" s="31">
        <f t="shared" si="119"/>
        <v>1</v>
      </c>
      <c r="AK280">
        <f>step3_validation[[#This Row],[AI_TRU1]]</f>
        <v>7</v>
      </c>
      <c r="AL280" t="str">
        <f t="shared" si="120"/>
        <v>Neutral</v>
      </c>
      <c r="AM280">
        <f>survey_responses[[#This Row],[Tôi tin rằng Nhà nước, cơ quan thuế sẽ thực thi chính sách mới một cách khách quan, công tâm và đối xử bình đẳng với mọi người nộp thuế.  - HUMAN-TRU1]]</f>
        <v>6</v>
      </c>
      <c r="AN280" t="str">
        <f t="shared" si="121"/>
        <v>Neutral</v>
      </c>
      <c r="AO280" s="31">
        <f t="shared" si="122"/>
        <v>1</v>
      </c>
      <c r="AP280">
        <f>step3_validation[[#This Row],[AI_TRU2]]</f>
        <v>9</v>
      </c>
      <c r="AQ280" t="str">
        <f t="shared" si="123"/>
        <v>Support</v>
      </c>
      <c r="AR280">
        <f>survey_responses[[#This Row],[Tôi thấy mức thuế tôi phải đóng theo phương án mới là công bằng (người thu nhập như tôi đóng mức này là hợp lý). - HUMAN-TRU2]]</f>
        <v>3</v>
      </c>
      <c r="AS280" t="str">
        <f t="shared" si="124"/>
        <v>Oppose</v>
      </c>
      <c r="AT280" s="31">
        <f t="shared" si="125"/>
        <v>6</v>
      </c>
      <c r="AU280">
        <f>step3_validation[[#This Row],[AI_TRU3]]</f>
        <v>6</v>
      </c>
      <c r="AV280" t="str">
        <f t="shared" si="126"/>
        <v>Neutral</v>
      </c>
      <c r="AW280">
        <f>survey_responses[[#This Row],[Tôi tin tưởng số tiền thuế tôi đóng sẽ được Nhà nước sử dụng hiệu quả để cải thiện dịch vụ công (y tế, đường xá...). - HUMAN-TRU3]]</f>
        <v>6</v>
      </c>
      <c r="AX280" t="str">
        <f t="shared" si="127"/>
        <v>Neutral</v>
      </c>
      <c r="AY280" s="31">
        <f t="shared" si="128"/>
        <v>0</v>
      </c>
      <c r="AZ280">
        <f>step3_validation[[#This Row],[AI_TRU4]]</f>
        <v>7</v>
      </c>
      <c r="BA280" t="str">
        <f t="shared" si="129"/>
        <v>Neutral</v>
      </c>
      <c r="BB280">
        <f>survey_responses[[#This Row],[Tôi thấy Nhà nước đã giải thích rõ ràng, minh bạch về lý do và mục tiêu của việc sửa đổi thuế lần này. - HUMAN-TRU4]]</f>
        <v>8</v>
      </c>
      <c r="BC280" t="str">
        <f t="shared" si="130"/>
        <v>Support</v>
      </c>
      <c r="BD280" s="31">
        <f t="shared" si="131"/>
        <v>1</v>
      </c>
      <c r="BE280">
        <f>step3_validation[[#This Row],[AI_OUT1]]</f>
        <v>9</v>
      </c>
      <c r="BF280" t="str">
        <f t="shared" si="132"/>
        <v>Support</v>
      </c>
      <c r="BG280">
        <f>survey_responses[[#This Row],[Sau khi xem xét các quyền lợi và nghĩa vụ, bạn có ủng hộ và tuân thủ chính sách mới hiện nay? - HUMAN-OUT1]]</f>
        <v>6</v>
      </c>
      <c r="BH280" t="str">
        <f t="shared" si="133"/>
        <v>Neutral</v>
      </c>
      <c r="BI280" s="31">
        <f t="shared" si="134"/>
        <v>3</v>
      </c>
    </row>
    <row r="281" spans="1:61" hidden="1" x14ac:dyDescent="0.45">
      <c r="A281" s="29">
        <f>step3_validation[[#This Row],[Persona_ID]]</f>
        <v>280</v>
      </c>
      <c r="B281" s="30">
        <f>step3_validation[[#This Row],[Used_Seed]]</f>
        <v>321</v>
      </c>
      <c r="C281" t="str">
        <f>step3_validation[[#This Row],[Gender]]</f>
        <v>Nữ</v>
      </c>
      <c r="D281" t="str">
        <f>survey_responses[[#This Row],[Giới tính của bạn:]]</f>
        <v>Nữ</v>
      </c>
      <c r="E281" t="str">
        <f>step3_validation[[#This Row],[Age_Group]]</f>
        <v>30 - 39</v>
      </c>
      <c r="F281" t="str">
        <f>survey_responses[[#This Row],[Độ tuổi của bạn:]]</f>
        <v>30 - 39</v>
      </c>
      <c r="G281" t="str">
        <f>step3_validation[[#This Row],[Region]]</f>
        <v>Thành thị</v>
      </c>
      <c r="H281" t="str">
        <f>survey_responses[[#This Row],[Khu vực bạn đang sinh sống:]]</f>
        <v>Thành thị</v>
      </c>
      <c r="I281" t="str">
        <f>step3_validation[[#This Row],[Education]]</f>
        <v>Sau Đại học</v>
      </c>
      <c r="J281" t="str">
        <f>survey_responses[[#This Row],[Trình độ học vấn cao nhất:]]</f>
        <v>Sau Đại học</v>
      </c>
      <c r="K281" t="str">
        <f>step3_validation[[#This Row],[Employment]]</f>
        <v>Chính thức</v>
      </c>
      <c r="L281" t="str">
        <f>survey_responses[[#This Row],[Tình trạng việc làm chính:]]</f>
        <v>Khu vực chính thức (Có Hợp đồng lao động, đóng BHXH)</v>
      </c>
      <c r="M281">
        <f>step3_validation[[#This Row],[Income_Mil]]</f>
        <v>87.707786109528342</v>
      </c>
      <c r="N281" t="str">
        <f>survey_responses[[#This Row],[Thu nhập bình quân tháng theo Hợp đồng lao động của bạn là bao nhiêu? (Vui lòng điền tổng thu nhập trước khi khấu trừ các loại Bảo hiểm (BHXH, BHYT, BHTN) và Thuế TNCN)]]</f>
        <v>Từ 70 - 102 triệu VNĐ</v>
      </c>
      <c r="O281">
        <f>step3_validation[[#This Row],[Dependents]]</f>
        <v>2</v>
      </c>
      <c r="P281" t="str">
        <f>survey_responses[[#This Row],[Số người phụ thuộc (con nhỏ, cha mẹ già...) đủ điều kiện giảm trừ gia cảnh:]]</f>
        <v>2 người</v>
      </c>
      <c r="Q281">
        <f>step3_validation[[#This Row],[AI_ENF1]]</f>
        <v>8</v>
      </c>
      <c r="R281" t="str">
        <f t="shared" si="108"/>
        <v>Support</v>
      </c>
      <c r="S281">
        <f>survey_responses[[#This Row],[Tôi tin rằng với các quy định quản lý thuế hiện nay, hành vi gian lận hoặc trốn thuế sẽ dễ dàng bị phát hiện và xử lý nghiêm. - HUMAN-ENF1]]</f>
        <v>4</v>
      </c>
      <c r="T281" t="str">
        <f t="shared" si="109"/>
        <v>Oppose</v>
      </c>
      <c r="U281" s="31">
        <f t="shared" si="110"/>
        <v>4</v>
      </c>
      <c r="V281">
        <f>step3_validation[[#This Row],[AI_ENF2]]</f>
        <v>9</v>
      </c>
      <c r="W281" t="str">
        <f t="shared" si="111"/>
        <v>Support</v>
      </c>
      <c r="X281">
        <f>survey_responses[[#This Row],[Tôi tin rằng Nhà nước, cơ quan thuế có đủ khả năng và công nghệ để phát hiện, xử lý nghiêm các hành vi trốn thuế. - HUMAN-ENF2]]</f>
        <v>4</v>
      </c>
      <c r="Y281" t="str">
        <f t="shared" si="112"/>
        <v>Oppose</v>
      </c>
      <c r="Z281" s="31">
        <f t="shared" si="113"/>
        <v>5</v>
      </c>
      <c r="AA281">
        <f>step3_validation[[#This Row],[AI_FAC1]]</f>
        <v>8</v>
      </c>
      <c r="AB281" t="str">
        <f t="shared" si="114"/>
        <v>Support</v>
      </c>
      <c r="AC281">
        <f>survey_responses[[#This Row],[Các thủ tục khai báo thuế VÀ/HOẶC quy trình làm việc với cơ quan thuế đơn giản, tiện lợi, nhanh chóng hơn so với trước đây. - HUMAN-FAC1]]</f>
        <v>1</v>
      </c>
      <c r="AD281" t="str">
        <f t="shared" si="115"/>
        <v>Oppose</v>
      </c>
      <c r="AE281" s="31">
        <f t="shared" si="116"/>
        <v>7</v>
      </c>
      <c r="AF281">
        <f>step3_validation[[#This Row],[AI_FAC2]]</f>
        <v>9</v>
      </c>
      <c r="AG281" t="str">
        <f t="shared" si="117"/>
        <v>Support</v>
      </c>
      <c r="AH281">
        <f>survey_responses[[#This Row],[So với trước đây, tôi thấy cách tính thuế và các bậc thuế trong phương án mới đơn giản, dễ hiểu và dễ thực hiện hơn. - HUMAN-FAC2]]</f>
        <v>6</v>
      </c>
      <c r="AI281" t="str">
        <f t="shared" si="118"/>
        <v>Neutral</v>
      </c>
      <c r="AJ281" s="31">
        <f t="shared" si="119"/>
        <v>3</v>
      </c>
      <c r="AK281">
        <f>step3_validation[[#This Row],[AI_TRU1]]</f>
        <v>8</v>
      </c>
      <c r="AL281" t="str">
        <f t="shared" si="120"/>
        <v>Support</v>
      </c>
      <c r="AM281">
        <f>survey_responses[[#This Row],[Tôi tin rằng Nhà nước, cơ quan thuế sẽ thực thi chính sách mới một cách khách quan, công tâm và đối xử bình đẳng với mọi người nộp thuế.  - HUMAN-TRU1]]</f>
        <v>3</v>
      </c>
      <c r="AN281" t="str">
        <f t="shared" si="121"/>
        <v>Oppose</v>
      </c>
      <c r="AO281" s="31">
        <f t="shared" si="122"/>
        <v>5</v>
      </c>
      <c r="AP281">
        <f>step3_validation[[#This Row],[AI_TRU2]]</f>
        <v>9</v>
      </c>
      <c r="AQ281" t="str">
        <f t="shared" si="123"/>
        <v>Support</v>
      </c>
      <c r="AR281">
        <f>survey_responses[[#This Row],[Tôi thấy mức thuế tôi phải đóng theo phương án mới là công bằng (người thu nhập như tôi đóng mức này là hợp lý). - HUMAN-TRU2]]</f>
        <v>2</v>
      </c>
      <c r="AS281" t="str">
        <f t="shared" si="124"/>
        <v>Oppose</v>
      </c>
      <c r="AT281" s="31">
        <f t="shared" si="125"/>
        <v>7</v>
      </c>
      <c r="AU281">
        <f>step3_validation[[#This Row],[AI_TRU3]]</f>
        <v>8</v>
      </c>
      <c r="AV281" t="str">
        <f t="shared" si="126"/>
        <v>Support</v>
      </c>
      <c r="AW281">
        <f>survey_responses[[#This Row],[Tôi tin tưởng số tiền thuế tôi đóng sẽ được Nhà nước sử dụng hiệu quả để cải thiện dịch vụ công (y tế, đường xá...). - HUMAN-TRU3]]</f>
        <v>1</v>
      </c>
      <c r="AX281" t="str">
        <f t="shared" si="127"/>
        <v>Oppose</v>
      </c>
      <c r="AY281" s="31">
        <f t="shared" si="128"/>
        <v>7</v>
      </c>
      <c r="AZ281">
        <f>step3_validation[[#This Row],[AI_TRU4]]</f>
        <v>9</v>
      </c>
      <c r="BA281" t="str">
        <f t="shared" si="129"/>
        <v>Support</v>
      </c>
      <c r="BB281">
        <f>survey_responses[[#This Row],[Tôi thấy Nhà nước đã giải thích rõ ràng, minh bạch về lý do và mục tiêu của việc sửa đổi thuế lần này. - HUMAN-TRU4]]</f>
        <v>5</v>
      </c>
      <c r="BC281" t="str">
        <f t="shared" si="130"/>
        <v>Neutral</v>
      </c>
      <c r="BD281" s="31">
        <f t="shared" si="131"/>
        <v>4</v>
      </c>
      <c r="BE281">
        <f>step3_validation[[#This Row],[AI_OUT1]]</f>
        <v>8</v>
      </c>
      <c r="BF281" t="str">
        <f t="shared" si="132"/>
        <v>Support</v>
      </c>
      <c r="BG281">
        <f>survey_responses[[#This Row],[Sau khi xem xét các quyền lợi và nghĩa vụ, bạn có ủng hộ và tuân thủ chính sách mới hiện nay? - HUMAN-OUT1]]</f>
        <v>4</v>
      </c>
      <c r="BH281" t="str">
        <f t="shared" si="133"/>
        <v>Oppose</v>
      </c>
      <c r="BI281" s="31">
        <f t="shared" si="134"/>
        <v>4</v>
      </c>
    </row>
    <row r="282" spans="1:61" hidden="1" x14ac:dyDescent="0.45">
      <c r="A282" s="29">
        <f>step3_validation[[#This Row],[Persona_ID]]</f>
        <v>281</v>
      </c>
      <c r="B282" s="30">
        <f>step3_validation[[#This Row],[Used_Seed]]</f>
        <v>322</v>
      </c>
      <c r="C282" t="str">
        <f>step3_validation[[#This Row],[Gender]]</f>
        <v>Nữ</v>
      </c>
      <c r="D282" t="str">
        <f>survey_responses[[#This Row],[Giới tính của bạn:]]</f>
        <v>Nữ</v>
      </c>
      <c r="E282" t="str">
        <f>step3_validation[[#This Row],[Age_Group]]</f>
        <v>40 - 49</v>
      </c>
      <c r="F282" t="str">
        <f>survey_responses[[#This Row],[Độ tuổi của bạn:]]</f>
        <v>40 - 49</v>
      </c>
      <c r="G282" t="str">
        <f>step3_validation[[#This Row],[Region]]</f>
        <v>Thành thị</v>
      </c>
      <c r="H282" t="str">
        <f>survey_responses[[#This Row],[Khu vực bạn đang sinh sống:]]</f>
        <v>Thành thị</v>
      </c>
      <c r="I282" t="str">
        <f>step3_validation[[#This Row],[Education]]</f>
        <v>Sau Đại học</v>
      </c>
      <c r="J282" t="str">
        <f>survey_responses[[#This Row],[Trình độ học vấn cao nhất:]]</f>
        <v>Sau Đại học</v>
      </c>
      <c r="K282" t="str">
        <f>step3_validation[[#This Row],[Employment]]</f>
        <v>Chính thức</v>
      </c>
      <c r="L282" t="str">
        <f>survey_responses[[#This Row],[Tình trạng việc làm chính:]]</f>
        <v>Khu vực chính thức (Có Hợp đồng lao động, đóng BHXH)</v>
      </c>
      <c r="M282">
        <f>step3_validation[[#This Row],[Income_Mil]]</f>
        <v>72.299069091868844</v>
      </c>
      <c r="N282" t="str">
        <f>survey_responses[[#This Row],[Thu nhập bình quân tháng theo Hợp đồng lao động của bạn là bao nhiêu? (Vui lòng điền tổng thu nhập trước khi khấu trừ các loại Bảo hiểm (BHXH, BHYT, BHTN) và Thuế TNCN)]]</f>
        <v>Từ 70 - 102 triệu VNĐ</v>
      </c>
      <c r="O282">
        <f>step3_validation[[#This Row],[Dependents]]</f>
        <v>3</v>
      </c>
      <c r="P282" t="str">
        <f>survey_responses[[#This Row],[Số người phụ thuộc (con nhỏ, cha mẹ già...) đủ điều kiện giảm trừ gia cảnh:]]</f>
        <v>3 người</v>
      </c>
      <c r="Q282">
        <f>step3_validation[[#This Row],[AI_ENF1]]</f>
        <v>6</v>
      </c>
      <c r="R282" t="str">
        <f t="shared" si="108"/>
        <v>Neutral</v>
      </c>
      <c r="S282">
        <f>survey_responses[[#This Row],[Tôi tin rằng với các quy định quản lý thuế hiện nay, hành vi gian lận hoặc trốn thuế sẽ dễ dàng bị phát hiện và xử lý nghiêm. - HUMAN-ENF1]]</f>
        <v>6</v>
      </c>
      <c r="T282" t="str">
        <f t="shared" si="109"/>
        <v>Neutral</v>
      </c>
      <c r="U282" s="31">
        <f t="shared" si="110"/>
        <v>0</v>
      </c>
      <c r="V282">
        <f>step3_validation[[#This Row],[AI_ENF2]]</f>
        <v>7</v>
      </c>
      <c r="W282" t="str">
        <f t="shared" si="111"/>
        <v>Neutral</v>
      </c>
      <c r="X282">
        <f>survey_responses[[#This Row],[Tôi tin rằng Nhà nước, cơ quan thuế có đủ khả năng và công nghệ để phát hiện, xử lý nghiêm các hành vi trốn thuế. - HUMAN-ENF2]]</f>
        <v>7</v>
      </c>
      <c r="Y282" t="str">
        <f t="shared" si="112"/>
        <v>Neutral</v>
      </c>
      <c r="Z282" s="31">
        <f t="shared" si="113"/>
        <v>0</v>
      </c>
      <c r="AA282">
        <f>step3_validation[[#This Row],[AI_FAC1]]</f>
        <v>8</v>
      </c>
      <c r="AB282" t="str">
        <f t="shared" si="114"/>
        <v>Support</v>
      </c>
      <c r="AC282">
        <f>survey_responses[[#This Row],[Các thủ tục khai báo thuế VÀ/HOẶC quy trình làm việc với cơ quan thuế đơn giản, tiện lợi, nhanh chóng hơn so với trước đây. - HUMAN-FAC1]]</f>
        <v>4</v>
      </c>
      <c r="AD282" t="str">
        <f t="shared" si="115"/>
        <v>Oppose</v>
      </c>
      <c r="AE282" s="31">
        <f t="shared" si="116"/>
        <v>4</v>
      </c>
      <c r="AF282">
        <f>step3_validation[[#This Row],[AI_FAC2]]</f>
        <v>9</v>
      </c>
      <c r="AG282" t="str">
        <f t="shared" si="117"/>
        <v>Support</v>
      </c>
      <c r="AH282">
        <f>survey_responses[[#This Row],[So với trước đây, tôi thấy cách tính thuế và các bậc thuế trong phương án mới đơn giản, dễ hiểu và dễ thực hiện hơn. - HUMAN-FAC2]]</f>
        <v>8</v>
      </c>
      <c r="AI282" t="str">
        <f t="shared" si="118"/>
        <v>Support</v>
      </c>
      <c r="AJ282" s="31">
        <f t="shared" si="119"/>
        <v>1</v>
      </c>
      <c r="AK282">
        <f>step3_validation[[#This Row],[AI_TRU1]]</f>
        <v>6</v>
      </c>
      <c r="AL282" t="str">
        <f t="shared" si="120"/>
        <v>Neutral</v>
      </c>
      <c r="AM282">
        <f>survey_responses[[#This Row],[Tôi tin rằng Nhà nước, cơ quan thuế sẽ thực thi chính sách mới một cách khách quan, công tâm và đối xử bình đẳng với mọi người nộp thuế.  - HUMAN-TRU1]]</f>
        <v>6</v>
      </c>
      <c r="AN282" t="str">
        <f t="shared" si="121"/>
        <v>Neutral</v>
      </c>
      <c r="AO282" s="31">
        <f t="shared" si="122"/>
        <v>0</v>
      </c>
      <c r="AP282">
        <f>step3_validation[[#This Row],[AI_TRU2]]</f>
        <v>8</v>
      </c>
      <c r="AQ282" t="str">
        <f t="shared" si="123"/>
        <v>Support</v>
      </c>
      <c r="AR282">
        <f>survey_responses[[#This Row],[Tôi thấy mức thuế tôi phải đóng theo phương án mới là công bằng (người thu nhập như tôi đóng mức này là hợp lý). - HUMAN-TRU2]]</f>
        <v>6</v>
      </c>
      <c r="AS282" t="str">
        <f t="shared" si="124"/>
        <v>Neutral</v>
      </c>
      <c r="AT282" s="31">
        <f t="shared" si="125"/>
        <v>2</v>
      </c>
      <c r="AU282">
        <f>step3_validation[[#This Row],[AI_TRU3]]</f>
        <v>7</v>
      </c>
      <c r="AV282" t="str">
        <f t="shared" si="126"/>
        <v>Neutral</v>
      </c>
      <c r="AW282">
        <f>survey_responses[[#This Row],[Tôi tin tưởng số tiền thuế tôi đóng sẽ được Nhà nước sử dụng hiệu quả để cải thiện dịch vụ công (y tế, đường xá...). - HUMAN-TRU3]]</f>
        <v>5</v>
      </c>
      <c r="AX282" t="str">
        <f t="shared" si="127"/>
        <v>Neutral</v>
      </c>
      <c r="AY282" s="31">
        <f t="shared" si="128"/>
        <v>2</v>
      </c>
      <c r="AZ282">
        <f>step3_validation[[#This Row],[AI_TRU4]]</f>
        <v>8</v>
      </c>
      <c r="BA282" t="str">
        <f t="shared" si="129"/>
        <v>Support</v>
      </c>
      <c r="BB282">
        <f>survey_responses[[#This Row],[Tôi thấy Nhà nước đã giải thích rõ ràng, minh bạch về lý do và mục tiêu của việc sửa đổi thuế lần này. - HUMAN-TRU4]]</f>
        <v>7</v>
      </c>
      <c r="BC282" t="str">
        <f t="shared" si="130"/>
        <v>Neutral</v>
      </c>
      <c r="BD282" s="31">
        <f t="shared" si="131"/>
        <v>1</v>
      </c>
      <c r="BE282">
        <f>step3_validation[[#This Row],[AI_OUT1]]</f>
        <v>9</v>
      </c>
      <c r="BF282" t="str">
        <f t="shared" si="132"/>
        <v>Support</v>
      </c>
      <c r="BG282">
        <f>survey_responses[[#This Row],[Sau khi xem xét các quyền lợi và nghĩa vụ, bạn có ủng hộ và tuân thủ chính sách mới hiện nay? - HUMAN-OUT1]]</f>
        <v>6</v>
      </c>
      <c r="BH282" t="str">
        <f t="shared" si="133"/>
        <v>Neutral</v>
      </c>
      <c r="BI282" s="31">
        <f t="shared" si="134"/>
        <v>3</v>
      </c>
    </row>
    <row r="283" spans="1:61" hidden="1" x14ac:dyDescent="0.45">
      <c r="A283" s="29">
        <f>step3_validation[[#This Row],[Persona_ID]]</f>
        <v>282</v>
      </c>
      <c r="B283" s="30">
        <f>step3_validation[[#This Row],[Used_Seed]]</f>
        <v>323</v>
      </c>
      <c r="C283" t="str">
        <f>step3_validation[[#This Row],[Gender]]</f>
        <v>Nữ</v>
      </c>
      <c r="D283" t="str">
        <f>survey_responses[[#This Row],[Giới tính của bạn:]]</f>
        <v>Nữ</v>
      </c>
      <c r="E283" t="str">
        <f>step3_validation[[#This Row],[Age_Group]]</f>
        <v>55 - 64</v>
      </c>
      <c r="F283" t="str">
        <f>survey_responses[[#This Row],[Độ tuổi của bạn:]]</f>
        <v>55 - 64</v>
      </c>
      <c r="G283" t="str">
        <f>step3_validation[[#This Row],[Region]]</f>
        <v>Thành thị</v>
      </c>
      <c r="H283" t="str">
        <f>survey_responses[[#This Row],[Khu vực bạn đang sinh sống:]]</f>
        <v>Thành thị</v>
      </c>
      <c r="I283" t="str">
        <f>step3_validation[[#This Row],[Education]]</f>
        <v>Sau Đại học</v>
      </c>
      <c r="J283" t="str">
        <f>survey_responses[[#This Row],[Trình độ học vấn cao nhất:]]</f>
        <v>Sau Đại học</v>
      </c>
      <c r="K283" t="str">
        <f>step3_validation[[#This Row],[Employment]]</f>
        <v>Chính thức</v>
      </c>
      <c r="L283" t="str">
        <f>survey_responses[[#This Row],[Tình trạng việc làm chính:]]</f>
        <v>Khu vực chính thức (Có Hợp đồng lao động, đóng BHXH)</v>
      </c>
      <c r="M283">
        <f>step3_validation[[#This Row],[Income_Mil]]</f>
        <v>200.51295478498065</v>
      </c>
      <c r="N283" t="str">
        <f>survey_responses[[#This Row],[Thu nhập bình quân tháng theo Hợp đồng lao động của bạn là bao nhiêu? (Vui lòng điền tổng thu nhập trước khi khấu trừ các loại Bảo hiểm (BHXH, BHYT, BHTN) và Thuế TNCN)]]</f>
        <v>Trên 102 triệu VNĐ</v>
      </c>
      <c r="O283">
        <f>step3_validation[[#This Row],[Dependents]]</f>
        <v>4</v>
      </c>
      <c r="P283" t="str">
        <f>survey_responses[[#This Row],[Số người phụ thuộc (con nhỏ, cha mẹ già...) đủ điều kiện giảm trừ gia cảnh:]]</f>
        <v>4 người trở lên</v>
      </c>
      <c r="Q283">
        <f>step3_validation[[#This Row],[AI_ENF1]]</f>
        <v>7</v>
      </c>
      <c r="R283" t="str">
        <f t="shared" si="108"/>
        <v>Neutral</v>
      </c>
      <c r="S283">
        <f>survey_responses[[#This Row],[Tôi tin rằng với các quy định quản lý thuế hiện nay, hành vi gian lận hoặc trốn thuế sẽ dễ dàng bị phát hiện và xử lý nghiêm. - HUMAN-ENF1]]</f>
        <v>8</v>
      </c>
      <c r="T283" t="str">
        <f t="shared" si="109"/>
        <v>Support</v>
      </c>
      <c r="U283" s="31">
        <f t="shared" si="110"/>
        <v>1</v>
      </c>
      <c r="V283">
        <f>step3_validation[[#This Row],[AI_ENF2]]</f>
        <v>8</v>
      </c>
      <c r="W283" t="str">
        <f t="shared" si="111"/>
        <v>Support</v>
      </c>
      <c r="X283">
        <f>survey_responses[[#This Row],[Tôi tin rằng Nhà nước, cơ quan thuế có đủ khả năng và công nghệ để phát hiện, xử lý nghiêm các hành vi trốn thuế. - HUMAN-ENF2]]</f>
        <v>8</v>
      </c>
      <c r="Y283" t="str">
        <f t="shared" si="112"/>
        <v>Support</v>
      </c>
      <c r="Z283" s="31">
        <f t="shared" si="113"/>
        <v>0</v>
      </c>
      <c r="AA283">
        <f>step3_validation[[#This Row],[AI_FAC1]]</f>
        <v>9</v>
      </c>
      <c r="AB283" t="str">
        <f t="shared" si="114"/>
        <v>Support</v>
      </c>
      <c r="AC283">
        <f>survey_responses[[#This Row],[Các thủ tục khai báo thuế VÀ/HOẶC quy trình làm việc với cơ quan thuế đơn giản, tiện lợi, nhanh chóng hơn so với trước đây. - HUMAN-FAC1]]</f>
        <v>9</v>
      </c>
      <c r="AD283" t="str">
        <f t="shared" si="115"/>
        <v>Support</v>
      </c>
      <c r="AE283" s="31">
        <f t="shared" si="116"/>
        <v>0</v>
      </c>
      <c r="AF283">
        <f>step3_validation[[#This Row],[AI_FAC2]]</f>
        <v>9</v>
      </c>
      <c r="AG283" t="str">
        <f t="shared" si="117"/>
        <v>Support</v>
      </c>
      <c r="AH283">
        <f>survey_responses[[#This Row],[So với trước đây, tôi thấy cách tính thuế và các bậc thuế trong phương án mới đơn giản, dễ hiểu và dễ thực hiện hơn. - HUMAN-FAC2]]</f>
        <v>9</v>
      </c>
      <c r="AI283" t="str">
        <f t="shared" si="118"/>
        <v>Support</v>
      </c>
      <c r="AJ283" s="31">
        <f t="shared" si="119"/>
        <v>0</v>
      </c>
      <c r="AK283">
        <f>step3_validation[[#This Row],[AI_TRU1]]</f>
        <v>8</v>
      </c>
      <c r="AL283" t="str">
        <f t="shared" si="120"/>
        <v>Support</v>
      </c>
      <c r="AM283">
        <f>survey_responses[[#This Row],[Tôi tin rằng Nhà nước, cơ quan thuế sẽ thực thi chính sách mới một cách khách quan, công tâm và đối xử bình đẳng với mọi người nộp thuế.  - HUMAN-TRU1]]</f>
        <v>7</v>
      </c>
      <c r="AN283" t="str">
        <f t="shared" si="121"/>
        <v>Neutral</v>
      </c>
      <c r="AO283" s="31">
        <f t="shared" si="122"/>
        <v>1</v>
      </c>
      <c r="AP283">
        <f>step3_validation[[#This Row],[AI_TRU2]]</f>
        <v>9</v>
      </c>
      <c r="AQ283" t="str">
        <f t="shared" si="123"/>
        <v>Support</v>
      </c>
      <c r="AR283">
        <f>survey_responses[[#This Row],[Tôi thấy mức thuế tôi phải đóng theo phương án mới là công bằng (người thu nhập như tôi đóng mức này là hợp lý). - HUMAN-TRU2]]</f>
        <v>8</v>
      </c>
      <c r="AS283" t="str">
        <f t="shared" si="124"/>
        <v>Support</v>
      </c>
      <c r="AT283" s="31">
        <f t="shared" si="125"/>
        <v>1</v>
      </c>
      <c r="AU283">
        <f>step3_validation[[#This Row],[AI_TRU3]]</f>
        <v>8</v>
      </c>
      <c r="AV283" t="str">
        <f t="shared" si="126"/>
        <v>Support</v>
      </c>
      <c r="AW283">
        <f>survey_responses[[#This Row],[Tôi tin tưởng số tiền thuế tôi đóng sẽ được Nhà nước sử dụng hiệu quả để cải thiện dịch vụ công (y tế, đường xá...). - HUMAN-TRU3]]</f>
        <v>8</v>
      </c>
      <c r="AX283" t="str">
        <f t="shared" si="127"/>
        <v>Support</v>
      </c>
      <c r="AY283" s="31">
        <f t="shared" si="128"/>
        <v>0</v>
      </c>
      <c r="AZ283">
        <f>step3_validation[[#This Row],[AI_TRU4]]</f>
        <v>7</v>
      </c>
      <c r="BA283" t="str">
        <f t="shared" si="129"/>
        <v>Neutral</v>
      </c>
      <c r="BB283">
        <f>survey_responses[[#This Row],[Tôi thấy Nhà nước đã giải thích rõ ràng, minh bạch về lý do và mục tiêu của việc sửa đổi thuế lần này. - HUMAN-TRU4]]</f>
        <v>8</v>
      </c>
      <c r="BC283" t="str">
        <f t="shared" si="130"/>
        <v>Support</v>
      </c>
      <c r="BD283" s="31">
        <f t="shared" si="131"/>
        <v>1</v>
      </c>
      <c r="BE283">
        <f>step3_validation[[#This Row],[AI_OUT1]]</f>
        <v>9</v>
      </c>
      <c r="BF283" t="str">
        <f t="shared" si="132"/>
        <v>Support</v>
      </c>
      <c r="BG283">
        <f>survey_responses[[#This Row],[Sau khi xem xét các quyền lợi và nghĩa vụ, bạn có ủng hộ và tuân thủ chính sách mới hiện nay? - HUMAN-OUT1]]</f>
        <v>7</v>
      </c>
      <c r="BH283" t="str">
        <f t="shared" si="133"/>
        <v>Neutral</v>
      </c>
      <c r="BI283" s="31">
        <f t="shared" si="134"/>
        <v>2</v>
      </c>
    </row>
    <row r="284" spans="1:61" hidden="1" x14ac:dyDescent="0.45">
      <c r="A284" s="29">
        <f>step3_validation[[#This Row],[Persona_ID]]</f>
        <v>283</v>
      </c>
      <c r="B284" s="30">
        <f>step3_validation[[#This Row],[Used_Seed]]</f>
        <v>324</v>
      </c>
      <c r="C284" t="str">
        <f>step3_validation[[#This Row],[Gender]]</f>
        <v>Nữ</v>
      </c>
      <c r="D284" t="str">
        <f>survey_responses[[#This Row],[Giới tính của bạn:]]</f>
        <v>Nữ</v>
      </c>
      <c r="E284" t="str">
        <f>step3_validation[[#This Row],[Age_Group]]</f>
        <v>40 - 49</v>
      </c>
      <c r="F284" t="str">
        <f>survey_responses[[#This Row],[Độ tuổi của bạn:]]</f>
        <v>40 - 49</v>
      </c>
      <c r="G284" t="str">
        <f>step3_validation[[#This Row],[Region]]</f>
        <v>Thành thị</v>
      </c>
      <c r="H284" t="str">
        <f>survey_responses[[#This Row],[Khu vực bạn đang sinh sống:]]</f>
        <v>Thành thị</v>
      </c>
      <c r="I284" t="str">
        <f>step3_validation[[#This Row],[Education]]</f>
        <v>Đại học</v>
      </c>
      <c r="J284" t="str">
        <f>survey_responses[[#This Row],[Trình độ học vấn cao nhất:]]</f>
        <v>Đại học</v>
      </c>
      <c r="K284" t="str">
        <f>step3_validation[[#This Row],[Employment]]</f>
        <v>Chính thức</v>
      </c>
      <c r="L284" t="str">
        <f>survey_responses[[#This Row],[Tình trạng việc làm chính:]]</f>
        <v>Khu vực chính thức (Có Hợp đồng lao động, đóng BHXH)</v>
      </c>
      <c r="M284">
        <f>step3_validation[[#This Row],[Income_Mil]]</f>
        <v>60.057153881555116</v>
      </c>
      <c r="N284" t="str">
        <f>survey_responses[[#This Row],[Thu nhập bình quân tháng theo Hợp đồng lao động của bạn là bao nhiêu? (Vui lòng điền tổng thu nhập trước khi khấu trừ các loại Bảo hiểm (BHXH, BHYT, BHTN) và Thuế TNCN)]]</f>
        <v>Từ 48 - 70 triệu VNĐ</v>
      </c>
      <c r="O284">
        <f>step3_validation[[#This Row],[Dependents]]</f>
        <v>2</v>
      </c>
      <c r="P284" t="str">
        <f>survey_responses[[#This Row],[Số người phụ thuộc (con nhỏ, cha mẹ già...) đủ điều kiện giảm trừ gia cảnh:]]</f>
        <v>2 người</v>
      </c>
      <c r="Q284">
        <f>step3_validation[[#This Row],[AI_ENF1]]</f>
        <v>8</v>
      </c>
      <c r="R284" t="str">
        <f t="shared" si="108"/>
        <v>Support</v>
      </c>
      <c r="S284">
        <f>survey_responses[[#This Row],[Tôi tin rằng với các quy định quản lý thuế hiện nay, hành vi gian lận hoặc trốn thuế sẽ dễ dàng bị phát hiện và xử lý nghiêm. - HUMAN-ENF1]]</f>
        <v>5</v>
      </c>
      <c r="T284" t="str">
        <f t="shared" si="109"/>
        <v>Neutral</v>
      </c>
      <c r="U284" s="31">
        <f t="shared" si="110"/>
        <v>3</v>
      </c>
      <c r="V284">
        <f>step3_validation[[#This Row],[AI_ENF2]]</f>
        <v>9</v>
      </c>
      <c r="W284" t="str">
        <f t="shared" si="111"/>
        <v>Support</v>
      </c>
      <c r="X284">
        <f>survey_responses[[#This Row],[Tôi tin rằng Nhà nước, cơ quan thuế có đủ khả năng và công nghệ để phát hiện, xử lý nghiêm các hành vi trốn thuế. - HUMAN-ENF2]]</f>
        <v>5</v>
      </c>
      <c r="Y284" t="str">
        <f t="shared" si="112"/>
        <v>Neutral</v>
      </c>
      <c r="Z284" s="31">
        <f t="shared" si="113"/>
        <v>4</v>
      </c>
      <c r="AA284">
        <f>step3_validation[[#This Row],[AI_FAC1]]</f>
        <v>8</v>
      </c>
      <c r="AB284" t="str">
        <f t="shared" si="114"/>
        <v>Support</v>
      </c>
      <c r="AC284">
        <f>survey_responses[[#This Row],[Các thủ tục khai báo thuế VÀ/HOẶC quy trình làm việc với cơ quan thuế đơn giản, tiện lợi, nhanh chóng hơn so với trước đây. - HUMAN-FAC1]]</f>
        <v>2</v>
      </c>
      <c r="AD284" t="str">
        <f t="shared" si="115"/>
        <v>Oppose</v>
      </c>
      <c r="AE284" s="31">
        <f t="shared" si="116"/>
        <v>6</v>
      </c>
      <c r="AF284">
        <f>step3_validation[[#This Row],[AI_FAC2]]</f>
        <v>9</v>
      </c>
      <c r="AG284" t="str">
        <f t="shared" si="117"/>
        <v>Support</v>
      </c>
      <c r="AH284">
        <f>survey_responses[[#This Row],[So với trước đây, tôi thấy cách tính thuế và các bậc thuế trong phương án mới đơn giản, dễ hiểu và dễ thực hiện hơn. - HUMAN-FAC2]]</f>
        <v>6</v>
      </c>
      <c r="AI284" t="str">
        <f t="shared" si="118"/>
        <v>Neutral</v>
      </c>
      <c r="AJ284" s="31">
        <f t="shared" si="119"/>
        <v>3</v>
      </c>
      <c r="AK284">
        <f>step3_validation[[#This Row],[AI_TRU1]]</f>
        <v>8</v>
      </c>
      <c r="AL284" t="str">
        <f t="shared" si="120"/>
        <v>Support</v>
      </c>
      <c r="AM284">
        <f>survey_responses[[#This Row],[Tôi tin rằng Nhà nước, cơ quan thuế sẽ thực thi chính sách mới một cách khách quan, công tâm và đối xử bình đẳng với mọi người nộp thuế.  - HUMAN-TRU1]]</f>
        <v>5</v>
      </c>
      <c r="AN284" t="str">
        <f t="shared" si="121"/>
        <v>Neutral</v>
      </c>
      <c r="AO284" s="31">
        <f t="shared" si="122"/>
        <v>3</v>
      </c>
      <c r="AP284">
        <f>step3_validation[[#This Row],[AI_TRU2]]</f>
        <v>9</v>
      </c>
      <c r="AQ284" t="str">
        <f t="shared" si="123"/>
        <v>Support</v>
      </c>
      <c r="AR284">
        <f>survey_responses[[#This Row],[Tôi thấy mức thuế tôi phải đóng theo phương án mới là công bằng (người thu nhập như tôi đóng mức này là hợp lý). - HUMAN-TRU2]]</f>
        <v>4</v>
      </c>
      <c r="AS284" t="str">
        <f t="shared" si="124"/>
        <v>Oppose</v>
      </c>
      <c r="AT284" s="31">
        <f t="shared" si="125"/>
        <v>5</v>
      </c>
      <c r="AU284">
        <f>step3_validation[[#This Row],[AI_TRU3]]</f>
        <v>8</v>
      </c>
      <c r="AV284" t="str">
        <f t="shared" si="126"/>
        <v>Support</v>
      </c>
      <c r="AW284">
        <f>survey_responses[[#This Row],[Tôi tin tưởng số tiền thuế tôi đóng sẽ được Nhà nước sử dụng hiệu quả để cải thiện dịch vụ công (y tế, đường xá...). - HUMAN-TRU3]]</f>
        <v>5</v>
      </c>
      <c r="AX284" t="str">
        <f t="shared" si="127"/>
        <v>Neutral</v>
      </c>
      <c r="AY284" s="31">
        <f t="shared" si="128"/>
        <v>3</v>
      </c>
      <c r="AZ284">
        <f>step3_validation[[#This Row],[AI_TRU4]]</f>
        <v>9</v>
      </c>
      <c r="BA284" t="str">
        <f t="shared" si="129"/>
        <v>Support</v>
      </c>
      <c r="BB284">
        <f>survey_responses[[#This Row],[Tôi thấy Nhà nước đã giải thích rõ ràng, minh bạch về lý do và mục tiêu của việc sửa đổi thuế lần này. - HUMAN-TRU4]]</f>
        <v>5</v>
      </c>
      <c r="BC284" t="str">
        <f t="shared" si="130"/>
        <v>Neutral</v>
      </c>
      <c r="BD284" s="31">
        <f t="shared" si="131"/>
        <v>4</v>
      </c>
      <c r="BE284">
        <f>step3_validation[[#This Row],[AI_OUT1]]</f>
        <v>8</v>
      </c>
      <c r="BF284" t="str">
        <f t="shared" si="132"/>
        <v>Support</v>
      </c>
      <c r="BG284">
        <f>survey_responses[[#This Row],[Sau khi xem xét các quyền lợi và nghĩa vụ, bạn có ủng hộ và tuân thủ chính sách mới hiện nay? - HUMAN-OUT1]]</f>
        <v>4</v>
      </c>
      <c r="BH284" t="str">
        <f t="shared" si="133"/>
        <v>Oppose</v>
      </c>
      <c r="BI284" s="31">
        <f t="shared" si="134"/>
        <v>4</v>
      </c>
    </row>
    <row r="285" spans="1:61" hidden="1" x14ac:dyDescent="0.45">
      <c r="A285" s="29">
        <f>step3_validation[[#This Row],[Persona_ID]]</f>
        <v>284</v>
      </c>
      <c r="B285" s="30">
        <f>step3_validation[[#This Row],[Used_Seed]]</f>
        <v>325</v>
      </c>
      <c r="C285" t="str">
        <f>step3_validation[[#This Row],[Gender]]</f>
        <v>Nam</v>
      </c>
      <c r="D285" t="str">
        <f>survey_responses[[#This Row],[Giới tính của bạn:]]</f>
        <v>Nam</v>
      </c>
      <c r="E285" t="str">
        <f>step3_validation[[#This Row],[Age_Group]]</f>
        <v>30 - 39</v>
      </c>
      <c r="F285" t="str">
        <f>survey_responses[[#This Row],[Độ tuổi của bạn:]]</f>
        <v>30 - 39</v>
      </c>
      <c r="G285" t="str">
        <f>step3_validation[[#This Row],[Region]]</f>
        <v>Thành thị</v>
      </c>
      <c r="H285" t="str">
        <f>survey_responses[[#This Row],[Khu vực bạn đang sinh sống:]]</f>
        <v>Thành thị</v>
      </c>
      <c r="I285" t="str">
        <f>step3_validation[[#This Row],[Education]]</f>
        <v>Đại học</v>
      </c>
      <c r="J285" t="str">
        <f>survey_responses[[#This Row],[Trình độ học vấn cao nhất:]]</f>
        <v>Đại học</v>
      </c>
      <c r="K285" t="str">
        <f>step3_validation[[#This Row],[Employment]]</f>
        <v>Chính thức</v>
      </c>
      <c r="L285" t="str">
        <f>survey_responses[[#This Row],[Tình trạng việc làm chính:]]</f>
        <v>Khu vực chính thức (Có Hợp đồng lao động, đóng BHXH)</v>
      </c>
      <c r="M285">
        <f>step3_validation[[#This Row],[Income_Mil]]</f>
        <v>48.131815733884942</v>
      </c>
      <c r="N285" t="str">
        <f>survey_responses[[#This Row],[Thu nhập bình quân tháng theo Hợp đồng lao động của bạn là bao nhiêu? (Vui lòng điền tổng thu nhập trước khi khấu trừ các loại Bảo hiểm (BHXH, BHYT, BHTN) và Thuế TNCN)]]</f>
        <v>Từ 48 - 70 triệu VNĐ</v>
      </c>
      <c r="O285">
        <f>step3_validation[[#This Row],[Dependents]]</f>
        <v>2</v>
      </c>
      <c r="P285" t="str">
        <f>survey_responses[[#This Row],[Số người phụ thuộc (con nhỏ, cha mẹ già...) đủ điều kiện giảm trừ gia cảnh:]]</f>
        <v>2 người</v>
      </c>
      <c r="Q285">
        <f>step3_validation[[#This Row],[AI_ENF1]]</f>
        <v>6</v>
      </c>
      <c r="R285" t="str">
        <f t="shared" si="108"/>
        <v>Neutral</v>
      </c>
      <c r="S285">
        <f>survey_responses[[#This Row],[Tôi tin rằng với các quy định quản lý thuế hiện nay, hành vi gian lận hoặc trốn thuế sẽ dễ dàng bị phát hiện và xử lý nghiêm. - HUMAN-ENF1]]</f>
        <v>7</v>
      </c>
      <c r="T285" t="str">
        <f t="shared" si="109"/>
        <v>Neutral</v>
      </c>
      <c r="U285" s="31">
        <f t="shared" si="110"/>
        <v>1</v>
      </c>
      <c r="V285">
        <f>step3_validation[[#This Row],[AI_ENF2]]</f>
        <v>5</v>
      </c>
      <c r="W285" t="str">
        <f t="shared" si="111"/>
        <v>Neutral</v>
      </c>
      <c r="X285">
        <f>survey_responses[[#This Row],[Tôi tin rằng Nhà nước, cơ quan thuế có đủ khả năng và công nghệ để phát hiện, xử lý nghiêm các hành vi trốn thuế. - HUMAN-ENF2]]</f>
        <v>7</v>
      </c>
      <c r="Y285" t="str">
        <f t="shared" si="112"/>
        <v>Neutral</v>
      </c>
      <c r="Z285" s="31">
        <f t="shared" si="113"/>
        <v>2</v>
      </c>
      <c r="AA285">
        <f>step3_validation[[#This Row],[AI_FAC1]]</f>
        <v>7</v>
      </c>
      <c r="AB285" t="str">
        <f t="shared" si="114"/>
        <v>Neutral</v>
      </c>
      <c r="AC285">
        <f>survey_responses[[#This Row],[Các thủ tục khai báo thuế VÀ/HOẶC quy trình làm việc với cơ quan thuế đơn giản, tiện lợi, nhanh chóng hơn so với trước đây. - HUMAN-FAC1]]</f>
        <v>5</v>
      </c>
      <c r="AD285" t="str">
        <f t="shared" si="115"/>
        <v>Neutral</v>
      </c>
      <c r="AE285" s="31">
        <f t="shared" si="116"/>
        <v>2</v>
      </c>
      <c r="AF285">
        <f>step3_validation[[#This Row],[AI_FAC2]]</f>
        <v>9</v>
      </c>
      <c r="AG285" t="str">
        <f t="shared" si="117"/>
        <v>Support</v>
      </c>
      <c r="AH285">
        <f>survey_responses[[#This Row],[So với trước đây, tôi thấy cách tính thuế và các bậc thuế trong phương án mới đơn giản, dễ hiểu và dễ thực hiện hơn. - HUMAN-FAC2]]</f>
        <v>7</v>
      </c>
      <c r="AI285" t="str">
        <f t="shared" si="118"/>
        <v>Neutral</v>
      </c>
      <c r="AJ285" s="31">
        <f t="shared" si="119"/>
        <v>2</v>
      </c>
      <c r="AK285">
        <f>step3_validation[[#This Row],[AI_TRU1]]</f>
        <v>6</v>
      </c>
      <c r="AL285" t="str">
        <f t="shared" si="120"/>
        <v>Neutral</v>
      </c>
      <c r="AM285">
        <f>survey_responses[[#This Row],[Tôi tin rằng Nhà nước, cơ quan thuế sẽ thực thi chính sách mới một cách khách quan, công tâm và đối xử bình đẳng với mọi người nộp thuế.  - HUMAN-TRU1]]</f>
        <v>5</v>
      </c>
      <c r="AN285" t="str">
        <f t="shared" si="121"/>
        <v>Neutral</v>
      </c>
      <c r="AO285" s="31">
        <f t="shared" si="122"/>
        <v>1</v>
      </c>
      <c r="AP285">
        <f>step3_validation[[#This Row],[AI_TRU2]]</f>
        <v>8</v>
      </c>
      <c r="AQ285" t="str">
        <f t="shared" si="123"/>
        <v>Support</v>
      </c>
      <c r="AR285">
        <f>survey_responses[[#This Row],[Tôi thấy mức thuế tôi phải đóng theo phương án mới là công bằng (người thu nhập như tôi đóng mức này là hợp lý). - HUMAN-TRU2]]</f>
        <v>6</v>
      </c>
      <c r="AS285" t="str">
        <f t="shared" si="124"/>
        <v>Neutral</v>
      </c>
      <c r="AT285" s="31">
        <f t="shared" si="125"/>
        <v>2</v>
      </c>
      <c r="AU285">
        <f>step3_validation[[#This Row],[AI_TRU3]]</f>
        <v>7</v>
      </c>
      <c r="AV285" t="str">
        <f t="shared" si="126"/>
        <v>Neutral</v>
      </c>
      <c r="AW285">
        <f>survey_responses[[#This Row],[Tôi tin tưởng số tiền thuế tôi đóng sẽ được Nhà nước sử dụng hiệu quả để cải thiện dịch vụ công (y tế, đường xá...). - HUMAN-TRU3]]</f>
        <v>5</v>
      </c>
      <c r="AX285" t="str">
        <f t="shared" si="127"/>
        <v>Neutral</v>
      </c>
      <c r="AY285" s="31">
        <f t="shared" si="128"/>
        <v>2</v>
      </c>
      <c r="AZ285">
        <f>step3_validation[[#This Row],[AI_TRU4]]</f>
        <v>8</v>
      </c>
      <c r="BA285" t="str">
        <f t="shared" si="129"/>
        <v>Support</v>
      </c>
      <c r="BB285">
        <f>survey_responses[[#This Row],[Tôi thấy Nhà nước đã giải thích rõ ràng, minh bạch về lý do và mục tiêu của việc sửa đổi thuế lần này. - HUMAN-TRU4]]</f>
        <v>7</v>
      </c>
      <c r="BC285" t="str">
        <f t="shared" si="130"/>
        <v>Neutral</v>
      </c>
      <c r="BD285" s="31">
        <f t="shared" si="131"/>
        <v>1</v>
      </c>
      <c r="BE285">
        <f>step3_validation[[#This Row],[AI_OUT1]]</f>
        <v>9</v>
      </c>
      <c r="BF285" t="str">
        <f t="shared" si="132"/>
        <v>Support</v>
      </c>
      <c r="BG285">
        <f>survey_responses[[#This Row],[Sau khi xem xét các quyền lợi và nghĩa vụ, bạn có ủng hộ và tuân thủ chính sách mới hiện nay? - HUMAN-OUT1]]</f>
        <v>6</v>
      </c>
      <c r="BH285" t="str">
        <f t="shared" si="133"/>
        <v>Neutral</v>
      </c>
      <c r="BI285" s="31">
        <f t="shared" si="134"/>
        <v>3</v>
      </c>
    </row>
    <row r="286" spans="1:61" hidden="1" x14ac:dyDescent="0.45">
      <c r="A286" s="29">
        <f>step3_validation[[#This Row],[Persona_ID]]</f>
        <v>285</v>
      </c>
      <c r="B286" s="30">
        <f>step3_validation[[#This Row],[Used_Seed]]</f>
        <v>326</v>
      </c>
      <c r="C286" t="str">
        <f>step3_validation[[#This Row],[Gender]]</f>
        <v>Nam</v>
      </c>
      <c r="D286" t="str">
        <f>survey_responses[[#This Row],[Giới tính của bạn:]]</f>
        <v>Nam</v>
      </c>
      <c r="E286" t="str">
        <f>step3_validation[[#This Row],[Age_Group]]</f>
        <v>50 - 54</v>
      </c>
      <c r="F286" t="str">
        <f>survey_responses[[#This Row],[Độ tuổi của bạn:]]</f>
        <v>50 - 54</v>
      </c>
      <c r="G286" t="str">
        <f>step3_validation[[#This Row],[Region]]</f>
        <v>Thành thị</v>
      </c>
      <c r="H286" t="str">
        <f>survey_responses[[#This Row],[Khu vực bạn đang sinh sống:]]</f>
        <v>Thành thị</v>
      </c>
      <c r="I286" t="str">
        <f>step3_validation[[#This Row],[Education]]</f>
        <v>Đại học</v>
      </c>
      <c r="J286" t="str">
        <f>survey_responses[[#This Row],[Trình độ học vấn cao nhất:]]</f>
        <v>Đại học</v>
      </c>
      <c r="K286" t="str">
        <f>step3_validation[[#This Row],[Employment]]</f>
        <v>Chính thức</v>
      </c>
      <c r="L286" t="str">
        <f>survey_responses[[#This Row],[Tình trạng việc làm chính:]]</f>
        <v>Khu vực chính thức (Có Hợp đồng lao động, đóng BHXH)</v>
      </c>
      <c r="M286">
        <f>step3_validation[[#This Row],[Income_Mil]]</f>
        <v>78.325465725006566</v>
      </c>
      <c r="N286" t="str">
        <f>survey_responses[[#This Row],[Thu nhập bình quân tháng theo Hợp đồng lao động của bạn là bao nhiêu? (Vui lòng điền tổng thu nhập trước khi khấu trừ các loại Bảo hiểm (BHXH, BHYT, BHTN) và Thuế TNCN)]]</f>
        <v>Từ 70 - 102 triệu VNĐ</v>
      </c>
      <c r="O286">
        <f>step3_validation[[#This Row],[Dependents]]</f>
        <v>3</v>
      </c>
      <c r="P286" t="str">
        <f>survey_responses[[#This Row],[Số người phụ thuộc (con nhỏ, cha mẹ già...) đủ điều kiện giảm trừ gia cảnh:]]</f>
        <v>3 người</v>
      </c>
      <c r="Q286">
        <f>step3_validation[[#This Row],[AI_ENF1]]</f>
        <v>7</v>
      </c>
      <c r="R286" t="str">
        <f t="shared" si="108"/>
        <v>Neutral</v>
      </c>
      <c r="S286">
        <f>survey_responses[[#This Row],[Tôi tin rằng với các quy định quản lý thuế hiện nay, hành vi gian lận hoặc trốn thuế sẽ dễ dàng bị phát hiện và xử lý nghiêm. - HUMAN-ENF1]]</f>
        <v>7</v>
      </c>
      <c r="T286" t="str">
        <f t="shared" si="109"/>
        <v>Neutral</v>
      </c>
      <c r="U286" s="31">
        <f t="shared" si="110"/>
        <v>0</v>
      </c>
      <c r="V286">
        <f>step3_validation[[#This Row],[AI_ENF2]]</f>
        <v>7</v>
      </c>
      <c r="W286" t="str">
        <f t="shared" si="111"/>
        <v>Neutral</v>
      </c>
      <c r="X286">
        <f>survey_responses[[#This Row],[Tôi tin rằng Nhà nước, cơ quan thuế có đủ khả năng và công nghệ để phát hiện, xử lý nghiêm các hành vi trốn thuế. - HUMAN-ENF2]]</f>
        <v>7</v>
      </c>
      <c r="Y286" t="str">
        <f t="shared" si="112"/>
        <v>Neutral</v>
      </c>
      <c r="Z286" s="31">
        <f t="shared" si="113"/>
        <v>0</v>
      </c>
      <c r="AA286">
        <f>step3_validation[[#This Row],[AI_FAC1]]</f>
        <v>9</v>
      </c>
      <c r="AB286" t="str">
        <f t="shared" si="114"/>
        <v>Support</v>
      </c>
      <c r="AC286">
        <f>survey_responses[[#This Row],[Các thủ tục khai báo thuế VÀ/HOẶC quy trình làm việc với cơ quan thuế đơn giản, tiện lợi, nhanh chóng hơn so với trước đây. - HUMAN-FAC1]]</f>
        <v>5</v>
      </c>
      <c r="AD286" t="str">
        <f t="shared" si="115"/>
        <v>Neutral</v>
      </c>
      <c r="AE286" s="31">
        <f t="shared" si="116"/>
        <v>4</v>
      </c>
      <c r="AF286">
        <f>step3_validation[[#This Row],[AI_FAC2]]</f>
        <v>8</v>
      </c>
      <c r="AG286" t="str">
        <f t="shared" si="117"/>
        <v>Support</v>
      </c>
      <c r="AH286">
        <f>survey_responses[[#This Row],[So với trước đây, tôi thấy cách tính thuế và các bậc thuế trong phương án mới đơn giản, dễ hiểu và dễ thực hiện hơn. - HUMAN-FAC2]]</f>
        <v>8</v>
      </c>
      <c r="AI286" t="str">
        <f t="shared" si="118"/>
        <v>Support</v>
      </c>
      <c r="AJ286" s="31">
        <f t="shared" si="119"/>
        <v>0</v>
      </c>
      <c r="AK286">
        <f>step3_validation[[#This Row],[AI_TRU1]]</f>
        <v>6</v>
      </c>
      <c r="AL286" t="str">
        <f t="shared" si="120"/>
        <v>Neutral</v>
      </c>
      <c r="AM286">
        <f>survey_responses[[#This Row],[Tôi tin rằng Nhà nước, cơ quan thuế sẽ thực thi chính sách mới một cách khách quan, công tâm và đối xử bình đẳng với mọi người nộp thuế.  - HUMAN-TRU1]]</f>
        <v>6</v>
      </c>
      <c r="AN286" t="str">
        <f t="shared" si="121"/>
        <v>Neutral</v>
      </c>
      <c r="AO286" s="31">
        <f t="shared" si="122"/>
        <v>0</v>
      </c>
      <c r="AP286">
        <f>step3_validation[[#This Row],[AI_TRU2]]</f>
        <v>8</v>
      </c>
      <c r="AQ286" t="str">
        <f t="shared" si="123"/>
        <v>Support</v>
      </c>
      <c r="AR286">
        <f>survey_responses[[#This Row],[Tôi thấy mức thuế tôi phải đóng theo phương án mới là công bằng (người thu nhập như tôi đóng mức này là hợp lý). - HUMAN-TRU2]]</f>
        <v>6</v>
      </c>
      <c r="AS286" t="str">
        <f t="shared" si="124"/>
        <v>Neutral</v>
      </c>
      <c r="AT286" s="31">
        <f t="shared" si="125"/>
        <v>2</v>
      </c>
      <c r="AU286">
        <f>step3_validation[[#This Row],[AI_TRU3]]</f>
        <v>7</v>
      </c>
      <c r="AV286" t="str">
        <f t="shared" si="126"/>
        <v>Neutral</v>
      </c>
      <c r="AW286">
        <f>survey_responses[[#This Row],[Tôi tin tưởng số tiền thuế tôi đóng sẽ được Nhà nước sử dụng hiệu quả để cải thiện dịch vụ công (y tế, đường xá...). - HUMAN-TRU3]]</f>
        <v>6</v>
      </c>
      <c r="AX286" t="str">
        <f t="shared" si="127"/>
        <v>Neutral</v>
      </c>
      <c r="AY286" s="31">
        <f t="shared" si="128"/>
        <v>1</v>
      </c>
      <c r="AZ286">
        <f>step3_validation[[#This Row],[AI_TRU4]]</f>
        <v>6</v>
      </c>
      <c r="BA286" t="str">
        <f t="shared" si="129"/>
        <v>Neutral</v>
      </c>
      <c r="BB286">
        <f>survey_responses[[#This Row],[Tôi thấy Nhà nước đã giải thích rõ ràng, minh bạch về lý do và mục tiêu của việc sửa đổi thuế lần này. - HUMAN-TRU4]]</f>
        <v>7</v>
      </c>
      <c r="BC286" t="str">
        <f t="shared" si="130"/>
        <v>Neutral</v>
      </c>
      <c r="BD286" s="31">
        <f t="shared" si="131"/>
        <v>1</v>
      </c>
      <c r="BE286">
        <f>step3_validation[[#This Row],[AI_OUT1]]</f>
        <v>9</v>
      </c>
      <c r="BF286" t="str">
        <f t="shared" si="132"/>
        <v>Support</v>
      </c>
      <c r="BG286">
        <f>survey_responses[[#This Row],[Sau khi xem xét các quyền lợi và nghĩa vụ, bạn có ủng hộ và tuân thủ chính sách mới hiện nay? - HUMAN-OUT1]]</f>
        <v>7</v>
      </c>
      <c r="BH286" t="str">
        <f t="shared" si="133"/>
        <v>Neutral</v>
      </c>
      <c r="BI286" s="31">
        <f t="shared" si="134"/>
        <v>2</v>
      </c>
    </row>
    <row r="287" spans="1:61" hidden="1" x14ac:dyDescent="0.45">
      <c r="A287" s="29">
        <f>step3_validation[[#This Row],[Persona_ID]]</f>
        <v>286</v>
      </c>
      <c r="B287" s="30">
        <f>step3_validation[[#This Row],[Used_Seed]]</f>
        <v>327</v>
      </c>
      <c r="C287" t="str">
        <f>step3_validation[[#This Row],[Gender]]</f>
        <v>Nữ</v>
      </c>
      <c r="D287" t="str">
        <f>survey_responses[[#This Row],[Giới tính của bạn:]]</f>
        <v>Nữ</v>
      </c>
      <c r="E287" t="str">
        <f>step3_validation[[#This Row],[Age_Group]]</f>
        <v>30 - 39</v>
      </c>
      <c r="F287" t="str">
        <f>survey_responses[[#This Row],[Độ tuổi của bạn:]]</f>
        <v>30 - 39</v>
      </c>
      <c r="G287" t="str">
        <f>step3_validation[[#This Row],[Region]]</f>
        <v>Thành thị</v>
      </c>
      <c r="H287" t="str">
        <f>survey_responses[[#This Row],[Khu vực bạn đang sinh sống:]]</f>
        <v>Thành thị</v>
      </c>
      <c r="I287" t="str">
        <f>step3_validation[[#This Row],[Education]]</f>
        <v>Đại học</v>
      </c>
      <c r="J287" t="str">
        <f>survey_responses[[#This Row],[Trình độ học vấn cao nhất:]]</f>
        <v>Đại học</v>
      </c>
      <c r="K287" t="str">
        <f>step3_validation[[#This Row],[Employment]]</f>
        <v>Chính thức</v>
      </c>
      <c r="L287" t="str">
        <f>survey_responses[[#This Row],[Tình trạng việc làm chính:]]</f>
        <v>Khu vực chính thức (Có Hợp đồng lao động, đóng BHXH)</v>
      </c>
      <c r="M287">
        <f>step3_validation[[#This Row],[Income_Mil]]</f>
        <v>43.35101758750227</v>
      </c>
      <c r="N287" t="str">
        <f>survey_responses[[#This Row],[Thu nhập bình quân tháng theo Hợp đồng lao động của bạn là bao nhiêu? (Vui lòng điền tổng thu nhập trước khi khấu trừ các loại Bảo hiểm (BHXH, BHYT, BHTN) và Thuế TNCN)]]</f>
        <v>Từ 32 - 48 triệu VNĐ</v>
      </c>
      <c r="O287">
        <f>step3_validation[[#This Row],[Dependents]]</f>
        <v>0</v>
      </c>
      <c r="P287" t="str">
        <f>survey_responses[[#This Row],[Số người phụ thuộc (con nhỏ, cha mẹ già...) đủ điều kiện giảm trừ gia cảnh:]]</f>
        <v>0 người</v>
      </c>
      <c r="Q287">
        <f>step3_validation[[#This Row],[AI_ENF1]]</f>
        <v>7</v>
      </c>
      <c r="R287" t="str">
        <f t="shared" si="108"/>
        <v>Neutral</v>
      </c>
      <c r="S287">
        <f>survey_responses[[#This Row],[Tôi tin rằng với các quy định quản lý thuế hiện nay, hành vi gian lận hoặc trốn thuế sẽ dễ dàng bị phát hiện và xử lý nghiêm. - HUMAN-ENF1]]</f>
        <v>4</v>
      </c>
      <c r="T287" t="str">
        <f t="shared" si="109"/>
        <v>Oppose</v>
      </c>
      <c r="U287" s="31">
        <f t="shared" si="110"/>
        <v>3</v>
      </c>
      <c r="V287">
        <f>step3_validation[[#This Row],[AI_ENF2]]</f>
        <v>6</v>
      </c>
      <c r="W287" t="str">
        <f t="shared" si="111"/>
        <v>Neutral</v>
      </c>
      <c r="X287">
        <f>survey_responses[[#This Row],[Tôi tin rằng Nhà nước, cơ quan thuế có đủ khả năng và công nghệ để phát hiện, xử lý nghiêm các hành vi trốn thuế. - HUMAN-ENF2]]</f>
        <v>4</v>
      </c>
      <c r="Y287" t="str">
        <f t="shared" si="112"/>
        <v>Oppose</v>
      </c>
      <c r="Z287" s="31">
        <f t="shared" si="113"/>
        <v>2</v>
      </c>
      <c r="AA287">
        <f>step3_validation[[#This Row],[AI_FAC1]]</f>
        <v>8</v>
      </c>
      <c r="AB287" t="str">
        <f t="shared" si="114"/>
        <v>Support</v>
      </c>
      <c r="AC287">
        <f>survey_responses[[#This Row],[Các thủ tục khai báo thuế VÀ/HOẶC quy trình làm việc với cơ quan thuế đơn giản, tiện lợi, nhanh chóng hơn so với trước đây. - HUMAN-FAC1]]</f>
        <v>2</v>
      </c>
      <c r="AD287" t="str">
        <f t="shared" si="115"/>
        <v>Oppose</v>
      </c>
      <c r="AE287" s="31">
        <f t="shared" si="116"/>
        <v>6</v>
      </c>
      <c r="AF287">
        <f>step3_validation[[#This Row],[AI_FAC2]]</f>
        <v>9</v>
      </c>
      <c r="AG287" t="str">
        <f t="shared" si="117"/>
        <v>Support</v>
      </c>
      <c r="AH287">
        <f>survey_responses[[#This Row],[So với trước đây, tôi thấy cách tính thuế và các bậc thuế trong phương án mới đơn giản, dễ hiểu và dễ thực hiện hơn. - HUMAN-FAC2]]</f>
        <v>8</v>
      </c>
      <c r="AI287" t="str">
        <f t="shared" si="118"/>
        <v>Support</v>
      </c>
      <c r="AJ287" s="31">
        <f t="shared" si="119"/>
        <v>1</v>
      </c>
      <c r="AK287">
        <f>step3_validation[[#This Row],[AI_TRU1]]</f>
        <v>8</v>
      </c>
      <c r="AL287" t="str">
        <f t="shared" si="120"/>
        <v>Support</v>
      </c>
      <c r="AM287">
        <f>survey_responses[[#This Row],[Tôi tin rằng Nhà nước, cơ quan thuế sẽ thực thi chính sách mới một cách khách quan, công tâm và đối xử bình đẳng với mọi người nộp thuế.  - HUMAN-TRU1]]</f>
        <v>5</v>
      </c>
      <c r="AN287" t="str">
        <f t="shared" si="121"/>
        <v>Neutral</v>
      </c>
      <c r="AO287" s="31">
        <f t="shared" si="122"/>
        <v>3</v>
      </c>
      <c r="AP287">
        <f>step3_validation[[#This Row],[AI_TRU2]]</f>
        <v>9</v>
      </c>
      <c r="AQ287" t="str">
        <f t="shared" si="123"/>
        <v>Support</v>
      </c>
      <c r="AR287">
        <f>survey_responses[[#This Row],[Tôi thấy mức thuế tôi phải đóng theo phương án mới là công bằng (người thu nhập như tôi đóng mức này là hợp lý). - HUMAN-TRU2]]</f>
        <v>5</v>
      </c>
      <c r="AS287" t="str">
        <f t="shared" si="124"/>
        <v>Neutral</v>
      </c>
      <c r="AT287" s="31">
        <f t="shared" si="125"/>
        <v>4</v>
      </c>
      <c r="AU287">
        <f>step3_validation[[#This Row],[AI_TRU3]]</f>
        <v>8</v>
      </c>
      <c r="AV287" t="str">
        <f t="shared" si="126"/>
        <v>Support</v>
      </c>
      <c r="AW287">
        <f>survey_responses[[#This Row],[Tôi tin tưởng số tiền thuế tôi đóng sẽ được Nhà nước sử dụng hiệu quả để cải thiện dịch vụ công (y tế, đường xá...). - HUMAN-TRU3]]</f>
        <v>4</v>
      </c>
      <c r="AX287" t="str">
        <f t="shared" si="127"/>
        <v>Oppose</v>
      </c>
      <c r="AY287" s="31">
        <f t="shared" si="128"/>
        <v>4</v>
      </c>
      <c r="AZ287">
        <f>step3_validation[[#This Row],[AI_TRU4]]</f>
        <v>9</v>
      </c>
      <c r="BA287" t="str">
        <f t="shared" si="129"/>
        <v>Support</v>
      </c>
      <c r="BB287">
        <f>survey_responses[[#This Row],[Tôi thấy Nhà nước đã giải thích rõ ràng, minh bạch về lý do và mục tiêu của việc sửa đổi thuế lần này. - HUMAN-TRU4]]</f>
        <v>6</v>
      </c>
      <c r="BC287" t="str">
        <f t="shared" si="130"/>
        <v>Neutral</v>
      </c>
      <c r="BD287" s="31">
        <f t="shared" si="131"/>
        <v>3</v>
      </c>
      <c r="BE287">
        <f>step3_validation[[#This Row],[AI_OUT1]]</f>
        <v>8</v>
      </c>
      <c r="BF287" t="str">
        <f t="shared" si="132"/>
        <v>Support</v>
      </c>
      <c r="BG287">
        <f>survey_responses[[#This Row],[Sau khi xem xét các quyền lợi và nghĩa vụ, bạn có ủng hộ và tuân thủ chính sách mới hiện nay? - HUMAN-OUT1]]</f>
        <v>5</v>
      </c>
      <c r="BH287" t="str">
        <f t="shared" si="133"/>
        <v>Neutral</v>
      </c>
      <c r="BI287" s="31">
        <f t="shared" si="134"/>
        <v>3</v>
      </c>
    </row>
    <row r="288" spans="1:61" hidden="1" x14ac:dyDescent="0.45">
      <c r="A288" s="29">
        <f>step3_validation[[#This Row],[Persona_ID]]</f>
        <v>287</v>
      </c>
      <c r="B288" s="30">
        <f>step3_validation[[#This Row],[Used_Seed]]</f>
        <v>328</v>
      </c>
      <c r="C288" t="str">
        <f>step3_validation[[#This Row],[Gender]]</f>
        <v>Nữ</v>
      </c>
      <c r="D288" t="str">
        <f>survey_responses[[#This Row],[Giới tính của bạn:]]</f>
        <v>Nữ</v>
      </c>
      <c r="E288" t="str">
        <f>step3_validation[[#This Row],[Age_Group]]</f>
        <v>50 - 54</v>
      </c>
      <c r="F288" t="str">
        <f>survey_responses[[#This Row],[Độ tuổi của bạn:]]</f>
        <v>50 - 54</v>
      </c>
      <c r="G288" t="str">
        <f>step3_validation[[#This Row],[Region]]</f>
        <v>Thành thị</v>
      </c>
      <c r="H288" t="str">
        <f>survey_responses[[#This Row],[Khu vực bạn đang sinh sống:]]</f>
        <v>Thành thị</v>
      </c>
      <c r="I288" t="str">
        <f>step3_validation[[#This Row],[Education]]</f>
        <v>Đại học</v>
      </c>
      <c r="J288" t="str">
        <f>survey_responses[[#This Row],[Trình độ học vấn cao nhất:]]</f>
        <v>Đại học</v>
      </c>
      <c r="K288" t="str">
        <f>step3_validation[[#This Row],[Employment]]</f>
        <v>Chính thức</v>
      </c>
      <c r="L288" t="str">
        <f>survey_responses[[#This Row],[Tình trạng việc làm chính:]]</f>
        <v>Khu vực chính thức (Có Hợp đồng lao động, đóng BHXH)</v>
      </c>
      <c r="M288">
        <f>step3_validation[[#This Row],[Income_Mil]]</f>
        <v>54.408141188033468</v>
      </c>
      <c r="N288" t="str">
        <f>survey_responses[[#This Row],[Thu nhập bình quân tháng theo Hợp đồng lao động của bạn là bao nhiêu? (Vui lòng điền tổng thu nhập trước khi khấu trừ các loại Bảo hiểm (BHXH, BHYT, BHTN) và Thuế TNCN)]]</f>
        <v>Từ 48 - 70 triệu VNĐ</v>
      </c>
      <c r="O288">
        <f>step3_validation[[#This Row],[Dependents]]</f>
        <v>4</v>
      </c>
      <c r="P288" t="str">
        <f>survey_responses[[#This Row],[Số người phụ thuộc (con nhỏ, cha mẹ già...) đủ điều kiện giảm trừ gia cảnh:]]</f>
        <v>4 người trở lên</v>
      </c>
      <c r="Q288">
        <f>step3_validation[[#This Row],[AI_ENF1]]</f>
        <v>7</v>
      </c>
      <c r="R288" t="str">
        <f t="shared" si="108"/>
        <v>Neutral</v>
      </c>
      <c r="S288">
        <f>survey_responses[[#This Row],[Tôi tin rằng với các quy định quản lý thuế hiện nay, hành vi gian lận hoặc trốn thuế sẽ dễ dàng bị phát hiện và xử lý nghiêm. - HUMAN-ENF1]]</f>
        <v>10</v>
      </c>
      <c r="T288" t="str">
        <f t="shared" si="109"/>
        <v>Support</v>
      </c>
      <c r="U288" s="31">
        <f t="shared" si="110"/>
        <v>3</v>
      </c>
      <c r="V288">
        <f>step3_validation[[#This Row],[AI_ENF2]]</f>
        <v>6</v>
      </c>
      <c r="W288" t="str">
        <f t="shared" si="111"/>
        <v>Neutral</v>
      </c>
      <c r="X288">
        <f>survey_responses[[#This Row],[Tôi tin rằng Nhà nước, cơ quan thuế có đủ khả năng và công nghệ để phát hiện, xử lý nghiêm các hành vi trốn thuế. - HUMAN-ENF2]]</f>
        <v>10</v>
      </c>
      <c r="Y288" t="str">
        <f t="shared" si="112"/>
        <v>Support</v>
      </c>
      <c r="Z288" s="31">
        <f t="shared" si="113"/>
        <v>4</v>
      </c>
      <c r="AA288">
        <f>step3_validation[[#This Row],[AI_FAC1]]</f>
        <v>8</v>
      </c>
      <c r="AB288" t="str">
        <f t="shared" si="114"/>
        <v>Support</v>
      </c>
      <c r="AC288">
        <f>survey_responses[[#This Row],[Các thủ tục khai báo thuế VÀ/HOẶC quy trình làm việc với cơ quan thuế đơn giản, tiện lợi, nhanh chóng hơn so với trước đây. - HUMAN-FAC1]]</f>
        <v>7</v>
      </c>
      <c r="AD288" t="str">
        <f t="shared" si="115"/>
        <v>Neutral</v>
      </c>
      <c r="AE288" s="31">
        <f t="shared" si="116"/>
        <v>1</v>
      </c>
      <c r="AF288">
        <f>step3_validation[[#This Row],[AI_FAC2]]</f>
        <v>9</v>
      </c>
      <c r="AG288" t="str">
        <f t="shared" si="117"/>
        <v>Support</v>
      </c>
      <c r="AH288">
        <f>survey_responses[[#This Row],[So với trước đây, tôi thấy cách tính thuế và các bậc thuế trong phương án mới đơn giản, dễ hiểu và dễ thực hiện hơn. - HUMAN-FAC2]]</f>
        <v>7</v>
      </c>
      <c r="AI288" t="str">
        <f t="shared" si="118"/>
        <v>Neutral</v>
      </c>
      <c r="AJ288" s="31">
        <f t="shared" si="119"/>
        <v>2</v>
      </c>
      <c r="AK288">
        <f>step3_validation[[#This Row],[AI_TRU1]]</f>
        <v>7</v>
      </c>
      <c r="AL288" t="str">
        <f t="shared" si="120"/>
        <v>Neutral</v>
      </c>
      <c r="AM288">
        <f>survey_responses[[#This Row],[Tôi tin rằng Nhà nước, cơ quan thuế sẽ thực thi chính sách mới một cách khách quan, công tâm và đối xử bình đẳng với mọi người nộp thuế.  - HUMAN-TRU1]]</f>
        <v>8</v>
      </c>
      <c r="AN288" t="str">
        <f t="shared" si="121"/>
        <v>Support</v>
      </c>
      <c r="AO288" s="31">
        <f t="shared" si="122"/>
        <v>1</v>
      </c>
      <c r="AP288">
        <f>step3_validation[[#This Row],[AI_TRU2]]</f>
        <v>8</v>
      </c>
      <c r="AQ288" t="str">
        <f t="shared" si="123"/>
        <v>Support</v>
      </c>
      <c r="AR288">
        <f>survey_responses[[#This Row],[Tôi thấy mức thuế tôi phải đóng theo phương án mới là công bằng (người thu nhập như tôi đóng mức này là hợp lý). - HUMAN-TRU2]]</f>
        <v>7</v>
      </c>
      <c r="AS288" t="str">
        <f t="shared" si="124"/>
        <v>Neutral</v>
      </c>
      <c r="AT288" s="31">
        <f t="shared" si="125"/>
        <v>1</v>
      </c>
      <c r="AU288">
        <f>step3_validation[[#This Row],[AI_TRU3]]</f>
        <v>7</v>
      </c>
      <c r="AV288" t="str">
        <f t="shared" si="126"/>
        <v>Neutral</v>
      </c>
      <c r="AW288">
        <f>survey_responses[[#This Row],[Tôi tin tưởng số tiền thuế tôi đóng sẽ được Nhà nước sử dụng hiệu quả để cải thiện dịch vụ công (y tế, đường xá...). - HUMAN-TRU3]]</f>
        <v>8</v>
      </c>
      <c r="AX288" t="str">
        <f t="shared" si="127"/>
        <v>Support</v>
      </c>
      <c r="AY288" s="31">
        <f t="shared" si="128"/>
        <v>1</v>
      </c>
      <c r="AZ288">
        <f>step3_validation[[#This Row],[AI_TRU4]]</f>
        <v>8</v>
      </c>
      <c r="BA288" t="str">
        <f t="shared" si="129"/>
        <v>Support</v>
      </c>
      <c r="BB288">
        <f>survey_responses[[#This Row],[Tôi thấy Nhà nước đã giải thích rõ ràng, minh bạch về lý do và mục tiêu của việc sửa đổi thuế lần này. - HUMAN-TRU4]]</f>
        <v>8</v>
      </c>
      <c r="BC288" t="str">
        <f t="shared" si="130"/>
        <v>Support</v>
      </c>
      <c r="BD288" s="31">
        <f t="shared" si="131"/>
        <v>0</v>
      </c>
      <c r="BE288">
        <f>step3_validation[[#This Row],[AI_OUT1]]</f>
        <v>8</v>
      </c>
      <c r="BF288" t="str">
        <f t="shared" si="132"/>
        <v>Support</v>
      </c>
      <c r="BG288">
        <f>survey_responses[[#This Row],[Sau khi xem xét các quyền lợi và nghĩa vụ, bạn có ủng hộ và tuân thủ chính sách mới hiện nay? - HUMAN-OUT1]]</f>
        <v>8</v>
      </c>
      <c r="BH288" t="str">
        <f t="shared" si="133"/>
        <v>Support</v>
      </c>
      <c r="BI288" s="31">
        <f t="shared" si="134"/>
        <v>0</v>
      </c>
    </row>
    <row r="289" spans="1:61" hidden="1" x14ac:dyDescent="0.45">
      <c r="A289" s="29">
        <f>step3_validation[[#This Row],[Persona_ID]]</f>
        <v>288</v>
      </c>
      <c r="B289" s="30">
        <f>step3_validation[[#This Row],[Used_Seed]]</f>
        <v>329</v>
      </c>
      <c r="C289" t="str">
        <f>step3_validation[[#This Row],[Gender]]</f>
        <v>Nam</v>
      </c>
      <c r="D289" t="str">
        <f>survey_responses[[#This Row],[Giới tính của bạn:]]</f>
        <v>Nam</v>
      </c>
      <c r="E289" t="str">
        <f>step3_validation[[#This Row],[Age_Group]]</f>
        <v>25 - 29</v>
      </c>
      <c r="F289" t="str">
        <f>survey_responses[[#This Row],[Độ tuổi của bạn:]]</f>
        <v>25 - 29</v>
      </c>
      <c r="G289" t="str">
        <f>step3_validation[[#This Row],[Region]]</f>
        <v>Thành thị</v>
      </c>
      <c r="H289" t="str">
        <f>survey_responses[[#This Row],[Khu vực bạn đang sinh sống:]]</f>
        <v>Thành thị</v>
      </c>
      <c r="I289" t="str">
        <f>step3_validation[[#This Row],[Education]]</f>
        <v>Đại học</v>
      </c>
      <c r="J289" t="str">
        <f>survey_responses[[#This Row],[Trình độ học vấn cao nhất:]]</f>
        <v>Đại học</v>
      </c>
      <c r="K289" t="str">
        <f>step3_validation[[#This Row],[Employment]]</f>
        <v>Chính thức</v>
      </c>
      <c r="L289" t="str">
        <f>survey_responses[[#This Row],[Tình trạng việc làm chính:]]</f>
        <v>Khu vực chính thức (Có Hợp đồng lao động, đóng BHXH)</v>
      </c>
      <c r="M289">
        <f>step3_validation[[#This Row],[Income_Mil]]</f>
        <v>27.036619632101331</v>
      </c>
      <c r="N289" t="str">
        <f>survey_responses[[#This Row],[Thu nhập bình quân tháng theo Hợp đồng lao động của bạn là bao nhiêu? (Vui lòng điền tổng thu nhập trước khi khấu trừ các loại Bảo hiểm (BHXH, BHYT, BHTN) và Thuế TNCN)]]</f>
        <v>Từ 23 - 32 triệu VNĐ</v>
      </c>
      <c r="O289">
        <f>step3_validation[[#This Row],[Dependents]]</f>
        <v>0</v>
      </c>
      <c r="P289" t="str">
        <f>survey_responses[[#This Row],[Số người phụ thuộc (con nhỏ, cha mẹ già...) đủ điều kiện giảm trừ gia cảnh:]]</f>
        <v>0 người</v>
      </c>
      <c r="Q289">
        <f>step3_validation[[#This Row],[AI_ENF1]]</f>
        <v>8</v>
      </c>
      <c r="R289" t="str">
        <f t="shared" si="108"/>
        <v>Support</v>
      </c>
      <c r="S289">
        <f>survey_responses[[#This Row],[Tôi tin rằng với các quy định quản lý thuế hiện nay, hành vi gian lận hoặc trốn thuế sẽ dễ dàng bị phát hiện và xử lý nghiêm. - HUMAN-ENF1]]</f>
        <v>8</v>
      </c>
      <c r="T289" t="str">
        <f t="shared" si="109"/>
        <v>Support</v>
      </c>
      <c r="U289" s="31">
        <f t="shared" si="110"/>
        <v>0</v>
      </c>
      <c r="V289">
        <f>step3_validation[[#This Row],[AI_ENF2]]</f>
        <v>9</v>
      </c>
      <c r="W289" t="str">
        <f t="shared" si="111"/>
        <v>Support</v>
      </c>
      <c r="X289">
        <f>survey_responses[[#This Row],[Tôi tin rằng Nhà nước, cơ quan thuế có đủ khả năng và công nghệ để phát hiện, xử lý nghiêm các hành vi trốn thuế. - HUMAN-ENF2]]</f>
        <v>8</v>
      </c>
      <c r="Y289" t="str">
        <f t="shared" si="112"/>
        <v>Support</v>
      </c>
      <c r="Z289" s="31">
        <f t="shared" si="113"/>
        <v>1</v>
      </c>
      <c r="AA289">
        <f>step3_validation[[#This Row],[AI_FAC1]]</f>
        <v>8</v>
      </c>
      <c r="AB289" t="str">
        <f t="shared" si="114"/>
        <v>Support</v>
      </c>
      <c r="AC289">
        <f>survey_responses[[#This Row],[Các thủ tục khai báo thuế VÀ/HOẶC quy trình làm việc với cơ quan thuế đơn giản, tiện lợi, nhanh chóng hơn so với trước đây. - HUMAN-FAC1]]</f>
        <v>5</v>
      </c>
      <c r="AD289" t="str">
        <f t="shared" si="115"/>
        <v>Neutral</v>
      </c>
      <c r="AE289" s="31">
        <f t="shared" si="116"/>
        <v>3</v>
      </c>
      <c r="AF289">
        <f>step3_validation[[#This Row],[AI_FAC2]]</f>
        <v>9</v>
      </c>
      <c r="AG289" t="str">
        <f t="shared" si="117"/>
        <v>Support</v>
      </c>
      <c r="AH289">
        <f>survey_responses[[#This Row],[So với trước đây, tôi thấy cách tính thuế và các bậc thuế trong phương án mới đơn giản, dễ hiểu và dễ thực hiện hơn. - HUMAN-FAC2]]</f>
        <v>9</v>
      </c>
      <c r="AI289" t="str">
        <f t="shared" si="118"/>
        <v>Support</v>
      </c>
      <c r="AJ289" s="31">
        <f t="shared" si="119"/>
        <v>0</v>
      </c>
      <c r="AK289">
        <f>step3_validation[[#This Row],[AI_TRU1]]</f>
        <v>8</v>
      </c>
      <c r="AL289" t="str">
        <f t="shared" si="120"/>
        <v>Support</v>
      </c>
      <c r="AM289">
        <f>survey_responses[[#This Row],[Tôi tin rằng Nhà nước, cơ quan thuế sẽ thực thi chính sách mới một cách khách quan, công tâm và đối xử bình đẳng với mọi người nộp thuế.  - HUMAN-TRU1]]</f>
        <v>10</v>
      </c>
      <c r="AN289" t="str">
        <f t="shared" si="121"/>
        <v>Support</v>
      </c>
      <c r="AO289" s="31">
        <f t="shared" si="122"/>
        <v>2</v>
      </c>
      <c r="AP289">
        <f>step3_validation[[#This Row],[AI_TRU2]]</f>
        <v>9</v>
      </c>
      <c r="AQ289" t="str">
        <f t="shared" si="123"/>
        <v>Support</v>
      </c>
      <c r="AR289">
        <f>survey_responses[[#This Row],[Tôi thấy mức thuế tôi phải đóng theo phương án mới là công bằng (người thu nhập như tôi đóng mức này là hợp lý). - HUMAN-TRU2]]</f>
        <v>10</v>
      </c>
      <c r="AS289" t="str">
        <f t="shared" si="124"/>
        <v>Support</v>
      </c>
      <c r="AT289" s="31">
        <f t="shared" si="125"/>
        <v>1</v>
      </c>
      <c r="AU289">
        <f>step3_validation[[#This Row],[AI_TRU3]]</f>
        <v>8</v>
      </c>
      <c r="AV289" t="str">
        <f t="shared" si="126"/>
        <v>Support</v>
      </c>
      <c r="AW289">
        <f>survey_responses[[#This Row],[Tôi tin tưởng số tiền thuế tôi đóng sẽ được Nhà nước sử dụng hiệu quả để cải thiện dịch vụ công (y tế, đường xá...). - HUMAN-TRU3]]</f>
        <v>9</v>
      </c>
      <c r="AX289" t="str">
        <f t="shared" si="127"/>
        <v>Support</v>
      </c>
      <c r="AY289" s="31">
        <f t="shared" si="128"/>
        <v>1</v>
      </c>
      <c r="AZ289">
        <f>step3_validation[[#This Row],[AI_TRU4]]</f>
        <v>7</v>
      </c>
      <c r="BA289" t="str">
        <f t="shared" si="129"/>
        <v>Neutral</v>
      </c>
      <c r="BB289">
        <f>survey_responses[[#This Row],[Tôi thấy Nhà nước đã giải thích rõ ràng, minh bạch về lý do và mục tiêu của việc sửa đổi thuế lần này. - HUMAN-TRU4]]</f>
        <v>9</v>
      </c>
      <c r="BC289" t="str">
        <f t="shared" si="130"/>
        <v>Support</v>
      </c>
      <c r="BD289" s="31">
        <f t="shared" si="131"/>
        <v>2</v>
      </c>
      <c r="BE289">
        <f>step3_validation[[#This Row],[AI_OUT1]]</f>
        <v>9</v>
      </c>
      <c r="BF289" t="str">
        <f t="shared" si="132"/>
        <v>Support</v>
      </c>
      <c r="BG289">
        <f>survey_responses[[#This Row],[Sau khi xem xét các quyền lợi và nghĩa vụ, bạn có ủng hộ và tuân thủ chính sách mới hiện nay? - HUMAN-OUT1]]</f>
        <v>10</v>
      </c>
      <c r="BH289" t="str">
        <f t="shared" si="133"/>
        <v>Support</v>
      </c>
      <c r="BI289" s="31">
        <f t="shared" si="134"/>
        <v>1</v>
      </c>
    </row>
    <row r="290" spans="1:61" hidden="1" x14ac:dyDescent="0.45">
      <c r="A290" s="29">
        <f>step3_validation[[#This Row],[Persona_ID]]</f>
        <v>289</v>
      </c>
      <c r="B290" s="30">
        <f>step3_validation[[#This Row],[Used_Seed]]</f>
        <v>330</v>
      </c>
      <c r="C290" t="str">
        <f>step3_validation[[#This Row],[Gender]]</f>
        <v>Nữ</v>
      </c>
      <c r="D290" t="str">
        <f>survey_responses[[#This Row],[Giới tính của bạn:]]</f>
        <v>Nữ</v>
      </c>
      <c r="E290" t="str">
        <f>step3_validation[[#This Row],[Age_Group]]</f>
        <v>30 - 39</v>
      </c>
      <c r="F290" t="str">
        <f>survey_responses[[#This Row],[Độ tuổi của bạn:]]</f>
        <v>30 - 39</v>
      </c>
      <c r="G290" t="str">
        <f>step3_validation[[#This Row],[Region]]</f>
        <v>Thành thị</v>
      </c>
      <c r="H290" t="str">
        <f>survey_responses[[#This Row],[Khu vực bạn đang sinh sống:]]</f>
        <v>Thành thị</v>
      </c>
      <c r="I290" t="str">
        <f>step3_validation[[#This Row],[Education]]</f>
        <v>Cao đẳng</v>
      </c>
      <c r="J290" t="str">
        <f>survey_responses[[#This Row],[Trình độ học vấn cao nhất:]]</f>
        <v>Cao đẳng</v>
      </c>
      <c r="K290" t="str">
        <f>step3_validation[[#This Row],[Employment]]</f>
        <v>Chính thức</v>
      </c>
      <c r="L290" t="str">
        <f>survey_responses[[#This Row],[Tình trạng việc làm chính:]]</f>
        <v>Khu vực chính thức (Có Hợp đồng lao động, đóng BHXH)</v>
      </c>
      <c r="M290">
        <f>step3_validation[[#This Row],[Income_Mil]]</f>
        <v>30.345647583470807</v>
      </c>
      <c r="N290" t="str">
        <f>survey_responses[[#This Row],[Thu nhập bình quân tháng theo Hợp đồng lao động của bạn là bao nhiêu? (Vui lòng điền tổng thu nhập trước khi khấu trừ các loại Bảo hiểm (BHXH, BHYT, BHTN) và Thuế TNCN)]]</f>
        <v>Từ 23 - 32 triệu VNĐ</v>
      </c>
      <c r="O290">
        <f>step3_validation[[#This Row],[Dependents]]</f>
        <v>1</v>
      </c>
      <c r="P290" t="str">
        <f>survey_responses[[#This Row],[Số người phụ thuộc (con nhỏ, cha mẹ già...) đủ điều kiện giảm trừ gia cảnh:]]</f>
        <v>1 người</v>
      </c>
      <c r="Q290">
        <f>step3_validation[[#This Row],[AI_ENF1]]</f>
        <v>5</v>
      </c>
      <c r="R290" t="str">
        <f t="shared" si="108"/>
        <v>Neutral</v>
      </c>
      <c r="S290">
        <f>survey_responses[[#This Row],[Tôi tin rằng với các quy định quản lý thuế hiện nay, hành vi gian lận hoặc trốn thuế sẽ dễ dàng bị phát hiện và xử lý nghiêm. - HUMAN-ENF1]]</f>
        <v>7</v>
      </c>
      <c r="T290" t="str">
        <f t="shared" si="109"/>
        <v>Neutral</v>
      </c>
      <c r="U290" s="31">
        <f t="shared" si="110"/>
        <v>2</v>
      </c>
      <c r="V290">
        <f>step3_validation[[#This Row],[AI_ENF2]]</f>
        <v>7</v>
      </c>
      <c r="W290" t="str">
        <f t="shared" si="111"/>
        <v>Neutral</v>
      </c>
      <c r="X290">
        <f>survey_responses[[#This Row],[Tôi tin rằng Nhà nước, cơ quan thuế có đủ khả năng và công nghệ để phát hiện, xử lý nghiêm các hành vi trốn thuế. - HUMAN-ENF2]]</f>
        <v>7</v>
      </c>
      <c r="Y290" t="str">
        <f t="shared" si="112"/>
        <v>Neutral</v>
      </c>
      <c r="Z290" s="31">
        <f t="shared" si="113"/>
        <v>0</v>
      </c>
      <c r="AA290">
        <f>step3_validation[[#This Row],[AI_FAC1]]</f>
        <v>6</v>
      </c>
      <c r="AB290" t="str">
        <f t="shared" si="114"/>
        <v>Neutral</v>
      </c>
      <c r="AC290">
        <f>survey_responses[[#This Row],[Các thủ tục khai báo thuế VÀ/HOẶC quy trình làm việc với cơ quan thuế đơn giản, tiện lợi, nhanh chóng hơn so với trước đây. - HUMAN-FAC1]]</f>
        <v>5</v>
      </c>
      <c r="AD290" t="str">
        <f t="shared" si="115"/>
        <v>Neutral</v>
      </c>
      <c r="AE290" s="31">
        <f t="shared" si="116"/>
        <v>1</v>
      </c>
      <c r="AF290">
        <f>step3_validation[[#This Row],[AI_FAC2]]</f>
        <v>8</v>
      </c>
      <c r="AG290" t="str">
        <f t="shared" si="117"/>
        <v>Support</v>
      </c>
      <c r="AH290">
        <f>survey_responses[[#This Row],[So với trước đây, tôi thấy cách tính thuế và các bậc thuế trong phương án mới đơn giản, dễ hiểu và dễ thực hiện hơn. - HUMAN-FAC2]]</f>
        <v>6</v>
      </c>
      <c r="AI290" t="str">
        <f t="shared" si="118"/>
        <v>Neutral</v>
      </c>
      <c r="AJ290" s="31">
        <f t="shared" si="119"/>
        <v>2</v>
      </c>
      <c r="AK290">
        <f>step3_validation[[#This Row],[AI_TRU1]]</f>
        <v>7</v>
      </c>
      <c r="AL290" t="str">
        <f t="shared" si="120"/>
        <v>Neutral</v>
      </c>
      <c r="AM290">
        <f>survey_responses[[#This Row],[Tôi tin rằng Nhà nước, cơ quan thuế sẽ thực thi chính sách mới một cách khách quan, công tâm và đối xử bình đẳng với mọi người nộp thuế.  - HUMAN-TRU1]]</f>
        <v>5</v>
      </c>
      <c r="AN290" t="str">
        <f t="shared" si="121"/>
        <v>Neutral</v>
      </c>
      <c r="AO290" s="31">
        <f t="shared" si="122"/>
        <v>2</v>
      </c>
      <c r="AP290">
        <f>step3_validation[[#This Row],[AI_TRU2]]</f>
        <v>9</v>
      </c>
      <c r="AQ290" t="str">
        <f t="shared" si="123"/>
        <v>Support</v>
      </c>
      <c r="AR290">
        <f>survey_responses[[#This Row],[Tôi thấy mức thuế tôi phải đóng theo phương án mới là công bằng (người thu nhập như tôi đóng mức này là hợp lý). - HUMAN-TRU2]]</f>
        <v>5</v>
      </c>
      <c r="AS290" t="str">
        <f t="shared" si="124"/>
        <v>Neutral</v>
      </c>
      <c r="AT290" s="31">
        <f t="shared" si="125"/>
        <v>4</v>
      </c>
      <c r="AU290">
        <f>step3_validation[[#This Row],[AI_TRU3]]</f>
        <v>7</v>
      </c>
      <c r="AV290" t="str">
        <f t="shared" si="126"/>
        <v>Neutral</v>
      </c>
      <c r="AW290">
        <f>survey_responses[[#This Row],[Tôi tin tưởng số tiền thuế tôi đóng sẽ được Nhà nước sử dụng hiệu quả để cải thiện dịch vụ công (y tế, đường xá...). - HUMAN-TRU3]]</f>
        <v>5</v>
      </c>
      <c r="AX290" t="str">
        <f t="shared" si="127"/>
        <v>Neutral</v>
      </c>
      <c r="AY290" s="31">
        <f t="shared" si="128"/>
        <v>2</v>
      </c>
      <c r="AZ290">
        <f>step3_validation[[#This Row],[AI_TRU4]]</f>
        <v>6</v>
      </c>
      <c r="BA290" t="str">
        <f t="shared" si="129"/>
        <v>Neutral</v>
      </c>
      <c r="BB290">
        <f>survey_responses[[#This Row],[Tôi thấy Nhà nước đã giải thích rõ ràng, minh bạch về lý do và mục tiêu của việc sửa đổi thuế lần này. - HUMAN-TRU4]]</f>
        <v>5</v>
      </c>
      <c r="BC290" t="str">
        <f t="shared" si="130"/>
        <v>Neutral</v>
      </c>
      <c r="BD290" s="31">
        <f t="shared" si="131"/>
        <v>1</v>
      </c>
      <c r="BE290">
        <f>step3_validation[[#This Row],[AI_OUT1]]</f>
        <v>8</v>
      </c>
      <c r="BF290" t="str">
        <f t="shared" si="132"/>
        <v>Support</v>
      </c>
      <c r="BG290">
        <f>survey_responses[[#This Row],[Sau khi xem xét các quyền lợi và nghĩa vụ, bạn có ủng hộ và tuân thủ chính sách mới hiện nay? - HUMAN-OUT1]]</f>
        <v>6</v>
      </c>
      <c r="BH290" t="str">
        <f t="shared" si="133"/>
        <v>Neutral</v>
      </c>
      <c r="BI290" s="31">
        <f t="shared" si="134"/>
        <v>2</v>
      </c>
    </row>
    <row r="291" spans="1:61" hidden="1" x14ac:dyDescent="0.45">
      <c r="A291" s="29">
        <f>step3_validation[[#This Row],[Persona_ID]]</f>
        <v>290</v>
      </c>
      <c r="B291" s="30">
        <f>step3_validation[[#This Row],[Used_Seed]]</f>
        <v>331</v>
      </c>
      <c r="C291" t="str">
        <f>step3_validation[[#This Row],[Gender]]</f>
        <v>Nam</v>
      </c>
      <c r="D291" t="str">
        <f>survey_responses[[#This Row],[Giới tính của bạn:]]</f>
        <v>Nam</v>
      </c>
      <c r="E291" t="str">
        <f>step3_validation[[#This Row],[Age_Group]]</f>
        <v>30 - 39</v>
      </c>
      <c r="F291" t="str">
        <f>survey_responses[[#This Row],[Độ tuổi của bạn:]]</f>
        <v>30 - 39</v>
      </c>
      <c r="G291" t="str">
        <f>step3_validation[[#This Row],[Region]]</f>
        <v>Thành thị</v>
      </c>
      <c r="H291" t="str">
        <f>survey_responses[[#This Row],[Khu vực bạn đang sinh sống:]]</f>
        <v>Thành thị</v>
      </c>
      <c r="I291" t="str">
        <f>step3_validation[[#This Row],[Education]]</f>
        <v>Đại học</v>
      </c>
      <c r="J291" t="str">
        <f>survey_responses[[#This Row],[Trình độ học vấn cao nhất:]]</f>
        <v>Đại học</v>
      </c>
      <c r="K291" t="str">
        <f>step3_validation[[#This Row],[Employment]]</f>
        <v>Chính thức</v>
      </c>
      <c r="L291" t="str">
        <f>survey_responses[[#This Row],[Tình trạng việc làm chính:]]</f>
        <v>Khu vực chính thức (Có Hợp đồng lao động, đóng BHXH)</v>
      </c>
      <c r="M291">
        <f>step3_validation[[#This Row],[Income_Mil]]</f>
        <v>44.286525773979889</v>
      </c>
      <c r="N291" t="str">
        <f>survey_responses[[#This Row],[Thu nhập bình quân tháng theo Hợp đồng lao động của bạn là bao nhiêu? (Vui lòng điền tổng thu nhập trước khi khấu trừ các loại Bảo hiểm (BHXH, BHYT, BHTN) và Thuế TNCN)]]</f>
        <v>Từ 32 - 48 triệu VNĐ</v>
      </c>
      <c r="O291">
        <f>step3_validation[[#This Row],[Dependents]]</f>
        <v>2</v>
      </c>
      <c r="P291" t="str">
        <f>survey_responses[[#This Row],[Số người phụ thuộc (con nhỏ, cha mẹ già...) đủ điều kiện giảm trừ gia cảnh:]]</f>
        <v>2 người</v>
      </c>
      <c r="Q291">
        <f>step3_validation[[#This Row],[AI_ENF1]]</f>
        <v>6</v>
      </c>
      <c r="R291" t="str">
        <f t="shared" si="108"/>
        <v>Neutral</v>
      </c>
      <c r="S291">
        <f>survey_responses[[#This Row],[Tôi tin rằng với các quy định quản lý thuế hiện nay, hành vi gian lận hoặc trốn thuế sẽ dễ dàng bị phát hiện và xử lý nghiêm. - HUMAN-ENF1]]</f>
        <v>8</v>
      </c>
      <c r="T291" t="str">
        <f t="shared" si="109"/>
        <v>Support</v>
      </c>
      <c r="U291" s="31">
        <f t="shared" si="110"/>
        <v>2</v>
      </c>
      <c r="V291">
        <f>step3_validation[[#This Row],[AI_ENF2]]</f>
        <v>7</v>
      </c>
      <c r="W291" t="str">
        <f t="shared" si="111"/>
        <v>Neutral</v>
      </c>
      <c r="X291">
        <f>survey_responses[[#This Row],[Tôi tin rằng Nhà nước, cơ quan thuế có đủ khả năng và công nghệ để phát hiện, xử lý nghiêm các hành vi trốn thuế. - HUMAN-ENF2]]</f>
        <v>8</v>
      </c>
      <c r="Y291" t="str">
        <f t="shared" si="112"/>
        <v>Support</v>
      </c>
      <c r="Z291" s="31">
        <f t="shared" si="113"/>
        <v>1</v>
      </c>
      <c r="AA291">
        <f>step3_validation[[#This Row],[AI_FAC1]]</f>
        <v>8</v>
      </c>
      <c r="AB291" t="str">
        <f t="shared" si="114"/>
        <v>Support</v>
      </c>
      <c r="AC291">
        <f>survey_responses[[#This Row],[Các thủ tục khai báo thuế VÀ/HOẶC quy trình làm việc với cơ quan thuế đơn giản, tiện lợi, nhanh chóng hơn so với trước đây. - HUMAN-FAC1]]</f>
        <v>8</v>
      </c>
      <c r="AD291" t="str">
        <f t="shared" si="115"/>
        <v>Support</v>
      </c>
      <c r="AE291" s="31">
        <f t="shared" si="116"/>
        <v>0</v>
      </c>
      <c r="AF291">
        <f>step3_validation[[#This Row],[AI_FAC2]]</f>
        <v>9</v>
      </c>
      <c r="AG291" t="str">
        <f t="shared" si="117"/>
        <v>Support</v>
      </c>
      <c r="AH291">
        <f>survey_responses[[#This Row],[So với trước đây, tôi thấy cách tính thuế và các bậc thuế trong phương án mới đơn giản, dễ hiểu và dễ thực hiện hơn. - HUMAN-FAC2]]</f>
        <v>8</v>
      </c>
      <c r="AI291" t="str">
        <f t="shared" si="118"/>
        <v>Support</v>
      </c>
      <c r="AJ291" s="31">
        <f t="shared" si="119"/>
        <v>1</v>
      </c>
      <c r="AK291">
        <f>step3_validation[[#This Row],[AI_TRU1]]</f>
        <v>7</v>
      </c>
      <c r="AL291" t="str">
        <f t="shared" si="120"/>
        <v>Neutral</v>
      </c>
      <c r="AM291">
        <f>survey_responses[[#This Row],[Tôi tin rằng Nhà nước, cơ quan thuế sẽ thực thi chính sách mới một cách khách quan, công tâm và đối xử bình đẳng với mọi người nộp thuế.  - HUMAN-TRU1]]</f>
        <v>8</v>
      </c>
      <c r="AN291" t="str">
        <f t="shared" si="121"/>
        <v>Support</v>
      </c>
      <c r="AO291" s="31">
        <f t="shared" si="122"/>
        <v>1</v>
      </c>
      <c r="AP291">
        <f>step3_validation[[#This Row],[AI_TRU2]]</f>
        <v>8</v>
      </c>
      <c r="AQ291" t="str">
        <f t="shared" si="123"/>
        <v>Support</v>
      </c>
      <c r="AR291">
        <f>survey_responses[[#This Row],[Tôi thấy mức thuế tôi phải đóng theo phương án mới là công bằng (người thu nhập như tôi đóng mức này là hợp lý). - HUMAN-TRU2]]</f>
        <v>8</v>
      </c>
      <c r="AS291" t="str">
        <f t="shared" si="124"/>
        <v>Support</v>
      </c>
      <c r="AT291" s="31">
        <f t="shared" si="125"/>
        <v>0</v>
      </c>
      <c r="AU291">
        <f>step3_validation[[#This Row],[AI_TRU3]]</f>
        <v>6</v>
      </c>
      <c r="AV291" t="str">
        <f t="shared" si="126"/>
        <v>Neutral</v>
      </c>
      <c r="AW291">
        <f>survey_responses[[#This Row],[Tôi tin tưởng số tiền thuế tôi đóng sẽ được Nhà nước sử dụng hiệu quả để cải thiện dịch vụ công (y tế, đường xá...). - HUMAN-TRU3]]</f>
        <v>8</v>
      </c>
      <c r="AX291" t="str">
        <f t="shared" si="127"/>
        <v>Support</v>
      </c>
      <c r="AY291" s="31">
        <f t="shared" si="128"/>
        <v>2</v>
      </c>
      <c r="AZ291">
        <f>step3_validation[[#This Row],[AI_TRU4]]</f>
        <v>7</v>
      </c>
      <c r="BA291" t="str">
        <f t="shared" si="129"/>
        <v>Neutral</v>
      </c>
      <c r="BB291">
        <f>survey_responses[[#This Row],[Tôi thấy Nhà nước đã giải thích rõ ràng, minh bạch về lý do và mục tiêu của việc sửa đổi thuế lần này. - HUMAN-TRU4]]</f>
        <v>8</v>
      </c>
      <c r="BC291" t="str">
        <f t="shared" si="130"/>
        <v>Support</v>
      </c>
      <c r="BD291" s="31">
        <f t="shared" si="131"/>
        <v>1</v>
      </c>
      <c r="BE291">
        <f>step3_validation[[#This Row],[AI_OUT1]]</f>
        <v>9</v>
      </c>
      <c r="BF291" t="str">
        <f t="shared" si="132"/>
        <v>Support</v>
      </c>
      <c r="BG291">
        <f>survey_responses[[#This Row],[Sau khi xem xét các quyền lợi và nghĩa vụ, bạn có ủng hộ và tuân thủ chính sách mới hiện nay? - HUMAN-OUT1]]</f>
        <v>8</v>
      </c>
      <c r="BH291" t="str">
        <f t="shared" si="133"/>
        <v>Support</v>
      </c>
      <c r="BI291" s="31">
        <f t="shared" si="134"/>
        <v>1</v>
      </c>
    </row>
    <row r="292" spans="1:61" hidden="1" x14ac:dyDescent="0.45">
      <c r="A292" s="29">
        <f>step3_validation[[#This Row],[Persona_ID]]</f>
        <v>291</v>
      </c>
      <c r="B292" s="30">
        <f>step3_validation[[#This Row],[Used_Seed]]</f>
        <v>332</v>
      </c>
      <c r="C292" t="str">
        <f>step3_validation[[#This Row],[Gender]]</f>
        <v>Nam</v>
      </c>
      <c r="D292" t="str">
        <f>survey_responses[[#This Row],[Giới tính của bạn:]]</f>
        <v>Nam</v>
      </c>
      <c r="E292" t="str">
        <f>step3_validation[[#This Row],[Age_Group]]</f>
        <v>25 - 29</v>
      </c>
      <c r="F292" t="str">
        <f>survey_responses[[#This Row],[Độ tuổi của bạn:]]</f>
        <v>25 - 29</v>
      </c>
      <c r="G292" t="str">
        <f>step3_validation[[#This Row],[Region]]</f>
        <v>Thành thị</v>
      </c>
      <c r="H292" t="str">
        <f>survey_responses[[#This Row],[Khu vực bạn đang sinh sống:]]</f>
        <v>Thành thị</v>
      </c>
      <c r="I292" t="str">
        <f>step3_validation[[#This Row],[Education]]</f>
        <v>Đại học</v>
      </c>
      <c r="J292" t="str">
        <f>survey_responses[[#This Row],[Trình độ học vấn cao nhất:]]</f>
        <v>Đại học</v>
      </c>
      <c r="K292" t="str">
        <f>step3_validation[[#This Row],[Employment]]</f>
        <v>Chính thức</v>
      </c>
      <c r="L292" t="str">
        <f>survey_responses[[#This Row],[Tình trạng việc làm chính:]]</f>
        <v>Khu vực chính thức (Có Hợp đồng lao động, đóng BHXH)</v>
      </c>
      <c r="M292">
        <f>step3_validation[[#This Row],[Income_Mil]]</f>
        <v>66.734917768616697</v>
      </c>
      <c r="N292" t="str">
        <f>survey_responses[[#This Row],[Thu nhập bình quân tháng theo Hợp đồng lao động của bạn là bao nhiêu? (Vui lòng điền tổng thu nhập trước khi khấu trừ các loại Bảo hiểm (BHXH, BHYT, BHTN) và Thuế TNCN)]]</f>
        <v>Từ 48 - 70 triệu VNĐ</v>
      </c>
      <c r="O292">
        <f>step3_validation[[#This Row],[Dependents]]</f>
        <v>2</v>
      </c>
      <c r="P292" t="str">
        <f>survey_responses[[#This Row],[Số người phụ thuộc (con nhỏ, cha mẹ già...) đủ điều kiện giảm trừ gia cảnh:]]</f>
        <v>2 người</v>
      </c>
      <c r="Q292">
        <f>step3_validation[[#This Row],[AI_ENF1]]</f>
        <v>7</v>
      </c>
      <c r="R292" t="str">
        <f t="shared" si="108"/>
        <v>Neutral</v>
      </c>
      <c r="S292">
        <f>survey_responses[[#This Row],[Tôi tin rằng với các quy định quản lý thuế hiện nay, hành vi gian lận hoặc trốn thuế sẽ dễ dàng bị phát hiện và xử lý nghiêm. - HUMAN-ENF1]]</f>
        <v>9</v>
      </c>
      <c r="T292" t="str">
        <f t="shared" si="109"/>
        <v>Support</v>
      </c>
      <c r="U292" s="31">
        <f t="shared" si="110"/>
        <v>2</v>
      </c>
      <c r="V292">
        <f>step3_validation[[#This Row],[AI_ENF2]]</f>
        <v>6</v>
      </c>
      <c r="W292" t="str">
        <f t="shared" si="111"/>
        <v>Neutral</v>
      </c>
      <c r="X292">
        <f>survey_responses[[#This Row],[Tôi tin rằng Nhà nước, cơ quan thuế có đủ khả năng và công nghệ để phát hiện, xử lý nghiêm các hành vi trốn thuế. - HUMAN-ENF2]]</f>
        <v>9</v>
      </c>
      <c r="Y292" t="str">
        <f t="shared" si="112"/>
        <v>Support</v>
      </c>
      <c r="Z292" s="31">
        <f t="shared" si="113"/>
        <v>3</v>
      </c>
      <c r="AA292">
        <f>step3_validation[[#This Row],[AI_FAC1]]</f>
        <v>9</v>
      </c>
      <c r="AB292" t="str">
        <f t="shared" si="114"/>
        <v>Support</v>
      </c>
      <c r="AC292">
        <f>survey_responses[[#This Row],[Các thủ tục khai báo thuế VÀ/HOẶC quy trình làm việc với cơ quan thuế đơn giản, tiện lợi, nhanh chóng hơn so với trước đây. - HUMAN-FAC1]]</f>
        <v>3</v>
      </c>
      <c r="AD292" t="str">
        <f t="shared" si="115"/>
        <v>Oppose</v>
      </c>
      <c r="AE292" s="31">
        <f t="shared" si="116"/>
        <v>6</v>
      </c>
      <c r="AF292">
        <f>step3_validation[[#This Row],[AI_FAC2]]</f>
        <v>8</v>
      </c>
      <c r="AG292" t="str">
        <f t="shared" si="117"/>
        <v>Support</v>
      </c>
      <c r="AH292">
        <f>survey_responses[[#This Row],[So với trước đây, tôi thấy cách tính thuế và các bậc thuế trong phương án mới đơn giản, dễ hiểu và dễ thực hiện hơn. - HUMAN-FAC2]]</f>
        <v>10</v>
      </c>
      <c r="AI292" t="str">
        <f t="shared" si="118"/>
        <v>Support</v>
      </c>
      <c r="AJ292" s="31">
        <f t="shared" si="119"/>
        <v>2</v>
      </c>
      <c r="AK292">
        <f>step3_validation[[#This Row],[AI_TRU1]]</f>
        <v>8</v>
      </c>
      <c r="AL292" t="str">
        <f t="shared" si="120"/>
        <v>Support</v>
      </c>
      <c r="AM292">
        <f>survey_responses[[#This Row],[Tôi tin rằng Nhà nước, cơ quan thuế sẽ thực thi chính sách mới một cách khách quan, công tâm và đối xử bình đẳng với mọi người nộp thuế.  - HUMAN-TRU1]]</f>
        <v>8</v>
      </c>
      <c r="AN292" t="str">
        <f t="shared" si="121"/>
        <v>Support</v>
      </c>
      <c r="AO292" s="31">
        <f t="shared" si="122"/>
        <v>0</v>
      </c>
      <c r="AP292">
        <f>step3_validation[[#This Row],[AI_TRU2]]</f>
        <v>8</v>
      </c>
      <c r="AQ292" t="str">
        <f t="shared" si="123"/>
        <v>Support</v>
      </c>
      <c r="AR292">
        <f>survey_responses[[#This Row],[Tôi thấy mức thuế tôi phải đóng theo phương án mới là công bằng (người thu nhập như tôi đóng mức này là hợp lý). - HUMAN-TRU2]]</f>
        <v>8</v>
      </c>
      <c r="AS292" t="str">
        <f t="shared" si="124"/>
        <v>Support</v>
      </c>
      <c r="AT292" s="31">
        <f t="shared" si="125"/>
        <v>0</v>
      </c>
      <c r="AU292">
        <f>step3_validation[[#This Row],[AI_TRU3]]</f>
        <v>8</v>
      </c>
      <c r="AV292" t="str">
        <f t="shared" si="126"/>
        <v>Support</v>
      </c>
      <c r="AW292">
        <f>survey_responses[[#This Row],[Tôi tin tưởng số tiền thuế tôi đóng sẽ được Nhà nước sử dụng hiệu quả để cải thiện dịch vụ công (y tế, đường xá...). - HUMAN-TRU3]]</f>
        <v>6</v>
      </c>
      <c r="AX292" t="str">
        <f t="shared" si="127"/>
        <v>Neutral</v>
      </c>
      <c r="AY292" s="31">
        <f t="shared" si="128"/>
        <v>2</v>
      </c>
      <c r="AZ292">
        <f>step3_validation[[#This Row],[AI_TRU4]]</f>
        <v>7</v>
      </c>
      <c r="BA292" t="str">
        <f t="shared" si="129"/>
        <v>Neutral</v>
      </c>
      <c r="BB292">
        <f>survey_responses[[#This Row],[Tôi thấy Nhà nước đã giải thích rõ ràng, minh bạch về lý do và mục tiêu của việc sửa đổi thuế lần này. - HUMAN-TRU4]]</f>
        <v>8</v>
      </c>
      <c r="BC292" t="str">
        <f t="shared" si="130"/>
        <v>Support</v>
      </c>
      <c r="BD292" s="31">
        <f t="shared" si="131"/>
        <v>1</v>
      </c>
      <c r="BE292">
        <f>step3_validation[[#This Row],[AI_OUT1]]</f>
        <v>8</v>
      </c>
      <c r="BF292" t="str">
        <f t="shared" si="132"/>
        <v>Support</v>
      </c>
      <c r="BG292">
        <f>survey_responses[[#This Row],[Sau khi xem xét các quyền lợi và nghĩa vụ, bạn có ủng hộ và tuân thủ chính sách mới hiện nay? - HUMAN-OUT1]]</f>
        <v>8</v>
      </c>
      <c r="BH292" t="str">
        <f t="shared" si="133"/>
        <v>Support</v>
      </c>
      <c r="BI292" s="31">
        <f t="shared" si="134"/>
        <v>0</v>
      </c>
    </row>
    <row r="293" spans="1:61" hidden="1" x14ac:dyDescent="0.45">
      <c r="A293" s="29">
        <f>step3_validation[[#This Row],[Persona_ID]]</f>
        <v>292</v>
      </c>
      <c r="B293" s="30">
        <f>step3_validation[[#This Row],[Used_Seed]]</f>
        <v>333</v>
      </c>
      <c r="C293" t="str">
        <f>step3_validation[[#This Row],[Gender]]</f>
        <v>Nữ</v>
      </c>
      <c r="D293" t="str">
        <f>survey_responses[[#This Row],[Giới tính của bạn:]]</f>
        <v>Nữ</v>
      </c>
      <c r="E293" t="str">
        <f>step3_validation[[#This Row],[Age_Group]]</f>
        <v>55 - 64</v>
      </c>
      <c r="F293" t="str">
        <f>survey_responses[[#This Row],[Độ tuổi của bạn:]]</f>
        <v>55 - 64</v>
      </c>
      <c r="G293" t="str">
        <f>step3_validation[[#This Row],[Region]]</f>
        <v>Thành thị</v>
      </c>
      <c r="H293" t="str">
        <f>survey_responses[[#This Row],[Khu vực bạn đang sinh sống:]]</f>
        <v>Thành thị</v>
      </c>
      <c r="I293" t="str">
        <f>step3_validation[[#This Row],[Education]]</f>
        <v>Sau Đại học</v>
      </c>
      <c r="J293" t="str">
        <f>survey_responses[[#This Row],[Trình độ học vấn cao nhất:]]</f>
        <v>Sau Đại học</v>
      </c>
      <c r="K293" t="str">
        <f>step3_validation[[#This Row],[Employment]]</f>
        <v>Phi chính thức</v>
      </c>
      <c r="L293" t="str">
        <f>survey_responses[[#This Row],[Tình trạng việc làm chính:]]</f>
        <v>Khác (Về hưu, nội trợ, sinh viên)</v>
      </c>
      <c r="M293">
        <f>step3_validation[[#This Row],[Income_Mil]]</f>
        <v>60.922768778811417</v>
      </c>
      <c r="N293" t="str">
        <f>survey_responses[[#This Row],[Thu nhập bình quân tháng theo Hợp đồng lao động của bạn là bao nhiêu? (Vui lòng điền tổng thu nhập trước khi khấu trừ các loại Bảo hiểm (BHXH, BHYT, BHTN) và Thuế TNCN)]]</f>
        <v>Từ 48 - 70 triệu VNĐ</v>
      </c>
      <c r="O293">
        <f>step3_validation[[#This Row],[Dependents]]</f>
        <v>2</v>
      </c>
      <c r="P293" t="str">
        <f>survey_responses[[#This Row],[Số người phụ thuộc (con nhỏ, cha mẹ già...) đủ điều kiện giảm trừ gia cảnh:]]</f>
        <v>2 người</v>
      </c>
      <c r="Q293">
        <f>step3_validation[[#This Row],[AI_ENF1]]</f>
        <v>7</v>
      </c>
      <c r="R293" t="str">
        <f t="shared" si="108"/>
        <v>Neutral</v>
      </c>
      <c r="S293">
        <f>survey_responses[[#This Row],[Tôi tin rằng với các quy định quản lý thuế hiện nay, hành vi gian lận hoặc trốn thuế sẽ dễ dàng bị phát hiện và xử lý nghiêm. - HUMAN-ENF1]]</f>
        <v>6</v>
      </c>
      <c r="T293" t="str">
        <f t="shared" si="109"/>
        <v>Neutral</v>
      </c>
      <c r="U293" s="31">
        <f t="shared" si="110"/>
        <v>1</v>
      </c>
      <c r="V293">
        <f>step3_validation[[#This Row],[AI_ENF2]]</f>
        <v>8</v>
      </c>
      <c r="W293" t="str">
        <f t="shared" si="111"/>
        <v>Support</v>
      </c>
      <c r="X293">
        <f>survey_responses[[#This Row],[Tôi tin rằng Nhà nước, cơ quan thuế có đủ khả năng và công nghệ để phát hiện, xử lý nghiêm các hành vi trốn thuế. - HUMAN-ENF2]]</f>
        <v>6</v>
      </c>
      <c r="Y293" t="str">
        <f t="shared" si="112"/>
        <v>Neutral</v>
      </c>
      <c r="Z293" s="31">
        <f t="shared" si="113"/>
        <v>2</v>
      </c>
      <c r="AA293">
        <f>step3_validation[[#This Row],[AI_FAC1]]</f>
        <v>9</v>
      </c>
      <c r="AB293" t="str">
        <f t="shared" si="114"/>
        <v>Support</v>
      </c>
      <c r="AC293">
        <f>survey_responses[[#This Row],[Các thủ tục khai báo thuế VÀ/HOẶC quy trình làm việc với cơ quan thuế đơn giản, tiện lợi, nhanh chóng hơn so với trước đây. - HUMAN-FAC1]]</f>
        <v>1</v>
      </c>
      <c r="AD293" t="str">
        <f t="shared" si="115"/>
        <v>Oppose</v>
      </c>
      <c r="AE293" s="31">
        <f t="shared" si="116"/>
        <v>8</v>
      </c>
      <c r="AF293">
        <f>step3_validation[[#This Row],[AI_FAC2]]</f>
        <v>9</v>
      </c>
      <c r="AG293" t="str">
        <f t="shared" si="117"/>
        <v>Support</v>
      </c>
      <c r="AH293">
        <f>survey_responses[[#This Row],[So với trước đây, tôi thấy cách tính thuế và các bậc thuế trong phương án mới đơn giản, dễ hiểu và dễ thực hiện hơn. - HUMAN-FAC2]]</f>
        <v>6</v>
      </c>
      <c r="AI293" t="str">
        <f t="shared" si="118"/>
        <v>Neutral</v>
      </c>
      <c r="AJ293" s="31">
        <f t="shared" si="119"/>
        <v>3</v>
      </c>
      <c r="AK293">
        <f>step3_validation[[#This Row],[AI_TRU1]]</f>
        <v>8</v>
      </c>
      <c r="AL293" t="str">
        <f t="shared" si="120"/>
        <v>Support</v>
      </c>
      <c r="AM293">
        <f>survey_responses[[#This Row],[Tôi tin rằng Nhà nước, cơ quan thuế sẽ thực thi chính sách mới một cách khách quan, công tâm và đối xử bình đẳng với mọi người nộp thuế.  - HUMAN-TRU1]]</f>
        <v>5</v>
      </c>
      <c r="AN293" t="str">
        <f t="shared" si="121"/>
        <v>Neutral</v>
      </c>
      <c r="AO293" s="31">
        <f t="shared" si="122"/>
        <v>3</v>
      </c>
      <c r="AP293">
        <f>step3_validation[[#This Row],[AI_TRU2]]</f>
        <v>9</v>
      </c>
      <c r="AQ293" t="str">
        <f t="shared" si="123"/>
        <v>Support</v>
      </c>
      <c r="AR293">
        <f>survey_responses[[#This Row],[Tôi thấy mức thuế tôi phải đóng theo phương án mới là công bằng (người thu nhập như tôi đóng mức này là hợp lý). - HUMAN-TRU2]]</f>
        <v>6</v>
      </c>
      <c r="AS293" t="str">
        <f t="shared" si="124"/>
        <v>Neutral</v>
      </c>
      <c r="AT293" s="31">
        <f t="shared" si="125"/>
        <v>3</v>
      </c>
      <c r="AU293">
        <f>step3_validation[[#This Row],[AI_TRU3]]</f>
        <v>8</v>
      </c>
      <c r="AV293" t="str">
        <f t="shared" si="126"/>
        <v>Support</v>
      </c>
      <c r="AW293">
        <f>survey_responses[[#This Row],[Tôi tin tưởng số tiền thuế tôi đóng sẽ được Nhà nước sử dụng hiệu quả để cải thiện dịch vụ công (y tế, đường xá...). - HUMAN-TRU3]]</f>
        <v>5</v>
      </c>
      <c r="AX293" t="str">
        <f t="shared" si="127"/>
        <v>Neutral</v>
      </c>
      <c r="AY293" s="31">
        <f t="shared" si="128"/>
        <v>3</v>
      </c>
      <c r="AZ293">
        <f>step3_validation[[#This Row],[AI_TRU4]]</f>
        <v>9</v>
      </c>
      <c r="BA293" t="str">
        <f t="shared" si="129"/>
        <v>Support</v>
      </c>
      <c r="BB293">
        <f>survey_responses[[#This Row],[Tôi thấy Nhà nước đã giải thích rõ ràng, minh bạch về lý do và mục tiêu của việc sửa đổi thuế lần này. - HUMAN-TRU4]]</f>
        <v>6</v>
      </c>
      <c r="BC293" t="str">
        <f t="shared" si="130"/>
        <v>Neutral</v>
      </c>
      <c r="BD293" s="31">
        <f t="shared" si="131"/>
        <v>3</v>
      </c>
      <c r="BE293">
        <f>step3_validation[[#This Row],[AI_OUT1]]</f>
        <v>8</v>
      </c>
      <c r="BF293" t="str">
        <f t="shared" si="132"/>
        <v>Support</v>
      </c>
      <c r="BG293">
        <f>survey_responses[[#This Row],[Sau khi xem xét các quyền lợi và nghĩa vụ, bạn có ủng hộ và tuân thủ chính sách mới hiện nay? - HUMAN-OUT1]]</f>
        <v>6</v>
      </c>
      <c r="BH293" t="str">
        <f t="shared" si="133"/>
        <v>Neutral</v>
      </c>
      <c r="BI293" s="31">
        <f t="shared" si="134"/>
        <v>2</v>
      </c>
    </row>
    <row r="294" spans="1:61" hidden="1" x14ac:dyDescent="0.45">
      <c r="A294" s="29">
        <f>step3_validation[[#This Row],[Persona_ID]]</f>
        <v>293</v>
      </c>
      <c r="B294" s="30">
        <f>step3_validation[[#This Row],[Used_Seed]]</f>
        <v>334</v>
      </c>
      <c r="C294" t="str">
        <f>step3_validation[[#This Row],[Gender]]</f>
        <v>Nữ</v>
      </c>
      <c r="D294" t="str">
        <f>survey_responses[[#This Row],[Giới tính của bạn:]]</f>
        <v>Nữ</v>
      </c>
      <c r="E294" t="str">
        <f>step3_validation[[#This Row],[Age_Group]]</f>
        <v>25 - 29</v>
      </c>
      <c r="F294" t="str">
        <f>survey_responses[[#This Row],[Độ tuổi của bạn:]]</f>
        <v>25 - 29</v>
      </c>
      <c r="G294" t="str">
        <f>step3_validation[[#This Row],[Region]]</f>
        <v>Thành thị</v>
      </c>
      <c r="H294" t="str">
        <f>survey_responses[[#This Row],[Khu vực bạn đang sinh sống:]]</f>
        <v>Thành thị</v>
      </c>
      <c r="I294" t="str">
        <f>step3_validation[[#This Row],[Education]]</f>
        <v>Đại học</v>
      </c>
      <c r="J294" t="str">
        <f>survey_responses[[#This Row],[Trình độ học vấn cao nhất:]]</f>
        <v>Đại học</v>
      </c>
      <c r="K294" t="str">
        <f>step3_validation[[#This Row],[Employment]]</f>
        <v>Chính thức</v>
      </c>
      <c r="L294" t="str">
        <f>survey_responses[[#This Row],[Tình trạng việc làm chính:]]</f>
        <v>Khu vực chính thức (Có Hợp đồng lao động, đóng BHXH)</v>
      </c>
      <c r="M294">
        <f>step3_validation[[#This Row],[Income_Mil]]</f>
        <v>44.040531406947196</v>
      </c>
      <c r="N294" t="str">
        <f>survey_responses[[#This Row],[Thu nhập bình quân tháng theo Hợp đồng lao động của bạn là bao nhiêu? (Vui lòng điền tổng thu nhập trước khi khấu trừ các loại Bảo hiểm (BHXH, BHYT, BHTN) và Thuế TNCN)]]</f>
        <v>Từ 32 - 48 triệu VNĐ</v>
      </c>
      <c r="O294">
        <f>step3_validation[[#This Row],[Dependents]]</f>
        <v>1</v>
      </c>
      <c r="P294" t="str">
        <f>survey_responses[[#This Row],[Số người phụ thuộc (con nhỏ, cha mẹ già...) đủ điều kiện giảm trừ gia cảnh:]]</f>
        <v>1 người</v>
      </c>
      <c r="Q294">
        <f>step3_validation[[#This Row],[AI_ENF1]]</f>
        <v>6</v>
      </c>
      <c r="R294" t="str">
        <f t="shared" si="108"/>
        <v>Neutral</v>
      </c>
      <c r="S294">
        <f>survey_responses[[#This Row],[Tôi tin rằng với các quy định quản lý thuế hiện nay, hành vi gian lận hoặc trốn thuế sẽ dễ dàng bị phát hiện và xử lý nghiêm. - HUMAN-ENF1]]</f>
        <v>8</v>
      </c>
      <c r="T294" t="str">
        <f t="shared" si="109"/>
        <v>Support</v>
      </c>
      <c r="U294" s="31">
        <f t="shared" si="110"/>
        <v>2</v>
      </c>
      <c r="V294">
        <f>step3_validation[[#This Row],[AI_ENF2]]</f>
        <v>8</v>
      </c>
      <c r="W294" t="str">
        <f t="shared" si="111"/>
        <v>Support</v>
      </c>
      <c r="X294">
        <f>survey_responses[[#This Row],[Tôi tin rằng Nhà nước, cơ quan thuế có đủ khả năng và công nghệ để phát hiện, xử lý nghiêm các hành vi trốn thuế. - HUMAN-ENF2]]</f>
        <v>8</v>
      </c>
      <c r="Y294" t="str">
        <f t="shared" si="112"/>
        <v>Support</v>
      </c>
      <c r="Z294" s="31">
        <f t="shared" si="113"/>
        <v>0</v>
      </c>
      <c r="AA294">
        <f>step3_validation[[#This Row],[AI_FAC1]]</f>
        <v>7</v>
      </c>
      <c r="AB294" t="str">
        <f t="shared" si="114"/>
        <v>Neutral</v>
      </c>
      <c r="AC294">
        <f>survey_responses[[#This Row],[Các thủ tục khai báo thuế VÀ/HOẶC quy trình làm việc với cơ quan thuế đơn giản, tiện lợi, nhanh chóng hơn so với trước đây. - HUMAN-FAC1]]</f>
        <v>5</v>
      </c>
      <c r="AD294" t="str">
        <f t="shared" si="115"/>
        <v>Neutral</v>
      </c>
      <c r="AE294" s="31">
        <f t="shared" si="116"/>
        <v>2</v>
      </c>
      <c r="AF294">
        <f>step3_validation[[#This Row],[AI_FAC2]]</f>
        <v>9</v>
      </c>
      <c r="AG294" t="str">
        <f t="shared" si="117"/>
        <v>Support</v>
      </c>
      <c r="AH294">
        <f>survey_responses[[#This Row],[So với trước đây, tôi thấy cách tính thuế và các bậc thuế trong phương án mới đơn giản, dễ hiểu và dễ thực hiện hơn. - HUMAN-FAC2]]</f>
        <v>8</v>
      </c>
      <c r="AI294" t="str">
        <f t="shared" si="118"/>
        <v>Support</v>
      </c>
      <c r="AJ294" s="31">
        <f t="shared" si="119"/>
        <v>1</v>
      </c>
      <c r="AK294">
        <f>step3_validation[[#This Row],[AI_TRU1]]</f>
        <v>7</v>
      </c>
      <c r="AL294" t="str">
        <f t="shared" si="120"/>
        <v>Neutral</v>
      </c>
      <c r="AM294">
        <f>survey_responses[[#This Row],[Tôi tin rằng Nhà nước, cơ quan thuế sẽ thực thi chính sách mới một cách khách quan, công tâm và đối xử bình đẳng với mọi người nộp thuế.  - HUMAN-TRU1]]</f>
        <v>5</v>
      </c>
      <c r="AN294" t="str">
        <f t="shared" si="121"/>
        <v>Neutral</v>
      </c>
      <c r="AO294" s="31">
        <f t="shared" si="122"/>
        <v>2</v>
      </c>
      <c r="AP294">
        <f>step3_validation[[#This Row],[AI_TRU2]]</f>
        <v>9</v>
      </c>
      <c r="AQ294" t="str">
        <f t="shared" si="123"/>
        <v>Support</v>
      </c>
      <c r="AR294">
        <f>survey_responses[[#This Row],[Tôi thấy mức thuế tôi phải đóng theo phương án mới là công bằng (người thu nhập như tôi đóng mức này là hợp lý). - HUMAN-TRU2]]</f>
        <v>6</v>
      </c>
      <c r="AS294" t="str">
        <f t="shared" si="124"/>
        <v>Neutral</v>
      </c>
      <c r="AT294" s="31">
        <f t="shared" si="125"/>
        <v>3</v>
      </c>
      <c r="AU294">
        <f>step3_validation[[#This Row],[AI_TRU3]]</f>
        <v>7</v>
      </c>
      <c r="AV294" t="str">
        <f t="shared" si="126"/>
        <v>Neutral</v>
      </c>
      <c r="AW294">
        <f>survey_responses[[#This Row],[Tôi tin tưởng số tiền thuế tôi đóng sẽ được Nhà nước sử dụng hiệu quả để cải thiện dịch vụ công (y tế, đường xá...). - HUMAN-TRU3]]</f>
        <v>5</v>
      </c>
      <c r="AX294" t="str">
        <f t="shared" si="127"/>
        <v>Neutral</v>
      </c>
      <c r="AY294" s="31">
        <f t="shared" si="128"/>
        <v>2</v>
      </c>
      <c r="AZ294">
        <f>step3_validation[[#This Row],[AI_TRU4]]</f>
        <v>8</v>
      </c>
      <c r="BA294" t="str">
        <f t="shared" si="129"/>
        <v>Support</v>
      </c>
      <c r="BB294">
        <f>survey_responses[[#This Row],[Tôi thấy Nhà nước đã giải thích rõ ràng, minh bạch về lý do và mục tiêu của việc sửa đổi thuế lần này. - HUMAN-TRU4]]</f>
        <v>6</v>
      </c>
      <c r="BC294" t="str">
        <f t="shared" si="130"/>
        <v>Neutral</v>
      </c>
      <c r="BD294" s="31">
        <f t="shared" si="131"/>
        <v>2</v>
      </c>
      <c r="BE294">
        <f>step3_validation[[#This Row],[AI_OUT1]]</f>
        <v>6</v>
      </c>
      <c r="BF294" t="str">
        <f t="shared" si="132"/>
        <v>Neutral</v>
      </c>
      <c r="BG294">
        <f>survey_responses[[#This Row],[Sau khi xem xét các quyền lợi và nghĩa vụ, bạn có ủng hộ và tuân thủ chính sách mới hiện nay? - HUMAN-OUT1]]</f>
        <v>6</v>
      </c>
      <c r="BH294" t="str">
        <f t="shared" si="133"/>
        <v>Neutral</v>
      </c>
      <c r="BI294" s="31">
        <f t="shared" si="134"/>
        <v>0</v>
      </c>
    </row>
    <row r="295" spans="1:61" hidden="1" x14ac:dyDescent="0.45">
      <c r="A295" s="29">
        <f>step3_validation[[#This Row],[Persona_ID]]</f>
        <v>294</v>
      </c>
      <c r="B295" s="30">
        <f>step3_validation[[#This Row],[Used_Seed]]</f>
        <v>335</v>
      </c>
      <c r="C295" t="str">
        <f>step3_validation[[#This Row],[Gender]]</f>
        <v>Nữ</v>
      </c>
      <c r="D295" t="str">
        <f>survey_responses[[#This Row],[Giới tính của bạn:]]</f>
        <v>Nữ</v>
      </c>
      <c r="E295" t="str">
        <f>step3_validation[[#This Row],[Age_Group]]</f>
        <v>25 - 29</v>
      </c>
      <c r="F295" t="str">
        <f>survey_responses[[#This Row],[Độ tuổi của bạn:]]</f>
        <v>25 - 29</v>
      </c>
      <c r="G295" t="str">
        <f>step3_validation[[#This Row],[Region]]</f>
        <v>Thành thị</v>
      </c>
      <c r="H295" t="str">
        <f>survey_responses[[#This Row],[Khu vực bạn đang sinh sống:]]</f>
        <v>Thành thị</v>
      </c>
      <c r="I295" t="str">
        <f>step3_validation[[#This Row],[Education]]</f>
        <v>Đại học</v>
      </c>
      <c r="J295" t="str">
        <f>survey_responses[[#This Row],[Trình độ học vấn cao nhất:]]</f>
        <v>Đại học</v>
      </c>
      <c r="K295" t="str">
        <f>step3_validation[[#This Row],[Employment]]</f>
        <v>Chính thức</v>
      </c>
      <c r="L295" t="str">
        <f>survey_responses[[#This Row],[Tình trạng việc làm chính:]]</f>
        <v>Khu vực chính thức (Có Hợp đồng lao động, đóng BHXH)</v>
      </c>
      <c r="M295">
        <f>step3_validation[[#This Row],[Income_Mil]]</f>
        <v>48.588584246696321</v>
      </c>
      <c r="N295" t="str">
        <f>survey_responses[[#This Row],[Thu nhập bình quân tháng theo Hợp đồng lao động của bạn là bao nhiêu? (Vui lòng điền tổng thu nhập trước khi khấu trừ các loại Bảo hiểm (BHXH, BHYT, BHTN) và Thuế TNCN)]]</f>
        <v>Từ 48 - 70 triệu VNĐ</v>
      </c>
      <c r="O295">
        <f>step3_validation[[#This Row],[Dependents]]</f>
        <v>3</v>
      </c>
      <c r="P295" t="str">
        <f>survey_responses[[#This Row],[Số người phụ thuộc (con nhỏ, cha mẹ già...) đủ điều kiện giảm trừ gia cảnh:]]</f>
        <v>3 người</v>
      </c>
      <c r="Q295">
        <f>step3_validation[[#This Row],[AI_ENF1]]</f>
        <v>8</v>
      </c>
      <c r="R295" t="str">
        <f t="shared" si="108"/>
        <v>Support</v>
      </c>
      <c r="S295">
        <f>survey_responses[[#This Row],[Tôi tin rằng với các quy định quản lý thuế hiện nay, hành vi gian lận hoặc trốn thuế sẽ dễ dàng bị phát hiện và xử lý nghiêm. - HUMAN-ENF1]]</f>
        <v>6</v>
      </c>
      <c r="T295" t="str">
        <f t="shared" si="109"/>
        <v>Neutral</v>
      </c>
      <c r="U295" s="31">
        <f t="shared" si="110"/>
        <v>2</v>
      </c>
      <c r="V295">
        <f>step3_validation[[#This Row],[AI_ENF2]]</f>
        <v>9</v>
      </c>
      <c r="W295" t="str">
        <f t="shared" si="111"/>
        <v>Support</v>
      </c>
      <c r="X295">
        <f>survey_responses[[#This Row],[Tôi tin rằng Nhà nước, cơ quan thuế có đủ khả năng và công nghệ để phát hiện, xử lý nghiêm các hành vi trốn thuế. - HUMAN-ENF2]]</f>
        <v>6</v>
      </c>
      <c r="Y295" t="str">
        <f t="shared" si="112"/>
        <v>Neutral</v>
      </c>
      <c r="Z295" s="31">
        <f t="shared" si="113"/>
        <v>3</v>
      </c>
      <c r="AA295">
        <f>step3_validation[[#This Row],[AI_FAC1]]</f>
        <v>8</v>
      </c>
      <c r="AB295" t="str">
        <f t="shared" si="114"/>
        <v>Support</v>
      </c>
      <c r="AC295">
        <f>survey_responses[[#This Row],[Các thủ tục khai báo thuế VÀ/HOẶC quy trình làm việc với cơ quan thuế đơn giản, tiện lợi, nhanh chóng hơn so với trước đây. - HUMAN-FAC1]]</f>
        <v>3</v>
      </c>
      <c r="AD295" t="str">
        <f t="shared" si="115"/>
        <v>Oppose</v>
      </c>
      <c r="AE295" s="31">
        <f t="shared" si="116"/>
        <v>5</v>
      </c>
      <c r="AF295">
        <f>step3_validation[[#This Row],[AI_FAC2]]</f>
        <v>9</v>
      </c>
      <c r="AG295" t="str">
        <f t="shared" si="117"/>
        <v>Support</v>
      </c>
      <c r="AH295">
        <f>survey_responses[[#This Row],[So với trước đây, tôi thấy cách tính thuế và các bậc thuế trong phương án mới đơn giản, dễ hiểu và dễ thực hiện hơn. - HUMAN-FAC2]]</f>
        <v>7</v>
      </c>
      <c r="AI295" t="str">
        <f t="shared" si="118"/>
        <v>Neutral</v>
      </c>
      <c r="AJ295" s="31">
        <f t="shared" si="119"/>
        <v>2</v>
      </c>
      <c r="AK295">
        <f>step3_validation[[#This Row],[AI_TRU1]]</f>
        <v>8</v>
      </c>
      <c r="AL295" t="str">
        <f t="shared" si="120"/>
        <v>Support</v>
      </c>
      <c r="AM295">
        <f>survey_responses[[#This Row],[Tôi tin rằng Nhà nước, cơ quan thuế sẽ thực thi chính sách mới một cách khách quan, công tâm và đối xử bình đẳng với mọi người nộp thuế.  - HUMAN-TRU1]]</f>
        <v>5</v>
      </c>
      <c r="AN295" t="str">
        <f t="shared" si="121"/>
        <v>Neutral</v>
      </c>
      <c r="AO295" s="31">
        <f t="shared" si="122"/>
        <v>3</v>
      </c>
      <c r="AP295">
        <f>step3_validation[[#This Row],[AI_TRU2]]</f>
        <v>9</v>
      </c>
      <c r="AQ295" t="str">
        <f t="shared" si="123"/>
        <v>Support</v>
      </c>
      <c r="AR295">
        <f>survey_responses[[#This Row],[Tôi thấy mức thuế tôi phải đóng theo phương án mới là công bằng (người thu nhập như tôi đóng mức này là hợp lý). - HUMAN-TRU2]]</f>
        <v>6</v>
      </c>
      <c r="AS295" t="str">
        <f t="shared" si="124"/>
        <v>Neutral</v>
      </c>
      <c r="AT295" s="31">
        <f t="shared" si="125"/>
        <v>3</v>
      </c>
      <c r="AU295">
        <f>step3_validation[[#This Row],[AI_TRU3]]</f>
        <v>8</v>
      </c>
      <c r="AV295" t="str">
        <f t="shared" si="126"/>
        <v>Support</v>
      </c>
      <c r="AW295">
        <f>survey_responses[[#This Row],[Tôi tin tưởng số tiền thuế tôi đóng sẽ được Nhà nước sử dụng hiệu quả để cải thiện dịch vụ công (y tế, đường xá...). - HUMAN-TRU3]]</f>
        <v>5</v>
      </c>
      <c r="AX295" t="str">
        <f t="shared" si="127"/>
        <v>Neutral</v>
      </c>
      <c r="AY295" s="31">
        <f t="shared" si="128"/>
        <v>3</v>
      </c>
      <c r="AZ295">
        <f>step3_validation[[#This Row],[AI_TRU4]]</f>
        <v>9</v>
      </c>
      <c r="BA295" t="str">
        <f t="shared" si="129"/>
        <v>Support</v>
      </c>
      <c r="BB295">
        <f>survey_responses[[#This Row],[Tôi thấy Nhà nước đã giải thích rõ ràng, minh bạch về lý do và mục tiêu của việc sửa đổi thuế lần này. - HUMAN-TRU4]]</f>
        <v>5</v>
      </c>
      <c r="BC295" t="str">
        <f t="shared" si="130"/>
        <v>Neutral</v>
      </c>
      <c r="BD295" s="31">
        <f t="shared" si="131"/>
        <v>4</v>
      </c>
      <c r="BE295">
        <f>step3_validation[[#This Row],[AI_OUT1]]</f>
        <v>9</v>
      </c>
      <c r="BF295" t="str">
        <f t="shared" si="132"/>
        <v>Support</v>
      </c>
      <c r="BG295">
        <f>survey_responses[[#This Row],[Sau khi xem xét các quyền lợi và nghĩa vụ, bạn có ủng hộ và tuân thủ chính sách mới hiện nay? - HUMAN-OUT1]]</f>
        <v>6</v>
      </c>
      <c r="BH295" t="str">
        <f t="shared" si="133"/>
        <v>Neutral</v>
      </c>
      <c r="BI295" s="31">
        <f t="shared" si="134"/>
        <v>3</v>
      </c>
    </row>
    <row r="296" spans="1:61" hidden="1" x14ac:dyDescent="0.45">
      <c r="A296" s="29">
        <f>step3_validation[[#This Row],[Persona_ID]]</f>
        <v>295</v>
      </c>
      <c r="B296" s="30">
        <f>step3_validation[[#This Row],[Used_Seed]]</f>
        <v>336</v>
      </c>
      <c r="C296" t="str">
        <f>step3_validation[[#This Row],[Gender]]</f>
        <v>Nam</v>
      </c>
      <c r="D296" t="str">
        <f>survey_responses[[#This Row],[Giới tính của bạn:]]</f>
        <v>Nam</v>
      </c>
      <c r="E296" t="str">
        <f>step3_validation[[#This Row],[Age_Group]]</f>
        <v>18 - 24</v>
      </c>
      <c r="F296" t="str">
        <f>survey_responses[[#This Row],[Độ tuổi của bạn:]]</f>
        <v>18 - 24</v>
      </c>
      <c r="G296" t="str">
        <f>step3_validation[[#This Row],[Region]]</f>
        <v>Thành thị</v>
      </c>
      <c r="H296" t="str">
        <f>survey_responses[[#This Row],[Khu vực bạn đang sinh sống:]]</f>
        <v>Thành thị</v>
      </c>
      <c r="I296" t="str">
        <f>step3_validation[[#This Row],[Education]]</f>
        <v>Đại học</v>
      </c>
      <c r="J296" t="str">
        <f>survey_responses[[#This Row],[Trình độ học vấn cao nhất:]]</f>
        <v>Đại học</v>
      </c>
      <c r="K296" t="str">
        <f>step3_validation[[#This Row],[Employment]]</f>
        <v>Chính thức</v>
      </c>
      <c r="L296" t="str">
        <f>survey_responses[[#This Row],[Tình trạng việc làm chính:]]</f>
        <v>Khu vực chính thức (Có Hợp đồng lao động, đóng BHXH)</v>
      </c>
      <c r="M296">
        <f>step3_validation[[#This Row],[Income_Mil]]</f>
        <v>27.64027679889082</v>
      </c>
      <c r="N296" t="str">
        <f>survey_responses[[#This Row],[Thu nhập bình quân tháng theo Hợp đồng lao động của bạn là bao nhiêu? (Vui lòng điền tổng thu nhập trước khi khấu trừ các loại Bảo hiểm (BHXH, BHYT, BHTN) và Thuế TNCN)]]</f>
        <v>Từ 23 - 32 triệu VNĐ</v>
      </c>
      <c r="O296">
        <f>step3_validation[[#This Row],[Dependents]]</f>
        <v>0</v>
      </c>
      <c r="P296" t="str">
        <f>survey_responses[[#This Row],[Số người phụ thuộc (con nhỏ, cha mẹ già...) đủ điều kiện giảm trừ gia cảnh:]]</f>
        <v>0 người</v>
      </c>
      <c r="Q296">
        <f>step3_validation[[#This Row],[AI_ENF1]]</f>
        <v>7</v>
      </c>
      <c r="R296" t="str">
        <f t="shared" si="108"/>
        <v>Neutral</v>
      </c>
      <c r="S296">
        <f>survey_responses[[#This Row],[Tôi tin rằng với các quy định quản lý thuế hiện nay, hành vi gian lận hoặc trốn thuế sẽ dễ dàng bị phát hiện và xử lý nghiêm. - HUMAN-ENF1]]</f>
        <v>8</v>
      </c>
      <c r="T296" t="str">
        <f t="shared" si="109"/>
        <v>Support</v>
      </c>
      <c r="U296" s="31">
        <f t="shared" si="110"/>
        <v>1</v>
      </c>
      <c r="V296">
        <f>step3_validation[[#This Row],[AI_ENF2]]</f>
        <v>7</v>
      </c>
      <c r="W296" t="str">
        <f t="shared" si="111"/>
        <v>Neutral</v>
      </c>
      <c r="X296">
        <f>survey_responses[[#This Row],[Tôi tin rằng Nhà nước, cơ quan thuế có đủ khả năng và công nghệ để phát hiện, xử lý nghiêm các hành vi trốn thuế. - HUMAN-ENF2]]</f>
        <v>9</v>
      </c>
      <c r="Y296" t="str">
        <f t="shared" si="112"/>
        <v>Support</v>
      </c>
      <c r="Z296" s="31">
        <f t="shared" si="113"/>
        <v>2</v>
      </c>
      <c r="AA296">
        <f>step3_validation[[#This Row],[AI_FAC1]]</f>
        <v>8</v>
      </c>
      <c r="AB296" t="str">
        <f t="shared" si="114"/>
        <v>Support</v>
      </c>
      <c r="AC296">
        <f>survey_responses[[#This Row],[Các thủ tục khai báo thuế VÀ/HOẶC quy trình làm việc với cơ quan thuế đơn giản, tiện lợi, nhanh chóng hơn so với trước đây. - HUMAN-FAC1]]</f>
        <v>9</v>
      </c>
      <c r="AD296" t="str">
        <f t="shared" si="115"/>
        <v>Support</v>
      </c>
      <c r="AE296" s="31">
        <f t="shared" si="116"/>
        <v>1</v>
      </c>
      <c r="AF296">
        <f>step3_validation[[#This Row],[AI_FAC2]]</f>
        <v>9</v>
      </c>
      <c r="AG296" t="str">
        <f t="shared" si="117"/>
        <v>Support</v>
      </c>
      <c r="AH296">
        <f>survey_responses[[#This Row],[So với trước đây, tôi thấy cách tính thuế và các bậc thuế trong phương án mới đơn giản, dễ hiểu và dễ thực hiện hơn. - HUMAN-FAC2]]</f>
        <v>10</v>
      </c>
      <c r="AI296" t="str">
        <f t="shared" si="118"/>
        <v>Support</v>
      </c>
      <c r="AJ296" s="31">
        <f t="shared" si="119"/>
        <v>1</v>
      </c>
      <c r="AK296">
        <f>step3_validation[[#This Row],[AI_TRU1]]</f>
        <v>6</v>
      </c>
      <c r="AL296" t="str">
        <f t="shared" si="120"/>
        <v>Neutral</v>
      </c>
      <c r="AM296">
        <f>survey_responses[[#This Row],[Tôi tin rằng Nhà nước, cơ quan thuế sẽ thực thi chính sách mới một cách khách quan, công tâm và đối xử bình đẳng với mọi người nộp thuế.  - HUMAN-TRU1]]</f>
        <v>8</v>
      </c>
      <c r="AN296" t="str">
        <f t="shared" si="121"/>
        <v>Support</v>
      </c>
      <c r="AO296" s="31">
        <f t="shared" si="122"/>
        <v>2</v>
      </c>
      <c r="AP296">
        <f>step3_validation[[#This Row],[AI_TRU2]]</f>
        <v>9</v>
      </c>
      <c r="AQ296" t="str">
        <f t="shared" si="123"/>
        <v>Support</v>
      </c>
      <c r="AR296">
        <f>survey_responses[[#This Row],[Tôi thấy mức thuế tôi phải đóng theo phương án mới là công bằng (người thu nhập như tôi đóng mức này là hợp lý). - HUMAN-TRU2]]</f>
        <v>8</v>
      </c>
      <c r="AS296" t="str">
        <f t="shared" si="124"/>
        <v>Support</v>
      </c>
      <c r="AT296" s="31">
        <f t="shared" si="125"/>
        <v>1</v>
      </c>
      <c r="AU296">
        <f>step3_validation[[#This Row],[AI_TRU3]]</f>
        <v>7</v>
      </c>
      <c r="AV296" t="str">
        <f t="shared" si="126"/>
        <v>Neutral</v>
      </c>
      <c r="AW296">
        <f>survey_responses[[#This Row],[Tôi tin tưởng số tiền thuế tôi đóng sẽ được Nhà nước sử dụng hiệu quả để cải thiện dịch vụ công (y tế, đường xá...). - HUMAN-TRU3]]</f>
        <v>9</v>
      </c>
      <c r="AX296" t="str">
        <f t="shared" si="127"/>
        <v>Support</v>
      </c>
      <c r="AY296" s="31">
        <f t="shared" si="128"/>
        <v>2</v>
      </c>
      <c r="AZ296">
        <f>step3_validation[[#This Row],[AI_TRU4]]</f>
        <v>6</v>
      </c>
      <c r="BA296" t="str">
        <f t="shared" si="129"/>
        <v>Neutral</v>
      </c>
      <c r="BB296">
        <f>survey_responses[[#This Row],[Tôi thấy Nhà nước đã giải thích rõ ràng, minh bạch về lý do và mục tiêu của việc sửa đổi thuế lần này. - HUMAN-TRU4]]</f>
        <v>10</v>
      </c>
      <c r="BC296" t="str">
        <f t="shared" si="130"/>
        <v>Support</v>
      </c>
      <c r="BD296" s="31">
        <f t="shared" si="131"/>
        <v>4</v>
      </c>
      <c r="BE296">
        <f>step3_validation[[#This Row],[AI_OUT1]]</f>
        <v>9</v>
      </c>
      <c r="BF296" t="str">
        <f t="shared" si="132"/>
        <v>Support</v>
      </c>
      <c r="BG296">
        <f>survey_responses[[#This Row],[Sau khi xem xét các quyền lợi và nghĩa vụ, bạn có ủng hộ và tuân thủ chính sách mới hiện nay? - HUMAN-OUT1]]</f>
        <v>10</v>
      </c>
      <c r="BH296" t="str">
        <f t="shared" si="133"/>
        <v>Support</v>
      </c>
      <c r="BI296" s="31">
        <f t="shared" si="134"/>
        <v>1</v>
      </c>
    </row>
    <row r="297" spans="1:61" x14ac:dyDescent="0.45">
      <c r="A297" s="29">
        <f>step3_validation[[#This Row],[Persona_ID]]</f>
        <v>296</v>
      </c>
      <c r="B297" s="30">
        <f>step3_validation[[#This Row],[Used_Seed]]</f>
        <v>337</v>
      </c>
      <c r="C297" t="str">
        <f>step3_validation[[#This Row],[Gender]]</f>
        <v>Nam</v>
      </c>
      <c r="D297" t="str">
        <f>survey_responses[[#This Row],[Giới tính của bạn:]]</f>
        <v>Nam</v>
      </c>
      <c r="E297" t="str">
        <f>step3_validation[[#This Row],[Age_Group]]</f>
        <v>55 - 64</v>
      </c>
      <c r="F297" t="str">
        <f>survey_responses[[#This Row],[Độ tuổi của bạn:]]</f>
        <v>55 - 64</v>
      </c>
      <c r="G297" t="str">
        <f>step3_validation[[#This Row],[Region]]</f>
        <v>Thành thị</v>
      </c>
      <c r="H297" t="str">
        <f>survey_responses[[#This Row],[Khu vực bạn đang sinh sống:]]</f>
        <v>Thành thị</v>
      </c>
      <c r="I297" t="str">
        <f>step3_validation[[#This Row],[Education]]</f>
        <v>Đại học</v>
      </c>
      <c r="J297" t="str">
        <f>survey_responses[[#This Row],[Trình độ học vấn cao nhất:]]</f>
        <v>Đại học</v>
      </c>
      <c r="K297" t="str">
        <f>step3_validation[[#This Row],[Employment]]</f>
        <v>Chính thức</v>
      </c>
      <c r="L297" t="str">
        <f>survey_responses[[#This Row],[Tình trạng việc làm chính:]]</f>
        <v>Khu vực chính thức (Có Hợp đồng lao động, đóng BHXH)</v>
      </c>
      <c r="M297">
        <f>step3_validation[[#This Row],[Income_Mil]]</f>
        <v>12</v>
      </c>
      <c r="N297" t="str">
        <f>survey_responses[[#This Row],[Thu nhập bình quân tháng theo Hợp đồng lao động của bạn là bao nhiêu? (Vui lòng điền tổng thu nhập trước khi khấu trừ các loại Bảo hiểm (BHXH, BHYT, BHTN) và Thuế TNCN)]]</f>
        <v>Dưới 12 triệu VNĐ</v>
      </c>
      <c r="O297">
        <f>step3_validation[[#This Row],[Dependents]]</f>
        <v>0</v>
      </c>
      <c r="P297" t="str">
        <f>survey_responses[[#This Row],[Số người phụ thuộc (con nhỏ, cha mẹ già...) đủ điều kiện giảm trừ gia cảnh:]]</f>
        <v>0 người</v>
      </c>
      <c r="Q297">
        <f>step3_validation[[#This Row],[AI_ENF1]]</f>
        <v>8</v>
      </c>
      <c r="R297" t="str">
        <f t="shared" si="108"/>
        <v>Support</v>
      </c>
      <c r="S297">
        <f>survey_responses[[#This Row],[Tôi tin rằng với các quy định quản lý thuế hiện nay, hành vi gian lận hoặc trốn thuế sẽ dễ dàng bị phát hiện và xử lý nghiêm. - HUMAN-ENF1]]</f>
        <v>7</v>
      </c>
      <c r="T297" t="str">
        <f t="shared" si="109"/>
        <v>Neutral</v>
      </c>
      <c r="U297" s="31">
        <f t="shared" si="110"/>
        <v>1</v>
      </c>
      <c r="V297">
        <f>step3_validation[[#This Row],[AI_ENF2]]</f>
        <v>7</v>
      </c>
      <c r="W297" t="str">
        <f t="shared" si="111"/>
        <v>Neutral</v>
      </c>
      <c r="X297">
        <f>survey_responses[[#This Row],[Tôi tin rằng Nhà nước, cơ quan thuế có đủ khả năng và công nghệ để phát hiện, xử lý nghiêm các hành vi trốn thuế. - HUMAN-ENF2]]</f>
        <v>7</v>
      </c>
      <c r="Y297" t="str">
        <f t="shared" si="112"/>
        <v>Neutral</v>
      </c>
      <c r="Z297" s="31">
        <f t="shared" si="113"/>
        <v>0</v>
      </c>
      <c r="AA297">
        <f>step3_validation[[#This Row],[AI_FAC1]]</f>
        <v>9</v>
      </c>
      <c r="AB297" t="str">
        <f t="shared" si="114"/>
        <v>Support</v>
      </c>
      <c r="AC297">
        <f>survey_responses[[#This Row],[Các thủ tục khai báo thuế VÀ/HOẶC quy trình làm việc với cơ quan thuế đơn giản, tiện lợi, nhanh chóng hơn so với trước đây. - HUMAN-FAC1]]</f>
        <v>6</v>
      </c>
      <c r="AD297" t="str">
        <f t="shared" si="115"/>
        <v>Neutral</v>
      </c>
      <c r="AE297" s="31">
        <f t="shared" si="116"/>
        <v>3</v>
      </c>
      <c r="AF297">
        <f>step3_validation[[#This Row],[AI_FAC2]]</f>
        <v>8</v>
      </c>
      <c r="AG297" t="str">
        <f t="shared" si="117"/>
        <v>Support</v>
      </c>
      <c r="AH297">
        <f>survey_responses[[#This Row],[So với trước đây, tôi thấy cách tính thuế và các bậc thuế trong phương án mới đơn giản, dễ hiểu và dễ thực hiện hơn. - HUMAN-FAC2]]</f>
        <v>7</v>
      </c>
      <c r="AI297" t="str">
        <f t="shared" si="118"/>
        <v>Neutral</v>
      </c>
      <c r="AJ297" s="31">
        <f t="shared" si="119"/>
        <v>1</v>
      </c>
      <c r="AK297">
        <f>step3_validation[[#This Row],[AI_TRU1]]</f>
        <v>9</v>
      </c>
      <c r="AL297" t="str">
        <f t="shared" si="120"/>
        <v>Support</v>
      </c>
      <c r="AM297">
        <f>survey_responses[[#This Row],[Tôi tin rằng Nhà nước, cơ quan thuế sẽ thực thi chính sách mới một cách khách quan, công tâm và đối xử bình đẳng với mọi người nộp thuế.  - HUMAN-TRU1]]</f>
        <v>7</v>
      </c>
      <c r="AN297" t="str">
        <f t="shared" si="121"/>
        <v>Neutral</v>
      </c>
      <c r="AO297" s="31">
        <f t="shared" si="122"/>
        <v>2</v>
      </c>
      <c r="AP297">
        <f>step3_validation[[#This Row],[AI_TRU2]]</f>
        <v>8</v>
      </c>
      <c r="AQ297" t="str">
        <f t="shared" si="123"/>
        <v>Support</v>
      </c>
      <c r="AR297">
        <f>survey_responses[[#This Row],[Tôi thấy mức thuế tôi phải đóng theo phương án mới là công bằng (người thu nhập như tôi đóng mức này là hợp lý). - HUMAN-TRU2]]</f>
        <v>1</v>
      </c>
      <c r="AS297" t="str">
        <f t="shared" si="124"/>
        <v>Oppose</v>
      </c>
      <c r="AT297" s="31">
        <f t="shared" si="125"/>
        <v>7</v>
      </c>
      <c r="AU297">
        <f>step3_validation[[#This Row],[AI_TRU3]]</f>
        <v>9</v>
      </c>
      <c r="AV297" t="str">
        <f t="shared" si="126"/>
        <v>Support</v>
      </c>
      <c r="AW297">
        <f>survey_responses[[#This Row],[Tôi tin tưởng số tiền thuế tôi đóng sẽ được Nhà nước sử dụng hiệu quả để cải thiện dịch vụ công (y tế, đường xá...). - HUMAN-TRU3]]</f>
        <v>5</v>
      </c>
      <c r="AX297" t="str">
        <f t="shared" si="127"/>
        <v>Neutral</v>
      </c>
      <c r="AY297" s="31">
        <f t="shared" si="128"/>
        <v>4</v>
      </c>
      <c r="AZ297">
        <f>step3_validation[[#This Row],[AI_TRU4]]</f>
        <v>8</v>
      </c>
      <c r="BA297" t="str">
        <f t="shared" si="129"/>
        <v>Support</v>
      </c>
      <c r="BB297">
        <f>survey_responses[[#This Row],[Tôi thấy Nhà nước đã giải thích rõ ràng, minh bạch về lý do và mục tiêu của việc sửa đổi thuế lần này. - HUMAN-TRU4]]</f>
        <v>7</v>
      </c>
      <c r="BC297" t="str">
        <f t="shared" si="130"/>
        <v>Neutral</v>
      </c>
      <c r="BD297" s="31">
        <f t="shared" si="131"/>
        <v>1</v>
      </c>
      <c r="BE297">
        <f>step3_validation[[#This Row],[AI_OUT1]]</f>
        <v>9</v>
      </c>
      <c r="BF297" t="str">
        <f t="shared" si="132"/>
        <v>Support</v>
      </c>
      <c r="BG297">
        <f>survey_responses[[#This Row],[Sau khi xem xét các quyền lợi và nghĩa vụ, bạn có ủng hộ và tuân thủ chính sách mới hiện nay? - HUMAN-OUT1]]</f>
        <v>7</v>
      </c>
      <c r="BH297" t="str">
        <f t="shared" si="133"/>
        <v>Neutral</v>
      </c>
      <c r="BI297" s="31">
        <f t="shared" si="134"/>
        <v>2</v>
      </c>
    </row>
    <row r="298" spans="1:61" hidden="1" x14ac:dyDescent="0.45">
      <c r="A298" s="29">
        <f>step3_validation[[#This Row],[Persona_ID]]</f>
        <v>297</v>
      </c>
      <c r="B298" s="30">
        <f>step3_validation[[#This Row],[Used_Seed]]</f>
        <v>338</v>
      </c>
      <c r="C298" t="str">
        <f>step3_validation[[#This Row],[Gender]]</f>
        <v>Nữ</v>
      </c>
      <c r="D298" t="str">
        <f>survey_responses[[#This Row],[Giới tính của bạn:]]</f>
        <v>Nữ</v>
      </c>
      <c r="E298" t="str">
        <f>step3_validation[[#This Row],[Age_Group]]</f>
        <v>30 - 39</v>
      </c>
      <c r="F298" t="str">
        <f>survey_responses[[#This Row],[Độ tuổi của bạn:]]</f>
        <v>30 - 39</v>
      </c>
      <c r="G298" t="str">
        <f>step3_validation[[#This Row],[Region]]</f>
        <v>Thành thị</v>
      </c>
      <c r="H298" t="str">
        <f>survey_responses[[#This Row],[Khu vực bạn đang sinh sống:]]</f>
        <v>Thành thị</v>
      </c>
      <c r="I298" t="str">
        <f>step3_validation[[#This Row],[Education]]</f>
        <v>Đại học</v>
      </c>
      <c r="J298" t="str">
        <f>survey_responses[[#This Row],[Trình độ học vấn cao nhất:]]</f>
        <v>Đại học</v>
      </c>
      <c r="K298" t="str">
        <f>step3_validation[[#This Row],[Employment]]</f>
        <v>Chính thức</v>
      </c>
      <c r="L298" t="str">
        <f>survey_responses[[#This Row],[Tình trạng việc làm chính:]]</f>
        <v>Khu vực chính thức (Có Hợp đồng lao động, đóng BHXH)</v>
      </c>
      <c r="M298">
        <f>step3_validation[[#This Row],[Income_Mil]]</f>
        <v>53.250507389931649</v>
      </c>
      <c r="N298" t="str">
        <f>survey_responses[[#This Row],[Thu nhập bình quân tháng theo Hợp đồng lao động của bạn là bao nhiêu? (Vui lòng điền tổng thu nhập trước khi khấu trừ các loại Bảo hiểm (BHXH, BHYT, BHTN) và Thuế TNCN)]]</f>
        <v>Từ 48 - 70 triệu VNĐ</v>
      </c>
      <c r="O298">
        <f>step3_validation[[#This Row],[Dependents]]</f>
        <v>2</v>
      </c>
      <c r="P298" t="str">
        <f>survey_responses[[#This Row],[Số người phụ thuộc (con nhỏ, cha mẹ già...) đủ điều kiện giảm trừ gia cảnh:]]</f>
        <v>2 người</v>
      </c>
      <c r="Q298">
        <f>step3_validation[[#This Row],[AI_ENF1]]</f>
        <v>6</v>
      </c>
      <c r="R298" t="str">
        <f t="shared" si="108"/>
        <v>Neutral</v>
      </c>
      <c r="S298">
        <f>survey_responses[[#This Row],[Tôi tin rằng với các quy định quản lý thuế hiện nay, hành vi gian lận hoặc trốn thuế sẽ dễ dàng bị phát hiện và xử lý nghiêm. - HUMAN-ENF1]]</f>
        <v>5</v>
      </c>
      <c r="T298" t="str">
        <f t="shared" si="109"/>
        <v>Neutral</v>
      </c>
      <c r="U298" s="31">
        <f t="shared" si="110"/>
        <v>1</v>
      </c>
      <c r="V298">
        <f>step3_validation[[#This Row],[AI_ENF2]]</f>
        <v>7</v>
      </c>
      <c r="W298" t="str">
        <f t="shared" si="111"/>
        <v>Neutral</v>
      </c>
      <c r="X298">
        <f>survey_responses[[#This Row],[Tôi tin rằng Nhà nước, cơ quan thuế có đủ khả năng và công nghệ để phát hiện, xử lý nghiêm các hành vi trốn thuế. - HUMAN-ENF2]]</f>
        <v>10</v>
      </c>
      <c r="Y298" t="str">
        <f t="shared" si="112"/>
        <v>Support</v>
      </c>
      <c r="Z298" s="31">
        <f t="shared" si="113"/>
        <v>3</v>
      </c>
      <c r="AA298">
        <f>step3_validation[[#This Row],[AI_FAC1]]</f>
        <v>8</v>
      </c>
      <c r="AB298" t="str">
        <f t="shared" si="114"/>
        <v>Support</v>
      </c>
      <c r="AC298">
        <f>survey_responses[[#This Row],[Các thủ tục khai báo thuế VÀ/HOẶC quy trình làm việc với cơ quan thuế đơn giản, tiện lợi, nhanh chóng hơn so với trước đây. - HUMAN-FAC1]]</f>
        <v>5</v>
      </c>
      <c r="AD298" t="str">
        <f t="shared" si="115"/>
        <v>Neutral</v>
      </c>
      <c r="AE298" s="31">
        <f t="shared" si="116"/>
        <v>3</v>
      </c>
      <c r="AF298">
        <f>step3_validation[[#This Row],[AI_FAC2]]</f>
        <v>9</v>
      </c>
      <c r="AG298" t="str">
        <f t="shared" si="117"/>
        <v>Support</v>
      </c>
      <c r="AH298">
        <f>survey_responses[[#This Row],[So với trước đây, tôi thấy cách tính thuế và các bậc thuế trong phương án mới đơn giản, dễ hiểu và dễ thực hiện hơn. - HUMAN-FAC2]]</f>
        <v>5</v>
      </c>
      <c r="AI298" t="str">
        <f t="shared" si="118"/>
        <v>Neutral</v>
      </c>
      <c r="AJ298" s="31">
        <f t="shared" si="119"/>
        <v>4</v>
      </c>
      <c r="AK298">
        <f>step3_validation[[#This Row],[AI_TRU1]]</f>
        <v>8</v>
      </c>
      <c r="AL298" t="str">
        <f t="shared" si="120"/>
        <v>Support</v>
      </c>
      <c r="AM298">
        <f>survey_responses[[#This Row],[Tôi tin rằng Nhà nước, cơ quan thuế sẽ thực thi chính sách mới một cách khách quan, công tâm và đối xử bình đẳng với mọi người nộp thuế.  - HUMAN-TRU1]]</f>
        <v>2</v>
      </c>
      <c r="AN298" t="str">
        <f t="shared" si="121"/>
        <v>Oppose</v>
      </c>
      <c r="AO298" s="31">
        <f t="shared" si="122"/>
        <v>6</v>
      </c>
      <c r="AP298">
        <f>step3_validation[[#This Row],[AI_TRU2]]</f>
        <v>9</v>
      </c>
      <c r="AQ298" t="str">
        <f t="shared" si="123"/>
        <v>Support</v>
      </c>
      <c r="AR298">
        <f>survey_responses[[#This Row],[Tôi thấy mức thuế tôi phải đóng theo phương án mới là công bằng (người thu nhập như tôi đóng mức này là hợp lý). - HUMAN-TRU2]]</f>
        <v>3</v>
      </c>
      <c r="AS298" t="str">
        <f t="shared" si="124"/>
        <v>Oppose</v>
      </c>
      <c r="AT298" s="31">
        <f t="shared" si="125"/>
        <v>6</v>
      </c>
      <c r="AU298">
        <f>step3_validation[[#This Row],[AI_TRU3]]</f>
        <v>8</v>
      </c>
      <c r="AV298" t="str">
        <f t="shared" si="126"/>
        <v>Support</v>
      </c>
      <c r="AW298">
        <f>survey_responses[[#This Row],[Tôi tin tưởng số tiền thuế tôi đóng sẽ được Nhà nước sử dụng hiệu quả để cải thiện dịch vụ công (y tế, đường xá...). - HUMAN-TRU3]]</f>
        <v>2</v>
      </c>
      <c r="AX298" t="str">
        <f t="shared" si="127"/>
        <v>Oppose</v>
      </c>
      <c r="AY298" s="31">
        <f t="shared" si="128"/>
        <v>6</v>
      </c>
      <c r="AZ298">
        <f>step3_validation[[#This Row],[AI_TRU4]]</f>
        <v>9</v>
      </c>
      <c r="BA298" t="str">
        <f t="shared" si="129"/>
        <v>Support</v>
      </c>
      <c r="BB298">
        <f>survey_responses[[#This Row],[Tôi thấy Nhà nước đã giải thích rõ ràng, minh bạch về lý do và mục tiêu của việc sửa đổi thuế lần này. - HUMAN-TRU4]]</f>
        <v>5</v>
      </c>
      <c r="BC298" t="str">
        <f t="shared" si="130"/>
        <v>Neutral</v>
      </c>
      <c r="BD298" s="31">
        <f t="shared" si="131"/>
        <v>4</v>
      </c>
      <c r="BE298">
        <f>step3_validation[[#This Row],[AI_OUT1]]</f>
        <v>9</v>
      </c>
      <c r="BF298" t="str">
        <f t="shared" si="132"/>
        <v>Support</v>
      </c>
      <c r="BG298">
        <f>survey_responses[[#This Row],[Sau khi xem xét các quyền lợi và nghĩa vụ, bạn có ủng hộ và tuân thủ chính sách mới hiện nay? - HUMAN-OUT1]]</f>
        <v>5</v>
      </c>
      <c r="BH298" t="str">
        <f t="shared" si="133"/>
        <v>Neutral</v>
      </c>
      <c r="BI298" s="31">
        <f t="shared" si="134"/>
        <v>4</v>
      </c>
    </row>
    <row r="299" spans="1:61" x14ac:dyDescent="0.45">
      <c r="A299" s="29">
        <f>step3_validation[[#This Row],[Persona_ID]]</f>
        <v>298</v>
      </c>
      <c r="B299" s="30">
        <f>step3_validation[[#This Row],[Used_Seed]]</f>
        <v>339</v>
      </c>
      <c r="C299" t="str">
        <f>step3_validation[[#This Row],[Gender]]</f>
        <v>Nam</v>
      </c>
      <c r="D299" t="str">
        <f>survey_responses[[#This Row],[Giới tính của bạn:]]</f>
        <v>Nam</v>
      </c>
      <c r="E299" t="str">
        <f>step3_validation[[#This Row],[Age_Group]]</f>
        <v>30 - 39</v>
      </c>
      <c r="F299" t="str">
        <f>survey_responses[[#This Row],[Độ tuổi của bạn:]]</f>
        <v>30 - 39</v>
      </c>
      <c r="G299" t="str">
        <f>step3_validation[[#This Row],[Region]]</f>
        <v>Thành thị</v>
      </c>
      <c r="H299" t="str">
        <f>survey_responses[[#This Row],[Khu vực bạn đang sinh sống:]]</f>
        <v>Thành thị</v>
      </c>
      <c r="I299" t="str">
        <f>step3_validation[[#This Row],[Education]]</f>
        <v>Đại học</v>
      </c>
      <c r="J299" t="str">
        <f>survey_responses[[#This Row],[Trình độ học vấn cao nhất:]]</f>
        <v>Đại học</v>
      </c>
      <c r="K299" t="str">
        <f>step3_validation[[#This Row],[Employment]]</f>
        <v>Phi chính thức</v>
      </c>
      <c r="L299" t="str">
        <f>survey_responses[[#This Row],[Tình trạng việc làm chính:]]</f>
        <v>Khác (Về hưu, nội trợ, sinh viên)</v>
      </c>
      <c r="M299">
        <f>step3_validation[[#This Row],[Income_Mil]]</f>
        <v>12</v>
      </c>
      <c r="N299" t="str">
        <f>survey_responses[[#This Row],[Thu nhập bình quân tháng theo Hợp đồng lao động của bạn là bao nhiêu? (Vui lòng điền tổng thu nhập trước khi khấu trừ các loại Bảo hiểm (BHXH, BHYT, BHTN) và Thuế TNCN)]]</f>
        <v>Dưới 12 triệu VNĐ</v>
      </c>
      <c r="O299">
        <f>step3_validation[[#This Row],[Dependents]]</f>
        <v>0</v>
      </c>
      <c r="P299" t="str">
        <f>survey_responses[[#This Row],[Số người phụ thuộc (con nhỏ, cha mẹ già...) đủ điều kiện giảm trừ gia cảnh:]]</f>
        <v>0 người</v>
      </c>
      <c r="Q299">
        <f>step3_validation[[#This Row],[AI_ENF1]]</f>
        <v>8</v>
      </c>
      <c r="R299" t="str">
        <f t="shared" si="108"/>
        <v>Support</v>
      </c>
      <c r="S299">
        <f>survey_responses[[#This Row],[Tôi tin rằng với các quy định quản lý thuế hiện nay, hành vi gian lận hoặc trốn thuế sẽ dễ dàng bị phát hiện và xử lý nghiêm. - HUMAN-ENF1]]</f>
        <v>5</v>
      </c>
      <c r="T299" t="str">
        <f t="shared" si="109"/>
        <v>Neutral</v>
      </c>
      <c r="U299" s="31">
        <f t="shared" si="110"/>
        <v>3</v>
      </c>
      <c r="V299">
        <f>step3_validation[[#This Row],[AI_ENF2]]</f>
        <v>8</v>
      </c>
      <c r="W299" t="str">
        <f t="shared" si="111"/>
        <v>Support</v>
      </c>
      <c r="X299">
        <f>survey_responses[[#This Row],[Tôi tin rằng Nhà nước, cơ quan thuế có đủ khả năng và công nghệ để phát hiện, xử lý nghiêm các hành vi trốn thuế. - HUMAN-ENF2]]</f>
        <v>5</v>
      </c>
      <c r="Y299" t="str">
        <f t="shared" si="112"/>
        <v>Neutral</v>
      </c>
      <c r="Z299" s="31">
        <f t="shared" si="113"/>
        <v>3</v>
      </c>
      <c r="AA299">
        <f>step3_validation[[#This Row],[AI_FAC1]]</f>
        <v>9</v>
      </c>
      <c r="AB299" t="str">
        <f t="shared" si="114"/>
        <v>Support</v>
      </c>
      <c r="AC299">
        <f>survey_responses[[#This Row],[Các thủ tục khai báo thuế VÀ/HOẶC quy trình làm việc với cơ quan thuế đơn giản, tiện lợi, nhanh chóng hơn so với trước đây. - HUMAN-FAC1]]</f>
        <v>5</v>
      </c>
      <c r="AD299" t="str">
        <f t="shared" si="115"/>
        <v>Neutral</v>
      </c>
      <c r="AE299" s="31">
        <f t="shared" si="116"/>
        <v>4</v>
      </c>
      <c r="AF299">
        <f>step3_validation[[#This Row],[AI_FAC2]]</f>
        <v>10</v>
      </c>
      <c r="AG299" t="str">
        <f t="shared" si="117"/>
        <v>Support</v>
      </c>
      <c r="AH299">
        <f>survey_responses[[#This Row],[So với trước đây, tôi thấy cách tính thuế và các bậc thuế trong phương án mới đơn giản, dễ hiểu và dễ thực hiện hơn. - HUMAN-FAC2]]</f>
        <v>10</v>
      </c>
      <c r="AI299" t="str">
        <f t="shared" si="118"/>
        <v>Support</v>
      </c>
      <c r="AJ299" s="31">
        <f t="shared" si="119"/>
        <v>0</v>
      </c>
      <c r="AK299">
        <f>step3_validation[[#This Row],[AI_TRU1]]</f>
        <v>9</v>
      </c>
      <c r="AL299" t="str">
        <f t="shared" si="120"/>
        <v>Support</v>
      </c>
      <c r="AM299">
        <f>survey_responses[[#This Row],[Tôi tin rằng Nhà nước, cơ quan thuế sẽ thực thi chính sách mới một cách khách quan, công tâm và đối xử bình đẳng với mọi người nộp thuế.  - HUMAN-TRU1]]</f>
        <v>10</v>
      </c>
      <c r="AN299" t="str">
        <f t="shared" si="121"/>
        <v>Support</v>
      </c>
      <c r="AO299" s="31">
        <f t="shared" si="122"/>
        <v>1</v>
      </c>
      <c r="AP299">
        <f>step3_validation[[#This Row],[AI_TRU2]]</f>
        <v>9</v>
      </c>
      <c r="AQ299" t="str">
        <f t="shared" si="123"/>
        <v>Support</v>
      </c>
      <c r="AR299">
        <f>survey_responses[[#This Row],[Tôi thấy mức thuế tôi phải đóng theo phương án mới là công bằng (người thu nhập như tôi đóng mức này là hợp lý). - HUMAN-TRU2]]</f>
        <v>5</v>
      </c>
      <c r="AS299" t="str">
        <f t="shared" si="124"/>
        <v>Neutral</v>
      </c>
      <c r="AT299" s="31">
        <f t="shared" si="125"/>
        <v>4</v>
      </c>
      <c r="AU299">
        <f>step3_validation[[#This Row],[AI_TRU3]]</f>
        <v>9</v>
      </c>
      <c r="AV299" t="str">
        <f t="shared" si="126"/>
        <v>Support</v>
      </c>
      <c r="AW299">
        <f>survey_responses[[#This Row],[Tôi tin tưởng số tiền thuế tôi đóng sẽ được Nhà nước sử dụng hiệu quả để cải thiện dịch vụ công (y tế, đường xá...). - HUMAN-TRU3]]</f>
        <v>5</v>
      </c>
      <c r="AX299" t="str">
        <f t="shared" si="127"/>
        <v>Neutral</v>
      </c>
      <c r="AY299" s="31">
        <f t="shared" si="128"/>
        <v>4</v>
      </c>
      <c r="AZ299">
        <f>step3_validation[[#This Row],[AI_TRU4]]</f>
        <v>7</v>
      </c>
      <c r="BA299" t="str">
        <f t="shared" si="129"/>
        <v>Neutral</v>
      </c>
      <c r="BB299">
        <f>survey_responses[[#This Row],[Tôi thấy Nhà nước đã giải thích rõ ràng, minh bạch về lý do và mục tiêu của việc sửa đổi thuế lần này. - HUMAN-TRU4]]</f>
        <v>5</v>
      </c>
      <c r="BC299" t="str">
        <f t="shared" si="130"/>
        <v>Neutral</v>
      </c>
      <c r="BD299" s="31">
        <f t="shared" si="131"/>
        <v>2</v>
      </c>
      <c r="BE299">
        <f>step3_validation[[#This Row],[AI_OUT1]]</f>
        <v>9</v>
      </c>
      <c r="BF299" t="str">
        <f t="shared" si="132"/>
        <v>Support</v>
      </c>
      <c r="BG299">
        <f>survey_responses[[#This Row],[Sau khi xem xét các quyền lợi và nghĩa vụ, bạn có ủng hộ và tuân thủ chính sách mới hiện nay? - HUMAN-OUT1]]</f>
        <v>5</v>
      </c>
      <c r="BH299" t="str">
        <f t="shared" si="133"/>
        <v>Neutral</v>
      </c>
      <c r="BI299" s="31">
        <f t="shared" si="134"/>
        <v>4</v>
      </c>
    </row>
    <row r="300" spans="1:61" hidden="1" x14ac:dyDescent="0.45">
      <c r="A300" s="29">
        <f>step3_validation[[#This Row],[Persona_ID]]</f>
        <v>299</v>
      </c>
      <c r="B300" s="30">
        <f>step3_validation[[#This Row],[Used_Seed]]</f>
        <v>340</v>
      </c>
      <c r="C300" t="str">
        <f>step3_validation[[#This Row],[Gender]]</f>
        <v>Nam</v>
      </c>
      <c r="D300" t="str">
        <f>survey_responses[[#This Row],[Giới tính của bạn:]]</f>
        <v>Nam</v>
      </c>
      <c r="E300" t="str">
        <f>step3_validation[[#This Row],[Age_Group]]</f>
        <v>30 - 39</v>
      </c>
      <c r="F300" t="str">
        <f>survey_responses[[#This Row],[Độ tuổi của bạn:]]</f>
        <v>30 - 39</v>
      </c>
      <c r="G300" t="str">
        <f>step3_validation[[#This Row],[Region]]</f>
        <v>Thành thị</v>
      </c>
      <c r="H300" t="str">
        <f>survey_responses[[#This Row],[Khu vực bạn đang sinh sống:]]</f>
        <v>Thành thị</v>
      </c>
      <c r="I300" t="str">
        <f>step3_validation[[#This Row],[Education]]</f>
        <v>Sau Đại học</v>
      </c>
      <c r="J300" t="str">
        <f>survey_responses[[#This Row],[Trình độ học vấn cao nhất:]]</f>
        <v>Sau Đại học</v>
      </c>
      <c r="K300" t="str">
        <f>step3_validation[[#This Row],[Employment]]</f>
        <v>Chính thức</v>
      </c>
      <c r="L300" t="str">
        <f>survey_responses[[#This Row],[Tình trạng việc làm chính:]]</f>
        <v>Khu vực chính thức (Có Hợp đồng lao động, đóng BHXH)</v>
      </c>
      <c r="M300">
        <f>step3_validation[[#This Row],[Income_Mil]]</f>
        <v>41.348736023002267</v>
      </c>
      <c r="N300" t="str">
        <f>survey_responses[[#This Row],[Thu nhập bình quân tháng theo Hợp đồng lao động của bạn là bao nhiêu? (Vui lòng điền tổng thu nhập trước khi khấu trừ các loại Bảo hiểm (BHXH, BHYT, BHTN) và Thuế TNCN)]]</f>
        <v>Từ 32 - 48 triệu VNĐ</v>
      </c>
      <c r="O300">
        <f>step3_validation[[#This Row],[Dependents]]</f>
        <v>0</v>
      </c>
      <c r="P300" t="str">
        <f>survey_responses[[#This Row],[Số người phụ thuộc (con nhỏ, cha mẹ già...) đủ điều kiện giảm trừ gia cảnh:]]</f>
        <v>0 người</v>
      </c>
      <c r="Q300">
        <f>step3_validation[[#This Row],[AI_ENF1]]</f>
        <v>7</v>
      </c>
      <c r="R300" t="str">
        <f t="shared" si="108"/>
        <v>Neutral</v>
      </c>
      <c r="S300">
        <f>survey_responses[[#This Row],[Tôi tin rằng với các quy định quản lý thuế hiện nay, hành vi gian lận hoặc trốn thuế sẽ dễ dàng bị phát hiện và xử lý nghiêm. - HUMAN-ENF1]]</f>
        <v>10</v>
      </c>
      <c r="T300" t="str">
        <f t="shared" si="109"/>
        <v>Support</v>
      </c>
      <c r="U300" s="31">
        <f t="shared" si="110"/>
        <v>3</v>
      </c>
      <c r="V300">
        <f>step3_validation[[#This Row],[AI_ENF2]]</f>
        <v>6</v>
      </c>
      <c r="W300" t="str">
        <f t="shared" si="111"/>
        <v>Neutral</v>
      </c>
      <c r="X300">
        <f>survey_responses[[#This Row],[Tôi tin rằng Nhà nước, cơ quan thuế có đủ khả năng và công nghệ để phát hiện, xử lý nghiêm các hành vi trốn thuế. - HUMAN-ENF2]]</f>
        <v>10</v>
      </c>
      <c r="Y300" t="str">
        <f t="shared" si="112"/>
        <v>Support</v>
      </c>
      <c r="Z300" s="31">
        <f t="shared" si="113"/>
        <v>4</v>
      </c>
      <c r="AA300">
        <f>step3_validation[[#This Row],[AI_FAC1]]</f>
        <v>5</v>
      </c>
      <c r="AB300" t="str">
        <f t="shared" si="114"/>
        <v>Neutral</v>
      </c>
      <c r="AC300">
        <f>survey_responses[[#This Row],[Các thủ tục khai báo thuế VÀ/HOẶC quy trình làm việc với cơ quan thuế đơn giản, tiện lợi, nhanh chóng hơn so với trước đây. - HUMAN-FAC1]]</f>
        <v>10</v>
      </c>
      <c r="AD300" t="str">
        <f t="shared" si="115"/>
        <v>Support</v>
      </c>
      <c r="AE300" s="31">
        <f t="shared" si="116"/>
        <v>5</v>
      </c>
      <c r="AF300">
        <f>step3_validation[[#This Row],[AI_FAC2]]</f>
        <v>8</v>
      </c>
      <c r="AG300" t="str">
        <f t="shared" si="117"/>
        <v>Support</v>
      </c>
      <c r="AH300">
        <f>survey_responses[[#This Row],[So với trước đây, tôi thấy cách tính thuế và các bậc thuế trong phương án mới đơn giản, dễ hiểu và dễ thực hiện hơn. - HUMAN-FAC2]]</f>
        <v>10</v>
      </c>
      <c r="AI300" t="str">
        <f t="shared" si="118"/>
        <v>Support</v>
      </c>
      <c r="AJ300" s="31">
        <f t="shared" si="119"/>
        <v>2</v>
      </c>
      <c r="AK300">
        <f>step3_validation[[#This Row],[AI_TRU1]]</f>
        <v>6</v>
      </c>
      <c r="AL300" t="str">
        <f t="shared" si="120"/>
        <v>Neutral</v>
      </c>
      <c r="AM300">
        <f>survey_responses[[#This Row],[Tôi tin rằng Nhà nước, cơ quan thuế sẽ thực thi chính sách mới một cách khách quan, công tâm và đối xử bình đẳng với mọi người nộp thuế.  - HUMAN-TRU1]]</f>
        <v>10</v>
      </c>
      <c r="AN300" t="str">
        <f t="shared" si="121"/>
        <v>Support</v>
      </c>
      <c r="AO300" s="31">
        <f t="shared" si="122"/>
        <v>4</v>
      </c>
      <c r="AP300">
        <f>step3_validation[[#This Row],[AI_TRU2]]</f>
        <v>9</v>
      </c>
      <c r="AQ300" t="str">
        <f t="shared" si="123"/>
        <v>Support</v>
      </c>
      <c r="AR300">
        <f>survey_responses[[#This Row],[Tôi thấy mức thuế tôi phải đóng theo phương án mới là công bằng (người thu nhập như tôi đóng mức này là hợp lý). - HUMAN-TRU2]]</f>
        <v>10</v>
      </c>
      <c r="AS300" t="str">
        <f t="shared" si="124"/>
        <v>Support</v>
      </c>
      <c r="AT300" s="31">
        <f t="shared" si="125"/>
        <v>1</v>
      </c>
      <c r="AU300">
        <f>step3_validation[[#This Row],[AI_TRU3]]</f>
        <v>8</v>
      </c>
      <c r="AV300" t="str">
        <f t="shared" si="126"/>
        <v>Support</v>
      </c>
      <c r="AW300">
        <f>survey_responses[[#This Row],[Tôi tin tưởng số tiền thuế tôi đóng sẽ được Nhà nước sử dụng hiệu quả để cải thiện dịch vụ công (y tế, đường xá...). - HUMAN-TRU3]]</f>
        <v>10</v>
      </c>
      <c r="AX300" t="str">
        <f t="shared" si="127"/>
        <v>Support</v>
      </c>
      <c r="AY300" s="31">
        <f t="shared" si="128"/>
        <v>2</v>
      </c>
      <c r="AZ300">
        <f>step3_validation[[#This Row],[AI_TRU4]]</f>
        <v>7</v>
      </c>
      <c r="BA300" t="str">
        <f t="shared" si="129"/>
        <v>Neutral</v>
      </c>
      <c r="BB300">
        <f>survey_responses[[#This Row],[Tôi thấy Nhà nước đã giải thích rõ ràng, minh bạch về lý do và mục tiêu của việc sửa đổi thuế lần này. - HUMAN-TRU4]]</f>
        <v>10</v>
      </c>
      <c r="BC300" t="str">
        <f t="shared" si="130"/>
        <v>Support</v>
      </c>
      <c r="BD300" s="31">
        <f t="shared" si="131"/>
        <v>3</v>
      </c>
      <c r="BE300">
        <f>step3_validation[[#This Row],[AI_OUT1]]</f>
        <v>9</v>
      </c>
      <c r="BF300" t="str">
        <f t="shared" si="132"/>
        <v>Support</v>
      </c>
      <c r="BG300">
        <f>survey_responses[[#This Row],[Sau khi xem xét các quyền lợi và nghĩa vụ, bạn có ủng hộ và tuân thủ chính sách mới hiện nay? - HUMAN-OUT1]]</f>
        <v>10</v>
      </c>
      <c r="BH300" t="str">
        <f t="shared" si="133"/>
        <v>Support</v>
      </c>
      <c r="BI300" s="31">
        <f t="shared" si="134"/>
        <v>1</v>
      </c>
    </row>
    <row r="301" spans="1:61" hidden="1" x14ac:dyDescent="0.45">
      <c r="A301" s="29">
        <f>step3_validation[[#This Row],[Persona_ID]]</f>
        <v>300</v>
      </c>
      <c r="B301" s="30">
        <f>step3_validation[[#This Row],[Used_Seed]]</f>
        <v>341</v>
      </c>
      <c r="C301" t="str">
        <f>step3_validation[[#This Row],[Gender]]</f>
        <v>Nam</v>
      </c>
      <c r="D301" t="str">
        <f>survey_responses[[#This Row],[Giới tính của bạn:]]</f>
        <v>Nam</v>
      </c>
      <c r="E301" t="str">
        <f>step3_validation[[#This Row],[Age_Group]]</f>
        <v>30 - 39</v>
      </c>
      <c r="F301" t="str">
        <f>survey_responses[[#This Row],[Độ tuổi của bạn:]]</f>
        <v>30 - 39</v>
      </c>
      <c r="G301" t="str">
        <f>step3_validation[[#This Row],[Region]]</f>
        <v>Thành thị</v>
      </c>
      <c r="H301" t="str">
        <f>survey_responses[[#This Row],[Khu vực bạn đang sinh sống:]]</f>
        <v>Thành thị</v>
      </c>
      <c r="I301" t="str">
        <f>step3_validation[[#This Row],[Education]]</f>
        <v>Đại học</v>
      </c>
      <c r="J301" t="str">
        <f>survey_responses[[#This Row],[Trình độ học vấn cao nhất:]]</f>
        <v>Đại học</v>
      </c>
      <c r="K301" t="str">
        <f>step3_validation[[#This Row],[Employment]]</f>
        <v>Chính thức</v>
      </c>
      <c r="L301" t="str">
        <f>survey_responses[[#This Row],[Tình trạng việc làm chính:]]</f>
        <v>Khu vực chính thức (Có Hợp đồng lao động, đóng BHXH)</v>
      </c>
      <c r="M301">
        <f>step3_validation[[#This Row],[Income_Mil]]</f>
        <v>28.928083498235601</v>
      </c>
      <c r="N301" t="str">
        <f>survey_responses[[#This Row],[Thu nhập bình quân tháng theo Hợp đồng lao động của bạn là bao nhiêu? (Vui lòng điền tổng thu nhập trước khi khấu trừ các loại Bảo hiểm (BHXH, BHYT, BHTN) và Thuế TNCN)]]</f>
        <v>Từ 23 - 32 triệu VNĐ</v>
      </c>
      <c r="O301">
        <f>step3_validation[[#This Row],[Dependents]]</f>
        <v>1</v>
      </c>
      <c r="P301" t="str">
        <f>survey_responses[[#This Row],[Số người phụ thuộc (con nhỏ, cha mẹ già...) đủ điều kiện giảm trừ gia cảnh:]]</f>
        <v>1 người</v>
      </c>
      <c r="Q301">
        <f>step3_validation[[#This Row],[AI_ENF1]]</f>
        <v>6</v>
      </c>
      <c r="R301" t="str">
        <f t="shared" si="108"/>
        <v>Neutral</v>
      </c>
      <c r="S301">
        <f>survey_responses[[#This Row],[Tôi tin rằng với các quy định quản lý thuế hiện nay, hành vi gian lận hoặc trốn thuế sẽ dễ dàng bị phát hiện và xử lý nghiêm. - HUMAN-ENF1]]</f>
        <v>9</v>
      </c>
      <c r="T301" t="str">
        <f t="shared" si="109"/>
        <v>Support</v>
      </c>
      <c r="U301" s="31">
        <f t="shared" si="110"/>
        <v>3</v>
      </c>
      <c r="V301">
        <f>step3_validation[[#This Row],[AI_ENF2]]</f>
        <v>8</v>
      </c>
      <c r="W301" t="str">
        <f t="shared" si="111"/>
        <v>Support</v>
      </c>
      <c r="X301">
        <f>survey_responses[[#This Row],[Tôi tin rằng Nhà nước, cơ quan thuế có đủ khả năng và công nghệ để phát hiện, xử lý nghiêm các hành vi trốn thuế. - HUMAN-ENF2]]</f>
        <v>9</v>
      </c>
      <c r="Y301" t="str">
        <f t="shared" si="112"/>
        <v>Support</v>
      </c>
      <c r="Z301" s="31">
        <f t="shared" si="113"/>
        <v>1</v>
      </c>
      <c r="AA301">
        <f>step3_validation[[#This Row],[AI_FAC1]]</f>
        <v>9</v>
      </c>
      <c r="AB301" t="str">
        <f t="shared" si="114"/>
        <v>Support</v>
      </c>
      <c r="AC301">
        <f>survey_responses[[#This Row],[Các thủ tục khai báo thuế VÀ/HOẶC quy trình làm việc với cơ quan thuế đơn giản, tiện lợi, nhanh chóng hơn so với trước đây. - HUMAN-FAC1]]</f>
        <v>8</v>
      </c>
      <c r="AD301" t="str">
        <f t="shared" si="115"/>
        <v>Support</v>
      </c>
      <c r="AE301" s="31">
        <f t="shared" si="116"/>
        <v>1</v>
      </c>
      <c r="AF301">
        <f>step3_validation[[#This Row],[AI_FAC2]]</f>
        <v>9</v>
      </c>
      <c r="AG301" t="str">
        <f t="shared" si="117"/>
        <v>Support</v>
      </c>
      <c r="AH301">
        <f>survey_responses[[#This Row],[So với trước đây, tôi thấy cách tính thuế và các bậc thuế trong phương án mới đơn giản, dễ hiểu và dễ thực hiện hơn. - HUMAN-FAC2]]</f>
        <v>10</v>
      </c>
      <c r="AI301" t="str">
        <f t="shared" si="118"/>
        <v>Support</v>
      </c>
      <c r="AJ301" s="31">
        <f t="shared" si="119"/>
        <v>1</v>
      </c>
      <c r="AK301">
        <f>step3_validation[[#This Row],[AI_TRU1]]</f>
        <v>8</v>
      </c>
      <c r="AL301" t="str">
        <f t="shared" si="120"/>
        <v>Support</v>
      </c>
      <c r="AM301">
        <f>survey_responses[[#This Row],[Tôi tin rằng Nhà nước, cơ quan thuế sẽ thực thi chính sách mới một cách khách quan, công tâm và đối xử bình đẳng với mọi người nộp thuế.  - HUMAN-TRU1]]</f>
        <v>8</v>
      </c>
      <c r="AN301" t="str">
        <f t="shared" si="121"/>
        <v>Support</v>
      </c>
      <c r="AO301" s="31">
        <f t="shared" si="122"/>
        <v>0</v>
      </c>
      <c r="AP301">
        <f>step3_validation[[#This Row],[AI_TRU2]]</f>
        <v>9</v>
      </c>
      <c r="AQ301" t="str">
        <f t="shared" si="123"/>
        <v>Support</v>
      </c>
      <c r="AR301">
        <f>survey_responses[[#This Row],[Tôi thấy mức thuế tôi phải đóng theo phương án mới là công bằng (người thu nhập như tôi đóng mức này là hợp lý). - HUMAN-TRU2]]</f>
        <v>8</v>
      </c>
      <c r="AS301" t="str">
        <f t="shared" si="124"/>
        <v>Support</v>
      </c>
      <c r="AT301" s="31">
        <f t="shared" si="125"/>
        <v>1</v>
      </c>
      <c r="AU301">
        <f>step3_validation[[#This Row],[AI_TRU3]]</f>
        <v>8</v>
      </c>
      <c r="AV301" t="str">
        <f t="shared" si="126"/>
        <v>Support</v>
      </c>
      <c r="AW301">
        <f>survey_responses[[#This Row],[Tôi tin tưởng số tiền thuế tôi đóng sẽ được Nhà nước sử dụng hiệu quả để cải thiện dịch vụ công (y tế, đường xá...). - HUMAN-TRU3]]</f>
        <v>10</v>
      </c>
      <c r="AX301" t="str">
        <f t="shared" si="127"/>
        <v>Support</v>
      </c>
      <c r="AY301" s="31">
        <f t="shared" si="128"/>
        <v>2</v>
      </c>
      <c r="AZ301">
        <f>step3_validation[[#This Row],[AI_TRU4]]</f>
        <v>8</v>
      </c>
      <c r="BA301" t="str">
        <f t="shared" si="129"/>
        <v>Support</v>
      </c>
      <c r="BB301">
        <f>survey_responses[[#This Row],[Tôi thấy Nhà nước đã giải thích rõ ràng, minh bạch về lý do và mục tiêu của việc sửa đổi thuế lần này. - HUMAN-TRU4]]</f>
        <v>9</v>
      </c>
      <c r="BC301" t="str">
        <f t="shared" si="130"/>
        <v>Support</v>
      </c>
      <c r="BD301" s="31">
        <f t="shared" si="131"/>
        <v>1</v>
      </c>
      <c r="BE301">
        <f>step3_validation[[#This Row],[AI_OUT1]]</f>
        <v>9</v>
      </c>
      <c r="BF301" t="str">
        <f t="shared" si="132"/>
        <v>Support</v>
      </c>
      <c r="BG301">
        <f>survey_responses[[#This Row],[Sau khi xem xét các quyền lợi và nghĩa vụ, bạn có ủng hộ và tuân thủ chính sách mới hiện nay? - HUMAN-OUT1]]</f>
        <v>9</v>
      </c>
      <c r="BH301" t="str">
        <f t="shared" si="133"/>
        <v>Support</v>
      </c>
      <c r="BI301" s="31">
        <f t="shared" si="134"/>
        <v>0</v>
      </c>
    </row>
    <row r="302" spans="1:61" x14ac:dyDescent="0.45">
      <c r="A302" s="29">
        <f>step3_validation[[#This Row],[Persona_ID]]</f>
        <v>301</v>
      </c>
      <c r="B302" s="30">
        <f>step3_validation[[#This Row],[Used_Seed]]</f>
        <v>342</v>
      </c>
      <c r="C302" t="str">
        <f>step3_validation[[#This Row],[Gender]]</f>
        <v>Nam</v>
      </c>
      <c r="D302" t="str">
        <f>survey_responses[[#This Row],[Giới tính của bạn:]]</f>
        <v>Nam</v>
      </c>
      <c r="E302" t="str">
        <f>step3_validation[[#This Row],[Age_Group]]</f>
        <v>25 - 29</v>
      </c>
      <c r="F302" t="str">
        <f>survey_responses[[#This Row],[Độ tuổi của bạn:]]</f>
        <v>25 - 29</v>
      </c>
      <c r="G302" t="str">
        <f>step3_validation[[#This Row],[Region]]</f>
        <v>Thành thị</v>
      </c>
      <c r="H302" t="str">
        <f>survey_responses[[#This Row],[Khu vực bạn đang sinh sống:]]</f>
        <v>Thành thị</v>
      </c>
      <c r="I302" t="str">
        <f>step3_validation[[#This Row],[Education]]</f>
        <v>Đại học</v>
      </c>
      <c r="J302" t="str">
        <f>survey_responses[[#This Row],[Trình độ học vấn cao nhất:]]</f>
        <v>Đại học</v>
      </c>
      <c r="K302" t="str">
        <f>step3_validation[[#This Row],[Employment]]</f>
        <v>Chính thức</v>
      </c>
      <c r="L302" t="str">
        <f>survey_responses[[#This Row],[Tình trạng việc làm chính:]]</f>
        <v>Khu vực chính thức (Có Hợp đồng lao động, đóng BHXH)</v>
      </c>
      <c r="M302">
        <f>step3_validation[[#This Row],[Income_Mil]]</f>
        <v>12</v>
      </c>
      <c r="N302" t="str">
        <f>survey_responses[[#This Row],[Thu nhập bình quân tháng theo Hợp đồng lao động của bạn là bao nhiêu? (Vui lòng điền tổng thu nhập trước khi khấu trừ các loại Bảo hiểm (BHXH, BHYT, BHTN) và Thuế TNCN)]]</f>
        <v>Dưới 12 triệu VNĐ</v>
      </c>
      <c r="O302">
        <f>step3_validation[[#This Row],[Dependents]]</f>
        <v>0</v>
      </c>
      <c r="P302" t="str">
        <f>survey_responses[[#This Row],[Số người phụ thuộc (con nhỏ, cha mẹ già...) đủ điều kiện giảm trừ gia cảnh:]]</f>
        <v>0 người</v>
      </c>
      <c r="Q302">
        <f>step3_validation[[#This Row],[AI_ENF1]]</f>
        <v>6</v>
      </c>
      <c r="R302" t="str">
        <f t="shared" si="108"/>
        <v>Neutral</v>
      </c>
      <c r="S302">
        <f>survey_responses[[#This Row],[Tôi tin rằng với các quy định quản lý thuế hiện nay, hành vi gian lận hoặc trốn thuế sẽ dễ dàng bị phát hiện và xử lý nghiêm. - HUMAN-ENF1]]</f>
        <v>8</v>
      </c>
      <c r="T302" t="str">
        <f t="shared" si="109"/>
        <v>Support</v>
      </c>
      <c r="U302" s="31">
        <f t="shared" si="110"/>
        <v>2</v>
      </c>
      <c r="V302">
        <f>step3_validation[[#This Row],[AI_ENF2]]</f>
        <v>6</v>
      </c>
      <c r="W302" t="str">
        <f t="shared" si="111"/>
        <v>Neutral</v>
      </c>
      <c r="X302">
        <f>survey_responses[[#This Row],[Tôi tin rằng Nhà nước, cơ quan thuế có đủ khả năng và công nghệ để phát hiện, xử lý nghiêm các hành vi trốn thuế. - HUMAN-ENF2]]</f>
        <v>7</v>
      </c>
      <c r="Y302" t="str">
        <f t="shared" si="112"/>
        <v>Neutral</v>
      </c>
      <c r="Z302" s="31">
        <f t="shared" si="113"/>
        <v>1</v>
      </c>
      <c r="AA302">
        <f>step3_validation[[#This Row],[AI_FAC1]]</f>
        <v>9</v>
      </c>
      <c r="AB302" t="str">
        <f t="shared" si="114"/>
        <v>Support</v>
      </c>
      <c r="AC302">
        <f>survey_responses[[#This Row],[Các thủ tục khai báo thuế VÀ/HOẶC quy trình làm việc với cơ quan thuế đơn giản, tiện lợi, nhanh chóng hơn so với trước đây. - HUMAN-FAC1]]</f>
        <v>9</v>
      </c>
      <c r="AD302" t="str">
        <f t="shared" si="115"/>
        <v>Support</v>
      </c>
      <c r="AE302" s="31">
        <f t="shared" si="116"/>
        <v>0</v>
      </c>
      <c r="AF302">
        <f>step3_validation[[#This Row],[AI_FAC2]]</f>
        <v>9</v>
      </c>
      <c r="AG302" t="str">
        <f t="shared" si="117"/>
        <v>Support</v>
      </c>
      <c r="AH302">
        <f>survey_responses[[#This Row],[So với trước đây, tôi thấy cách tính thuế và các bậc thuế trong phương án mới đơn giản, dễ hiểu và dễ thực hiện hơn. - HUMAN-FAC2]]</f>
        <v>5</v>
      </c>
      <c r="AI302" t="str">
        <f t="shared" si="118"/>
        <v>Neutral</v>
      </c>
      <c r="AJ302" s="31">
        <f t="shared" si="119"/>
        <v>4</v>
      </c>
      <c r="AK302">
        <f>step3_validation[[#This Row],[AI_TRU1]]</f>
        <v>7</v>
      </c>
      <c r="AL302" t="str">
        <f t="shared" si="120"/>
        <v>Neutral</v>
      </c>
      <c r="AM302">
        <f>survey_responses[[#This Row],[Tôi tin rằng Nhà nước, cơ quan thuế sẽ thực thi chính sách mới một cách khách quan, công tâm và đối xử bình đẳng với mọi người nộp thuế.  - HUMAN-TRU1]]</f>
        <v>7</v>
      </c>
      <c r="AN302" t="str">
        <f t="shared" si="121"/>
        <v>Neutral</v>
      </c>
      <c r="AO302" s="31">
        <f t="shared" si="122"/>
        <v>0</v>
      </c>
      <c r="AP302">
        <f>step3_validation[[#This Row],[AI_TRU2]]</f>
        <v>8</v>
      </c>
      <c r="AQ302" t="str">
        <f t="shared" si="123"/>
        <v>Support</v>
      </c>
      <c r="AR302">
        <f>survey_responses[[#This Row],[Tôi thấy mức thuế tôi phải đóng theo phương án mới là công bằng (người thu nhập như tôi đóng mức này là hợp lý). - HUMAN-TRU2]]</f>
        <v>7</v>
      </c>
      <c r="AS302" t="str">
        <f t="shared" si="124"/>
        <v>Neutral</v>
      </c>
      <c r="AT302" s="31">
        <f t="shared" si="125"/>
        <v>1</v>
      </c>
      <c r="AU302">
        <f>step3_validation[[#This Row],[AI_TRU3]]</f>
        <v>7</v>
      </c>
      <c r="AV302" t="str">
        <f t="shared" si="126"/>
        <v>Neutral</v>
      </c>
      <c r="AW302">
        <f>survey_responses[[#This Row],[Tôi tin tưởng số tiền thuế tôi đóng sẽ được Nhà nước sử dụng hiệu quả để cải thiện dịch vụ công (y tế, đường xá...). - HUMAN-TRU3]]</f>
        <v>7</v>
      </c>
      <c r="AX302" t="str">
        <f t="shared" si="127"/>
        <v>Neutral</v>
      </c>
      <c r="AY302" s="31">
        <f t="shared" si="128"/>
        <v>0</v>
      </c>
      <c r="AZ302">
        <f>step3_validation[[#This Row],[AI_TRU4]]</f>
        <v>6</v>
      </c>
      <c r="BA302" t="str">
        <f t="shared" si="129"/>
        <v>Neutral</v>
      </c>
      <c r="BB302">
        <f>survey_responses[[#This Row],[Tôi thấy Nhà nước đã giải thích rõ ràng, minh bạch về lý do và mục tiêu của việc sửa đổi thuế lần này. - HUMAN-TRU4]]</f>
        <v>6</v>
      </c>
      <c r="BC302" t="str">
        <f t="shared" si="130"/>
        <v>Neutral</v>
      </c>
      <c r="BD302" s="31">
        <f t="shared" si="131"/>
        <v>0</v>
      </c>
      <c r="BE302">
        <f>step3_validation[[#This Row],[AI_OUT1]]</f>
        <v>8</v>
      </c>
      <c r="BF302" t="str">
        <f t="shared" si="132"/>
        <v>Support</v>
      </c>
      <c r="BG302">
        <f>survey_responses[[#This Row],[Sau khi xem xét các quyền lợi và nghĩa vụ, bạn có ủng hộ và tuân thủ chính sách mới hiện nay? - HUMAN-OUT1]]</f>
        <v>7</v>
      </c>
      <c r="BH302" t="str">
        <f t="shared" si="133"/>
        <v>Neutral</v>
      </c>
      <c r="BI302" s="31">
        <f t="shared" si="134"/>
        <v>1</v>
      </c>
    </row>
    <row r="303" spans="1:61" hidden="1" x14ac:dyDescent="0.45">
      <c r="A303" s="29">
        <f>step3_validation[[#This Row],[Persona_ID]]</f>
        <v>302</v>
      </c>
      <c r="B303" s="30">
        <f>step3_validation[[#This Row],[Used_Seed]]</f>
        <v>343</v>
      </c>
      <c r="C303" t="str">
        <f>step3_validation[[#This Row],[Gender]]</f>
        <v>Nữ</v>
      </c>
      <c r="D303" t="str">
        <f>survey_responses[[#This Row],[Giới tính của bạn:]]</f>
        <v>Nữ</v>
      </c>
      <c r="E303" t="str">
        <f>step3_validation[[#This Row],[Age_Group]]</f>
        <v>30 - 39</v>
      </c>
      <c r="F303" t="str">
        <f>survey_responses[[#This Row],[Độ tuổi của bạn:]]</f>
        <v>30 - 39</v>
      </c>
      <c r="G303" t="str">
        <f>step3_validation[[#This Row],[Region]]</f>
        <v>Thành thị</v>
      </c>
      <c r="H303" t="str">
        <f>survey_responses[[#This Row],[Khu vực bạn đang sinh sống:]]</f>
        <v>Thành thị</v>
      </c>
      <c r="I303" t="str">
        <f>step3_validation[[#This Row],[Education]]</f>
        <v>Đại học</v>
      </c>
      <c r="J303" t="str">
        <f>survey_responses[[#This Row],[Trình độ học vấn cao nhất:]]</f>
        <v>Đại học</v>
      </c>
      <c r="K303" t="str">
        <f>step3_validation[[#This Row],[Employment]]</f>
        <v>Chính thức</v>
      </c>
      <c r="L303" t="str">
        <f>survey_responses[[#This Row],[Tình trạng việc làm chính:]]</f>
        <v>Khu vực chính thức (Có Hợp đồng lao động, đóng BHXH)</v>
      </c>
      <c r="M303">
        <f>step3_validation[[#This Row],[Income_Mil]]</f>
        <v>28.832250589026202</v>
      </c>
      <c r="N303" t="str">
        <f>survey_responses[[#This Row],[Thu nhập bình quân tháng theo Hợp đồng lao động của bạn là bao nhiêu? (Vui lòng điền tổng thu nhập trước khi khấu trừ các loại Bảo hiểm (BHXH, BHYT, BHTN) và Thuế TNCN)]]</f>
        <v>Từ 23 - 32 triệu VNĐ</v>
      </c>
      <c r="O303">
        <f>step3_validation[[#This Row],[Dependents]]</f>
        <v>0</v>
      </c>
      <c r="P303" t="str">
        <f>survey_responses[[#This Row],[Số người phụ thuộc (con nhỏ, cha mẹ già...) đủ điều kiện giảm trừ gia cảnh:]]</f>
        <v>0 người</v>
      </c>
      <c r="Q303">
        <f>step3_validation[[#This Row],[AI_ENF1]]</f>
        <v>9</v>
      </c>
      <c r="R303" t="str">
        <f t="shared" si="108"/>
        <v>Support</v>
      </c>
      <c r="S303">
        <f>survey_responses[[#This Row],[Tôi tin rằng với các quy định quản lý thuế hiện nay, hành vi gian lận hoặc trốn thuế sẽ dễ dàng bị phát hiện và xử lý nghiêm. - HUMAN-ENF1]]</f>
        <v>7</v>
      </c>
      <c r="T303" t="str">
        <f t="shared" si="109"/>
        <v>Neutral</v>
      </c>
      <c r="U303" s="31">
        <f t="shared" si="110"/>
        <v>2</v>
      </c>
      <c r="V303">
        <f>step3_validation[[#This Row],[AI_ENF2]]</f>
        <v>8</v>
      </c>
      <c r="W303" t="str">
        <f t="shared" si="111"/>
        <v>Support</v>
      </c>
      <c r="X303">
        <f>survey_responses[[#This Row],[Tôi tin rằng Nhà nước, cơ quan thuế có đủ khả năng và công nghệ để phát hiện, xử lý nghiêm các hành vi trốn thuế. - HUMAN-ENF2]]</f>
        <v>7</v>
      </c>
      <c r="Y303" t="str">
        <f t="shared" si="112"/>
        <v>Neutral</v>
      </c>
      <c r="Z303" s="31">
        <f t="shared" si="113"/>
        <v>1</v>
      </c>
      <c r="AA303">
        <f>step3_validation[[#This Row],[AI_FAC1]]</f>
        <v>9</v>
      </c>
      <c r="AB303" t="str">
        <f t="shared" si="114"/>
        <v>Support</v>
      </c>
      <c r="AC303">
        <f>survey_responses[[#This Row],[Các thủ tục khai báo thuế VÀ/HOẶC quy trình làm việc với cơ quan thuế đơn giản, tiện lợi, nhanh chóng hơn so với trước đây. - HUMAN-FAC1]]</f>
        <v>4</v>
      </c>
      <c r="AD303" t="str">
        <f t="shared" si="115"/>
        <v>Oppose</v>
      </c>
      <c r="AE303" s="31">
        <f t="shared" si="116"/>
        <v>5</v>
      </c>
      <c r="AF303">
        <f>step3_validation[[#This Row],[AI_FAC2]]</f>
        <v>8</v>
      </c>
      <c r="AG303" t="str">
        <f t="shared" si="117"/>
        <v>Support</v>
      </c>
      <c r="AH303">
        <f>survey_responses[[#This Row],[So với trước đây, tôi thấy cách tính thuế và các bậc thuế trong phương án mới đơn giản, dễ hiểu và dễ thực hiện hơn. - HUMAN-FAC2]]</f>
        <v>8</v>
      </c>
      <c r="AI303" t="str">
        <f t="shared" si="118"/>
        <v>Support</v>
      </c>
      <c r="AJ303" s="31">
        <f t="shared" si="119"/>
        <v>0</v>
      </c>
      <c r="AK303">
        <f>step3_validation[[#This Row],[AI_TRU1]]</f>
        <v>9</v>
      </c>
      <c r="AL303" t="str">
        <f t="shared" si="120"/>
        <v>Support</v>
      </c>
      <c r="AM303">
        <f>survey_responses[[#This Row],[Tôi tin rằng Nhà nước, cơ quan thuế sẽ thực thi chính sách mới một cách khách quan, công tâm và đối xử bình đẳng với mọi người nộp thuế.  - HUMAN-TRU1]]</f>
        <v>7</v>
      </c>
      <c r="AN303" t="str">
        <f t="shared" si="121"/>
        <v>Neutral</v>
      </c>
      <c r="AO303" s="31">
        <f t="shared" si="122"/>
        <v>2</v>
      </c>
      <c r="AP303">
        <f>step3_validation[[#This Row],[AI_TRU2]]</f>
        <v>8</v>
      </c>
      <c r="AQ303" t="str">
        <f t="shared" si="123"/>
        <v>Support</v>
      </c>
      <c r="AR303">
        <f>survey_responses[[#This Row],[Tôi thấy mức thuế tôi phải đóng theo phương án mới là công bằng (người thu nhập như tôi đóng mức này là hợp lý). - HUMAN-TRU2]]</f>
        <v>7</v>
      </c>
      <c r="AS303" t="str">
        <f t="shared" si="124"/>
        <v>Neutral</v>
      </c>
      <c r="AT303" s="31">
        <f t="shared" si="125"/>
        <v>1</v>
      </c>
      <c r="AU303">
        <f>step3_validation[[#This Row],[AI_TRU3]]</f>
        <v>9</v>
      </c>
      <c r="AV303" t="str">
        <f t="shared" si="126"/>
        <v>Support</v>
      </c>
      <c r="AW303">
        <f>survey_responses[[#This Row],[Tôi tin tưởng số tiền thuế tôi đóng sẽ được Nhà nước sử dụng hiệu quả để cải thiện dịch vụ công (y tế, đường xá...). - HUMAN-TRU3]]</f>
        <v>5</v>
      </c>
      <c r="AX303" t="str">
        <f t="shared" si="127"/>
        <v>Neutral</v>
      </c>
      <c r="AY303" s="31">
        <f t="shared" si="128"/>
        <v>4</v>
      </c>
      <c r="AZ303">
        <f>step3_validation[[#This Row],[AI_TRU4]]</f>
        <v>8</v>
      </c>
      <c r="BA303" t="str">
        <f t="shared" si="129"/>
        <v>Support</v>
      </c>
      <c r="BB303">
        <f>survey_responses[[#This Row],[Tôi thấy Nhà nước đã giải thích rõ ràng, minh bạch về lý do và mục tiêu của việc sửa đổi thuế lần này. - HUMAN-TRU4]]</f>
        <v>5</v>
      </c>
      <c r="BC303" t="str">
        <f t="shared" si="130"/>
        <v>Neutral</v>
      </c>
      <c r="BD303" s="31">
        <f t="shared" si="131"/>
        <v>3</v>
      </c>
      <c r="BE303">
        <f>step3_validation[[#This Row],[AI_OUT1]]</f>
        <v>9</v>
      </c>
      <c r="BF303" t="str">
        <f t="shared" si="132"/>
        <v>Support</v>
      </c>
      <c r="BG303">
        <f>survey_responses[[#This Row],[Sau khi xem xét các quyền lợi và nghĩa vụ, bạn có ủng hộ và tuân thủ chính sách mới hiện nay? - HUMAN-OUT1]]</f>
        <v>7</v>
      </c>
      <c r="BH303" t="str">
        <f t="shared" si="133"/>
        <v>Neutral</v>
      </c>
      <c r="BI303" s="31">
        <f t="shared" si="134"/>
        <v>2</v>
      </c>
    </row>
    <row r="304" spans="1:61" hidden="1" x14ac:dyDescent="0.45">
      <c r="A304" s="29">
        <f>step3_validation[[#This Row],[Persona_ID]]</f>
        <v>303</v>
      </c>
      <c r="B304" s="30">
        <f>step3_validation[[#This Row],[Used_Seed]]</f>
        <v>344</v>
      </c>
      <c r="C304" t="str">
        <f>step3_validation[[#This Row],[Gender]]</f>
        <v>Nam</v>
      </c>
      <c r="D304" t="str">
        <f>survey_responses[[#This Row],[Giới tính của bạn:]]</f>
        <v>Nam</v>
      </c>
      <c r="E304" t="str">
        <f>step3_validation[[#This Row],[Age_Group]]</f>
        <v>30 - 39</v>
      </c>
      <c r="F304" t="str">
        <f>survey_responses[[#This Row],[Độ tuổi của bạn:]]</f>
        <v>30 - 39</v>
      </c>
      <c r="G304" t="str">
        <f>step3_validation[[#This Row],[Region]]</f>
        <v>Thành thị</v>
      </c>
      <c r="H304" t="str">
        <f>survey_responses[[#This Row],[Khu vực bạn đang sinh sống:]]</f>
        <v>Thành thị</v>
      </c>
      <c r="I304" t="str">
        <f>step3_validation[[#This Row],[Education]]</f>
        <v>Đại học</v>
      </c>
      <c r="J304" t="str">
        <f>survey_responses[[#This Row],[Trình độ học vấn cao nhất:]]</f>
        <v>Đại học</v>
      </c>
      <c r="K304" t="str">
        <f>step3_validation[[#This Row],[Employment]]</f>
        <v>Chính thức</v>
      </c>
      <c r="L304" t="str">
        <f>survey_responses[[#This Row],[Tình trạng việc làm chính:]]</f>
        <v>Khu vực chính thức (Có Hợp đồng lao động, đóng BHXH)</v>
      </c>
      <c r="M304">
        <f>step3_validation[[#This Row],[Income_Mil]]</f>
        <v>25.423545021267447</v>
      </c>
      <c r="N304" t="str">
        <f>survey_responses[[#This Row],[Thu nhập bình quân tháng theo Hợp đồng lao động của bạn là bao nhiêu? (Vui lòng điền tổng thu nhập trước khi khấu trừ các loại Bảo hiểm (BHXH, BHYT, BHTN) và Thuế TNCN)]]</f>
        <v>Từ 23 - 32 triệu VNĐ</v>
      </c>
      <c r="O304">
        <f>step3_validation[[#This Row],[Dependents]]</f>
        <v>2</v>
      </c>
      <c r="P304" t="str">
        <f>survey_responses[[#This Row],[Số người phụ thuộc (con nhỏ, cha mẹ già...) đủ điều kiện giảm trừ gia cảnh:]]</f>
        <v>2 người</v>
      </c>
      <c r="Q304">
        <f>step3_validation[[#This Row],[AI_ENF1]]</f>
        <v>7</v>
      </c>
      <c r="R304" t="str">
        <f t="shared" si="108"/>
        <v>Neutral</v>
      </c>
      <c r="S304">
        <f>survey_responses[[#This Row],[Tôi tin rằng với các quy định quản lý thuế hiện nay, hành vi gian lận hoặc trốn thuế sẽ dễ dàng bị phát hiện và xử lý nghiêm. - HUMAN-ENF1]]</f>
        <v>6</v>
      </c>
      <c r="T304" t="str">
        <f t="shared" si="109"/>
        <v>Neutral</v>
      </c>
      <c r="U304" s="31">
        <f t="shared" si="110"/>
        <v>1</v>
      </c>
      <c r="V304">
        <f>step3_validation[[#This Row],[AI_ENF2]]</f>
        <v>8</v>
      </c>
      <c r="W304" t="str">
        <f t="shared" si="111"/>
        <v>Support</v>
      </c>
      <c r="X304">
        <f>survey_responses[[#This Row],[Tôi tin rằng Nhà nước, cơ quan thuế có đủ khả năng và công nghệ để phát hiện, xử lý nghiêm các hành vi trốn thuế. - HUMAN-ENF2]]</f>
        <v>10</v>
      </c>
      <c r="Y304" t="str">
        <f t="shared" si="112"/>
        <v>Support</v>
      </c>
      <c r="Z304" s="31">
        <f t="shared" si="113"/>
        <v>2</v>
      </c>
      <c r="AA304">
        <f>step3_validation[[#This Row],[AI_FAC1]]</f>
        <v>9</v>
      </c>
      <c r="AB304" t="str">
        <f t="shared" si="114"/>
        <v>Support</v>
      </c>
      <c r="AC304">
        <f>survey_responses[[#This Row],[Các thủ tục khai báo thuế VÀ/HOẶC quy trình làm việc với cơ quan thuế đơn giản, tiện lợi, nhanh chóng hơn so với trước đây. - HUMAN-FAC1]]</f>
        <v>5</v>
      </c>
      <c r="AD304" t="str">
        <f t="shared" si="115"/>
        <v>Neutral</v>
      </c>
      <c r="AE304" s="31">
        <f t="shared" si="116"/>
        <v>4</v>
      </c>
      <c r="AF304">
        <f>step3_validation[[#This Row],[AI_FAC2]]</f>
        <v>9</v>
      </c>
      <c r="AG304" t="str">
        <f t="shared" si="117"/>
        <v>Support</v>
      </c>
      <c r="AH304">
        <f>survey_responses[[#This Row],[So với trước đây, tôi thấy cách tính thuế và các bậc thuế trong phương án mới đơn giản, dễ hiểu và dễ thực hiện hơn. - HUMAN-FAC2]]</f>
        <v>4</v>
      </c>
      <c r="AI304" t="str">
        <f t="shared" si="118"/>
        <v>Oppose</v>
      </c>
      <c r="AJ304" s="31">
        <f t="shared" si="119"/>
        <v>5</v>
      </c>
      <c r="AK304">
        <f>step3_validation[[#This Row],[AI_TRU1]]</f>
        <v>8</v>
      </c>
      <c r="AL304" t="str">
        <f t="shared" si="120"/>
        <v>Support</v>
      </c>
      <c r="AM304">
        <f>survey_responses[[#This Row],[Tôi tin rằng Nhà nước, cơ quan thuế sẽ thực thi chính sách mới một cách khách quan, công tâm và đối xử bình đẳng với mọi người nộp thuế.  - HUMAN-TRU1]]</f>
        <v>3</v>
      </c>
      <c r="AN304" t="str">
        <f t="shared" si="121"/>
        <v>Oppose</v>
      </c>
      <c r="AO304" s="31">
        <f t="shared" si="122"/>
        <v>5</v>
      </c>
      <c r="AP304">
        <f>step3_validation[[#This Row],[AI_TRU2]]</f>
        <v>9</v>
      </c>
      <c r="AQ304" t="str">
        <f t="shared" si="123"/>
        <v>Support</v>
      </c>
      <c r="AR304">
        <f>survey_responses[[#This Row],[Tôi thấy mức thuế tôi phải đóng theo phương án mới là công bằng (người thu nhập như tôi đóng mức này là hợp lý). - HUMAN-TRU2]]</f>
        <v>7</v>
      </c>
      <c r="AS304" t="str">
        <f t="shared" si="124"/>
        <v>Neutral</v>
      </c>
      <c r="AT304" s="31">
        <f t="shared" si="125"/>
        <v>2</v>
      </c>
      <c r="AU304">
        <f>step3_validation[[#This Row],[AI_TRU3]]</f>
        <v>8</v>
      </c>
      <c r="AV304" t="str">
        <f t="shared" si="126"/>
        <v>Support</v>
      </c>
      <c r="AW304">
        <f>survey_responses[[#This Row],[Tôi tin tưởng số tiền thuế tôi đóng sẽ được Nhà nước sử dụng hiệu quả để cải thiện dịch vụ công (y tế, đường xá...). - HUMAN-TRU3]]</f>
        <v>4</v>
      </c>
      <c r="AX304" t="str">
        <f t="shared" si="127"/>
        <v>Oppose</v>
      </c>
      <c r="AY304" s="31">
        <f t="shared" si="128"/>
        <v>4</v>
      </c>
      <c r="AZ304">
        <f>step3_validation[[#This Row],[AI_TRU4]]</f>
        <v>9</v>
      </c>
      <c r="BA304" t="str">
        <f t="shared" si="129"/>
        <v>Support</v>
      </c>
      <c r="BB304">
        <f>survey_responses[[#This Row],[Tôi thấy Nhà nước đã giải thích rõ ràng, minh bạch về lý do và mục tiêu của việc sửa đổi thuế lần này. - HUMAN-TRU4]]</f>
        <v>4</v>
      </c>
      <c r="BC304" t="str">
        <f t="shared" si="130"/>
        <v>Oppose</v>
      </c>
      <c r="BD304" s="31">
        <f t="shared" si="131"/>
        <v>5</v>
      </c>
      <c r="BE304">
        <f>step3_validation[[#This Row],[AI_OUT1]]</f>
        <v>9</v>
      </c>
      <c r="BF304" t="str">
        <f t="shared" si="132"/>
        <v>Support</v>
      </c>
      <c r="BG304">
        <f>survey_responses[[#This Row],[Sau khi xem xét các quyền lợi và nghĩa vụ, bạn có ủng hộ và tuân thủ chính sách mới hiện nay? - HUMAN-OUT1]]</f>
        <v>5</v>
      </c>
      <c r="BH304" t="str">
        <f t="shared" si="133"/>
        <v>Neutral</v>
      </c>
      <c r="BI304" s="31">
        <f t="shared" si="134"/>
        <v>4</v>
      </c>
    </row>
    <row r="305" spans="1:61" x14ac:dyDescent="0.45">
      <c r="A305" s="29">
        <f>step3_validation[[#This Row],[Persona_ID]]</f>
        <v>304</v>
      </c>
      <c r="B305" s="30">
        <f>step3_validation[[#This Row],[Used_Seed]]</f>
        <v>345</v>
      </c>
      <c r="C305" t="str">
        <f>step3_validation[[#This Row],[Gender]]</f>
        <v>Nam</v>
      </c>
      <c r="D305" t="str">
        <f>survey_responses[[#This Row],[Giới tính của bạn:]]</f>
        <v>Nam</v>
      </c>
      <c r="E305" t="str">
        <f>step3_validation[[#This Row],[Age_Group]]</f>
        <v>25 - 29</v>
      </c>
      <c r="F305" t="str">
        <f>survey_responses[[#This Row],[Độ tuổi của bạn:]]</f>
        <v>25 - 29</v>
      </c>
      <c r="G305" t="str">
        <f>step3_validation[[#This Row],[Region]]</f>
        <v>Thành thị</v>
      </c>
      <c r="H305" t="str">
        <f>survey_responses[[#This Row],[Khu vực bạn đang sinh sống:]]</f>
        <v>Thành thị</v>
      </c>
      <c r="I305" t="str">
        <f>step3_validation[[#This Row],[Education]]</f>
        <v>Sau Đại học</v>
      </c>
      <c r="J305" t="str">
        <f>survey_responses[[#This Row],[Trình độ học vấn cao nhất:]]</f>
        <v>Sau Đại học</v>
      </c>
      <c r="K305" t="str">
        <f>step3_validation[[#This Row],[Employment]]</f>
        <v>Chính thức</v>
      </c>
      <c r="L305" t="str">
        <f>survey_responses[[#This Row],[Tình trạng việc làm chính:]]</f>
        <v>Khu vực chính thức (Có Hợp đồng lao động, đóng BHXH)</v>
      </c>
      <c r="M305">
        <f>step3_validation[[#This Row],[Income_Mil]]</f>
        <v>12</v>
      </c>
      <c r="N305" t="str">
        <f>survey_responses[[#This Row],[Thu nhập bình quân tháng theo Hợp đồng lao động của bạn là bao nhiêu? (Vui lòng điền tổng thu nhập trước khi khấu trừ các loại Bảo hiểm (BHXH, BHYT, BHTN) và Thuế TNCN)]]</f>
        <v>Dưới 12 triệu VNĐ</v>
      </c>
      <c r="O305">
        <f>step3_validation[[#This Row],[Dependents]]</f>
        <v>0</v>
      </c>
      <c r="P305" t="str">
        <f>survey_responses[[#This Row],[Số người phụ thuộc (con nhỏ, cha mẹ già...) đủ điều kiện giảm trừ gia cảnh:]]</f>
        <v>0 người</v>
      </c>
      <c r="Q305">
        <f>step3_validation[[#This Row],[AI_ENF1]]</f>
        <v>6</v>
      </c>
      <c r="R305" t="str">
        <f t="shared" si="108"/>
        <v>Neutral</v>
      </c>
      <c r="S305">
        <f>survey_responses[[#This Row],[Tôi tin rằng với các quy định quản lý thuế hiện nay, hành vi gian lận hoặc trốn thuế sẽ dễ dàng bị phát hiện và xử lý nghiêm. - HUMAN-ENF1]]</f>
        <v>10</v>
      </c>
      <c r="T305" t="str">
        <f t="shared" si="109"/>
        <v>Support</v>
      </c>
      <c r="U305" s="31">
        <f t="shared" si="110"/>
        <v>4</v>
      </c>
      <c r="V305">
        <f>step3_validation[[#This Row],[AI_ENF2]]</f>
        <v>7</v>
      </c>
      <c r="W305" t="str">
        <f t="shared" si="111"/>
        <v>Neutral</v>
      </c>
      <c r="X305">
        <f>survey_responses[[#This Row],[Tôi tin rằng Nhà nước, cơ quan thuế có đủ khả năng và công nghệ để phát hiện, xử lý nghiêm các hành vi trốn thuế. - HUMAN-ENF2]]</f>
        <v>10</v>
      </c>
      <c r="Y305" t="str">
        <f t="shared" si="112"/>
        <v>Support</v>
      </c>
      <c r="Z305" s="31">
        <f t="shared" si="113"/>
        <v>3</v>
      </c>
      <c r="AA305">
        <f>step3_validation[[#This Row],[AI_FAC1]]</f>
        <v>9</v>
      </c>
      <c r="AB305" t="str">
        <f t="shared" si="114"/>
        <v>Support</v>
      </c>
      <c r="AC305">
        <f>survey_responses[[#This Row],[Các thủ tục khai báo thuế VÀ/HOẶC quy trình làm việc với cơ quan thuế đơn giản, tiện lợi, nhanh chóng hơn so với trước đây. - HUMAN-FAC1]]</f>
        <v>10</v>
      </c>
      <c r="AD305" t="str">
        <f t="shared" si="115"/>
        <v>Support</v>
      </c>
      <c r="AE305" s="31">
        <f t="shared" si="116"/>
        <v>1</v>
      </c>
      <c r="AF305">
        <f>step3_validation[[#This Row],[AI_FAC2]]</f>
        <v>9</v>
      </c>
      <c r="AG305" t="str">
        <f t="shared" si="117"/>
        <v>Support</v>
      </c>
      <c r="AH305">
        <f>survey_responses[[#This Row],[So với trước đây, tôi thấy cách tính thuế và các bậc thuế trong phương án mới đơn giản, dễ hiểu và dễ thực hiện hơn. - HUMAN-FAC2]]</f>
        <v>10</v>
      </c>
      <c r="AI305" t="str">
        <f t="shared" si="118"/>
        <v>Support</v>
      </c>
      <c r="AJ305" s="31">
        <f t="shared" si="119"/>
        <v>1</v>
      </c>
      <c r="AK305">
        <f>step3_validation[[#This Row],[AI_TRU1]]</f>
        <v>8</v>
      </c>
      <c r="AL305" t="str">
        <f t="shared" si="120"/>
        <v>Support</v>
      </c>
      <c r="AM305">
        <f>survey_responses[[#This Row],[Tôi tin rằng Nhà nước, cơ quan thuế sẽ thực thi chính sách mới một cách khách quan, công tâm và đối xử bình đẳng với mọi người nộp thuế.  - HUMAN-TRU1]]</f>
        <v>10</v>
      </c>
      <c r="AN305" t="str">
        <f t="shared" si="121"/>
        <v>Support</v>
      </c>
      <c r="AO305" s="31">
        <f t="shared" si="122"/>
        <v>2</v>
      </c>
      <c r="AP305">
        <f>step3_validation[[#This Row],[AI_TRU2]]</f>
        <v>8</v>
      </c>
      <c r="AQ305" t="str">
        <f t="shared" si="123"/>
        <v>Support</v>
      </c>
      <c r="AR305">
        <f>survey_responses[[#This Row],[Tôi thấy mức thuế tôi phải đóng theo phương án mới là công bằng (người thu nhập như tôi đóng mức này là hợp lý). - HUMAN-TRU2]]</f>
        <v>10</v>
      </c>
      <c r="AS305" t="str">
        <f t="shared" si="124"/>
        <v>Support</v>
      </c>
      <c r="AT305" s="31">
        <f t="shared" si="125"/>
        <v>2</v>
      </c>
      <c r="AU305">
        <f>step3_validation[[#This Row],[AI_TRU3]]</f>
        <v>8</v>
      </c>
      <c r="AV305" t="str">
        <f t="shared" si="126"/>
        <v>Support</v>
      </c>
      <c r="AW305">
        <f>survey_responses[[#This Row],[Tôi tin tưởng số tiền thuế tôi đóng sẽ được Nhà nước sử dụng hiệu quả để cải thiện dịch vụ công (y tế, đường xá...). - HUMAN-TRU3]]</f>
        <v>10</v>
      </c>
      <c r="AX305" t="str">
        <f t="shared" si="127"/>
        <v>Support</v>
      </c>
      <c r="AY305" s="31">
        <f t="shared" si="128"/>
        <v>2</v>
      </c>
      <c r="AZ305">
        <f>step3_validation[[#This Row],[AI_TRU4]]</f>
        <v>8</v>
      </c>
      <c r="BA305" t="str">
        <f t="shared" si="129"/>
        <v>Support</v>
      </c>
      <c r="BB305">
        <f>survey_responses[[#This Row],[Tôi thấy Nhà nước đã giải thích rõ ràng, minh bạch về lý do và mục tiêu của việc sửa đổi thuế lần này. - HUMAN-TRU4]]</f>
        <v>10</v>
      </c>
      <c r="BC305" t="str">
        <f t="shared" si="130"/>
        <v>Support</v>
      </c>
      <c r="BD305" s="31">
        <f t="shared" si="131"/>
        <v>2</v>
      </c>
      <c r="BE305">
        <f>step3_validation[[#This Row],[AI_OUT1]]</f>
        <v>9</v>
      </c>
      <c r="BF305" t="str">
        <f t="shared" si="132"/>
        <v>Support</v>
      </c>
      <c r="BG305">
        <f>survey_responses[[#This Row],[Sau khi xem xét các quyền lợi và nghĩa vụ, bạn có ủng hộ và tuân thủ chính sách mới hiện nay? - HUMAN-OUT1]]</f>
        <v>10</v>
      </c>
      <c r="BH305" t="str">
        <f t="shared" si="133"/>
        <v>Support</v>
      </c>
      <c r="BI305" s="31">
        <f t="shared" si="134"/>
        <v>1</v>
      </c>
    </row>
    <row r="306" spans="1:61" hidden="1" x14ac:dyDescent="0.45">
      <c r="A306" s="29">
        <f>step3_validation[[#This Row],[Persona_ID]]</f>
        <v>305</v>
      </c>
      <c r="B306" s="30">
        <f>step3_validation[[#This Row],[Used_Seed]]</f>
        <v>346</v>
      </c>
      <c r="C306" t="str">
        <f>step3_validation[[#This Row],[Gender]]</f>
        <v>Nam</v>
      </c>
      <c r="D306" t="str">
        <f>survey_responses[[#This Row],[Giới tính của bạn:]]</f>
        <v>Nam</v>
      </c>
      <c r="E306" t="str">
        <f>step3_validation[[#This Row],[Age_Group]]</f>
        <v>30 - 39</v>
      </c>
      <c r="F306" t="str">
        <f>survey_responses[[#This Row],[Độ tuổi của bạn:]]</f>
        <v>30 - 39</v>
      </c>
      <c r="G306" t="str">
        <f>step3_validation[[#This Row],[Region]]</f>
        <v>Thành thị</v>
      </c>
      <c r="H306" t="str">
        <f>survey_responses[[#This Row],[Khu vực bạn đang sinh sống:]]</f>
        <v>Thành thị</v>
      </c>
      <c r="I306" t="str">
        <f>step3_validation[[#This Row],[Education]]</f>
        <v>Đại học</v>
      </c>
      <c r="J306" t="str">
        <f>survey_responses[[#This Row],[Trình độ học vấn cao nhất:]]</f>
        <v>Đại học</v>
      </c>
      <c r="K306" t="str">
        <f>step3_validation[[#This Row],[Employment]]</f>
        <v>Chính thức</v>
      </c>
      <c r="L306" t="str">
        <f>survey_responses[[#This Row],[Tình trạng việc làm chính:]]</f>
        <v>Khu vực chính thức (Có Hợp đồng lao động, đóng BHXH)</v>
      </c>
      <c r="M306">
        <f>step3_validation[[#This Row],[Income_Mil]]</f>
        <v>44.98179538273552</v>
      </c>
      <c r="N306" t="str">
        <f>survey_responses[[#This Row],[Thu nhập bình quân tháng theo Hợp đồng lao động của bạn là bao nhiêu? (Vui lòng điền tổng thu nhập trước khi khấu trừ các loại Bảo hiểm (BHXH, BHYT, BHTN) và Thuế TNCN)]]</f>
        <v>Từ 32 - 48 triệu VNĐ</v>
      </c>
      <c r="O306">
        <f>step3_validation[[#This Row],[Dependents]]</f>
        <v>0</v>
      </c>
      <c r="P306" t="str">
        <f>survey_responses[[#This Row],[Số người phụ thuộc (con nhỏ, cha mẹ già...) đủ điều kiện giảm trừ gia cảnh:]]</f>
        <v>0 người</v>
      </c>
      <c r="Q306">
        <f>step3_validation[[#This Row],[AI_ENF1]]</f>
        <v>6</v>
      </c>
      <c r="R306" t="str">
        <f t="shared" si="108"/>
        <v>Neutral</v>
      </c>
      <c r="S306">
        <f>survey_responses[[#This Row],[Tôi tin rằng với các quy định quản lý thuế hiện nay, hành vi gian lận hoặc trốn thuế sẽ dễ dàng bị phát hiện và xử lý nghiêm. - HUMAN-ENF1]]</f>
        <v>7</v>
      </c>
      <c r="T306" t="str">
        <f t="shared" si="109"/>
        <v>Neutral</v>
      </c>
      <c r="U306" s="31">
        <f t="shared" si="110"/>
        <v>1</v>
      </c>
      <c r="V306">
        <f>step3_validation[[#This Row],[AI_ENF2]]</f>
        <v>7</v>
      </c>
      <c r="W306" t="str">
        <f t="shared" si="111"/>
        <v>Neutral</v>
      </c>
      <c r="X306">
        <f>survey_responses[[#This Row],[Tôi tin rằng Nhà nước, cơ quan thuế có đủ khả năng và công nghệ để phát hiện, xử lý nghiêm các hành vi trốn thuế. - HUMAN-ENF2]]</f>
        <v>9</v>
      </c>
      <c r="Y306" t="str">
        <f t="shared" si="112"/>
        <v>Support</v>
      </c>
      <c r="Z306" s="31">
        <f t="shared" si="113"/>
        <v>2</v>
      </c>
      <c r="AA306">
        <f>step3_validation[[#This Row],[AI_FAC1]]</f>
        <v>6</v>
      </c>
      <c r="AB306" t="str">
        <f t="shared" si="114"/>
        <v>Neutral</v>
      </c>
      <c r="AC306">
        <f>survey_responses[[#This Row],[Các thủ tục khai báo thuế VÀ/HOẶC quy trình làm việc với cơ quan thuế đơn giản, tiện lợi, nhanh chóng hơn so với trước đây. - HUMAN-FAC1]]</f>
        <v>8</v>
      </c>
      <c r="AD306" t="str">
        <f t="shared" si="115"/>
        <v>Support</v>
      </c>
      <c r="AE306" s="31">
        <f t="shared" si="116"/>
        <v>2</v>
      </c>
      <c r="AF306">
        <f>step3_validation[[#This Row],[AI_FAC2]]</f>
        <v>8</v>
      </c>
      <c r="AG306" t="str">
        <f t="shared" si="117"/>
        <v>Support</v>
      </c>
      <c r="AH306">
        <f>survey_responses[[#This Row],[So với trước đây, tôi thấy cách tính thuế và các bậc thuế trong phương án mới đơn giản, dễ hiểu và dễ thực hiện hơn. - HUMAN-FAC2]]</f>
        <v>6</v>
      </c>
      <c r="AI306" t="str">
        <f t="shared" si="118"/>
        <v>Neutral</v>
      </c>
      <c r="AJ306" s="31">
        <f t="shared" si="119"/>
        <v>2</v>
      </c>
      <c r="AK306">
        <f>step3_validation[[#This Row],[AI_TRU1]]</f>
        <v>7</v>
      </c>
      <c r="AL306" t="str">
        <f t="shared" si="120"/>
        <v>Neutral</v>
      </c>
      <c r="AM306">
        <f>survey_responses[[#This Row],[Tôi tin rằng Nhà nước, cơ quan thuế sẽ thực thi chính sách mới một cách khách quan, công tâm và đối xử bình đẳng với mọi người nộp thuế.  - HUMAN-TRU1]]</f>
        <v>5</v>
      </c>
      <c r="AN306" t="str">
        <f t="shared" si="121"/>
        <v>Neutral</v>
      </c>
      <c r="AO306" s="31">
        <f t="shared" si="122"/>
        <v>2</v>
      </c>
      <c r="AP306">
        <f>step3_validation[[#This Row],[AI_TRU2]]</f>
        <v>9</v>
      </c>
      <c r="AQ306" t="str">
        <f t="shared" si="123"/>
        <v>Support</v>
      </c>
      <c r="AR306">
        <f>survey_responses[[#This Row],[Tôi thấy mức thuế tôi phải đóng theo phương án mới là công bằng (người thu nhập như tôi đóng mức này là hợp lý). - HUMAN-TRU2]]</f>
        <v>3</v>
      </c>
      <c r="AS306" t="str">
        <f t="shared" si="124"/>
        <v>Oppose</v>
      </c>
      <c r="AT306" s="31">
        <f t="shared" si="125"/>
        <v>6</v>
      </c>
      <c r="AU306">
        <f>step3_validation[[#This Row],[AI_TRU3]]</f>
        <v>7</v>
      </c>
      <c r="AV306" t="str">
        <f t="shared" si="126"/>
        <v>Neutral</v>
      </c>
      <c r="AW306">
        <f>survey_responses[[#This Row],[Tôi tin tưởng số tiền thuế tôi đóng sẽ được Nhà nước sử dụng hiệu quả để cải thiện dịch vụ công (y tế, đường xá...). - HUMAN-TRU3]]</f>
        <v>9</v>
      </c>
      <c r="AX306" t="str">
        <f t="shared" si="127"/>
        <v>Support</v>
      </c>
      <c r="AY306" s="31">
        <f t="shared" si="128"/>
        <v>2</v>
      </c>
      <c r="AZ306">
        <f>step3_validation[[#This Row],[AI_TRU4]]</f>
        <v>6</v>
      </c>
      <c r="BA306" t="str">
        <f t="shared" si="129"/>
        <v>Neutral</v>
      </c>
      <c r="BB306">
        <f>survey_responses[[#This Row],[Tôi thấy Nhà nước đã giải thích rõ ràng, minh bạch về lý do và mục tiêu của việc sửa đổi thuế lần này. - HUMAN-TRU4]]</f>
        <v>3</v>
      </c>
      <c r="BC306" t="str">
        <f t="shared" si="130"/>
        <v>Oppose</v>
      </c>
      <c r="BD306" s="31">
        <f t="shared" si="131"/>
        <v>3</v>
      </c>
      <c r="BE306">
        <f>step3_validation[[#This Row],[AI_OUT1]]</f>
        <v>8</v>
      </c>
      <c r="BF306" t="str">
        <f t="shared" si="132"/>
        <v>Support</v>
      </c>
      <c r="BG306">
        <f>survey_responses[[#This Row],[Sau khi xem xét các quyền lợi và nghĩa vụ, bạn có ủng hộ và tuân thủ chính sách mới hiện nay? - HUMAN-OUT1]]</f>
        <v>4</v>
      </c>
      <c r="BH306" t="str">
        <f t="shared" si="133"/>
        <v>Oppose</v>
      </c>
      <c r="BI306" s="31">
        <f t="shared" si="134"/>
        <v>4</v>
      </c>
    </row>
    <row r="307" spans="1:61" hidden="1" x14ac:dyDescent="0.45">
      <c r="A307" s="29">
        <f>step3_validation[[#This Row],[Persona_ID]]</f>
        <v>306</v>
      </c>
      <c r="B307" s="30">
        <f>step3_validation[[#This Row],[Used_Seed]]</f>
        <v>347</v>
      </c>
      <c r="C307" t="str">
        <f>step3_validation[[#This Row],[Gender]]</f>
        <v>Nữ</v>
      </c>
      <c r="D307" t="str">
        <f>survey_responses[[#This Row],[Giới tính của bạn:]]</f>
        <v>Nữ</v>
      </c>
      <c r="E307" t="str">
        <f>step3_validation[[#This Row],[Age_Group]]</f>
        <v>40 - 49</v>
      </c>
      <c r="F307" t="str">
        <f>survey_responses[[#This Row],[Độ tuổi của bạn:]]</f>
        <v>40 - 49</v>
      </c>
      <c r="G307" t="str">
        <f>step3_validation[[#This Row],[Region]]</f>
        <v>Thành thị</v>
      </c>
      <c r="H307" t="str">
        <f>survey_responses[[#This Row],[Khu vực bạn đang sinh sống:]]</f>
        <v>Thành thị</v>
      </c>
      <c r="I307" t="str">
        <f>step3_validation[[#This Row],[Education]]</f>
        <v>Đại học</v>
      </c>
      <c r="J307" t="str">
        <f>survey_responses[[#This Row],[Trình độ học vấn cao nhất:]]</f>
        <v>Đại học</v>
      </c>
      <c r="K307" t="str">
        <f>step3_validation[[#This Row],[Employment]]</f>
        <v>Chính thức</v>
      </c>
      <c r="L307" t="str">
        <f>survey_responses[[#This Row],[Tình trạng việc làm chính:]]</f>
        <v>Khu vực chính thức (Có Hợp đồng lao động, đóng BHXH)</v>
      </c>
      <c r="M307">
        <f>step3_validation[[#This Row],[Income_Mil]]</f>
        <v>49.814382056108016</v>
      </c>
      <c r="N307" t="str">
        <f>survey_responses[[#This Row],[Thu nhập bình quân tháng theo Hợp đồng lao động của bạn là bao nhiêu? (Vui lòng điền tổng thu nhập trước khi khấu trừ các loại Bảo hiểm (BHXH, BHYT, BHTN) và Thuế TNCN)]]</f>
        <v>Từ 48 - 70 triệu VNĐ</v>
      </c>
      <c r="O307">
        <f>step3_validation[[#This Row],[Dependents]]</f>
        <v>3</v>
      </c>
      <c r="P307" t="str">
        <f>survey_responses[[#This Row],[Số người phụ thuộc (con nhỏ, cha mẹ già...) đủ điều kiện giảm trừ gia cảnh:]]</f>
        <v>3 người</v>
      </c>
      <c r="Q307">
        <f>step3_validation[[#This Row],[AI_ENF1]]</f>
        <v>8</v>
      </c>
      <c r="R307" t="str">
        <f t="shared" si="108"/>
        <v>Support</v>
      </c>
      <c r="S307">
        <f>survey_responses[[#This Row],[Tôi tin rằng với các quy định quản lý thuế hiện nay, hành vi gian lận hoặc trốn thuế sẽ dễ dàng bị phát hiện và xử lý nghiêm. - HUMAN-ENF1]]</f>
        <v>3</v>
      </c>
      <c r="T307" t="str">
        <f t="shared" si="109"/>
        <v>Oppose</v>
      </c>
      <c r="U307" s="31">
        <f t="shared" si="110"/>
        <v>5</v>
      </c>
      <c r="V307">
        <f>step3_validation[[#This Row],[AI_ENF2]]</f>
        <v>8</v>
      </c>
      <c r="W307" t="str">
        <f t="shared" si="111"/>
        <v>Support</v>
      </c>
      <c r="X307">
        <f>survey_responses[[#This Row],[Tôi tin rằng Nhà nước, cơ quan thuế có đủ khả năng và công nghệ để phát hiện, xử lý nghiêm các hành vi trốn thuế. - HUMAN-ENF2]]</f>
        <v>8</v>
      </c>
      <c r="Y307" t="str">
        <f t="shared" si="112"/>
        <v>Support</v>
      </c>
      <c r="Z307" s="31">
        <f t="shared" si="113"/>
        <v>0</v>
      </c>
      <c r="AA307">
        <f>step3_validation[[#This Row],[AI_FAC1]]</f>
        <v>9</v>
      </c>
      <c r="AB307" t="str">
        <f t="shared" si="114"/>
        <v>Support</v>
      </c>
      <c r="AC307">
        <f>survey_responses[[#This Row],[Các thủ tục khai báo thuế VÀ/HOẶC quy trình làm việc với cơ quan thuế đơn giản, tiện lợi, nhanh chóng hơn so với trước đây. - HUMAN-FAC1]]</f>
        <v>8</v>
      </c>
      <c r="AD307" t="str">
        <f t="shared" si="115"/>
        <v>Support</v>
      </c>
      <c r="AE307" s="31">
        <f t="shared" si="116"/>
        <v>1</v>
      </c>
      <c r="AF307">
        <f>step3_validation[[#This Row],[AI_FAC2]]</f>
        <v>9</v>
      </c>
      <c r="AG307" t="str">
        <f t="shared" si="117"/>
        <v>Support</v>
      </c>
      <c r="AH307">
        <f>survey_responses[[#This Row],[So với trước đây, tôi thấy cách tính thuế và các bậc thuế trong phương án mới đơn giản, dễ hiểu và dễ thực hiện hơn. - HUMAN-FAC2]]</f>
        <v>4</v>
      </c>
      <c r="AI307" t="str">
        <f t="shared" si="118"/>
        <v>Oppose</v>
      </c>
      <c r="AJ307" s="31">
        <f t="shared" si="119"/>
        <v>5</v>
      </c>
      <c r="AK307">
        <f>step3_validation[[#This Row],[AI_TRU1]]</f>
        <v>8</v>
      </c>
      <c r="AL307" t="str">
        <f t="shared" si="120"/>
        <v>Support</v>
      </c>
      <c r="AM307">
        <f>survey_responses[[#This Row],[Tôi tin rằng Nhà nước, cơ quan thuế sẽ thực thi chính sách mới một cách khách quan, công tâm và đối xử bình đẳng với mọi người nộp thuế.  - HUMAN-TRU1]]</f>
        <v>4</v>
      </c>
      <c r="AN307" t="str">
        <f t="shared" si="121"/>
        <v>Oppose</v>
      </c>
      <c r="AO307" s="31">
        <f t="shared" si="122"/>
        <v>4</v>
      </c>
      <c r="AP307">
        <f>step3_validation[[#This Row],[AI_TRU2]]</f>
        <v>8</v>
      </c>
      <c r="AQ307" t="str">
        <f t="shared" si="123"/>
        <v>Support</v>
      </c>
      <c r="AR307">
        <f>survey_responses[[#This Row],[Tôi thấy mức thuế tôi phải đóng theo phương án mới là công bằng (người thu nhập như tôi đóng mức này là hợp lý). - HUMAN-TRU2]]</f>
        <v>3</v>
      </c>
      <c r="AS307" t="str">
        <f t="shared" si="124"/>
        <v>Oppose</v>
      </c>
      <c r="AT307" s="31">
        <f t="shared" si="125"/>
        <v>5</v>
      </c>
      <c r="AU307">
        <f>step3_validation[[#This Row],[AI_TRU3]]</f>
        <v>8</v>
      </c>
      <c r="AV307" t="str">
        <f t="shared" si="126"/>
        <v>Support</v>
      </c>
      <c r="AW307">
        <f>survey_responses[[#This Row],[Tôi tin tưởng số tiền thuế tôi đóng sẽ được Nhà nước sử dụng hiệu quả để cải thiện dịch vụ công (y tế, đường xá...). - HUMAN-TRU3]]</f>
        <v>7</v>
      </c>
      <c r="AX307" t="str">
        <f t="shared" si="127"/>
        <v>Neutral</v>
      </c>
      <c r="AY307" s="31">
        <f t="shared" si="128"/>
        <v>1</v>
      </c>
      <c r="AZ307">
        <f>step3_validation[[#This Row],[AI_TRU4]]</f>
        <v>8</v>
      </c>
      <c r="BA307" t="str">
        <f t="shared" si="129"/>
        <v>Support</v>
      </c>
      <c r="BB307">
        <f>survey_responses[[#This Row],[Tôi thấy Nhà nước đã giải thích rõ ràng, minh bạch về lý do và mục tiêu của việc sửa đổi thuế lần này. - HUMAN-TRU4]]</f>
        <v>5</v>
      </c>
      <c r="BC307" t="str">
        <f t="shared" si="130"/>
        <v>Neutral</v>
      </c>
      <c r="BD307" s="31">
        <f t="shared" si="131"/>
        <v>3</v>
      </c>
      <c r="BE307">
        <f>step3_validation[[#This Row],[AI_OUT1]]</f>
        <v>9</v>
      </c>
      <c r="BF307" t="str">
        <f t="shared" si="132"/>
        <v>Support</v>
      </c>
      <c r="BG307">
        <f>survey_responses[[#This Row],[Sau khi xem xét các quyền lợi và nghĩa vụ, bạn có ủng hộ và tuân thủ chính sách mới hiện nay? - HUMAN-OUT1]]</f>
        <v>5</v>
      </c>
      <c r="BH307" t="str">
        <f t="shared" si="133"/>
        <v>Neutral</v>
      </c>
      <c r="BI307" s="31">
        <f t="shared" si="134"/>
        <v>4</v>
      </c>
    </row>
    <row r="308" spans="1:61" hidden="1" x14ac:dyDescent="0.45">
      <c r="A308" s="29">
        <f>step3_validation[[#This Row],[Persona_ID]]</f>
        <v>307</v>
      </c>
      <c r="B308" s="30">
        <f>step3_validation[[#This Row],[Used_Seed]]</f>
        <v>348</v>
      </c>
      <c r="C308" t="str">
        <f>step3_validation[[#This Row],[Gender]]</f>
        <v>Nữ</v>
      </c>
      <c r="D308" t="str">
        <f>survey_responses[[#This Row],[Giới tính của bạn:]]</f>
        <v>Nữ</v>
      </c>
      <c r="E308" t="str">
        <f>step3_validation[[#This Row],[Age_Group]]</f>
        <v>55 - 64</v>
      </c>
      <c r="F308" t="str">
        <f>survey_responses[[#This Row],[Độ tuổi của bạn:]]</f>
        <v>55 - 64</v>
      </c>
      <c r="G308" t="str">
        <f>step3_validation[[#This Row],[Region]]</f>
        <v>Thành thị</v>
      </c>
      <c r="H308" t="str">
        <f>survey_responses[[#This Row],[Khu vực bạn đang sinh sống:]]</f>
        <v>Thành thị</v>
      </c>
      <c r="I308" t="str">
        <f>step3_validation[[#This Row],[Education]]</f>
        <v>Sau Đại học</v>
      </c>
      <c r="J308" t="str">
        <f>survey_responses[[#This Row],[Trình độ học vấn cao nhất:]]</f>
        <v>Sau Đại học</v>
      </c>
      <c r="K308" t="str">
        <f>step3_validation[[#This Row],[Employment]]</f>
        <v>Phi chính thức</v>
      </c>
      <c r="L308" t="str">
        <f>survey_responses[[#This Row],[Tình trạng việc làm chính:]]</f>
        <v>Khác (Về hưu, nội trợ, sinh viên)</v>
      </c>
      <c r="M308">
        <f>step3_validation[[#This Row],[Income_Mil]]</f>
        <v>13.709181849834744</v>
      </c>
      <c r="N308" t="str">
        <f>survey_responses[[#This Row],[Thu nhập bình quân tháng theo Hợp đồng lao động của bạn là bao nhiêu? (Vui lòng điền tổng thu nhập trước khi khấu trừ các loại Bảo hiểm (BHXH, BHYT, BHTN) và Thuế TNCN)]]</f>
        <v>Từ 12 - 18 triệu VNĐ</v>
      </c>
      <c r="O308">
        <f>step3_validation[[#This Row],[Dependents]]</f>
        <v>2</v>
      </c>
      <c r="P308" t="str">
        <f>survey_responses[[#This Row],[Số người phụ thuộc (con nhỏ, cha mẹ già...) đủ điều kiện giảm trừ gia cảnh:]]</f>
        <v>2 người</v>
      </c>
      <c r="Q308">
        <f>step3_validation[[#This Row],[AI_ENF1]]</f>
        <v>7</v>
      </c>
      <c r="R308" t="str">
        <f t="shared" si="108"/>
        <v>Neutral</v>
      </c>
      <c r="S308">
        <f>survey_responses[[#This Row],[Tôi tin rằng với các quy định quản lý thuế hiện nay, hành vi gian lận hoặc trốn thuế sẽ dễ dàng bị phát hiện và xử lý nghiêm. - HUMAN-ENF1]]</f>
        <v>2</v>
      </c>
      <c r="T308" t="str">
        <f t="shared" si="109"/>
        <v>Oppose</v>
      </c>
      <c r="U308" s="31">
        <f t="shared" si="110"/>
        <v>5</v>
      </c>
      <c r="V308">
        <f>step3_validation[[#This Row],[AI_ENF2]]</f>
        <v>8</v>
      </c>
      <c r="W308" t="str">
        <f t="shared" si="111"/>
        <v>Support</v>
      </c>
      <c r="X308">
        <f>survey_responses[[#This Row],[Tôi tin rằng Nhà nước, cơ quan thuế có đủ khả năng và công nghệ để phát hiện, xử lý nghiêm các hành vi trốn thuế. - HUMAN-ENF2]]</f>
        <v>2</v>
      </c>
      <c r="Y308" t="str">
        <f t="shared" si="112"/>
        <v>Oppose</v>
      </c>
      <c r="Z308" s="31">
        <f t="shared" si="113"/>
        <v>6</v>
      </c>
      <c r="AA308">
        <f>step3_validation[[#This Row],[AI_FAC1]]</f>
        <v>9</v>
      </c>
      <c r="AB308" t="str">
        <f t="shared" si="114"/>
        <v>Support</v>
      </c>
      <c r="AC308">
        <f>survey_responses[[#This Row],[Các thủ tục khai báo thuế VÀ/HOẶC quy trình làm việc với cơ quan thuế đơn giản, tiện lợi, nhanh chóng hơn so với trước đây. - HUMAN-FAC1]]</f>
        <v>2</v>
      </c>
      <c r="AD308" t="str">
        <f t="shared" si="115"/>
        <v>Oppose</v>
      </c>
      <c r="AE308" s="31">
        <f t="shared" si="116"/>
        <v>7</v>
      </c>
      <c r="AF308">
        <f>step3_validation[[#This Row],[AI_FAC2]]</f>
        <v>8</v>
      </c>
      <c r="AG308" t="str">
        <f t="shared" si="117"/>
        <v>Support</v>
      </c>
      <c r="AH308">
        <f>survey_responses[[#This Row],[So với trước đây, tôi thấy cách tính thuế và các bậc thuế trong phương án mới đơn giản, dễ hiểu và dễ thực hiện hơn. - HUMAN-FAC2]]</f>
        <v>1</v>
      </c>
      <c r="AI308" t="str">
        <f t="shared" si="118"/>
        <v>Oppose</v>
      </c>
      <c r="AJ308" s="31">
        <f t="shared" si="119"/>
        <v>7</v>
      </c>
      <c r="AK308">
        <f>step3_validation[[#This Row],[AI_TRU1]]</f>
        <v>9</v>
      </c>
      <c r="AL308" t="str">
        <f t="shared" si="120"/>
        <v>Support</v>
      </c>
      <c r="AM308">
        <f>survey_responses[[#This Row],[Tôi tin rằng Nhà nước, cơ quan thuế sẽ thực thi chính sách mới một cách khách quan, công tâm và đối xử bình đẳng với mọi người nộp thuế.  - HUMAN-TRU1]]</f>
        <v>2</v>
      </c>
      <c r="AN308" t="str">
        <f t="shared" si="121"/>
        <v>Oppose</v>
      </c>
      <c r="AO308" s="31">
        <f t="shared" si="122"/>
        <v>7</v>
      </c>
      <c r="AP308">
        <f>step3_validation[[#This Row],[AI_TRU2]]</f>
        <v>8</v>
      </c>
      <c r="AQ308" t="str">
        <f t="shared" si="123"/>
        <v>Support</v>
      </c>
      <c r="AR308">
        <f>survey_responses[[#This Row],[Tôi thấy mức thuế tôi phải đóng theo phương án mới là công bằng (người thu nhập như tôi đóng mức này là hợp lý). - HUMAN-TRU2]]</f>
        <v>2</v>
      </c>
      <c r="AS308" t="str">
        <f t="shared" si="124"/>
        <v>Oppose</v>
      </c>
      <c r="AT308" s="31">
        <f t="shared" si="125"/>
        <v>6</v>
      </c>
      <c r="AU308">
        <f>step3_validation[[#This Row],[AI_TRU3]]</f>
        <v>8</v>
      </c>
      <c r="AV308" t="str">
        <f t="shared" si="126"/>
        <v>Support</v>
      </c>
      <c r="AW308">
        <f>survey_responses[[#This Row],[Tôi tin tưởng số tiền thuế tôi đóng sẽ được Nhà nước sử dụng hiệu quả để cải thiện dịch vụ công (y tế, đường xá...). - HUMAN-TRU3]]</f>
        <v>2</v>
      </c>
      <c r="AX308" t="str">
        <f t="shared" si="127"/>
        <v>Oppose</v>
      </c>
      <c r="AY308" s="31">
        <f t="shared" si="128"/>
        <v>6</v>
      </c>
      <c r="AZ308">
        <f>step3_validation[[#This Row],[AI_TRU4]]</f>
        <v>7</v>
      </c>
      <c r="BA308" t="str">
        <f t="shared" si="129"/>
        <v>Neutral</v>
      </c>
      <c r="BB308">
        <f>survey_responses[[#This Row],[Tôi thấy Nhà nước đã giải thích rõ ràng, minh bạch về lý do và mục tiêu của việc sửa đổi thuế lần này. - HUMAN-TRU4]]</f>
        <v>2</v>
      </c>
      <c r="BC308" t="str">
        <f t="shared" si="130"/>
        <v>Oppose</v>
      </c>
      <c r="BD308" s="31">
        <f t="shared" si="131"/>
        <v>5</v>
      </c>
      <c r="BE308">
        <f>step3_validation[[#This Row],[AI_OUT1]]</f>
        <v>9</v>
      </c>
      <c r="BF308" t="str">
        <f t="shared" si="132"/>
        <v>Support</v>
      </c>
      <c r="BG308">
        <f>survey_responses[[#This Row],[Sau khi xem xét các quyền lợi và nghĩa vụ, bạn có ủng hộ và tuân thủ chính sách mới hiện nay? - HUMAN-OUT1]]</f>
        <v>2</v>
      </c>
      <c r="BH308" t="str">
        <f t="shared" si="133"/>
        <v>Oppose</v>
      </c>
      <c r="BI308" s="31">
        <f t="shared" si="134"/>
        <v>7</v>
      </c>
    </row>
    <row r="309" spans="1:61" hidden="1" x14ac:dyDescent="0.45">
      <c r="A309" s="29">
        <f>step3_validation[[#This Row],[Persona_ID]]</f>
        <v>308</v>
      </c>
      <c r="B309" s="30">
        <f>step3_validation[[#This Row],[Used_Seed]]</f>
        <v>349</v>
      </c>
      <c r="C309" t="str">
        <f>step3_validation[[#This Row],[Gender]]</f>
        <v>Nữ</v>
      </c>
      <c r="D309" t="str">
        <f>survey_responses[[#This Row],[Giới tính của bạn:]]</f>
        <v>Nữ</v>
      </c>
      <c r="E309" t="str">
        <f>step3_validation[[#This Row],[Age_Group]]</f>
        <v>40 - 49</v>
      </c>
      <c r="F309" t="str">
        <f>survey_responses[[#This Row],[Độ tuổi của bạn:]]</f>
        <v>40 - 49</v>
      </c>
      <c r="G309" t="str">
        <f>step3_validation[[#This Row],[Region]]</f>
        <v>Thành thị</v>
      </c>
      <c r="H309" t="str">
        <f>survey_responses[[#This Row],[Khu vực bạn đang sinh sống:]]</f>
        <v>Thành thị</v>
      </c>
      <c r="I309" t="str">
        <f>step3_validation[[#This Row],[Education]]</f>
        <v>Sau Đại học</v>
      </c>
      <c r="J309" t="str">
        <f>survey_responses[[#This Row],[Trình độ học vấn cao nhất:]]</f>
        <v>Sau Đại học</v>
      </c>
      <c r="K309" t="str">
        <f>step3_validation[[#This Row],[Employment]]</f>
        <v>Chính thức</v>
      </c>
      <c r="L309" t="str">
        <f>survey_responses[[#This Row],[Tình trạng việc làm chính:]]</f>
        <v>Khu vực chính thức (Có Hợp đồng lao động, đóng BHXH)</v>
      </c>
      <c r="M309">
        <f>step3_validation[[#This Row],[Income_Mil]]</f>
        <v>155.98608401048074</v>
      </c>
      <c r="N309" t="str">
        <f>survey_responses[[#This Row],[Thu nhập bình quân tháng theo Hợp đồng lao động của bạn là bao nhiêu? (Vui lòng điền tổng thu nhập trước khi khấu trừ các loại Bảo hiểm (BHXH, BHYT, BHTN) và Thuế TNCN)]]</f>
        <v>Trên 102 triệu VNĐ</v>
      </c>
      <c r="O309">
        <f>step3_validation[[#This Row],[Dependents]]</f>
        <v>2</v>
      </c>
      <c r="P309" t="str">
        <f>survey_responses[[#This Row],[Số người phụ thuộc (con nhỏ, cha mẹ già...) đủ điều kiện giảm trừ gia cảnh:]]</f>
        <v>2 người</v>
      </c>
      <c r="Q309">
        <f>step3_validation[[#This Row],[AI_ENF1]]</f>
        <v>8</v>
      </c>
      <c r="R309" t="str">
        <f t="shared" si="108"/>
        <v>Support</v>
      </c>
      <c r="S309">
        <f>survey_responses[[#This Row],[Tôi tin rằng với các quy định quản lý thuế hiện nay, hành vi gian lận hoặc trốn thuế sẽ dễ dàng bị phát hiện và xử lý nghiêm. - HUMAN-ENF1]]</f>
        <v>10</v>
      </c>
      <c r="T309" t="str">
        <f t="shared" si="109"/>
        <v>Support</v>
      </c>
      <c r="U309" s="31">
        <f t="shared" si="110"/>
        <v>2</v>
      </c>
      <c r="V309">
        <f>step3_validation[[#This Row],[AI_ENF2]]</f>
        <v>8</v>
      </c>
      <c r="W309" t="str">
        <f t="shared" si="111"/>
        <v>Support</v>
      </c>
      <c r="X309">
        <f>survey_responses[[#This Row],[Tôi tin rằng Nhà nước, cơ quan thuế có đủ khả năng và công nghệ để phát hiện, xử lý nghiêm các hành vi trốn thuế. - HUMAN-ENF2]]</f>
        <v>8</v>
      </c>
      <c r="Y309" t="str">
        <f t="shared" si="112"/>
        <v>Support</v>
      </c>
      <c r="Z309" s="31">
        <f t="shared" si="113"/>
        <v>0</v>
      </c>
      <c r="AA309">
        <f>step3_validation[[#This Row],[AI_FAC1]]</f>
        <v>9</v>
      </c>
      <c r="AB309" t="str">
        <f t="shared" si="114"/>
        <v>Support</v>
      </c>
      <c r="AC309">
        <f>survey_responses[[#This Row],[Các thủ tục khai báo thuế VÀ/HOẶC quy trình làm việc với cơ quan thuế đơn giản, tiện lợi, nhanh chóng hơn so với trước đây. - HUMAN-FAC1]]</f>
        <v>8</v>
      </c>
      <c r="AD309" t="str">
        <f t="shared" si="115"/>
        <v>Support</v>
      </c>
      <c r="AE309" s="31">
        <f t="shared" si="116"/>
        <v>1</v>
      </c>
      <c r="AF309">
        <f>step3_validation[[#This Row],[AI_FAC2]]</f>
        <v>9</v>
      </c>
      <c r="AG309" t="str">
        <f t="shared" si="117"/>
        <v>Support</v>
      </c>
      <c r="AH309">
        <f>survey_responses[[#This Row],[So với trước đây, tôi thấy cách tính thuế và các bậc thuế trong phương án mới đơn giản, dễ hiểu và dễ thực hiện hơn. - HUMAN-FAC2]]</f>
        <v>8</v>
      </c>
      <c r="AI309" t="str">
        <f t="shared" si="118"/>
        <v>Support</v>
      </c>
      <c r="AJ309" s="31">
        <f t="shared" si="119"/>
        <v>1</v>
      </c>
      <c r="AK309">
        <f>step3_validation[[#This Row],[AI_TRU1]]</f>
        <v>8</v>
      </c>
      <c r="AL309" t="str">
        <f t="shared" si="120"/>
        <v>Support</v>
      </c>
      <c r="AM309">
        <f>survey_responses[[#This Row],[Tôi tin rằng Nhà nước, cơ quan thuế sẽ thực thi chính sách mới một cách khách quan, công tâm và đối xử bình đẳng với mọi người nộp thuế.  - HUMAN-TRU1]]</f>
        <v>10</v>
      </c>
      <c r="AN309" t="str">
        <f t="shared" si="121"/>
        <v>Support</v>
      </c>
      <c r="AO309" s="31">
        <f t="shared" si="122"/>
        <v>2</v>
      </c>
      <c r="AP309">
        <f>step3_validation[[#This Row],[AI_TRU2]]</f>
        <v>9</v>
      </c>
      <c r="AQ309" t="str">
        <f t="shared" si="123"/>
        <v>Support</v>
      </c>
      <c r="AR309">
        <f>survey_responses[[#This Row],[Tôi thấy mức thuế tôi phải đóng theo phương án mới là công bằng (người thu nhập như tôi đóng mức này là hợp lý). - HUMAN-TRU2]]</f>
        <v>10</v>
      </c>
      <c r="AS309" t="str">
        <f t="shared" si="124"/>
        <v>Support</v>
      </c>
      <c r="AT309" s="31">
        <f t="shared" si="125"/>
        <v>1</v>
      </c>
      <c r="AU309">
        <f>step3_validation[[#This Row],[AI_TRU3]]</f>
        <v>8</v>
      </c>
      <c r="AV309" t="str">
        <f t="shared" si="126"/>
        <v>Support</v>
      </c>
      <c r="AW309">
        <f>survey_responses[[#This Row],[Tôi tin tưởng số tiền thuế tôi đóng sẽ được Nhà nước sử dụng hiệu quả để cải thiện dịch vụ công (y tế, đường xá...). - HUMAN-TRU3]]</f>
        <v>6</v>
      </c>
      <c r="AX309" t="str">
        <f t="shared" si="127"/>
        <v>Neutral</v>
      </c>
      <c r="AY309" s="31">
        <f t="shared" si="128"/>
        <v>2</v>
      </c>
      <c r="AZ309">
        <f>step3_validation[[#This Row],[AI_TRU4]]</f>
        <v>9</v>
      </c>
      <c r="BA309" t="str">
        <f t="shared" si="129"/>
        <v>Support</v>
      </c>
      <c r="BB309">
        <f>survey_responses[[#This Row],[Tôi thấy Nhà nước đã giải thích rõ ràng, minh bạch về lý do và mục tiêu của việc sửa đổi thuế lần này. - HUMAN-TRU4]]</f>
        <v>8</v>
      </c>
      <c r="BC309" t="str">
        <f t="shared" si="130"/>
        <v>Support</v>
      </c>
      <c r="BD309" s="31">
        <f t="shared" si="131"/>
        <v>1</v>
      </c>
      <c r="BE309">
        <f>step3_validation[[#This Row],[AI_OUT1]]</f>
        <v>9</v>
      </c>
      <c r="BF309" t="str">
        <f t="shared" si="132"/>
        <v>Support</v>
      </c>
      <c r="BG309">
        <f>survey_responses[[#This Row],[Sau khi xem xét các quyền lợi và nghĩa vụ, bạn có ủng hộ và tuân thủ chính sách mới hiện nay? - HUMAN-OUT1]]</f>
        <v>8</v>
      </c>
      <c r="BH309" t="str">
        <f t="shared" si="133"/>
        <v>Support</v>
      </c>
      <c r="BI309" s="31">
        <f t="shared" si="134"/>
        <v>1</v>
      </c>
    </row>
    <row r="310" spans="1:61" hidden="1" x14ac:dyDescent="0.45">
      <c r="A310" s="29">
        <f>step3_validation[[#This Row],[Persona_ID]]</f>
        <v>309</v>
      </c>
      <c r="B310" s="30">
        <f>step3_validation[[#This Row],[Used_Seed]]</f>
        <v>350</v>
      </c>
      <c r="C310" t="str">
        <f>step3_validation[[#This Row],[Gender]]</f>
        <v>Nam</v>
      </c>
      <c r="D310" t="str">
        <f>survey_responses[[#This Row],[Giới tính của bạn:]]</f>
        <v>Nam</v>
      </c>
      <c r="E310" t="str">
        <f>step3_validation[[#This Row],[Age_Group]]</f>
        <v>30 - 39</v>
      </c>
      <c r="F310" t="str">
        <f>survey_responses[[#This Row],[Độ tuổi của bạn:]]</f>
        <v>30 - 39</v>
      </c>
      <c r="G310" t="str">
        <f>step3_validation[[#This Row],[Region]]</f>
        <v>Thành thị</v>
      </c>
      <c r="H310" t="str">
        <f>survey_responses[[#This Row],[Khu vực bạn đang sinh sống:]]</f>
        <v>Thành thị</v>
      </c>
      <c r="I310" t="str">
        <f>step3_validation[[#This Row],[Education]]</f>
        <v>Đại học</v>
      </c>
      <c r="J310" t="str">
        <f>survey_responses[[#This Row],[Trình độ học vấn cao nhất:]]</f>
        <v>Đại học</v>
      </c>
      <c r="K310" t="str">
        <f>step3_validation[[#This Row],[Employment]]</f>
        <v>Chính thức</v>
      </c>
      <c r="L310" t="str">
        <f>survey_responses[[#This Row],[Tình trạng việc làm chính:]]</f>
        <v>Khu vực chính thức (Có Hợp đồng lao động, đóng BHXH)</v>
      </c>
      <c r="M310">
        <f>step3_validation[[#This Row],[Income_Mil]]</f>
        <v>65.45417450884635</v>
      </c>
      <c r="N310" t="str">
        <f>survey_responses[[#This Row],[Thu nhập bình quân tháng theo Hợp đồng lao động của bạn là bao nhiêu? (Vui lòng điền tổng thu nhập trước khi khấu trừ các loại Bảo hiểm (BHXH, BHYT, BHTN) và Thuế TNCN)]]</f>
        <v>Từ 48 - 70 triệu VNĐ</v>
      </c>
      <c r="O310">
        <f>step3_validation[[#This Row],[Dependents]]</f>
        <v>1</v>
      </c>
      <c r="P310" t="str">
        <f>survey_responses[[#This Row],[Số người phụ thuộc (con nhỏ, cha mẹ già...) đủ điều kiện giảm trừ gia cảnh:]]</f>
        <v>1 người</v>
      </c>
      <c r="Q310">
        <f>step3_validation[[#This Row],[AI_ENF1]]</f>
        <v>7</v>
      </c>
      <c r="R310" t="str">
        <f t="shared" si="108"/>
        <v>Neutral</v>
      </c>
      <c r="S310">
        <f>survey_responses[[#This Row],[Tôi tin rằng với các quy định quản lý thuế hiện nay, hành vi gian lận hoặc trốn thuế sẽ dễ dàng bị phát hiện và xử lý nghiêm. - HUMAN-ENF1]]</f>
        <v>10</v>
      </c>
      <c r="T310" t="str">
        <f t="shared" si="109"/>
        <v>Support</v>
      </c>
      <c r="U310" s="31">
        <f t="shared" si="110"/>
        <v>3</v>
      </c>
      <c r="V310">
        <f>step3_validation[[#This Row],[AI_ENF2]]</f>
        <v>6</v>
      </c>
      <c r="W310" t="str">
        <f t="shared" si="111"/>
        <v>Neutral</v>
      </c>
      <c r="X310">
        <f>survey_responses[[#This Row],[Tôi tin rằng Nhà nước, cơ quan thuế có đủ khả năng và công nghệ để phát hiện, xử lý nghiêm các hành vi trốn thuế. - HUMAN-ENF2]]</f>
        <v>10</v>
      </c>
      <c r="Y310" t="str">
        <f t="shared" si="112"/>
        <v>Support</v>
      </c>
      <c r="Z310" s="31">
        <f t="shared" si="113"/>
        <v>4</v>
      </c>
      <c r="AA310">
        <f>step3_validation[[#This Row],[AI_FAC1]]</f>
        <v>8</v>
      </c>
      <c r="AB310" t="str">
        <f t="shared" si="114"/>
        <v>Support</v>
      </c>
      <c r="AC310">
        <f>survey_responses[[#This Row],[Các thủ tục khai báo thuế VÀ/HOẶC quy trình làm việc với cơ quan thuế đơn giản, tiện lợi, nhanh chóng hơn so với trước đây. - HUMAN-FAC1]]</f>
        <v>10</v>
      </c>
      <c r="AD310" t="str">
        <f t="shared" si="115"/>
        <v>Support</v>
      </c>
      <c r="AE310" s="31">
        <f t="shared" si="116"/>
        <v>2</v>
      </c>
      <c r="AF310">
        <f>step3_validation[[#This Row],[AI_FAC2]]</f>
        <v>9</v>
      </c>
      <c r="AG310" t="str">
        <f t="shared" si="117"/>
        <v>Support</v>
      </c>
      <c r="AH310">
        <f>survey_responses[[#This Row],[So với trước đây, tôi thấy cách tính thuế và các bậc thuế trong phương án mới đơn giản, dễ hiểu và dễ thực hiện hơn. - HUMAN-FAC2]]</f>
        <v>10</v>
      </c>
      <c r="AI310" t="str">
        <f t="shared" si="118"/>
        <v>Support</v>
      </c>
      <c r="AJ310" s="31">
        <f t="shared" si="119"/>
        <v>1</v>
      </c>
      <c r="AK310">
        <f>step3_validation[[#This Row],[AI_TRU1]]</f>
        <v>8</v>
      </c>
      <c r="AL310" t="str">
        <f t="shared" si="120"/>
        <v>Support</v>
      </c>
      <c r="AM310">
        <f>survey_responses[[#This Row],[Tôi tin rằng Nhà nước, cơ quan thuế sẽ thực thi chính sách mới một cách khách quan, công tâm và đối xử bình đẳng với mọi người nộp thuế.  - HUMAN-TRU1]]</f>
        <v>10</v>
      </c>
      <c r="AN310" t="str">
        <f t="shared" si="121"/>
        <v>Support</v>
      </c>
      <c r="AO310" s="31">
        <f t="shared" si="122"/>
        <v>2</v>
      </c>
      <c r="AP310">
        <f>step3_validation[[#This Row],[AI_TRU2]]</f>
        <v>9</v>
      </c>
      <c r="AQ310" t="str">
        <f t="shared" si="123"/>
        <v>Support</v>
      </c>
      <c r="AR310">
        <f>survey_responses[[#This Row],[Tôi thấy mức thuế tôi phải đóng theo phương án mới là công bằng (người thu nhập như tôi đóng mức này là hợp lý). - HUMAN-TRU2]]</f>
        <v>9</v>
      </c>
      <c r="AS310" t="str">
        <f t="shared" si="124"/>
        <v>Support</v>
      </c>
      <c r="AT310" s="31">
        <f t="shared" si="125"/>
        <v>0</v>
      </c>
      <c r="AU310">
        <f>step3_validation[[#This Row],[AI_TRU3]]</f>
        <v>8</v>
      </c>
      <c r="AV310" t="str">
        <f t="shared" si="126"/>
        <v>Support</v>
      </c>
      <c r="AW310">
        <f>survey_responses[[#This Row],[Tôi tin tưởng số tiền thuế tôi đóng sẽ được Nhà nước sử dụng hiệu quả để cải thiện dịch vụ công (y tế, đường xá...). - HUMAN-TRU3]]</f>
        <v>9</v>
      </c>
      <c r="AX310" t="str">
        <f t="shared" si="127"/>
        <v>Support</v>
      </c>
      <c r="AY310" s="31">
        <f t="shared" si="128"/>
        <v>1</v>
      </c>
      <c r="AZ310">
        <f>step3_validation[[#This Row],[AI_TRU4]]</f>
        <v>7</v>
      </c>
      <c r="BA310" t="str">
        <f t="shared" si="129"/>
        <v>Neutral</v>
      </c>
      <c r="BB310">
        <f>survey_responses[[#This Row],[Tôi thấy Nhà nước đã giải thích rõ ràng, minh bạch về lý do và mục tiêu của việc sửa đổi thuế lần này. - HUMAN-TRU4]]</f>
        <v>10</v>
      </c>
      <c r="BC310" t="str">
        <f t="shared" si="130"/>
        <v>Support</v>
      </c>
      <c r="BD310" s="31">
        <f t="shared" si="131"/>
        <v>3</v>
      </c>
      <c r="BE310">
        <f>step3_validation[[#This Row],[AI_OUT1]]</f>
        <v>8</v>
      </c>
      <c r="BF310" t="str">
        <f t="shared" si="132"/>
        <v>Support</v>
      </c>
      <c r="BG310">
        <f>survey_responses[[#This Row],[Sau khi xem xét các quyền lợi và nghĩa vụ, bạn có ủng hộ và tuân thủ chính sách mới hiện nay? - HUMAN-OUT1]]</f>
        <v>10</v>
      </c>
      <c r="BH310" t="str">
        <f t="shared" si="133"/>
        <v>Support</v>
      </c>
      <c r="BI310" s="31">
        <f t="shared" si="134"/>
        <v>2</v>
      </c>
    </row>
    <row r="311" spans="1:61" hidden="1" x14ac:dyDescent="0.45">
      <c r="A311" s="29">
        <f>step3_validation[[#This Row],[Persona_ID]]</f>
        <v>310</v>
      </c>
      <c r="B311" s="30">
        <f>step3_validation[[#This Row],[Used_Seed]]</f>
        <v>351</v>
      </c>
      <c r="C311" t="str">
        <f>step3_validation[[#This Row],[Gender]]</f>
        <v>Nữ</v>
      </c>
      <c r="D311" t="str">
        <f>survey_responses[[#This Row],[Giới tính của bạn:]]</f>
        <v>Nữ</v>
      </c>
      <c r="E311" t="str">
        <f>step3_validation[[#This Row],[Age_Group]]</f>
        <v>18 - 24</v>
      </c>
      <c r="F311" t="str">
        <f>survey_responses[[#This Row],[Độ tuổi của bạn:]]</f>
        <v>18 - 24</v>
      </c>
      <c r="G311" t="str">
        <f>step3_validation[[#This Row],[Region]]</f>
        <v>Thành thị</v>
      </c>
      <c r="H311" t="str">
        <f>survey_responses[[#This Row],[Khu vực bạn đang sinh sống:]]</f>
        <v>Thành thị</v>
      </c>
      <c r="I311" t="str">
        <f>step3_validation[[#This Row],[Education]]</f>
        <v>Đại học</v>
      </c>
      <c r="J311" t="str">
        <f>survey_responses[[#This Row],[Trình độ học vấn cao nhất:]]</f>
        <v>Đại học</v>
      </c>
      <c r="K311" t="str">
        <f>step3_validation[[#This Row],[Employment]]</f>
        <v>Chính thức</v>
      </c>
      <c r="L311" t="str">
        <f>survey_responses[[#This Row],[Tình trạng việc làm chính:]]</f>
        <v>Khu vực chính thức (Có Hợp đồng lao động, đóng BHXH)</v>
      </c>
      <c r="M311">
        <f>step3_validation[[#This Row],[Income_Mil]]</f>
        <v>20.305435334393543</v>
      </c>
      <c r="N311" t="str">
        <f>survey_responses[[#This Row],[Thu nhập bình quân tháng theo Hợp đồng lao động của bạn là bao nhiêu? (Vui lòng điền tổng thu nhập trước khi khấu trừ các loại Bảo hiểm (BHXH, BHYT, BHTN) và Thuế TNCN)]]</f>
        <v>Từ 18 - 23 triệu VNĐ</v>
      </c>
      <c r="O311">
        <f>step3_validation[[#This Row],[Dependents]]</f>
        <v>0</v>
      </c>
      <c r="P311" t="str">
        <f>survey_responses[[#This Row],[Số người phụ thuộc (con nhỏ, cha mẹ già...) đủ điều kiện giảm trừ gia cảnh:]]</f>
        <v>0 người</v>
      </c>
      <c r="Q311">
        <f>step3_validation[[#This Row],[AI_ENF1]]</f>
        <v>7</v>
      </c>
      <c r="R311" t="str">
        <f t="shared" si="108"/>
        <v>Neutral</v>
      </c>
      <c r="S311">
        <f>survey_responses[[#This Row],[Tôi tin rằng với các quy định quản lý thuế hiện nay, hành vi gian lận hoặc trốn thuế sẽ dễ dàng bị phát hiện và xử lý nghiêm. - HUMAN-ENF1]]</f>
        <v>7</v>
      </c>
      <c r="T311" t="str">
        <f t="shared" si="109"/>
        <v>Neutral</v>
      </c>
      <c r="U311" s="31">
        <f t="shared" si="110"/>
        <v>0</v>
      </c>
      <c r="V311">
        <f>step3_validation[[#This Row],[AI_ENF2]]</f>
        <v>7</v>
      </c>
      <c r="W311" t="str">
        <f t="shared" si="111"/>
        <v>Neutral</v>
      </c>
      <c r="X311">
        <f>survey_responses[[#This Row],[Tôi tin rằng Nhà nước, cơ quan thuế có đủ khả năng và công nghệ để phát hiện, xử lý nghiêm các hành vi trốn thuế. - HUMAN-ENF2]]</f>
        <v>7</v>
      </c>
      <c r="Y311" t="str">
        <f t="shared" si="112"/>
        <v>Neutral</v>
      </c>
      <c r="Z311" s="31">
        <f t="shared" si="113"/>
        <v>0</v>
      </c>
      <c r="AA311">
        <f>step3_validation[[#This Row],[AI_FAC1]]</f>
        <v>9</v>
      </c>
      <c r="AB311" t="str">
        <f t="shared" si="114"/>
        <v>Support</v>
      </c>
      <c r="AC311">
        <f>survey_responses[[#This Row],[Các thủ tục khai báo thuế VÀ/HOẶC quy trình làm việc với cơ quan thuế đơn giản, tiện lợi, nhanh chóng hơn so với trước đây. - HUMAN-FAC1]]</f>
        <v>5</v>
      </c>
      <c r="AD311" t="str">
        <f t="shared" si="115"/>
        <v>Neutral</v>
      </c>
      <c r="AE311" s="31">
        <f t="shared" si="116"/>
        <v>4</v>
      </c>
      <c r="AF311">
        <f>step3_validation[[#This Row],[AI_FAC2]]</f>
        <v>8</v>
      </c>
      <c r="AG311" t="str">
        <f t="shared" si="117"/>
        <v>Support</v>
      </c>
      <c r="AH311">
        <f>survey_responses[[#This Row],[So với trước đây, tôi thấy cách tính thuế và các bậc thuế trong phương án mới đơn giản, dễ hiểu và dễ thực hiện hơn. - HUMAN-FAC2]]</f>
        <v>8</v>
      </c>
      <c r="AI311" t="str">
        <f t="shared" si="118"/>
        <v>Support</v>
      </c>
      <c r="AJ311" s="31">
        <f t="shared" si="119"/>
        <v>0</v>
      </c>
      <c r="AK311">
        <f>step3_validation[[#This Row],[AI_TRU1]]</f>
        <v>7</v>
      </c>
      <c r="AL311" t="str">
        <f t="shared" si="120"/>
        <v>Neutral</v>
      </c>
      <c r="AM311">
        <f>survey_responses[[#This Row],[Tôi tin rằng Nhà nước, cơ quan thuế sẽ thực thi chính sách mới một cách khách quan, công tâm và đối xử bình đẳng với mọi người nộp thuế.  - HUMAN-TRU1]]</f>
        <v>8</v>
      </c>
      <c r="AN311" t="str">
        <f t="shared" si="121"/>
        <v>Support</v>
      </c>
      <c r="AO311" s="31">
        <f t="shared" si="122"/>
        <v>1</v>
      </c>
      <c r="AP311">
        <f>step3_validation[[#This Row],[AI_TRU2]]</f>
        <v>9</v>
      </c>
      <c r="AQ311" t="str">
        <f t="shared" si="123"/>
        <v>Support</v>
      </c>
      <c r="AR311">
        <f>survey_responses[[#This Row],[Tôi thấy mức thuế tôi phải đóng theo phương án mới là công bằng (người thu nhập như tôi đóng mức này là hợp lý). - HUMAN-TRU2]]</f>
        <v>9</v>
      </c>
      <c r="AS311" t="str">
        <f t="shared" si="124"/>
        <v>Support</v>
      </c>
      <c r="AT311" s="31">
        <f t="shared" si="125"/>
        <v>0</v>
      </c>
      <c r="AU311">
        <f>step3_validation[[#This Row],[AI_TRU3]]</f>
        <v>8</v>
      </c>
      <c r="AV311" t="str">
        <f t="shared" si="126"/>
        <v>Support</v>
      </c>
      <c r="AW311">
        <f>survey_responses[[#This Row],[Tôi tin tưởng số tiền thuế tôi đóng sẽ được Nhà nước sử dụng hiệu quả để cải thiện dịch vụ công (y tế, đường xá...). - HUMAN-TRU3]]</f>
        <v>9</v>
      </c>
      <c r="AX311" t="str">
        <f t="shared" si="127"/>
        <v>Support</v>
      </c>
      <c r="AY311" s="31">
        <f t="shared" si="128"/>
        <v>1</v>
      </c>
      <c r="AZ311">
        <f>step3_validation[[#This Row],[AI_TRU4]]</f>
        <v>7</v>
      </c>
      <c r="BA311" t="str">
        <f t="shared" si="129"/>
        <v>Neutral</v>
      </c>
      <c r="BB311">
        <f>survey_responses[[#This Row],[Tôi thấy Nhà nước đã giải thích rõ ràng, minh bạch về lý do và mục tiêu của việc sửa đổi thuế lần này. - HUMAN-TRU4]]</f>
        <v>9</v>
      </c>
      <c r="BC311" t="str">
        <f t="shared" si="130"/>
        <v>Support</v>
      </c>
      <c r="BD311" s="31">
        <f t="shared" si="131"/>
        <v>2</v>
      </c>
      <c r="BE311">
        <f>step3_validation[[#This Row],[AI_OUT1]]</f>
        <v>9</v>
      </c>
      <c r="BF311" t="str">
        <f t="shared" si="132"/>
        <v>Support</v>
      </c>
      <c r="BG311">
        <f>survey_responses[[#This Row],[Sau khi xem xét các quyền lợi và nghĩa vụ, bạn có ủng hộ và tuân thủ chính sách mới hiện nay? - HUMAN-OUT1]]</f>
        <v>10</v>
      </c>
      <c r="BH311" t="str">
        <f t="shared" si="133"/>
        <v>Support</v>
      </c>
      <c r="BI311" s="31">
        <f t="shared" si="134"/>
        <v>1</v>
      </c>
    </row>
    <row r="312" spans="1:61" hidden="1" x14ac:dyDescent="0.45">
      <c r="A312" s="29">
        <f>step3_validation[[#This Row],[Persona_ID]]</f>
        <v>311</v>
      </c>
      <c r="B312" s="30">
        <f>step3_validation[[#This Row],[Used_Seed]]</f>
        <v>352</v>
      </c>
      <c r="C312" t="str">
        <f>step3_validation[[#This Row],[Gender]]</f>
        <v>Nữ</v>
      </c>
      <c r="D312" t="str">
        <f>survey_responses[[#This Row],[Giới tính của bạn:]]</f>
        <v>Nữ</v>
      </c>
      <c r="E312" t="str">
        <f>step3_validation[[#This Row],[Age_Group]]</f>
        <v>18 - 24</v>
      </c>
      <c r="F312" t="str">
        <f>survey_responses[[#This Row],[Độ tuổi của bạn:]]</f>
        <v>18 - 24</v>
      </c>
      <c r="G312" t="str">
        <f>step3_validation[[#This Row],[Region]]</f>
        <v>Thành thị</v>
      </c>
      <c r="H312" t="str">
        <f>survey_responses[[#This Row],[Khu vực bạn đang sinh sống:]]</f>
        <v>Thành thị</v>
      </c>
      <c r="I312" t="str">
        <f>step3_validation[[#This Row],[Education]]</f>
        <v>Đại học</v>
      </c>
      <c r="J312" t="str">
        <f>survey_responses[[#This Row],[Trình độ học vấn cao nhất:]]</f>
        <v>Đại học</v>
      </c>
      <c r="K312" t="str">
        <f>step3_validation[[#This Row],[Employment]]</f>
        <v>Chính thức</v>
      </c>
      <c r="L312" t="str">
        <f>survey_responses[[#This Row],[Tình trạng việc làm chính:]]</f>
        <v>Khu vực chính thức (Có Hợp đồng lao động, đóng BHXH)</v>
      </c>
      <c r="M312">
        <f>step3_validation[[#This Row],[Income_Mil]]</f>
        <v>12.462036994725276</v>
      </c>
      <c r="N312" t="str">
        <f>survey_responses[[#This Row],[Thu nhập bình quân tháng theo Hợp đồng lao động của bạn là bao nhiêu? (Vui lòng điền tổng thu nhập trước khi khấu trừ các loại Bảo hiểm (BHXH, BHYT, BHTN) và Thuế TNCN)]]</f>
        <v>Từ 12 - 18 triệu VNĐ</v>
      </c>
      <c r="O312">
        <f>step3_validation[[#This Row],[Dependents]]</f>
        <v>0</v>
      </c>
      <c r="P312" t="str">
        <f>survey_responses[[#This Row],[Số người phụ thuộc (con nhỏ, cha mẹ già...) đủ điều kiện giảm trừ gia cảnh:]]</f>
        <v>0 người</v>
      </c>
      <c r="Q312">
        <f>step3_validation[[#This Row],[AI_ENF1]]</f>
        <v>7</v>
      </c>
      <c r="R312" t="str">
        <f t="shared" si="108"/>
        <v>Neutral</v>
      </c>
      <c r="S312">
        <f>survey_responses[[#This Row],[Tôi tin rằng với các quy định quản lý thuế hiện nay, hành vi gian lận hoặc trốn thuế sẽ dễ dàng bị phát hiện và xử lý nghiêm. - HUMAN-ENF1]]</f>
        <v>6</v>
      </c>
      <c r="T312" t="str">
        <f t="shared" si="109"/>
        <v>Neutral</v>
      </c>
      <c r="U312" s="31">
        <f t="shared" si="110"/>
        <v>1</v>
      </c>
      <c r="V312">
        <f>step3_validation[[#This Row],[AI_ENF2]]</f>
        <v>8</v>
      </c>
      <c r="W312" t="str">
        <f t="shared" si="111"/>
        <v>Support</v>
      </c>
      <c r="X312">
        <f>survey_responses[[#This Row],[Tôi tin rằng Nhà nước, cơ quan thuế có đủ khả năng và công nghệ để phát hiện, xử lý nghiêm các hành vi trốn thuế. - HUMAN-ENF2]]</f>
        <v>5</v>
      </c>
      <c r="Y312" t="str">
        <f t="shared" si="112"/>
        <v>Neutral</v>
      </c>
      <c r="Z312" s="31">
        <f t="shared" si="113"/>
        <v>3</v>
      </c>
      <c r="AA312">
        <f>step3_validation[[#This Row],[AI_FAC1]]</f>
        <v>6</v>
      </c>
      <c r="AB312" t="str">
        <f t="shared" si="114"/>
        <v>Neutral</v>
      </c>
      <c r="AC312">
        <f>survey_responses[[#This Row],[Các thủ tục khai báo thuế VÀ/HOẶC quy trình làm việc với cơ quan thuế đơn giản, tiện lợi, nhanh chóng hơn so với trước đây. - HUMAN-FAC1]]</f>
        <v>4</v>
      </c>
      <c r="AD312" t="str">
        <f t="shared" si="115"/>
        <v>Oppose</v>
      </c>
      <c r="AE312" s="31">
        <f t="shared" si="116"/>
        <v>2</v>
      </c>
      <c r="AF312">
        <f>step3_validation[[#This Row],[AI_FAC2]]</f>
        <v>9</v>
      </c>
      <c r="AG312" t="str">
        <f t="shared" si="117"/>
        <v>Support</v>
      </c>
      <c r="AH312">
        <f>survey_responses[[#This Row],[So với trước đây, tôi thấy cách tính thuế và các bậc thuế trong phương án mới đơn giản, dễ hiểu và dễ thực hiện hơn. - HUMAN-FAC2]]</f>
        <v>7</v>
      </c>
      <c r="AI312" t="str">
        <f t="shared" si="118"/>
        <v>Neutral</v>
      </c>
      <c r="AJ312" s="31">
        <f t="shared" si="119"/>
        <v>2</v>
      </c>
      <c r="AK312">
        <f>step3_validation[[#This Row],[AI_TRU1]]</f>
        <v>7</v>
      </c>
      <c r="AL312" t="str">
        <f t="shared" si="120"/>
        <v>Neutral</v>
      </c>
      <c r="AM312">
        <f>survey_responses[[#This Row],[Tôi tin rằng Nhà nước, cơ quan thuế sẽ thực thi chính sách mới một cách khách quan, công tâm và đối xử bình đẳng với mọi người nộp thuế.  - HUMAN-TRU1]]</f>
        <v>5</v>
      </c>
      <c r="AN312" t="str">
        <f t="shared" si="121"/>
        <v>Neutral</v>
      </c>
      <c r="AO312" s="31">
        <f t="shared" si="122"/>
        <v>2</v>
      </c>
      <c r="AP312">
        <f>step3_validation[[#This Row],[AI_TRU2]]</f>
        <v>8</v>
      </c>
      <c r="AQ312" t="str">
        <f t="shared" si="123"/>
        <v>Support</v>
      </c>
      <c r="AR312">
        <f>survey_responses[[#This Row],[Tôi thấy mức thuế tôi phải đóng theo phương án mới là công bằng (người thu nhập như tôi đóng mức này là hợp lý). - HUMAN-TRU2]]</f>
        <v>6</v>
      </c>
      <c r="AS312" t="str">
        <f t="shared" si="124"/>
        <v>Neutral</v>
      </c>
      <c r="AT312" s="31">
        <f t="shared" si="125"/>
        <v>2</v>
      </c>
      <c r="AU312">
        <f>step3_validation[[#This Row],[AI_TRU3]]</f>
        <v>7</v>
      </c>
      <c r="AV312" t="str">
        <f t="shared" si="126"/>
        <v>Neutral</v>
      </c>
      <c r="AW312">
        <f>survey_responses[[#This Row],[Tôi tin tưởng số tiền thuế tôi đóng sẽ được Nhà nước sử dụng hiệu quả để cải thiện dịch vụ công (y tế, đường xá...). - HUMAN-TRU3]]</f>
        <v>6</v>
      </c>
      <c r="AX312" t="str">
        <f t="shared" si="127"/>
        <v>Neutral</v>
      </c>
      <c r="AY312" s="31">
        <f t="shared" si="128"/>
        <v>1</v>
      </c>
      <c r="AZ312">
        <f>step3_validation[[#This Row],[AI_TRU4]]</f>
        <v>6</v>
      </c>
      <c r="BA312" t="str">
        <f t="shared" si="129"/>
        <v>Neutral</v>
      </c>
      <c r="BB312">
        <f>survey_responses[[#This Row],[Tôi thấy Nhà nước đã giải thích rõ ràng, minh bạch về lý do và mục tiêu của việc sửa đổi thuế lần này. - HUMAN-TRU4]]</f>
        <v>7</v>
      </c>
      <c r="BC312" t="str">
        <f t="shared" si="130"/>
        <v>Neutral</v>
      </c>
      <c r="BD312" s="31">
        <f t="shared" si="131"/>
        <v>1</v>
      </c>
      <c r="BE312">
        <f>step3_validation[[#This Row],[AI_OUT1]]</f>
        <v>8</v>
      </c>
      <c r="BF312" t="str">
        <f t="shared" si="132"/>
        <v>Support</v>
      </c>
      <c r="BG312">
        <f>survey_responses[[#This Row],[Sau khi xem xét các quyền lợi và nghĩa vụ, bạn có ủng hộ và tuân thủ chính sách mới hiện nay? - HUMAN-OUT1]]</f>
        <v>7</v>
      </c>
      <c r="BH312" t="str">
        <f t="shared" si="133"/>
        <v>Neutral</v>
      </c>
      <c r="BI312" s="31">
        <f t="shared" si="134"/>
        <v>1</v>
      </c>
    </row>
    <row r="313" spans="1:61" hidden="1" x14ac:dyDescent="0.45">
      <c r="A313" s="29">
        <f>step3_validation[[#This Row],[Persona_ID]]</f>
        <v>312</v>
      </c>
      <c r="B313" s="30">
        <f>step3_validation[[#This Row],[Used_Seed]]</f>
        <v>353</v>
      </c>
      <c r="C313" t="str">
        <f>step3_validation[[#This Row],[Gender]]</f>
        <v>Nam</v>
      </c>
      <c r="D313" t="str">
        <f>survey_responses[[#This Row],[Giới tính của bạn:]]</f>
        <v>Nam</v>
      </c>
      <c r="E313" t="str">
        <f>step3_validation[[#This Row],[Age_Group]]</f>
        <v>25 - 29</v>
      </c>
      <c r="F313" t="str">
        <f>survey_responses[[#This Row],[Độ tuổi của bạn:]]</f>
        <v>25 - 29</v>
      </c>
      <c r="G313" t="str">
        <f>step3_validation[[#This Row],[Region]]</f>
        <v>Thành thị</v>
      </c>
      <c r="H313" t="str">
        <f>survey_responses[[#This Row],[Khu vực bạn đang sinh sống:]]</f>
        <v>Thành thị</v>
      </c>
      <c r="I313" t="str">
        <f>step3_validation[[#This Row],[Education]]</f>
        <v>Đại học</v>
      </c>
      <c r="J313" t="str">
        <f>survey_responses[[#This Row],[Trình độ học vấn cao nhất:]]</f>
        <v>Đại học</v>
      </c>
      <c r="K313" t="str">
        <f>step3_validation[[#This Row],[Employment]]</f>
        <v>Chính thức</v>
      </c>
      <c r="L313" t="str">
        <f>survey_responses[[#This Row],[Tình trạng việc làm chính:]]</f>
        <v>Khu vực chính thức (Có Hợp đồng lao động, đóng BHXH)</v>
      </c>
      <c r="M313">
        <f>step3_validation[[#This Row],[Income_Mil]]</f>
        <v>19.905338494533282</v>
      </c>
      <c r="N313" t="str">
        <f>survey_responses[[#This Row],[Thu nhập bình quân tháng theo Hợp đồng lao động của bạn là bao nhiêu? (Vui lòng điền tổng thu nhập trước khi khấu trừ các loại Bảo hiểm (BHXH, BHYT, BHTN) và Thuế TNCN)]]</f>
        <v>Từ 18 - 23 triệu VNĐ</v>
      </c>
      <c r="O313">
        <f>step3_validation[[#This Row],[Dependents]]</f>
        <v>0</v>
      </c>
      <c r="P313" t="str">
        <f>survey_responses[[#This Row],[Số người phụ thuộc (con nhỏ, cha mẹ già...) đủ điều kiện giảm trừ gia cảnh:]]</f>
        <v>0 người</v>
      </c>
      <c r="Q313">
        <f>step3_validation[[#This Row],[AI_ENF1]]</f>
        <v>7</v>
      </c>
      <c r="R313" t="str">
        <f t="shared" si="108"/>
        <v>Neutral</v>
      </c>
      <c r="S313">
        <f>survey_responses[[#This Row],[Tôi tin rằng với các quy định quản lý thuế hiện nay, hành vi gian lận hoặc trốn thuế sẽ dễ dàng bị phát hiện và xử lý nghiêm. - HUMAN-ENF1]]</f>
        <v>8</v>
      </c>
      <c r="T313" t="str">
        <f t="shared" si="109"/>
        <v>Support</v>
      </c>
      <c r="U313" s="31">
        <f t="shared" si="110"/>
        <v>1</v>
      </c>
      <c r="V313">
        <f>step3_validation[[#This Row],[AI_ENF2]]</f>
        <v>6</v>
      </c>
      <c r="W313" t="str">
        <f t="shared" si="111"/>
        <v>Neutral</v>
      </c>
      <c r="X313">
        <f>survey_responses[[#This Row],[Tôi tin rằng Nhà nước, cơ quan thuế có đủ khả năng và công nghệ để phát hiện, xử lý nghiêm các hành vi trốn thuế. - HUMAN-ENF2]]</f>
        <v>9</v>
      </c>
      <c r="Y313" t="str">
        <f t="shared" si="112"/>
        <v>Support</v>
      </c>
      <c r="Z313" s="31">
        <f t="shared" si="113"/>
        <v>3</v>
      </c>
      <c r="AA313">
        <f>step3_validation[[#This Row],[AI_FAC1]]</f>
        <v>8</v>
      </c>
      <c r="AB313" t="str">
        <f t="shared" si="114"/>
        <v>Support</v>
      </c>
      <c r="AC313">
        <f>survey_responses[[#This Row],[Các thủ tục khai báo thuế VÀ/HOẶC quy trình làm việc với cơ quan thuế đơn giản, tiện lợi, nhanh chóng hơn so với trước đây. - HUMAN-FAC1]]</f>
        <v>10</v>
      </c>
      <c r="AD313" t="str">
        <f t="shared" si="115"/>
        <v>Support</v>
      </c>
      <c r="AE313" s="31">
        <f t="shared" si="116"/>
        <v>2</v>
      </c>
      <c r="AF313">
        <f>step3_validation[[#This Row],[AI_FAC2]]</f>
        <v>9</v>
      </c>
      <c r="AG313" t="str">
        <f t="shared" si="117"/>
        <v>Support</v>
      </c>
      <c r="AH313">
        <f>survey_responses[[#This Row],[So với trước đây, tôi thấy cách tính thuế và các bậc thuế trong phương án mới đơn giản, dễ hiểu và dễ thực hiện hơn. - HUMAN-FAC2]]</f>
        <v>10</v>
      </c>
      <c r="AI313" t="str">
        <f t="shared" si="118"/>
        <v>Support</v>
      </c>
      <c r="AJ313" s="31">
        <f t="shared" si="119"/>
        <v>1</v>
      </c>
      <c r="AK313">
        <f>step3_validation[[#This Row],[AI_TRU1]]</f>
        <v>7</v>
      </c>
      <c r="AL313" t="str">
        <f t="shared" si="120"/>
        <v>Neutral</v>
      </c>
      <c r="AM313">
        <f>survey_responses[[#This Row],[Tôi tin rằng Nhà nước, cơ quan thuế sẽ thực thi chính sách mới một cách khách quan, công tâm và đối xử bình đẳng với mọi người nộp thuế.  - HUMAN-TRU1]]</f>
        <v>8</v>
      </c>
      <c r="AN313" t="str">
        <f t="shared" si="121"/>
        <v>Support</v>
      </c>
      <c r="AO313" s="31">
        <f t="shared" si="122"/>
        <v>1</v>
      </c>
      <c r="AP313">
        <f>step3_validation[[#This Row],[AI_TRU2]]</f>
        <v>8</v>
      </c>
      <c r="AQ313" t="str">
        <f t="shared" si="123"/>
        <v>Support</v>
      </c>
      <c r="AR313">
        <f>survey_responses[[#This Row],[Tôi thấy mức thuế tôi phải đóng theo phương án mới là công bằng (người thu nhập như tôi đóng mức này là hợp lý). - HUMAN-TRU2]]</f>
        <v>9</v>
      </c>
      <c r="AS313" t="str">
        <f t="shared" si="124"/>
        <v>Support</v>
      </c>
      <c r="AT313" s="31">
        <f t="shared" si="125"/>
        <v>1</v>
      </c>
      <c r="AU313">
        <f>step3_validation[[#This Row],[AI_TRU3]]</f>
        <v>7</v>
      </c>
      <c r="AV313" t="str">
        <f t="shared" si="126"/>
        <v>Neutral</v>
      </c>
      <c r="AW313">
        <f>survey_responses[[#This Row],[Tôi tin tưởng số tiền thuế tôi đóng sẽ được Nhà nước sử dụng hiệu quả để cải thiện dịch vụ công (y tế, đường xá...). - HUMAN-TRU3]]</f>
        <v>8</v>
      </c>
      <c r="AX313" t="str">
        <f t="shared" si="127"/>
        <v>Support</v>
      </c>
      <c r="AY313" s="31">
        <f t="shared" si="128"/>
        <v>1</v>
      </c>
      <c r="AZ313">
        <f>step3_validation[[#This Row],[AI_TRU4]]</f>
        <v>6</v>
      </c>
      <c r="BA313" t="str">
        <f t="shared" si="129"/>
        <v>Neutral</v>
      </c>
      <c r="BB313">
        <f>survey_responses[[#This Row],[Tôi thấy Nhà nước đã giải thích rõ ràng, minh bạch về lý do và mục tiêu của việc sửa đổi thuế lần này. - HUMAN-TRU4]]</f>
        <v>8</v>
      </c>
      <c r="BC313" t="str">
        <f t="shared" si="130"/>
        <v>Support</v>
      </c>
      <c r="BD313" s="31">
        <f t="shared" si="131"/>
        <v>2</v>
      </c>
      <c r="BE313">
        <f>step3_validation[[#This Row],[AI_OUT1]]</f>
        <v>9</v>
      </c>
      <c r="BF313" t="str">
        <f t="shared" si="132"/>
        <v>Support</v>
      </c>
      <c r="BG313">
        <f>survey_responses[[#This Row],[Sau khi xem xét các quyền lợi và nghĩa vụ, bạn có ủng hộ và tuân thủ chính sách mới hiện nay? - HUMAN-OUT1]]</f>
        <v>10</v>
      </c>
      <c r="BH313" t="str">
        <f t="shared" si="133"/>
        <v>Support</v>
      </c>
      <c r="BI313" s="31">
        <f t="shared" si="134"/>
        <v>1</v>
      </c>
    </row>
    <row r="314" spans="1:61" hidden="1" x14ac:dyDescent="0.45">
      <c r="A314" s="29">
        <f>step3_validation[[#This Row],[Persona_ID]]</f>
        <v>313</v>
      </c>
      <c r="B314" s="30">
        <f>step3_validation[[#This Row],[Used_Seed]]</f>
        <v>354</v>
      </c>
      <c r="C314" t="str">
        <f>step3_validation[[#This Row],[Gender]]</f>
        <v>Nam</v>
      </c>
      <c r="D314" t="str">
        <f>survey_responses[[#This Row],[Giới tính của bạn:]]</f>
        <v>Nam</v>
      </c>
      <c r="E314" t="str">
        <f>step3_validation[[#This Row],[Age_Group]]</f>
        <v>18 - 24</v>
      </c>
      <c r="F314" t="str">
        <f>survey_responses[[#This Row],[Độ tuổi của bạn:]]</f>
        <v>18 - 24</v>
      </c>
      <c r="G314" t="str">
        <f>step3_validation[[#This Row],[Region]]</f>
        <v>Thành thị</v>
      </c>
      <c r="H314" t="str">
        <f>survey_responses[[#This Row],[Khu vực bạn đang sinh sống:]]</f>
        <v>Thành thị</v>
      </c>
      <c r="I314" t="str">
        <f>step3_validation[[#This Row],[Education]]</f>
        <v>Đại học</v>
      </c>
      <c r="J314" t="str">
        <f>survey_responses[[#This Row],[Trình độ học vấn cao nhất:]]</f>
        <v>Đại học</v>
      </c>
      <c r="K314" t="str">
        <f>step3_validation[[#This Row],[Employment]]</f>
        <v>Chính thức</v>
      </c>
      <c r="L314" t="str">
        <f>survey_responses[[#This Row],[Tình trạng việc làm chính:]]</f>
        <v>Khu vực chính thức (Có Hợp đồng lao động, đóng BHXH)</v>
      </c>
      <c r="M314">
        <f>step3_validation[[#This Row],[Income_Mil]]</f>
        <v>13.72399501447819</v>
      </c>
      <c r="N314" t="str">
        <f>survey_responses[[#This Row],[Thu nhập bình quân tháng theo Hợp đồng lao động của bạn là bao nhiêu? (Vui lòng điền tổng thu nhập trước khi khấu trừ các loại Bảo hiểm (BHXH, BHYT, BHTN) và Thuế TNCN)]]</f>
        <v>Từ 12 - 18 triệu VNĐ</v>
      </c>
      <c r="O314">
        <f>step3_validation[[#This Row],[Dependents]]</f>
        <v>0</v>
      </c>
      <c r="P314" t="str">
        <f>survey_responses[[#This Row],[Số người phụ thuộc (con nhỏ, cha mẹ già...) đủ điều kiện giảm trừ gia cảnh:]]</f>
        <v>0 người</v>
      </c>
      <c r="Q314">
        <f>step3_validation[[#This Row],[AI_ENF1]]</f>
        <v>6</v>
      </c>
      <c r="R314" t="str">
        <f t="shared" si="108"/>
        <v>Neutral</v>
      </c>
      <c r="S314">
        <f>survey_responses[[#This Row],[Tôi tin rằng với các quy định quản lý thuế hiện nay, hành vi gian lận hoặc trốn thuế sẽ dễ dàng bị phát hiện và xử lý nghiêm. - HUMAN-ENF1]]</f>
        <v>6</v>
      </c>
      <c r="T314" t="str">
        <f t="shared" si="109"/>
        <v>Neutral</v>
      </c>
      <c r="U314" s="31">
        <f t="shared" si="110"/>
        <v>0</v>
      </c>
      <c r="V314">
        <f>step3_validation[[#This Row],[AI_ENF2]]</f>
        <v>6</v>
      </c>
      <c r="W314" t="str">
        <f t="shared" si="111"/>
        <v>Neutral</v>
      </c>
      <c r="X314">
        <f>survey_responses[[#This Row],[Tôi tin rằng Nhà nước, cơ quan thuế có đủ khả năng và công nghệ để phát hiện, xử lý nghiêm các hành vi trốn thuế. - HUMAN-ENF2]]</f>
        <v>6</v>
      </c>
      <c r="Y314" t="str">
        <f t="shared" si="112"/>
        <v>Neutral</v>
      </c>
      <c r="Z314" s="31">
        <f t="shared" si="113"/>
        <v>0</v>
      </c>
      <c r="AA314">
        <f>step3_validation[[#This Row],[AI_FAC1]]</f>
        <v>7</v>
      </c>
      <c r="AB314" t="str">
        <f t="shared" si="114"/>
        <v>Neutral</v>
      </c>
      <c r="AC314">
        <f>survey_responses[[#This Row],[Các thủ tục khai báo thuế VÀ/HOẶC quy trình làm việc với cơ quan thuế đơn giản, tiện lợi, nhanh chóng hơn so với trước đây. - HUMAN-FAC1]]</f>
        <v>7</v>
      </c>
      <c r="AD314" t="str">
        <f t="shared" si="115"/>
        <v>Neutral</v>
      </c>
      <c r="AE314" s="31">
        <f t="shared" si="116"/>
        <v>0</v>
      </c>
      <c r="AF314">
        <f>step3_validation[[#This Row],[AI_FAC2]]</f>
        <v>9</v>
      </c>
      <c r="AG314" t="str">
        <f t="shared" si="117"/>
        <v>Support</v>
      </c>
      <c r="AH314">
        <f>survey_responses[[#This Row],[So với trước đây, tôi thấy cách tính thuế và các bậc thuế trong phương án mới đơn giản, dễ hiểu và dễ thực hiện hơn. - HUMAN-FAC2]]</f>
        <v>7</v>
      </c>
      <c r="AI314" t="str">
        <f t="shared" si="118"/>
        <v>Neutral</v>
      </c>
      <c r="AJ314" s="31">
        <f t="shared" si="119"/>
        <v>2</v>
      </c>
      <c r="AK314">
        <f>step3_validation[[#This Row],[AI_TRU1]]</f>
        <v>8</v>
      </c>
      <c r="AL314" t="str">
        <f t="shared" si="120"/>
        <v>Support</v>
      </c>
      <c r="AM314">
        <f>survey_responses[[#This Row],[Tôi tin rằng Nhà nước, cơ quan thuế sẽ thực thi chính sách mới một cách khách quan, công tâm và đối xử bình đẳng với mọi người nộp thuế.  - HUMAN-TRU1]]</f>
        <v>7</v>
      </c>
      <c r="AN314" t="str">
        <f t="shared" si="121"/>
        <v>Neutral</v>
      </c>
      <c r="AO314" s="31">
        <f t="shared" si="122"/>
        <v>1</v>
      </c>
      <c r="AP314">
        <f>step3_validation[[#This Row],[AI_TRU2]]</f>
        <v>9</v>
      </c>
      <c r="AQ314" t="str">
        <f t="shared" si="123"/>
        <v>Support</v>
      </c>
      <c r="AR314">
        <f>survey_responses[[#This Row],[Tôi thấy mức thuế tôi phải đóng theo phương án mới là công bằng (người thu nhập như tôi đóng mức này là hợp lý). - HUMAN-TRU2]]</f>
        <v>8</v>
      </c>
      <c r="AS314" t="str">
        <f t="shared" si="124"/>
        <v>Support</v>
      </c>
      <c r="AT314" s="31">
        <f t="shared" si="125"/>
        <v>1</v>
      </c>
      <c r="AU314">
        <f>step3_validation[[#This Row],[AI_TRU3]]</f>
        <v>8</v>
      </c>
      <c r="AV314" t="str">
        <f t="shared" si="126"/>
        <v>Support</v>
      </c>
      <c r="AW314">
        <f>survey_responses[[#This Row],[Tôi tin tưởng số tiền thuế tôi đóng sẽ được Nhà nước sử dụng hiệu quả để cải thiện dịch vụ công (y tế, đường xá...). - HUMAN-TRU3]]</f>
        <v>5</v>
      </c>
      <c r="AX314" t="str">
        <f t="shared" si="127"/>
        <v>Neutral</v>
      </c>
      <c r="AY314" s="31">
        <f t="shared" si="128"/>
        <v>3</v>
      </c>
      <c r="AZ314">
        <f>step3_validation[[#This Row],[AI_TRU4]]</f>
        <v>7</v>
      </c>
      <c r="BA314" t="str">
        <f t="shared" si="129"/>
        <v>Neutral</v>
      </c>
      <c r="BB314">
        <f>survey_responses[[#This Row],[Tôi thấy Nhà nước đã giải thích rõ ràng, minh bạch về lý do và mục tiêu của việc sửa đổi thuế lần này. - HUMAN-TRU4]]</f>
        <v>5</v>
      </c>
      <c r="BC314" t="str">
        <f t="shared" si="130"/>
        <v>Neutral</v>
      </c>
      <c r="BD314" s="31">
        <f t="shared" si="131"/>
        <v>2</v>
      </c>
      <c r="BE314">
        <f>step3_validation[[#This Row],[AI_OUT1]]</f>
        <v>9</v>
      </c>
      <c r="BF314" t="str">
        <f t="shared" si="132"/>
        <v>Support</v>
      </c>
      <c r="BG314">
        <f>survey_responses[[#This Row],[Sau khi xem xét các quyền lợi và nghĩa vụ, bạn có ủng hộ và tuân thủ chính sách mới hiện nay? - HUMAN-OUT1]]</f>
        <v>8</v>
      </c>
      <c r="BH314" t="str">
        <f t="shared" si="133"/>
        <v>Support</v>
      </c>
      <c r="BI314" s="31">
        <f t="shared" si="134"/>
        <v>1</v>
      </c>
    </row>
    <row r="315" spans="1:61" hidden="1" x14ac:dyDescent="0.45">
      <c r="A315" s="29">
        <f>step3_validation[[#This Row],[Persona_ID]]</f>
        <v>314</v>
      </c>
      <c r="B315" s="30">
        <f>step3_validation[[#This Row],[Used_Seed]]</f>
        <v>355</v>
      </c>
      <c r="C315" t="str">
        <f>step3_validation[[#This Row],[Gender]]</f>
        <v>Nữ</v>
      </c>
      <c r="D315" t="str">
        <f>survey_responses[[#This Row],[Giới tính của bạn:]]</f>
        <v>Nữ</v>
      </c>
      <c r="E315" t="str">
        <f>step3_validation[[#This Row],[Age_Group]]</f>
        <v>18 - 24</v>
      </c>
      <c r="F315" t="str">
        <f>survey_responses[[#This Row],[Độ tuổi của bạn:]]</f>
        <v>18 - 24</v>
      </c>
      <c r="G315" t="str">
        <f>step3_validation[[#This Row],[Region]]</f>
        <v>Thành thị</v>
      </c>
      <c r="H315" t="str">
        <f>survey_responses[[#This Row],[Khu vực bạn đang sinh sống:]]</f>
        <v>Thành thị</v>
      </c>
      <c r="I315" t="str">
        <f>step3_validation[[#This Row],[Education]]</f>
        <v>Đại học</v>
      </c>
      <c r="J315" t="str">
        <f>survey_responses[[#This Row],[Trình độ học vấn cao nhất:]]</f>
        <v>Đại học</v>
      </c>
      <c r="K315" t="str">
        <f>step3_validation[[#This Row],[Employment]]</f>
        <v>Chính thức</v>
      </c>
      <c r="L315" t="str">
        <f>survey_responses[[#This Row],[Tình trạng việc làm chính:]]</f>
        <v>Khu vực chính thức (Có Hợp đồng lao động, đóng BHXH)</v>
      </c>
      <c r="M315">
        <f>step3_validation[[#This Row],[Income_Mil]]</f>
        <v>14.633948040503883</v>
      </c>
      <c r="N315" t="str">
        <f>survey_responses[[#This Row],[Thu nhập bình quân tháng theo Hợp đồng lao động của bạn là bao nhiêu? (Vui lòng điền tổng thu nhập trước khi khấu trừ các loại Bảo hiểm (BHXH, BHYT, BHTN) và Thuế TNCN)]]</f>
        <v>Từ 12 - 18 triệu VNĐ</v>
      </c>
      <c r="O315">
        <f>step3_validation[[#This Row],[Dependents]]</f>
        <v>0</v>
      </c>
      <c r="P315" t="str">
        <f>survey_responses[[#This Row],[Số người phụ thuộc (con nhỏ, cha mẹ già...) đủ điều kiện giảm trừ gia cảnh:]]</f>
        <v>0 người</v>
      </c>
      <c r="Q315">
        <f>step3_validation[[#This Row],[AI_ENF1]]</f>
        <v>6</v>
      </c>
      <c r="R315" t="str">
        <f t="shared" si="108"/>
        <v>Neutral</v>
      </c>
      <c r="S315">
        <f>survey_responses[[#This Row],[Tôi tin rằng với các quy định quản lý thuế hiện nay, hành vi gian lận hoặc trốn thuế sẽ dễ dàng bị phát hiện và xử lý nghiêm. - HUMAN-ENF1]]</f>
        <v>7</v>
      </c>
      <c r="T315" t="str">
        <f t="shared" si="109"/>
        <v>Neutral</v>
      </c>
      <c r="U315" s="31">
        <f t="shared" si="110"/>
        <v>1</v>
      </c>
      <c r="V315">
        <f>step3_validation[[#This Row],[AI_ENF2]]</f>
        <v>7</v>
      </c>
      <c r="W315" t="str">
        <f t="shared" si="111"/>
        <v>Neutral</v>
      </c>
      <c r="X315">
        <f>survey_responses[[#This Row],[Tôi tin rằng Nhà nước, cơ quan thuế có đủ khả năng và công nghệ để phát hiện, xử lý nghiêm các hành vi trốn thuế. - HUMAN-ENF2]]</f>
        <v>8</v>
      </c>
      <c r="Y315" t="str">
        <f t="shared" si="112"/>
        <v>Support</v>
      </c>
      <c r="Z315" s="31">
        <f t="shared" si="113"/>
        <v>1</v>
      </c>
      <c r="AA315">
        <f>step3_validation[[#This Row],[AI_FAC1]]</f>
        <v>9</v>
      </c>
      <c r="AB315" t="str">
        <f t="shared" si="114"/>
        <v>Support</v>
      </c>
      <c r="AC315">
        <f>survey_responses[[#This Row],[Các thủ tục khai báo thuế VÀ/HOẶC quy trình làm việc với cơ quan thuế đơn giản, tiện lợi, nhanh chóng hơn so với trước đây. - HUMAN-FAC1]]</f>
        <v>8</v>
      </c>
      <c r="AD315" t="str">
        <f t="shared" si="115"/>
        <v>Support</v>
      </c>
      <c r="AE315" s="31">
        <f t="shared" si="116"/>
        <v>1</v>
      </c>
      <c r="AF315">
        <f>step3_validation[[#This Row],[AI_FAC2]]</f>
        <v>8</v>
      </c>
      <c r="AG315" t="str">
        <f t="shared" si="117"/>
        <v>Support</v>
      </c>
      <c r="AH315">
        <f>survey_responses[[#This Row],[So với trước đây, tôi thấy cách tính thuế và các bậc thuế trong phương án mới đơn giản, dễ hiểu và dễ thực hiện hơn. - HUMAN-FAC2]]</f>
        <v>8</v>
      </c>
      <c r="AI315" t="str">
        <f t="shared" si="118"/>
        <v>Support</v>
      </c>
      <c r="AJ315" s="31">
        <f t="shared" si="119"/>
        <v>0</v>
      </c>
      <c r="AK315">
        <f>step3_validation[[#This Row],[AI_TRU1]]</f>
        <v>6</v>
      </c>
      <c r="AL315" t="str">
        <f t="shared" si="120"/>
        <v>Neutral</v>
      </c>
      <c r="AM315">
        <f>survey_responses[[#This Row],[Tôi tin rằng Nhà nước, cơ quan thuế sẽ thực thi chính sách mới một cách khách quan, công tâm và đối xử bình đẳng với mọi người nộp thuế.  - HUMAN-TRU1]]</f>
        <v>5</v>
      </c>
      <c r="AN315" t="str">
        <f t="shared" si="121"/>
        <v>Neutral</v>
      </c>
      <c r="AO315" s="31">
        <f t="shared" si="122"/>
        <v>1</v>
      </c>
      <c r="AP315">
        <f>step3_validation[[#This Row],[AI_TRU2]]</f>
        <v>8</v>
      </c>
      <c r="AQ315" t="str">
        <f t="shared" si="123"/>
        <v>Support</v>
      </c>
      <c r="AR315">
        <f>survey_responses[[#This Row],[Tôi thấy mức thuế tôi phải đóng theo phương án mới là công bằng (người thu nhập như tôi đóng mức này là hợp lý). - HUMAN-TRU2]]</f>
        <v>8</v>
      </c>
      <c r="AS315" t="str">
        <f t="shared" si="124"/>
        <v>Support</v>
      </c>
      <c r="AT315" s="31">
        <f t="shared" si="125"/>
        <v>0</v>
      </c>
      <c r="AU315">
        <f>step3_validation[[#This Row],[AI_TRU3]]</f>
        <v>7</v>
      </c>
      <c r="AV315" t="str">
        <f t="shared" si="126"/>
        <v>Neutral</v>
      </c>
      <c r="AW315">
        <f>survey_responses[[#This Row],[Tôi tin tưởng số tiền thuế tôi đóng sẽ được Nhà nước sử dụng hiệu quả để cải thiện dịch vụ công (y tế, đường xá...). - HUMAN-TRU3]]</f>
        <v>6</v>
      </c>
      <c r="AX315" t="str">
        <f t="shared" si="127"/>
        <v>Neutral</v>
      </c>
      <c r="AY315" s="31">
        <f t="shared" si="128"/>
        <v>1</v>
      </c>
      <c r="AZ315">
        <f>step3_validation[[#This Row],[AI_TRU4]]</f>
        <v>6</v>
      </c>
      <c r="BA315" t="str">
        <f t="shared" si="129"/>
        <v>Neutral</v>
      </c>
      <c r="BB315">
        <f>survey_responses[[#This Row],[Tôi thấy Nhà nước đã giải thích rõ ràng, minh bạch về lý do và mục tiêu của việc sửa đổi thuế lần này. - HUMAN-TRU4]]</f>
        <v>6</v>
      </c>
      <c r="BC315" t="str">
        <f t="shared" si="130"/>
        <v>Neutral</v>
      </c>
      <c r="BD315" s="31">
        <f t="shared" si="131"/>
        <v>0</v>
      </c>
      <c r="BE315">
        <f>step3_validation[[#This Row],[AI_OUT1]]</f>
        <v>9</v>
      </c>
      <c r="BF315" t="str">
        <f t="shared" si="132"/>
        <v>Support</v>
      </c>
      <c r="BG315">
        <f>survey_responses[[#This Row],[Sau khi xem xét các quyền lợi và nghĩa vụ, bạn có ủng hộ và tuân thủ chính sách mới hiện nay? - HUMAN-OUT1]]</f>
        <v>8</v>
      </c>
      <c r="BH315" t="str">
        <f t="shared" si="133"/>
        <v>Support</v>
      </c>
      <c r="BI315" s="31">
        <f t="shared" si="134"/>
        <v>1</v>
      </c>
    </row>
    <row r="316" spans="1:61" hidden="1" x14ac:dyDescent="0.45">
      <c r="A316" s="29">
        <f>step3_validation[[#This Row],[Persona_ID]]</f>
        <v>315</v>
      </c>
      <c r="B316" s="30">
        <f>step3_validation[[#This Row],[Used_Seed]]</f>
        <v>356</v>
      </c>
      <c r="C316" t="str">
        <f>step3_validation[[#This Row],[Gender]]</f>
        <v>Nam</v>
      </c>
      <c r="D316" t="str">
        <f>survey_responses[[#This Row],[Giới tính của bạn:]]</f>
        <v>Nam</v>
      </c>
      <c r="E316" t="str">
        <f>step3_validation[[#This Row],[Age_Group]]</f>
        <v>18 - 24</v>
      </c>
      <c r="F316" t="str">
        <f>survey_responses[[#This Row],[Độ tuổi của bạn:]]</f>
        <v>18 - 24</v>
      </c>
      <c r="G316" t="str">
        <f>step3_validation[[#This Row],[Region]]</f>
        <v>Thành thị</v>
      </c>
      <c r="H316" t="str">
        <f>survey_responses[[#This Row],[Khu vực bạn đang sinh sống:]]</f>
        <v>Thành thị</v>
      </c>
      <c r="I316" t="str">
        <f>step3_validation[[#This Row],[Education]]</f>
        <v>Đại học</v>
      </c>
      <c r="J316" t="str">
        <f>survey_responses[[#This Row],[Trình độ học vấn cao nhất:]]</f>
        <v>Đại học</v>
      </c>
      <c r="K316" t="str">
        <f>step3_validation[[#This Row],[Employment]]</f>
        <v>Chính thức</v>
      </c>
      <c r="L316" t="str">
        <f>survey_responses[[#This Row],[Tình trạng việc làm chính:]]</f>
        <v>Khu vực chính thức (Có Hợp đồng lao động, đóng BHXH)</v>
      </c>
      <c r="M316">
        <f>step3_validation[[#This Row],[Income_Mil]]</f>
        <v>21.627386207887497</v>
      </c>
      <c r="N316" t="str">
        <f>survey_responses[[#This Row],[Thu nhập bình quân tháng theo Hợp đồng lao động của bạn là bao nhiêu? (Vui lòng điền tổng thu nhập trước khi khấu trừ các loại Bảo hiểm (BHXH, BHYT, BHTN) và Thuế TNCN)]]</f>
        <v>Từ 18 - 23 triệu VNĐ</v>
      </c>
      <c r="O316">
        <f>step3_validation[[#This Row],[Dependents]]</f>
        <v>0</v>
      </c>
      <c r="P316" t="str">
        <f>survey_responses[[#This Row],[Số người phụ thuộc (con nhỏ, cha mẹ già...) đủ điều kiện giảm trừ gia cảnh:]]</f>
        <v>0 người</v>
      </c>
      <c r="Q316">
        <f>step3_validation[[#This Row],[AI_ENF1]]</f>
        <v>7</v>
      </c>
      <c r="R316" t="str">
        <f t="shared" si="108"/>
        <v>Neutral</v>
      </c>
      <c r="S316">
        <f>survey_responses[[#This Row],[Tôi tin rằng với các quy định quản lý thuế hiện nay, hành vi gian lận hoặc trốn thuế sẽ dễ dàng bị phát hiện và xử lý nghiêm. - HUMAN-ENF1]]</f>
        <v>4</v>
      </c>
      <c r="T316" t="str">
        <f t="shared" si="109"/>
        <v>Oppose</v>
      </c>
      <c r="U316" s="31">
        <f t="shared" si="110"/>
        <v>3</v>
      </c>
      <c r="V316">
        <f>step3_validation[[#This Row],[AI_ENF2]]</f>
        <v>7</v>
      </c>
      <c r="W316" t="str">
        <f t="shared" si="111"/>
        <v>Neutral</v>
      </c>
      <c r="X316">
        <f>survey_responses[[#This Row],[Tôi tin rằng Nhà nước, cơ quan thuế có đủ khả năng và công nghệ để phát hiện, xử lý nghiêm các hành vi trốn thuế. - HUMAN-ENF2]]</f>
        <v>5</v>
      </c>
      <c r="Y316" t="str">
        <f t="shared" si="112"/>
        <v>Neutral</v>
      </c>
      <c r="Z316" s="31">
        <f t="shared" si="113"/>
        <v>2</v>
      </c>
      <c r="AA316">
        <f>step3_validation[[#This Row],[AI_FAC1]]</f>
        <v>6</v>
      </c>
      <c r="AB316" t="str">
        <f t="shared" si="114"/>
        <v>Neutral</v>
      </c>
      <c r="AC316">
        <f>survey_responses[[#This Row],[Các thủ tục khai báo thuế VÀ/HOẶC quy trình làm việc với cơ quan thuế đơn giản, tiện lợi, nhanh chóng hơn so với trước đây. - HUMAN-FAC1]]</f>
        <v>5</v>
      </c>
      <c r="AD316" t="str">
        <f t="shared" si="115"/>
        <v>Neutral</v>
      </c>
      <c r="AE316" s="31">
        <f t="shared" si="116"/>
        <v>1</v>
      </c>
      <c r="AF316">
        <f>step3_validation[[#This Row],[AI_FAC2]]</f>
        <v>9</v>
      </c>
      <c r="AG316" t="str">
        <f t="shared" si="117"/>
        <v>Support</v>
      </c>
      <c r="AH316">
        <f>survey_responses[[#This Row],[So với trước đây, tôi thấy cách tính thuế và các bậc thuế trong phương án mới đơn giản, dễ hiểu và dễ thực hiện hơn. - HUMAN-FAC2]]</f>
        <v>7</v>
      </c>
      <c r="AI316" t="str">
        <f t="shared" si="118"/>
        <v>Neutral</v>
      </c>
      <c r="AJ316" s="31">
        <f t="shared" si="119"/>
        <v>2</v>
      </c>
      <c r="AK316">
        <f>step3_validation[[#This Row],[AI_TRU1]]</f>
        <v>7</v>
      </c>
      <c r="AL316" t="str">
        <f t="shared" si="120"/>
        <v>Neutral</v>
      </c>
      <c r="AM316">
        <f>survey_responses[[#This Row],[Tôi tin rằng Nhà nước, cơ quan thuế sẽ thực thi chính sách mới một cách khách quan, công tâm và đối xử bình đẳng với mọi người nộp thuế.  - HUMAN-TRU1]]</f>
        <v>5</v>
      </c>
      <c r="AN316" t="str">
        <f t="shared" si="121"/>
        <v>Neutral</v>
      </c>
      <c r="AO316" s="31">
        <f t="shared" si="122"/>
        <v>2</v>
      </c>
      <c r="AP316">
        <f>step3_validation[[#This Row],[AI_TRU2]]</f>
        <v>9</v>
      </c>
      <c r="AQ316" t="str">
        <f t="shared" si="123"/>
        <v>Support</v>
      </c>
      <c r="AR316">
        <f>survey_responses[[#This Row],[Tôi thấy mức thuế tôi phải đóng theo phương án mới là công bằng (người thu nhập như tôi đóng mức này là hợp lý). - HUMAN-TRU2]]</f>
        <v>8</v>
      </c>
      <c r="AS316" t="str">
        <f t="shared" si="124"/>
        <v>Support</v>
      </c>
      <c r="AT316" s="31">
        <f t="shared" si="125"/>
        <v>1</v>
      </c>
      <c r="AU316">
        <f>step3_validation[[#This Row],[AI_TRU3]]</f>
        <v>8</v>
      </c>
      <c r="AV316" t="str">
        <f t="shared" si="126"/>
        <v>Support</v>
      </c>
      <c r="AW316">
        <f>survey_responses[[#This Row],[Tôi tin tưởng số tiền thuế tôi đóng sẽ được Nhà nước sử dụng hiệu quả để cải thiện dịch vụ công (y tế, đường xá...). - HUMAN-TRU3]]</f>
        <v>5</v>
      </c>
      <c r="AX316" t="str">
        <f t="shared" si="127"/>
        <v>Neutral</v>
      </c>
      <c r="AY316" s="31">
        <f t="shared" si="128"/>
        <v>3</v>
      </c>
      <c r="AZ316">
        <f>step3_validation[[#This Row],[AI_TRU4]]</f>
        <v>7</v>
      </c>
      <c r="BA316" t="str">
        <f t="shared" si="129"/>
        <v>Neutral</v>
      </c>
      <c r="BB316">
        <f>survey_responses[[#This Row],[Tôi thấy Nhà nước đã giải thích rõ ràng, minh bạch về lý do và mục tiêu của việc sửa đổi thuế lần này. - HUMAN-TRU4]]</f>
        <v>6</v>
      </c>
      <c r="BC316" t="str">
        <f t="shared" si="130"/>
        <v>Neutral</v>
      </c>
      <c r="BD316" s="31">
        <f t="shared" si="131"/>
        <v>1</v>
      </c>
      <c r="BE316">
        <f>step3_validation[[#This Row],[AI_OUT1]]</f>
        <v>9</v>
      </c>
      <c r="BF316" t="str">
        <f t="shared" si="132"/>
        <v>Support</v>
      </c>
      <c r="BG316">
        <f>survey_responses[[#This Row],[Sau khi xem xét các quyền lợi và nghĩa vụ, bạn có ủng hộ và tuân thủ chính sách mới hiện nay? - HUMAN-OUT1]]</f>
        <v>8</v>
      </c>
      <c r="BH316" t="str">
        <f t="shared" si="133"/>
        <v>Support</v>
      </c>
      <c r="BI316" s="31">
        <f t="shared" si="134"/>
        <v>1</v>
      </c>
    </row>
    <row r="317" spans="1:61" hidden="1" x14ac:dyDescent="0.45">
      <c r="A317" s="29">
        <f>step3_validation[[#This Row],[Persona_ID]]</f>
        <v>316</v>
      </c>
      <c r="B317" s="30">
        <f>step3_validation[[#This Row],[Used_Seed]]</f>
        <v>357</v>
      </c>
      <c r="C317" t="str">
        <f>step3_validation[[#This Row],[Gender]]</f>
        <v>Nữ</v>
      </c>
      <c r="D317" t="str">
        <f>survey_responses[[#This Row],[Giới tính của bạn:]]</f>
        <v>Nữ</v>
      </c>
      <c r="E317" t="str">
        <f>step3_validation[[#This Row],[Age_Group]]</f>
        <v>25 - 29</v>
      </c>
      <c r="F317" t="str">
        <f>survey_responses[[#This Row],[Độ tuổi của bạn:]]</f>
        <v>25 - 29</v>
      </c>
      <c r="G317" t="str">
        <f>step3_validation[[#This Row],[Region]]</f>
        <v>Thành thị</v>
      </c>
      <c r="H317" t="str">
        <f>survey_responses[[#This Row],[Khu vực bạn đang sinh sống:]]</f>
        <v>Thành thị</v>
      </c>
      <c r="I317" t="str">
        <f>step3_validation[[#This Row],[Education]]</f>
        <v>Đại học</v>
      </c>
      <c r="J317" t="str">
        <f>survey_responses[[#This Row],[Trình độ học vấn cao nhất:]]</f>
        <v>Đại học</v>
      </c>
      <c r="K317" t="str">
        <f>step3_validation[[#This Row],[Employment]]</f>
        <v>Chính thức</v>
      </c>
      <c r="L317" t="str">
        <f>survey_responses[[#This Row],[Tình trạng việc làm chính:]]</f>
        <v>Khu vực chính thức (Có Hợp đồng lao động, đóng BHXH)</v>
      </c>
      <c r="M317">
        <f>step3_validation[[#This Row],[Income_Mil]]</f>
        <v>23.151042359194257</v>
      </c>
      <c r="N317" t="str">
        <f>survey_responses[[#This Row],[Thu nhập bình quân tháng theo Hợp đồng lao động của bạn là bao nhiêu? (Vui lòng điền tổng thu nhập trước khi khấu trừ các loại Bảo hiểm (BHXH, BHYT, BHTN) và Thuế TNCN)]]</f>
        <v>Từ 23 - 32 triệu VNĐ</v>
      </c>
      <c r="O317">
        <f>step3_validation[[#This Row],[Dependents]]</f>
        <v>0</v>
      </c>
      <c r="P317" t="str">
        <f>survey_responses[[#This Row],[Số người phụ thuộc (con nhỏ, cha mẹ già...) đủ điều kiện giảm trừ gia cảnh:]]</f>
        <v>0 người</v>
      </c>
      <c r="Q317">
        <f>step3_validation[[#This Row],[AI_ENF1]]</f>
        <v>7</v>
      </c>
      <c r="R317" t="str">
        <f t="shared" si="108"/>
        <v>Neutral</v>
      </c>
      <c r="S317">
        <f>survey_responses[[#This Row],[Tôi tin rằng với các quy định quản lý thuế hiện nay, hành vi gian lận hoặc trốn thuế sẽ dễ dàng bị phát hiện và xử lý nghiêm. - HUMAN-ENF1]]</f>
        <v>6</v>
      </c>
      <c r="T317" t="str">
        <f t="shared" si="109"/>
        <v>Neutral</v>
      </c>
      <c r="U317" s="31">
        <f t="shared" si="110"/>
        <v>1</v>
      </c>
      <c r="V317">
        <f>step3_validation[[#This Row],[AI_ENF2]]</f>
        <v>6</v>
      </c>
      <c r="W317" t="str">
        <f t="shared" si="111"/>
        <v>Neutral</v>
      </c>
      <c r="X317">
        <f>survey_responses[[#This Row],[Tôi tin rằng Nhà nước, cơ quan thuế có đủ khả năng và công nghệ để phát hiện, xử lý nghiêm các hành vi trốn thuế. - HUMAN-ENF2]]</f>
        <v>8</v>
      </c>
      <c r="Y317" t="str">
        <f t="shared" si="112"/>
        <v>Support</v>
      </c>
      <c r="Z317" s="31">
        <f t="shared" si="113"/>
        <v>2</v>
      </c>
      <c r="AA317">
        <f>step3_validation[[#This Row],[AI_FAC1]]</f>
        <v>9</v>
      </c>
      <c r="AB317" t="str">
        <f t="shared" si="114"/>
        <v>Support</v>
      </c>
      <c r="AC317">
        <f>survey_responses[[#This Row],[Các thủ tục khai báo thuế VÀ/HOẶC quy trình làm việc với cơ quan thuế đơn giản, tiện lợi, nhanh chóng hơn so với trước đây. - HUMAN-FAC1]]</f>
        <v>5</v>
      </c>
      <c r="AD317" t="str">
        <f t="shared" si="115"/>
        <v>Neutral</v>
      </c>
      <c r="AE317" s="31">
        <f t="shared" si="116"/>
        <v>4</v>
      </c>
      <c r="AF317">
        <f>step3_validation[[#This Row],[AI_FAC2]]</f>
        <v>8</v>
      </c>
      <c r="AG317" t="str">
        <f t="shared" si="117"/>
        <v>Support</v>
      </c>
      <c r="AH317">
        <f>survey_responses[[#This Row],[So với trước đây, tôi thấy cách tính thuế và các bậc thuế trong phương án mới đơn giản, dễ hiểu và dễ thực hiện hơn. - HUMAN-FAC2]]</f>
        <v>6</v>
      </c>
      <c r="AI317" t="str">
        <f t="shared" si="118"/>
        <v>Neutral</v>
      </c>
      <c r="AJ317" s="31">
        <f t="shared" si="119"/>
        <v>2</v>
      </c>
      <c r="AK317">
        <f>step3_validation[[#This Row],[AI_TRU1]]</f>
        <v>6</v>
      </c>
      <c r="AL317" t="str">
        <f t="shared" si="120"/>
        <v>Neutral</v>
      </c>
      <c r="AM317">
        <f>survey_responses[[#This Row],[Tôi tin rằng Nhà nước, cơ quan thuế sẽ thực thi chính sách mới một cách khách quan, công tâm và đối xử bình đẳng với mọi người nộp thuế.  - HUMAN-TRU1]]</f>
        <v>6</v>
      </c>
      <c r="AN317" t="str">
        <f t="shared" si="121"/>
        <v>Neutral</v>
      </c>
      <c r="AO317" s="31">
        <f t="shared" si="122"/>
        <v>0</v>
      </c>
      <c r="AP317">
        <f>step3_validation[[#This Row],[AI_TRU2]]</f>
        <v>8</v>
      </c>
      <c r="AQ317" t="str">
        <f t="shared" si="123"/>
        <v>Support</v>
      </c>
      <c r="AR317">
        <f>survey_responses[[#This Row],[Tôi thấy mức thuế tôi phải đóng theo phương án mới là công bằng (người thu nhập như tôi đóng mức này là hợp lý). - HUMAN-TRU2]]</f>
        <v>7</v>
      </c>
      <c r="AS317" t="str">
        <f t="shared" si="124"/>
        <v>Neutral</v>
      </c>
      <c r="AT317" s="31">
        <f t="shared" si="125"/>
        <v>1</v>
      </c>
      <c r="AU317">
        <f>step3_validation[[#This Row],[AI_TRU3]]</f>
        <v>7</v>
      </c>
      <c r="AV317" t="str">
        <f t="shared" si="126"/>
        <v>Neutral</v>
      </c>
      <c r="AW317">
        <f>survey_responses[[#This Row],[Tôi tin tưởng số tiền thuế tôi đóng sẽ được Nhà nước sử dụng hiệu quả để cải thiện dịch vụ công (y tế, đường xá...). - HUMAN-TRU3]]</f>
        <v>6</v>
      </c>
      <c r="AX317" t="str">
        <f t="shared" si="127"/>
        <v>Neutral</v>
      </c>
      <c r="AY317" s="31">
        <f t="shared" si="128"/>
        <v>1</v>
      </c>
      <c r="AZ317">
        <f>step3_validation[[#This Row],[AI_TRU4]]</f>
        <v>5</v>
      </c>
      <c r="BA317" t="str">
        <f t="shared" si="129"/>
        <v>Neutral</v>
      </c>
      <c r="BB317">
        <f>survey_responses[[#This Row],[Tôi thấy Nhà nước đã giải thích rõ ràng, minh bạch về lý do và mục tiêu của việc sửa đổi thuế lần này. - HUMAN-TRU4]]</f>
        <v>7</v>
      </c>
      <c r="BC317" t="str">
        <f t="shared" si="130"/>
        <v>Neutral</v>
      </c>
      <c r="BD317" s="31">
        <f t="shared" si="131"/>
        <v>2</v>
      </c>
      <c r="BE317">
        <f>step3_validation[[#This Row],[AI_OUT1]]</f>
        <v>8</v>
      </c>
      <c r="BF317" t="str">
        <f t="shared" si="132"/>
        <v>Support</v>
      </c>
      <c r="BG317">
        <f>survey_responses[[#This Row],[Sau khi xem xét các quyền lợi và nghĩa vụ, bạn có ủng hộ và tuân thủ chính sách mới hiện nay? - HUMAN-OUT1]]</f>
        <v>7</v>
      </c>
      <c r="BH317" t="str">
        <f t="shared" si="133"/>
        <v>Neutral</v>
      </c>
      <c r="BI317" s="31">
        <f t="shared" si="134"/>
        <v>1</v>
      </c>
    </row>
    <row r="318" spans="1:61" hidden="1" x14ac:dyDescent="0.45">
      <c r="A318" s="29">
        <f>step3_validation[[#This Row],[Persona_ID]]</f>
        <v>317</v>
      </c>
      <c r="B318" s="30">
        <f>step3_validation[[#This Row],[Used_Seed]]</f>
        <v>358</v>
      </c>
      <c r="C318" t="str">
        <f>step3_validation[[#This Row],[Gender]]</f>
        <v>Nữ</v>
      </c>
      <c r="D318" t="str">
        <f>survey_responses[[#This Row],[Giới tính của bạn:]]</f>
        <v>Nữ</v>
      </c>
      <c r="E318" t="str">
        <f>step3_validation[[#This Row],[Age_Group]]</f>
        <v>18 - 24</v>
      </c>
      <c r="F318" t="str">
        <f>survey_responses[[#This Row],[Độ tuổi của bạn:]]</f>
        <v>18 - 24</v>
      </c>
      <c r="G318" t="str">
        <f>step3_validation[[#This Row],[Region]]</f>
        <v>Thành thị</v>
      </c>
      <c r="H318" t="str">
        <f>survey_responses[[#This Row],[Khu vực bạn đang sinh sống:]]</f>
        <v>Thành thị</v>
      </c>
      <c r="I318" t="str">
        <f>step3_validation[[#This Row],[Education]]</f>
        <v>Đại học</v>
      </c>
      <c r="J318" t="str">
        <f>survey_responses[[#This Row],[Trình độ học vấn cao nhất:]]</f>
        <v>Đại học</v>
      </c>
      <c r="K318" t="str">
        <f>step3_validation[[#This Row],[Employment]]</f>
        <v>Chính thức</v>
      </c>
      <c r="L318" t="str">
        <f>survey_responses[[#This Row],[Tình trạng việc làm chính:]]</f>
        <v>Khu vực chính thức (Có Hợp đồng lao động, đóng BHXH)</v>
      </c>
      <c r="M318">
        <f>step3_validation[[#This Row],[Income_Mil]]</f>
        <v>13.622190609633545</v>
      </c>
      <c r="N318" t="str">
        <f>survey_responses[[#This Row],[Thu nhập bình quân tháng theo Hợp đồng lao động của bạn là bao nhiêu? (Vui lòng điền tổng thu nhập trước khi khấu trừ các loại Bảo hiểm (BHXH, BHYT, BHTN) và Thuế TNCN)]]</f>
        <v>Từ 12 - 18 triệu VNĐ</v>
      </c>
      <c r="O318">
        <f>step3_validation[[#This Row],[Dependents]]</f>
        <v>0</v>
      </c>
      <c r="P318" t="str">
        <f>survey_responses[[#This Row],[Số người phụ thuộc (con nhỏ, cha mẹ già...) đủ điều kiện giảm trừ gia cảnh:]]</f>
        <v>0 người</v>
      </c>
      <c r="Q318">
        <f>step3_validation[[#This Row],[AI_ENF1]]</f>
        <v>9</v>
      </c>
      <c r="R318" t="str">
        <f t="shared" si="108"/>
        <v>Support</v>
      </c>
      <c r="S318">
        <f>survey_responses[[#This Row],[Tôi tin rằng với các quy định quản lý thuế hiện nay, hành vi gian lận hoặc trốn thuế sẽ dễ dàng bị phát hiện và xử lý nghiêm. - HUMAN-ENF1]]</f>
        <v>7</v>
      </c>
      <c r="T318" t="str">
        <f t="shared" si="109"/>
        <v>Neutral</v>
      </c>
      <c r="U318" s="31">
        <f t="shared" si="110"/>
        <v>2</v>
      </c>
      <c r="V318">
        <f>step3_validation[[#This Row],[AI_ENF2]]</f>
        <v>8</v>
      </c>
      <c r="W318" t="str">
        <f t="shared" si="111"/>
        <v>Support</v>
      </c>
      <c r="X318">
        <f>survey_responses[[#This Row],[Tôi tin rằng Nhà nước, cơ quan thuế có đủ khả năng và công nghệ để phát hiện, xử lý nghiêm các hành vi trốn thuế. - HUMAN-ENF2]]</f>
        <v>7</v>
      </c>
      <c r="Y318" t="str">
        <f t="shared" si="112"/>
        <v>Neutral</v>
      </c>
      <c r="Z318" s="31">
        <f t="shared" si="113"/>
        <v>1</v>
      </c>
      <c r="AA318">
        <f>step3_validation[[#This Row],[AI_FAC1]]</f>
        <v>9</v>
      </c>
      <c r="AB318" t="str">
        <f t="shared" si="114"/>
        <v>Support</v>
      </c>
      <c r="AC318">
        <f>survey_responses[[#This Row],[Các thủ tục khai báo thuế VÀ/HOẶC quy trình làm việc với cơ quan thuế đơn giản, tiện lợi, nhanh chóng hơn so với trước đây. - HUMAN-FAC1]]</f>
        <v>5</v>
      </c>
      <c r="AD318" t="str">
        <f t="shared" si="115"/>
        <v>Neutral</v>
      </c>
      <c r="AE318" s="31">
        <f t="shared" si="116"/>
        <v>4</v>
      </c>
      <c r="AF318">
        <f>step3_validation[[#This Row],[AI_FAC2]]</f>
        <v>9</v>
      </c>
      <c r="AG318" t="str">
        <f t="shared" si="117"/>
        <v>Support</v>
      </c>
      <c r="AH318">
        <f>survey_responses[[#This Row],[So với trước đây, tôi thấy cách tính thuế và các bậc thuế trong phương án mới đơn giản, dễ hiểu và dễ thực hiện hơn. - HUMAN-FAC2]]</f>
        <v>8</v>
      </c>
      <c r="AI318" t="str">
        <f t="shared" si="118"/>
        <v>Support</v>
      </c>
      <c r="AJ318" s="31">
        <f t="shared" si="119"/>
        <v>1</v>
      </c>
      <c r="AK318">
        <f>step3_validation[[#This Row],[AI_TRU1]]</f>
        <v>8</v>
      </c>
      <c r="AL318" t="str">
        <f t="shared" si="120"/>
        <v>Support</v>
      </c>
      <c r="AM318">
        <f>survey_responses[[#This Row],[Tôi tin rằng Nhà nước, cơ quan thuế sẽ thực thi chính sách mới một cách khách quan, công tâm và đối xử bình đẳng với mọi người nộp thuế.  - HUMAN-TRU1]]</f>
        <v>5</v>
      </c>
      <c r="AN318" t="str">
        <f t="shared" si="121"/>
        <v>Neutral</v>
      </c>
      <c r="AO318" s="31">
        <f t="shared" si="122"/>
        <v>3</v>
      </c>
      <c r="AP318">
        <f>step3_validation[[#This Row],[AI_TRU2]]</f>
        <v>9</v>
      </c>
      <c r="AQ318" t="str">
        <f t="shared" si="123"/>
        <v>Support</v>
      </c>
      <c r="AR318">
        <f>survey_responses[[#This Row],[Tôi thấy mức thuế tôi phải đóng theo phương án mới là công bằng (người thu nhập như tôi đóng mức này là hợp lý). - HUMAN-TRU2]]</f>
        <v>8</v>
      </c>
      <c r="AS318" t="str">
        <f t="shared" si="124"/>
        <v>Support</v>
      </c>
      <c r="AT318" s="31">
        <f t="shared" si="125"/>
        <v>1</v>
      </c>
      <c r="AU318">
        <f>step3_validation[[#This Row],[AI_TRU3]]</f>
        <v>8</v>
      </c>
      <c r="AV318" t="str">
        <f t="shared" si="126"/>
        <v>Support</v>
      </c>
      <c r="AW318">
        <f>survey_responses[[#This Row],[Tôi tin tưởng số tiền thuế tôi đóng sẽ được Nhà nước sử dụng hiệu quả để cải thiện dịch vụ công (y tế, đường xá...). - HUMAN-TRU3]]</f>
        <v>5</v>
      </c>
      <c r="AX318" t="str">
        <f t="shared" si="127"/>
        <v>Neutral</v>
      </c>
      <c r="AY318" s="31">
        <f t="shared" si="128"/>
        <v>3</v>
      </c>
      <c r="AZ318">
        <f>step3_validation[[#This Row],[AI_TRU4]]</f>
        <v>9</v>
      </c>
      <c r="BA318" t="str">
        <f t="shared" si="129"/>
        <v>Support</v>
      </c>
      <c r="BB318">
        <f>survey_responses[[#This Row],[Tôi thấy Nhà nước đã giải thích rõ ràng, minh bạch về lý do và mục tiêu của việc sửa đổi thuế lần này. - HUMAN-TRU4]]</f>
        <v>7</v>
      </c>
      <c r="BC318" t="str">
        <f t="shared" si="130"/>
        <v>Neutral</v>
      </c>
      <c r="BD318" s="31">
        <f t="shared" si="131"/>
        <v>2</v>
      </c>
      <c r="BE318">
        <f>step3_validation[[#This Row],[AI_OUT1]]</f>
        <v>9</v>
      </c>
      <c r="BF318" t="str">
        <f t="shared" si="132"/>
        <v>Support</v>
      </c>
      <c r="BG318">
        <f>survey_responses[[#This Row],[Sau khi xem xét các quyền lợi và nghĩa vụ, bạn có ủng hộ và tuân thủ chính sách mới hiện nay? - HUMAN-OUT1]]</f>
        <v>8</v>
      </c>
      <c r="BH318" t="str">
        <f t="shared" si="133"/>
        <v>Support</v>
      </c>
      <c r="BI318" s="31">
        <f t="shared" si="134"/>
        <v>1</v>
      </c>
    </row>
    <row r="319" spans="1:61" hidden="1" x14ac:dyDescent="0.45">
      <c r="A319" s="29">
        <f>step3_validation[[#This Row],[Persona_ID]]</f>
        <v>318</v>
      </c>
      <c r="B319" s="30">
        <f>step3_validation[[#This Row],[Used_Seed]]</f>
        <v>359</v>
      </c>
      <c r="C319" t="str">
        <f>step3_validation[[#This Row],[Gender]]</f>
        <v>Nữ</v>
      </c>
      <c r="D319" t="str">
        <f>survey_responses[[#This Row],[Giới tính của bạn:]]</f>
        <v>Nữ</v>
      </c>
      <c r="E319" t="str">
        <f>step3_validation[[#This Row],[Age_Group]]</f>
        <v>25 - 29</v>
      </c>
      <c r="F319" t="str">
        <f>survey_responses[[#This Row],[Độ tuổi của bạn:]]</f>
        <v>25 - 29</v>
      </c>
      <c r="G319" t="str">
        <f>step3_validation[[#This Row],[Region]]</f>
        <v>Thành thị</v>
      </c>
      <c r="H319" t="str">
        <f>survey_responses[[#This Row],[Khu vực bạn đang sinh sống:]]</f>
        <v>Thành thị</v>
      </c>
      <c r="I319" t="str">
        <f>step3_validation[[#This Row],[Education]]</f>
        <v>Sau Đại học</v>
      </c>
      <c r="J319" t="str">
        <f>survey_responses[[#This Row],[Trình độ học vấn cao nhất:]]</f>
        <v>Sau Đại học</v>
      </c>
      <c r="K319" t="str">
        <f>step3_validation[[#This Row],[Employment]]</f>
        <v>Chính thức</v>
      </c>
      <c r="L319" t="str">
        <f>survey_responses[[#This Row],[Tình trạng việc làm chính:]]</f>
        <v>Khu vực chính thức (Có Hợp đồng lao động, đóng BHXH)</v>
      </c>
      <c r="M319">
        <f>step3_validation[[#This Row],[Income_Mil]]</f>
        <v>21.623019653793847</v>
      </c>
      <c r="N319" t="str">
        <f>survey_responses[[#This Row],[Thu nhập bình quân tháng theo Hợp đồng lao động của bạn là bao nhiêu? (Vui lòng điền tổng thu nhập trước khi khấu trừ các loại Bảo hiểm (BHXH, BHYT, BHTN) và Thuế TNCN)]]</f>
        <v>Từ 18 - 23 triệu VNĐ</v>
      </c>
      <c r="O319">
        <f>step3_validation[[#This Row],[Dependents]]</f>
        <v>0</v>
      </c>
      <c r="P319" t="str">
        <f>survey_responses[[#This Row],[Số người phụ thuộc (con nhỏ, cha mẹ già...) đủ điều kiện giảm trừ gia cảnh:]]</f>
        <v>0 người</v>
      </c>
      <c r="Q319">
        <f>step3_validation[[#This Row],[AI_ENF1]]</f>
        <v>9</v>
      </c>
      <c r="R319" t="str">
        <f t="shared" si="108"/>
        <v>Support</v>
      </c>
      <c r="S319">
        <f>survey_responses[[#This Row],[Tôi tin rằng với các quy định quản lý thuế hiện nay, hành vi gian lận hoặc trốn thuế sẽ dễ dàng bị phát hiện và xử lý nghiêm. - HUMAN-ENF1]]</f>
        <v>4</v>
      </c>
      <c r="T319" t="str">
        <f t="shared" si="109"/>
        <v>Oppose</v>
      </c>
      <c r="U319" s="31">
        <f t="shared" si="110"/>
        <v>5</v>
      </c>
      <c r="V319">
        <f>step3_validation[[#This Row],[AI_ENF2]]</f>
        <v>8</v>
      </c>
      <c r="W319" t="str">
        <f t="shared" si="111"/>
        <v>Support</v>
      </c>
      <c r="X319">
        <f>survey_responses[[#This Row],[Tôi tin rằng Nhà nước, cơ quan thuế có đủ khả năng và công nghệ để phát hiện, xử lý nghiêm các hành vi trốn thuế. - HUMAN-ENF2]]</f>
        <v>4</v>
      </c>
      <c r="Y319" t="str">
        <f t="shared" si="112"/>
        <v>Oppose</v>
      </c>
      <c r="Z319" s="31">
        <f t="shared" si="113"/>
        <v>4</v>
      </c>
      <c r="AA319">
        <f>step3_validation[[#This Row],[AI_FAC1]]</f>
        <v>9</v>
      </c>
      <c r="AB319" t="str">
        <f t="shared" si="114"/>
        <v>Support</v>
      </c>
      <c r="AC319">
        <f>survey_responses[[#This Row],[Các thủ tục khai báo thuế VÀ/HOẶC quy trình làm việc với cơ quan thuế đơn giản, tiện lợi, nhanh chóng hơn so với trước đây. - HUMAN-FAC1]]</f>
        <v>6</v>
      </c>
      <c r="AD319" t="str">
        <f t="shared" si="115"/>
        <v>Neutral</v>
      </c>
      <c r="AE319" s="31">
        <f t="shared" si="116"/>
        <v>3</v>
      </c>
      <c r="AF319">
        <f>step3_validation[[#This Row],[AI_FAC2]]</f>
        <v>8</v>
      </c>
      <c r="AG319" t="str">
        <f t="shared" si="117"/>
        <v>Support</v>
      </c>
      <c r="AH319">
        <f>survey_responses[[#This Row],[So với trước đây, tôi thấy cách tính thuế và các bậc thuế trong phương án mới đơn giản, dễ hiểu và dễ thực hiện hơn. - HUMAN-FAC2]]</f>
        <v>7</v>
      </c>
      <c r="AI319" t="str">
        <f t="shared" si="118"/>
        <v>Neutral</v>
      </c>
      <c r="AJ319" s="31">
        <f t="shared" si="119"/>
        <v>1</v>
      </c>
      <c r="AK319">
        <f>step3_validation[[#This Row],[AI_TRU1]]</f>
        <v>9</v>
      </c>
      <c r="AL319" t="str">
        <f t="shared" si="120"/>
        <v>Support</v>
      </c>
      <c r="AM319">
        <f>survey_responses[[#This Row],[Tôi tin rằng Nhà nước, cơ quan thuế sẽ thực thi chính sách mới một cách khách quan, công tâm và đối xử bình đẳng với mọi người nộp thuế.  - HUMAN-TRU1]]</f>
        <v>5</v>
      </c>
      <c r="AN319" t="str">
        <f t="shared" si="121"/>
        <v>Neutral</v>
      </c>
      <c r="AO319" s="31">
        <f t="shared" si="122"/>
        <v>4</v>
      </c>
      <c r="AP319">
        <f>step3_validation[[#This Row],[AI_TRU2]]</f>
        <v>8</v>
      </c>
      <c r="AQ319" t="str">
        <f t="shared" si="123"/>
        <v>Support</v>
      </c>
      <c r="AR319">
        <f>survey_responses[[#This Row],[Tôi thấy mức thuế tôi phải đóng theo phương án mới là công bằng (người thu nhập như tôi đóng mức này là hợp lý). - HUMAN-TRU2]]</f>
        <v>8</v>
      </c>
      <c r="AS319" t="str">
        <f t="shared" si="124"/>
        <v>Support</v>
      </c>
      <c r="AT319" s="31">
        <f t="shared" si="125"/>
        <v>0</v>
      </c>
      <c r="AU319">
        <f>step3_validation[[#This Row],[AI_TRU3]]</f>
        <v>9</v>
      </c>
      <c r="AV319" t="str">
        <f t="shared" si="126"/>
        <v>Support</v>
      </c>
      <c r="AW319">
        <f>survey_responses[[#This Row],[Tôi tin tưởng số tiền thuế tôi đóng sẽ được Nhà nước sử dụng hiệu quả để cải thiện dịch vụ công (y tế, đường xá...). - HUMAN-TRU3]]</f>
        <v>5</v>
      </c>
      <c r="AX319" t="str">
        <f t="shared" si="127"/>
        <v>Neutral</v>
      </c>
      <c r="AY319" s="31">
        <f t="shared" si="128"/>
        <v>4</v>
      </c>
      <c r="AZ319">
        <f>step3_validation[[#This Row],[AI_TRU4]]</f>
        <v>8</v>
      </c>
      <c r="BA319" t="str">
        <f t="shared" si="129"/>
        <v>Support</v>
      </c>
      <c r="BB319">
        <f>survey_responses[[#This Row],[Tôi thấy Nhà nước đã giải thích rõ ràng, minh bạch về lý do và mục tiêu của việc sửa đổi thuế lần này. - HUMAN-TRU4]]</f>
        <v>5</v>
      </c>
      <c r="BC319" t="str">
        <f t="shared" si="130"/>
        <v>Neutral</v>
      </c>
      <c r="BD319" s="31">
        <f t="shared" si="131"/>
        <v>3</v>
      </c>
      <c r="BE319">
        <f>step3_validation[[#This Row],[AI_OUT1]]</f>
        <v>9</v>
      </c>
      <c r="BF319" t="str">
        <f t="shared" si="132"/>
        <v>Support</v>
      </c>
      <c r="BG319">
        <f>survey_responses[[#This Row],[Sau khi xem xét các quyền lợi và nghĩa vụ, bạn có ủng hộ và tuân thủ chính sách mới hiện nay? - HUMAN-OUT1]]</f>
        <v>8</v>
      </c>
      <c r="BH319" t="str">
        <f t="shared" si="133"/>
        <v>Support</v>
      </c>
      <c r="BI319" s="31">
        <f t="shared" si="134"/>
        <v>1</v>
      </c>
    </row>
    <row r="320" spans="1:61" hidden="1" x14ac:dyDescent="0.45">
      <c r="A320" s="29">
        <f>step3_validation[[#This Row],[Persona_ID]]</f>
        <v>319</v>
      </c>
      <c r="B320" s="30">
        <f>step3_validation[[#This Row],[Used_Seed]]</f>
        <v>360</v>
      </c>
      <c r="C320" t="str">
        <f>step3_validation[[#This Row],[Gender]]</f>
        <v>Nữ</v>
      </c>
      <c r="D320" t="str">
        <f>survey_responses[[#This Row],[Giới tính của bạn:]]</f>
        <v>Nữ</v>
      </c>
      <c r="E320" t="str">
        <f>step3_validation[[#This Row],[Age_Group]]</f>
        <v>18 - 24</v>
      </c>
      <c r="F320" t="str">
        <f>survey_responses[[#This Row],[Độ tuổi của bạn:]]</f>
        <v>18 - 24</v>
      </c>
      <c r="G320" t="str">
        <f>step3_validation[[#This Row],[Region]]</f>
        <v>Thành thị</v>
      </c>
      <c r="H320" t="str">
        <f>survey_responses[[#This Row],[Khu vực bạn đang sinh sống:]]</f>
        <v>Thành thị</v>
      </c>
      <c r="I320" t="str">
        <f>step3_validation[[#This Row],[Education]]</f>
        <v>Đại học</v>
      </c>
      <c r="J320" t="str">
        <f>survey_responses[[#This Row],[Trình độ học vấn cao nhất:]]</f>
        <v>Đại học</v>
      </c>
      <c r="K320" t="str">
        <f>step3_validation[[#This Row],[Employment]]</f>
        <v>Chính thức</v>
      </c>
      <c r="L320" t="str">
        <f>survey_responses[[#This Row],[Tình trạng việc làm chính:]]</f>
        <v>Khu vực chính thức (Có Hợp đồng lao động, đóng BHXH)</v>
      </c>
      <c r="M320">
        <f>step3_validation[[#This Row],[Income_Mil]]</f>
        <v>14.393982380616608</v>
      </c>
      <c r="N320" t="str">
        <f>survey_responses[[#This Row],[Thu nhập bình quân tháng theo Hợp đồng lao động của bạn là bao nhiêu? (Vui lòng điền tổng thu nhập trước khi khấu trừ các loại Bảo hiểm (BHXH, BHYT, BHTN) và Thuế TNCN)]]</f>
        <v>Từ 12 - 18 triệu VNĐ</v>
      </c>
      <c r="O320">
        <f>step3_validation[[#This Row],[Dependents]]</f>
        <v>0</v>
      </c>
      <c r="P320" t="str">
        <f>survey_responses[[#This Row],[Số người phụ thuộc (con nhỏ, cha mẹ già...) đủ điều kiện giảm trừ gia cảnh:]]</f>
        <v>0 người</v>
      </c>
      <c r="Q320">
        <f>step3_validation[[#This Row],[AI_ENF1]]</f>
        <v>7</v>
      </c>
      <c r="R320" t="str">
        <f t="shared" si="108"/>
        <v>Neutral</v>
      </c>
      <c r="S320">
        <f>survey_responses[[#This Row],[Tôi tin rằng với các quy định quản lý thuế hiện nay, hành vi gian lận hoặc trốn thuế sẽ dễ dàng bị phát hiện và xử lý nghiêm. - HUMAN-ENF1]]</f>
        <v>8</v>
      </c>
      <c r="T320" t="str">
        <f t="shared" si="109"/>
        <v>Support</v>
      </c>
      <c r="U320" s="31">
        <f t="shared" si="110"/>
        <v>1</v>
      </c>
      <c r="V320">
        <f>step3_validation[[#This Row],[AI_ENF2]]</f>
        <v>8</v>
      </c>
      <c r="W320" t="str">
        <f t="shared" si="111"/>
        <v>Support</v>
      </c>
      <c r="X320">
        <f>survey_responses[[#This Row],[Tôi tin rằng Nhà nước, cơ quan thuế có đủ khả năng và công nghệ để phát hiện, xử lý nghiêm các hành vi trốn thuế. - HUMAN-ENF2]]</f>
        <v>8</v>
      </c>
      <c r="Y320" t="str">
        <f t="shared" si="112"/>
        <v>Support</v>
      </c>
      <c r="Z320" s="31">
        <f t="shared" si="113"/>
        <v>0</v>
      </c>
      <c r="AA320">
        <f>step3_validation[[#This Row],[AI_FAC1]]</f>
        <v>9</v>
      </c>
      <c r="AB320" t="str">
        <f t="shared" si="114"/>
        <v>Support</v>
      </c>
      <c r="AC320">
        <f>survey_responses[[#This Row],[Các thủ tục khai báo thuế VÀ/HOẶC quy trình làm việc với cơ quan thuế đơn giản, tiện lợi, nhanh chóng hơn so với trước đây. - HUMAN-FAC1]]</f>
        <v>10</v>
      </c>
      <c r="AD320" t="str">
        <f t="shared" si="115"/>
        <v>Support</v>
      </c>
      <c r="AE320" s="31">
        <f t="shared" si="116"/>
        <v>1</v>
      </c>
      <c r="AF320">
        <f>step3_validation[[#This Row],[AI_FAC2]]</f>
        <v>8</v>
      </c>
      <c r="AG320" t="str">
        <f t="shared" si="117"/>
        <v>Support</v>
      </c>
      <c r="AH320">
        <f>survey_responses[[#This Row],[So với trước đây, tôi thấy cách tính thuế và các bậc thuế trong phương án mới đơn giản, dễ hiểu và dễ thực hiện hơn. - HUMAN-FAC2]]</f>
        <v>10</v>
      </c>
      <c r="AI320" t="str">
        <f t="shared" si="118"/>
        <v>Support</v>
      </c>
      <c r="AJ320" s="31">
        <f t="shared" si="119"/>
        <v>2</v>
      </c>
      <c r="AK320">
        <f>step3_validation[[#This Row],[AI_TRU1]]</f>
        <v>7</v>
      </c>
      <c r="AL320" t="str">
        <f t="shared" si="120"/>
        <v>Neutral</v>
      </c>
      <c r="AM320">
        <f>survey_responses[[#This Row],[Tôi tin rằng Nhà nước, cơ quan thuế sẽ thực thi chính sách mới một cách khách quan, công tâm và đối xử bình đẳng với mọi người nộp thuế.  - HUMAN-TRU1]]</f>
        <v>9</v>
      </c>
      <c r="AN320" t="str">
        <f t="shared" si="121"/>
        <v>Support</v>
      </c>
      <c r="AO320" s="31">
        <f t="shared" si="122"/>
        <v>2</v>
      </c>
      <c r="AP320">
        <f>step3_validation[[#This Row],[AI_TRU2]]</f>
        <v>9</v>
      </c>
      <c r="AQ320" t="str">
        <f t="shared" si="123"/>
        <v>Support</v>
      </c>
      <c r="AR320">
        <f>survey_responses[[#This Row],[Tôi thấy mức thuế tôi phải đóng theo phương án mới là công bằng (người thu nhập như tôi đóng mức này là hợp lý). - HUMAN-TRU2]]</f>
        <v>10</v>
      </c>
      <c r="AS320" t="str">
        <f t="shared" si="124"/>
        <v>Support</v>
      </c>
      <c r="AT320" s="31">
        <f t="shared" si="125"/>
        <v>1</v>
      </c>
      <c r="AU320">
        <f>step3_validation[[#This Row],[AI_TRU3]]</f>
        <v>7</v>
      </c>
      <c r="AV320" t="str">
        <f t="shared" si="126"/>
        <v>Neutral</v>
      </c>
      <c r="AW320">
        <f>survey_responses[[#This Row],[Tôi tin tưởng số tiền thuế tôi đóng sẽ được Nhà nước sử dụng hiệu quả để cải thiện dịch vụ công (y tế, đường xá...). - HUMAN-TRU3]]</f>
        <v>8</v>
      </c>
      <c r="AX320" t="str">
        <f t="shared" si="127"/>
        <v>Support</v>
      </c>
      <c r="AY320" s="31">
        <f t="shared" si="128"/>
        <v>1</v>
      </c>
      <c r="AZ320">
        <f>step3_validation[[#This Row],[AI_TRU4]]</f>
        <v>8</v>
      </c>
      <c r="BA320" t="str">
        <f t="shared" si="129"/>
        <v>Support</v>
      </c>
      <c r="BB320">
        <f>survey_responses[[#This Row],[Tôi thấy Nhà nước đã giải thích rõ ràng, minh bạch về lý do và mục tiêu của việc sửa đổi thuế lần này. - HUMAN-TRU4]]</f>
        <v>8</v>
      </c>
      <c r="BC320" t="str">
        <f t="shared" si="130"/>
        <v>Support</v>
      </c>
      <c r="BD320" s="31">
        <f t="shared" si="131"/>
        <v>0</v>
      </c>
      <c r="BE320">
        <f>step3_validation[[#This Row],[AI_OUT1]]</f>
        <v>9</v>
      </c>
      <c r="BF320" t="str">
        <f t="shared" si="132"/>
        <v>Support</v>
      </c>
      <c r="BG320">
        <f>survey_responses[[#This Row],[Sau khi xem xét các quyền lợi và nghĩa vụ, bạn có ủng hộ và tuân thủ chính sách mới hiện nay? - HUMAN-OUT1]]</f>
        <v>10</v>
      </c>
      <c r="BH320" t="str">
        <f t="shared" si="133"/>
        <v>Support</v>
      </c>
      <c r="BI320" s="31">
        <f t="shared" si="134"/>
        <v>1</v>
      </c>
    </row>
    <row r="321" spans="1:61" hidden="1" x14ac:dyDescent="0.45">
      <c r="A321" s="29">
        <f>step3_validation[[#This Row],[Persona_ID]]</f>
        <v>320</v>
      </c>
      <c r="B321" s="30">
        <f>step3_validation[[#This Row],[Used_Seed]]</f>
        <v>361</v>
      </c>
      <c r="C321" t="str">
        <f>step3_validation[[#This Row],[Gender]]</f>
        <v>Nam</v>
      </c>
      <c r="D321" t="str">
        <f>survey_responses[[#This Row],[Giới tính của bạn:]]</f>
        <v>Nam</v>
      </c>
      <c r="E321" t="str">
        <f>step3_validation[[#This Row],[Age_Group]]</f>
        <v>30 - 39</v>
      </c>
      <c r="F321" t="str">
        <f>survey_responses[[#This Row],[Độ tuổi của bạn:]]</f>
        <v>30 - 39</v>
      </c>
      <c r="G321" t="str">
        <f>step3_validation[[#This Row],[Region]]</f>
        <v>Thành thị</v>
      </c>
      <c r="H321" t="str">
        <f>survey_responses[[#This Row],[Khu vực bạn đang sinh sống:]]</f>
        <v>Thành thị</v>
      </c>
      <c r="I321" t="str">
        <f>step3_validation[[#This Row],[Education]]</f>
        <v>Sau Đại học</v>
      </c>
      <c r="J321" t="str">
        <f>survey_responses[[#This Row],[Trình độ học vấn cao nhất:]]</f>
        <v>Sau Đại học</v>
      </c>
      <c r="K321" t="str">
        <f>step3_validation[[#This Row],[Employment]]</f>
        <v>Chính thức</v>
      </c>
      <c r="L321" t="str">
        <f>survey_responses[[#This Row],[Tình trạng việc làm chính:]]</f>
        <v>Khu vực chính thức (Có Hợp đồng lao động, đóng BHXH)</v>
      </c>
      <c r="M321">
        <f>step3_validation[[#This Row],[Income_Mil]]</f>
        <v>26.708093965814665</v>
      </c>
      <c r="N321" t="str">
        <f>survey_responses[[#This Row],[Thu nhập bình quân tháng theo Hợp đồng lao động của bạn là bao nhiêu? (Vui lòng điền tổng thu nhập trước khi khấu trừ các loại Bảo hiểm (BHXH, BHYT, BHTN) và Thuế TNCN)]]</f>
        <v>Từ 23 - 32 triệu VNĐ</v>
      </c>
      <c r="O321">
        <f>step3_validation[[#This Row],[Dependents]]</f>
        <v>0</v>
      </c>
      <c r="P321" t="str">
        <f>survey_responses[[#This Row],[Số người phụ thuộc (con nhỏ, cha mẹ già...) đủ điều kiện giảm trừ gia cảnh:]]</f>
        <v>0 người</v>
      </c>
      <c r="Q321">
        <f>step3_validation[[#This Row],[AI_ENF1]]</f>
        <v>6</v>
      </c>
      <c r="R321" t="str">
        <f t="shared" si="108"/>
        <v>Neutral</v>
      </c>
      <c r="S321">
        <f>survey_responses[[#This Row],[Tôi tin rằng với các quy định quản lý thuế hiện nay, hành vi gian lận hoặc trốn thuế sẽ dễ dàng bị phát hiện và xử lý nghiêm. - HUMAN-ENF1]]</f>
        <v>5</v>
      </c>
      <c r="T321" t="str">
        <f t="shared" si="109"/>
        <v>Neutral</v>
      </c>
      <c r="U321" s="31">
        <f t="shared" si="110"/>
        <v>1</v>
      </c>
      <c r="V321">
        <f>step3_validation[[#This Row],[AI_ENF2]]</f>
        <v>7</v>
      </c>
      <c r="W321" t="str">
        <f t="shared" si="111"/>
        <v>Neutral</v>
      </c>
      <c r="X321">
        <f>survey_responses[[#This Row],[Tôi tin rằng Nhà nước, cơ quan thuế có đủ khả năng và công nghệ để phát hiện, xử lý nghiêm các hành vi trốn thuế. - HUMAN-ENF2]]</f>
        <v>7</v>
      </c>
      <c r="Y321" t="str">
        <f t="shared" si="112"/>
        <v>Neutral</v>
      </c>
      <c r="Z321" s="31">
        <f t="shared" si="113"/>
        <v>0</v>
      </c>
      <c r="AA321">
        <f>step3_validation[[#This Row],[AI_FAC1]]</f>
        <v>9</v>
      </c>
      <c r="AB321" t="str">
        <f t="shared" si="114"/>
        <v>Support</v>
      </c>
      <c r="AC321">
        <f>survey_responses[[#This Row],[Các thủ tục khai báo thuế VÀ/HOẶC quy trình làm việc với cơ quan thuế đơn giản, tiện lợi, nhanh chóng hơn so với trước đây. - HUMAN-FAC1]]</f>
        <v>7</v>
      </c>
      <c r="AD321" t="str">
        <f t="shared" si="115"/>
        <v>Neutral</v>
      </c>
      <c r="AE321" s="31">
        <f t="shared" si="116"/>
        <v>2</v>
      </c>
      <c r="AF321">
        <f>step3_validation[[#This Row],[AI_FAC2]]</f>
        <v>10</v>
      </c>
      <c r="AG321" t="str">
        <f t="shared" si="117"/>
        <v>Support</v>
      </c>
      <c r="AH321">
        <f>survey_responses[[#This Row],[So với trước đây, tôi thấy cách tính thuế và các bậc thuế trong phương án mới đơn giản, dễ hiểu và dễ thực hiện hơn. - HUMAN-FAC2]]</f>
        <v>9</v>
      </c>
      <c r="AI321" t="str">
        <f t="shared" si="118"/>
        <v>Support</v>
      </c>
      <c r="AJ321" s="31">
        <f t="shared" si="119"/>
        <v>1</v>
      </c>
      <c r="AK321">
        <f>step3_validation[[#This Row],[AI_TRU1]]</f>
        <v>8</v>
      </c>
      <c r="AL321" t="str">
        <f t="shared" si="120"/>
        <v>Support</v>
      </c>
      <c r="AM321">
        <f>survey_responses[[#This Row],[Tôi tin rằng Nhà nước, cơ quan thuế sẽ thực thi chính sách mới một cách khách quan, công tâm và đối xử bình đẳng với mọi người nộp thuế.  - HUMAN-TRU1]]</f>
        <v>5</v>
      </c>
      <c r="AN321" t="str">
        <f t="shared" si="121"/>
        <v>Neutral</v>
      </c>
      <c r="AO321" s="31">
        <f t="shared" si="122"/>
        <v>3</v>
      </c>
      <c r="AP321">
        <f>step3_validation[[#This Row],[AI_TRU2]]</f>
        <v>9</v>
      </c>
      <c r="AQ321" t="str">
        <f t="shared" si="123"/>
        <v>Support</v>
      </c>
      <c r="AR321">
        <f>survey_responses[[#This Row],[Tôi thấy mức thuế tôi phải đóng theo phương án mới là công bằng (người thu nhập như tôi đóng mức này là hợp lý). - HUMAN-TRU2]]</f>
        <v>6</v>
      </c>
      <c r="AS321" t="str">
        <f t="shared" si="124"/>
        <v>Neutral</v>
      </c>
      <c r="AT321" s="31">
        <f t="shared" si="125"/>
        <v>3</v>
      </c>
      <c r="AU321">
        <f>step3_validation[[#This Row],[AI_TRU3]]</f>
        <v>8</v>
      </c>
      <c r="AV321" t="str">
        <f t="shared" si="126"/>
        <v>Support</v>
      </c>
      <c r="AW321">
        <f>survey_responses[[#This Row],[Tôi tin tưởng số tiền thuế tôi đóng sẽ được Nhà nước sử dụng hiệu quả để cải thiện dịch vụ công (y tế, đường xá...). - HUMAN-TRU3]]</f>
        <v>5</v>
      </c>
      <c r="AX321" t="str">
        <f t="shared" si="127"/>
        <v>Neutral</v>
      </c>
      <c r="AY321" s="31">
        <f t="shared" si="128"/>
        <v>3</v>
      </c>
      <c r="AZ321">
        <f>step3_validation[[#This Row],[AI_TRU4]]</f>
        <v>9</v>
      </c>
      <c r="BA321" t="str">
        <f t="shared" si="129"/>
        <v>Support</v>
      </c>
      <c r="BB321">
        <f>survey_responses[[#This Row],[Tôi thấy Nhà nước đã giải thích rõ ràng, minh bạch về lý do và mục tiêu của việc sửa đổi thuế lần này. - HUMAN-TRU4]]</f>
        <v>7</v>
      </c>
      <c r="BC321" t="str">
        <f t="shared" si="130"/>
        <v>Neutral</v>
      </c>
      <c r="BD321" s="31">
        <f t="shared" si="131"/>
        <v>2</v>
      </c>
      <c r="BE321">
        <f>step3_validation[[#This Row],[AI_OUT1]]</f>
        <v>9</v>
      </c>
      <c r="BF321" t="str">
        <f t="shared" si="132"/>
        <v>Support</v>
      </c>
      <c r="BG321">
        <f>survey_responses[[#This Row],[Sau khi xem xét các quyền lợi và nghĩa vụ, bạn có ủng hộ và tuân thủ chính sách mới hiện nay? - HUMAN-OUT1]]</f>
        <v>7</v>
      </c>
      <c r="BH321" t="str">
        <f t="shared" si="133"/>
        <v>Neutral</v>
      </c>
      <c r="BI321" s="31">
        <f t="shared" si="134"/>
        <v>2</v>
      </c>
    </row>
    <row r="322" spans="1:61" hidden="1" x14ac:dyDescent="0.45">
      <c r="A322" s="29">
        <f>step3_validation[[#This Row],[Persona_ID]]</f>
        <v>321</v>
      </c>
      <c r="B322" s="30">
        <f>step3_validation[[#This Row],[Used_Seed]]</f>
        <v>362</v>
      </c>
      <c r="C322" t="str">
        <f>step3_validation[[#This Row],[Gender]]</f>
        <v>Nữ</v>
      </c>
      <c r="D322" t="str">
        <f>survey_responses[[#This Row],[Giới tính của bạn:]]</f>
        <v>Nữ</v>
      </c>
      <c r="E322" t="str">
        <f>step3_validation[[#This Row],[Age_Group]]</f>
        <v>18 - 24</v>
      </c>
      <c r="F322" t="str">
        <f>survey_responses[[#This Row],[Độ tuổi của bạn:]]</f>
        <v>18 - 24</v>
      </c>
      <c r="G322" t="str">
        <f>step3_validation[[#This Row],[Region]]</f>
        <v>Thành thị</v>
      </c>
      <c r="H322" t="str">
        <f>survey_responses[[#This Row],[Khu vực bạn đang sinh sống:]]</f>
        <v>Thành thị</v>
      </c>
      <c r="I322" t="str">
        <f>step3_validation[[#This Row],[Education]]</f>
        <v>Đại học</v>
      </c>
      <c r="J322" t="str">
        <f>survey_responses[[#This Row],[Trình độ học vấn cao nhất:]]</f>
        <v>Đại học</v>
      </c>
      <c r="K322" t="str">
        <f>step3_validation[[#This Row],[Employment]]</f>
        <v>Chính thức</v>
      </c>
      <c r="L322" t="str">
        <f>survey_responses[[#This Row],[Tình trạng việc làm chính:]]</f>
        <v>Khu vực chính thức (Có Hợp đồng lao động, đóng BHXH)</v>
      </c>
      <c r="M322">
        <f>step3_validation[[#This Row],[Income_Mil]]</f>
        <v>14.498736186192334</v>
      </c>
      <c r="N322" t="str">
        <f>survey_responses[[#This Row],[Thu nhập bình quân tháng theo Hợp đồng lao động của bạn là bao nhiêu? (Vui lòng điền tổng thu nhập trước khi khấu trừ các loại Bảo hiểm (BHXH, BHYT, BHTN) và Thuế TNCN)]]</f>
        <v>Từ 12 - 18 triệu VNĐ</v>
      </c>
      <c r="O322">
        <f>step3_validation[[#This Row],[Dependents]]</f>
        <v>0</v>
      </c>
      <c r="P322" t="str">
        <f>survey_responses[[#This Row],[Số người phụ thuộc (con nhỏ, cha mẹ già...) đủ điều kiện giảm trừ gia cảnh:]]</f>
        <v>0 người</v>
      </c>
      <c r="Q322">
        <f>step3_validation[[#This Row],[AI_ENF1]]</f>
        <v>6</v>
      </c>
      <c r="R322" t="str">
        <f t="shared" si="108"/>
        <v>Neutral</v>
      </c>
      <c r="S322">
        <f>survey_responses[[#This Row],[Tôi tin rằng với các quy định quản lý thuế hiện nay, hành vi gian lận hoặc trốn thuế sẽ dễ dàng bị phát hiện và xử lý nghiêm. - HUMAN-ENF1]]</f>
        <v>8</v>
      </c>
      <c r="T322" t="str">
        <f t="shared" si="109"/>
        <v>Support</v>
      </c>
      <c r="U322" s="31">
        <f t="shared" si="110"/>
        <v>2</v>
      </c>
      <c r="V322">
        <f>step3_validation[[#This Row],[AI_ENF2]]</f>
        <v>7</v>
      </c>
      <c r="W322" t="str">
        <f t="shared" si="111"/>
        <v>Neutral</v>
      </c>
      <c r="X322">
        <f>survey_responses[[#This Row],[Tôi tin rằng Nhà nước, cơ quan thuế có đủ khả năng và công nghệ để phát hiện, xử lý nghiêm các hành vi trốn thuế. - HUMAN-ENF2]]</f>
        <v>8</v>
      </c>
      <c r="Y322" t="str">
        <f t="shared" si="112"/>
        <v>Support</v>
      </c>
      <c r="Z322" s="31">
        <f t="shared" si="113"/>
        <v>1</v>
      </c>
      <c r="AA322">
        <f>step3_validation[[#This Row],[AI_FAC1]]</f>
        <v>8</v>
      </c>
      <c r="AB322" t="str">
        <f t="shared" si="114"/>
        <v>Support</v>
      </c>
      <c r="AC322">
        <f>survey_responses[[#This Row],[Các thủ tục khai báo thuế VÀ/HOẶC quy trình làm việc với cơ quan thuế đơn giản, tiện lợi, nhanh chóng hơn so với trước đây. - HUMAN-FAC1]]</f>
        <v>7</v>
      </c>
      <c r="AD322" t="str">
        <f t="shared" si="115"/>
        <v>Neutral</v>
      </c>
      <c r="AE322" s="31">
        <f t="shared" si="116"/>
        <v>1</v>
      </c>
      <c r="AF322">
        <f>step3_validation[[#This Row],[AI_FAC2]]</f>
        <v>9</v>
      </c>
      <c r="AG322" t="str">
        <f t="shared" si="117"/>
        <v>Support</v>
      </c>
      <c r="AH322">
        <f>survey_responses[[#This Row],[So với trước đây, tôi thấy cách tính thuế và các bậc thuế trong phương án mới đơn giản, dễ hiểu và dễ thực hiện hơn. - HUMAN-FAC2]]</f>
        <v>9</v>
      </c>
      <c r="AI322" t="str">
        <f t="shared" si="118"/>
        <v>Support</v>
      </c>
      <c r="AJ322" s="31">
        <f t="shared" si="119"/>
        <v>0</v>
      </c>
      <c r="AK322">
        <f>step3_validation[[#This Row],[AI_TRU1]]</f>
        <v>5</v>
      </c>
      <c r="AL322" t="str">
        <f t="shared" si="120"/>
        <v>Neutral</v>
      </c>
      <c r="AM322">
        <f>survey_responses[[#This Row],[Tôi tin rằng Nhà nước, cơ quan thuế sẽ thực thi chính sách mới một cách khách quan, công tâm và đối xử bình đẳng với mọi người nộp thuế.  - HUMAN-TRU1]]</f>
        <v>9</v>
      </c>
      <c r="AN322" t="str">
        <f t="shared" si="121"/>
        <v>Support</v>
      </c>
      <c r="AO322" s="31">
        <f t="shared" si="122"/>
        <v>4</v>
      </c>
      <c r="AP322">
        <f>step3_validation[[#This Row],[AI_TRU2]]</f>
        <v>6</v>
      </c>
      <c r="AQ322" t="str">
        <f t="shared" si="123"/>
        <v>Neutral</v>
      </c>
      <c r="AR322">
        <f>survey_responses[[#This Row],[Tôi thấy mức thuế tôi phải đóng theo phương án mới là công bằng (người thu nhập như tôi đóng mức này là hợp lý). - HUMAN-TRU2]]</f>
        <v>9</v>
      </c>
      <c r="AS322" t="str">
        <f t="shared" si="124"/>
        <v>Support</v>
      </c>
      <c r="AT322" s="31">
        <f t="shared" si="125"/>
        <v>3</v>
      </c>
      <c r="AU322">
        <f>step3_validation[[#This Row],[AI_TRU3]]</f>
        <v>7</v>
      </c>
      <c r="AV322" t="str">
        <f t="shared" si="126"/>
        <v>Neutral</v>
      </c>
      <c r="AW322">
        <f>survey_responses[[#This Row],[Tôi tin tưởng số tiền thuế tôi đóng sẽ được Nhà nước sử dụng hiệu quả để cải thiện dịch vụ công (y tế, đường xá...). - HUMAN-TRU3]]</f>
        <v>7</v>
      </c>
      <c r="AX322" t="str">
        <f t="shared" si="127"/>
        <v>Neutral</v>
      </c>
      <c r="AY322" s="31">
        <f t="shared" si="128"/>
        <v>0</v>
      </c>
      <c r="AZ322">
        <f>step3_validation[[#This Row],[AI_TRU4]]</f>
        <v>8</v>
      </c>
      <c r="BA322" t="str">
        <f t="shared" si="129"/>
        <v>Support</v>
      </c>
      <c r="BB322">
        <f>survey_responses[[#This Row],[Tôi thấy Nhà nước đã giải thích rõ ràng, minh bạch về lý do và mục tiêu của việc sửa đổi thuế lần này. - HUMAN-TRU4]]</f>
        <v>9</v>
      </c>
      <c r="BC322" t="str">
        <f t="shared" si="130"/>
        <v>Support</v>
      </c>
      <c r="BD322" s="31">
        <f t="shared" si="131"/>
        <v>1</v>
      </c>
      <c r="BE322">
        <f>step3_validation[[#This Row],[AI_OUT1]]</f>
        <v>9</v>
      </c>
      <c r="BF322" t="str">
        <f t="shared" si="132"/>
        <v>Support</v>
      </c>
      <c r="BG322">
        <f>survey_responses[[#This Row],[Sau khi xem xét các quyền lợi và nghĩa vụ, bạn có ủng hộ và tuân thủ chính sách mới hiện nay? - HUMAN-OUT1]]</f>
        <v>9</v>
      </c>
      <c r="BH322" t="str">
        <f t="shared" si="133"/>
        <v>Support</v>
      </c>
      <c r="BI322" s="31">
        <f t="shared" si="134"/>
        <v>0</v>
      </c>
    </row>
    <row r="323" spans="1:61" hidden="1" x14ac:dyDescent="0.45">
      <c r="A323" s="29">
        <f>step3_validation[[#This Row],[Persona_ID]]</f>
        <v>322</v>
      </c>
      <c r="B323" s="30">
        <f>step3_validation[[#This Row],[Used_Seed]]</f>
        <v>363</v>
      </c>
      <c r="C323" t="str">
        <f>step3_validation[[#This Row],[Gender]]</f>
        <v>Nam</v>
      </c>
      <c r="D323" t="str">
        <f>survey_responses[[#This Row],[Giới tính của bạn:]]</f>
        <v>Nam</v>
      </c>
      <c r="E323" t="str">
        <f>step3_validation[[#This Row],[Age_Group]]</f>
        <v>25 - 29</v>
      </c>
      <c r="F323" t="str">
        <f>survey_responses[[#This Row],[Độ tuổi của bạn:]]</f>
        <v>25 - 29</v>
      </c>
      <c r="G323" t="str">
        <f>step3_validation[[#This Row],[Region]]</f>
        <v>Thành thị</v>
      </c>
      <c r="H323" t="str">
        <f>survey_responses[[#This Row],[Khu vực bạn đang sinh sống:]]</f>
        <v>Thành thị</v>
      </c>
      <c r="I323" t="str">
        <f>step3_validation[[#This Row],[Education]]</f>
        <v>Đại học</v>
      </c>
      <c r="J323" t="str">
        <f>survey_responses[[#This Row],[Trình độ học vấn cao nhất:]]</f>
        <v>Đại học</v>
      </c>
      <c r="K323" t="str">
        <f>step3_validation[[#This Row],[Employment]]</f>
        <v>Chính thức</v>
      </c>
      <c r="L323" t="str">
        <f>survey_responses[[#This Row],[Tình trạng việc làm chính:]]</f>
        <v>Khu vực chính thức (Có Hợp đồng lao động, đóng BHXH)</v>
      </c>
      <c r="M323">
        <f>step3_validation[[#This Row],[Income_Mil]]</f>
        <v>24.581841060527552</v>
      </c>
      <c r="N323" t="str">
        <f>survey_responses[[#This Row],[Thu nhập bình quân tháng theo Hợp đồng lao động của bạn là bao nhiêu? (Vui lòng điền tổng thu nhập trước khi khấu trừ các loại Bảo hiểm (BHXH, BHYT, BHTN) và Thuế TNCN)]]</f>
        <v>Từ 23 - 32 triệu VNĐ</v>
      </c>
      <c r="O323">
        <f>step3_validation[[#This Row],[Dependents]]</f>
        <v>0</v>
      </c>
      <c r="P323" t="str">
        <f>survey_responses[[#This Row],[Số người phụ thuộc (con nhỏ, cha mẹ già...) đủ điều kiện giảm trừ gia cảnh:]]</f>
        <v>0 người</v>
      </c>
      <c r="Q323">
        <f>step3_validation[[#This Row],[AI_ENF1]]</f>
        <v>7</v>
      </c>
      <c r="R323" t="str">
        <f t="shared" ref="R323:R386" si="135">IF(AND(Q323&gt;=1,Q323&lt;5),"Oppose",IF(AND(Q323&gt;=5,Q323&lt;8),"Neutral",IF(AND(Q323&gt;=8,Q323&lt;=10),"Support","")))</f>
        <v>Neutral</v>
      </c>
      <c r="S323">
        <f>survey_responses[[#This Row],[Tôi tin rằng với các quy định quản lý thuế hiện nay, hành vi gian lận hoặc trốn thuế sẽ dễ dàng bị phát hiện và xử lý nghiêm. - HUMAN-ENF1]]</f>
        <v>5</v>
      </c>
      <c r="T323" t="str">
        <f t="shared" ref="T323:T386" si="136">IF(AND(S323&gt;=1,S323&lt;5),"Oppose",IF(AND(S323&gt;=5,S323&lt;8),"Neutral",IF(AND(S323&gt;=8,S323&lt;=10),"Support","")))</f>
        <v>Neutral</v>
      </c>
      <c r="U323" s="31">
        <f t="shared" ref="U323:U386" si="137">ABS(S323-Q323)</f>
        <v>2</v>
      </c>
      <c r="V323">
        <f>step3_validation[[#This Row],[AI_ENF2]]</f>
        <v>7</v>
      </c>
      <c r="W323" t="str">
        <f t="shared" ref="W323:W386" si="138">IF(AND(V323&gt;=1,V323&lt;5),"Oppose",IF(AND(V323&gt;=5,V323&lt;8),"Neutral",IF(AND(V323&gt;=8,V323&lt;=10),"Support","")))</f>
        <v>Neutral</v>
      </c>
      <c r="X323">
        <f>survey_responses[[#This Row],[Tôi tin rằng Nhà nước, cơ quan thuế có đủ khả năng và công nghệ để phát hiện, xử lý nghiêm các hành vi trốn thuế. - HUMAN-ENF2]]</f>
        <v>5</v>
      </c>
      <c r="Y323" t="str">
        <f t="shared" ref="Y323:Y386" si="139">IF(AND(X323&gt;=1,X323&lt;5),"Oppose",IF(AND(X323&gt;=5,X323&lt;8),"Neutral",IF(AND(X323&gt;=8,X323&lt;=10),"Support","")))</f>
        <v>Neutral</v>
      </c>
      <c r="Z323" s="31">
        <f t="shared" ref="Z323:Z386" si="140">ABS(X323-V323)</f>
        <v>2</v>
      </c>
      <c r="AA323">
        <f>step3_validation[[#This Row],[AI_FAC1]]</f>
        <v>8</v>
      </c>
      <c r="AB323" t="str">
        <f t="shared" ref="AB323:AB386" si="141">IF(AND(AA323&gt;=1,AA323&lt;5),"Oppose",IF(AND(AA323&gt;=5,AA323&lt;8),"Neutral",IF(AND(AA323&gt;=8,AA323&lt;=10),"Support","")))</f>
        <v>Support</v>
      </c>
      <c r="AC323">
        <f>survey_responses[[#This Row],[Các thủ tục khai báo thuế VÀ/HOẶC quy trình làm việc với cơ quan thuế đơn giản, tiện lợi, nhanh chóng hơn so với trước đây. - HUMAN-FAC1]]</f>
        <v>5</v>
      </c>
      <c r="AD323" t="str">
        <f t="shared" ref="AD323:AD386" si="142">IF(AND(AC323&gt;=1,AC323&lt;5),"Oppose",IF(AND(AC323&gt;=5,AC323&lt;8),"Neutral",IF(AND(AC323&gt;=8,AC323&lt;=10),"Support","")))</f>
        <v>Neutral</v>
      </c>
      <c r="AE323" s="31">
        <f t="shared" ref="AE323:AE386" si="143">ABS(AC323-AA323)</f>
        <v>3</v>
      </c>
      <c r="AF323">
        <f>step3_validation[[#This Row],[AI_FAC2]]</f>
        <v>9</v>
      </c>
      <c r="AG323" t="str">
        <f t="shared" ref="AG323:AG386" si="144">IF(AND(AF323&gt;=1,AF323&lt;5),"Oppose",IF(AND(AF323&gt;=5,AF323&lt;8),"Neutral",IF(AND(AF323&gt;=8,AF323&lt;=10),"Support","")))</f>
        <v>Support</v>
      </c>
      <c r="AH323">
        <f>survey_responses[[#This Row],[So với trước đây, tôi thấy cách tính thuế và các bậc thuế trong phương án mới đơn giản, dễ hiểu và dễ thực hiện hơn. - HUMAN-FAC2]]</f>
        <v>7</v>
      </c>
      <c r="AI323" t="str">
        <f t="shared" ref="AI323:AI386" si="145">IF(AND(AH323&gt;=1,AH323&lt;5),"Oppose",IF(AND(AH323&gt;=5,AH323&lt;8),"Neutral",IF(AND(AH323&gt;=8,AH323&lt;=10),"Support","")))</f>
        <v>Neutral</v>
      </c>
      <c r="AJ323" s="31">
        <f t="shared" ref="AJ323:AJ386" si="146">ABS(AH323-AF323)</f>
        <v>2</v>
      </c>
      <c r="AK323">
        <f>step3_validation[[#This Row],[AI_TRU1]]</f>
        <v>8</v>
      </c>
      <c r="AL323" t="str">
        <f t="shared" ref="AL323:AL386" si="147">IF(AND(AK323&gt;=1,AK323&lt;5),"Oppose",IF(AND(AK323&gt;=5,AK323&lt;8),"Neutral",IF(AND(AK323&gt;=8,AK323&lt;=10),"Support","")))</f>
        <v>Support</v>
      </c>
      <c r="AM323">
        <f>survey_responses[[#This Row],[Tôi tin rằng Nhà nước, cơ quan thuế sẽ thực thi chính sách mới một cách khách quan, công tâm và đối xử bình đẳng với mọi người nộp thuế.  - HUMAN-TRU1]]</f>
        <v>5</v>
      </c>
      <c r="AN323" t="str">
        <f t="shared" ref="AN323:AN386" si="148">IF(AND(AM323&gt;=1,AM323&lt;5),"Oppose",IF(AND(AM323&gt;=5,AM323&lt;8),"Neutral",IF(AND(AM323&gt;=8,AM323&lt;=10),"Support","")))</f>
        <v>Neutral</v>
      </c>
      <c r="AO323" s="31">
        <f t="shared" ref="AO323:AO386" si="149">ABS(AM323-AK323)</f>
        <v>3</v>
      </c>
      <c r="AP323">
        <f>step3_validation[[#This Row],[AI_TRU2]]</f>
        <v>9</v>
      </c>
      <c r="AQ323" t="str">
        <f t="shared" ref="AQ323:AQ386" si="150">IF(AND(AP323&gt;=1,AP323&lt;5),"Oppose",IF(AND(AP323&gt;=5,AP323&lt;8),"Neutral",IF(AND(AP323&gt;=8,AP323&lt;=10),"Support","")))</f>
        <v>Support</v>
      </c>
      <c r="AR323">
        <f>survey_responses[[#This Row],[Tôi thấy mức thuế tôi phải đóng theo phương án mới là công bằng (người thu nhập như tôi đóng mức này là hợp lý). - HUMAN-TRU2]]</f>
        <v>7</v>
      </c>
      <c r="AS323" t="str">
        <f t="shared" ref="AS323:AS386" si="151">IF(AND(AR323&gt;=1,AR323&lt;5),"Oppose",IF(AND(AR323&gt;=5,AR323&lt;8),"Neutral",IF(AND(AR323&gt;=8,AR323&lt;=10),"Support","")))</f>
        <v>Neutral</v>
      </c>
      <c r="AT323" s="31">
        <f t="shared" ref="AT323:AT386" si="152">ABS(AR323-AP323)</f>
        <v>2</v>
      </c>
      <c r="AU323">
        <f>step3_validation[[#This Row],[AI_TRU3]]</f>
        <v>7</v>
      </c>
      <c r="AV323" t="str">
        <f t="shared" ref="AV323:AV386" si="153">IF(AND(AU323&gt;=1,AU323&lt;5),"Oppose",IF(AND(AU323&gt;=5,AU323&lt;8),"Neutral",IF(AND(AU323&gt;=8,AU323&lt;=10),"Support","")))</f>
        <v>Neutral</v>
      </c>
      <c r="AW323">
        <f>survey_responses[[#This Row],[Tôi tin tưởng số tiền thuế tôi đóng sẽ được Nhà nước sử dụng hiệu quả để cải thiện dịch vụ công (y tế, đường xá...). - HUMAN-TRU3]]</f>
        <v>5</v>
      </c>
      <c r="AX323" t="str">
        <f t="shared" ref="AX323:AX386" si="154">IF(AND(AW323&gt;=1,AW323&lt;5),"Oppose",IF(AND(AW323&gt;=5,AW323&lt;8),"Neutral",IF(AND(AW323&gt;=8,AW323&lt;=10),"Support","")))</f>
        <v>Neutral</v>
      </c>
      <c r="AY323" s="31">
        <f t="shared" ref="AY323:AY386" si="155">ABS(AW323-AU323)</f>
        <v>2</v>
      </c>
      <c r="AZ323">
        <f>step3_validation[[#This Row],[AI_TRU4]]</f>
        <v>8</v>
      </c>
      <c r="BA323" t="str">
        <f t="shared" ref="BA323:BA386" si="156">IF(AND(AZ323&gt;=1,AZ323&lt;5),"Oppose",IF(AND(AZ323&gt;=5,AZ323&lt;8),"Neutral",IF(AND(AZ323&gt;=8,AZ323&lt;=10),"Support","")))</f>
        <v>Support</v>
      </c>
      <c r="BB323">
        <f>survey_responses[[#This Row],[Tôi thấy Nhà nước đã giải thích rõ ràng, minh bạch về lý do và mục tiêu của việc sửa đổi thuế lần này. - HUMAN-TRU4]]</f>
        <v>5</v>
      </c>
      <c r="BC323" t="str">
        <f t="shared" ref="BC323:BC386" si="157">IF(AND(BB323&gt;=1,BB323&lt;5),"Oppose",IF(AND(BB323&gt;=5,BB323&lt;8),"Neutral",IF(AND(BB323&gt;=8,BB323&lt;=10),"Support","")))</f>
        <v>Neutral</v>
      </c>
      <c r="BD323" s="31">
        <f t="shared" ref="BD323:BD386" si="158">ABS(BB323-AZ323)</f>
        <v>3</v>
      </c>
      <c r="BE323">
        <f>step3_validation[[#This Row],[AI_OUT1]]</f>
        <v>8</v>
      </c>
      <c r="BF323" t="str">
        <f t="shared" ref="BF323:BF386" si="159">IF(AND(BE323&gt;=1,BE323&lt;5),"Oppose",IF(AND(BE323&gt;=5,BE323&lt;8),"Neutral",IF(AND(BE323&gt;=8,BE323&lt;=10),"Support","")))</f>
        <v>Support</v>
      </c>
      <c r="BG323">
        <f>survey_responses[[#This Row],[Sau khi xem xét các quyền lợi và nghĩa vụ, bạn có ủng hộ và tuân thủ chính sách mới hiện nay? - HUMAN-OUT1]]</f>
        <v>7</v>
      </c>
      <c r="BH323" t="str">
        <f t="shared" ref="BH323:BH386" si="160">IF(AND(BG323&gt;=1,BG323&lt;5),"Oppose",IF(AND(BG323&gt;=5,BG323&lt;8),"Neutral",IF(AND(BG323&gt;=8,BG323&lt;=10),"Support","")))</f>
        <v>Neutral</v>
      </c>
      <c r="BI323" s="31">
        <f t="shared" ref="BI323:BI386" si="161">ABS(BG323-BE323)</f>
        <v>1</v>
      </c>
    </row>
    <row r="324" spans="1:61" hidden="1" x14ac:dyDescent="0.45">
      <c r="A324" s="29">
        <f>step3_validation[[#This Row],[Persona_ID]]</f>
        <v>323</v>
      </c>
      <c r="B324" s="30">
        <f>step3_validation[[#This Row],[Used_Seed]]</f>
        <v>364</v>
      </c>
      <c r="C324" t="str">
        <f>step3_validation[[#This Row],[Gender]]</f>
        <v>Nam</v>
      </c>
      <c r="D324" t="str">
        <f>survey_responses[[#This Row],[Giới tính của bạn:]]</f>
        <v>Nam</v>
      </c>
      <c r="E324" t="str">
        <f>step3_validation[[#This Row],[Age_Group]]</f>
        <v>25 - 29</v>
      </c>
      <c r="F324" t="str">
        <f>survey_responses[[#This Row],[Độ tuổi của bạn:]]</f>
        <v>25 - 29</v>
      </c>
      <c r="G324" t="str">
        <f>step3_validation[[#This Row],[Region]]</f>
        <v>Thành thị</v>
      </c>
      <c r="H324" t="str">
        <f>survey_responses[[#This Row],[Khu vực bạn đang sinh sống:]]</f>
        <v>Thành thị</v>
      </c>
      <c r="I324" t="str">
        <f>step3_validation[[#This Row],[Education]]</f>
        <v>Sau Đại học</v>
      </c>
      <c r="J324" t="str">
        <f>survey_responses[[#This Row],[Trình độ học vấn cao nhất:]]</f>
        <v>Sau Đại học</v>
      </c>
      <c r="K324" t="str">
        <f>step3_validation[[#This Row],[Employment]]</f>
        <v>Chính thức</v>
      </c>
      <c r="L324" t="str">
        <f>survey_responses[[#This Row],[Tình trạng việc làm chính:]]</f>
        <v>Khu vực chính thức (Có Hợp đồng lao động, đóng BHXH)</v>
      </c>
      <c r="M324">
        <f>step3_validation[[#This Row],[Income_Mil]]</f>
        <v>25.254576399845785</v>
      </c>
      <c r="N324" t="str">
        <f>survey_responses[[#This Row],[Thu nhập bình quân tháng theo Hợp đồng lao động của bạn là bao nhiêu? (Vui lòng điền tổng thu nhập trước khi khấu trừ các loại Bảo hiểm (BHXH, BHYT, BHTN) và Thuế TNCN)]]</f>
        <v>Từ 23 - 32 triệu VNĐ</v>
      </c>
      <c r="O324">
        <f>step3_validation[[#This Row],[Dependents]]</f>
        <v>0</v>
      </c>
      <c r="P324" t="str">
        <f>survey_responses[[#This Row],[Số người phụ thuộc (con nhỏ, cha mẹ già...) đủ điều kiện giảm trừ gia cảnh:]]</f>
        <v>0 người</v>
      </c>
      <c r="Q324">
        <f>step3_validation[[#This Row],[AI_ENF1]]</f>
        <v>6</v>
      </c>
      <c r="R324" t="str">
        <f t="shared" si="135"/>
        <v>Neutral</v>
      </c>
      <c r="S324">
        <f>survey_responses[[#This Row],[Tôi tin rằng với các quy định quản lý thuế hiện nay, hành vi gian lận hoặc trốn thuế sẽ dễ dàng bị phát hiện và xử lý nghiêm. - HUMAN-ENF1]]</f>
        <v>7</v>
      </c>
      <c r="T324" t="str">
        <f t="shared" si="136"/>
        <v>Neutral</v>
      </c>
      <c r="U324" s="31">
        <f t="shared" si="137"/>
        <v>1</v>
      </c>
      <c r="V324">
        <f>step3_validation[[#This Row],[AI_ENF2]]</f>
        <v>8</v>
      </c>
      <c r="W324" t="str">
        <f t="shared" si="138"/>
        <v>Support</v>
      </c>
      <c r="X324">
        <f>survey_responses[[#This Row],[Tôi tin rằng Nhà nước, cơ quan thuế có đủ khả năng và công nghệ để phát hiện, xử lý nghiêm các hành vi trốn thuế. - HUMAN-ENF2]]</f>
        <v>7</v>
      </c>
      <c r="Y324" t="str">
        <f t="shared" si="139"/>
        <v>Neutral</v>
      </c>
      <c r="Z324" s="31">
        <f t="shared" si="140"/>
        <v>1</v>
      </c>
      <c r="AA324">
        <f>step3_validation[[#This Row],[AI_FAC1]]</f>
        <v>9</v>
      </c>
      <c r="AB324" t="str">
        <f t="shared" si="141"/>
        <v>Support</v>
      </c>
      <c r="AC324">
        <f>survey_responses[[#This Row],[Các thủ tục khai báo thuế VÀ/HOẶC quy trình làm việc với cơ quan thuế đơn giản, tiện lợi, nhanh chóng hơn so với trước đây. - HUMAN-FAC1]]</f>
        <v>8</v>
      </c>
      <c r="AD324" t="str">
        <f t="shared" si="142"/>
        <v>Support</v>
      </c>
      <c r="AE324" s="31">
        <f t="shared" si="143"/>
        <v>1</v>
      </c>
      <c r="AF324">
        <f>step3_validation[[#This Row],[AI_FAC2]]</f>
        <v>10</v>
      </c>
      <c r="AG324" t="str">
        <f t="shared" si="144"/>
        <v>Support</v>
      </c>
      <c r="AH324">
        <f>survey_responses[[#This Row],[So với trước đây, tôi thấy cách tính thuế và các bậc thuế trong phương án mới đơn giản, dễ hiểu và dễ thực hiện hơn. - HUMAN-FAC2]]</f>
        <v>8</v>
      </c>
      <c r="AI324" t="str">
        <f t="shared" si="145"/>
        <v>Support</v>
      </c>
      <c r="AJ324" s="31">
        <f t="shared" si="146"/>
        <v>2</v>
      </c>
      <c r="AK324">
        <f>step3_validation[[#This Row],[AI_TRU1]]</f>
        <v>9</v>
      </c>
      <c r="AL324" t="str">
        <f t="shared" si="147"/>
        <v>Support</v>
      </c>
      <c r="AM324">
        <f>survey_responses[[#This Row],[Tôi tin rằng Nhà nước, cơ quan thuế sẽ thực thi chính sách mới một cách khách quan, công tâm và đối xử bình đẳng với mọi người nộp thuế.  - HUMAN-TRU1]]</f>
        <v>6</v>
      </c>
      <c r="AN324" t="str">
        <f t="shared" si="148"/>
        <v>Neutral</v>
      </c>
      <c r="AO324" s="31">
        <f t="shared" si="149"/>
        <v>3</v>
      </c>
      <c r="AP324">
        <f>step3_validation[[#This Row],[AI_TRU2]]</f>
        <v>8</v>
      </c>
      <c r="AQ324" t="str">
        <f t="shared" si="150"/>
        <v>Support</v>
      </c>
      <c r="AR324">
        <f>survey_responses[[#This Row],[Tôi thấy mức thuế tôi phải đóng theo phương án mới là công bằng (người thu nhập như tôi đóng mức này là hợp lý). - HUMAN-TRU2]]</f>
        <v>7</v>
      </c>
      <c r="AS324" t="str">
        <f t="shared" si="151"/>
        <v>Neutral</v>
      </c>
      <c r="AT324" s="31">
        <f t="shared" si="152"/>
        <v>1</v>
      </c>
      <c r="AU324">
        <f>step3_validation[[#This Row],[AI_TRU3]]</f>
        <v>9</v>
      </c>
      <c r="AV324" t="str">
        <f t="shared" si="153"/>
        <v>Support</v>
      </c>
      <c r="AW324">
        <f>survey_responses[[#This Row],[Tôi tin tưởng số tiền thuế tôi đóng sẽ được Nhà nước sử dụng hiệu quả để cải thiện dịch vụ công (y tế, đường xá...). - HUMAN-TRU3]]</f>
        <v>6</v>
      </c>
      <c r="AX324" t="str">
        <f t="shared" si="154"/>
        <v>Neutral</v>
      </c>
      <c r="AY324" s="31">
        <f t="shared" si="155"/>
        <v>3</v>
      </c>
      <c r="AZ324">
        <f>step3_validation[[#This Row],[AI_TRU4]]</f>
        <v>8</v>
      </c>
      <c r="BA324" t="str">
        <f t="shared" si="156"/>
        <v>Support</v>
      </c>
      <c r="BB324">
        <f>survey_responses[[#This Row],[Tôi thấy Nhà nước đã giải thích rõ ràng, minh bạch về lý do và mục tiêu của việc sửa đổi thuế lần này. - HUMAN-TRU4]]</f>
        <v>7</v>
      </c>
      <c r="BC324" t="str">
        <f t="shared" si="157"/>
        <v>Neutral</v>
      </c>
      <c r="BD324" s="31">
        <f t="shared" si="158"/>
        <v>1</v>
      </c>
      <c r="BE324">
        <f>step3_validation[[#This Row],[AI_OUT1]]</f>
        <v>9</v>
      </c>
      <c r="BF324" t="str">
        <f t="shared" si="159"/>
        <v>Support</v>
      </c>
      <c r="BG324">
        <f>survey_responses[[#This Row],[Sau khi xem xét các quyền lợi và nghĩa vụ, bạn có ủng hộ và tuân thủ chính sách mới hiện nay? - HUMAN-OUT1]]</f>
        <v>7</v>
      </c>
      <c r="BH324" t="str">
        <f t="shared" si="160"/>
        <v>Neutral</v>
      </c>
      <c r="BI324" s="31">
        <f t="shared" si="161"/>
        <v>2</v>
      </c>
    </row>
    <row r="325" spans="1:61" x14ac:dyDescent="0.45">
      <c r="A325" s="29">
        <f>step3_validation[[#This Row],[Persona_ID]]</f>
        <v>324</v>
      </c>
      <c r="B325" s="30">
        <f>step3_validation[[#This Row],[Used_Seed]]</f>
        <v>365</v>
      </c>
      <c r="C325" t="str">
        <f>step3_validation[[#This Row],[Gender]]</f>
        <v>Nữ</v>
      </c>
      <c r="D325" t="str">
        <f>survey_responses[[#This Row],[Giới tính của bạn:]]</f>
        <v>Nữ</v>
      </c>
      <c r="E325" t="str">
        <f>step3_validation[[#This Row],[Age_Group]]</f>
        <v>18 - 24</v>
      </c>
      <c r="F325" t="str">
        <f>survey_responses[[#This Row],[Độ tuổi của bạn:]]</f>
        <v>18 - 24</v>
      </c>
      <c r="G325" t="str">
        <f>step3_validation[[#This Row],[Region]]</f>
        <v>Thành thị</v>
      </c>
      <c r="H325" t="str">
        <f>survey_responses[[#This Row],[Khu vực bạn đang sinh sống:]]</f>
        <v>Thành thị</v>
      </c>
      <c r="I325" t="str">
        <f>step3_validation[[#This Row],[Education]]</f>
        <v>Đại học</v>
      </c>
      <c r="J325" t="str">
        <f>survey_responses[[#This Row],[Trình độ học vấn cao nhất:]]</f>
        <v>Đại học</v>
      </c>
      <c r="K325" t="str">
        <f>step3_validation[[#This Row],[Employment]]</f>
        <v>Chính thức</v>
      </c>
      <c r="L325" t="str">
        <f>survey_responses[[#This Row],[Tình trạng việc làm chính:]]</f>
        <v>Khu vực chính thức (Có Hợp đồng lao động, đóng BHXH)</v>
      </c>
      <c r="M325">
        <f>step3_validation[[#This Row],[Income_Mil]]</f>
        <v>12</v>
      </c>
      <c r="N325" t="str">
        <f>survey_responses[[#This Row],[Thu nhập bình quân tháng theo Hợp đồng lao động của bạn là bao nhiêu? (Vui lòng điền tổng thu nhập trước khi khấu trừ các loại Bảo hiểm (BHXH, BHYT, BHTN) và Thuế TNCN)]]</f>
        <v>Dưới 12 triệu VNĐ</v>
      </c>
      <c r="O325">
        <f>step3_validation[[#This Row],[Dependents]]</f>
        <v>0</v>
      </c>
      <c r="P325" t="str">
        <f>survey_responses[[#This Row],[Số người phụ thuộc (con nhỏ, cha mẹ già...) đủ điều kiện giảm trừ gia cảnh:]]</f>
        <v>0 người</v>
      </c>
      <c r="Q325">
        <f>step3_validation[[#This Row],[AI_ENF1]]</f>
        <v>7</v>
      </c>
      <c r="R325" t="str">
        <f t="shared" si="135"/>
        <v>Neutral</v>
      </c>
      <c r="S325">
        <f>survey_responses[[#This Row],[Tôi tin rằng với các quy định quản lý thuế hiện nay, hành vi gian lận hoặc trốn thuế sẽ dễ dàng bị phát hiện và xử lý nghiêm. - HUMAN-ENF1]]</f>
        <v>7</v>
      </c>
      <c r="T325" t="str">
        <f t="shared" si="136"/>
        <v>Neutral</v>
      </c>
      <c r="U325" s="31">
        <f t="shared" si="137"/>
        <v>0</v>
      </c>
      <c r="V325">
        <f>step3_validation[[#This Row],[AI_ENF2]]</f>
        <v>6</v>
      </c>
      <c r="W325" t="str">
        <f t="shared" si="138"/>
        <v>Neutral</v>
      </c>
      <c r="X325">
        <f>survey_responses[[#This Row],[Tôi tin rằng Nhà nước, cơ quan thuế có đủ khả năng và công nghệ để phát hiện, xử lý nghiêm các hành vi trốn thuế. - HUMAN-ENF2]]</f>
        <v>7</v>
      </c>
      <c r="Y325" t="str">
        <f t="shared" si="139"/>
        <v>Neutral</v>
      </c>
      <c r="Z325" s="31">
        <f t="shared" si="140"/>
        <v>1</v>
      </c>
      <c r="AA325">
        <f>step3_validation[[#This Row],[AI_FAC1]]</f>
        <v>8</v>
      </c>
      <c r="AB325" t="str">
        <f t="shared" si="141"/>
        <v>Support</v>
      </c>
      <c r="AC325">
        <f>survey_responses[[#This Row],[Các thủ tục khai báo thuế VÀ/HOẶC quy trình làm việc với cơ quan thuế đơn giản, tiện lợi, nhanh chóng hơn so với trước đây. - HUMAN-FAC1]]</f>
        <v>5</v>
      </c>
      <c r="AD325" t="str">
        <f t="shared" si="142"/>
        <v>Neutral</v>
      </c>
      <c r="AE325" s="31">
        <f t="shared" si="143"/>
        <v>3</v>
      </c>
      <c r="AF325">
        <f>step3_validation[[#This Row],[AI_FAC2]]</f>
        <v>9</v>
      </c>
      <c r="AG325" t="str">
        <f t="shared" si="144"/>
        <v>Support</v>
      </c>
      <c r="AH325">
        <f>survey_responses[[#This Row],[So với trước đây, tôi thấy cách tính thuế và các bậc thuế trong phương án mới đơn giản, dễ hiểu và dễ thực hiện hơn. - HUMAN-FAC2]]</f>
        <v>7</v>
      </c>
      <c r="AI325" t="str">
        <f t="shared" si="145"/>
        <v>Neutral</v>
      </c>
      <c r="AJ325" s="31">
        <f t="shared" si="146"/>
        <v>2</v>
      </c>
      <c r="AK325">
        <f>step3_validation[[#This Row],[AI_TRU1]]</f>
        <v>7</v>
      </c>
      <c r="AL325" t="str">
        <f t="shared" si="147"/>
        <v>Neutral</v>
      </c>
      <c r="AM325">
        <f>survey_responses[[#This Row],[Tôi tin rằng Nhà nước, cơ quan thuế sẽ thực thi chính sách mới một cách khách quan, công tâm và đối xử bình đẳng với mọi người nộp thuế.  - HUMAN-TRU1]]</f>
        <v>7</v>
      </c>
      <c r="AN325" t="str">
        <f t="shared" si="148"/>
        <v>Neutral</v>
      </c>
      <c r="AO325" s="31">
        <f t="shared" si="149"/>
        <v>0</v>
      </c>
      <c r="AP325">
        <f>step3_validation[[#This Row],[AI_TRU2]]</f>
        <v>8</v>
      </c>
      <c r="AQ325" t="str">
        <f t="shared" si="150"/>
        <v>Support</v>
      </c>
      <c r="AR325">
        <f>survey_responses[[#This Row],[Tôi thấy mức thuế tôi phải đóng theo phương án mới là công bằng (người thu nhập như tôi đóng mức này là hợp lý). - HUMAN-TRU2]]</f>
        <v>7</v>
      </c>
      <c r="AS325" t="str">
        <f t="shared" si="151"/>
        <v>Neutral</v>
      </c>
      <c r="AT325" s="31">
        <f t="shared" si="152"/>
        <v>1</v>
      </c>
      <c r="AU325">
        <f>step3_validation[[#This Row],[AI_TRU3]]</f>
        <v>7</v>
      </c>
      <c r="AV325" t="str">
        <f t="shared" si="153"/>
        <v>Neutral</v>
      </c>
      <c r="AW325">
        <f>survey_responses[[#This Row],[Tôi tin tưởng số tiền thuế tôi đóng sẽ được Nhà nước sử dụng hiệu quả để cải thiện dịch vụ công (y tế, đường xá...). - HUMAN-TRU3]]</f>
        <v>5</v>
      </c>
      <c r="AX325" t="str">
        <f t="shared" si="154"/>
        <v>Neutral</v>
      </c>
      <c r="AY325" s="31">
        <f t="shared" si="155"/>
        <v>2</v>
      </c>
      <c r="AZ325">
        <f>step3_validation[[#This Row],[AI_TRU4]]</f>
        <v>8</v>
      </c>
      <c r="BA325" t="str">
        <f t="shared" si="156"/>
        <v>Support</v>
      </c>
      <c r="BB325">
        <f>survey_responses[[#This Row],[Tôi thấy Nhà nước đã giải thích rõ ràng, minh bạch về lý do và mục tiêu của việc sửa đổi thuế lần này. - HUMAN-TRU4]]</f>
        <v>5</v>
      </c>
      <c r="BC325" t="str">
        <f t="shared" si="157"/>
        <v>Neutral</v>
      </c>
      <c r="BD325" s="31">
        <f t="shared" si="158"/>
        <v>3</v>
      </c>
      <c r="BE325">
        <f>step3_validation[[#This Row],[AI_OUT1]]</f>
        <v>9</v>
      </c>
      <c r="BF325" t="str">
        <f t="shared" si="159"/>
        <v>Support</v>
      </c>
      <c r="BG325">
        <f>survey_responses[[#This Row],[Sau khi xem xét các quyền lợi và nghĩa vụ, bạn có ủng hộ và tuân thủ chính sách mới hiện nay? - HUMAN-OUT1]]</f>
        <v>8</v>
      </c>
      <c r="BH325" t="str">
        <f t="shared" si="160"/>
        <v>Support</v>
      </c>
      <c r="BI325" s="31">
        <f t="shared" si="161"/>
        <v>1</v>
      </c>
    </row>
    <row r="326" spans="1:61" hidden="1" x14ac:dyDescent="0.45">
      <c r="A326" s="29">
        <f>step3_validation[[#This Row],[Persona_ID]]</f>
        <v>325</v>
      </c>
      <c r="B326" s="30">
        <f>step3_validation[[#This Row],[Used_Seed]]</f>
        <v>366</v>
      </c>
      <c r="C326" t="str">
        <f>step3_validation[[#This Row],[Gender]]</f>
        <v>Nam</v>
      </c>
      <c r="D326" t="str">
        <f>survey_responses[[#This Row],[Giới tính của bạn:]]</f>
        <v>Nam</v>
      </c>
      <c r="E326" t="str">
        <f>step3_validation[[#This Row],[Age_Group]]</f>
        <v>30 - 39</v>
      </c>
      <c r="F326" t="str">
        <f>survey_responses[[#This Row],[Độ tuổi của bạn:]]</f>
        <v>30 - 39</v>
      </c>
      <c r="G326" t="str">
        <f>step3_validation[[#This Row],[Region]]</f>
        <v>Thành thị</v>
      </c>
      <c r="H326" t="str">
        <f>survey_responses[[#This Row],[Khu vực bạn đang sinh sống:]]</f>
        <v>Thành thị</v>
      </c>
      <c r="I326" t="str">
        <f>step3_validation[[#This Row],[Education]]</f>
        <v>Đại học</v>
      </c>
      <c r="J326" t="str">
        <f>survey_responses[[#This Row],[Trình độ học vấn cao nhất:]]</f>
        <v>Đại học</v>
      </c>
      <c r="K326" t="str">
        <f>step3_validation[[#This Row],[Employment]]</f>
        <v>Chính thức</v>
      </c>
      <c r="L326" t="str">
        <f>survey_responses[[#This Row],[Tình trạng việc làm chính:]]</f>
        <v>Khu vực chính thức (Có Hợp đồng lao động, đóng BHXH)</v>
      </c>
      <c r="M326">
        <f>step3_validation[[#This Row],[Income_Mil]]</f>
        <v>37.765270489529698</v>
      </c>
      <c r="N326" t="str">
        <f>survey_responses[[#This Row],[Thu nhập bình quân tháng theo Hợp đồng lao động của bạn là bao nhiêu? (Vui lòng điền tổng thu nhập trước khi khấu trừ các loại Bảo hiểm (BHXH, BHYT, BHTN) và Thuế TNCN)]]</f>
        <v>Từ 32 - 48 triệu VNĐ</v>
      </c>
      <c r="O326">
        <f>step3_validation[[#This Row],[Dependents]]</f>
        <v>1</v>
      </c>
      <c r="P326" t="str">
        <f>survey_responses[[#This Row],[Số người phụ thuộc (con nhỏ, cha mẹ già...) đủ điều kiện giảm trừ gia cảnh:]]</f>
        <v>1 người</v>
      </c>
      <c r="Q326">
        <f>step3_validation[[#This Row],[AI_ENF1]]</f>
        <v>9</v>
      </c>
      <c r="R326" t="str">
        <f t="shared" si="135"/>
        <v>Support</v>
      </c>
      <c r="S326">
        <f>survey_responses[[#This Row],[Tôi tin rằng với các quy định quản lý thuế hiện nay, hành vi gian lận hoặc trốn thuế sẽ dễ dàng bị phát hiện và xử lý nghiêm. - HUMAN-ENF1]]</f>
        <v>2</v>
      </c>
      <c r="T326" t="str">
        <f t="shared" si="136"/>
        <v>Oppose</v>
      </c>
      <c r="U326" s="31">
        <f t="shared" si="137"/>
        <v>7</v>
      </c>
      <c r="V326">
        <f>step3_validation[[#This Row],[AI_ENF2]]</f>
        <v>8</v>
      </c>
      <c r="W326" t="str">
        <f t="shared" si="138"/>
        <v>Support</v>
      </c>
      <c r="X326">
        <f>survey_responses[[#This Row],[Tôi tin rằng Nhà nước, cơ quan thuế có đủ khả năng và công nghệ để phát hiện, xử lý nghiêm các hành vi trốn thuế. - HUMAN-ENF2]]</f>
        <v>2</v>
      </c>
      <c r="Y326" t="str">
        <f t="shared" si="139"/>
        <v>Oppose</v>
      </c>
      <c r="Z326" s="31">
        <f t="shared" si="140"/>
        <v>6</v>
      </c>
      <c r="AA326">
        <f>step3_validation[[#This Row],[AI_FAC1]]</f>
        <v>8</v>
      </c>
      <c r="AB326" t="str">
        <f t="shared" si="141"/>
        <v>Support</v>
      </c>
      <c r="AC326">
        <f>survey_responses[[#This Row],[Các thủ tục khai báo thuế VÀ/HOẶC quy trình làm việc với cơ quan thuế đơn giản, tiện lợi, nhanh chóng hơn so với trước đây. - HUMAN-FAC1]]</f>
        <v>6</v>
      </c>
      <c r="AD326" t="str">
        <f t="shared" si="142"/>
        <v>Neutral</v>
      </c>
      <c r="AE326" s="31">
        <f t="shared" si="143"/>
        <v>2</v>
      </c>
      <c r="AF326">
        <f>step3_validation[[#This Row],[AI_FAC2]]</f>
        <v>9</v>
      </c>
      <c r="AG326" t="str">
        <f t="shared" si="144"/>
        <v>Support</v>
      </c>
      <c r="AH326">
        <f>survey_responses[[#This Row],[So với trước đây, tôi thấy cách tính thuế và các bậc thuế trong phương án mới đơn giản, dễ hiểu và dễ thực hiện hơn. - HUMAN-FAC2]]</f>
        <v>7</v>
      </c>
      <c r="AI326" t="str">
        <f t="shared" si="145"/>
        <v>Neutral</v>
      </c>
      <c r="AJ326" s="31">
        <f t="shared" si="146"/>
        <v>2</v>
      </c>
      <c r="AK326">
        <f>step3_validation[[#This Row],[AI_TRU1]]</f>
        <v>7</v>
      </c>
      <c r="AL326" t="str">
        <f t="shared" si="147"/>
        <v>Neutral</v>
      </c>
      <c r="AM326">
        <f>survey_responses[[#This Row],[Tôi tin rằng Nhà nước, cơ quan thuế sẽ thực thi chính sách mới một cách khách quan, công tâm và đối xử bình đẳng với mọi người nộp thuế.  - HUMAN-TRU1]]</f>
        <v>2</v>
      </c>
      <c r="AN326" t="str">
        <f t="shared" si="148"/>
        <v>Oppose</v>
      </c>
      <c r="AO326" s="31">
        <f t="shared" si="149"/>
        <v>5</v>
      </c>
      <c r="AP326">
        <f>step3_validation[[#This Row],[AI_TRU2]]</f>
        <v>8</v>
      </c>
      <c r="AQ326" t="str">
        <f t="shared" si="150"/>
        <v>Support</v>
      </c>
      <c r="AR326">
        <f>survey_responses[[#This Row],[Tôi thấy mức thuế tôi phải đóng theo phương án mới là công bằng (người thu nhập như tôi đóng mức này là hợp lý). - HUMAN-TRU2]]</f>
        <v>5</v>
      </c>
      <c r="AS326" t="str">
        <f t="shared" si="151"/>
        <v>Neutral</v>
      </c>
      <c r="AT326" s="31">
        <f t="shared" si="152"/>
        <v>3</v>
      </c>
      <c r="AU326">
        <f>step3_validation[[#This Row],[AI_TRU3]]</f>
        <v>7</v>
      </c>
      <c r="AV326" t="str">
        <f t="shared" si="153"/>
        <v>Neutral</v>
      </c>
      <c r="AW326">
        <f>survey_responses[[#This Row],[Tôi tin tưởng số tiền thuế tôi đóng sẽ được Nhà nước sử dụng hiệu quả để cải thiện dịch vụ công (y tế, đường xá...). - HUMAN-TRU3]]</f>
        <v>5</v>
      </c>
      <c r="AX326" t="str">
        <f t="shared" si="154"/>
        <v>Neutral</v>
      </c>
      <c r="AY326" s="31">
        <f t="shared" si="155"/>
        <v>2</v>
      </c>
      <c r="AZ326">
        <f>step3_validation[[#This Row],[AI_TRU4]]</f>
        <v>8</v>
      </c>
      <c r="BA326" t="str">
        <f t="shared" si="156"/>
        <v>Support</v>
      </c>
      <c r="BB326">
        <f>survey_responses[[#This Row],[Tôi thấy Nhà nước đã giải thích rõ ràng, minh bạch về lý do và mục tiêu của việc sửa đổi thuế lần này. - HUMAN-TRU4]]</f>
        <v>6</v>
      </c>
      <c r="BC326" t="str">
        <f t="shared" si="157"/>
        <v>Neutral</v>
      </c>
      <c r="BD326" s="31">
        <f t="shared" si="158"/>
        <v>2</v>
      </c>
      <c r="BE326">
        <f>step3_validation[[#This Row],[AI_OUT1]]</f>
        <v>9</v>
      </c>
      <c r="BF326" t="str">
        <f t="shared" si="159"/>
        <v>Support</v>
      </c>
      <c r="BG326">
        <f>survey_responses[[#This Row],[Sau khi xem xét các quyền lợi và nghĩa vụ, bạn có ủng hộ và tuân thủ chính sách mới hiện nay? - HUMAN-OUT1]]</f>
        <v>5</v>
      </c>
      <c r="BH326" t="str">
        <f t="shared" si="160"/>
        <v>Neutral</v>
      </c>
      <c r="BI326" s="31">
        <f t="shared" si="161"/>
        <v>4</v>
      </c>
    </row>
    <row r="327" spans="1:61" hidden="1" x14ac:dyDescent="0.45">
      <c r="A327" s="29">
        <f>step3_validation[[#This Row],[Persona_ID]]</f>
        <v>326</v>
      </c>
      <c r="B327" s="30">
        <f>step3_validation[[#This Row],[Used_Seed]]</f>
        <v>367</v>
      </c>
      <c r="C327" t="str">
        <f>step3_validation[[#This Row],[Gender]]</f>
        <v>Nữ</v>
      </c>
      <c r="D327" t="str">
        <f>survey_responses[[#This Row],[Giới tính của bạn:]]</f>
        <v>Nữ</v>
      </c>
      <c r="E327" t="str">
        <f>step3_validation[[#This Row],[Age_Group]]</f>
        <v>40 - 49</v>
      </c>
      <c r="F327" t="str">
        <f>survey_responses[[#This Row],[Độ tuổi của bạn:]]</f>
        <v>40 - 49</v>
      </c>
      <c r="G327" t="str">
        <f>step3_validation[[#This Row],[Region]]</f>
        <v>Thành thị</v>
      </c>
      <c r="H327" t="str">
        <f>survey_responses[[#This Row],[Khu vực bạn đang sinh sống:]]</f>
        <v>Thành thị</v>
      </c>
      <c r="I327" t="str">
        <f>step3_validation[[#This Row],[Education]]</f>
        <v>Đại học</v>
      </c>
      <c r="J327" t="str">
        <f>survey_responses[[#This Row],[Trình độ học vấn cao nhất:]]</f>
        <v>Đại học</v>
      </c>
      <c r="K327" t="str">
        <f>step3_validation[[#This Row],[Employment]]</f>
        <v>Chính thức</v>
      </c>
      <c r="L327" t="str">
        <f>survey_responses[[#This Row],[Tình trạng việc làm chính:]]</f>
        <v>Khu vực chính thức (Có Hợp đồng lao động, đóng BHXH)</v>
      </c>
      <c r="M327">
        <f>step3_validation[[#This Row],[Income_Mil]]</f>
        <v>50.484651179719123</v>
      </c>
      <c r="N327" t="str">
        <f>survey_responses[[#This Row],[Thu nhập bình quân tháng theo Hợp đồng lao động của bạn là bao nhiêu? (Vui lòng điền tổng thu nhập trước khi khấu trừ các loại Bảo hiểm (BHXH, BHYT, BHTN) và Thuế TNCN)]]</f>
        <v>Từ 48 - 70 triệu VNĐ</v>
      </c>
      <c r="O327">
        <f>step3_validation[[#This Row],[Dependents]]</f>
        <v>2</v>
      </c>
      <c r="P327" t="str">
        <f>survey_responses[[#This Row],[Số người phụ thuộc (con nhỏ, cha mẹ già...) đủ điều kiện giảm trừ gia cảnh:]]</f>
        <v>2 người</v>
      </c>
      <c r="Q327">
        <f>step3_validation[[#This Row],[AI_ENF1]]</f>
        <v>6</v>
      </c>
      <c r="R327" t="str">
        <f t="shared" si="135"/>
        <v>Neutral</v>
      </c>
      <c r="S327">
        <f>survey_responses[[#This Row],[Tôi tin rằng với các quy định quản lý thuế hiện nay, hành vi gian lận hoặc trốn thuế sẽ dễ dàng bị phát hiện và xử lý nghiêm. - HUMAN-ENF1]]</f>
        <v>8</v>
      </c>
      <c r="T327" t="str">
        <f t="shared" si="136"/>
        <v>Support</v>
      </c>
      <c r="U327" s="31">
        <f t="shared" si="137"/>
        <v>2</v>
      </c>
      <c r="V327">
        <f>step3_validation[[#This Row],[AI_ENF2]]</f>
        <v>7</v>
      </c>
      <c r="W327" t="str">
        <f t="shared" si="138"/>
        <v>Neutral</v>
      </c>
      <c r="X327">
        <f>survey_responses[[#This Row],[Tôi tin rằng Nhà nước, cơ quan thuế có đủ khả năng và công nghệ để phát hiện, xử lý nghiêm các hành vi trốn thuế. - HUMAN-ENF2]]</f>
        <v>9</v>
      </c>
      <c r="Y327" t="str">
        <f t="shared" si="139"/>
        <v>Support</v>
      </c>
      <c r="Z327" s="31">
        <f t="shared" si="140"/>
        <v>2</v>
      </c>
      <c r="AA327">
        <f>step3_validation[[#This Row],[AI_FAC1]]</f>
        <v>8</v>
      </c>
      <c r="AB327" t="str">
        <f t="shared" si="141"/>
        <v>Support</v>
      </c>
      <c r="AC327">
        <f>survey_responses[[#This Row],[Các thủ tục khai báo thuế VÀ/HOẶC quy trình làm việc với cơ quan thuế đơn giản, tiện lợi, nhanh chóng hơn so với trước đây. - HUMAN-FAC1]]</f>
        <v>9</v>
      </c>
      <c r="AD327" t="str">
        <f t="shared" si="142"/>
        <v>Support</v>
      </c>
      <c r="AE327" s="31">
        <f t="shared" si="143"/>
        <v>1</v>
      </c>
      <c r="AF327">
        <f>step3_validation[[#This Row],[AI_FAC2]]</f>
        <v>9</v>
      </c>
      <c r="AG327" t="str">
        <f t="shared" si="144"/>
        <v>Support</v>
      </c>
      <c r="AH327">
        <f>survey_responses[[#This Row],[So với trước đây, tôi thấy cách tính thuế và các bậc thuế trong phương án mới đơn giản, dễ hiểu và dễ thực hiện hơn. - HUMAN-FAC2]]</f>
        <v>10</v>
      </c>
      <c r="AI327" t="str">
        <f t="shared" si="145"/>
        <v>Support</v>
      </c>
      <c r="AJ327" s="31">
        <f t="shared" si="146"/>
        <v>1</v>
      </c>
      <c r="AK327">
        <f>step3_validation[[#This Row],[AI_TRU1]]</f>
        <v>8</v>
      </c>
      <c r="AL327" t="str">
        <f t="shared" si="147"/>
        <v>Support</v>
      </c>
      <c r="AM327">
        <f>survey_responses[[#This Row],[Tôi tin rằng Nhà nước, cơ quan thuế sẽ thực thi chính sách mới một cách khách quan, công tâm và đối xử bình đẳng với mọi người nộp thuế.  - HUMAN-TRU1]]</f>
        <v>8</v>
      </c>
      <c r="AN327" t="str">
        <f t="shared" si="148"/>
        <v>Support</v>
      </c>
      <c r="AO327" s="31">
        <f t="shared" si="149"/>
        <v>0</v>
      </c>
      <c r="AP327">
        <f>step3_validation[[#This Row],[AI_TRU2]]</f>
        <v>7</v>
      </c>
      <c r="AQ327" t="str">
        <f t="shared" si="150"/>
        <v>Neutral</v>
      </c>
      <c r="AR327">
        <f>survey_responses[[#This Row],[Tôi thấy mức thuế tôi phải đóng theo phương án mới là công bằng (người thu nhập như tôi đóng mức này là hợp lý). - HUMAN-TRU2]]</f>
        <v>10</v>
      </c>
      <c r="AS327" t="str">
        <f t="shared" si="151"/>
        <v>Support</v>
      </c>
      <c r="AT327" s="31">
        <f t="shared" si="152"/>
        <v>3</v>
      </c>
      <c r="AU327">
        <f>step3_validation[[#This Row],[AI_TRU3]]</f>
        <v>6</v>
      </c>
      <c r="AV327" t="str">
        <f t="shared" si="153"/>
        <v>Neutral</v>
      </c>
      <c r="AW327">
        <f>survey_responses[[#This Row],[Tôi tin tưởng số tiền thuế tôi đóng sẽ được Nhà nước sử dụng hiệu quả để cải thiện dịch vụ công (y tế, đường xá...). - HUMAN-TRU3]]</f>
        <v>9</v>
      </c>
      <c r="AX327" t="str">
        <f t="shared" si="154"/>
        <v>Support</v>
      </c>
      <c r="AY327" s="31">
        <f t="shared" si="155"/>
        <v>3</v>
      </c>
      <c r="AZ327">
        <f>step3_validation[[#This Row],[AI_TRU4]]</f>
        <v>7</v>
      </c>
      <c r="BA327" t="str">
        <f t="shared" si="156"/>
        <v>Neutral</v>
      </c>
      <c r="BB327">
        <f>survey_responses[[#This Row],[Tôi thấy Nhà nước đã giải thích rõ ràng, minh bạch về lý do và mục tiêu của việc sửa đổi thuế lần này. - HUMAN-TRU4]]</f>
        <v>9</v>
      </c>
      <c r="BC327" t="str">
        <f t="shared" si="157"/>
        <v>Support</v>
      </c>
      <c r="BD327" s="31">
        <f t="shared" si="158"/>
        <v>2</v>
      </c>
      <c r="BE327">
        <f>step3_validation[[#This Row],[AI_OUT1]]</f>
        <v>8</v>
      </c>
      <c r="BF327" t="str">
        <f t="shared" si="159"/>
        <v>Support</v>
      </c>
      <c r="BG327">
        <f>survey_responses[[#This Row],[Sau khi xem xét các quyền lợi và nghĩa vụ, bạn có ủng hộ và tuân thủ chính sách mới hiện nay? - HUMAN-OUT1]]</f>
        <v>10</v>
      </c>
      <c r="BH327" t="str">
        <f t="shared" si="160"/>
        <v>Support</v>
      </c>
      <c r="BI327" s="31">
        <f t="shared" si="161"/>
        <v>2</v>
      </c>
    </row>
    <row r="328" spans="1:61" hidden="1" x14ac:dyDescent="0.45">
      <c r="A328" s="29">
        <f>step3_validation[[#This Row],[Persona_ID]]</f>
        <v>327</v>
      </c>
      <c r="B328" s="30">
        <f>step3_validation[[#This Row],[Used_Seed]]</f>
        <v>368</v>
      </c>
      <c r="C328" t="str">
        <f>step3_validation[[#This Row],[Gender]]</f>
        <v>Nữ</v>
      </c>
      <c r="D328" t="str">
        <f>survey_responses[[#This Row],[Giới tính của bạn:]]</f>
        <v>Nữ</v>
      </c>
      <c r="E328" t="str">
        <f>step3_validation[[#This Row],[Age_Group]]</f>
        <v>25 - 29</v>
      </c>
      <c r="F328" t="str">
        <f>survey_responses[[#This Row],[Độ tuổi của bạn:]]</f>
        <v>25 - 29</v>
      </c>
      <c r="G328" t="str">
        <f>step3_validation[[#This Row],[Region]]</f>
        <v>Thành thị</v>
      </c>
      <c r="H328" t="str">
        <f>survey_responses[[#This Row],[Khu vực bạn đang sinh sống:]]</f>
        <v>Thành thị</v>
      </c>
      <c r="I328" t="str">
        <f>step3_validation[[#This Row],[Education]]</f>
        <v>Đại học</v>
      </c>
      <c r="J328" t="str">
        <f>survey_responses[[#This Row],[Trình độ học vấn cao nhất:]]</f>
        <v>Đại học</v>
      </c>
      <c r="K328" t="str">
        <f>step3_validation[[#This Row],[Employment]]</f>
        <v>Chính thức</v>
      </c>
      <c r="L328" t="str">
        <f>survey_responses[[#This Row],[Tình trạng việc làm chính:]]</f>
        <v>Khu vực chính thức (Có Hợp đồng lao động, đóng BHXH)</v>
      </c>
      <c r="M328">
        <f>step3_validation[[#This Row],[Income_Mil]]</f>
        <v>21.137777265822383</v>
      </c>
      <c r="N328" t="str">
        <f>survey_responses[[#This Row],[Thu nhập bình quân tháng theo Hợp đồng lao động của bạn là bao nhiêu? (Vui lòng điền tổng thu nhập trước khi khấu trừ các loại Bảo hiểm (BHXH, BHYT, BHTN) và Thuế TNCN)]]</f>
        <v>Từ 18 - 23 triệu VNĐ</v>
      </c>
      <c r="O328">
        <f>step3_validation[[#This Row],[Dependents]]</f>
        <v>0</v>
      </c>
      <c r="P328" t="str">
        <f>survey_responses[[#This Row],[Số người phụ thuộc (con nhỏ, cha mẹ già...) đủ điều kiện giảm trừ gia cảnh:]]</f>
        <v>0 người</v>
      </c>
      <c r="Q328">
        <f>step3_validation[[#This Row],[AI_ENF1]]</f>
        <v>7</v>
      </c>
      <c r="R328" t="str">
        <f t="shared" si="135"/>
        <v>Neutral</v>
      </c>
      <c r="S328">
        <f>survey_responses[[#This Row],[Tôi tin rằng với các quy định quản lý thuế hiện nay, hành vi gian lận hoặc trốn thuế sẽ dễ dàng bị phát hiện và xử lý nghiêm. - HUMAN-ENF1]]</f>
        <v>7</v>
      </c>
      <c r="T328" t="str">
        <f t="shared" si="136"/>
        <v>Neutral</v>
      </c>
      <c r="U328" s="31">
        <f t="shared" si="137"/>
        <v>0</v>
      </c>
      <c r="V328">
        <f>step3_validation[[#This Row],[AI_ENF2]]</f>
        <v>6</v>
      </c>
      <c r="W328" t="str">
        <f t="shared" si="138"/>
        <v>Neutral</v>
      </c>
      <c r="X328">
        <f>survey_responses[[#This Row],[Tôi tin rằng Nhà nước, cơ quan thuế có đủ khả năng và công nghệ để phát hiện, xử lý nghiêm các hành vi trốn thuế. - HUMAN-ENF2]]</f>
        <v>7</v>
      </c>
      <c r="Y328" t="str">
        <f t="shared" si="139"/>
        <v>Neutral</v>
      </c>
      <c r="Z328" s="31">
        <f t="shared" si="140"/>
        <v>1</v>
      </c>
      <c r="AA328">
        <f>step3_validation[[#This Row],[AI_FAC1]]</f>
        <v>8</v>
      </c>
      <c r="AB328" t="str">
        <f t="shared" si="141"/>
        <v>Support</v>
      </c>
      <c r="AC328">
        <f>survey_responses[[#This Row],[Các thủ tục khai báo thuế VÀ/HOẶC quy trình làm việc với cơ quan thuế đơn giản, tiện lợi, nhanh chóng hơn so với trước đây. - HUMAN-FAC1]]</f>
        <v>7</v>
      </c>
      <c r="AD328" t="str">
        <f t="shared" si="142"/>
        <v>Neutral</v>
      </c>
      <c r="AE328" s="31">
        <f t="shared" si="143"/>
        <v>1</v>
      </c>
      <c r="AF328">
        <f>step3_validation[[#This Row],[AI_FAC2]]</f>
        <v>9</v>
      </c>
      <c r="AG328" t="str">
        <f t="shared" si="144"/>
        <v>Support</v>
      </c>
      <c r="AH328">
        <f>survey_responses[[#This Row],[So với trước đây, tôi thấy cách tính thuế và các bậc thuế trong phương án mới đơn giản, dễ hiểu và dễ thực hiện hơn. - HUMAN-FAC2]]</f>
        <v>9</v>
      </c>
      <c r="AI328" t="str">
        <f t="shared" si="145"/>
        <v>Support</v>
      </c>
      <c r="AJ328" s="31">
        <f t="shared" si="146"/>
        <v>0</v>
      </c>
      <c r="AK328">
        <f>step3_validation[[#This Row],[AI_TRU1]]</f>
        <v>7</v>
      </c>
      <c r="AL328" t="str">
        <f t="shared" si="147"/>
        <v>Neutral</v>
      </c>
      <c r="AM328">
        <f>survey_responses[[#This Row],[Tôi tin rằng Nhà nước, cơ quan thuế sẽ thực thi chính sách mới một cách khách quan, công tâm và đối xử bình đẳng với mọi người nộp thuế.  - HUMAN-TRU1]]</f>
        <v>7</v>
      </c>
      <c r="AN328" t="str">
        <f t="shared" si="148"/>
        <v>Neutral</v>
      </c>
      <c r="AO328" s="31">
        <f t="shared" si="149"/>
        <v>0</v>
      </c>
      <c r="AP328">
        <f>step3_validation[[#This Row],[AI_TRU2]]</f>
        <v>8</v>
      </c>
      <c r="AQ328" t="str">
        <f t="shared" si="150"/>
        <v>Support</v>
      </c>
      <c r="AR328">
        <f>survey_responses[[#This Row],[Tôi thấy mức thuế tôi phải đóng theo phương án mới là công bằng (người thu nhập như tôi đóng mức này là hợp lý). - HUMAN-TRU2]]</f>
        <v>8</v>
      </c>
      <c r="AS328" t="str">
        <f t="shared" si="151"/>
        <v>Support</v>
      </c>
      <c r="AT328" s="31">
        <f t="shared" si="152"/>
        <v>0</v>
      </c>
      <c r="AU328">
        <f>step3_validation[[#This Row],[AI_TRU3]]</f>
        <v>7</v>
      </c>
      <c r="AV328" t="str">
        <f t="shared" si="153"/>
        <v>Neutral</v>
      </c>
      <c r="AW328">
        <f>survey_responses[[#This Row],[Tôi tin tưởng số tiền thuế tôi đóng sẽ được Nhà nước sử dụng hiệu quả để cải thiện dịch vụ công (y tế, đường xá...). - HUMAN-TRU3]]</f>
        <v>5</v>
      </c>
      <c r="AX328" t="str">
        <f t="shared" si="154"/>
        <v>Neutral</v>
      </c>
      <c r="AY328" s="31">
        <f t="shared" si="155"/>
        <v>2</v>
      </c>
      <c r="AZ328">
        <f>step3_validation[[#This Row],[AI_TRU4]]</f>
        <v>6</v>
      </c>
      <c r="BA328" t="str">
        <f t="shared" si="156"/>
        <v>Neutral</v>
      </c>
      <c r="BB328">
        <f>survey_responses[[#This Row],[Tôi thấy Nhà nước đã giải thích rõ ràng, minh bạch về lý do và mục tiêu của việc sửa đổi thuế lần này. - HUMAN-TRU4]]</f>
        <v>7</v>
      </c>
      <c r="BC328" t="str">
        <f t="shared" si="157"/>
        <v>Neutral</v>
      </c>
      <c r="BD328" s="31">
        <f t="shared" si="158"/>
        <v>1</v>
      </c>
      <c r="BE328">
        <f>step3_validation[[#This Row],[AI_OUT1]]</f>
        <v>9</v>
      </c>
      <c r="BF328" t="str">
        <f t="shared" si="159"/>
        <v>Support</v>
      </c>
      <c r="BG328">
        <f>survey_responses[[#This Row],[Sau khi xem xét các quyền lợi và nghĩa vụ, bạn có ủng hộ và tuân thủ chính sách mới hiện nay? - HUMAN-OUT1]]</f>
        <v>8</v>
      </c>
      <c r="BH328" t="str">
        <f t="shared" si="160"/>
        <v>Support</v>
      </c>
      <c r="BI328" s="31">
        <f t="shared" si="161"/>
        <v>1</v>
      </c>
    </row>
    <row r="329" spans="1:61" hidden="1" x14ac:dyDescent="0.45">
      <c r="A329" s="29">
        <f>step3_validation[[#This Row],[Persona_ID]]</f>
        <v>328</v>
      </c>
      <c r="B329" s="30">
        <f>step3_validation[[#This Row],[Used_Seed]]</f>
        <v>369</v>
      </c>
      <c r="C329" t="str">
        <f>step3_validation[[#This Row],[Gender]]</f>
        <v>Nam</v>
      </c>
      <c r="D329" t="str">
        <f>survey_responses[[#This Row],[Giới tính của bạn:]]</f>
        <v>Nam</v>
      </c>
      <c r="E329" t="str">
        <f>step3_validation[[#This Row],[Age_Group]]</f>
        <v>40 - 49</v>
      </c>
      <c r="F329" t="str">
        <f>survey_responses[[#This Row],[Độ tuổi của bạn:]]</f>
        <v>40 - 49</v>
      </c>
      <c r="G329" t="str">
        <f>step3_validation[[#This Row],[Region]]</f>
        <v>Thành thị</v>
      </c>
      <c r="H329" t="str">
        <f>survey_responses[[#This Row],[Khu vực bạn đang sinh sống:]]</f>
        <v>Thành thị</v>
      </c>
      <c r="I329" t="str">
        <f>step3_validation[[#This Row],[Education]]</f>
        <v>Sau Đại học</v>
      </c>
      <c r="J329" t="str">
        <f>survey_responses[[#This Row],[Trình độ học vấn cao nhất:]]</f>
        <v>Sau Đại học</v>
      </c>
      <c r="K329" t="str">
        <f>step3_validation[[#This Row],[Employment]]</f>
        <v>Chính thức</v>
      </c>
      <c r="L329" t="str">
        <f>survey_responses[[#This Row],[Tình trạng việc làm chính:]]</f>
        <v>Khu vực chính thức (Có Hợp đồng lao động, đóng BHXH)</v>
      </c>
      <c r="M329">
        <f>step3_validation[[#This Row],[Income_Mil]]</f>
        <v>86.712170908790966</v>
      </c>
      <c r="N329" t="str">
        <f>survey_responses[[#This Row],[Thu nhập bình quân tháng theo Hợp đồng lao động của bạn là bao nhiêu? (Vui lòng điền tổng thu nhập trước khi khấu trừ các loại Bảo hiểm (BHXH, BHYT, BHTN) và Thuế TNCN)]]</f>
        <v>Từ 70 - 102 triệu VNĐ</v>
      </c>
      <c r="O329">
        <f>step3_validation[[#This Row],[Dependents]]</f>
        <v>3</v>
      </c>
      <c r="P329" t="str">
        <f>survey_responses[[#This Row],[Số người phụ thuộc (con nhỏ, cha mẹ già...) đủ điều kiện giảm trừ gia cảnh:]]</f>
        <v>3 người</v>
      </c>
      <c r="Q329">
        <f>step3_validation[[#This Row],[AI_ENF1]]</f>
        <v>8</v>
      </c>
      <c r="R329" t="str">
        <f t="shared" si="135"/>
        <v>Support</v>
      </c>
      <c r="S329">
        <f>survey_responses[[#This Row],[Tôi tin rằng với các quy định quản lý thuế hiện nay, hành vi gian lận hoặc trốn thuế sẽ dễ dàng bị phát hiện và xử lý nghiêm. - HUMAN-ENF1]]</f>
        <v>7</v>
      </c>
      <c r="T329" t="str">
        <f t="shared" si="136"/>
        <v>Neutral</v>
      </c>
      <c r="U329" s="31">
        <f t="shared" si="137"/>
        <v>1</v>
      </c>
      <c r="V329">
        <f>step3_validation[[#This Row],[AI_ENF2]]</f>
        <v>8</v>
      </c>
      <c r="W329" t="str">
        <f t="shared" si="138"/>
        <v>Support</v>
      </c>
      <c r="X329">
        <f>survey_responses[[#This Row],[Tôi tin rằng Nhà nước, cơ quan thuế có đủ khả năng và công nghệ để phát hiện, xử lý nghiêm các hành vi trốn thuế. - HUMAN-ENF2]]</f>
        <v>8</v>
      </c>
      <c r="Y329" t="str">
        <f t="shared" si="139"/>
        <v>Support</v>
      </c>
      <c r="Z329" s="31">
        <f t="shared" si="140"/>
        <v>0</v>
      </c>
      <c r="AA329">
        <f>step3_validation[[#This Row],[AI_FAC1]]</f>
        <v>9</v>
      </c>
      <c r="AB329" t="str">
        <f t="shared" si="141"/>
        <v>Support</v>
      </c>
      <c r="AC329">
        <f>survey_responses[[#This Row],[Các thủ tục khai báo thuế VÀ/HOẶC quy trình làm việc với cơ quan thuế đơn giản, tiện lợi, nhanh chóng hơn so với trước đây. - HUMAN-FAC1]]</f>
        <v>9</v>
      </c>
      <c r="AD329" t="str">
        <f t="shared" si="142"/>
        <v>Support</v>
      </c>
      <c r="AE329" s="31">
        <f t="shared" si="143"/>
        <v>0</v>
      </c>
      <c r="AF329">
        <f>step3_validation[[#This Row],[AI_FAC2]]</f>
        <v>9</v>
      </c>
      <c r="AG329" t="str">
        <f t="shared" si="144"/>
        <v>Support</v>
      </c>
      <c r="AH329">
        <f>survey_responses[[#This Row],[So với trước đây, tôi thấy cách tính thuế và các bậc thuế trong phương án mới đơn giản, dễ hiểu và dễ thực hiện hơn. - HUMAN-FAC2]]</f>
        <v>9</v>
      </c>
      <c r="AI329" t="str">
        <f t="shared" si="145"/>
        <v>Support</v>
      </c>
      <c r="AJ329" s="31">
        <f t="shared" si="146"/>
        <v>0</v>
      </c>
      <c r="AK329">
        <f>step3_validation[[#This Row],[AI_TRU1]]</f>
        <v>8</v>
      </c>
      <c r="AL329" t="str">
        <f t="shared" si="147"/>
        <v>Support</v>
      </c>
      <c r="AM329">
        <f>survey_responses[[#This Row],[Tôi tin rằng Nhà nước, cơ quan thuế sẽ thực thi chính sách mới một cách khách quan, công tâm và đối xử bình đẳng với mọi người nộp thuế.  - HUMAN-TRU1]]</f>
        <v>9</v>
      </c>
      <c r="AN329" t="str">
        <f t="shared" si="148"/>
        <v>Support</v>
      </c>
      <c r="AO329" s="31">
        <f t="shared" si="149"/>
        <v>1</v>
      </c>
      <c r="AP329">
        <f>step3_validation[[#This Row],[AI_TRU2]]</f>
        <v>8</v>
      </c>
      <c r="AQ329" t="str">
        <f t="shared" si="150"/>
        <v>Support</v>
      </c>
      <c r="AR329">
        <f>survey_responses[[#This Row],[Tôi thấy mức thuế tôi phải đóng theo phương án mới là công bằng (người thu nhập như tôi đóng mức này là hợp lý). - HUMAN-TRU2]]</f>
        <v>8</v>
      </c>
      <c r="AS329" t="str">
        <f t="shared" si="151"/>
        <v>Support</v>
      </c>
      <c r="AT329" s="31">
        <f t="shared" si="152"/>
        <v>0</v>
      </c>
      <c r="AU329">
        <f>step3_validation[[#This Row],[AI_TRU3]]</f>
        <v>8</v>
      </c>
      <c r="AV329" t="str">
        <f t="shared" si="153"/>
        <v>Support</v>
      </c>
      <c r="AW329">
        <f>survey_responses[[#This Row],[Tôi tin tưởng số tiền thuế tôi đóng sẽ được Nhà nước sử dụng hiệu quả để cải thiện dịch vụ công (y tế, đường xá...). - HUMAN-TRU3]]</f>
        <v>7</v>
      </c>
      <c r="AX329" t="str">
        <f t="shared" si="154"/>
        <v>Neutral</v>
      </c>
      <c r="AY329" s="31">
        <f t="shared" si="155"/>
        <v>1</v>
      </c>
      <c r="AZ329">
        <f>step3_validation[[#This Row],[AI_TRU4]]</f>
        <v>7</v>
      </c>
      <c r="BA329" t="str">
        <f t="shared" si="156"/>
        <v>Neutral</v>
      </c>
      <c r="BB329">
        <f>survey_responses[[#This Row],[Tôi thấy Nhà nước đã giải thích rõ ràng, minh bạch về lý do và mục tiêu của việc sửa đổi thuế lần này. - HUMAN-TRU4]]</f>
        <v>7</v>
      </c>
      <c r="BC329" t="str">
        <f t="shared" si="157"/>
        <v>Neutral</v>
      </c>
      <c r="BD329" s="31">
        <f t="shared" si="158"/>
        <v>0</v>
      </c>
      <c r="BE329">
        <f>step3_validation[[#This Row],[AI_OUT1]]</f>
        <v>8</v>
      </c>
      <c r="BF329" t="str">
        <f t="shared" si="159"/>
        <v>Support</v>
      </c>
      <c r="BG329">
        <f>survey_responses[[#This Row],[Sau khi xem xét các quyền lợi và nghĩa vụ, bạn có ủng hộ và tuân thủ chính sách mới hiện nay? - HUMAN-OUT1]]</f>
        <v>9</v>
      </c>
      <c r="BH329" t="str">
        <f t="shared" si="160"/>
        <v>Support</v>
      </c>
      <c r="BI329" s="31">
        <f t="shared" si="161"/>
        <v>1</v>
      </c>
    </row>
    <row r="330" spans="1:61" hidden="1" x14ac:dyDescent="0.45">
      <c r="A330" s="29">
        <f>step3_validation[[#This Row],[Persona_ID]]</f>
        <v>329</v>
      </c>
      <c r="B330" s="30">
        <f>step3_validation[[#This Row],[Used_Seed]]</f>
        <v>370</v>
      </c>
      <c r="C330" t="str">
        <f>step3_validation[[#This Row],[Gender]]</f>
        <v>Nữ</v>
      </c>
      <c r="D330" t="str">
        <f>survey_responses[[#This Row],[Giới tính của bạn:]]</f>
        <v>Nữ</v>
      </c>
      <c r="E330" t="str">
        <f>step3_validation[[#This Row],[Age_Group]]</f>
        <v>25 - 29</v>
      </c>
      <c r="F330" t="str">
        <f>survey_responses[[#This Row],[Độ tuổi của bạn:]]</f>
        <v>25 - 29</v>
      </c>
      <c r="G330" t="str">
        <f>step3_validation[[#This Row],[Region]]</f>
        <v>Thành thị</v>
      </c>
      <c r="H330" t="str">
        <f>survey_responses[[#This Row],[Khu vực bạn đang sinh sống:]]</f>
        <v>Thành thị</v>
      </c>
      <c r="I330" t="str">
        <f>step3_validation[[#This Row],[Education]]</f>
        <v>Đại học</v>
      </c>
      <c r="J330" t="str">
        <f>survey_responses[[#This Row],[Trình độ học vấn cao nhất:]]</f>
        <v>Đại học</v>
      </c>
      <c r="K330" t="str">
        <f>step3_validation[[#This Row],[Employment]]</f>
        <v>Chính thức</v>
      </c>
      <c r="L330" t="str">
        <f>survey_responses[[#This Row],[Tình trạng việc làm chính:]]</f>
        <v>Khu vực chính thức (Có Hợp đồng lao động, đóng BHXH)</v>
      </c>
      <c r="M330">
        <f>step3_validation[[#This Row],[Income_Mil]]</f>
        <v>13.163817633558187</v>
      </c>
      <c r="N330" t="str">
        <f>survey_responses[[#This Row],[Thu nhập bình quân tháng theo Hợp đồng lao động của bạn là bao nhiêu? (Vui lòng điền tổng thu nhập trước khi khấu trừ các loại Bảo hiểm (BHXH, BHYT, BHTN) và Thuế TNCN)]]</f>
        <v>Từ 12 - 18 triệu VNĐ</v>
      </c>
      <c r="O330">
        <f>step3_validation[[#This Row],[Dependents]]</f>
        <v>0</v>
      </c>
      <c r="P330" t="str">
        <f>survey_responses[[#This Row],[Số người phụ thuộc (con nhỏ, cha mẹ già...) đủ điều kiện giảm trừ gia cảnh:]]</f>
        <v>0 người</v>
      </c>
      <c r="Q330">
        <f>step3_validation[[#This Row],[AI_ENF1]]</f>
        <v>6</v>
      </c>
      <c r="R330" t="str">
        <f t="shared" si="135"/>
        <v>Neutral</v>
      </c>
      <c r="S330">
        <f>survey_responses[[#This Row],[Tôi tin rằng với các quy định quản lý thuế hiện nay, hành vi gian lận hoặc trốn thuế sẽ dễ dàng bị phát hiện và xử lý nghiêm. - HUMAN-ENF1]]</f>
        <v>7</v>
      </c>
      <c r="T330" t="str">
        <f t="shared" si="136"/>
        <v>Neutral</v>
      </c>
      <c r="U330" s="31">
        <f t="shared" si="137"/>
        <v>1</v>
      </c>
      <c r="V330">
        <f>step3_validation[[#This Row],[AI_ENF2]]</f>
        <v>6</v>
      </c>
      <c r="W330" t="str">
        <f t="shared" si="138"/>
        <v>Neutral</v>
      </c>
      <c r="X330">
        <f>survey_responses[[#This Row],[Tôi tin rằng Nhà nước, cơ quan thuế có đủ khả năng và công nghệ để phát hiện, xử lý nghiêm các hành vi trốn thuế. - HUMAN-ENF2]]</f>
        <v>7</v>
      </c>
      <c r="Y330" t="str">
        <f t="shared" si="139"/>
        <v>Neutral</v>
      </c>
      <c r="Z330" s="31">
        <f t="shared" si="140"/>
        <v>1</v>
      </c>
      <c r="AA330">
        <f>step3_validation[[#This Row],[AI_FAC1]]</f>
        <v>8</v>
      </c>
      <c r="AB330" t="str">
        <f t="shared" si="141"/>
        <v>Support</v>
      </c>
      <c r="AC330">
        <f>survey_responses[[#This Row],[Các thủ tục khai báo thuế VÀ/HOẶC quy trình làm việc với cơ quan thuế đơn giản, tiện lợi, nhanh chóng hơn so với trước đây. - HUMAN-FAC1]]</f>
        <v>9</v>
      </c>
      <c r="AD330" t="str">
        <f t="shared" si="142"/>
        <v>Support</v>
      </c>
      <c r="AE330" s="31">
        <f t="shared" si="143"/>
        <v>1</v>
      </c>
      <c r="AF330">
        <f>step3_validation[[#This Row],[AI_FAC2]]</f>
        <v>9</v>
      </c>
      <c r="AG330" t="str">
        <f t="shared" si="144"/>
        <v>Support</v>
      </c>
      <c r="AH330">
        <f>survey_responses[[#This Row],[So với trước đây, tôi thấy cách tính thuế và các bậc thuế trong phương án mới đơn giản, dễ hiểu và dễ thực hiện hơn. - HUMAN-FAC2]]</f>
        <v>9</v>
      </c>
      <c r="AI330" t="str">
        <f t="shared" si="145"/>
        <v>Support</v>
      </c>
      <c r="AJ330" s="31">
        <f t="shared" si="146"/>
        <v>0</v>
      </c>
      <c r="AK330">
        <f>step3_validation[[#This Row],[AI_TRU1]]</f>
        <v>7</v>
      </c>
      <c r="AL330" t="str">
        <f t="shared" si="147"/>
        <v>Neutral</v>
      </c>
      <c r="AM330">
        <f>survey_responses[[#This Row],[Tôi tin rằng Nhà nước, cơ quan thuế sẽ thực thi chính sách mới một cách khách quan, công tâm và đối xử bình đẳng với mọi người nộp thuế.  - HUMAN-TRU1]]</f>
        <v>9</v>
      </c>
      <c r="AN330" t="str">
        <f t="shared" si="148"/>
        <v>Support</v>
      </c>
      <c r="AO330" s="31">
        <f t="shared" si="149"/>
        <v>2</v>
      </c>
      <c r="AP330">
        <f>step3_validation[[#This Row],[AI_TRU2]]</f>
        <v>8</v>
      </c>
      <c r="AQ330" t="str">
        <f t="shared" si="150"/>
        <v>Support</v>
      </c>
      <c r="AR330">
        <f>survey_responses[[#This Row],[Tôi thấy mức thuế tôi phải đóng theo phương án mới là công bằng (người thu nhập như tôi đóng mức này là hợp lý). - HUMAN-TRU2]]</f>
        <v>9</v>
      </c>
      <c r="AS330" t="str">
        <f t="shared" si="151"/>
        <v>Support</v>
      </c>
      <c r="AT330" s="31">
        <f t="shared" si="152"/>
        <v>1</v>
      </c>
      <c r="AU330">
        <f>step3_validation[[#This Row],[AI_TRU3]]</f>
        <v>7</v>
      </c>
      <c r="AV330" t="str">
        <f t="shared" si="153"/>
        <v>Neutral</v>
      </c>
      <c r="AW330">
        <f>survey_responses[[#This Row],[Tôi tin tưởng số tiền thuế tôi đóng sẽ được Nhà nước sử dụng hiệu quả để cải thiện dịch vụ công (y tế, đường xá...). - HUMAN-TRU3]]</f>
        <v>5</v>
      </c>
      <c r="AX330" t="str">
        <f t="shared" si="154"/>
        <v>Neutral</v>
      </c>
      <c r="AY330" s="31">
        <f t="shared" si="155"/>
        <v>2</v>
      </c>
      <c r="AZ330">
        <f>step3_validation[[#This Row],[AI_TRU4]]</f>
        <v>6</v>
      </c>
      <c r="BA330" t="str">
        <f t="shared" si="156"/>
        <v>Neutral</v>
      </c>
      <c r="BB330">
        <f>survey_responses[[#This Row],[Tôi thấy Nhà nước đã giải thích rõ ràng, minh bạch về lý do và mục tiêu của việc sửa đổi thuế lần này. - HUMAN-TRU4]]</f>
        <v>6</v>
      </c>
      <c r="BC330" t="str">
        <f t="shared" si="157"/>
        <v>Neutral</v>
      </c>
      <c r="BD330" s="31">
        <f t="shared" si="158"/>
        <v>0</v>
      </c>
      <c r="BE330">
        <f>step3_validation[[#This Row],[AI_OUT1]]</f>
        <v>9</v>
      </c>
      <c r="BF330" t="str">
        <f t="shared" si="159"/>
        <v>Support</v>
      </c>
      <c r="BG330">
        <f>survey_responses[[#This Row],[Sau khi xem xét các quyền lợi và nghĩa vụ, bạn có ủng hộ và tuân thủ chính sách mới hiện nay? - HUMAN-OUT1]]</f>
        <v>9</v>
      </c>
      <c r="BH330" t="str">
        <f t="shared" si="160"/>
        <v>Support</v>
      </c>
      <c r="BI330" s="31">
        <f t="shared" si="161"/>
        <v>0</v>
      </c>
    </row>
    <row r="331" spans="1:61" hidden="1" x14ac:dyDescent="0.45">
      <c r="A331" s="29">
        <f>step3_validation[[#This Row],[Persona_ID]]</f>
        <v>330</v>
      </c>
      <c r="B331" s="30">
        <f>step3_validation[[#This Row],[Used_Seed]]</f>
        <v>371</v>
      </c>
      <c r="C331" t="str">
        <f>step3_validation[[#This Row],[Gender]]</f>
        <v>Nam</v>
      </c>
      <c r="D331" t="str">
        <f>survey_responses[[#This Row],[Giới tính của bạn:]]</f>
        <v>Nam</v>
      </c>
      <c r="E331" t="str">
        <f>step3_validation[[#This Row],[Age_Group]]</f>
        <v>18 - 24</v>
      </c>
      <c r="F331" t="str">
        <f>survey_responses[[#This Row],[Độ tuổi của bạn:]]</f>
        <v>18 - 24</v>
      </c>
      <c r="G331" t="str">
        <f>step3_validation[[#This Row],[Region]]</f>
        <v>Thành thị</v>
      </c>
      <c r="H331" t="str">
        <f>survey_responses[[#This Row],[Khu vực bạn đang sinh sống:]]</f>
        <v>Thành thị</v>
      </c>
      <c r="I331" t="str">
        <f>step3_validation[[#This Row],[Education]]</f>
        <v>Đại học</v>
      </c>
      <c r="J331" t="str">
        <f>survey_responses[[#This Row],[Trình độ học vấn cao nhất:]]</f>
        <v>Đại học</v>
      </c>
      <c r="K331" t="str">
        <f>step3_validation[[#This Row],[Employment]]</f>
        <v>Chính thức</v>
      </c>
      <c r="L331" t="str">
        <f>survey_responses[[#This Row],[Tình trạng việc làm chính:]]</f>
        <v>Khu vực chính thức (Có Hợp đồng lao động, đóng BHXH)</v>
      </c>
      <c r="M331">
        <f>step3_validation[[#This Row],[Income_Mil]]</f>
        <v>15.081158510371475</v>
      </c>
      <c r="N331" t="str">
        <f>survey_responses[[#This Row],[Thu nhập bình quân tháng theo Hợp đồng lao động của bạn là bao nhiêu? (Vui lòng điền tổng thu nhập trước khi khấu trừ các loại Bảo hiểm (BHXH, BHYT, BHTN) và Thuế TNCN)]]</f>
        <v>Từ 12 - 18 triệu VNĐ</v>
      </c>
      <c r="O331">
        <f>step3_validation[[#This Row],[Dependents]]</f>
        <v>0</v>
      </c>
      <c r="P331" t="str">
        <f>survey_responses[[#This Row],[Số người phụ thuộc (con nhỏ, cha mẹ già...) đủ điều kiện giảm trừ gia cảnh:]]</f>
        <v>0 người</v>
      </c>
      <c r="Q331">
        <f>step3_validation[[#This Row],[AI_ENF1]]</f>
        <v>7</v>
      </c>
      <c r="R331" t="str">
        <f t="shared" si="135"/>
        <v>Neutral</v>
      </c>
      <c r="S331">
        <f>survey_responses[[#This Row],[Tôi tin rằng với các quy định quản lý thuế hiện nay, hành vi gian lận hoặc trốn thuế sẽ dễ dàng bị phát hiện và xử lý nghiêm. - HUMAN-ENF1]]</f>
        <v>3</v>
      </c>
      <c r="T331" t="str">
        <f t="shared" si="136"/>
        <v>Oppose</v>
      </c>
      <c r="U331" s="31">
        <f t="shared" si="137"/>
        <v>4</v>
      </c>
      <c r="V331">
        <f>step3_validation[[#This Row],[AI_ENF2]]</f>
        <v>8</v>
      </c>
      <c r="W331" t="str">
        <f t="shared" si="138"/>
        <v>Support</v>
      </c>
      <c r="X331">
        <f>survey_responses[[#This Row],[Tôi tin rằng Nhà nước, cơ quan thuế có đủ khả năng và công nghệ để phát hiện, xử lý nghiêm các hành vi trốn thuế. - HUMAN-ENF2]]</f>
        <v>3</v>
      </c>
      <c r="Y331" t="str">
        <f t="shared" si="139"/>
        <v>Oppose</v>
      </c>
      <c r="Z331" s="31">
        <f t="shared" si="140"/>
        <v>5</v>
      </c>
      <c r="AA331">
        <f>step3_validation[[#This Row],[AI_FAC1]]</f>
        <v>9</v>
      </c>
      <c r="AB331" t="str">
        <f t="shared" si="141"/>
        <v>Support</v>
      </c>
      <c r="AC331">
        <f>survey_responses[[#This Row],[Các thủ tục khai báo thuế VÀ/HOẶC quy trình làm việc với cơ quan thuế đơn giản, tiện lợi, nhanh chóng hơn so với trước đây. - HUMAN-FAC1]]</f>
        <v>5</v>
      </c>
      <c r="AD331" t="str">
        <f t="shared" si="142"/>
        <v>Neutral</v>
      </c>
      <c r="AE331" s="31">
        <f t="shared" si="143"/>
        <v>4</v>
      </c>
      <c r="AF331">
        <f>step3_validation[[#This Row],[AI_FAC2]]</f>
        <v>9</v>
      </c>
      <c r="AG331" t="str">
        <f t="shared" si="144"/>
        <v>Support</v>
      </c>
      <c r="AH331">
        <f>survey_responses[[#This Row],[So với trước đây, tôi thấy cách tính thuế và các bậc thuế trong phương án mới đơn giản, dễ hiểu và dễ thực hiện hơn. - HUMAN-FAC2]]</f>
        <v>6</v>
      </c>
      <c r="AI331" t="str">
        <f t="shared" si="145"/>
        <v>Neutral</v>
      </c>
      <c r="AJ331" s="31">
        <f t="shared" si="146"/>
        <v>3</v>
      </c>
      <c r="AK331">
        <f>step3_validation[[#This Row],[AI_TRU1]]</f>
        <v>7</v>
      </c>
      <c r="AL331" t="str">
        <f t="shared" si="147"/>
        <v>Neutral</v>
      </c>
      <c r="AM331">
        <f>survey_responses[[#This Row],[Tôi tin rằng Nhà nước, cơ quan thuế sẽ thực thi chính sách mới một cách khách quan, công tâm và đối xử bình đẳng với mọi người nộp thuế.  - HUMAN-TRU1]]</f>
        <v>4</v>
      </c>
      <c r="AN331" t="str">
        <f t="shared" si="148"/>
        <v>Oppose</v>
      </c>
      <c r="AO331" s="31">
        <f t="shared" si="149"/>
        <v>3</v>
      </c>
      <c r="AP331">
        <f>step3_validation[[#This Row],[AI_TRU2]]</f>
        <v>8</v>
      </c>
      <c r="AQ331" t="str">
        <f t="shared" si="150"/>
        <v>Support</v>
      </c>
      <c r="AR331">
        <f>survey_responses[[#This Row],[Tôi thấy mức thuế tôi phải đóng theo phương án mới là công bằng (người thu nhập như tôi đóng mức này là hợp lý). - HUMAN-TRU2]]</f>
        <v>5</v>
      </c>
      <c r="AS331" t="str">
        <f t="shared" si="151"/>
        <v>Neutral</v>
      </c>
      <c r="AT331" s="31">
        <f t="shared" si="152"/>
        <v>3</v>
      </c>
      <c r="AU331">
        <f>step3_validation[[#This Row],[AI_TRU3]]</f>
        <v>7</v>
      </c>
      <c r="AV331" t="str">
        <f t="shared" si="153"/>
        <v>Neutral</v>
      </c>
      <c r="AW331">
        <f>survey_responses[[#This Row],[Tôi tin tưởng số tiền thuế tôi đóng sẽ được Nhà nước sử dụng hiệu quả để cải thiện dịch vụ công (y tế, đường xá...). - HUMAN-TRU3]]</f>
        <v>5</v>
      </c>
      <c r="AX331" t="str">
        <f t="shared" si="154"/>
        <v>Neutral</v>
      </c>
      <c r="AY331" s="31">
        <f t="shared" si="155"/>
        <v>2</v>
      </c>
      <c r="AZ331">
        <f>step3_validation[[#This Row],[AI_TRU4]]</f>
        <v>8</v>
      </c>
      <c r="BA331" t="str">
        <f t="shared" si="156"/>
        <v>Support</v>
      </c>
      <c r="BB331">
        <f>survey_responses[[#This Row],[Tôi thấy Nhà nước đã giải thích rõ ràng, minh bạch về lý do và mục tiêu của việc sửa đổi thuế lần này. - HUMAN-TRU4]]</f>
        <v>5</v>
      </c>
      <c r="BC331" t="str">
        <f t="shared" si="157"/>
        <v>Neutral</v>
      </c>
      <c r="BD331" s="31">
        <f t="shared" si="158"/>
        <v>3</v>
      </c>
      <c r="BE331">
        <f>step3_validation[[#This Row],[AI_OUT1]]</f>
        <v>9</v>
      </c>
      <c r="BF331" t="str">
        <f t="shared" si="159"/>
        <v>Support</v>
      </c>
      <c r="BG331">
        <f>survey_responses[[#This Row],[Sau khi xem xét các quyền lợi và nghĩa vụ, bạn có ủng hộ và tuân thủ chính sách mới hiện nay? - HUMAN-OUT1]]</f>
        <v>5</v>
      </c>
      <c r="BH331" t="str">
        <f t="shared" si="160"/>
        <v>Neutral</v>
      </c>
      <c r="BI331" s="31">
        <f t="shared" si="161"/>
        <v>4</v>
      </c>
    </row>
    <row r="332" spans="1:61" hidden="1" x14ac:dyDescent="0.45">
      <c r="A332" s="29">
        <f>step3_validation[[#This Row],[Persona_ID]]</f>
        <v>331</v>
      </c>
      <c r="B332" s="30">
        <f>step3_validation[[#This Row],[Used_Seed]]</f>
        <v>372</v>
      </c>
      <c r="C332" t="str">
        <f>step3_validation[[#This Row],[Gender]]</f>
        <v>Nam</v>
      </c>
      <c r="D332" t="str">
        <f>survey_responses[[#This Row],[Giới tính của bạn:]]</f>
        <v>Nam</v>
      </c>
      <c r="E332" t="str">
        <f>step3_validation[[#This Row],[Age_Group]]</f>
        <v>30 - 39</v>
      </c>
      <c r="F332" t="str">
        <f>survey_responses[[#This Row],[Độ tuổi của bạn:]]</f>
        <v>30 - 39</v>
      </c>
      <c r="G332" t="str">
        <f>step3_validation[[#This Row],[Region]]</f>
        <v>Thành thị</v>
      </c>
      <c r="H332" t="str">
        <f>survey_responses[[#This Row],[Khu vực bạn đang sinh sống:]]</f>
        <v>Thành thị</v>
      </c>
      <c r="I332" t="str">
        <f>step3_validation[[#This Row],[Education]]</f>
        <v>Đại học</v>
      </c>
      <c r="J332" t="str">
        <f>survey_responses[[#This Row],[Trình độ học vấn cao nhất:]]</f>
        <v>Đại học</v>
      </c>
      <c r="K332" t="str">
        <f>step3_validation[[#This Row],[Employment]]</f>
        <v>Chính thức</v>
      </c>
      <c r="L332" t="str">
        <f>survey_responses[[#This Row],[Tình trạng việc làm chính:]]</f>
        <v>Khu vực chính thức (Có Hợp đồng lao động, đóng BHXH)</v>
      </c>
      <c r="M332">
        <f>step3_validation[[#This Row],[Income_Mil]]</f>
        <v>28.060003082582007</v>
      </c>
      <c r="N332" t="str">
        <f>survey_responses[[#This Row],[Thu nhập bình quân tháng theo Hợp đồng lao động của bạn là bao nhiêu? (Vui lòng điền tổng thu nhập trước khi khấu trừ các loại Bảo hiểm (BHXH, BHYT, BHTN) và Thuế TNCN)]]</f>
        <v>Từ 23 - 32 triệu VNĐ</v>
      </c>
      <c r="O332">
        <f>step3_validation[[#This Row],[Dependents]]</f>
        <v>1</v>
      </c>
      <c r="P332" t="str">
        <f>survey_responses[[#This Row],[Số người phụ thuộc (con nhỏ, cha mẹ già...) đủ điều kiện giảm trừ gia cảnh:]]</f>
        <v>1 người</v>
      </c>
      <c r="Q332">
        <f>step3_validation[[#This Row],[AI_ENF1]]</f>
        <v>8</v>
      </c>
      <c r="R332" t="str">
        <f t="shared" si="135"/>
        <v>Support</v>
      </c>
      <c r="S332">
        <f>survey_responses[[#This Row],[Tôi tin rằng với các quy định quản lý thuế hiện nay, hành vi gian lận hoặc trốn thuế sẽ dễ dàng bị phát hiện và xử lý nghiêm. - HUMAN-ENF1]]</f>
        <v>4</v>
      </c>
      <c r="T332" t="str">
        <f t="shared" si="136"/>
        <v>Oppose</v>
      </c>
      <c r="U332" s="31">
        <f t="shared" si="137"/>
        <v>4</v>
      </c>
      <c r="V332">
        <f>step3_validation[[#This Row],[AI_ENF2]]</f>
        <v>9</v>
      </c>
      <c r="W332" t="str">
        <f t="shared" si="138"/>
        <v>Support</v>
      </c>
      <c r="X332">
        <f>survey_responses[[#This Row],[Tôi tin rằng Nhà nước, cơ quan thuế có đủ khả năng và công nghệ để phát hiện, xử lý nghiêm các hành vi trốn thuế. - HUMAN-ENF2]]</f>
        <v>4</v>
      </c>
      <c r="Y332" t="str">
        <f t="shared" si="139"/>
        <v>Oppose</v>
      </c>
      <c r="Z332" s="31">
        <f t="shared" si="140"/>
        <v>5</v>
      </c>
      <c r="AA332">
        <f>step3_validation[[#This Row],[AI_FAC1]]</f>
        <v>7</v>
      </c>
      <c r="AB332" t="str">
        <f t="shared" si="141"/>
        <v>Neutral</v>
      </c>
      <c r="AC332">
        <f>survey_responses[[#This Row],[Các thủ tục khai báo thuế VÀ/HOẶC quy trình làm việc với cơ quan thuế đơn giản, tiện lợi, nhanh chóng hơn so với trước đây. - HUMAN-FAC1]]</f>
        <v>5</v>
      </c>
      <c r="AD332" t="str">
        <f t="shared" si="142"/>
        <v>Neutral</v>
      </c>
      <c r="AE332" s="31">
        <f t="shared" si="143"/>
        <v>2</v>
      </c>
      <c r="AF332">
        <f>step3_validation[[#This Row],[AI_FAC2]]</f>
        <v>8</v>
      </c>
      <c r="AG332" t="str">
        <f t="shared" si="144"/>
        <v>Support</v>
      </c>
      <c r="AH332">
        <f>survey_responses[[#This Row],[So với trước đây, tôi thấy cách tính thuế và các bậc thuế trong phương án mới đơn giản, dễ hiểu và dễ thực hiện hơn. - HUMAN-FAC2]]</f>
        <v>6</v>
      </c>
      <c r="AI332" t="str">
        <f t="shared" si="145"/>
        <v>Neutral</v>
      </c>
      <c r="AJ332" s="31">
        <f t="shared" si="146"/>
        <v>2</v>
      </c>
      <c r="AK332">
        <f>step3_validation[[#This Row],[AI_TRU1]]</f>
        <v>9</v>
      </c>
      <c r="AL332" t="str">
        <f t="shared" si="147"/>
        <v>Support</v>
      </c>
      <c r="AM332">
        <f>survey_responses[[#This Row],[Tôi tin rằng Nhà nước, cơ quan thuế sẽ thực thi chính sách mới một cách khách quan, công tâm và đối xử bình đẳng với mọi người nộp thuế.  - HUMAN-TRU1]]</f>
        <v>4</v>
      </c>
      <c r="AN332" t="str">
        <f t="shared" si="148"/>
        <v>Oppose</v>
      </c>
      <c r="AO332" s="31">
        <f t="shared" si="149"/>
        <v>5</v>
      </c>
      <c r="AP332">
        <f>step3_validation[[#This Row],[AI_TRU2]]</f>
        <v>8</v>
      </c>
      <c r="AQ332" t="str">
        <f t="shared" si="150"/>
        <v>Support</v>
      </c>
      <c r="AR332">
        <f>survey_responses[[#This Row],[Tôi thấy mức thuế tôi phải đóng theo phương án mới là công bằng (người thu nhập như tôi đóng mức này là hợp lý). - HUMAN-TRU2]]</f>
        <v>5</v>
      </c>
      <c r="AS332" t="str">
        <f t="shared" si="151"/>
        <v>Neutral</v>
      </c>
      <c r="AT332" s="31">
        <f t="shared" si="152"/>
        <v>3</v>
      </c>
      <c r="AU332">
        <f>step3_validation[[#This Row],[AI_TRU3]]</f>
        <v>9</v>
      </c>
      <c r="AV332" t="str">
        <f t="shared" si="153"/>
        <v>Support</v>
      </c>
      <c r="AW332">
        <f>survey_responses[[#This Row],[Tôi tin tưởng số tiền thuế tôi đóng sẽ được Nhà nước sử dụng hiệu quả để cải thiện dịch vụ công (y tế, đường xá...). - HUMAN-TRU3]]</f>
        <v>3</v>
      </c>
      <c r="AX332" t="str">
        <f t="shared" si="154"/>
        <v>Oppose</v>
      </c>
      <c r="AY332" s="31">
        <f t="shared" si="155"/>
        <v>6</v>
      </c>
      <c r="AZ332">
        <f>step3_validation[[#This Row],[AI_TRU4]]</f>
        <v>7</v>
      </c>
      <c r="BA332" t="str">
        <f t="shared" si="156"/>
        <v>Neutral</v>
      </c>
      <c r="BB332">
        <f>survey_responses[[#This Row],[Tôi thấy Nhà nước đã giải thích rõ ràng, minh bạch về lý do và mục tiêu của việc sửa đổi thuế lần này. - HUMAN-TRU4]]</f>
        <v>4</v>
      </c>
      <c r="BC332" t="str">
        <f t="shared" si="157"/>
        <v>Oppose</v>
      </c>
      <c r="BD332" s="31">
        <f t="shared" si="158"/>
        <v>3</v>
      </c>
      <c r="BE332">
        <f>step3_validation[[#This Row],[AI_OUT1]]</f>
        <v>9</v>
      </c>
      <c r="BF332" t="str">
        <f t="shared" si="159"/>
        <v>Support</v>
      </c>
      <c r="BG332">
        <f>survey_responses[[#This Row],[Sau khi xem xét các quyền lợi và nghĩa vụ, bạn có ủng hộ và tuân thủ chính sách mới hiện nay? - HUMAN-OUT1]]</f>
        <v>5</v>
      </c>
      <c r="BH332" t="str">
        <f t="shared" si="160"/>
        <v>Neutral</v>
      </c>
      <c r="BI332" s="31">
        <f t="shared" si="161"/>
        <v>4</v>
      </c>
    </row>
    <row r="333" spans="1:61" hidden="1" x14ac:dyDescent="0.45">
      <c r="A333" s="29">
        <f>step3_validation[[#This Row],[Persona_ID]]</f>
        <v>332</v>
      </c>
      <c r="B333" s="30">
        <f>step3_validation[[#This Row],[Used_Seed]]</f>
        <v>373</v>
      </c>
      <c r="C333" t="str">
        <f>step3_validation[[#This Row],[Gender]]</f>
        <v>Nữ</v>
      </c>
      <c r="D333" t="str">
        <f>survey_responses[[#This Row],[Giới tính của bạn:]]</f>
        <v>Nữ</v>
      </c>
      <c r="E333" t="str">
        <f>step3_validation[[#This Row],[Age_Group]]</f>
        <v>18 - 24</v>
      </c>
      <c r="F333" t="str">
        <f>survey_responses[[#This Row],[Độ tuổi của bạn:]]</f>
        <v>18 - 24</v>
      </c>
      <c r="G333" t="str">
        <f>step3_validation[[#This Row],[Region]]</f>
        <v>Thành thị</v>
      </c>
      <c r="H333" t="str">
        <f>survey_responses[[#This Row],[Khu vực bạn đang sinh sống:]]</f>
        <v>Thành thị</v>
      </c>
      <c r="I333" t="str">
        <f>step3_validation[[#This Row],[Education]]</f>
        <v>Đại học</v>
      </c>
      <c r="J333" t="str">
        <f>survey_responses[[#This Row],[Trình độ học vấn cao nhất:]]</f>
        <v>Đại học</v>
      </c>
      <c r="K333" t="str">
        <f>step3_validation[[#This Row],[Employment]]</f>
        <v>Chính thức</v>
      </c>
      <c r="L333" t="str">
        <f>survey_responses[[#This Row],[Tình trạng việc làm chính:]]</f>
        <v>Khu vực chính thức (Có Hợp đồng lao động, đóng BHXH)</v>
      </c>
      <c r="M333">
        <f>step3_validation[[#This Row],[Income_Mil]]</f>
        <v>19.229504179534565</v>
      </c>
      <c r="N333" t="str">
        <f>survey_responses[[#This Row],[Thu nhập bình quân tháng theo Hợp đồng lao động của bạn là bao nhiêu? (Vui lòng điền tổng thu nhập trước khi khấu trừ các loại Bảo hiểm (BHXH, BHYT, BHTN) và Thuế TNCN)]]</f>
        <v>Từ 18 - 23 triệu VNĐ</v>
      </c>
      <c r="O333">
        <f>step3_validation[[#This Row],[Dependents]]</f>
        <v>0</v>
      </c>
      <c r="P333" t="str">
        <f>survey_responses[[#This Row],[Số người phụ thuộc (con nhỏ, cha mẹ già...) đủ điều kiện giảm trừ gia cảnh:]]</f>
        <v>0 người</v>
      </c>
      <c r="Q333">
        <f>step3_validation[[#This Row],[AI_ENF1]]</f>
        <v>7</v>
      </c>
      <c r="R333" t="str">
        <f t="shared" si="135"/>
        <v>Neutral</v>
      </c>
      <c r="S333">
        <f>survey_responses[[#This Row],[Tôi tin rằng với các quy định quản lý thuế hiện nay, hành vi gian lận hoặc trốn thuế sẽ dễ dàng bị phát hiện và xử lý nghiêm. - HUMAN-ENF1]]</f>
        <v>7</v>
      </c>
      <c r="T333" t="str">
        <f t="shared" si="136"/>
        <v>Neutral</v>
      </c>
      <c r="U333" s="31">
        <f t="shared" si="137"/>
        <v>0</v>
      </c>
      <c r="V333">
        <f>step3_validation[[#This Row],[AI_ENF2]]</f>
        <v>8</v>
      </c>
      <c r="W333" t="str">
        <f t="shared" si="138"/>
        <v>Support</v>
      </c>
      <c r="X333">
        <f>survey_responses[[#This Row],[Tôi tin rằng Nhà nước, cơ quan thuế có đủ khả năng và công nghệ để phát hiện, xử lý nghiêm các hành vi trốn thuế. - HUMAN-ENF2]]</f>
        <v>7</v>
      </c>
      <c r="Y333" t="str">
        <f t="shared" si="139"/>
        <v>Neutral</v>
      </c>
      <c r="Z333" s="31">
        <f t="shared" si="140"/>
        <v>1</v>
      </c>
      <c r="AA333">
        <f>step3_validation[[#This Row],[AI_FAC1]]</f>
        <v>9</v>
      </c>
      <c r="AB333" t="str">
        <f t="shared" si="141"/>
        <v>Support</v>
      </c>
      <c r="AC333">
        <f>survey_responses[[#This Row],[Các thủ tục khai báo thuế VÀ/HOẶC quy trình làm việc với cơ quan thuế đơn giản, tiện lợi, nhanh chóng hơn so với trước đây. - HUMAN-FAC1]]</f>
        <v>9</v>
      </c>
      <c r="AD333" t="str">
        <f t="shared" si="142"/>
        <v>Support</v>
      </c>
      <c r="AE333" s="31">
        <f t="shared" si="143"/>
        <v>0</v>
      </c>
      <c r="AF333">
        <f>step3_validation[[#This Row],[AI_FAC2]]</f>
        <v>9</v>
      </c>
      <c r="AG333" t="str">
        <f t="shared" si="144"/>
        <v>Support</v>
      </c>
      <c r="AH333">
        <f>survey_responses[[#This Row],[So với trước đây, tôi thấy cách tính thuế và các bậc thuế trong phương án mới đơn giản, dễ hiểu và dễ thực hiện hơn. - HUMAN-FAC2]]</f>
        <v>9</v>
      </c>
      <c r="AI333" t="str">
        <f t="shared" si="145"/>
        <v>Support</v>
      </c>
      <c r="AJ333" s="31">
        <f t="shared" si="146"/>
        <v>0</v>
      </c>
      <c r="AK333">
        <f>step3_validation[[#This Row],[AI_TRU1]]</f>
        <v>7</v>
      </c>
      <c r="AL333" t="str">
        <f t="shared" si="147"/>
        <v>Neutral</v>
      </c>
      <c r="AM333">
        <f>survey_responses[[#This Row],[Tôi tin rằng Nhà nước, cơ quan thuế sẽ thực thi chính sách mới một cách khách quan, công tâm và đối xử bình đẳng với mọi người nộp thuế.  - HUMAN-TRU1]]</f>
        <v>8</v>
      </c>
      <c r="AN333" t="str">
        <f t="shared" si="148"/>
        <v>Support</v>
      </c>
      <c r="AO333" s="31">
        <f t="shared" si="149"/>
        <v>1</v>
      </c>
      <c r="AP333">
        <f>step3_validation[[#This Row],[AI_TRU2]]</f>
        <v>9</v>
      </c>
      <c r="AQ333" t="str">
        <f t="shared" si="150"/>
        <v>Support</v>
      </c>
      <c r="AR333">
        <f>survey_responses[[#This Row],[Tôi thấy mức thuế tôi phải đóng theo phương án mới là công bằng (người thu nhập như tôi đóng mức này là hợp lý). - HUMAN-TRU2]]</f>
        <v>9</v>
      </c>
      <c r="AS333" t="str">
        <f t="shared" si="151"/>
        <v>Support</v>
      </c>
      <c r="AT333" s="31">
        <f t="shared" si="152"/>
        <v>0</v>
      </c>
      <c r="AU333">
        <f>step3_validation[[#This Row],[AI_TRU3]]</f>
        <v>8</v>
      </c>
      <c r="AV333" t="str">
        <f t="shared" si="153"/>
        <v>Support</v>
      </c>
      <c r="AW333">
        <f>survey_responses[[#This Row],[Tôi tin tưởng số tiền thuế tôi đóng sẽ được Nhà nước sử dụng hiệu quả để cải thiện dịch vụ công (y tế, đường xá...). - HUMAN-TRU3]]</f>
        <v>7</v>
      </c>
      <c r="AX333" t="str">
        <f t="shared" si="154"/>
        <v>Neutral</v>
      </c>
      <c r="AY333" s="31">
        <f t="shared" si="155"/>
        <v>1</v>
      </c>
      <c r="AZ333">
        <f>step3_validation[[#This Row],[AI_TRU4]]</f>
        <v>6</v>
      </c>
      <c r="BA333" t="str">
        <f t="shared" si="156"/>
        <v>Neutral</v>
      </c>
      <c r="BB333">
        <f>survey_responses[[#This Row],[Tôi thấy Nhà nước đã giải thích rõ ràng, minh bạch về lý do và mục tiêu của việc sửa đổi thuế lần này. - HUMAN-TRU4]]</f>
        <v>9</v>
      </c>
      <c r="BC333" t="str">
        <f t="shared" si="157"/>
        <v>Support</v>
      </c>
      <c r="BD333" s="31">
        <f t="shared" si="158"/>
        <v>3</v>
      </c>
      <c r="BE333">
        <f>step3_validation[[#This Row],[AI_OUT1]]</f>
        <v>9</v>
      </c>
      <c r="BF333" t="str">
        <f t="shared" si="159"/>
        <v>Support</v>
      </c>
      <c r="BG333">
        <f>survey_responses[[#This Row],[Sau khi xem xét các quyền lợi và nghĩa vụ, bạn có ủng hộ và tuân thủ chính sách mới hiện nay? - HUMAN-OUT1]]</f>
        <v>9</v>
      </c>
      <c r="BH333" t="str">
        <f t="shared" si="160"/>
        <v>Support</v>
      </c>
      <c r="BI333" s="31">
        <f t="shared" si="161"/>
        <v>0</v>
      </c>
    </row>
    <row r="334" spans="1:61" hidden="1" x14ac:dyDescent="0.45">
      <c r="A334" s="29">
        <f>step3_validation[[#This Row],[Persona_ID]]</f>
        <v>333</v>
      </c>
      <c r="B334" s="30">
        <f>step3_validation[[#This Row],[Used_Seed]]</f>
        <v>374</v>
      </c>
      <c r="C334" t="str">
        <f>step3_validation[[#This Row],[Gender]]</f>
        <v>Nam</v>
      </c>
      <c r="D334" t="str">
        <f>survey_responses[[#This Row],[Giới tính của bạn:]]</f>
        <v>Nam</v>
      </c>
      <c r="E334" t="str">
        <f>step3_validation[[#This Row],[Age_Group]]</f>
        <v>40 - 49</v>
      </c>
      <c r="F334" t="str">
        <f>survey_responses[[#This Row],[Độ tuổi của bạn:]]</f>
        <v>40 - 49</v>
      </c>
      <c r="G334" t="str">
        <f>step3_validation[[#This Row],[Region]]</f>
        <v>Thành thị</v>
      </c>
      <c r="H334" t="str">
        <f>survey_responses[[#This Row],[Khu vực bạn đang sinh sống:]]</f>
        <v>Thành thị</v>
      </c>
      <c r="I334" t="str">
        <f>step3_validation[[#This Row],[Education]]</f>
        <v>Sau Đại học</v>
      </c>
      <c r="J334" t="str">
        <f>survey_responses[[#This Row],[Trình độ học vấn cao nhất:]]</f>
        <v>Sau Đại học</v>
      </c>
      <c r="K334" t="str">
        <f>step3_validation[[#This Row],[Employment]]</f>
        <v>Chính thức</v>
      </c>
      <c r="L334" t="str">
        <f>survey_responses[[#This Row],[Tình trạng việc làm chính:]]</f>
        <v>Khu vực chính thức (Có Hợp đồng lao động, đóng BHXH)</v>
      </c>
      <c r="M334">
        <f>step3_validation[[#This Row],[Income_Mil]]</f>
        <v>72.905025546684229</v>
      </c>
      <c r="N334" t="str">
        <f>survey_responses[[#This Row],[Thu nhập bình quân tháng theo Hợp đồng lao động của bạn là bao nhiêu? (Vui lòng điền tổng thu nhập trước khi khấu trừ các loại Bảo hiểm (BHXH, BHYT, BHTN) và Thuế TNCN)]]</f>
        <v>Từ 70 - 102 triệu VNĐ</v>
      </c>
      <c r="O334">
        <f>step3_validation[[#This Row],[Dependents]]</f>
        <v>1</v>
      </c>
      <c r="P334" t="str">
        <f>survey_responses[[#This Row],[Số người phụ thuộc (con nhỏ, cha mẹ già...) đủ điều kiện giảm trừ gia cảnh:]]</f>
        <v>1 người</v>
      </c>
      <c r="Q334">
        <f>step3_validation[[#This Row],[AI_ENF1]]</f>
        <v>7</v>
      </c>
      <c r="R334" t="str">
        <f t="shared" si="135"/>
        <v>Neutral</v>
      </c>
      <c r="S334">
        <f>survey_responses[[#This Row],[Tôi tin rằng với các quy định quản lý thuế hiện nay, hành vi gian lận hoặc trốn thuế sẽ dễ dàng bị phát hiện và xử lý nghiêm. - HUMAN-ENF1]]</f>
        <v>6</v>
      </c>
      <c r="T334" t="str">
        <f t="shared" si="136"/>
        <v>Neutral</v>
      </c>
      <c r="U334" s="31">
        <f t="shared" si="137"/>
        <v>1</v>
      </c>
      <c r="V334">
        <f>step3_validation[[#This Row],[AI_ENF2]]</f>
        <v>8</v>
      </c>
      <c r="W334" t="str">
        <f t="shared" si="138"/>
        <v>Support</v>
      </c>
      <c r="X334">
        <f>survey_responses[[#This Row],[Tôi tin rằng Nhà nước, cơ quan thuế có đủ khả năng và công nghệ để phát hiện, xử lý nghiêm các hành vi trốn thuế. - HUMAN-ENF2]]</f>
        <v>6</v>
      </c>
      <c r="Y334" t="str">
        <f t="shared" si="139"/>
        <v>Neutral</v>
      </c>
      <c r="Z334" s="31">
        <f t="shared" si="140"/>
        <v>2</v>
      </c>
      <c r="AA334">
        <f>step3_validation[[#This Row],[AI_FAC1]]</f>
        <v>6</v>
      </c>
      <c r="AB334" t="str">
        <f t="shared" si="141"/>
        <v>Neutral</v>
      </c>
      <c r="AC334">
        <f>survey_responses[[#This Row],[Các thủ tục khai báo thuế VÀ/HOẶC quy trình làm việc với cơ quan thuế đơn giản, tiện lợi, nhanh chóng hơn so với trước đây. - HUMAN-FAC1]]</f>
        <v>8</v>
      </c>
      <c r="AD334" t="str">
        <f t="shared" si="142"/>
        <v>Support</v>
      </c>
      <c r="AE334" s="31">
        <f t="shared" si="143"/>
        <v>2</v>
      </c>
      <c r="AF334">
        <f>step3_validation[[#This Row],[AI_FAC2]]</f>
        <v>9</v>
      </c>
      <c r="AG334" t="str">
        <f t="shared" si="144"/>
        <v>Support</v>
      </c>
      <c r="AH334">
        <f>survey_responses[[#This Row],[So với trước đây, tôi thấy cách tính thuế và các bậc thuế trong phương án mới đơn giản, dễ hiểu và dễ thực hiện hơn. - HUMAN-FAC2]]</f>
        <v>8</v>
      </c>
      <c r="AI334" t="str">
        <f t="shared" si="145"/>
        <v>Support</v>
      </c>
      <c r="AJ334" s="31">
        <f t="shared" si="146"/>
        <v>1</v>
      </c>
      <c r="AK334">
        <f>step3_validation[[#This Row],[AI_TRU1]]</f>
        <v>7</v>
      </c>
      <c r="AL334" t="str">
        <f t="shared" si="147"/>
        <v>Neutral</v>
      </c>
      <c r="AM334">
        <f>survey_responses[[#This Row],[Tôi tin rằng Nhà nước, cơ quan thuế sẽ thực thi chính sách mới một cách khách quan, công tâm và đối xử bình đẳng với mọi người nộp thuế.  - HUMAN-TRU1]]</f>
        <v>6</v>
      </c>
      <c r="AN334" t="str">
        <f t="shared" si="148"/>
        <v>Neutral</v>
      </c>
      <c r="AO334" s="31">
        <f t="shared" si="149"/>
        <v>1</v>
      </c>
      <c r="AP334">
        <f>step3_validation[[#This Row],[AI_TRU2]]</f>
        <v>8</v>
      </c>
      <c r="AQ334" t="str">
        <f t="shared" si="150"/>
        <v>Support</v>
      </c>
      <c r="AR334">
        <f>survey_responses[[#This Row],[Tôi thấy mức thuế tôi phải đóng theo phương án mới là công bằng (người thu nhập như tôi đóng mức này là hợp lý). - HUMAN-TRU2]]</f>
        <v>7</v>
      </c>
      <c r="AS334" t="str">
        <f t="shared" si="151"/>
        <v>Neutral</v>
      </c>
      <c r="AT334" s="31">
        <f t="shared" si="152"/>
        <v>1</v>
      </c>
      <c r="AU334">
        <f>step3_validation[[#This Row],[AI_TRU3]]</f>
        <v>7</v>
      </c>
      <c r="AV334" t="str">
        <f t="shared" si="153"/>
        <v>Neutral</v>
      </c>
      <c r="AW334">
        <f>survey_responses[[#This Row],[Tôi tin tưởng số tiền thuế tôi đóng sẽ được Nhà nước sử dụng hiệu quả để cải thiện dịch vụ công (y tế, đường xá...). - HUMAN-TRU3]]</f>
        <v>6</v>
      </c>
      <c r="AX334" t="str">
        <f t="shared" si="154"/>
        <v>Neutral</v>
      </c>
      <c r="AY334" s="31">
        <f t="shared" si="155"/>
        <v>1</v>
      </c>
      <c r="AZ334">
        <f>step3_validation[[#This Row],[AI_TRU4]]</f>
        <v>6</v>
      </c>
      <c r="BA334" t="str">
        <f t="shared" si="156"/>
        <v>Neutral</v>
      </c>
      <c r="BB334">
        <f>survey_responses[[#This Row],[Tôi thấy Nhà nước đã giải thích rõ ràng, minh bạch về lý do và mục tiêu của việc sửa đổi thuế lần này. - HUMAN-TRU4]]</f>
        <v>7</v>
      </c>
      <c r="BC334" t="str">
        <f t="shared" si="157"/>
        <v>Neutral</v>
      </c>
      <c r="BD334" s="31">
        <f t="shared" si="158"/>
        <v>1</v>
      </c>
      <c r="BE334">
        <f>step3_validation[[#This Row],[AI_OUT1]]</f>
        <v>8</v>
      </c>
      <c r="BF334" t="str">
        <f t="shared" si="159"/>
        <v>Support</v>
      </c>
      <c r="BG334">
        <f>survey_responses[[#This Row],[Sau khi xem xét các quyền lợi và nghĩa vụ, bạn có ủng hộ và tuân thủ chính sách mới hiện nay? - HUMAN-OUT1]]</f>
        <v>7</v>
      </c>
      <c r="BH334" t="str">
        <f t="shared" si="160"/>
        <v>Neutral</v>
      </c>
      <c r="BI334" s="31">
        <f t="shared" si="161"/>
        <v>1</v>
      </c>
    </row>
    <row r="335" spans="1:61" hidden="1" x14ac:dyDescent="0.45">
      <c r="A335" s="29">
        <f>step3_validation[[#This Row],[Persona_ID]]</f>
        <v>334</v>
      </c>
      <c r="B335" s="30">
        <f>step3_validation[[#This Row],[Used_Seed]]</f>
        <v>375</v>
      </c>
      <c r="C335" t="str">
        <f>step3_validation[[#This Row],[Gender]]</f>
        <v>Nữ</v>
      </c>
      <c r="D335" t="str">
        <f>survey_responses[[#This Row],[Giới tính của bạn:]]</f>
        <v>Nữ</v>
      </c>
      <c r="E335" t="str">
        <f>step3_validation[[#This Row],[Age_Group]]</f>
        <v>50 - 54</v>
      </c>
      <c r="F335" t="str">
        <f>survey_responses[[#This Row],[Độ tuổi của bạn:]]</f>
        <v>50 - 54</v>
      </c>
      <c r="G335" t="str">
        <f>step3_validation[[#This Row],[Region]]</f>
        <v>Thành thị</v>
      </c>
      <c r="H335" t="str">
        <f>survey_responses[[#This Row],[Khu vực bạn đang sinh sống:]]</f>
        <v>Thành thị</v>
      </c>
      <c r="I335" t="str">
        <f>step3_validation[[#This Row],[Education]]</f>
        <v>Sau Đại học</v>
      </c>
      <c r="J335" t="str">
        <f>survey_responses[[#This Row],[Trình độ học vấn cao nhất:]]</f>
        <v>Sau Đại học</v>
      </c>
      <c r="K335" t="str">
        <f>step3_validation[[#This Row],[Employment]]</f>
        <v>Phi chính thức</v>
      </c>
      <c r="L335" t="str">
        <f>survey_responses[[#This Row],[Tình trạng việc làm chính:]]</f>
        <v>Khu vực phi chính thức (Lao động tự do, không có HĐLĐ)</v>
      </c>
      <c r="M335">
        <f>step3_validation[[#This Row],[Income_Mil]]</f>
        <v>108.82670681025888</v>
      </c>
      <c r="N335" t="str">
        <f>survey_responses[[#This Row],[Thu nhập bình quân tháng theo Hợp đồng lao động của bạn là bao nhiêu? (Vui lòng điền tổng thu nhập trước khi khấu trừ các loại Bảo hiểm (BHXH, BHYT, BHTN) và Thuế TNCN)]]</f>
        <v>Trên 102 triệu VNĐ</v>
      </c>
      <c r="O335">
        <f>step3_validation[[#This Row],[Dependents]]</f>
        <v>3</v>
      </c>
      <c r="P335" t="str">
        <f>survey_responses[[#This Row],[Số người phụ thuộc (con nhỏ, cha mẹ già...) đủ điều kiện giảm trừ gia cảnh:]]</f>
        <v>3 người</v>
      </c>
      <c r="Q335">
        <f>step3_validation[[#This Row],[AI_ENF1]]</f>
        <v>7</v>
      </c>
      <c r="R335" t="str">
        <f t="shared" si="135"/>
        <v>Neutral</v>
      </c>
      <c r="S335">
        <f>survey_responses[[#This Row],[Tôi tin rằng với các quy định quản lý thuế hiện nay, hành vi gian lận hoặc trốn thuế sẽ dễ dàng bị phát hiện và xử lý nghiêm. - HUMAN-ENF1]]</f>
        <v>2</v>
      </c>
      <c r="T335" t="str">
        <f t="shared" si="136"/>
        <v>Oppose</v>
      </c>
      <c r="U335" s="31">
        <f t="shared" si="137"/>
        <v>5</v>
      </c>
      <c r="V335">
        <f>step3_validation[[#This Row],[AI_ENF2]]</f>
        <v>8</v>
      </c>
      <c r="W335" t="str">
        <f t="shared" si="138"/>
        <v>Support</v>
      </c>
      <c r="X335">
        <f>survey_responses[[#This Row],[Tôi tin rằng Nhà nước, cơ quan thuế có đủ khả năng và công nghệ để phát hiện, xử lý nghiêm các hành vi trốn thuế. - HUMAN-ENF2]]</f>
        <v>2</v>
      </c>
      <c r="Y335" t="str">
        <f t="shared" si="139"/>
        <v>Oppose</v>
      </c>
      <c r="Z335" s="31">
        <f t="shared" si="140"/>
        <v>6</v>
      </c>
      <c r="AA335">
        <f>step3_validation[[#This Row],[AI_FAC1]]</f>
        <v>9</v>
      </c>
      <c r="AB335" t="str">
        <f t="shared" si="141"/>
        <v>Support</v>
      </c>
      <c r="AC335">
        <f>survey_responses[[#This Row],[Các thủ tục khai báo thuế VÀ/HOẶC quy trình làm việc với cơ quan thuế đơn giản, tiện lợi, nhanh chóng hơn so với trước đây. - HUMAN-FAC1]]</f>
        <v>3</v>
      </c>
      <c r="AD335" t="str">
        <f t="shared" si="142"/>
        <v>Oppose</v>
      </c>
      <c r="AE335" s="31">
        <f t="shared" si="143"/>
        <v>6</v>
      </c>
      <c r="AF335">
        <f>step3_validation[[#This Row],[AI_FAC2]]</f>
        <v>9</v>
      </c>
      <c r="AG335" t="str">
        <f t="shared" si="144"/>
        <v>Support</v>
      </c>
      <c r="AH335">
        <f>survey_responses[[#This Row],[So với trước đây, tôi thấy cách tính thuế và các bậc thuế trong phương án mới đơn giản, dễ hiểu và dễ thực hiện hơn. - HUMAN-FAC2]]</f>
        <v>5</v>
      </c>
      <c r="AI335" t="str">
        <f t="shared" si="145"/>
        <v>Neutral</v>
      </c>
      <c r="AJ335" s="31">
        <f t="shared" si="146"/>
        <v>4</v>
      </c>
      <c r="AK335">
        <f>step3_validation[[#This Row],[AI_TRU1]]</f>
        <v>8</v>
      </c>
      <c r="AL335" t="str">
        <f t="shared" si="147"/>
        <v>Support</v>
      </c>
      <c r="AM335">
        <f>survey_responses[[#This Row],[Tôi tin rằng Nhà nước, cơ quan thuế sẽ thực thi chính sách mới một cách khách quan, công tâm và đối xử bình đẳng với mọi người nộp thuế.  - HUMAN-TRU1]]</f>
        <v>1</v>
      </c>
      <c r="AN335" t="str">
        <f t="shared" si="148"/>
        <v>Oppose</v>
      </c>
      <c r="AO335" s="31">
        <f t="shared" si="149"/>
        <v>7</v>
      </c>
      <c r="AP335">
        <f>step3_validation[[#This Row],[AI_TRU2]]</f>
        <v>9</v>
      </c>
      <c r="AQ335" t="str">
        <f t="shared" si="150"/>
        <v>Support</v>
      </c>
      <c r="AR335">
        <f>survey_responses[[#This Row],[Tôi thấy mức thuế tôi phải đóng theo phương án mới là công bằng (người thu nhập như tôi đóng mức này là hợp lý). - HUMAN-TRU2]]</f>
        <v>1</v>
      </c>
      <c r="AS335" t="str">
        <f t="shared" si="151"/>
        <v>Oppose</v>
      </c>
      <c r="AT335" s="31">
        <f t="shared" si="152"/>
        <v>8</v>
      </c>
      <c r="AU335">
        <f>step3_validation[[#This Row],[AI_TRU3]]</f>
        <v>8</v>
      </c>
      <c r="AV335" t="str">
        <f t="shared" si="153"/>
        <v>Support</v>
      </c>
      <c r="AW335">
        <f>survey_responses[[#This Row],[Tôi tin tưởng số tiền thuế tôi đóng sẽ được Nhà nước sử dụng hiệu quả để cải thiện dịch vụ công (y tế, đường xá...). - HUMAN-TRU3]]</f>
        <v>1</v>
      </c>
      <c r="AX335" t="str">
        <f t="shared" si="154"/>
        <v>Oppose</v>
      </c>
      <c r="AY335" s="31">
        <f t="shared" si="155"/>
        <v>7</v>
      </c>
      <c r="AZ335">
        <f>step3_validation[[#This Row],[AI_TRU4]]</f>
        <v>7</v>
      </c>
      <c r="BA335" t="str">
        <f t="shared" si="156"/>
        <v>Neutral</v>
      </c>
      <c r="BB335">
        <f>survey_responses[[#This Row],[Tôi thấy Nhà nước đã giải thích rõ ràng, minh bạch về lý do và mục tiêu của việc sửa đổi thuế lần này. - HUMAN-TRU4]]</f>
        <v>3</v>
      </c>
      <c r="BC335" t="str">
        <f t="shared" si="157"/>
        <v>Oppose</v>
      </c>
      <c r="BD335" s="31">
        <f t="shared" si="158"/>
        <v>4</v>
      </c>
      <c r="BE335">
        <f>step3_validation[[#This Row],[AI_OUT1]]</f>
        <v>9</v>
      </c>
      <c r="BF335" t="str">
        <f t="shared" si="159"/>
        <v>Support</v>
      </c>
      <c r="BG335">
        <f>survey_responses[[#This Row],[Sau khi xem xét các quyền lợi và nghĩa vụ, bạn có ủng hộ và tuân thủ chính sách mới hiện nay? - HUMAN-OUT1]]</f>
        <v>1</v>
      </c>
      <c r="BH335" t="str">
        <f t="shared" si="160"/>
        <v>Oppose</v>
      </c>
      <c r="BI335" s="31">
        <f t="shared" si="161"/>
        <v>8</v>
      </c>
    </row>
    <row r="336" spans="1:61" hidden="1" x14ac:dyDescent="0.45">
      <c r="A336" s="29">
        <f>step3_validation[[#This Row],[Persona_ID]]</f>
        <v>335</v>
      </c>
      <c r="B336" s="30">
        <f>step3_validation[[#This Row],[Used_Seed]]</f>
        <v>376</v>
      </c>
      <c r="C336" t="str">
        <f>step3_validation[[#This Row],[Gender]]</f>
        <v>Nam</v>
      </c>
      <c r="D336" t="str">
        <f>survey_responses[[#This Row],[Giới tính của bạn:]]</f>
        <v>Nam</v>
      </c>
      <c r="E336" t="str">
        <f>step3_validation[[#This Row],[Age_Group]]</f>
        <v>18 - 24</v>
      </c>
      <c r="F336" t="str">
        <f>survey_responses[[#This Row],[Độ tuổi của bạn:]]</f>
        <v>18 - 24</v>
      </c>
      <c r="G336" t="str">
        <f>step3_validation[[#This Row],[Region]]</f>
        <v>Thành thị</v>
      </c>
      <c r="H336" t="str">
        <f>survey_responses[[#This Row],[Khu vực bạn đang sinh sống:]]</f>
        <v>Thành thị</v>
      </c>
      <c r="I336" t="str">
        <f>step3_validation[[#This Row],[Education]]</f>
        <v>Đại học</v>
      </c>
      <c r="J336" t="str">
        <f>survey_responses[[#This Row],[Trình độ học vấn cao nhất:]]</f>
        <v>Đại học</v>
      </c>
      <c r="K336" t="str">
        <f>step3_validation[[#This Row],[Employment]]</f>
        <v>Chính thức</v>
      </c>
      <c r="L336" t="str">
        <f>survey_responses[[#This Row],[Tình trạng việc làm chính:]]</f>
        <v>Khu vực chính thức (Có Hợp đồng lao động, đóng BHXH)</v>
      </c>
      <c r="M336">
        <f>step3_validation[[#This Row],[Income_Mil]]</f>
        <v>14.724893700157214</v>
      </c>
      <c r="N336" t="str">
        <f>survey_responses[[#This Row],[Thu nhập bình quân tháng theo Hợp đồng lao động của bạn là bao nhiêu? (Vui lòng điền tổng thu nhập trước khi khấu trừ các loại Bảo hiểm (BHXH, BHYT, BHTN) và Thuế TNCN)]]</f>
        <v>Từ 12 - 18 triệu VNĐ</v>
      </c>
      <c r="O336">
        <f>step3_validation[[#This Row],[Dependents]]</f>
        <v>0</v>
      </c>
      <c r="P336" t="str">
        <f>survey_responses[[#This Row],[Số người phụ thuộc (con nhỏ, cha mẹ già...) đủ điều kiện giảm trừ gia cảnh:]]</f>
        <v>0 người</v>
      </c>
      <c r="Q336">
        <f>step3_validation[[#This Row],[AI_ENF1]]</f>
        <v>7</v>
      </c>
      <c r="R336" t="str">
        <f t="shared" si="135"/>
        <v>Neutral</v>
      </c>
      <c r="S336">
        <f>survey_responses[[#This Row],[Tôi tin rằng với các quy định quản lý thuế hiện nay, hành vi gian lận hoặc trốn thuế sẽ dễ dàng bị phát hiện và xử lý nghiêm. - HUMAN-ENF1]]</f>
        <v>7</v>
      </c>
      <c r="T336" t="str">
        <f t="shared" si="136"/>
        <v>Neutral</v>
      </c>
      <c r="U336" s="31">
        <f t="shared" si="137"/>
        <v>0</v>
      </c>
      <c r="V336">
        <f>step3_validation[[#This Row],[AI_ENF2]]</f>
        <v>6</v>
      </c>
      <c r="W336" t="str">
        <f t="shared" si="138"/>
        <v>Neutral</v>
      </c>
      <c r="X336">
        <f>survey_responses[[#This Row],[Tôi tin rằng Nhà nước, cơ quan thuế có đủ khả năng và công nghệ để phát hiện, xử lý nghiêm các hành vi trốn thuế. - HUMAN-ENF2]]</f>
        <v>7</v>
      </c>
      <c r="Y336" t="str">
        <f t="shared" si="139"/>
        <v>Neutral</v>
      </c>
      <c r="Z336" s="31">
        <f t="shared" si="140"/>
        <v>1</v>
      </c>
      <c r="AA336">
        <f>step3_validation[[#This Row],[AI_FAC1]]</f>
        <v>8</v>
      </c>
      <c r="AB336" t="str">
        <f t="shared" si="141"/>
        <v>Support</v>
      </c>
      <c r="AC336">
        <f>survey_responses[[#This Row],[Các thủ tục khai báo thuế VÀ/HOẶC quy trình làm việc với cơ quan thuế đơn giản, tiện lợi, nhanh chóng hơn so với trước đây. - HUMAN-FAC1]]</f>
        <v>8</v>
      </c>
      <c r="AD336" t="str">
        <f t="shared" si="142"/>
        <v>Support</v>
      </c>
      <c r="AE336" s="31">
        <f t="shared" si="143"/>
        <v>0</v>
      </c>
      <c r="AF336">
        <f>step3_validation[[#This Row],[AI_FAC2]]</f>
        <v>9</v>
      </c>
      <c r="AG336" t="str">
        <f t="shared" si="144"/>
        <v>Support</v>
      </c>
      <c r="AH336">
        <f>survey_responses[[#This Row],[So với trước đây, tôi thấy cách tính thuế và các bậc thuế trong phương án mới đơn giản, dễ hiểu và dễ thực hiện hơn. - HUMAN-FAC2]]</f>
        <v>10</v>
      </c>
      <c r="AI336" t="str">
        <f t="shared" si="145"/>
        <v>Support</v>
      </c>
      <c r="AJ336" s="31">
        <f t="shared" si="146"/>
        <v>1</v>
      </c>
      <c r="AK336">
        <f>step3_validation[[#This Row],[AI_TRU1]]</f>
        <v>7</v>
      </c>
      <c r="AL336" t="str">
        <f t="shared" si="147"/>
        <v>Neutral</v>
      </c>
      <c r="AM336">
        <f>survey_responses[[#This Row],[Tôi tin rằng Nhà nước, cơ quan thuế sẽ thực thi chính sách mới một cách khách quan, công tâm và đối xử bình đẳng với mọi người nộp thuế.  - HUMAN-TRU1]]</f>
        <v>9</v>
      </c>
      <c r="AN336" t="str">
        <f t="shared" si="148"/>
        <v>Support</v>
      </c>
      <c r="AO336" s="31">
        <f t="shared" si="149"/>
        <v>2</v>
      </c>
      <c r="AP336">
        <f>step3_validation[[#This Row],[AI_TRU2]]</f>
        <v>9</v>
      </c>
      <c r="AQ336" t="str">
        <f t="shared" si="150"/>
        <v>Support</v>
      </c>
      <c r="AR336">
        <f>survey_responses[[#This Row],[Tôi thấy mức thuế tôi phải đóng theo phương án mới là công bằng (người thu nhập như tôi đóng mức này là hợp lý). - HUMAN-TRU2]]</f>
        <v>10</v>
      </c>
      <c r="AS336" t="str">
        <f t="shared" si="151"/>
        <v>Support</v>
      </c>
      <c r="AT336" s="31">
        <f t="shared" si="152"/>
        <v>1</v>
      </c>
      <c r="AU336">
        <f>step3_validation[[#This Row],[AI_TRU3]]</f>
        <v>7</v>
      </c>
      <c r="AV336" t="str">
        <f t="shared" si="153"/>
        <v>Neutral</v>
      </c>
      <c r="AW336">
        <f>survey_responses[[#This Row],[Tôi tin tưởng số tiền thuế tôi đóng sẽ được Nhà nước sử dụng hiệu quả để cải thiện dịch vụ công (y tế, đường xá...). - HUMAN-TRU3]]</f>
        <v>8</v>
      </c>
      <c r="AX336" t="str">
        <f t="shared" si="154"/>
        <v>Support</v>
      </c>
      <c r="AY336" s="31">
        <f t="shared" si="155"/>
        <v>1</v>
      </c>
      <c r="AZ336">
        <f>step3_validation[[#This Row],[AI_TRU4]]</f>
        <v>8</v>
      </c>
      <c r="BA336" t="str">
        <f t="shared" si="156"/>
        <v>Support</v>
      </c>
      <c r="BB336">
        <f>survey_responses[[#This Row],[Tôi thấy Nhà nước đã giải thích rõ ràng, minh bạch về lý do và mục tiêu của việc sửa đổi thuế lần này. - HUMAN-TRU4]]</f>
        <v>8</v>
      </c>
      <c r="BC336" t="str">
        <f t="shared" si="157"/>
        <v>Support</v>
      </c>
      <c r="BD336" s="31">
        <f t="shared" si="158"/>
        <v>0</v>
      </c>
      <c r="BE336">
        <f>step3_validation[[#This Row],[AI_OUT1]]</f>
        <v>9</v>
      </c>
      <c r="BF336" t="str">
        <f t="shared" si="159"/>
        <v>Support</v>
      </c>
      <c r="BG336">
        <f>survey_responses[[#This Row],[Sau khi xem xét các quyền lợi và nghĩa vụ, bạn có ủng hộ và tuân thủ chính sách mới hiện nay? - HUMAN-OUT1]]</f>
        <v>10</v>
      </c>
      <c r="BH336" t="str">
        <f t="shared" si="160"/>
        <v>Support</v>
      </c>
      <c r="BI336" s="31">
        <f t="shared" si="161"/>
        <v>1</v>
      </c>
    </row>
    <row r="337" spans="1:61" hidden="1" x14ac:dyDescent="0.45">
      <c r="A337" s="29">
        <f>step3_validation[[#This Row],[Persona_ID]]</f>
        <v>336</v>
      </c>
      <c r="B337" s="30">
        <f>step3_validation[[#This Row],[Used_Seed]]</f>
        <v>377</v>
      </c>
      <c r="C337" t="str">
        <f>step3_validation[[#This Row],[Gender]]</f>
        <v>Nữ</v>
      </c>
      <c r="D337" t="str">
        <f>survey_responses[[#This Row],[Giới tính của bạn:]]</f>
        <v>Nữ</v>
      </c>
      <c r="E337" t="str">
        <f>step3_validation[[#This Row],[Age_Group]]</f>
        <v>25 - 29</v>
      </c>
      <c r="F337" t="str">
        <f>survey_responses[[#This Row],[Độ tuổi của bạn:]]</f>
        <v>25 - 29</v>
      </c>
      <c r="G337" t="str">
        <f>step3_validation[[#This Row],[Region]]</f>
        <v>Thành thị</v>
      </c>
      <c r="H337" t="str">
        <f>survey_responses[[#This Row],[Khu vực bạn đang sinh sống:]]</f>
        <v>Thành thị</v>
      </c>
      <c r="I337" t="str">
        <f>step3_validation[[#This Row],[Education]]</f>
        <v>Đại học</v>
      </c>
      <c r="J337" t="str">
        <f>survey_responses[[#This Row],[Trình độ học vấn cao nhất:]]</f>
        <v>Đại học</v>
      </c>
      <c r="K337" t="str">
        <f>step3_validation[[#This Row],[Employment]]</f>
        <v>Chính thức</v>
      </c>
      <c r="L337" t="str">
        <f>survey_responses[[#This Row],[Tình trạng việc làm chính:]]</f>
        <v>Khu vực chính thức (Có Hợp đồng lao động, đóng BHXH)</v>
      </c>
      <c r="M337">
        <f>step3_validation[[#This Row],[Income_Mil]]</f>
        <v>20.268198988321885</v>
      </c>
      <c r="N337" t="str">
        <f>survey_responses[[#This Row],[Thu nhập bình quân tháng theo Hợp đồng lao động của bạn là bao nhiêu? (Vui lòng điền tổng thu nhập trước khi khấu trừ các loại Bảo hiểm (BHXH, BHYT, BHTN) và Thuế TNCN)]]</f>
        <v>Từ 18 - 23 triệu VNĐ</v>
      </c>
      <c r="O337">
        <f>step3_validation[[#This Row],[Dependents]]</f>
        <v>0</v>
      </c>
      <c r="P337" t="str">
        <f>survey_responses[[#This Row],[Số người phụ thuộc (con nhỏ, cha mẹ già...) đủ điều kiện giảm trừ gia cảnh:]]</f>
        <v>0 người</v>
      </c>
      <c r="Q337">
        <f>step3_validation[[#This Row],[AI_ENF1]]</f>
        <v>8</v>
      </c>
      <c r="R337" t="str">
        <f t="shared" si="135"/>
        <v>Support</v>
      </c>
      <c r="S337">
        <f>survey_responses[[#This Row],[Tôi tin rằng với các quy định quản lý thuế hiện nay, hành vi gian lận hoặc trốn thuế sẽ dễ dàng bị phát hiện và xử lý nghiêm. - HUMAN-ENF1]]</f>
        <v>4</v>
      </c>
      <c r="T337" t="str">
        <f t="shared" si="136"/>
        <v>Oppose</v>
      </c>
      <c r="U337" s="31">
        <f t="shared" si="137"/>
        <v>4</v>
      </c>
      <c r="V337">
        <f>step3_validation[[#This Row],[AI_ENF2]]</f>
        <v>9</v>
      </c>
      <c r="W337" t="str">
        <f t="shared" si="138"/>
        <v>Support</v>
      </c>
      <c r="X337">
        <f>survey_responses[[#This Row],[Tôi tin rằng Nhà nước, cơ quan thuế có đủ khả năng và công nghệ để phát hiện, xử lý nghiêm các hành vi trốn thuế. - HUMAN-ENF2]]</f>
        <v>5</v>
      </c>
      <c r="Y337" t="str">
        <f t="shared" si="139"/>
        <v>Neutral</v>
      </c>
      <c r="Z337" s="31">
        <f t="shared" si="140"/>
        <v>4</v>
      </c>
      <c r="AA337">
        <f>step3_validation[[#This Row],[AI_FAC1]]</f>
        <v>8</v>
      </c>
      <c r="AB337" t="str">
        <f t="shared" si="141"/>
        <v>Support</v>
      </c>
      <c r="AC337">
        <f>survey_responses[[#This Row],[Các thủ tục khai báo thuế VÀ/HOẶC quy trình làm việc với cơ quan thuế đơn giản, tiện lợi, nhanh chóng hơn so với trước đây. - HUMAN-FAC1]]</f>
        <v>5</v>
      </c>
      <c r="AD337" t="str">
        <f t="shared" si="142"/>
        <v>Neutral</v>
      </c>
      <c r="AE337" s="31">
        <f t="shared" si="143"/>
        <v>3</v>
      </c>
      <c r="AF337">
        <f>step3_validation[[#This Row],[AI_FAC2]]</f>
        <v>9</v>
      </c>
      <c r="AG337" t="str">
        <f t="shared" si="144"/>
        <v>Support</v>
      </c>
      <c r="AH337">
        <f>survey_responses[[#This Row],[So với trước đây, tôi thấy cách tính thuế và các bậc thuế trong phương án mới đơn giản, dễ hiểu và dễ thực hiện hơn. - HUMAN-FAC2]]</f>
        <v>6</v>
      </c>
      <c r="AI337" t="str">
        <f t="shared" si="145"/>
        <v>Neutral</v>
      </c>
      <c r="AJ337" s="31">
        <f t="shared" si="146"/>
        <v>3</v>
      </c>
      <c r="AK337">
        <f>step3_validation[[#This Row],[AI_TRU1]]</f>
        <v>8</v>
      </c>
      <c r="AL337" t="str">
        <f t="shared" si="147"/>
        <v>Support</v>
      </c>
      <c r="AM337">
        <f>survey_responses[[#This Row],[Tôi tin rằng Nhà nước, cơ quan thuế sẽ thực thi chính sách mới một cách khách quan, công tâm và đối xử bình đẳng với mọi người nộp thuế.  - HUMAN-TRU1]]</f>
        <v>5</v>
      </c>
      <c r="AN337" t="str">
        <f t="shared" si="148"/>
        <v>Neutral</v>
      </c>
      <c r="AO337" s="31">
        <f t="shared" si="149"/>
        <v>3</v>
      </c>
      <c r="AP337">
        <f>step3_validation[[#This Row],[AI_TRU2]]</f>
        <v>9</v>
      </c>
      <c r="AQ337" t="str">
        <f t="shared" si="150"/>
        <v>Support</v>
      </c>
      <c r="AR337">
        <f>survey_responses[[#This Row],[Tôi thấy mức thuế tôi phải đóng theo phương án mới là công bằng (người thu nhập như tôi đóng mức này là hợp lý). - HUMAN-TRU2]]</f>
        <v>6</v>
      </c>
      <c r="AS337" t="str">
        <f t="shared" si="151"/>
        <v>Neutral</v>
      </c>
      <c r="AT337" s="31">
        <f t="shared" si="152"/>
        <v>3</v>
      </c>
      <c r="AU337">
        <f>step3_validation[[#This Row],[AI_TRU3]]</f>
        <v>8</v>
      </c>
      <c r="AV337" t="str">
        <f t="shared" si="153"/>
        <v>Support</v>
      </c>
      <c r="AW337">
        <f>survey_responses[[#This Row],[Tôi tin tưởng số tiền thuế tôi đóng sẽ được Nhà nước sử dụng hiệu quả để cải thiện dịch vụ công (y tế, đường xá...). - HUMAN-TRU3]]</f>
        <v>5</v>
      </c>
      <c r="AX337" t="str">
        <f t="shared" si="154"/>
        <v>Neutral</v>
      </c>
      <c r="AY337" s="31">
        <f t="shared" si="155"/>
        <v>3</v>
      </c>
      <c r="AZ337">
        <f>step3_validation[[#This Row],[AI_TRU4]]</f>
        <v>9</v>
      </c>
      <c r="BA337" t="str">
        <f t="shared" si="156"/>
        <v>Support</v>
      </c>
      <c r="BB337">
        <f>survey_responses[[#This Row],[Tôi thấy Nhà nước đã giải thích rõ ràng, minh bạch về lý do và mục tiêu của việc sửa đổi thuế lần này. - HUMAN-TRU4]]</f>
        <v>5</v>
      </c>
      <c r="BC337" t="str">
        <f t="shared" si="157"/>
        <v>Neutral</v>
      </c>
      <c r="BD337" s="31">
        <f t="shared" si="158"/>
        <v>4</v>
      </c>
      <c r="BE337">
        <f>step3_validation[[#This Row],[AI_OUT1]]</f>
        <v>9</v>
      </c>
      <c r="BF337" t="str">
        <f t="shared" si="159"/>
        <v>Support</v>
      </c>
      <c r="BG337">
        <f>survey_responses[[#This Row],[Sau khi xem xét các quyền lợi và nghĩa vụ, bạn có ủng hộ và tuân thủ chính sách mới hiện nay? - HUMAN-OUT1]]</f>
        <v>6</v>
      </c>
      <c r="BH337" t="str">
        <f t="shared" si="160"/>
        <v>Neutral</v>
      </c>
      <c r="BI337" s="31">
        <f t="shared" si="161"/>
        <v>3</v>
      </c>
    </row>
    <row r="338" spans="1:61" hidden="1" x14ac:dyDescent="0.45">
      <c r="A338" s="29">
        <f>step3_validation[[#This Row],[Persona_ID]]</f>
        <v>337</v>
      </c>
      <c r="B338" s="30">
        <f>step3_validation[[#This Row],[Used_Seed]]</f>
        <v>378</v>
      </c>
      <c r="C338" t="str">
        <f>step3_validation[[#This Row],[Gender]]</f>
        <v>Nam</v>
      </c>
      <c r="D338" t="str">
        <f>survey_responses[[#This Row],[Giới tính của bạn:]]</f>
        <v>Nam</v>
      </c>
      <c r="E338" t="str">
        <f>step3_validation[[#This Row],[Age_Group]]</f>
        <v>30 - 39</v>
      </c>
      <c r="F338" t="str">
        <f>survey_responses[[#This Row],[Độ tuổi của bạn:]]</f>
        <v>30 - 39</v>
      </c>
      <c r="G338" t="str">
        <f>step3_validation[[#This Row],[Region]]</f>
        <v>Thành thị</v>
      </c>
      <c r="H338" t="str">
        <f>survey_responses[[#This Row],[Khu vực bạn đang sinh sống:]]</f>
        <v>Thành thị</v>
      </c>
      <c r="I338" t="str">
        <f>step3_validation[[#This Row],[Education]]</f>
        <v>Đại học</v>
      </c>
      <c r="J338" t="str">
        <f>survey_responses[[#This Row],[Trình độ học vấn cao nhất:]]</f>
        <v>Đại học</v>
      </c>
      <c r="K338" t="str">
        <f>step3_validation[[#This Row],[Employment]]</f>
        <v>Chính thức</v>
      </c>
      <c r="L338" t="str">
        <f>survey_responses[[#This Row],[Tình trạng việc làm chính:]]</f>
        <v>Khu vực chính thức (Có Hợp đồng lao động, đóng BHXH)</v>
      </c>
      <c r="M338">
        <f>step3_validation[[#This Row],[Income_Mil]]</f>
        <v>23.930932802166915</v>
      </c>
      <c r="N338" t="str">
        <f>survey_responses[[#This Row],[Thu nhập bình quân tháng theo Hợp đồng lao động của bạn là bao nhiêu? (Vui lòng điền tổng thu nhập trước khi khấu trừ các loại Bảo hiểm (BHXH, BHYT, BHTN) và Thuế TNCN)]]</f>
        <v>Từ 23 - 32 triệu VNĐ</v>
      </c>
      <c r="O338">
        <f>step3_validation[[#This Row],[Dependents]]</f>
        <v>0</v>
      </c>
      <c r="P338" t="str">
        <f>survey_responses[[#This Row],[Số người phụ thuộc (con nhỏ, cha mẹ già...) đủ điều kiện giảm trừ gia cảnh:]]</f>
        <v>0 người</v>
      </c>
      <c r="Q338">
        <f>step3_validation[[#This Row],[AI_ENF1]]</f>
        <v>7</v>
      </c>
      <c r="R338" t="str">
        <f t="shared" si="135"/>
        <v>Neutral</v>
      </c>
      <c r="S338">
        <f>survey_responses[[#This Row],[Tôi tin rằng với các quy định quản lý thuế hiện nay, hành vi gian lận hoặc trốn thuế sẽ dễ dàng bị phát hiện và xử lý nghiêm. - HUMAN-ENF1]]</f>
        <v>7</v>
      </c>
      <c r="T338" t="str">
        <f t="shared" si="136"/>
        <v>Neutral</v>
      </c>
      <c r="U338" s="31">
        <f t="shared" si="137"/>
        <v>0</v>
      </c>
      <c r="V338">
        <f>step3_validation[[#This Row],[AI_ENF2]]</f>
        <v>6</v>
      </c>
      <c r="W338" t="str">
        <f t="shared" si="138"/>
        <v>Neutral</v>
      </c>
      <c r="X338">
        <f>survey_responses[[#This Row],[Tôi tin rằng Nhà nước, cơ quan thuế có đủ khả năng và công nghệ để phát hiện, xử lý nghiêm các hành vi trốn thuế. - HUMAN-ENF2]]</f>
        <v>8</v>
      </c>
      <c r="Y338" t="str">
        <f t="shared" si="139"/>
        <v>Support</v>
      </c>
      <c r="Z338" s="31">
        <f t="shared" si="140"/>
        <v>2</v>
      </c>
      <c r="AA338">
        <f>step3_validation[[#This Row],[AI_FAC1]]</f>
        <v>8</v>
      </c>
      <c r="AB338" t="str">
        <f t="shared" si="141"/>
        <v>Support</v>
      </c>
      <c r="AC338">
        <f>survey_responses[[#This Row],[Các thủ tục khai báo thuế VÀ/HOẶC quy trình làm việc với cơ quan thuế đơn giản, tiện lợi, nhanh chóng hơn so với trước đây. - HUMAN-FAC1]]</f>
        <v>7</v>
      </c>
      <c r="AD338" t="str">
        <f t="shared" si="142"/>
        <v>Neutral</v>
      </c>
      <c r="AE338" s="31">
        <f t="shared" si="143"/>
        <v>1</v>
      </c>
      <c r="AF338">
        <f>step3_validation[[#This Row],[AI_FAC2]]</f>
        <v>9</v>
      </c>
      <c r="AG338" t="str">
        <f t="shared" si="144"/>
        <v>Support</v>
      </c>
      <c r="AH338">
        <f>survey_responses[[#This Row],[So với trước đây, tôi thấy cách tính thuế và các bậc thuế trong phương án mới đơn giản, dễ hiểu và dễ thực hiện hơn. - HUMAN-FAC2]]</f>
        <v>7</v>
      </c>
      <c r="AI338" t="str">
        <f t="shared" si="145"/>
        <v>Neutral</v>
      </c>
      <c r="AJ338" s="31">
        <f t="shared" si="146"/>
        <v>2</v>
      </c>
      <c r="AK338">
        <f>step3_validation[[#This Row],[AI_TRU1]]</f>
        <v>8</v>
      </c>
      <c r="AL338" t="str">
        <f t="shared" si="147"/>
        <v>Support</v>
      </c>
      <c r="AM338">
        <f>survey_responses[[#This Row],[Tôi tin rằng Nhà nước, cơ quan thuế sẽ thực thi chính sách mới một cách khách quan, công tâm và đối xử bình đẳng với mọi người nộp thuế.  - HUMAN-TRU1]]</f>
        <v>6</v>
      </c>
      <c r="AN338" t="str">
        <f t="shared" si="148"/>
        <v>Neutral</v>
      </c>
      <c r="AO338" s="31">
        <f t="shared" si="149"/>
        <v>2</v>
      </c>
      <c r="AP338">
        <f>step3_validation[[#This Row],[AI_TRU2]]</f>
        <v>7</v>
      </c>
      <c r="AQ338" t="str">
        <f t="shared" si="150"/>
        <v>Neutral</v>
      </c>
      <c r="AR338">
        <f>survey_responses[[#This Row],[Tôi thấy mức thuế tôi phải đóng theo phương án mới là công bằng (người thu nhập như tôi đóng mức này là hợp lý). - HUMAN-TRU2]]</f>
        <v>8</v>
      </c>
      <c r="AS338" t="str">
        <f t="shared" si="151"/>
        <v>Support</v>
      </c>
      <c r="AT338" s="31">
        <f t="shared" si="152"/>
        <v>1</v>
      </c>
      <c r="AU338">
        <f>step3_validation[[#This Row],[AI_TRU3]]</f>
        <v>8</v>
      </c>
      <c r="AV338" t="str">
        <f t="shared" si="153"/>
        <v>Support</v>
      </c>
      <c r="AW338">
        <f>survey_responses[[#This Row],[Tôi tin tưởng số tiền thuế tôi đóng sẽ được Nhà nước sử dụng hiệu quả để cải thiện dịch vụ công (y tế, đường xá...). - HUMAN-TRU3]]</f>
        <v>6</v>
      </c>
      <c r="AX338" t="str">
        <f t="shared" si="154"/>
        <v>Neutral</v>
      </c>
      <c r="AY338" s="31">
        <f t="shared" si="155"/>
        <v>2</v>
      </c>
      <c r="AZ338">
        <f>step3_validation[[#This Row],[AI_TRU4]]</f>
        <v>6</v>
      </c>
      <c r="BA338" t="str">
        <f t="shared" si="156"/>
        <v>Neutral</v>
      </c>
      <c r="BB338">
        <f>survey_responses[[#This Row],[Tôi thấy Nhà nước đã giải thích rõ ràng, minh bạch về lý do và mục tiêu của việc sửa đổi thuế lần này. - HUMAN-TRU4]]</f>
        <v>8</v>
      </c>
      <c r="BC338" t="str">
        <f t="shared" si="157"/>
        <v>Support</v>
      </c>
      <c r="BD338" s="31">
        <f t="shared" si="158"/>
        <v>2</v>
      </c>
      <c r="BE338">
        <f>step3_validation[[#This Row],[AI_OUT1]]</f>
        <v>9</v>
      </c>
      <c r="BF338" t="str">
        <f t="shared" si="159"/>
        <v>Support</v>
      </c>
      <c r="BG338">
        <f>survey_responses[[#This Row],[Sau khi xem xét các quyền lợi và nghĩa vụ, bạn có ủng hộ và tuân thủ chính sách mới hiện nay? - HUMAN-OUT1]]</f>
        <v>8</v>
      </c>
      <c r="BH338" t="str">
        <f t="shared" si="160"/>
        <v>Support</v>
      </c>
      <c r="BI338" s="31">
        <f t="shared" si="161"/>
        <v>1</v>
      </c>
    </row>
    <row r="339" spans="1:61" hidden="1" x14ac:dyDescent="0.45">
      <c r="A339" s="29">
        <f>step3_validation[[#This Row],[Persona_ID]]</f>
        <v>338</v>
      </c>
      <c r="B339" s="30">
        <f>step3_validation[[#This Row],[Used_Seed]]</f>
        <v>379</v>
      </c>
      <c r="C339" t="str">
        <f>step3_validation[[#This Row],[Gender]]</f>
        <v>Nam</v>
      </c>
      <c r="D339" t="str">
        <f>survey_responses[[#This Row],[Giới tính của bạn:]]</f>
        <v>Nam</v>
      </c>
      <c r="E339" t="str">
        <f>step3_validation[[#This Row],[Age_Group]]</f>
        <v>18 - 24</v>
      </c>
      <c r="F339" t="str">
        <f>survey_responses[[#This Row],[Độ tuổi của bạn:]]</f>
        <v>18 - 24</v>
      </c>
      <c r="G339" t="str">
        <f>step3_validation[[#This Row],[Region]]</f>
        <v>Thành thị</v>
      </c>
      <c r="H339" t="str">
        <f>survey_responses[[#This Row],[Khu vực bạn đang sinh sống:]]</f>
        <v>Thành thị</v>
      </c>
      <c r="I339" t="str">
        <f>step3_validation[[#This Row],[Education]]</f>
        <v>Đại học</v>
      </c>
      <c r="J339" t="str">
        <f>survey_responses[[#This Row],[Trình độ học vấn cao nhất:]]</f>
        <v>Đại học</v>
      </c>
      <c r="K339" t="str">
        <f>step3_validation[[#This Row],[Employment]]</f>
        <v>Chính thức</v>
      </c>
      <c r="L339" t="str">
        <f>survey_responses[[#This Row],[Tình trạng việc làm chính:]]</f>
        <v>Khu vực chính thức (Có Hợp đồng lao động, đóng BHXH)</v>
      </c>
      <c r="M339">
        <f>step3_validation[[#This Row],[Income_Mil]]</f>
        <v>15.800376650805926</v>
      </c>
      <c r="N339" t="str">
        <f>survey_responses[[#This Row],[Thu nhập bình quân tháng theo Hợp đồng lao động của bạn là bao nhiêu? (Vui lòng điền tổng thu nhập trước khi khấu trừ các loại Bảo hiểm (BHXH, BHYT, BHTN) và Thuế TNCN)]]</f>
        <v>Từ 12 - 18 triệu VNĐ</v>
      </c>
      <c r="O339">
        <f>step3_validation[[#This Row],[Dependents]]</f>
        <v>0</v>
      </c>
      <c r="P339" t="str">
        <f>survey_responses[[#This Row],[Số người phụ thuộc (con nhỏ, cha mẹ già...) đủ điều kiện giảm trừ gia cảnh:]]</f>
        <v>0 người</v>
      </c>
      <c r="Q339">
        <f>step3_validation[[#This Row],[AI_ENF1]]</f>
        <v>7</v>
      </c>
      <c r="R339" t="str">
        <f t="shared" si="135"/>
        <v>Neutral</v>
      </c>
      <c r="S339">
        <f>survey_responses[[#This Row],[Tôi tin rằng với các quy định quản lý thuế hiện nay, hành vi gian lận hoặc trốn thuế sẽ dễ dàng bị phát hiện và xử lý nghiêm. - HUMAN-ENF1]]</f>
        <v>8</v>
      </c>
      <c r="T339" t="str">
        <f t="shared" si="136"/>
        <v>Support</v>
      </c>
      <c r="U339" s="31">
        <f t="shared" si="137"/>
        <v>1</v>
      </c>
      <c r="V339">
        <f>step3_validation[[#This Row],[AI_ENF2]]</f>
        <v>6</v>
      </c>
      <c r="W339" t="str">
        <f t="shared" si="138"/>
        <v>Neutral</v>
      </c>
      <c r="X339">
        <f>survey_responses[[#This Row],[Tôi tin rằng Nhà nước, cơ quan thuế có đủ khả năng và công nghệ để phát hiện, xử lý nghiêm các hành vi trốn thuế. - HUMAN-ENF2]]</f>
        <v>8</v>
      </c>
      <c r="Y339" t="str">
        <f t="shared" si="139"/>
        <v>Support</v>
      </c>
      <c r="Z339" s="31">
        <f t="shared" si="140"/>
        <v>2</v>
      </c>
      <c r="AA339">
        <f>step3_validation[[#This Row],[AI_FAC1]]</f>
        <v>8</v>
      </c>
      <c r="AB339" t="str">
        <f t="shared" si="141"/>
        <v>Support</v>
      </c>
      <c r="AC339">
        <f>survey_responses[[#This Row],[Các thủ tục khai báo thuế VÀ/HOẶC quy trình làm việc với cơ quan thuế đơn giản, tiện lợi, nhanh chóng hơn so với trước đây. - HUMAN-FAC1]]</f>
        <v>9</v>
      </c>
      <c r="AD339" t="str">
        <f t="shared" si="142"/>
        <v>Support</v>
      </c>
      <c r="AE339" s="31">
        <f t="shared" si="143"/>
        <v>1</v>
      </c>
      <c r="AF339">
        <f>step3_validation[[#This Row],[AI_FAC2]]</f>
        <v>9</v>
      </c>
      <c r="AG339" t="str">
        <f t="shared" si="144"/>
        <v>Support</v>
      </c>
      <c r="AH339">
        <f>survey_responses[[#This Row],[So với trước đây, tôi thấy cách tính thuế và các bậc thuế trong phương án mới đơn giản, dễ hiểu và dễ thực hiện hơn. - HUMAN-FAC2]]</f>
        <v>9</v>
      </c>
      <c r="AI339" t="str">
        <f t="shared" si="145"/>
        <v>Support</v>
      </c>
      <c r="AJ339" s="31">
        <f t="shared" si="146"/>
        <v>0</v>
      </c>
      <c r="AK339">
        <f>step3_validation[[#This Row],[AI_TRU1]]</f>
        <v>9</v>
      </c>
      <c r="AL339" t="str">
        <f t="shared" si="147"/>
        <v>Support</v>
      </c>
      <c r="AM339">
        <f>survey_responses[[#This Row],[Tôi tin rằng Nhà nước, cơ quan thuế sẽ thực thi chính sách mới một cách khách quan, công tâm và đối xử bình đẳng với mọi người nộp thuế.  - HUMAN-TRU1]]</f>
        <v>8</v>
      </c>
      <c r="AN339" t="str">
        <f t="shared" si="148"/>
        <v>Support</v>
      </c>
      <c r="AO339" s="31">
        <f t="shared" si="149"/>
        <v>1</v>
      </c>
      <c r="AP339">
        <f>step3_validation[[#This Row],[AI_TRU2]]</f>
        <v>8</v>
      </c>
      <c r="AQ339" t="str">
        <f t="shared" si="150"/>
        <v>Support</v>
      </c>
      <c r="AR339">
        <f>survey_responses[[#This Row],[Tôi thấy mức thuế tôi phải đóng theo phương án mới là công bằng (người thu nhập như tôi đóng mức này là hợp lý). - HUMAN-TRU2]]</f>
        <v>9</v>
      </c>
      <c r="AS339" t="str">
        <f t="shared" si="151"/>
        <v>Support</v>
      </c>
      <c r="AT339" s="31">
        <f t="shared" si="152"/>
        <v>1</v>
      </c>
      <c r="AU339">
        <f>step3_validation[[#This Row],[AI_TRU3]]</f>
        <v>9</v>
      </c>
      <c r="AV339" t="str">
        <f t="shared" si="153"/>
        <v>Support</v>
      </c>
      <c r="AW339">
        <f>survey_responses[[#This Row],[Tôi tin tưởng số tiền thuế tôi đóng sẽ được Nhà nước sử dụng hiệu quả để cải thiện dịch vụ công (y tế, đường xá...). - HUMAN-TRU3]]</f>
        <v>10</v>
      </c>
      <c r="AX339" t="str">
        <f t="shared" si="154"/>
        <v>Support</v>
      </c>
      <c r="AY339" s="31">
        <f t="shared" si="155"/>
        <v>1</v>
      </c>
      <c r="AZ339">
        <f>step3_validation[[#This Row],[AI_TRU4]]</f>
        <v>7</v>
      </c>
      <c r="BA339" t="str">
        <f t="shared" si="156"/>
        <v>Neutral</v>
      </c>
      <c r="BB339">
        <f>survey_responses[[#This Row],[Tôi thấy Nhà nước đã giải thích rõ ràng, minh bạch về lý do và mục tiêu của việc sửa đổi thuế lần này. - HUMAN-TRU4]]</f>
        <v>9</v>
      </c>
      <c r="BC339" t="str">
        <f t="shared" si="157"/>
        <v>Support</v>
      </c>
      <c r="BD339" s="31">
        <f t="shared" si="158"/>
        <v>2</v>
      </c>
      <c r="BE339">
        <f>step3_validation[[#This Row],[AI_OUT1]]</f>
        <v>9</v>
      </c>
      <c r="BF339" t="str">
        <f t="shared" si="159"/>
        <v>Support</v>
      </c>
      <c r="BG339">
        <f>survey_responses[[#This Row],[Sau khi xem xét các quyền lợi và nghĩa vụ, bạn có ủng hộ và tuân thủ chính sách mới hiện nay? - HUMAN-OUT1]]</f>
        <v>10</v>
      </c>
      <c r="BH339" t="str">
        <f t="shared" si="160"/>
        <v>Support</v>
      </c>
      <c r="BI339" s="31">
        <f t="shared" si="161"/>
        <v>1</v>
      </c>
    </row>
    <row r="340" spans="1:61" hidden="1" x14ac:dyDescent="0.45">
      <c r="A340" s="29">
        <f>step3_validation[[#This Row],[Persona_ID]]</f>
        <v>339</v>
      </c>
      <c r="B340" s="30">
        <f>step3_validation[[#This Row],[Used_Seed]]</f>
        <v>380</v>
      </c>
      <c r="C340" t="str">
        <f>step3_validation[[#This Row],[Gender]]</f>
        <v>Nữ</v>
      </c>
      <c r="D340" t="str">
        <f>survey_responses[[#This Row],[Giới tính của bạn:]]</f>
        <v>Nữ</v>
      </c>
      <c r="E340" t="str">
        <f>step3_validation[[#This Row],[Age_Group]]</f>
        <v>18 - 24</v>
      </c>
      <c r="F340" t="str">
        <f>survey_responses[[#This Row],[Độ tuổi của bạn:]]</f>
        <v>18 - 24</v>
      </c>
      <c r="G340" t="str">
        <f>step3_validation[[#This Row],[Region]]</f>
        <v>Thành thị</v>
      </c>
      <c r="H340" t="str">
        <f>survey_responses[[#This Row],[Khu vực bạn đang sinh sống:]]</f>
        <v>Thành thị</v>
      </c>
      <c r="I340" t="str">
        <f>step3_validation[[#This Row],[Education]]</f>
        <v>Đại học</v>
      </c>
      <c r="J340" t="str">
        <f>survey_responses[[#This Row],[Trình độ học vấn cao nhất:]]</f>
        <v>Đại học</v>
      </c>
      <c r="K340" t="str">
        <f>step3_validation[[#This Row],[Employment]]</f>
        <v>Chính thức</v>
      </c>
      <c r="L340" t="str">
        <f>survey_responses[[#This Row],[Tình trạng việc làm chính:]]</f>
        <v>Khu vực chính thức (Có Hợp đồng lao động, đóng BHXH)</v>
      </c>
      <c r="M340">
        <f>step3_validation[[#This Row],[Income_Mil]]</f>
        <v>16.735042580295506</v>
      </c>
      <c r="N340" t="str">
        <f>survey_responses[[#This Row],[Thu nhập bình quân tháng theo Hợp đồng lao động của bạn là bao nhiêu? (Vui lòng điền tổng thu nhập trước khi khấu trừ các loại Bảo hiểm (BHXH, BHYT, BHTN) và Thuế TNCN)]]</f>
        <v>Từ 12 - 18 triệu VNĐ</v>
      </c>
      <c r="O340">
        <f>step3_validation[[#This Row],[Dependents]]</f>
        <v>0</v>
      </c>
      <c r="P340" t="str">
        <f>survey_responses[[#This Row],[Số người phụ thuộc (con nhỏ, cha mẹ già...) đủ điều kiện giảm trừ gia cảnh:]]</f>
        <v>0 người</v>
      </c>
      <c r="Q340">
        <f>step3_validation[[#This Row],[AI_ENF1]]</f>
        <v>7</v>
      </c>
      <c r="R340" t="str">
        <f t="shared" si="135"/>
        <v>Neutral</v>
      </c>
      <c r="S340">
        <f>survey_responses[[#This Row],[Tôi tin rằng với các quy định quản lý thuế hiện nay, hành vi gian lận hoặc trốn thuế sẽ dễ dàng bị phát hiện và xử lý nghiêm. - HUMAN-ENF1]]</f>
        <v>7</v>
      </c>
      <c r="T340" t="str">
        <f t="shared" si="136"/>
        <v>Neutral</v>
      </c>
      <c r="U340" s="31">
        <f t="shared" si="137"/>
        <v>0</v>
      </c>
      <c r="V340">
        <f>step3_validation[[#This Row],[AI_ENF2]]</f>
        <v>6</v>
      </c>
      <c r="W340" t="str">
        <f t="shared" si="138"/>
        <v>Neutral</v>
      </c>
      <c r="X340">
        <f>survey_responses[[#This Row],[Tôi tin rằng Nhà nước, cơ quan thuế có đủ khả năng và công nghệ để phát hiện, xử lý nghiêm các hành vi trốn thuế. - HUMAN-ENF2]]</f>
        <v>7</v>
      </c>
      <c r="Y340" t="str">
        <f t="shared" si="139"/>
        <v>Neutral</v>
      </c>
      <c r="Z340" s="31">
        <f t="shared" si="140"/>
        <v>1</v>
      </c>
      <c r="AA340">
        <f>step3_validation[[#This Row],[AI_FAC1]]</f>
        <v>8</v>
      </c>
      <c r="AB340" t="str">
        <f t="shared" si="141"/>
        <v>Support</v>
      </c>
      <c r="AC340">
        <f>survey_responses[[#This Row],[Các thủ tục khai báo thuế VÀ/HOẶC quy trình làm việc với cơ quan thuế đơn giản, tiện lợi, nhanh chóng hơn so với trước đây. - HUMAN-FAC1]]</f>
        <v>8</v>
      </c>
      <c r="AD340" t="str">
        <f t="shared" si="142"/>
        <v>Support</v>
      </c>
      <c r="AE340" s="31">
        <f t="shared" si="143"/>
        <v>0</v>
      </c>
      <c r="AF340">
        <f>step3_validation[[#This Row],[AI_FAC2]]</f>
        <v>9</v>
      </c>
      <c r="AG340" t="str">
        <f t="shared" si="144"/>
        <v>Support</v>
      </c>
      <c r="AH340">
        <f>survey_responses[[#This Row],[So với trước đây, tôi thấy cách tính thuế và các bậc thuế trong phương án mới đơn giản, dễ hiểu và dễ thực hiện hơn. - HUMAN-FAC2]]</f>
        <v>8</v>
      </c>
      <c r="AI340" t="str">
        <f t="shared" si="145"/>
        <v>Support</v>
      </c>
      <c r="AJ340" s="31">
        <f t="shared" si="146"/>
        <v>1</v>
      </c>
      <c r="AK340">
        <f>step3_validation[[#This Row],[AI_TRU1]]</f>
        <v>7</v>
      </c>
      <c r="AL340" t="str">
        <f t="shared" si="147"/>
        <v>Neutral</v>
      </c>
      <c r="AM340">
        <f>survey_responses[[#This Row],[Tôi tin rằng Nhà nước, cơ quan thuế sẽ thực thi chính sách mới một cách khách quan, công tâm và đối xử bình đẳng với mọi người nộp thuế.  - HUMAN-TRU1]]</f>
        <v>6</v>
      </c>
      <c r="AN340" t="str">
        <f t="shared" si="148"/>
        <v>Neutral</v>
      </c>
      <c r="AO340" s="31">
        <f t="shared" si="149"/>
        <v>1</v>
      </c>
      <c r="AP340">
        <f>step3_validation[[#This Row],[AI_TRU2]]</f>
        <v>9</v>
      </c>
      <c r="AQ340" t="str">
        <f t="shared" si="150"/>
        <v>Support</v>
      </c>
      <c r="AR340">
        <f>survey_responses[[#This Row],[Tôi thấy mức thuế tôi phải đóng theo phương án mới là công bằng (người thu nhập như tôi đóng mức này là hợp lý). - HUMAN-TRU2]]</f>
        <v>7</v>
      </c>
      <c r="AS340" t="str">
        <f t="shared" si="151"/>
        <v>Neutral</v>
      </c>
      <c r="AT340" s="31">
        <f t="shared" si="152"/>
        <v>2</v>
      </c>
      <c r="AU340">
        <f>step3_validation[[#This Row],[AI_TRU3]]</f>
        <v>7</v>
      </c>
      <c r="AV340" t="str">
        <f t="shared" si="153"/>
        <v>Neutral</v>
      </c>
      <c r="AW340">
        <f>survey_responses[[#This Row],[Tôi tin tưởng số tiền thuế tôi đóng sẽ được Nhà nước sử dụng hiệu quả để cải thiện dịch vụ công (y tế, đường xá...). - HUMAN-TRU3]]</f>
        <v>6</v>
      </c>
      <c r="AX340" t="str">
        <f t="shared" si="154"/>
        <v>Neutral</v>
      </c>
      <c r="AY340" s="31">
        <f t="shared" si="155"/>
        <v>1</v>
      </c>
      <c r="AZ340">
        <f>step3_validation[[#This Row],[AI_TRU4]]</f>
        <v>6</v>
      </c>
      <c r="BA340" t="str">
        <f t="shared" si="156"/>
        <v>Neutral</v>
      </c>
      <c r="BB340">
        <f>survey_responses[[#This Row],[Tôi thấy Nhà nước đã giải thích rõ ràng, minh bạch về lý do và mục tiêu của việc sửa đổi thuế lần này. - HUMAN-TRU4]]</f>
        <v>6</v>
      </c>
      <c r="BC340" t="str">
        <f t="shared" si="157"/>
        <v>Neutral</v>
      </c>
      <c r="BD340" s="31">
        <f t="shared" si="158"/>
        <v>0</v>
      </c>
      <c r="BE340">
        <f>step3_validation[[#This Row],[AI_OUT1]]</f>
        <v>8</v>
      </c>
      <c r="BF340" t="str">
        <f t="shared" si="159"/>
        <v>Support</v>
      </c>
      <c r="BG340">
        <f>survey_responses[[#This Row],[Sau khi xem xét các quyền lợi và nghĩa vụ, bạn có ủng hộ và tuân thủ chính sách mới hiện nay? - HUMAN-OUT1]]</f>
        <v>7</v>
      </c>
      <c r="BH340" t="str">
        <f t="shared" si="160"/>
        <v>Neutral</v>
      </c>
      <c r="BI340" s="31">
        <f t="shared" si="161"/>
        <v>1</v>
      </c>
    </row>
    <row r="341" spans="1:61" hidden="1" x14ac:dyDescent="0.45">
      <c r="A341" s="29">
        <f>step3_validation[[#This Row],[Persona_ID]]</f>
        <v>340</v>
      </c>
      <c r="B341" s="30">
        <f>step3_validation[[#This Row],[Used_Seed]]</f>
        <v>381</v>
      </c>
      <c r="C341" t="str">
        <f>step3_validation[[#This Row],[Gender]]</f>
        <v>Nam</v>
      </c>
      <c r="D341" t="str">
        <f>survey_responses[[#This Row],[Giới tính của bạn:]]</f>
        <v>Nam</v>
      </c>
      <c r="E341" t="str">
        <f>step3_validation[[#This Row],[Age_Group]]</f>
        <v>25 - 29</v>
      </c>
      <c r="F341" t="str">
        <f>survey_responses[[#This Row],[Độ tuổi của bạn:]]</f>
        <v>25 - 29</v>
      </c>
      <c r="G341" t="str">
        <f>step3_validation[[#This Row],[Region]]</f>
        <v>Thành thị</v>
      </c>
      <c r="H341" t="str">
        <f>survey_responses[[#This Row],[Khu vực bạn đang sinh sống:]]</f>
        <v>Thành thị</v>
      </c>
      <c r="I341" t="str">
        <f>step3_validation[[#This Row],[Education]]</f>
        <v>Đại học</v>
      </c>
      <c r="J341" t="str">
        <f>survey_responses[[#This Row],[Trình độ học vấn cao nhất:]]</f>
        <v>Đại học</v>
      </c>
      <c r="K341" t="str">
        <f>step3_validation[[#This Row],[Employment]]</f>
        <v>Chính thức</v>
      </c>
      <c r="L341" t="str">
        <f>survey_responses[[#This Row],[Tình trạng việc làm chính:]]</f>
        <v>Khu vực chính thức (Có Hợp đồng lao động, đóng BHXH)</v>
      </c>
      <c r="M341">
        <f>step3_validation[[#This Row],[Income_Mil]]</f>
        <v>13.160067555007622</v>
      </c>
      <c r="N341" t="str">
        <f>survey_responses[[#This Row],[Thu nhập bình quân tháng theo Hợp đồng lao động của bạn là bao nhiêu? (Vui lòng điền tổng thu nhập trước khi khấu trừ các loại Bảo hiểm (BHXH, BHYT, BHTN) và Thuế TNCN)]]</f>
        <v>Từ 12 - 18 triệu VNĐ</v>
      </c>
      <c r="O341">
        <f>step3_validation[[#This Row],[Dependents]]</f>
        <v>0</v>
      </c>
      <c r="P341" t="str">
        <f>survey_responses[[#This Row],[Số người phụ thuộc (con nhỏ, cha mẹ già...) đủ điều kiện giảm trừ gia cảnh:]]</f>
        <v>0 người</v>
      </c>
      <c r="Q341">
        <f>step3_validation[[#This Row],[AI_ENF1]]</f>
        <v>7</v>
      </c>
      <c r="R341" t="str">
        <f t="shared" si="135"/>
        <v>Neutral</v>
      </c>
      <c r="S341">
        <f>survey_responses[[#This Row],[Tôi tin rằng với các quy định quản lý thuế hiện nay, hành vi gian lận hoặc trốn thuế sẽ dễ dàng bị phát hiện và xử lý nghiêm. - HUMAN-ENF1]]</f>
        <v>7</v>
      </c>
      <c r="T341" t="str">
        <f t="shared" si="136"/>
        <v>Neutral</v>
      </c>
      <c r="U341" s="31">
        <f t="shared" si="137"/>
        <v>0</v>
      </c>
      <c r="V341">
        <f>step3_validation[[#This Row],[AI_ENF2]]</f>
        <v>6</v>
      </c>
      <c r="W341" t="str">
        <f t="shared" si="138"/>
        <v>Neutral</v>
      </c>
      <c r="X341">
        <f>survey_responses[[#This Row],[Tôi tin rằng Nhà nước, cơ quan thuế có đủ khả năng và công nghệ để phát hiện, xử lý nghiêm các hành vi trốn thuế. - HUMAN-ENF2]]</f>
        <v>8</v>
      </c>
      <c r="Y341" t="str">
        <f t="shared" si="139"/>
        <v>Support</v>
      </c>
      <c r="Z341" s="31">
        <f t="shared" si="140"/>
        <v>2</v>
      </c>
      <c r="AA341">
        <f>step3_validation[[#This Row],[AI_FAC1]]</f>
        <v>9</v>
      </c>
      <c r="AB341" t="str">
        <f t="shared" si="141"/>
        <v>Support</v>
      </c>
      <c r="AC341">
        <f>survey_responses[[#This Row],[Các thủ tục khai báo thuế VÀ/HOẶC quy trình làm việc với cơ quan thuế đơn giản, tiện lợi, nhanh chóng hơn so với trước đây. - HUMAN-FAC1]]</f>
        <v>8</v>
      </c>
      <c r="AD341" t="str">
        <f t="shared" si="142"/>
        <v>Support</v>
      </c>
      <c r="AE341" s="31">
        <f t="shared" si="143"/>
        <v>1</v>
      </c>
      <c r="AF341">
        <f>step3_validation[[#This Row],[AI_FAC2]]</f>
        <v>8</v>
      </c>
      <c r="AG341" t="str">
        <f t="shared" si="144"/>
        <v>Support</v>
      </c>
      <c r="AH341">
        <f>survey_responses[[#This Row],[So với trước đây, tôi thấy cách tính thuế và các bậc thuế trong phương án mới đơn giản, dễ hiểu và dễ thực hiện hơn. - HUMAN-FAC2]]</f>
        <v>8</v>
      </c>
      <c r="AI341" t="str">
        <f t="shared" si="145"/>
        <v>Support</v>
      </c>
      <c r="AJ341" s="31">
        <f t="shared" si="146"/>
        <v>0</v>
      </c>
      <c r="AK341">
        <f>step3_validation[[#This Row],[AI_TRU1]]</f>
        <v>9</v>
      </c>
      <c r="AL341" t="str">
        <f t="shared" si="147"/>
        <v>Support</v>
      </c>
      <c r="AM341">
        <f>survey_responses[[#This Row],[Tôi tin rằng Nhà nước, cơ quan thuế sẽ thực thi chính sách mới một cách khách quan, công tâm và đối xử bình đẳng với mọi người nộp thuế.  - HUMAN-TRU1]]</f>
        <v>5</v>
      </c>
      <c r="AN341" t="str">
        <f t="shared" si="148"/>
        <v>Neutral</v>
      </c>
      <c r="AO341" s="31">
        <f t="shared" si="149"/>
        <v>4</v>
      </c>
      <c r="AP341">
        <f>step3_validation[[#This Row],[AI_TRU2]]</f>
        <v>9</v>
      </c>
      <c r="AQ341" t="str">
        <f t="shared" si="150"/>
        <v>Support</v>
      </c>
      <c r="AR341">
        <f>survey_responses[[#This Row],[Tôi thấy mức thuế tôi phải đóng theo phương án mới là công bằng (người thu nhập như tôi đóng mức này là hợp lý). - HUMAN-TRU2]]</f>
        <v>8</v>
      </c>
      <c r="AS341" t="str">
        <f t="shared" si="151"/>
        <v>Support</v>
      </c>
      <c r="AT341" s="31">
        <f t="shared" si="152"/>
        <v>1</v>
      </c>
      <c r="AU341">
        <f>step3_validation[[#This Row],[AI_TRU3]]</f>
        <v>8</v>
      </c>
      <c r="AV341" t="str">
        <f t="shared" si="153"/>
        <v>Support</v>
      </c>
      <c r="AW341">
        <f>survey_responses[[#This Row],[Tôi tin tưởng số tiền thuế tôi đóng sẽ được Nhà nước sử dụng hiệu quả để cải thiện dịch vụ công (y tế, đường xá...). - HUMAN-TRU3]]</f>
        <v>5</v>
      </c>
      <c r="AX341" t="str">
        <f t="shared" si="154"/>
        <v>Neutral</v>
      </c>
      <c r="AY341" s="31">
        <f t="shared" si="155"/>
        <v>3</v>
      </c>
      <c r="AZ341">
        <f>step3_validation[[#This Row],[AI_TRU4]]</f>
        <v>8</v>
      </c>
      <c r="BA341" t="str">
        <f t="shared" si="156"/>
        <v>Support</v>
      </c>
      <c r="BB341">
        <f>survey_responses[[#This Row],[Tôi thấy Nhà nước đã giải thích rõ ràng, minh bạch về lý do và mục tiêu của việc sửa đổi thuế lần này. - HUMAN-TRU4]]</f>
        <v>8</v>
      </c>
      <c r="BC341" t="str">
        <f t="shared" si="157"/>
        <v>Support</v>
      </c>
      <c r="BD341" s="31">
        <f t="shared" si="158"/>
        <v>0</v>
      </c>
      <c r="BE341">
        <f>step3_validation[[#This Row],[AI_OUT1]]</f>
        <v>9</v>
      </c>
      <c r="BF341" t="str">
        <f t="shared" si="159"/>
        <v>Support</v>
      </c>
      <c r="BG341">
        <f>survey_responses[[#This Row],[Sau khi xem xét các quyền lợi và nghĩa vụ, bạn có ủng hộ và tuân thủ chính sách mới hiện nay? - HUMAN-OUT1]]</f>
        <v>8</v>
      </c>
      <c r="BH341" t="str">
        <f t="shared" si="160"/>
        <v>Support</v>
      </c>
      <c r="BI341" s="31">
        <f t="shared" si="161"/>
        <v>1</v>
      </c>
    </row>
    <row r="342" spans="1:61" x14ac:dyDescent="0.45">
      <c r="A342" s="29">
        <f>step3_validation[[#This Row],[Persona_ID]]</f>
        <v>341</v>
      </c>
      <c r="B342" s="30">
        <f>step3_validation[[#This Row],[Used_Seed]]</f>
        <v>382</v>
      </c>
      <c r="C342" t="str">
        <f>step3_validation[[#This Row],[Gender]]</f>
        <v>Nữ</v>
      </c>
      <c r="D342" t="str">
        <f>survey_responses[[#This Row],[Giới tính của bạn:]]</f>
        <v>Nữ</v>
      </c>
      <c r="E342" t="str">
        <f>step3_validation[[#This Row],[Age_Group]]</f>
        <v>18 - 24</v>
      </c>
      <c r="F342" t="str">
        <f>survey_responses[[#This Row],[Độ tuổi của bạn:]]</f>
        <v>18 - 24</v>
      </c>
      <c r="G342" t="str">
        <f>step3_validation[[#This Row],[Region]]</f>
        <v>Thành thị</v>
      </c>
      <c r="H342" t="str">
        <f>survey_responses[[#This Row],[Khu vực bạn đang sinh sống:]]</f>
        <v>Thành thị</v>
      </c>
      <c r="I342" t="str">
        <f>step3_validation[[#This Row],[Education]]</f>
        <v>Đại học</v>
      </c>
      <c r="J342" t="str">
        <f>survey_responses[[#This Row],[Trình độ học vấn cao nhất:]]</f>
        <v>Đại học</v>
      </c>
      <c r="K342" t="str">
        <f>step3_validation[[#This Row],[Employment]]</f>
        <v>Chính thức</v>
      </c>
      <c r="L342" t="str">
        <f>survey_responses[[#This Row],[Tình trạng việc làm chính:]]</f>
        <v>Khu vực chính thức (Có Hợp đồng lao động, đóng BHXH)</v>
      </c>
      <c r="M342">
        <f>step3_validation[[#This Row],[Income_Mil]]</f>
        <v>12</v>
      </c>
      <c r="N342" t="str">
        <f>survey_responses[[#This Row],[Thu nhập bình quân tháng theo Hợp đồng lao động của bạn là bao nhiêu? (Vui lòng điền tổng thu nhập trước khi khấu trừ các loại Bảo hiểm (BHXH, BHYT, BHTN) và Thuế TNCN)]]</f>
        <v>Dưới 12 triệu VNĐ</v>
      </c>
      <c r="O342">
        <f>step3_validation[[#This Row],[Dependents]]</f>
        <v>0</v>
      </c>
      <c r="P342" t="str">
        <f>survey_responses[[#This Row],[Số người phụ thuộc (con nhỏ, cha mẹ già...) đủ điều kiện giảm trừ gia cảnh:]]</f>
        <v>0 người</v>
      </c>
      <c r="Q342">
        <f>step3_validation[[#This Row],[AI_ENF1]]</f>
        <v>8</v>
      </c>
      <c r="R342" t="str">
        <f t="shared" si="135"/>
        <v>Support</v>
      </c>
      <c r="S342">
        <f>survey_responses[[#This Row],[Tôi tin rằng với các quy định quản lý thuế hiện nay, hành vi gian lận hoặc trốn thuế sẽ dễ dàng bị phát hiện và xử lý nghiêm. - HUMAN-ENF1]]</f>
        <v>8</v>
      </c>
      <c r="T342" t="str">
        <f t="shared" si="136"/>
        <v>Support</v>
      </c>
      <c r="U342" s="31">
        <f t="shared" si="137"/>
        <v>0</v>
      </c>
      <c r="V342">
        <f>step3_validation[[#This Row],[AI_ENF2]]</f>
        <v>9</v>
      </c>
      <c r="W342" t="str">
        <f t="shared" si="138"/>
        <v>Support</v>
      </c>
      <c r="X342">
        <f>survey_responses[[#This Row],[Tôi tin rằng Nhà nước, cơ quan thuế có đủ khả năng và công nghệ để phát hiện, xử lý nghiêm các hành vi trốn thuế. - HUMAN-ENF2]]</f>
        <v>8</v>
      </c>
      <c r="Y342" t="str">
        <f t="shared" si="139"/>
        <v>Support</v>
      </c>
      <c r="Z342" s="31">
        <f t="shared" si="140"/>
        <v>1</v>
      </c>
      <c r="AA342">
        <f>step3_validation[[#This Row],[AI_FAC1]]</f>
        <v>9</v>
      </c>
      <c r="AB342" t="str">
        <f t="shared" si="141"/>
        <v>Support</v>
      </c>
      <c r="AC342">
        <f>survey_responses[[#This Row],[Các thủ tục khai báo thuế VÀ/HOẶC quy trình làm việc với cơ quan thuế đơn giản, tiện lợi, nhanh chóng hơn so với trước đây. - HUMAN-FAC1]]</f>
        <v>8</v>
      </c>
      <c r="AD342" t="str">
        <f t="shared" si="142"/>
        <v>Support</v>
      </c>
      <c r="AE342" s="31">
        <f t="shared" si="143"/>
        <v>1</v>
      </c>
      <c r="AF342">
        <f>step3_validation[[#This Row],[AI_FAC2]]</f>
        <v>10</v>
      </c>
      <c r="AG342" t="str">
        <f t="shared" si="144"/>
        <v>Support</v>
      </c>
      <c r="AH342">
        <f>survey_responses[[#This Row],[So với trước đây, tôi thấy cách tính thuế và các bậc thuế trong phương án mới đơn giản, dễ hiểu và dễ thực hiện hơn. - HUMAN-FAC2]]</f>
        <v>9</v>
      </c>
      <c r="AI342" t="str">
        <f t="shared" si="145"/>
        <v>Support</v>
      </c>
      <c r="AJ342" s="31">
        <f t="shared" si="146"/>
        <v>1</v>
      </c>
      <c r="AK342">
        <f>step3_validation[[#This Row],[AI_TRU1]]</f>
        <v>8</v>
      </c>
      <c r="AL342" t="str">
        <f t="shared" si="147"/>
        <v>Support</v>
      </c>
      <c r="AM342">
        <f>survey_responses[[#This Row],[Tôi tin rằng Nhà nước, cơ quan thuế sẽ thực thi chính sách mới một cách khách quan, công tâm và đối xử bình đẳng với mọi người nộp thuế.  - HUMAN-TRU1]]</f>
        <v>8</v>
      </c>
      <c r="AN342" t="str">
        <f t="shared" si="148"/>
        <v>Support</v>
      </c>
      <c r="AO342" s="31">
        <f t="shared" si="149"/>
        <v>0</v>
      </c>
      <c r="AP342">
        <f>step3_validation[[#This Row],[AI_TRU2]]</f>
        <v>9</v>
      </c>
      <c r="AQ342" t="str">
        <f t="shared" si="150"/>
        <v>Support</v>
      </c>
      <c r="AR342">
        <f>survey_responses[[#This Row],[Tôi thấy mức thuế tôi phải đóng theo phương án mới là công bằng (người thu nhập như tôi đóng mức này là hợp lý). - HUMAN-TRU2]]</f>
        <v>8</v>
      </c>
      <c r="AS342" t="str">
        <f t="shared" si="151"/>
        <v>Support</v>
      </c>
      <c r="AT342" s="31">
        <f t="shared" si="152"/>
        <v>1</v>
      </c>
      <c r="AU342">
        <f>step3_validation[[#This Row],[AI_TRU3]]</f>
        <v>8</v>
      </c>
      <c r="AV342" t="str">
        <f t="shared" si="153"/>
        <v>Support</v>
      </c>
      <c r="AW342">
        <f>survey_responses[[#This Row],[Tôi tin tưởng số tiền thuế tôi đóng sẽ được Nhà nước sử dụng hiệu quả để cải thiện dịch vụ công (y tế, đường xá...). - HUMAN-TRU3]]</f>
        <v>7</v>
      </c>
      <c r="AX342" t="str">
        <f t="shared" si="154"/>
        <v>Neutral</v>
      </c>
      <c r="AY342" s="31">
        <f t="shared" si="155"/>
        <v>1</v>
      </c>
      <c r="AZ342">
        <f>step3_validation[[#This Row],[AI_TRU4]]</f>
        <v>9</v>
      </c>
      <c r="BA342" t="str">
        <f t="shared" si="156"/>
        <v>Support</v>
      </c>
      <c r="BB342">
        <f>survey_responses[[#This Row],[Tôi thấy Nhà nước đã giải thích rõ ràng, minh bạch về lý do và mục tiêu của việc sửa đổi thuế lần này. - HUMAN-TRU4]]</f>
        <v>7</v>
      </c>
      <c r="BC342" t="str">
        <f t="shared" si="157"/>
        <v>Neutral</v>
      </c>
      <c r="BD342" s="31">
        <f t="shared" si="158"/>
        <v>2</v>
      </c>
      <c r="BE342">
        <f>step3_validation[[#This Row],[AI_OUT1]]</f>
        <v>8</v>
      </c>
      <c r="BF342" t="str">
        <f t="shared" si="159"/>
        <v>Support</v>
      </c>
      <c r="BG342">
        <f>survey_responses[[#This Row],[Sau khi xem xét các quyền lợi và nghĩa vụ, bạn có ủng hộ và tuân thủ chính sách mới hiện nay? - HUMAN-OUT1]]</f>
        <v>8</v>
      </c>
      <c r="BH342" t="str">
        <f t="shared" si="160"/>
        <v>Support</v>
      </c>
      <c r="BI342" s="31">
        <f t="shared" si="161"/>
        <v>0</v>
      </c>
    </row>
    <row r="343" spans="1:61" x14ac:dyDescent="0.45">
      <c r="A343" s="29">
        <f>step3_validation[[#This Row],[Persona_ID]]</f>
        <v>342</v>
      </c>
      <c r="B343" s="30">
        <f>step3_validation[[#This Row],[Used_Seed]]</f>
        <v>383</v>
      </c>
      <c r="C343" t="str">
        <f>step3_validation[[#This Row],[Gender]]</f>
        <v>Nam</v>
      </c>
      <c r="D343" t="str">
        <f>survey_responses[[#This Row],[Giới tính của bạn:]]</f>
        <v>Nam</v>
      </c>
      <c r="E343" t="str">
        <f>step3_validation[[#This Row],[Age_Group]]</f>
        <v>18 - 24</v>
      </c>
      <c r="F343" t="str">
        <f>survey_responses[[#This Row],[Độ tuổi của bạn:]]</f>
        <v>18 - 24</v>
      </c>
      <c r="G343" t="str">
        <f>step3_validation[[#This Row],[Region]]</f>
        <v>Thành thị</v>
      </c>
      <c r="H343" t="str">
        <f>survey_responses[[#This Row],[Khu vực bạn đang sinh sống:]]</f>
        <v>Thành thị</v>
      </c>
      <c r="I343" t="str">
        <f>step3_validation[[#This Row],[Education]]</f>
        <v>Đại học</v>
      </c>
      <c r="J343" t="str">
        <f>survey_responses[[#This Row],[Trình độ học vấn cao nhất:]]</f>
        <v>Đại học</v>
      </c>
      <c r="K343" t="str">
        <f>step3_validation[[#This Row],[Employment]]</f>
        <v>Chính thức</v>
      </c>
      <c r="L343" t="str">
        <f>survey_responses[[#This Row],[Tình trạng việc làm chính:]]</f>
        <v>Khu vực chính thức (Có Hợp đồng lao động, đóng BHXH)</v>
      </c>
      <c r="M343">
        <f>step3_validation[[#This Row],[Income_Mil]]</f>
        <v>12</v>
      </c>
      <c r="N343" t="str">
        <f>survey_responses[[#This Row],[Thu nhập bình quân tháng theo Hợp đồng lao động của bạn là bao nhiêu? (Vui lòng điền tổng thu nhập trước khi khấu trừ các loại Bảo hiểm (BHXH, BHYT, BHTN) và Thuế TNCN)]]</f>
        <v>Dưới 12 triệu VNĐ</v>
      </c>
      <c r="O343">
        <f>step3_validation[[#This Row],[Dependents]]</f>
        <v>0</v>
      </c>
      <c r="P343" t="str">
        <f>survey_responses[[#This Row],[Số người phụ thuộc (con nhỏ, cha mẹ già...) đủ điều kiện giảm trừ gia cảnh:]]</f>
        <v>0 người</v>
      </c>
      <c r="Q343">
        <f>step3_validation[[#This Row],[AI_ENF1]]</f>
        <v>7</v>
      </c>
      <c r="R343" t="str">
        <f t="shared" si="135"/>
        <v>Neutral</v>
      </c>
      <c r="S343">
        <f>survey_responses[[#This Row],[Tôi tin rằng với các quy định quản lý thuế hiện nay, hành vi gian lận hoặc trốn thuế sẽ dễ dàng bị phát hiện và xử lý nghiêm. - HUMAN-ENF1]]</f>
        <v>5</v>
      </c>
      <c r="T343" t="str">
        <f t="shared" si="136"/>
        <v>Neutral</v>
      </c>
      <c r="U343" s="31">
        <f t="shared" si="137"/>
        <v>2</v>
      </c>
      <c r="V343">
        <f>step3_validation[[#This Row],[AI_ENF2]]</f>
        <v>9</v>
      </c>
      <c r="W343" t="str">
        <f t="shared" si="138"/>
        <v>Support</v>
      </c>
      <c r="X343">
        <f>survey_responses[[#This Row],[Tôi tin rằng Nhà nước, cơ quan thuế có đủ khả năng và công nghệ để phát hiện, xử lý nghiêm các hành vi trốn thuế. - HUMAN-ENF2]]</f>
        <v>5</v>
      </c>
      <c r="Y343" t="str">
        <f t="shared" si="139"/>
        <v>Neutral</v>
      </c>
      <c r="Z343" s="31">
        <f t="shared" si="140"/>
        <v>4</v>
      </c>
      <c r="AA343">
        <f>step3_validation[[#This Row],[AI_FAC1]]</f>
        <v>8</v>
      </c>
      <c r="AB343" t="str">
        <f t="shared" si="141"/>
        <v>Support</v>
      </c>
      <c r="AC343">
        <f>survey_responses[[#This Row],[Các thủ tục khai báo thuế VÀ/HOẶC quy trình làm việc với cơ quan thuế đơn giản, tiện lợi, nhanh chóng hơn so với trước đây. - HUMAN-FAC1]]</f>
        <v>6</v>
      </c>
      <c r="AD343" t="str">
        <f t="shared" si="142"/>
        <v>Neutral</v>
      </c>
      <c r="AE343" s="31">
        <f t="shared" si="143"/>
        <v>2</v>
      </c>
      <c r="AF343">
        <f>step3_validation[[#This Row],[AI_FAC2]]</f>
        <v>9</v>
      </c>
      <c r="AG343" t="str">
        <f t="shared" si="144"/>
        <v>Support</v>
      </c>
      <c r="AH343">
        <f>survey_responses[[#This Row],[So với trước đây, tôi thấy cách tính thuế và các bậc thuế trong phương án mới đơn giản, dễ hiểu và dễ thực hiện hơn. - HUMAN-FAC2]]</f>
        <v>7</v>
      </c>
      <c r="AI343" t="str">
        <f t="shared" si="145"/>
        <v>Neutral</v>
      </c>
      <c r="AJ343" s="31">
        <f t="shared" si="146"/>
        <v>2</v>
      </c>
      <c r="AK343">
        <f>step3_validation[[#This Row],[AI_TRU1]]</f>
        <v>8</v>
      </c>
      <c r="AL343" t="str">
        <f t="shared" si="147"/>
        <v>Support</v>
      </c>
      <c r="AM343">
        <f>survey_responses[[#This Row],[Tôi tin rằng Nhà nước, cơ quan thuế sẽ thực thi chính sách mới một cách khách quan, công tâm và đối xử bình đẳng với mọi người nộp thuế.  - HUMAN-TRU1]]</f>
        <v>5</v>
      </c>
      <c r="AN343" t="str">
        <f t="shared" si="148"/>
        <v>Neutral</v>
      </c>
      <c r="AO343" s="31">
        <f t="shared" si="149"/>
        <v>3</v>
      </c>
      <c r="AP343">
        <f>step3_validation[[#This Row],[AI_TRU2]]</f>
        <v>9</v>
      </c>
      <c r="AQ343" t="str">
        <f t="shared" si="150"/>
        <v>Support</v>
      </c>
      <c r="AR343">
        <f>survey_responses[[#This Row],[Tôi thấy mức thuế tôi phải đóng theo phương án mới là công bằng (người thu nhập như tôi đóng mức này là hợp lý). - HUMAN-TRU2]]</f>
        <v>8</v>
      </c>
      <c r="AS343" t="str">
        <f t="shared" si="151"/>
        <v>Support</v>
      </c>
      <c r="AT343" s="31">
        <f t="shared" si="152"/>
        <v>1</v>
      </c>
      <c r="AU343">
        <f>step3_validation[[#This Row],[AI_TRU3]]</f>
        <v>8</v>
      </c>
      <c r="AV343" t="str">
        <f t="shared" si="153"/>
        <v>Support</v>
      </c>
      <c r="AW343">
        <f>survey_responses[[#This Row],[Tôi tin tưởng số tiền thuế tôi đóng sẽ được Nhà nước sử dụng hiệu quả để cải thiện dịch vụ công (y tế, đường xá...). - HUMAN-TRU3]]</f>
        <v>6</v>
      </c>
      <c r="AX343" t="str">
        <f t="shared" si="154"/>
        <v>Neutral</v>
      </c>
      <c r="AY343" s="31">
        <f t="shared" si="155"/>
        <v>2</v>
      </c>
      <c r="AZ343">
        <f>step3_validation[[#This Row],[AI_TRU4]]</f>
        <v>7</v>
      </c>
      <c r="BA343" t="str">
        <f t="shared" si="156"/>
        <v>Neutral</v>
      </c>
      <c r="BB343">
        <f>survey_responses[[#This Row],[Tôi thấy Nhà nước đã giải thích rõ ràng, minh bạch về lý do và mục tiêu của việc sửa đổi thuế lần này. - HUMAN-TRU4]]</f>
        <v>6</v>
      </c>
      <c r="BC343" t="str">
        <f t="shared" si="157"/>
        <v>Neutral</v>
      </c>
      <c r="BD343" s="31">
        <f t="shared" si="158"/>
        <v>1</v>
      </c>
      <c r="BE343">
        <f>step3_validation[[#This Row],[AI_OUT1]]</f>
        <v>9</v>
      </c>
      <c r="BF343" t="str">
        <f t="shared" si="159"/>
        <v>Support</v>
      </c>
      <c r="BG343">
        <f>survey_responses[[#This Row],[Sau khi xem xét các quyền lợi và nghĩa vụ, bạn có ủng hộ và tuân thủ chính sách mới hiện nay? - HUMAN-OUT1]]</f>
        <v>7</v>
      </c>
      <c r="BH343" t="str">
        <f t="shared" si="160"/>
        <v>Neutral</v>
      </c>
      <c r="BI343" s="31">
        <f t="shared" si="161"/>
        <v>2</v>
      </c>
    </row>
    <row r="344" spans="1:61" hidden="1" x14ac:dyDescent="0.45">
      <c r="A344" s="29">
        <f>step3_validation[[#This Row],[Persona_ID]]</f>
        <v>343</v>
      </c>
      <c r="B344" s="30">
        <f>step3_validation[[#This Row],[Used_Seed]]</f>
        <v>384</v>
      </c>
      <c r="C344" t="str">
        <f>step3_validation[[#This Row],[Gender]]</f>
        <v>Nam</v>
      </c>
      <c r="D344" t="str">
        <f>survey_responses[[#This Row],[Giới tính của bạn:]]</f>
        <v>Nam</v>
      </c>
      <c r="E344" t="str">
        <f>step3_validation[[#This Row],[Age_Group]]</f>
        <v>25 - 29</v>
      </c>
      <c r="F344" t="str">
        <f>survey_responses[[#This Row],[Độ tuổi của bạn:]]</f>
        <v>25 - 29</v>
      </c>
      <c r="G344" t="str">
        <f>step3_validation[[#This Row],[Region]]</f>
        <v>Thành thị</v>
      </c>
      <c r="H344" t="str">
        <f>survey_responses[[#This Row],[Khu vực bạn đang sinh sống:]]</f>
        <v>Thành thị</v>
      </c>
      <c r="I344" t="str">
        <f>step3_validation[[#This Row],[Education]]</f>
        <v>Đại học</v>
      </c>
      <c r="J344" t="str">
        <f>survey_responses[[#This Row],[Trình độ học vấn cao nhất:]]</f>
        <v>Đại học</v>
      </c>
      <c r="K344" t="str">
        <f>step3_validation[[#This Row],[Employment]]</f>
        <v>Chính thức</v>
      </c>
      <c r="L344" t="str">
        <f>survey_responses[[#This Row],[Tình trạng việc làm chính:]]</f>
        <v>Khu vực chính thức (Có Hợp đồng lao động, đóng BHXH)</v>
      </c>
      <c r="M344">
        <f>step3_validation[[#This Row],[Income_Mil]]</f>
        <v>12.517941053446794</v>
      </c>
      <c r="N344" t="str">
        <f>survey_responses[[#This Row],[Thu nhập bình quân tháng theo Hợp đồng lao động của bạn là bao nhiêu? (Vui lòng điền tổng thu nhập trước khi khấu trừ các loại Bảo hiểm (BHXH, BHYT, BHTN) và Thuế TNCN)]]</f>
        <v>Từ 12 - 18 triệu VNĐ</v>
      </c>
      <c r="O344">
        <f>step3_validation[[#This Row],[Dependents]]</f>
        <v>0</v>
      </c>
      <c r="P344" t="str">
        <f>survey_responses[[#This Row],[Số người phụ thuộc (con nhỏ, cha mẹ già...) đủ điều kiện giảm trừ gia cảnh:]]</f>
        <v>0 người</v>
      </c>
      <c r="Q344">
        <f>step3_validation[[#This Row],[AI_ENF1]]</f>
        <v>6</v>
      </c>
      <c r="R344" t="str">
        <f t="shared" si="135"/>
        <v>Neutral</v>
      </c>
      <c r="S344">
        <f>survey_responses[[#This Row],[Tôi tin rằng với các quy định quản lý thuế hiện nay, hành vi gian lận hoặc trốn thuế sẽ dễ dàng bị phát hiện và xử lý nghiêm. - HUMAN-ENF1]]</f>
        <v>7</v>
      </c>
      <c r="T344" t="str">
        <f t="shared" si="136"/>
        <v>Neutral</v>
      </c>
      <c r="U344" s="31">
        <f t="shared" si="137"/>
        <v>1</v>
      </c>
      <c r="V344">
        <f>step3_validation[[#This Row],[AI_ENF2]]</f>
        <v>7</v>
      </c>
      <c r="W344" t="str">
        <f t="shared" si="138"/>
        <v>Neutral</v>
      </c>
      <c r="X344">
        <f>survey_responses[[#This Row],[Tôi tin rằng Nhà nước, cơ quan thuế có đủ khả năng và công nghệ để phát hiện, xử lý nghiêm các hành vi trốn thuế. - HUMAN-ENF2]]</f>
        <v>7</v>
      </c>
      <c r="Y344" t="str">
        <f t="shared" si="139"/>
        <v>Neutral</v>
      </c>
      <c r="Z344" s="31">
        <f t="shared" si="140"/>
        <v>0</v>
      </c>
      <c r="AA344">
        <f>step3_validation[[#This Row],[AI_FAC1]]</f>
        <v>9</v>
      </c>
      <c r="AB344" t="str">
        <f t="shared" si="141"/>
        <v>Support</v>
      </c>
      <c r="AC344">
        <f>survey_responses[[#This Row],[Các thủ tục khai báo thuế VÀ/HOẶC quy trình làm việc với cơ quan thuế đơn giản, tiện lợi, nhanh chóng hơn so với trước đây. - HUMAN-FAC1]]</f>
        <v>8</v>
      </c>
      <c r="AD344" t="str">
        <f t="shared" si="142"/>
        <v>Support</v>
      </c>
      <c r="AE344" s="31">
        <f t="shared" si="143"/>
        <v>1</v>
      </c>
      <c r="AF344">
        <f>step3_validation[[#This Row],[AI_FAC2]]</f>
        <v>8</v>
      </c>
      <c r="AG344" t="str">
        <f t="shared" si="144"/>
        <v>Support</v>
      </c>
      <c r="AH344">
        <f>survey_responses[[#This Row],[So với trước đây, tôi thấy cách tính thuế và các bậc thuế trong phương án mới đơn giản, dễ hiểu và dễ thực hiện hơn. - HUMAN-FAC2]]</f>
        <v>7</v>
      </c>
      <c r="AI344" t="str">
        <f t="shared" si="145"/>
        <v>Neutral</v>
      </c>
      <c r="AJ344" s="31">
        <f t="shared" si="146"/>
        <v>1</v>
      </c>
      <c r="AK344">
        <f>step3_validation[[#This Row],[AI_TRU1]]</f>
        <v>9</v>
      </c>
      <c r="AL344" t="str">
        <f t="shared" si="147"/>
        <v>Support</v>
      </c>
      <c r="AM344">
        <f>survey_responses[[#This Row],[Tôi tin rằng Nhà nước, cơ quan thuế sẽ thực thi chính sách mới một cách khách quan, công tâm và đối xử bình đẳng với mọi người nộp thuế.  - HUMAN-TRU1]]</f>
        <v>8</v>
      </c>
      <c r="AN344" t="str">
        <f t="shared" si="148"/>
        <v>Support</v>
      </c>
      <c r="AO344" s="31">
        <f t="shared" si="149"/>
        <v>1</v>
      </c>
      <c r="AP344">
        <f>step3_validation[[#This Row],[AI_TRU2]]</f>
        <v>8</v>
      </c>
      <c r="AQ344" t="str">
        <f t="shared" si="150"/>
        <v>Support</v>
      </c>
      <c r="AR344">
        <f>survey_responses[[#This Row],[Tôi thấy mức thuế tôi phải đóng theo phương án mới là công bằng (người thu nhập như tôi đóng mức này là hợp lý). - HUMAN-TRU2]]</f>
        <v>8</v>
      </c>
      <c r="AS344" t="str">
        <f t="shared" si="151"/>
        <v>Support</v>
      </c>
      <c r="AT344" s="31">
        <f t="shared" si="152"/>
        <v>0</v>
      </c>
      <c r="AU344">
        <f>step3_validation[[#This Row],[AI_TRU3]]</f>
        <v>9</v>
      </c>
      <c r="AV344" t="str">
        <f t="shared" si="153"/>
        <v>Support</v>
      </c>
      <c r="AW344">
        <f>survey_responses[[#This Row],[Tôi tin tưởng số tiền thuế tôi đóng sẽ được Nhà nước sử dụng hiệu quả để cải thiện dịch vụ công (y tế, đường xá...). - HUMAN-TRU3]]</f>
        <v>8</v>
      </c>
      <c r="AX344" t="str">
        <f t="shared" si="154"/>
        <v>Support</v>
      </c>
      <c r="AY344" s="31">
        <f t="shared" si="155"/>
        <v>1</v>
      </c>
      <c r="AZ344">
        <f>step3_validation[[#This Row],[AI_TRU4]]</f>
        <v>8</v>
      </c>
      <c r="BA344" t="str">
        <f t="shared" si="156"/>
        <v>Support</v>
      </c>
      <c r="BB344">
        <f>survey_responses[[#This Row],[Tôi thấy Nhà nước đã giải thích rõ ràng, minh bạch về lý do và mục tiêu của việc sửa đổi thuế lần này. - HUMAN-TRU4]]</f>
        <v>7</v>
      </c>
      <c r="BC344" t="str">
        <f t="shared" si="157"/>
        <v>Neutral</v>
      </c>
      <c r="BD344" s="31">
        <f t="shared" si="158"/>
        <v>1</v>
      </c>
      <c r="BE344">
        <f>step3_validation[[#This Row],[AI_OUT1]]</f>
        <v>9</v>
      </c>
      <c r="BF344" t="str">
        <f t="shared" si="159"/>
        <v>Support</v>
      </c>
      <c r="BG344">
        <f>survey_responses[[#This Row],[Sau khi xem xét các quyền lợi và nghĩa vụ, bạn có ủng hộ và tuân thủ chính sách mới hiện nay? - HUMAN-OUT1]]</f>
        <v>8</v>
      </c>
      <c r="BH344" t="str">
        <f t="shared" si="160"/>
        <v>Support</v>
      </c>
      <c r="BI344" s="31">
        <f t="shared" si="161"/>
        <v>1</v>
      </c>
    </row>
    <row r="345" spans="1:61" hidden="1" x14ac:dyDescent="0.45">
      <c r="A345" s="29">
        <f>step3_validation[[#This Row],[Persona_ID]]</f>
        <v>344</v>
      </c>
      <c r="B345" s="30">
        <f>step3_validation[[#This Row],[Used_Seed]]</f>
        <v>385</v>
      </c>
      <c r="C345" t="str">
        <f>step3_validation[[#This Row],[Gender]]</f>
        <v>Nam</v>
      </c>
      <c r="D345" t="str">
        <f>survey_responses[[#This Row],[Giới tính của bạn:]]</f>
        <v>Nam</v>
      </c>
      <c r="E345" t="str">
        <f>step3_validation[[#This Row],[Age_Group]]</f>
        <v>30 - 39</v>
      </c>
      <c r="F345" t="str">
        <f>survey_responses[[#This Row],[Độ tuổi của bạn:]]</f>
        <v>30 - 39</v>
      </c>
      <c r="G345" t="str">
        <f>step3_validation[[#This Row],[Region]]</f>
        <v>Thành thị</v>
      </c>
      <c r="H345" t="str">
        <f>survey_responses[[#This Row],[Khu vực bạn đang sinh sống:]]</f>
        <v>Thành thị</v>
      </c>
      <c r="I345" t="str">
        <f>step3_validation[[#This Row],[Education]]</f>
        <v>Sau Đại học</v>
      </c>
      <c r="J345" t="str">
        <f>survey_responses[[#This Row],[Trình độ học vấn cao nhất:]]</f>
        <v>Sau Đại học</v>
      </c>
      <c r="K345" t="str">
        <f>step3_validation[[#This Row],[Employment]]</f>
        <v>Chính thức</v>
      </c>
      <c r="L345" t="str">
        <f>survey_responses[[#This Row],[Tình trạng việc làm chính:]]</f>
        <v>Khu vực chính thức (Có Hợp đồng lao động, đóng BHXH)</v>
      </c>
      <c r="M345">
        <f>step3_validation[[#This Row],[Income_Mil]]</f>
        <v>68.446766351546984</v>
      </c>
      <c r="N345" t="str">
        <f>survey_responses[[#This Row],[Thu nhập bình quân tháng theo Hợp đồng lao động của bạn là bao nhiêu? (Vui lòng điền tổng thu nhập trước khi khấu trừ các loại Bảo hiểm (BHXH, BHYT, BHTN) và Thuế TNCN)]]</f>
        <v>Từ 48 - 70 triệu VNĐ</v>
      </c>
      <c r="O345">
        <f>step3_validation[[#This Row],[Dependents]]</f>
        <v>2</v>
      </c>
      <c r="P345" t="str">
        <f>survey_responses[[#This Row],[Số người phụ thuộc (con nhỏ, cha mẹ già...) đủ điều kiện giảm trừ gia cảnh:]]</f>
        <v>2 người</v>
      </c>
      <c r="Q345">
        <f>step3_validation[[#This Row],[AI_ENF1]]</f>
        <v>9</v>
      </c>
      <c r="R345" t="str">
        <f t="shared" si="135"/>
        <v>Support</v>
      </c>
      <c r="S345">
        <f>survey_responses[[#This Row],[Tôi tin rằng với các quy định quản lý thuế hiện nay, hành vi gian lận hoặc trốn thuế sẽ dễ dàng bị phát hiện và xử lý nghiêm. - HUMAN-ENF1]]</f>
        <v>7</v>
      </c>
      <c r="T345" t="str">
        <f t="shared" si="136"/>
        <v>Neutral</v>
      </c>
      <c r="U345" s="31">
        <f t="shared" si="137"/>
        <v>2</v>
      </c>
      <c r="V345">
        <f>step3_validation[[#This Row],[AI_ENF2]]</f>
        <v>9</v>
      </c>
      <c r="W345" t="str">
        <f t="shared" si="138"/>
        <v>Support</v>
      </c>
      <c r="X345">
        <f>survey_responses[[#This Row],[Tôi tin rằng Nhà nước, cơ quan thuế có đủ khả năng và công nghệ để phát hiện, xử lý nghiêm các hành vi trốn thuế. - HUMAN-ENF2]]</f>
        <v>7</v>
      </c>
      <c r="Y345" t="str">
        <f t="shared" si="139"/>
        <v>Neutral</v>
      </c>
      <c r="Z345" s="31">
        <f t="shared" si="140"/>
        <v>2</v>
      </c>
      <c r="AA345">
        <f>step3_validation[[#This Row],[AI_FAC1]]</f>
        <v>8</v>
      </c>
      <c r="AB345" t="str">
        <f t="shared" si="141"/>
        <v>Support</v>
      </c>
      <c r="AC345">
        <f>survey_responses[[#This Row],[Các thủ tục khai báo thuế VÀ/HOẶC quy trình làm việc với cơ quan thuế đơn giản, tiện lợi, nhanh chóng hơn so với trước đây. - HUMAN-FAC1]]</f>
        <v>5</v>
      </c>
      <c r="AD345" t="str">
        <f t="shared" si="142"/>
        <v>Neutral</v>
      </c>
      <c r="AE345" s="31">
        <f t="shared" si="143"/>
        <v>3</v>
      </c>
      <c r="AF345">
        <f>step3_validation[[#This Row],[AI_FAC2]]</f>
        <v>9</v>
      </c>
      <c r="AG345" t="str">
        <f t="shared" si="144"/>
        <v>Support</v>
      </c>
      <c r="AH345">
        <f>survey_responses[[#This Row],[So với trước đây, tôi thấy cách tính thuế và các bậc thuế trong phương án mới đơn giản, dễ hiểu và dễ thực hiện hơn. - HUMAN-FAC2]]</f>
        <v>8</v>
      </c>
      <c r="AI345" t="str">
        <f t="shared" si="145"/>
        <v>Support</v>
      </c>
      <c r="AJ345" s="31">
        <f t="shared" si="146"/>
        <v>1</v>
      </c>
      <c r="AK345">
        <f>step3_validation[[#This Row],[AI_TRU1]]</f>
        <v>8</v>
      </c>
      <c r="AL345" t="str">
        <f t="shared" si="147"/>
        <v>Support</v>
      </c>
      <c r="AM345">
        <f>survey_responses[[#This Row],[Tôi tin rằng Nhà nước, cơ quan thuế sẽ thực thi chính sách mới một cách khách quan, công tâm và đối xử bình đẳng với mọi người nộp thuế.  - HUMAN-TRU1]]</f>
        <v>6</v>
      </c>
      <c r="AN345" t="str">
        <f t="shared" si="148"/>
        <v>Neutral</v>
      </c>
      <c r="AO345" s="31">
        <f t="shared" si="149"/>
        <v>2</v>
      </c>
      <c r="AP345">
        <f>step3_validation[[#This Row],[AI_TRU2]]</f>
        <v>9</v>
      </c>
      <c r="AQ345" t="str">
        <f t="shared" si="150"/>
        <v>Support</v>
      </c>
      <c r="AR345">
        <f>survey_responses[[#This Row],[Tôi thấy mức thuế tôi phải đóng theo phương án mới là công bằng (người thu nhập như tôi đóng mức này là hợp lý). - HUMAN-TRU2]]</f>
        <v>5</v>
      </c>
      <c r="AS345" t="str">
        <f t="shared" si="151"/>
        <v>Neutral</v>
      </c>
      <c r="AT345" s="31">
        <f t="shared" si="152"/>
        <v>4</v>
      </c>
      <c r="AU345">
        <f>step3_validation[[#This Row],[AI_TRU3]]</f>
        <v>8</v>
      </c>
      <c r="AV345" t="str">
        <f t="shared" si="153"/>
        <v>Support</v>
      </c>
      <c r="AW345">
        <f>survey_responses[[#This Row],[Tôi tin tưởng số tiền thuế tôi đóng sẽ được Nhà nước sử dụng hiệu quả để cải thiện dịch vụ công (y tế, đường xá...). - HUMAN-TRU3]]</f>
        <v>5</v>
      </c>
      <c r="AX345" t="str">
        <f t="shared" si="154"/>
        <v>Neutral</v>
      </c>
      <c r="AY345" s="31">
        <f t="shared" si="155"/>
        <v>3</v>
      </c>
      <c r="AZ345">
        <f>step3_validation[[#This Row],[AI_TRU4]]</f>
        <v>9</v>
      </c>
      <c r="BA345" t="str">
        <f t="shared" si="156"/>
        <v>Support</v>
      </c>
      <c r="BB345">
        <f>survey_responses[[#This Row],[Tôi thấy Nhà nước đã giải thích rõ ràng, minh bạch về lý do và mục tiêu của việc sửa đổi thuế lần này. - HUMAN-TRU4]]</f>
        <v>6</v>
      </c>
      <c r="BC345" t="str">
        <f t="shared" si="157"/>
        <v>Neutral</v>
      </c>
      <c r="BD345" s="31">
        <f t="shared" si="158"/>
        <v>3</v>
      </c>
      <c r="BE345">
        <f>step3_validation[[#This Row],[AI_OUT1]]</f>
        <v>8</v>
      </c>
      <c r="BF345" t="str">
        <f t="shared" si="159"/>
        <v>Support</v>
      </c>
      <c r="BG345">
        <f>survey_responses[[#This Row],[Sau khi xem xét các quyền lợi và nghĩa vụ, bạn có ủng hộ và tuân thủ chính sách mới hiện nay? - HUMAN-OUT1]]</f>
        <v>5</v>
      </c>
      <c r="BH345" t="str">
        <f t="shared" si="160"/>
        <v>Neutral</v>
      </c>
      <c r="BI345" s="31">
        <f t="shared" si="161"/>
        <v>3</v>
      </c>
    </row>
    <row r="346" spans="1:61" hidden="1" x14ac:dyDescent="0.45">
      <c r="A346" s="29">
        <f>step3_validation[[#This Row],[Persona_ID]]</f>
        <v>345</v>
      </c>
      <c r="B346" s="30">
        <f>step3_validation[[#This Row],[Used_Seed]]</f>
        <v>386</v>
      </c>
      <c r="C346" t="str">
        <f>step3_validation[[#This Row],[Gender]]</f>
        <v>Nữ</v>
      </c>
      <c r="D346" t="str">
        <f>survey_responses[[#This Row],[Giới tính của bạn:]]</f>
        <v>Nữ</v>
      </c>
      <c r="E346" t="str">
        <f>step3_validation[[#This Row],[Age_Group]]</f>
        <v>25 - 29</v>
      </c>
      <c r="F346" t="str">
        <f>survey_responses[[#This Row],[Độ tuổi của bạn:]]</f>
        <v>25 - 29</v>
      </c>
      <c r="G346" t="str">
        <f>step3_validation[[#This Row],[Region]]</f>
        <v>Thành thị</v>
      </c>
      <c r="H346" t="str">
        <f>survey_responses[[#This Row],[Khu vực bạn đang sinh sống:]]</f>
        <v>Thành thị</v>
      </c>
      <c r="I346" t="str">
        <f>step3_validation[[#This Row],[Education]]</f>
        <v>Đại học</v>
      </c>
      <c r="J346" t="str">
        <f>survey_responses[[#This Row],[Trình độ học vấn cao nhất:]]</f>
        <v>Đại học</v>
      </c>
      <c r="K346" t="str">
        <f>step3_validation[[#This Row],[Employment]]</f>
        <v>Chính thức</v>
      </c>
      <c r="L346" t="str">
        <f>survey_responses[[#This Row],[Tình trạng việc làm chính:]]</f>
        <v>Khu vực chính thức (Có Hợp đồng lao động, đóng BHXH)</v>
      </c>
      <c r="M346">
        <f>step3_validation[[#This Row],[Income_Mil]]</f>
        <v>14.742170915188529</v>
      </c>
      <c r="N346" t="str">
        <f>survey_responses[[#This Row],[Thu nhập bình quân tháng theo Hợp đồng lao động của bạn là bao nhiêu? (Vui lòng điền tổng thu nhập trước khi khấu trừ các loại Bảo hiểm (BHXH, BHYT, BHTN) và Thuế TNCN)]]</f>
        <v>Từ 12 - 18 triệu VNĐ</v>
      </c>
      <c r="O346">
        <f>step3_validation[[#This Row],[Dependents]]</f>
        <v>0</v>
      </c>
      <c r="P346" t="str">
        <f>survey_responses[[#This Row],[Số người phụ thuộc (con nhỏ, cha mẹ già...) đủ điều kiện giảm trừ gia cảnh:]]</f>
        <v>0 người</v>
      </c>
      <c r="Q346">
        <f>step3_validation[[#This Row],[AI_ENF1]]</f>
        <v>6</v>
      </c>
      <c r="R346" t="str">
        <f t="shared" si="135"/>
        <v>Neutral</v>
      </c>
      <c r="S346">
        <f>survey_responses[[#This Row],[Tôi tin rằng với các quy định quản lý thuế hiện nay, hành vi gian lận hoặc trốn thuế sẽ dễ dàng bị phát hiện và xử lý nghiêm. - HUMAN-ENF1]]</f>
        <v>7</v>
      </c>
      <c r="T346" t="str">
        <f t="shared" si="136"/>
        <v>Neutral</v>
      </c>
      <c r="U346" s="31">
        <f t="shared" si="137"/>
        <v>1</v>
      </c>
      <c r="V346">
        <f>step3_validation[[#This Row],[AI_ENF2]]</f>
        <v>7</v>
      </c>
      <c r="W346" t="str">
        <f t="shared" si="138"/>
        <v>Neutral</v>
      </c>
      <c r="X346">
        <f>survey_responses[[#This Row],[Tôi tin rằng Nhà nước, cơ quan thuế có đủ khả năng và công nghệ để phát hiện, xử lý nghiêm các hành vi trốn thuế. - HUMAN-ENF2]]</f>
        <v>7</v>
      </c>
      <c r="Y346" t="str">
        <f t="shared" si="139"/>
        <v>Neutral</v>
      </c>
      <c r="Z346" s="31">
        <f t="shared" si="140"/>
        <v>0</v>
      </c>
      <c r="AA346">
        <f>step3_validation[[#This Row],[AI_FAC1]]</f>
        <v>9</v>
      </c>
      <c r="AB346" t="str">
        <f t="shared" si="141"/>
        <v>Support</v>
      </c>
      <c r="AC346">
        <f>survey_responses[[#This Row],[Các thủ tục khai báo thuế VÀ/HOẶC quy trình làm việc với cơ quan thuế đơn giản, tiện lợi, nhanh chóng hơn so với trước đây. - HUMAN-FAC1]]</f>
        <v>5</v>
      </c>
      <c r="AD346" t="str">
        <f t="shared" si="142"/>
        <v>Neutral</v>
      </c>
      <c r="AE346" s="31">
        <f t="shared" si="143"/>
        <v>4</v>
      </c>
      <c r="AF346">
        <f>step3_validation[[#This Row],[AI_FAC2]]</f>
        <v>9</v>
      </c>
      <c r="AG346" t="str">
        <f t="shared" si="144"/>
        <v>Support</v>
      </c>
      <c r="AH346">
        <f>survey_responses[[#This Row],[So với trước đây, tôi thấy cách tính thuế và các bậc thuế trong phương án mới đơn giản, dễ hiểu và dễ thực hiện hơn. - HUMAN-FAC2]]</f>
        <v>8</v>
      </c>
      <c r="AI346" t="str">
        <f t="shared" si="145"/>
        <v>Support</v>
      </c>
      <c r="AJ346" s="31">
        <f t="shared" si="146"/>
        <v>1</v>
      </c>
      <c r="AK346">
        <f>step3_validation[[#This Row],[AI_TRU1]]</f>
        <v>7</v>
      </c>
      <c r="AL346" t="str">
        <f t="shared" si="147"/>
        <v>Neutral</v>
      </c>
      <c r="AM346">
        <f>survey_responses[[#This Row],[Tôi tin rằng Nhà nước, cơ quan thuế sẽ thực thi chính sách mới một cách khách quan, công tâm và đối xử bình đẳng với mọi người nộp thuế.  - HUMAN-TRU1]]</f>
        <v>7</v>
      </c>
      <c r="AN346" t="str">
        <f t="shared" si="148"/>
        <v>Neutral</v>
      </c>
      <c r="AO346" s="31">
        <f t="shared" si="149"/>
        <v>0</v>
      </c>
      <c r="AP346">
        <f>step3_validation[[#This Row],[AI_TRU2]]</f>
        <v>9</v>
      </c>
      <c r="AQ346" t="str">
        <f t="shared" si="150"/>
        <v>Support</v>
      </c>
      <c r="AR346">
        <f>survey_responses[[#This Row],[Tôi thấy mức thuế tôi phải đóng theo phương án mới là công bằng (người thu nhập như tôi đóng mức này là hợp lý). - HUMAN-TRU2]]</f>
        <v>7</v>
      </c>
      <c r="AS346" t="str">
        <f t="shared" si="151"/>
        <v>Neutral</v>
      </c>
      <c r="AT346" s="31">
        <f t="shared" si="152"/>
        <v>2</v>
      </c>
      <c r="AU346">
        <f>step3_validation[[#This Row],[AI_TRU3]]</f>
        <v>7</v>
      </c>
      <c r="AV346" t="str">
        <f t="shared" si="153"/>
        <v>Neutral</v>
      </c>
      <c r="AW346">
        <f>survey_responses[[#This Row],[Tôi tin tưởng số tiền thuế tôi đóng sẽ được Nhà nước sử dụng hiệu quả để cải thiện dịch vụ công (y tế, đường xá...). - HUMAN-TRU3]]</f>
        <v>6</v>
      </c>
      <c r="AX346" t="str">
        <f t="shared" si="154"/>
        <v>Neutral</v>
      </c>
      <c r="AY346" s="31">
        <f t="shared" si="155"/>
        <v>1</v>
      </c>
      <c r="AZ346">
        <f>step3_validation[[#This Row],[AI_TRU4]]</f>
        <v>8</v>
      </c>
      <c r="BA346" t="str">
        <f t="shared" si="156"/>
        <v>Support</v>
      </c>
      <c r="BB346">
        <f>survey_responses[[#This Row],[Tôi thấy Nhà nước đã giải thích rõ ràng, minh bạch về lý do và mục tiêu của việc sửa đổi thuế lần này. - HUMAN-TRU4]]</f>
        <v>7</v>
      </c>
      <c r="BC346" t="str">
        <f t="shared" si="157"/>
        <v>Neutral</v>
      </c>
      <c r="BD346" s="31">
        <f t="shared" si="158"/>
        <v>1</v>
      </c>
      <c r="BE346">
        <f>step3_validation[[#This Row],[AI_OUT1]]</f>
        <v>9</v>
      </c>
      <c r="BF346" t="str">
        <f t="shared" si="159"/>
        <v>Support</v>
      </c>
      <c r="BG346">
        <f>survey_responses[[#This Row],[Sau khi xem xét các quyền lợi và nghĩa vụ, bạn có ủng hộ và tuân thủ chính sách mới hiện nay? - HUMAN-OUT1]]</f>
        <v>7</v>
      </c>
      <c r="BH346" t="str">
        <f t="shared" si="160"/>
        <v>Neutral</v>
      </c>
      <c r="BI346" s="31">
        <f t="shared" si="161"/>
        <v>2</v>
      </c>
    </row>
    <row r="347" spans="1:61" hidden="1" x14ac:dyDescent="0.45">
      <c r="A347" s="29">
        <f>step3_validation[[#This Row],[Persona_ID]]</f>
        <v>346</v>
      </c>
      <c r="B347" s="30">
        <f>step3_validation[[#This Row],[Used_Seed]]</f>
        <v>387</v>
      </c>
      <c r="C347" t="str">
        <f>step3_validation[[#This Row],[Gender]]</f>
        <v>Nữ</v>
      </c>
      <c r="D347" t="str">
        <f>survey_responses[[#This Row],[Giới tính của bạn:]]</f>
        <v>Nữ</v>
      </c>
      <c r="E347" t="str">
        <f>step3_validation[[#This Row],[Age_Group]]</f>
        <v>30 - 39</v>
      </c>
      <c r="F347" t="str">
        <f>survey_responses[[#This Row],[Độ tuổi của bạn:]]</f>
        <v>30 - 39</v>
      </c>
      <c r="G347" t="str">
        <f>step3_validation[[#This Row],[Region]]</f>
        <v>Thành thị</v>
      </c>
      <c r="H347" t="str">
        <f>survey_responses[[#This Row],[Khu vực bạn đang sinh sống:]]</f>
        <v>Thành thị</v>
      </c>
      <c r="I347" t="str">
        <f>step3_validation[[#This Row],[Education]]</f>
        <v>Đại học</v>
      </c>
      <c r="J347" t="str">
        <f>survey_responses[[#This Row],[Trình độ học vấn cao nhất:]]</f>
        <v>Đại học</v>
      </c>
      <c r="K347" t="str">
        <f>step3_validation[[#This Row],[Employment]]</f>
        <v>Chính thức</v>
      </c>
      <c r="L347" t="str">
        <f>survey_responses[[#This Row],[Tình trạng việc làm chính:]]</f>
        <v>Khu vực chính thức (Có Hợp đồng lao động, đóng BHXH)</v>
      </c>
      <c r="M347">
        <f>step3_validation[[#This Row],[Income_Mil]]</f>
        <v>30.473814925475196</v>
      </c>
      <c r="N347" t="str">
        <f>survey_responses[[#This Row],[Thu nhập bình quân tháng theo Hợp đồng lao động của bạn là bao nhiêu? (Vui lòng điền tổng thu nhập trước khi khấu trừ các loại Bảo hiểm (BHXH, BHYT, BHTN) và Thuế TNCN)]]</f>
        <v>Từ 23 - 32 triệu VNĐ</v>
      </c>
      <c r="O347">
        <f>step3_validation[[#This Row],[Dependents]]</f>
        <v>1</v>
      </c>
      <c r="P347" t="str">
        <f>survey_responses[[#This Row],[Số người phụ thuộc (con nhỏ, cha mẹ già...) đủ điều kiện giảm trừ gia cảnh:]]</f>
        <v>1 người</v>
      </c>
      <c r="Q347">
        <f>step3_validation[[#This Row],[AI_ENF1]]</f>
        <v>5</v>
      </c>
      <c r="R347" t="str">
        <f t="shared" si="135"/>
        <v>Neutral</v>
      </c>
      <c r="S347">
        <f>survey_responses[[#This Row],[Tôi tin rằng với các quy định quản lý thuế hiện nay, hành vi gian lận hoặc trốn thuế sẽ dễ dàng bị phát hiện và xử lý nghiêm. - HUMAN-ENF1]]</f>
        <v>9</v>
      </c>
      <c r="T347" t="str">
        <f t="shared" si="136"/>
        <v>Support</v>
      </c>
      <c r="U347" s="31">
        <f t="shared" si="137"/>
        <v>4</v>
      </c>
      <c r="V347">
        <f>step3_validation[[#This Row],[AI_ENF2]]</f>
        <v>6</v>
      </c>
      <c r="W347" t="str">
        <f t="shared" si="138"/>
        <v>Neutral</v>
      </c>
      <c r="X347">
        <f>survey_responses[[#This Row],[Tôi tin rằng Nhà nước, cơ quan thuế có đủ khả năng và công nghệ để phát hiện, xử lý nghiêm các hành vi trốn thuế. - HUMAN-ENF2]]</f>
        <v>8</v>
      </c>
      <c r="Y347" t="str">
        <f t="shared" si="139"/>
        <v>Support</v>
      </c>
      <c r="Z347" s="31">
        <f t="shared" si="140"/>
        <v>2</v>
      </c>
      <c r="AA347">
        <f>step3_validation[[#This Row],[AI_FAC1]]</f>
        <v>8</v>
      </c>
      <c r="AB347" t="str">
        <f t="shared" si="141"/>
        <v>Support</v>
      </c>
      <c r="AC347">
        <f>survey_responses[[#This Row],[Các thủ tục khai báo thuế VÀ/HOẶC quy trình làm việc với cơ quan thuế đơn giản, tiện lợi, nhanh chóng hơn so với trước đây. - HUMAN-FAC1]]</f>
        <v>8</v>
      </c>
      <c r="AD347" t="str">
        <f t="shared" si="142"/>
        <v>Support</v>
      </c>
      <c r="AE347" s="31">
        <f t="shared" si="143"/>
        <v>0</v>
      </c>
      <c r="AF347">
        <f>step3_validation[[#This Row],[AI_FAC2]]</f>
        <v>9</v>
      </c>
      <c r="AG347" t="str">
        <f t="shared" si="144"/>
        <v>Support</v>
      </c>
      <c r="AH347">
        <f>survey_responses[[#This Row],[So với trước đây, tôi thấy cách tính thuế và các bậc thuế trong phương án mới đơn giản, dễ hiểu và dễ thực hiện hơn. - HUMAN-FAC2]]</f>
        <v>9</v>
      </c>
      <c r="AI347" t="str">
        <f t="shared" si="145"/>
        <v>Support</v>
      </c>
      <c r="AJ347" s="31">
        <f t="shared" si="146"/>
        <v>0</v>
      </c>
      <c r="AK347">
        <f>step3_validation[[#This Row],[AI_TRU1]]</f>
        <v>7</v>
      </c>
      <c r="AL347" t="str">
        <f t="shared" si="147"/>
        <v>Neutral</v>
      </c>
      <c r="AM347">
        <f>survey_responses[[#This Row],[Tôi tin rằng Nhà nước, cơ quan thuế sẽ thực thi chính sách mới một cách khách quan, công tâm và đối xử bình đẳng với mọi người nộp thuế.  - HUMAN-TRU1]]</f>
        <v>7</v>
      </c>
      <c r="AN347" t="str">
        <f t="shared" si="148"/>
        <v>Neutral</v>
      </c>
      <c r="AO347" s="31">
        <f t="shared" si="149"/>
        <v>0</v>
      </c>
      <c r="AP347">
        <f>step3_validation[[#This Row],[AI_TRU2]]</f>
        <v>8</v>
      </c>
      <c r="AQ347" t="str">
        <f t="shared" si="150"/>
        <v>Support</v>
      </c>
      <c r="AR347">
        <f>survey_responses[[#This Row],[Tôi thấy mức thuế tôi phải đóng theo phương án mới là công bằng (người thu nhập như tôi đóng mức này là hợp lý). - HUMAN-TRU2]]</f>
        <v>8</v>
      </c>
      <c r="AS347" t="str">
        <f t="shared" si="151"/>
        <v>Support</v>
      </c>
      <c r="AT347" s="31">
        <f t="shared" si="152"/>
        <v>0</v>
      </c>
      <c r="AU347">
        <f>step3_validation[[#This Row],[AI_TRU3]]</f>
        <v>6</v>
      </c>
      <c r="AV347" t="str">
        <f t="shared" si="153"/>
        <v>Neutral</v>
      </c>
      <c r="AW347">
        <f>survey_responses[[#This Row],[Tôi tin tưởng số tiền thuế tôi đóng sẽ được Nhà nước sử dụng hiệu quả để cải thiện dịch vụ công (y tế, đường xá...). - HUMAN-TRU3]]</f>
        <v>7</v>
      </c>
      <c r="AX347" t="str">
        <f t="shared" si="154"/>
        <v>Neutral</v>
      </c>
      <c r="AY347" s="31">
        <f t="shared" si="155"/>
        <v>1</v>
      </c>
      <c r="AZ347">
        <f>step3_validation[[#This Row],[AI_TRU4]]</f>
        <v>5</v>
      </c>
      <c r="BA347" t="str">
        <f t="shared" si="156"/>
        <v>Neutral</v>
      </c>
      <c r="BB347">
        <f>survey_responses[[#This Row],[Tôi thấy Nhà nước đã giải thích rõ ràng, minh bạch về lý do và mục tiêu của việc sửa đổi thuế lần này. - HUMAN-TRU4]]</f>
        <v>7</v>
      </c>
      <c r="BC347" t="str">
        <f t="shared" si="157"/>
        <v>Neutral</v>
      </c>
      <c r="BD347" s="31">
        <f t="shared" si="158"/>
        <v>2</v>
      </c>
      <c r="BE347">
        <f>step3_validation[[#This Row],[AI_OUT1]]</f>
        <v>7</v>
      </c>
      <c r="BF347" t="str">
        <f t="shared" si="159"/>
        <v>Neutral</v>
      </c>
      <c r="BG347">
        <f>survey_responses[[#This Row],[Sau khi xem xét các quyền lợi và nghĩa vụ, bạn có ủng hộ và tuân thủ chính sách mới hiện nay? - HUMAN-OUT1]]</f>
        <v>8</v>
      </c>
      <c r="BH347" t="str">
        <f t="shared" si="160"/>
        <v>Support</v>
      </c>
      <c r="BI347" s="31">
        <f t="shared" si="161"/>
        <v>1</v>
      </c>
    </row>
    <row r="348" spans="1:61" hidden="1" x14ac:dyDescent="0.45">
      <c r="A348" s="29">
        <f>step3_validation[[#This Row],[Persona_ID]]</f>
        <v>347</v>
      </c>
      <c r="B348" s="30">
        <f>step3_validation[[#This Row],[Used_Seed]]</f>
        <v>388</v>
      </c>
      <c r="C348" t="str">
        <f>step3_validation[[#This Row],[Gender]]</f>
        <v>Nữ</v>
      </c>
      <c r="D348" t="str">
        <f>survey_responses[[#This Row],[Giới tính của bạn:]]</f>
        <v>Nữ</v>
      </c>
      <c r="E348" t="str">
        <f>step3_validation[[#This Row],[Age_Group]]</f>
        <v>25 - 29</v>
      </c>
      <c r="F348" t="str">
        <f>survey_responses[[#This Row],[Độ tuổi của bạn:]]</f>
        <v>25 - 29</v>
      </c>
      <c r="G348" t="str">
        <f>step3_validation[[#This Row],[Region]]</f>
        <v>Thành thị</v>
      </c>
      <c r="H348" t="str">
        <f>survey_responses[[#This Row],[Khu vực bạn đang sinh sống:]]</f>
        <v>Thành thị</v>
      </c>
      <c r="I348" t="str">
        <f>step3_validation[[#This Row],[Education]]</f>
        <v>Đại học</v>
      </c>
      <c r="J348" t="str">
        <f>survey_responses[[#This Row],[Trình độ học vấn cao nhất:]]</f>
        <v>Đại học</v>
      </c>
      <c r="K348" t="str">
        <f>step3_validation[[#This Row],[Employment]]</f>
        <v>Chính thức</v>
      </c>
      <c r="L348" t="str">
        <f>survey_responses[[#This Row],[Tình trạng việc làm chính:]]</f>
        <v>Khu vực chính thức (Có Hợp đồng lao động, đóng BHXH)</v>
      </c>
      <c r="M348">
        <f>step3_validation[[#This Row],[Income_Mil]]</f>
        <v>19.324542032528335</v>
      </c>
      <c r="N348" t="str">
        <f>survey_responses[[#This Row],[Thu nhập bình quân tháng theo Hợp đồng lao động của bạn là bao nhiêu? (Vui lòng điền tổng thu nhập trước khi khấu trừ các loại Bảo hiểm (BHXH, BHYT, BHTN) và Thuế TNCN)]]</f>
        <v>Từ 18 - 23 triệu VNĐ</v>
      </c>
      <c r="O348">
        <f>step3_validation[[#This Row],[Dependents]]</f>
        <v>0</v>
      </c>
      <c r="P348" t="str">
        <f>survey_responses[[#This Row],[Số người phụ thuộc (con nhỏ, cha mẹ già...) đủ điều kiện giảm trừ gia cảnh:]]</f>
        <v>0 người</v>
      </c>
      <c r="Q348">
        <f>step3_validation[[#This Row],[AI_ENF1]]</f>
        <v>8</v>
      </c>
      <c r="R348" t="str">
        <f t="shared" si="135"/>
        <v>Support</v>
      </c>
      <c r="S348">
        <f>survey_responses[[#This Row],[Tôi tin rằng với các quy định quản lý thuế hiện nay, hành vi gian lận hoặc trốn thuế sẽ dễ dàng bị phát hiện và xử lý nghiêm. - HUMAN-ENF1]]</f>
        <v>8</v>
      </c>
      <c r="T348" t="str">
        <f t="shared" si="136"/>
        <v>Support</v>
      </c>
      <c r="U348" s="31">
        <f t="shared" si="137"/>
        <v>0</v>
      </c>
      <c r="V348">
        <f>step3_validation[[#This Row],[AI_ENF2]]</f>
        <v>9</v>
      </c>
      <c r="W348" t="str">
        <f t="shared" si="138"/>
        <v>Support</v>
      </c>
      <c r="X348">
        <f>survey_responses[[#This Row],[Tôi tin rằng Nhà nước, cơ quan thuế có đủ khả năng và công nghệ để phát hiện, xử lý nghiêm các hành vi trốn thuế. - HUMAN-ENF2]]</f>
        <v>8</v>
      </c>
      <c r="Y348" t="str">
        <f t="shared" si="139"/>
        <v>Support</v>
      </c>
      <c r="Z348" s="31">
        <f t="shared" si="140"/>
        <v>1</v>
      </c>
      <c r="AA348">
        <f>step3_validation[[#This Row],[AI_FAC1]]</f>
        <v>8</v>
      </c>
      <c r="AB348" t="str">
        <f t="shared" si="141"/>
        <v>Support</v>
      </c>
      <c r="AC348">
        <f>survey_responses[[#This Row],[Các thủ tục khai báo thuế VÀ/HOẶC quy trình làm việc với cơ quan thuế đơn giản, tiện lợi, nhanh chóng hơn so với trước đây. - HUMAN-FAC1]]</f>
        <v>7</v>
      </c>
      <c r="AD348" t="str">
        <f t="shared" si="142"/>
        <v>Neutral</v>
      </c>
      <c r="AE348" s="31">
        <f t="shared" si="143"/>
        <v>1</v>
      </c>
      <c r="AF348">
        <f>step3_validation[[#This Row],[AI_FAC2]]</f>
        <v>7</v>
      </c>
      <c r="AG348" t="str">
        <f t="shared" si="144"/>
        <v>Neutral</v>
      </c>
      <c r="AH348">
        <f>survey_responses[[#This Row],[So với trước đây, tôi thấy cách tính thuế và các bậc thuế trong phương án mới đơn giản, dễ hiểu và dễ thực hiện hơn. - HUMAN-FAC2]]</f>
        <v>8</v>
      </c>
      <c r="AI348" t="str">
        <f t="shared" si="145"/>
        <v>Support</v>
      </c>
      <c r="AJ348" s="31">
        <f t="shared" si="146"/>
        <v>1</v>
      </c>
      <c r="AK348">
        <f>step3_validation[[#This Row],[AI_TRU1]]</f>
        <v>9</v>
      </c>
      <c r="AL348" t="str">
        <f t="shared" si="147"/>
        <v>Support</v>
      </c>
      <c r="AM348">
        <f>survey_responses[[#This Row],[Tôi tin rằng Nhà nước, cơ quan thuế sẽ thực thi chính sách mới một cách khách quan, công tâm và đối xử bình đẳng với mọi người nộp thuế.  - HUMAN-TRU1]]</f>
        <v>6</v>
      </c>
      <c r="AN348" t="str">
        <f t="shared" si="148"/>
        <v>Neutral</v>
      </c>
      <c r="AO348" s="31">
        <f t="shared" si="149"/>
        <v>3</v>
      </c>
      <c r="AP348">
        <f>step3_validation[[#This Row],[AI_TRU2]]</f>
        <v>8</v>
      </c>
      <c r="AQ348" t="str">
        <f t="shared" si="150"/>
        <v>Support</v>
      </c>
      <c r="AR348">
        <f>survey_responses[[#This Row],[Tôi thấy mức thuế tôi phải đóng theo phương án mới là công bằng (người thu nhập như tôi đóng mức này là hợp lý). - HUMAN-TRU2]]</f>
        <v>8</v>
      </c>
      <c r="AS348" t="str">
        <f t="shared" si="151"/>
        <v>Support</v>
      </c>
      <c r="AT348" s="31">
        <f t="shared" si="152"/>
        <v>0</v>
      </c>
      <c r="AU348">
        <f>step3_validation[[#This Row],[AI_TRU3]]</f>
        <v>9</v>
      </c>
      <c r="AV348" t="str">
        <f t="shared" si="153"/>
        <v>Support</v>
      </c>
      <c r="AW348">
        <f>survey_responses[[#This Row],[Tôi tin tưởng số tiền thuế tôi đóng sẽ được Nhà nước sử dụng hiệu quả để cải thiện dịch vụ công (y tế, đường xá...). - HUMAN-TRU3]]</f>
        <v>6</v>
      </c>
      <c r="AX348" t="str">
        <f t="shared" si="154"/>
        <v>Neutral</v>
      </c>
      <c r="AY348" s="31">
        <f t="shared" si="155"/>
        <v>3</v>
      </c>
      <c r="AZ348">
        <f>step3_validation[[#This Row],[AI_TRU4]]</f>
        <v>7</v>
      </c>
      <c r="BA348" t="str">
        <f t="shared" si="156"/>
        <v>Neutral</v>
      </c>
      <c r="BB348">
        <f>survey_responses[[#This Row],[Tôi thấy Nhà nước đã giải thích rõ ràng, minh bạch về lý do và mục tiêu của việc sửa đổi thuế lần này. - HUMAN-TRU4]]</f>
        <v>6</v>
      </c>
      <c r="BC348" t="str">
        <f t="shared" si="157"/>
        <v>Neutral</v>
      </c>
      <c r="BD348" s="31">
        <f t="shared" si="158"/>
        <v>1</v>
      </c>
      <c r="BE348">
        <f>step3_validation[[#This Row],[AI_OUT1]]</f>
        <v>9</v>
      </c>
      <c r="BF348" t="str">
        <f t="shared" si="159"/>
        <v>Support</v>
      </c>
      <c r="BG348">
        <f>survey_responses[[#This Row],[Sau khi xem xét các quyền lợi và nghĩa vụ, bạn có ủng hộ và tuân thủ chính sách mới hiện nay? - HUMAN-OUT1]]</f>
        <v>8</v>
      </c>
      <c r="BH348" t="str">
        <f t="shared" si="160"/>
        <v>Support</v>
      </c>
      <c r="BI348" s="31">
        <f t="shared" si="161"/>
        <v>1</v>
      </c>
    </row>
    <row r="349" spans="1:61" hidden="1" x14ac:dyDescent="0.45">
      <c r="A349" s="29">
        <f>step3_validation[[#This Row],[Persona_ID]]</f>
        <v>348</v>
      </c>
      <c r="B349" s="30">
        <f>step3_validation[[#This Row],[Used_Seed]]</f>
        <v>389</v>
      </c>
      <c r="C349" t="str">
        <f>step3_validation[[#This Row],[Gender]]</f>
        <v>Nữ</v>
      </c>
      <c r="D349" t="str">
        <f>survey_responses[[#This Row],[Giới tính của bạn:]]</f>
        <v>Nữ</v>
      </c>
      <c r="E349" t="str">
        <f>step3_validation[[#This Row],[Age_Group]]</f>
        <v>25 - 29</v>
      </c>
      <c r="F349" t="str">
        <f>survey_responses[[#This Row],[Độ tuổi của bạn:]]</f>
        <v>25 - 29</v>
      </c>
      <c r="G349" t="str">
        <f>step3_validation[[#This Row],[Region]]</f>
        <v>Thành thị</v>
      </c>
      <c r="H349" t="str">
        <f>survey_responses[[#This Row],[Khu vực bạn đang sinh sống:]]</f>
        <v>Thành thị</v>
      </c>
      <c r="I349" t="str">
        <f>step3_validation[[#This Row],[Education]]</f>
        <v>Đại học</v>
      </c>
      <c r="J349" t="str">
        <f>survey_responses[[#This Row],[Trình độ học vấn cao nhất:]]</f>
        <v>Đại học</v>
      </c>
      <c r="K349" t="str">
        <f>step3_validation[[#This Row],[Employment]]</f>
        <v>Chính thức</v>
      </c>
      <c r="L349" t="str">
        <f>survey_responses[[#This Row],[Tình trạng việc làm chính:]]</f>
        <v>Khu vực chính thức (Có Hợp đồng lao động, đóng BHXH)</v>
      </c>
      <c r="M349">
        <f>step3_validation[[#This Row],[Income_Mil]]</f>
        <v>21.332563164475857</v>
      </c>
      <c r="N349" t="str">
        <f>survey_responses[[#This Row],[Thu nhập bình quân tháng theo Hợp đồng lao động của bạn là bao nhiêu? (Vui lòng điền tổng thu nhập trước khi khấu trừ các loại Bảo hiểm (BHXH, BHYT, BHTN) và Thuế TNCN)]]</f>
        <v>Từ 18 - 23 triệu VNĐ</v>
      </c>
      <c r="O349">
        <f>step3_validation[[#This Row],[Dependents]]</f>
        <v>0</v>
      </c>
      <c r="P349" t="str">
        <f>survey_responses[[#This Row],[Số người phụ thuộc (con nhỏ, cha mẹ già...) đủ điều kiện giảm trừ gia cảnh:]]</f>
        <v>0 người</v>
      </c>
      <c r="Q349">
        <f>step3_validation[[#This Row],[AI_ENF1]]</f>
        <v>7</v>
      </c>
      <c r="R349" t="str">
        <f t="shared" si="135"/>
        <v>Neutral</v>
      </c>
      <c r="S349">
        <f>survey_responses[[#This Row],[Tôi tin rằng với các quy định quản lý thuế hiện nay, hành vi gian lận hoặc trốn thuế sẽ dễ dàng bị phát hiện và xử lý nghiêm. - HUMAN-ENF1]]</f>
        <v>8</v>
      </c>
      <c r="T349" t="str">
        <f t="shared" si="136"/>
        <v>Support</v>
      </c>
      <c r="U349" s="31">
        <f t="shared" si="137"/>
        <v>1</v>
      </c>
      <c r="V349">
        <f>step3_validation[[#This Row],[AI_ENF2]]</f>
        <v>6</v>
      </c>
      <c r="W349" t="str">
        <f t="shared" si="138"/>
        <v>Neutral</v>
      </c>
      <c r="X349">
        <f>survey_responses[[#This Row],[Tôi tin rằng Nhà nước, cơ quan thuế có đủ khả năng và công nghệ để phát hiện, xử lý nghiêm các hành vi trốn thuế. - HUMAN-ENF2]]</f>
        <v>8</v>
      </c>
      <c r="Y349" t="str">
        <f t="shared" si="139"/>
        <v>Support</v>
      </c>
      <c r="Z349" s="31">
        <f t="shared" si="140"/>
        <v>2</v>
      </c>
      <c r="AA349">
        <f>step3_validation[[#This Row],[AI_FAC1]]</f>
        <v>8</v>
      </c>
      <c r="AB349" t="str">
        <f t="shared" si="141"/>
        <v>Support</v>
      </c>
      <c r="AC349">
        <f>survey_responses[[#This Row],[Các thủ tục khai báo thuế VÀ/HOẶC quy trình làm việc với cơ quan thuế đơn giản, tiện lợi, nhanh chóng hơn so với trước đây. - HUMAN-FAC1]]</f>
        <v>7</v>
      </c>
      <c r="AD349" t="str">
        <f t="shared" si="142"/>
        <v>Neutral</v>
      </c>
      <c r="AE349" s="31">
        <f t="shared" si="143"/>
        <v>1</v>
      </c>
      <c r="AF349">
        <f>step3_validation[[#This Row],[AI_FAC2]]</f>
        <v>9</v>
      </c>
      <c r="AG349" t="str">
        <f t="shared" si="144"/>
        <v>Support</v>
      </c>
      <c r="AH349">
        <f>survey_responses[[#This Row],[So với trước đây, tôi thấy cách tính thuế và các bậc thuế trong phương án mới đơn giản, dễ hiểu và dễ thực hiện hơn. - HUMAN-FAC2]]</f>
        <v>7</v>
      </c>
      <c r="AI349" t="str">
        <f t="shared" si="145"/>
        <v>Neutral</v>
      </c>
      <c r="AJ349" s="31">
        <f t="shared" si="146"/>
        <v>2</v>
      </c>
      <c r="AK349">
        <f>step3_validation[[#This Row],[AI_TRU1]]</f>
        <v>8</v>
      </c>
      <c r="AL349" t="str">
        <f t="shared" si="147"/>
        <v>Support</v>
      </c>
      <c r="AM349">
        <f>survey_responses[[#This Row],[Tôi tin rằng Nhà nước, cơ quan thuế sẽ thực thi chính sách mới một cách khách quan, công tâm và đối xử bình đẳng với mọi người nộp thuế.  - HUMAN-TRU1]]</f>
        <v>6</v>
      </c>
      <c r="AN349" t="str">
        <f t="shared" si="148"/>
        <v>Neutral</v>
      </c>
      <c r="AO349" s="31">
        <f t="shared" si="149"/>
        <v>2</v>
      </c>
      <c r="AP349">
        <f>step3_validation[[#This Row],[AI_TRU2]]</f>
        <v>9</v>
      </c>
      <c r="AQ349" t="str">
        <f t="shared" si="150"/>
        <v>Support</v>
      </c>
      <c r="AR349">
        <f>survey_responses[[#This Row],[Tôi thấy mức thuế tôi phải đóng theo phương án mới là công bằng (người thu nhập như tôi đóng mức này là hợp lý). - HUMAN-TRU2]]</f>
        <v>7</v>
      </c>
      <c r="AS349" t="str">
        <f t="shared" si="151"/>
        <v>Neutral</v>
      </c>
      <c r="AT349" s="31">
        <f t="shared" si="152"/>
        <v>2</v>
      </c>
      <c r="AU349">
        <f>step3_validation[[#This Row],[AI_TRU3]]</f>
        <v>7</v>
      </c>
      <c r="AV349" t="str">
        <f t="shared" si="153"/>
        <v>Neutral</v>
      </c>
      <c r="AW349">
        <f>survey_responses[[#This Row],[Tôi tin tưởng số tiền thuế tôi đóng sẽ được Nhà nước sử dụng hiệu quả để cải thiện dịch vụ công (y tế, đường xá...). - HUMAN-TRU3]]</f>
        <v>6</v>
      </c>
      <c r="AX349" t="str">
        <f t="shared" si="154"/>
        <v>Neutral</v>
      </c>
      <c r="AY349" s="31">
        <f t="shared" si="155"/>
        <v>1</v>
      </c>
      <c r="AZ349">
        <f>step3_validation[[#This Row],[AI_TRU4]]</f>
        <v>8</v>
      </c>
      <c r="BA349" t="str">
        <f t="shared" si="156"/>
        <v>Support</v>
      </c>
      <c r="BB349">
        <f>survey_responses[[#This Row],[Tôi thấy Nhà nước đã giải thích rõ ràng, minh bạch về lý do và mục tiêu của việc sửa đổi thuế lần này. - HUMAN-TRU4]]</f>
        <v>6</v>
      </c>
      <c r="BC349" t="str">
        <f t="shared" si="157"/>
        <v>Neutral</v>
      </c>
      <c r="BD349" s="31">
        <f t="shared" si="158"/>
        <v>2</v>
      </c>
      <c r="BE349">
        <f>step3_validation[[#This Row],[AI_OUT1]]</f>
        <v>9</v>
      </c>
      <c r="BF349" t="str">
        <f t="shared" si="159"/>
        <v>Support</v>
      </c>
      <c r="BG349">
        <f>survey_responses[[#This Row],[Sau khi xem xét các quyền lợi và nghĩa vụ, bạn có ủng hộ và tuân thủ chính sách mới hiện nay? - HUMAN-OUT1]]</f>
        <v>7</v>
      </c>
      <c r="BH349" t="str">
        <f t="shared" si="160"/>
        <v>Neutral</v>
      </c>
      <c r="BI349" s="31">
        <f t="shared" si="161"/>
        <v>2</v>
      </c>
    </row>
    <row r="350" spans="1:61" hidden="1" x14ac:dyDescent="0.45">
      <c r="A350" s="29">
        <f>step3_validation[[#This Row],[Persona_ID]]</f>
        <v>349</v>
      </c>
      <c r="B350" s="30">
        <f>step3_validation[[#This Row],[Used_Seed]]</f>
        <v>390</v>
      </c>
      <c r="C350" t="str">
        <f>step3_validation[[#This Row],[Gender]]</f>
        <v>Nữ</v>
      </c>
      <c r="D350" t="str">
        <f>survey_responses[[#This Row],[Giới tính của bạn:]]</f>
        <v>Nữ</v>
      </c>
      <c r="E350" t="str">
        <f>step3_validation[[#This Row],[Age_Group]]</f>
        <v>25 - 29</v>
      </c>
      <c r="F350" t="str">
        <f>survey_responses[[#This Row],[Độ tuổi của bạn:]]</f>
        <v>25 - 29</v>
      </c>
      <c r="G350" t="str">
        <f>step3_validation[[#This Row],[Region]]</f>
        <v>Thành thị</v>
      </c>
      <c r="H350" t="str">
        <f>survey_responses[[#This Row],[Khu vực bạn đang sinh sống:]]</f>
        <v>Thành thị</v>
      </c>
      <c r="I350" t="str">
        <f>step3_validation[[#This Row],[Education]]</f>
        <v>Đại học</v>
      </c>
      <c r="J350" t="str">
        <f>survey_responses[[#This Row],[Trình độ học vấn cao nhất:]]</f>
        <v>Đại học</v>
      </c>
      <c r="K350" t="str">
        <f>step3_validation[[#This Row],[Employment]]</f>
        <v>Chính thức</v>
      </c>
      <c r="L350" t="str">
        <f>survey_responses[[#This Row],[Tình trạng việc làm chính:]]</f>
        <v>Khu vực chính thức (Có Hợp đồng lao động, đóng BHXH)</v>
      </c>
      <c r="M350">
        <f>step3_validation[[#This Row],[Income_Mil]]</f>
        <v>20.550255734505967</v>
      </c>
      <c r="N350" t="str">
        <f>survey_responses[[#This Row],[Thu nhập bình quân tháng theo Hợp đồng lao động của bạn là bao nhiêu? (Vui lòng điền tổng thu nhập trước khi khấu trừ các loại Bảo hiểm (BHXH, BHYT, BHTN) và Thuế TNCN)]]</f>
        <v>Từ 18 - 23 triệu VNĐ</v>
      </c>
      <c r="O350">
        <f>step3_validation[[#This Row],[Dependents]]</f>
        <v>0</v>
      </c>
      <c r="P350" t="str">
        <f>survey_responses[[#This Row],[Số người phụ thuộc (con nhỏ, cha mẹ già...) đủ điều kiện giảm trừ gia cảnh:]]</f>
        <v>0 người</v>
      </c>
      <c r="Q350">
        <f>step3_validation[[#This Row],[AI_ENF1]]</f>
        <v>7</v>
      </c>
      <c r="R350" t="str">
        <f t="shared" si="135"/>
        <v>Neutral</v>
      </c>
      <c r="S350">
        <f>survey_responses[[#This Row],[Tôi tin rằng với các quy định quản lý thuế hiện nay, hành vi gian lận hoặc trốn thuế sẽ dễ dàng bị phát hiện và xử lý nghiêm. - HUMAN-ENF1]]</f>
        <v>4</v>
      </c>
      <c r="T350" t="str">
        <f t="shared" si="136"/>
        <v>Oppose</v>
      </c>
      <c r="U350" s="31">
        <f t="shared" si="137"/>
        <v>3</v>
      </c>
      <c r="V350">
        <f>step3_validation[[#This Row],[AI_ENF2]]</f>
        <v>8</v>
      </c>
      <c r="W350" t="str">
        <f t="shared" si="138"/>
        <v>Support</v>
      </c>
      <c r="X350">
        <f>survey_responses[[#This Row],[Tôi tin rằng Nhà nước, cơ quan thuế có đủ khả năng và công nghệ để phát hiện, xử lý nghiêm các hành vi trốn thuế. - HUMAN-ENF2]]</f>
        <v>4</v>
      </c>
      <c r="Y350" t="str">
        <f t="shared" si="139"/>
        <v>Oppose</v>
      </c>
      <c r="Z350" s="31">
        <f t="shared" si="140"/>
        <v>4</v>
      </c>
      <c r="AA350">
        <f>step3_validation[[#This Row],[AI_FAC1]]</f>
        <v>6</v>
      </c>
      <c r="AB350" t="str">
        <f t="shared" si="141"/>
        <v>Neutral</v>
      </c>
      <c r="AC350">
        <f>survey_responses[[#This Row],[Các thủ tục khai báo thuế VÀ/HOẶC quy trình làm việc với cơ quan thuế đơn giản, tiện lợi, nhanh chóng hơn so với trước đây. - HUMAN-FAC1]]</f>
        <v>5</v>
      </c>
      <c r="AD350" t="str">
        <f t="shared" si="142"/>
        <v>Neutral</v>
      </c>
      <c r="AE350" s="31">
        <f t="shared" si="143"/>
        <v>1</v>
      </c>
      <c r="AF350">
        <f>step3_validation[[#This Row],[AI_FAC2]]</f>
        <v>9</v>
      </c>
      <c r="AG350" t="str">
        <f t="shared" si="144"/>
        <v>Support</v>
      </c>
      <c r="AH350">
        <f>survey_responses[[#This Row],[So với trước đây, tôi thấy cách tính thuế và các bậc thuế trong phương án mới đơn giản, dễ hiểu và dễ thực hiện hơn. - HUMAN-FAC2]]</f>
        <v>7</v>
      </c>
      <c r="AI350" t="str">
        <f t="shared" si="145"/>
        <v>Neutral</v>
      </c>
      <c r="AJ350" s="31">
        <f t="shared" si="146"/>
        <v>2</v>
      </c>
      <c r="AK350">
        <f>step3_validation[[#This Row],[AI_TRU1]]</f>
        <v>6</v>
      </c>
      <c r="AL350" t="str">
        <f t="shared" si="147"/>
        <v>Neutral</v>
      </c>
      <c r="AM350">
        <f>survey_responses[[#This Row],[Tôi tin rằng Nhà nước, cơ quan thuế sẽ thực thi chính sách mới một cách khách quan, công tâm và đối xử bình đẳng với mọi người nộp thuế.  - HUMAN-TRU1]]</f>
        <v>5</v>
      </c>
      <c r="AN350" t="str">
        <f t="shared" si="148"/>
        <v>Neutral</v>
      </c>
      <c r="AO350" s="31">
        <f t="shared" si="149"/>
        <v>1</v>
      </c>
      <c r="AP350">
        <f>step3_validation[[#This Row],[AI_TRU2]]</f>
        <v>9</v>
      </c>
      <c r="AQ350" t="str">
        <f t="shared" si="150"/>
        <v>Support</v>
      </c>
      <c r="AR350">
        <f>survey_responses[[#This Row],[Tôi thấy mức thuế tôi phải đóng theo phương án mới là công bằng (người thu nhập như tôi đóng mức này là hợp lý). - HUMAN-TRU2]]</f>
        <v>6</v>
      </c>
      <c r="AS350" t="str">
        <f t="shared" si="151"/>
        <v>Neutral</v>
      </c>
      <c r="AT350" s="31">
        <f t="shared" si="152"/>
        <v>3</v>
      </c>
      <c r="AU350">
        <f>step3_validation[[#This Row],[AI_TRU3]]</f>
        <v>7</v>
      </c>
      <c r="AV350" t="str">
        <f t="shared" si="153"/>
        <v>Neutral</v>
      </c>
      <c r="AW350">
        <f>survey_responses[[#This Row],[Tôi tin tưởng số tiền thuế tôi đóng sẽ được Nhà nước sử dụng hiệu quả để cải thiện dịch vụ công (y tế, đường xá...). - HUMAN-TRU3]]</f>
        <v>6</v>
      </c>
      <c r="AX350" t="str">
        <f t="shared" si="154"/>
        <v>Neutral</v>
      </c>
      <c r="AY350" s="31">
        <f t="shared" si="155"/>
        <v>1</v>
      </c>
      <c r="AZ350">
        <f>step3_validation[[#This Row],[AI_TRU4]]</f>
        <v>8</v>
      </c>
      <c r="BA350" t="str">
        <f t="shared" si="156"/>
        <v>Support</v>
      </c>
      <c r="BB350">
        <f>survey_responses[[#This Row],[Tôi thấy Nhà nước đã giải thích rõ ràng, minh bạch về lý do và mục tiêu của việc sửa đổi thuế lần này. - HUMAN-TRU4]]</f>
        <v>6</v>
      </c>
      <c r="BC350" t="str">
        <f t="shared" si="157"/>
        <v>Neutral</v>
      </c>
      <c r="BD350" s="31">
        <f t="shared" si="158"/>
        <v>2</v>
      </c>
      <c r="BE350">
        <f>step3_validation[[#This Row],[AI_OUT1]]</f>
        <v>9</v>
      </c>
      <c r="BF350" t="str">
        <f t="shared" si="159"/>
        <v>Support</v>
      </c>
      <c r="BG350">
        <f>survey_responses[[#This Row],[Sau khi xem xét các quyền lợi và nghĩa vụ, bạn có ủng hộ và tuân thủ chính sách mới hiện nay? - HUMAN-OUT1]]</f>
        <v>6</v>
      </c>
      <c r="BH350" t="str">
        <f t="shared" si="160"/>
        <v>Neutral</v>
      </c>
      <c r="BI350" s="31">
        <f t="shared" si="161"/>
        <v>3</v>
      </c>
    </row>
    <row r="351" spans="1:61" hidden="1" x14ac:dyDescent="0.45">
      <c r="A351" s="29">
        <f>step3_validation[[#This Row],[Persona_ID]]</f>
        <v>350</v>
      </c>
      <c r="B351" s="30">
        <f>step3_validation[[#This Row],[Used_Seed]]</f>
        <v>391</v>
      </c>
      <c r="C351" t="str">
        <f>step3_validation[[#This Row],[Gender]]</f>
        <v>Nữ</v>
      </c>
      <c r="D351" t="str">
        <f>survey_responses[[#This Row],[Giới tính của bạn:]]</f>
        <v>Nữ</v>
      </c>
      <c r="E351" t="str">
        <f>step3_validation[[#This Row],[Age_Group]]</f>
        <v>25 - 29</v>
      </c>
      <c r="F351" t="str">
        <f>survey_responses[[#This Row],[Độ tuổi của bạn:]]</f>
        <v>25 - 29</v>
      </c>
      <c r="G351" t="str">
        <f>step3_validation[[#This Row],[Region]]</f>
        <v>Thành thị</v>
      </c>
      <c r="H351" t="str">
        <f>survey_responses[[#This Row],[Khu vực bạn đang sinh sống:]]</f>
        <v>Thành thị</v>
      </c>
      <c r="I351" t="str">
        <f>step3_validation[[#This Row],[Education]]</f>
        <v>Đại học</v>
      </c>
      <c r="J351" t="str">
        <f>survey_responses[[#This Row],[Trình độ học vấn cao nhất:]]</f>
        <v>Đại học</v>
      </c>
      <c r="K351" t="str">
        <f>step3_validation[[#This Row],[Employment]]</f>
        <v>Chính thức</v>
      </c>
      <c r="L351" t="str">
        <f>survey_responses[[#This Row],[Tình trạng việc làm chính:]]</f>
        <v>Khu vực chính thức (Có Hợp đồng lao động, đóng BHXH)</v>
      </c>
      <c r="M351">
        <f>step3_validation[[#This Row],[Income_Mil]]</f>
        <v>27.443779539967906</v>
      </c>
      <c r="N351" t="str">
        <f>survey_responses[[#This Row],[Thu nhập bình quân tháng theo Hợp đồng lao động của bạn là bao nhiêu? (Vui lòng điền tổng thu nhập trước khi khấu trừ các loại Bảo hiểm (BHXH, BHYT, BHTN) và Thuế TNCN)]]</f>
        <v>Từ 23 - 32 triệu VNĐ</v>
      </c>
      <c r="O351">
        <f>step3_validation[[#This Row],[Dependents]]</f>
        <v>0</v>
      </c>
      <c r="P351" t="str">
        <f>survey_responses[[#This Row],[Số người phụ thuộc (con nhỏ, cha mẹ già...) đủ điều kiện giảm trừ gia cảnh:]]</f>
        <v>0 người</v>
      </c>
      <c r="Q351">
        <f>step3_validation[[#This Row],[AI_ENF1]]</f>
        <v>6</v>
      </c>
      <c r="R351" t="str">
        <f t="shared" si="135"/>
        <v>Neutral</v>
      </c>
      <c r="S351">
        <f>survey_responses[[#This Row],[Tôi tin rằng với các quy định quản lý thuế hiện nay, hành vi gian lận hoặc trốn thuế sẽ dễ dàng bị phát hiện và xử lý nghiêm. - HUMAN-ENF1]]</f>
        <v>7</v>
      </c>
      <c r="T351" t="str">
        <f t="shared" si="136"/>
        <v>Neutral</v>
      </c>
      <c r="U351" s="31">
        <f t="shared" si="137"/>
        <v>1</v>
      </c>
      <c r="V351">
        <f>step3_validation[[#This Row],[AI_ENF2]]</f>
        <v>6</v>
      </c>
      <c r="W351" t="str">
        <f t="shared" si="138"/>
        <v>Neutral</v>
      </c>
      <c r="X351">
        <f>survey_responses[[#This Row],[Tôi tin rằng Nhà nước, cơ quan thuế có đủ khả năng và công nghệ để phát hiện, xử lý nghiêm các hành vi trốn thuế. - HUMAN-ENF2]]</f>
        <v>7</v>
      </c>
      <c r="Y351" t="str">
        <f t="shared" si="139"/>
        <v>Neutral</v>
      </c>
      <c r="Z351" s="31">
        <f t="shared" si="140"/>
        <v>1</v>
      </c>
      <c r="AA351">
        <f>step3_validation[[#This Row],[AI_FAC1]]</f>
        <v>9</v>
      </c>
      <c r="AB351" t="str">
        <f t="shared" si="141"/>
        <v>Support</v>
      </c>
      <c r="AC351">
        <f>survey_responses[[#This Row],[Các thủ tục khai báo thuế VÀ/HOẶC quy trình làm việc với cơ quan thuế đơn giản, tiện lợi, nhanh chóng hơn so với trước đây. - HUMAN-FAC1]]</f>
        <v>8</v>
      </c>
      <c r="AD351" t="str">
        <f t="shared" si="142"/>
        <v>Support</v>
      </c>
      <c r="AE351" s="31">
        <f t="shared" si="143"/>
        <v>1</v>
      </c>
      <c r="AF351">
        <f>step3_validation[[#This Row],[AI_FAC2]]</f>
        <v>8</v>
      </c>
      <c r="AG351" t="str">
        <f t="shared" si="144"/>
        <v>Support</v>
      </c>
      <c r="AH351">
        <f>survey_responses[[#This Row],[So với trước đây, tôi thấy cách tính thuế và các bậc thuế trong phương án mới đơn giản, dễ hiểu và dễ thực hiện hơn. - HUMAN-FAC2]]</f>
        <v>8</v>
      </c>
      <c r="AI351" t="str">
        <f t="shared" si="145"/>
        <v>Support</v>
      </c>
      <c r="AJ351" s="31">
        <f t="shared" si="146"/>
        <v>0</v>
      </c>
      <c r="AK351">
        <f>step3_validation[[#This Row],[AI_TRU1]]</f>
        <v>7</v>
      </c>
      <c r="AL351" t="str">
        <f t="shared" si="147"/>
        <v>Neutral</v>
      </c>
      <c r="AM351">
        <f>survey_responses[[#This Row],[Tôi tin rằng Nhà nước, cơ quan thuế sẽ thực thi chính sách mới một cách khách quan, công tâm và đối xử bình đẳng với mọi người nộp thuế.  - HUMAN-TRU1]]</f>
        <v>7</v>
      </c>
      <c r="AN351" t="str">
        <f t="shared" si="148"/>
        <v>Neutral</v>
      </c>
      <c r="AO351" s="31">
        <f t="shared" si="149"/>
        <v>0</v>
      </c>
      <c r="AP351">
        <f>step3_validation[[#This Row],[AI_TRU2]]</f>
        <v>8</v>
      </c>
      <c r="AQ351" t="str">
        <f t="shared" si="150"/>
        <v>Support</v>
      </c>
      <c r="AR351">
        <f>survey_responses[[#This Row],[Tôi thấy mức thuế tôi phải đóng theo phương án mới là công bằng (người thu nhập như tôi đóng mức này là hợp lý). - HUMAN-TRU2]]</f>
        <v>7</v>
      </c>
      <c r="AS351" t="str">
        <f t="shared" si="151"/>
        <v>Neutral</v>
      </c>
      <c r="AT351" s="31">
        <f t="shared" si="152"/>
        <v>1</v>
      </c>
      <c r="AU351">
        <f>step3_validation[[#This Row],[AI_TRU3]]</f>
        <v>7</v>
      </c>
      <c r="AV351" t="str">
        <f t="shared" si="153"/>
        <v>Neutral</v>
      </c>
      <c r="AW351">
        <f>survey_responses[[#This Row],[Tôi tin tưởng số tiền thuế tôi đóng sẽ được Nhà nước sử dụng hiệu quả để cải thiện dịch vụ công (y tế, đường xá...). - HUMAN-TRU3]]</f>
        <v>8</v>
      </c>
      <c r="AX351" t="str">
        <f t="shared" si="154"/>
        <v>Support</v>
      </c>
      <c r="AY351" s="31">
        <f t="shared" si="155"/>
        <v>1</v>
      </c>
      <c r="AZ351">
        <f>step3_validation[[#This Row],[AI_TRU4]]</f>
        <v>6</v>
      </c>
      <c r="BA351" t="str">
        <f t="shared" si="156"/>
        <v>Neutral</v>
      </c>
      <c r="BB351">
        <f>survey_responses[[#This Row],[Tôi thấy Nhà nước đã giải thích rõ ràng, minh bạch về lý do và mục tiêu của việc sửa đổi thuế lần này. - HUMAN-TRU4]]</f>
        <v>7</v>
      </c>
      <c r="BC351" t="str">
        <f t="shared" si="157"/>
        <v>Neutral</v>
      </c>
      <c r="BD351" s="31">
        <f t="shared" si="158"/>
        <v>1</v>
      </c>
      <c r="BE351">
        <f>step3_validation[[#This Row],[AI_OUT1]]</f>
        <v>8</v>
      </c>
      <c r="BF351" t="str">
        <f t="shared" si="159"/>
        <v>Support</v>
      </c>
      <c r="BG351">
        <f>survey_responses[[#This Row],[Sau khi xem xét các quyền lợi và nghĩa vụ, bạn có ủng hộ và tuân thủ chính sách mới hiện nay? - HUMAN-OUT1]]</f>
        <v>8</v>
      </c>
      <c r="BH351" t="str">
        <f t="shared" si="160"/>
        <v>Support</v>
      </c>
      <c r="BI351" s="31">
        <f t="shared" si="161"/>
        <v>0</v>
      </c>
    </row>
    <row r="352" spans="1:61" hidden="1" x14ac:dyDescent="0.45">
      <c r="A352" s="29">
        <f>step3_validation[[#This Row],[Persona_ID]]</f>
        <v>351</v>
      </c>
      <c r="B352" s="30">
        <f>step3_validation[[#This Row],[Used_Seed]]</f>
        <v>392</v>
      </c>
      <c r="C352" t="str">
        <f>step3_validation[[#This Row],[Gender]]</f>
        <v>Nữ</v>
      </c>
      <c r="D352" t="str">
        <f>survey_responses[[#This Row],[Giới tính của bạn:]]</f>
        <v>Nữ</v>
      </c>
      <c r="E352" t="str">
        <f>step3_validation[[#This Row],[Age_Group]]</f>
        <v>30 - 39</v>
      </c>
      <c r="F352" t="str">
        <f>survey_responses[[#This Row],[Độ tuổi của bạn:]]</f>
        <v>30 - 39</v>
      </c>
      <c r="G352" t="str">
        <f>step3_validation[[#This Row],[Region]]</f>
        <v>Thành thị</v>
      </c>
      <c r="H352" t="str">
        <f>survey_responses[[#This Row],[Khu vực bạn đang sinh sống:]]</f>
        <v>Thành thị</v>
      </c>
      <c r="I352" t="str">
        <f>step3_validation[[#This Row],[Education]]</f>
        <v>Đại học</v>
      </c>
      <c r="J352" t="str">
        <f>survey_responses[[#This Row],[Trình độ học vấn cao nhất:]]</f>
        <v>Đại học</v>
      </c>
      <c r="K352" t="str">
        <f>step3_validation[[#This Row],[Employment]]</f>
        <v>Chính thức</v>
      </c>
      <c r="L352" t="str">
        <f>survey_responses[[#This Row],[Tình trạng việc làm chính:]]</f>
        <v>Khu vực chính thức (Có Hợp đồng lao động, đóng BHXH)</v>
      </c>
      <c r="M352">
        <f>step3_validation[[#This Row],[Income_Mil]]</f>
        <v>45.217165741187266</v>
      </c>
      <c r="N352" t="str">
        <f>survey_responses[[#This Row],[Thu nhập bình quân tháng theo Hợp đồng lao động của bạn là bao nhiêu? (Vui lòng điền tổng thu nhập trước khi khấu trừ các loại Bảo hiểm (BHXH, BHYT, BHTN) và Thuế TNCN)]]</f>
        <v>Từ 32 - 48 triệu VNĐ</v>
      </c>
      <c r="O352">
        <f>step3_validation[[#This Row],[Dependents]]</f>
        <v>2</v>
      </c>
      <c r="P352" t="str">
        <f>survey_responses[[#This Row],[Số người phụ thuộc (con nhỏ, cha mẹ già...) đủ điều kiện giảm trừ gia cảnh:]]</f>
        <v>2 người</v>
      </c>
      <c r="Q352">
        <f>step3_validation[[#This Row],[AI_ENF1]]</f>
        <v>8</v>
      </c>
      <c r="R352" t="str">
        <f t="shared" si="135"/>
        <v>Support</v>
      </c>
      <c r="S352">
        <f>survey_responses[[#This Row],[Tôi tin rằng với các quy định quản lý thuế hiện nay, hành vi gian lận hoặc trốn thuế sẽ dễ dàng bị phát hiện và xử lý nghiêm. - HUMAN-ENF1]]</f>
        <v>8</v>
      </c>
      <c r="T352" t="str">
        <f t="shared" si="136"/>
        <v>Support</v>
      </c>
      <c r="U352" s="31">
        <f t="shared" si="137"/>
        <v>0</v>
      </c>
      <c r="V352">
        <f>step3_validation[[#This Row],[AI_ENF2]]</f>
        <v>9</v>
      </c>
      <c r="W352" t="str">
        <f t="shared" si="138"/>
        <v>Support</v>
      </c>
      <c r="X352">
        <f>survey_responses[[#This Row],[Tôi tin rằng Nhà nước, cơ quan thuế có đủ khả năng và công nghệ để phát hiện, xử lý nghiêm các hành vi trốn thuế. - HUMAN-ENF2]]</f>
        <v>8</v>
      </c>
      <c r="Y352" t="str">
        <f t="shared" si="139"/>
        <v>Support</v>
      </c>
      <c r="Z352" s="31">
        <f t="shared" si="140"/>
        <v>1</v>
      </c>
      <c r="AA352">
        <f>step3_validation[[#This Row],[AI_FAC1]]</f>
        <v>8</v>
      </c>
      <c r="AB352" t="str">
        <f t="shared" si="141"/>
        <v>Support</v>
      </c>
      <c r="AC352">
        <f>survey_responses[[#This Row],[Các thủ tục khai báo thuế VÀ/HOẶC quy trình làm việc với cơ quan thuế đơn giản, tiện lợi, nhanh chóng hơn so với trước đây. - HUMAN-FAC1]]</f>
        <v>6</v>
      </c>
      <c r="AD352" t="str">
        <f t="shared" si="142"/>
        <v>Neutral</v>
      </c>
      <c r="AE352" s="31">
        <f t="shared" si="143"/>
        <v>2</v>
      </c>
      <c r="AF352">
        <f>step3_validation[[#This Row],[AI_FAC2]]</f>
        <v>9</v>
      </c>
      <c r="AG352" t="str">
        <f t="shared" si="144"/>
        <v>Support</v>
      </c>
      <c r="AH352">
        <f>survey_responses[[#This Row],[So với trước đây, tôi thấy cách tính thuế và các bậc thuế trong phương án mới đơn giản, dễ hiểu và dễ thực hiện hơn. - HUMAN-FAC2]]</f>
        <v>7</v>
      </c>
      <c r="AI352" t="str">
        <f t="shared" si="145"/>
        <v>Neutral</v>
      </c>
      <c r="AJ352" s="31">
        <f t="shared" si="146"/>
        <v>2</v>
      </c>
      <c r="AK352">
        <f>step3_validation[[#This Row],[AI_TRU1]]</f>
        <v>8</v>
      </c>
      <c r="AL352" t="str">
        <f t="shared" si="147"/>
        <v>Support</v>
      </c>
      <c r="AM352">
        <f>survey_responses[[#This Row],[Tôi tin rằng Nhà nước, cơ quan thuế sẽ thực thi chính sách mới một cách khách quan, công tâm và đối xử bình đẳng với mọi người nộp thuế.  - HUMAN-TRU1]]</f>
        <v>6</v>
      </c>
      <c r="AN352" t="str">
        <f t="shared" si="148"/>
        <v>Neutral</v>
      </c>
      <c r="AO352" s="31">
        <f t="shared" si="149"/>
        <v>2</v>
      </c>
      <c r="AP352">
        <f>step3_validation[[#This Row],[AI_TRU2]]</f>
        <v>9</v>
      </c>
      <c r="AQ352" t="str">
        <f t="shared" si="150"/>
        <v>Support</v>
      </c>
      <c r="AR352">
        <f>survey_responses[[#This Row],[Tôi thấy mức thuế tôi phải đóng theo phương án mới là công bằng (người thu nhập như tôi đóng mức này là hợp lý). - HUMAN-TRU2]]</f>
        <v>7</v>
      </c>
      <c r="AS352" t="str">
        <f t="shared" si="151"/>
        <v>Neutral</v>
      </c>
      <c r="AT352" s="31">
        <f t="shared" si="152"/>
        <v>2</v>
      </c>
      <c r="AU352">
        <f>step3_validation[[#This Row],[AI_TRU3]]</f>
        <v>8</v>
      </c>
      <c r="AV352" t="str">
        <f t="shared" si="153"/>
        <v>Support</v>
      </c>
      <c r="AW352">
        <f>survey_responses[[#This Row],[Tôi tin tưởng số tiền thuế tôi đóng sẽ được Nhà nước sử dụng hiệu quả để cải thiện dịch vụ công (y tế, đường xá...). - HUMAN-TRU3]]</f>
        <v>5</v>
      </c>
      <c r="AX352" t="str">
        <f t="shared" si="154"/>
        <v>Neutral</v>
      </c>
      <c r="AY352" s="31">
        <f t="shared" si="155"/>
        <v>3</v>
      </c>
      <c r="AZ352">
        <f>step3_validation[[#This Row],[AI_TRU4]]</f>
        <v>9</v>
      </c>
      <c r="BA352" t="str">
        <f t="shared" si="156"/>
        <v>Support</v>
      </c>
      <c r="BB352">
        <f>survey_responses[[#This Row],[Tôi thấy Nhà nước đã giải thích rõ ràng, minh bạch về lý do và mục tiêu của việc sửa đổi thuế lần này. - HUMAN-TRU4]]</f>
        <v>7</v>
      </c>
      <c r="BC352" t="str">
        <f t="shared" si="157"/>
        <v>Neutral</v>
      </c>
      <c r="BD352" s="31">
        <f t="shared" si="158"/>
        <v>2</v>
      </c>
      <c r="BE352">
        <f>step3_validation[[#This Row],[AI_OUT1]]</f>
        <v>9</v>
      </c>
      <c r="BF352" t="str">
        <f t="shared" si="159"/>
        <v>Support</v>
      </c>
      <c r="BG352">
        <f>survey_responses[[#This Row],[Sau khi xem xét các quyền lợi và nghĩa vụ, bạn có ủng hộ và tuân thủ chính sách mới hiện nay? - HUMAN-OUT1]]</f>
        <v>7</v>
      </c>
      <c r="BH352" t="str">
        <f t="shared" si="160"/>
        <v>Neutral</v>
      </c>
      <c r="BI352" s="31">
        <f t="shared" si="161"/>
        <v>2</v>
      </c>
    </row>
    <row r="353" spans="1:61" hidden="1" x14ac:dyDescent="0.45">
      <c r="A353" s="29">
        <f>step3_validation[[#This Row],[Persona_ID]]</f>
        <v>352</v>
      </c>
      <c r="B353" s="30">
        <f>step3_validation[[#This Row],[Used_Seed]]</f>
        <v>393</v>
      </c>
      <c r="C353" t="str">
        <f>step3_validation[[#This Row],[Gender]]</f>
        <v>Nữ</v>
      </c>
      <c r="D353" t="str">
        <f>survey_responses[[#This Row],[Giới tính của bạn:]]</f>
        <v>Nữ</v>
      </c>
      <c r="E353" t="str">
        <f>step3_validation[[#This Row],[Age_Group]]</f>
        <v>30 - 39</v>
      </c>
      <c r="F353" t="str">
        <f>survey_responses[[#This Row],[Độ tuổi của bạn:]]</f>
        <v>30 - 39</v>
      </c>
      <c r="G353" t="str">
        <f>step3_validation[[#This Row],[Region]]</f>
        <v>Thành thị</v>
      </c>
      <c r="H353" t="str">
        <f>survey_responses[[#This Row],[Khu vực bạn đang sinh sống:]]</f>
        <v>Thành thị</v>
      </c>
      <c r="I353" t="str">
        <f>step3_validation[[#This Row],[Education]]</f>
        <v>Đại học</v>
      </c>
      <c r="J353" t="str">
        <f>survey_responses[[#This Row],[Trình độ học vấn cao nhất:]]</f>
        <v>Đại học</v>
      </c>
      <c r="K353" t="str">
        <f>step3_validation[[#This Row],[Employment]]</f>
        <v>Chính thức</v>
      </c>
      <c r="L353" t="str">
        <f>survey_responses[[#This Row],[Tình trạng việc làm chính:]]</f>
        <v>Khu vực chính thức (Có Hợp đồng lao động, đóng BHXH)</v>
      </c>
      <c r="M353">
        <f>step3_validation[[#This Row],[Income_Mil]]</f>
        <v>25.400215426678194</v>
      </c>
      <c r="N353" t="str">
        <f>survey_responses[[#This Row],[Thu nhập bình quân tháng theo Hợp đồng lao động của bạn là bao nhiêu? (Vui lòng điền tổng thu nhập trước khi khấu trừ các loại Bảo hiểm (BHXH, BHYT, BHTN) và Thuế TNCN)]]</f>
        <v>Từ 23 - 32 triệu VNĐ</v>
      </c>
      <c r="O353">
        <f>step3_validation[[#This Row],[Dependents]]</f>
        <v>1</v>
      </c>
      <c r="P353" t="str">
        <f>survey_responses[[#This Row],[Số người phụ thuộc (con nhỏ, cha mẹ già...) đủ điều kiện giảm trừ gia cảnh:]]</f>
        <v>1 người</v>
      </c>
      <c r="Q353">
        <f>step3_validation[[#This Row],[AI_ENF1]]</f>
        <v>6</v>
      </c>
      <c r="R353" t="str">
        <f t="shared" si="135"/>
        <v>Neutral</v>
      </c>
      <c r="S353">
        <f>survey_responses[[#This Row],[Tôi tin rằng với các quy định quản lý thuế hiện nay, hành vi gian lận hoặc trốn thuế sẽ dễ dàng bị phát hiện và xử lý nghiêm. - HUMAN-ENF1]]</f>
        <v>6</v>
      </c>
      <c r="T353" t="str">
        <f t="shared" si="136"/>
        <v>Neutral</v>
      </c>
      <c r="U353" s="31">
        <f t="shared" si="137"/>
        <v>0</v>
      </c>
      <c r="V353">
        <f>step3_validation[[#This Row],[AI_ENF2]]</f>
        <v>7</v>
      </c>
      <c r="W353" t="str">
        <f t="shared" si="138"/>
        <v>Neutral</v>
      </c>
      <c r="X353">
        <f>survey_responses[[#This Row],[Tôi tin rằng Nhà nước, cơ quan thuế có đủ khả năng và công nghệ để phát hiện, xử lý nghiêm các hành vi trốn thuế. - HUMAN-ENF2]]</f>
        <v>6</v>
      </c>
      <c r="Y353" t="str">
        <f t="shared" si="139"/>
        <v>Neutral</v>
      </c>
      <c r="Z353" s="31">
        <f t="shared" si="140"/>
        <v>1</v>
      </c>
      <c r="AA353">
        <f>step3_validation[[#This Row],[AI_FAC1]]</f>
        <v>8</v>
      </c>
      <c r="AB353" t="str">
        <f t="shared" si="141"/>
        <v>Support</v>
      </c>
      <c r="AC353">
        <f>survey_responses[[#This Row],[Các thủ tục khai báo thuế VÀ/HOẶC quy trình làm việc với cơ quan thuế đơn giản, tiện lợi, nhanh chóng hơn so với trước đây. - HUMAN-FAC1]]</f>
        <v>8</v>
      </c>
      <c r="AD353" t="str">
        <f t="shared" si="142"/>
        <v>Support</v>
      </c>
      <c r="AE353" s="31">
        <f t="shared" si="143"/>
        <v>0</v>
      </c>
      <c r="AF353">
        <f>step3_validation[[#This Row],[AI_FAC2]]</f>
        <v>9</v>
      </c>
      <c r="AG353" t="str">
        <f t="shared" si="144"/>
        <v>Support</v>
      </c>
      <c r="AH353">
        <f>survey_responses[[#This Row],[So với trước đây, tôi thấy cách tính thuế và các bậc thuế trong phương án mới đơn giản, dễ hiểu và dễ thực hiện hơn. - HUMAN-FAC2]]</f>
        <v>7</v>
      </c>
      <c r="AI353" t="str">
        <f t="shared" si="145"/>
        <v>Neutral</v>
      </c>
      <c r="AJ353" s="31">
        <f t="shared" si="146"/>
        <v>2</v>
      </c>
      <c r="AK353">
        <f>step3_validation[[#This Row],[AI_TRU1]]</f>
        <v>7</v>
      </c>
      <c r="AL353" t="str">
        <f t="shared" si="147"/>
        <v>Neutral</v>
      </c>
      <c r="AM353">
        <f>survey_responses[[#This Row],[Tôi tin rằng Nhà nước, cơ quan thuế sẽ thực thi chính sách mới một cách khách quan, công tâm và đối xử bình đẳng với mọi người nộp thuế.  - HUMAN-TRU1]]</f>
        <v>7</v>
      </c>
      <c r="AN353" t="str">
        <f t="shared" si="148"/>
        <v>Neutral</v>
      </c>
      <c r="AO353" s="31">
        <f t="shared" si="149"/>
        <v>0</v>
      </c>
      <c r="AP353">
        <f>step3_validation[[#This Row],[AI_TRU2]]</f>
        <v>9</v>
      </c>
      <c r="AQ353" t="str">
        <f t="shared" si="150"/>
        <v>Support</v>
      </c>
      <c r="AR353">
        <f>survey_responses[[#This Row],[Tôi thấy mức thuế tôi phải đóng theo phương án mới là công bằng (người thu nhập như tôi đóng mức này là hợp lý). - HUMAN-TRU2]]</f>
        <v>7</v>
      </c>
      <c r="AS353" t="str">
        <f t="shared" si="151"/>
        <v>Neutral</v>
      </c>
      <c r="AT353" s="31">
        <f t="shared" si="152"/>
        <v>2</v>
      </c>
      <c r="AU353">
        <f>step3_validation[[#This Row],[AI_TRU3]]</f>
        <v>8</v>
      </c>
      <c r="AV353" t="str">
        <f t="shared" si="153"/>
        <v>Support</v>
      </c>
      <c r="AW353">
        <f>survey_responses[[#This Row],[Tôi tin tưởng số tiền thuế tôi đóng sẽ được Nhà nước sử dụng hiệu quả để cải thiện dịch vụ công (y tế, đường xá...). - HUMAN-TRU3]]</f>
        <v>5</v>
      </c>
      <c r="AX353" t="str">
        <f t="shared" si="154"/>
        <v>Neutral</v>
      </c>
      <c r="AY353" s="31">
        <f t="shared" si="155"/>
        <v>3</v>
      </c>
      <c r="AZ353">
        <f>step3_validation[[#This Row],[AI_TRU4]]</f>
        <v>9</v>
      </c>
      <c r="BA353" t="str">
        <f t="shared" si="156"/>
        <v>Support</v>
      </c>
      <c r="BB353">
        <f>survey_responses[[#This Row],[Tôi thấy Nhà nước đã giải thích rõ ràng, minh bạch về lý do và mục tiêu của việc sửa đổi thuế lần này. - HUMAN-TRU4]]</f>
        <v>6</v>
      </c>
      <c r="BC353" t="str">
        <f t="shared" si="157"/>
        <v>Neutral</v>
      </c>
      <c r="BD353" s="31">
        <f t="shared" si="158"/>
        <v>3</v>
      </c>
      <c r="BE353">
        <f>step3_validation[[#This Row],[AI_OUT1]]</f>
        <v>8</v>
      </c>
      <c r="BF353" t="str">
        <f t="shared" si="159"/>
        <v>Support</v>
      </c>
      <c r="BG353">
        <f>survey_responses[[#This Row],[Sau khi xem xét các quyền lợi và nghĩa vụ, bạn có ủng hộ và tuân thủ chính sách mới hiện nay? - HUMAN-OUT1]]</f>
        <v>7</v>
      </c>
      <c r="BH353" t="str">
        <f t="shared" si="160"/>
        <v>Neutral</v>
      </c>
      <c r="BI353" s="31">
        <f t="shared" si="161"/>
        <v>1</v>
      </c>
    </row>
    <row r="354" spans="1:61" hidden="1" x14ac:dyDescent="0.45">
      <c r="A354" s="29">
        <f>step3_validation[[#This Row],[Persona_ID]]</f>
        <v>353</v>
      </c>
      <c r="B354" s="30">
        <f>step3_validation[[#This Row],[Used_Seed]]</f>
        <v>394</v>
      </c>
      <c r="C354" t="str">
        <f>step3_validation[[#This Row],[Gender]]</f>
        <v>Nam</v>
      </c>
      <c r="D354" t="str">
        <f>survey_responses[[#This Row],[Giới tính của bạn:]]</f>
        <v>Nam</v>
      </c>
      <c r="E354" t="str">
        <f>step3_validation[[#This Row],[Age_Group]]</f>
        <v>40 - 49</v>
      </c>
      <c r="F354" t="str">
        <f>survey_responses[[#This Row],[Độ tuổi của bạn:]]</f>
        <v>40 - 49</v>
      </c>
      <c r="G354" t="str">
        <f>step3_validation[[#This Row],[Region]]</f>
        <v>Thành thị</v>
      </c>
      <c r="H354" t="str">
        <f>survey_responses[[#This Row],[Khu vực bạn đang sinh sống:]]</f>
        <v>Thành thị</v>
      </c>
      <c r="I354" t="str">
        <f>step3_validation[[#This Row],[Education]]</f>
        <v>Đại học</v>
      </c>
      <c r="J354" t="str">
        <f>survey_responses[[#This Row],[Trình độ học vấn cao nhất:]]</f>
        <v>Đại học</v>
      </c>
      <c r="K354" t="str">
        <f>step3_validation[[#This Row],[Employment]]</f>
        <v>Chính thức</v>
      </c>
      <c r="L354" t="str">
        <f>survey_responses[[#This Row],[Tình trạng việc làm chính:]]</f>
        <v>Khu vực chính thức (Có Hợp đồng lao động, đóng BHXH)</v>
      </c>
      <c r="M354">
        <f>step3_validation[[#This Row],[Income_Mil]]</f>
        <v>96.175741142293276</v>
      </c>
      <c r="N354" t="str">
        <f>survey_responses[[#This Row],[Thu nhập bình quân tháng theo Hợp đồng lao động của bạn là bao nhiêu? (Vui lòng điền tổng thu nhập trước khi khấu trừ các loại Bảo hiểm (BHXH, BHYT, BHTN) và Thuế TNCN)]]</f>
        <v>Từ 70 - 102 triệu VNĐ</v>
      </c>
      <c r="O354">
        <f>step3_validation[[#This Row],[Dependents]]</f>
        <v>4</v>
      </c>
      <c r="P354" t="str">
        <f>survey_responses[[#This Row],[Số người phụ thuộc (con nhỏ, cha mẹ già...) đủ điều kiện giảm trừ gia cảnh:]]</f>
        <v>4 người trở lên</v>
      </c>
      <c r="Q354">
        <f>step3_validation[[#This Row],[AI_ENF1]]</f>
        <v>7</v>
      </c>
      <c r="R354" t="str">
        <f t="shared" si="135"/>
        <v>Neutral</v>
      </c>
      <c r="S354">
        <f>survey_responses[[#This Row],[Tôi tin rằng với các quy định quản lý thuế hiện nay, hành vi gian lận hoặc trốn thuế sẽ dễ dàng bị phát hiện và xử lý nghiêm. - HUMAN-ENF1]]</f>
        <v>7</v>
      </c>
      <c r="T354" t="str">
        <f t="shared" si="136"/>
        <v>Neutral</v>
      </c>
      <c r="U354" s="31">
        <f t="shared" si="137"/>
        <v>0</v>
      </c>
      <c r="V354">
        <f>step3_validation[[#This Row],[AI_ENF2]]</f>
        <v>6</v>
      </c>
      <c r="W354" t="str">
        <f t="shared" si="138"/>
        <v>Neutral</v>
      </c>
      <c r="X354">
        <f>survey_responses[[#This Row],[Tôi tin rằng Nhà nước, cơ quan thuế có đủ khả năng và công nghệ để phát hiện, xử lý nghiêm các hành vi trốn thuế. - HUMAN-ENF2]]</f>
        <v>7</v>
      </c>
      <c r="Y354" t="str">
        <f t="shared" si="139"/>
        <v>Neutral</v>
      </c>
      <c r="Z354" s="31">
        <f t="shared" si="140"/>
        <v>1</v>
      </c>
      <c r="AA354">
        <f>step3_validation[[#This Row],[AI_FAC1]]</f>
        <v>8</v>
      </c>
      <c r="AB354" t="str">
        <f t="shared" si="141"/>
        <v>Support</v>
      </c>
      <c r="AC354">
        <f>survey_responses[[#This Row],[Các thủ tục khai báo thuế VÀ/HOẶC quy trình làm việc với cơ quan thuế đơn giản, tiện lợi, nhanh chóng hơn so với trước đây. - HUMAN-FAC1]]</f>
        <v>8</v>
      </c>
      <c r="AD354" t="str">
        <f t="shared" si="142"/>
        <v>Support</v>
      </c>
      <c r="AE354" s="31">
        <f t="shared" si="143"/>
        <v>0</v>
      </c>
      <c r="AF354">
        <f>step3_validation[[#This Row],[AI_FAC2]]</f>
        <v>9</v>
      </c>
      <c r="AG354" t="str">
        <f t="shared" si="144"/>
        <v>Support</v>
      </c>
      <c r="AH354">
        <f>survey_responses[[#This Row],[So với trước đây, tôi thấy cách tính thuế và các bậc thuế trong phương án mới đơn giản, dễ hiểu và dễ thực hiện hơn. - HUMAN-FAC2]]</f>
        <v>8</v>
      </c>
      <c r="AI354" t="str">
        <f t="shared" si="145"/>
        <v>Support</v>
      </c>
      <c r="AJ354" s="31">
        <f t="shared" si="146"/>
        <v>1</v>
      </c>
      <c r="AK354">
        <f>step3_validation[[#This Row],[AI_TRU1]]</f>
        <v>8</v>
      </c>
      <c r="AL354" t="str">
        <f t="shared" si="147"/>
        <v>Support</v>
      </c>
      <c r="AM354">
        <f>survey_responses[[#This Row],[Tôi tin rằng Nhà nước, cơ quan thuế sẽ thực thi chính sách mới một cách khách quan, công tâm và đối xử bình đẳng với mọi người nộp thuế.  - HUMAN-TRU1]]</f>
        <v>6</v>
      </c>
      <c r="AN354" t="str">
        <f t="shared" si="148"/>
        <v>Neutral</v>
      </c>
      <c r="AO354" s="31">
        <f t="shared" si="149"/>
        <v>2</v>
      </c>
      <c r="AP354">
        <f>step3_validation[[#This Row],[AI_TRU2]]</f>
        <v>9</v>
      </c>
      <c r="AQ354" t="str">
        <f t="shared" si="150"/>
        <v>Support</v>
      </c>
      <c r="AR354">
        <f>survey_responses[[#This Row],[Tôi thấy mức thuế tôi phải đóng theo phương án mới là công bằng (người thu nhập như tôi đóng mức này là hợp lý). - HUMAN-TRU2]]</f>
        <v>7</v>
      </c>
      <c r="AS354" t="str">
        <f t="shared" si="151"/>
        <v>Neutral</v>
      </c>
      <c r="AT354" s="31">
        <f t="shared" si="152"/>
        <v>2</v>
      </c>
      <c r="AU354">
        <f>step3_validation[[#This Row],[AI_TRU3]]</f>
        <v>8</v>
      </c>
      <c r="AV354" t="str">
        <f t="shared" si="153"/>
        <v>Support</v>
      </c>
      <c r="AW354">
        <f>survey_responses[[#This Row],[Tôi tin tưởng số tiền thuế tôi đóng sẽ được Nhà nước sử dụng hiệu quả để cải thiện dịch vụ công (y tế, đường xá...). - HUMAN-TRU3]]</f>
        <v>5</v>
      </c>
      <c r="AX354" t="str">
        <f t="shared" si="154"/>
        <v>Neutral</v>
      </c>
      <c r="AY354" s="31">
        <f t="shared" si="155"/>
        <v>3</v>
      </c>
      <c r="AZ354">
        <f>step3_validation[[#This Row],[AI_TRU4]]</f>
        <v>7</v>
      </c>
      <c r="BA354" t="str">
        <f t="shared" si="156"/>
        <v>Neutral</v>
      </c>
      <c r="BB354">
        <f>survey_responses[[#This Row],[Tôi thấy Nhà nước đã giải thích rõ ràng, minh bạch về lý do và mục tiêu của việc sửa đổi thuế lần này. - HUMAN-TRU4]]</f>
        <v>7</v>
      </c>
      <c r="BC354" t="str">
        <f t="shared" si="157"/>
        <v>Neutral</v>
      </c>
      <c r="BD354" s="31">
        <f t="shared" si="158"/>
        <v>0</v>
      </c>
      <c r="BE354">
        <f>step3_validation[[#This Row],[AI_OUT1]]</f>
        <v>9</v>
      </c>
      <c r="BF354" t="str">
        <f t="shared" si="159"/>
        <v>Support</v>
      </c>
      <c r="BG354">
        <f>survey_responses[[#This Row],[Sau khi xem xét các quyền lợi và nghĩa vụ, bạn có ủng hộ và tuân thủ chính sách mới hiện nay? - HUMAN-OUT1]]</f>
        <v>7</v>
      </c>
      <c r="BH354" t="str">
        <f t="shared" si="160"/>
        <v>Neutral</v>
      </c>
      <c r="BI354" s="31">
        <f t="shared" si="161"/>
        <v>2</v>
      </c>
    </row>
    <row r="355" spans="1:61" hidden="1" x14ac:dyDescent="0.45">
      <c r="A355" s="29">
        <f>step3_validation[[#This Row],[Persona_ID]]</f>
        <v>354</v>
      </c>
      <c r="B355" s="30">
        <f>step3_validation[[#This Row],[Used_Seed]]</f>
        <v>395</v>
      </c>
      <c r="C355" t="str">
        <f>step3_validation[[#This Row],[Gender]]</f>
        <v>Nữ</v>
      </c>
      <c r="D355" t="str">
        <f>survey_responses[[#This Row],[Giới tính của bạn:]]</f>
        <v>Nữ</v>
      </c>
      <c r="E355" t="str">
        <f>step3_validation[[#This Row],[Age_Group]]</f>
        <v>18 - 24</v>
      </c>
      <c r="F355" t="str">
        <f>survey_responses[[#This Row],[Độ tuổi của bạn:]]</f>
        <v>18 - 24</v>
      </c>
      <c r="G355" t="str">
        <f>step3_validation[[#This Row],[Region]]</f>
        <v>Thành thị</v>
      </c>
      <c r="H355" t="str">
        <f>survey_responses[[#This Row],[Khu vực bạn đang sinh sống:]]</f>
        <v>Thành thị</v>
      </c>
      <c r="I355" t="str">
        <f>step3_validation[[#This Row],[Education]]</f>
        <v>Đại học</v>
      </c>
      <c r="J355" t="str">
        <f>survey_responses[[#This Row],[Trình độ học vấn cao nhất:]]</f>
        <v>Đại học</v>
      </c>
      <c r="K355" t="str">
        <f>step3_validation[[#This Row],[Employment]]</f>
        <v>Chính thức</v>
      </c>
      <c r="L355" t="str">
        <f>survey_responses[[#This Row],[Tình trạng việc làm chính:]]</f>
        <v>Khu vực chính thức (Có Hợp đồng lao động, đóng BHXH)</v>
      </c>
      <c r="M355">
        <f>step3_validation[[#This Row],[Income_Mil]]</f>
        <v>16.334482128975615</v>
      </c>
      <c r="N355" t="str">
        <f>survey_responses[[#This Row],[Thu nhập bình quân tháng theo Hợp đồng lao động của bạn là bao nhiêu? (Vui lòng điền tổng thu nhập trước khi khấu trừ các loại Bảo hiểm (BHXH, BHYT, BHTN) và Thuế TNCN)]]</f>
        <v>Từ 12 - 18 triệu VNĐ</v>
      </c>
      <c r="O355">
        <f>step3_validation[[#This Row],[Dependents]]</f>
        <v>0</v>
      </c>
      <c r="P355" t="str">
        <f>survey_responses[[#This Row],[Số người phụ thuộc (con nhỏ, cha mẹ già...) đủ điều kiện giảm trừ gia cảnh:]]</f>
        <v>0 người</v>
      </c>
      <c r="Q355">
        <f>step3_validation[[#This Row],[AI_ENF1]]</f>
        <v>6</v>
      </c>
      <c r="R355" t="str">
        <f t="shared" si="135"/>
        <v>Neutral</v>
      </c>
      <c r="S355">
        <f>survey_responses[[#This Row],[Tôi tin rằng với các quy định quản lý thuế hiện nay, hành vi gian lận hoặc trốn thuế sẽ dễ dàng bị phát hiện và xử lý nghiêm. - HUMAN-ENF1]]</f>
        <v>9</v>
      </c>
      <c r="T355" t="str">
        <f t="shared" si="136"/>
        <v>Support</v>
      </c>
      <c r="U355" s="31">
        <f t="shared" si="137"/>
        <v>3</v>
      </c>
      <c r="V355">
        <f>step3_validation[[#This Row],[AI_ENF2]]</f>
        <v>8</v>
      </c>
      <c r="W355" t="str">
        <f t="shared" si="138"/>
        <v>Support</v>
      </c>
      <c r="X355">
        <f>survey_responses[[#This Row],[Tôi tin rằng Nhà nước, cơ quan thuế có đủ khả năng và công nghệ để phát hiện, xử lý nghiêm các hành vi trốn thuế. - HUMAN-ENF2]]</f>
        <v>9</v>
      </c>
      <c r="Y355" t="str">
        <f t="shared" si="139"/>
        <v>Support</v>
      </c>
      <c r="Z355" s="31">
        <f t="shared" si="140"/>
        <v>1</v>
      </c>
      <c r="AA355">
        <f>step3_validation[[#This Row],[AI_FAC1]]</f>
        <v>9</v>
      </c>
      <c r="AB355" t="str">
        <f t="shared" si="141"/>
        <v>Support</v>
      </c>
      <c r="AC355">
        <f>survey_responses[[#This Row],[Các thủ tục khai báo thuế VÀ/HOẶC quy trình làm việc với cơ quan thuế đơn giản, tiện lợi, nhanh chóng hơn so với trước đây. - HUMAN-FAC1]]</f>
        <v>10</v>
      </c>
      <c r="AD355" t="str">
        <f t="shared" si="142"/>
        <v>Support</v>
      </c>
      <c r="AE355" s="31">
        <f t="shared" si="143"/>
        <v>1</v>
      </c>
      <c r="AF355">
        <f>step3_validation[[#This Row],[AI_FAC2]]</f>
        <v>7</v>
      </c>
      <c r="AG355" t="str">
        <f t="shared" si="144"/>
        <v>Neutral</v>
      </c>
      <c r="AH355">
        <f>survey_responses[[#This Row],[So với trước đây, tôi thấy cách tính thuế và các bậc thuế trong phương án mới đơn giản, dễ hiểu và dễ thực hiện hơn. - HUMAN-FAC2]]</f>
        <v>10</v>
      </c>
      <c r="AI355" t="str">
        <f t="shared" si="145"/>
        <v>Support</v>
      </c>
      <c r="AJ355" s="31">
        <f t="shared" si="146"/>
        <v>3</v>
      </c>
      <c r="AK355">
        <f>step3_validation[[#This Row],[AI_TRU1]]</f>
        <v>8</v>
      </c>
      <c r="AL355" t="str">
        <f t="shared" si="147"/>
        <v>Support</v>
      </c>
      <c r="AM355">
        <f>survey_responses[[#This Row],[Tôi tin rằng Nhà nước, cơ quan thuế sẽ thực thi chính sách mới một cách khách quan, công tâm và đối xử bình đẳng với mọi người nộp thuế.  - HUMAN-TRU1]]</f>
        <v>9</v>
      </c>
      <c r="AN355" t="str">
        <f t="shared" si="148"/>
        <v>Support</v>
      </c>
      <c r="AO355" s="31">
        <f t="shared" si="149"/>
        <v>1</v>
      </c>
      <c r="AP355">
        <f>step3_validation[[#This Row],[AI_TRU2]]</f>
        <v>9</v>
      </c>
      <c r="AQ355" t="str">
        <f t="shared" si="150"/>
        <v>Support</v>
      </c>
      <c r="AR355">
        <f>survey_responses[[#This Row],[Tôi thấy mức thuế tôi phải đóng theo phương án mới là công bằng (người thu nhập như tôi đóng mức này là hợp lý). - HUMAN-TRU2]]</f>
        <v>10</v>
      </c>
      <c r="AS355" t="str">
        <f t="shared" si="151"/>
        <v>Support</v>
      </c>
      <c r="AT355" s="31">
        <f t="shared" si="152"/>
        <v>1</v>
      </c>
      <c r="AU355">
        <f>step3_validation[[#This Row],[AI_TRU3]]</f>
        <v>7</v>
      </c>
      <c r="AV355" t="str">
        <f t="shared" si="153"/>
        <v>Neutral</v>
      </c>
      <c r="AW355">
        <f>survey_responses[[#This Row],[Tôi tin tưởng số tiền thuế tôi đóng sẽ được Nhà nước sử dụng hiệu quả để cải thiện dịch vụ công (y tế, đường xá...). - HUMAN-TRU3]]</f>
        <v>8</v>
      </c>
      <c r="AX355" t="str">
        <f t="shared" si="154"/>
        <v>Support</v>
      </c>
      <c r="AY355" s="31">
        <f t="shared" si="155"/>
        <v>1</v>
      </c>
      <c r="AZ355">
        <f>step3_validation[[#This Row],[AI_TRU4]]</f>
        <v>8</v>
      </c>
      <c r="BA355" t="str">
        <f t="shared" si="156"/>
        <v>Support</v>
      </c>
      <c r="BB355">
        <f>survey_responses[[#This Row],[Tôi thấy Nhà nước đã giải thích rõ ràng, minh bạch về lý do và mục tiêu của việc sửa đổi thuế lần này. - HUMAN-TRU4]]</f>
        <v>8</v>
      </c>
      <c r="BC355" t="str">
        <f t="shared" si="157"/>
        <v>Support</v>
      </c>
      <c r="BD355" s="31">
        <f t="shared" si="158"/>
        <v>0</v>
      </c>
      <c r="BE355">
        <f>step3_validation[[#This Row],[AI_OUT1]]</f>
        <v>7</v>
      </c>
      <c r="BF355" t="str">
        <f t="shared" si="159"/>
        <v>Neutral</v>
      </c>
      <c r="BG355">
        <f>survey_responses[[#This Row],[Sau khi xem xét các quyền lợi và nghĩa vụ, bạn có ủng hộ và tuân thủ chính sách mới hiện nay? - HUMAN-OUT1]]</f>
        <v>9</v>
      </c>
      <c r="BH355" t="str">
        <f t="shared" si="160"/>
        <v>Support</v>
      </c>
      <c r="BI355" s="31">
        <f t="shared" si="161"/>
        <v>2</v>
      </c>
    </row>
    <row r="356" spans="1:61" hidden="1" x14ac:dyDescent="0.45">
      <c r="A356" s="29">
        <f>step3_validation[[#This Row],[Persona_ID]]</f>
        <v>355</v>
      </c>
      <c r="B356" s="30">
        <f>step3_validation[[#This Row],[Used_Seed]]</f>
        <v>396</v>
      </c>
      <c r="C356" t="str">
        <f>step3_validation[[#This Row],[Gender]]</f>
        <v>Nam</v>
      </c>
      <c r="D356" t="str">
        <f>survey_responses[[#This Row],[Giới tính của bạn:]]</f>
        <v>Nam</v>
      </c>
      <c r="E356" t="str">
        <f>step3_validation[[#This Row],[Age_Group]]</f>
        <v>18 - 24</v>
      </c>
      <c r="F356" t="str">
        <f>survey_responses[[#This Row],[Độ tuổi của bạn:]]</f>
        <v>18 - 24</v>
      </c>
      <c r="G356" t="str">
        <f>step3_validation[[#This Row],[Region]]</f>
        <v>Thành thị</v>
      </c>
      <c r="H356" t="str">
        <f>survey_responses[[#This Row],[Khu vực bạn đang sinh sống:]]</f>
        <v>Thành thị</v>
      </c>
      <c r="I356" t="str">
        <f>step3_validation[[#This Row],[Education]]</f>
        <v>Đại học</v>
      </c>
      <c r="J356" t="str">
        <f>survey_responses[[#This Row],[Trình độ học vấn cao nhất:]]</f>
        <v>Đại học</v>
      </c>
      <c r="K356" t="str">
        <f>step3_validation[[#This Row],[Employment]]</f>
        <v>Chính thức</v>
      </c>
      <c r="L356" t="str">
        <f>survey_responses[[#This Row],[Tình trạng việc làm chính:]]</f>
        <v>Khu vực chính thức (Có Hợp đồng lao động, đóng BHXH)</v>
      </c>
      <c r="M356">
        <f>step3_validation[[#This Row],[Income_Mil]]</f>
        <v>12.946648626423238</v>
      </c>
      <c r="N356" t="str">
        <f>survey_responses[[#This Row],[Thu nhập bình quân tháng theo Hợp đồng lao động của bạn là bao nhiêu? (Vui lòng điền tổng thu nhập trước khi khấu trừ các loại Bảo hiểm (BHXH, BHYT, BHTN) và Thuế TNCN)]]</f>
        <v>Từ 12 - 18 triệu VNĐ</v>
      </c>
      <c r="O356">
        <f>step3_validation[[#This Row],[Dependents]]</f>
        <v>0</v>
      </c>
      <c r="P356" t="str">
        <f>survey_responses[[#This Row],[Số người phụ thuộc (con nhỏ, cha mẹ già...) đủ điều kiện giảm trừ gia cảnh:]]</f>
        <v>0 người</v>
      </c>
      <c r="Q356">
        <f>step3_validation[[#This Row],[AI_ENF1]]</f>
        <v>7</v>
      </c>
      <c r="R356" t="str">
        <f t="shared" si="135"/>
        <v>Neutral</v>
      </c>
      <c r="S356">
        <f>survey_responses[[#This Row],[Tôi tin rằng với các quy định quản lý thuế hiện nay, hành vi gian lận hoặc trốn thuế sẽ dễ dàng bị phát hiện và xử lý nghiêm. - HUMAN-ENF1]]</f>
        <v>7</v>
      </c>
      <c r="T356" t="str">
        <f t="shared" si="136"/>
        <v>Neutral</v>
      </c>
      <c r="U356" s="31">
        <f t="shared" si="137"/>
        <v>0</v>
      </c>
      <c r="V356">
        <f>step3_validation[[#This Row],[AI_ENF2]]</f>
        <v>6</v>
      </c>
      <c r="W356" t="str">
        <f t="shared" si="138"/>
        <v>Neutral</v>
      </c>
      <c r="X356">
        <f>survey_responses[[#This Row],[Tôi tin rằng Nhà nước, cơ quan thuế có đủ khả năng và công nghệ để phát hiện, xử lý nghiêm các hành vi trốn thuế. - HUMAN-ENF2]]</f>
        <v>8</v>
      </c>
      <c r="Y356" t="str">
        <f t="shared" si="139"/>
        <v>Support</v>
      </c>
      <c r="Z356" s="31">
        <f t="shared" si="140"/>
        <v>2</v>
      </c>
      <c r="AA356">
        <f>step3_validation[[#This Row],[AI_FAC1]]</f>
        <v>9</v>
      </c>
      <c r="AB356" t="str">
        <f t="shared" si="141"/>
        <v>Support</v>
      </c>
      <c r="AC356">
        <f>survey_responses[[#This Row],[Các thủ tục khai báo thuế VÀ/HOẶC quy trình làm việc với cơ quan thuế đơn giản, tiện lợi, nhanh chóng hơn so với trước đây. - HUMAN-FAC1]]</f>
        <v>8</v>
      </c>
      <c r="AD356" t="str">
        <f t="shared" si="142"/>
        <v>Support</v>
      </c>
      <c r="AE356" s="31">
        <f t="shared" si="143"/>
        <v>1</v>
      </c>
      <c r="AF356">
        <f>step3_validation[[#This Row],[AI_FAC2]]</f>
        <v>8</v>
      </c>
      <c r="AG356" t="str">
        <f t="shared" si="144"/>
        <v>Support</v>
      </c>
      <c r="AH356">
        <f>survey_responses[[#This Row],[So với trước đây, tôi thấy cách tính thuế và các bậc thuế trong phương án mới đơn giản, dễ hiểu và dễ thực hiện hơn. - HUMAN-FAC2]]</f>
        <v>9</v>
      </c>
      <c r="AI356" t="str">
        <f t="shared" si="145"/>
        <v>Support</v>
      </c>
      <c r="AJ356" s="31">
        <f t="shared" si="146"/>
        <v>1</v>
      </c>
      <c r="AK356">
        <f>step3_validation[[#This Row],[AI_TRU1]]</f>
        <v>0</v>
      </c>
      <c r="AL356" t="str">
        <f t="shared" si="147"/>
        <v/>
      </c>
      <c r="AM356">
        <f>survey_responses[[#This Row],[Tôi tin rằng Nhà nước, cơ quan thuế sẽ thực thi chính sách mới một cách khách quan, công tâm và đối xử bình đẳng với mọi người nộp thuế.  - HUMAN-TRU1]]</f>
        <v>8</v>
      </c>
      <c r="AN356" t="str">
        <f t="shared" si="148"/>
        <v>Support</v>
      </c>
      <c r="AO356" s="31">
        <f t="shared" si="149"/>
        <v>8</v>
      </c>
      <c r="AP356">
        <f>step3_validation[[#This Row],[AI_TRU2]]</f>
        <v>0</v>
      </c>
      <c r="AQ356" t="str">
        <f t="shared" si="150"/>
        <v/>
      </c>
      <c r="AR356">
        <f>survey_responses[[#This Row],[Tôi thấy mức thuế tôi phải đóng theo phương án mới là công bằng (người thu nhập như tôi đóng mức này là hợp lý). - HUMAN-TRU2]]</f>
        <v>10</v>
      </c>
      <c r="AS356" t="str">
        <f t="shared" si="151"/>
        <v>Support</v>
      </c>
      <c r="AT356" s="31">
        <f t="shared" si="152"/>
        <v>10</v>
      </c>
      <c r="AU356">
        <f>step3_validation[[#This Row],[AI_TRU3]]</f>
        <v>0</v>
      </c>
      <c r="AV356" t="str">
        <f t="shared" si="153"/>
        <v/>
      </c>
      <c r="AW356">
        <f>survey_responses[[#This Row],[Tôi tin tưởng số tiền thuế tôi đóng sẽ được Nhà nước sử dụng hiệu quả để cải thiện dịch vụ công (y tế, đường xá...). - HUMAN-TRU3]]</f>
        <v>8</v>
      </c>
      <c r="AX356" t="str">
        <f t="shared" si="154"/>
        <v>Support</v>
      </c>
      <c r="AY356" s="31">
        <f t="shared" si="155"/>
        <v>8</v>
      </c>
      <c r="AZ356">
        <f>step3_validation[[#This Row],[AI_TRU4]]</f>
        <v>0</v>
      </c>
      <c r="BA356" t="str">
        <f t="shared" si="156"/>
        <v/>
      </c>
      <c r="BB356">
        <f>survey_responses[[#This Row],[Tôi thấy Nhà nước đã giải thích rõ ràng, minh bạch về lý do và mục tiêu của việc sửa đổi thuế lần này. - HUMAN-TRU4]]</f>
        <v>8</v>
      </c>
      <c r="BC356" t="str">
        <f t="shared" si="157"/>
        <v>Support</v>
      </c>
      <c r="BD356" s="31">
        <f t="shared" si="158"/>
        <v>8</v>
      </c>
      <c r="BE356">
        <f>step3_validation[[#This Row],[AI_OUT1]]</f>
        <v>0</v>
      </c>
      <c r="BF356" t="str">
        <f t="shared" si="159"/>
        <v/>
      </c>
      <c r="BG356">
        <f>survey_responses[[#This Row],[Sau khi xem xét các quyền lợi và nghĩa vụ, bạn có ủng hộ và tuân thủ chính sách mới hiện nay? - HUMAN-OUT1]]</f>
        <v>9</v>
      </c>
      <c r="BH356" t="str">
        <f t="shared" si="160"/>
        <v>Support</v>
      </c>
      <c r="BI356" s="31">
        <f t="shared" si="161"/>
        <v>9</v>
      </c>
    </row>
    <row r="357" spans="1:61" hidden="1" x14ac:dyDescent="0.45">
      <c r="A357" s="29">
        <f>step3_validation[[#This Row],[Persona_ID]]</f>
        <v>356</v>
      </c>
      <c r="B357" s="30">
        <f>step3_validation[[#This Row],[Used_Seed]]</f>
        <v>397</v>
      </c>
      <c r="C357" t="str">
        <f>step3_validation[[#This Row],[Gender]]</f>
        <v>Nam</v>
      </c>
      <c r="D357" t="str">
        <f>survey_responses[[#This Row],[Giới tính của bạn:]]</f>
        <v>Nam</v>
      </c>
      <c r="E357" t="str">
        <f>step3_validation[[#This Row],[Age_Group]]</f>
        <v>18 - 24</v>
      </c>
      <c r="F357" t="str">
        <f>survey_responses[[#This Row],[Độ tuổi của bạn:]]</f>
        <v>18 - 24</v>
      </c>
      <c r="G357" t="str">
        <f>step3_validation[[#This Row],[Region]]</f>
        <v>Thành thị</v>
      </c>
      <c r="H357" t="str">
        <f>survey_responses[[#This Row],[Khu vực bạn đang sinh sống:]]</f>
        <v>Thành thị</v>
      </c>
      <c r="I357" t="str">
        <f>step3_validation[[#This Row],[Education]]</f>
        <v>Đại học</v>
      </c>
      <c r="J357" t="str">
        <f>survey_responses[[#This Row],[Trình độ học vấn cao nhất:]]</f>
        <v>Đại học</v>
      </c>
      <c r="K357" t="str">
        <f>step3_validation[[#This Row],[Employment]]</f>
        <v>Chính thức</v>
      </c>
      <c r="L357" t="str">
        <f>survey_responses[[#This Row],[Tình trạng việc làm chính:]]</f>
        <v>Khu vực chính thức (Có Hợp đồng lao động, đóng BHXH)</v>
      </c>
      <c r="M357">
        <f>step3_validation[[#This Row],[Income_Mil]]</f>
        <v>16.375265889761035</v>
      </c>
      <c r="N357" t="str">
        <f>survey_responses[[#This Row],[Thu nhập bình quân tháng theo Hợp đồng lao động của bạn là bao nhiêu? (Vui lòng điền tổng thu nhập trước khi khấu trừ các loại Bảo hiểm (BHXH, BHYT, BHTN) và Thuế TNCN)]]</f>
        <v>Từ 12 - 18 triệu VNĐ</v>
      </c>
      <c r="O357">
        <f>step3_validation[[#This Row],[Dependents]]</f>
        <v>0</v>
      </c>
      <c r="P357" t="str">
        <f>survey_responses[[#This Row],[Số người phụ thuộc (con nhỏ, cha mẹ già...) đủ điều kiện giảm trừ gia cảnh:]]</f>
        <v>0 người</v>
      </c>
      <c r="Q357">
        <f>step3_validation[[#This Row],[AI_ENF1]]</f>
        <v>8</v>
      </c>
      <c r="R357" t="str">
        <f t="shared" si="135"/>
        <v>Support</v>
      </c>
      <c r="S357">
        <f>survey_responses[[#This Row],[Tôi tin rằng với các quy định quản lý thuế hiện nay, hành vi gian lận hoặc trốn thuế sẽ dễ dàng bị phát hiện và xử lý nghiêm. - HUMAN-ENF1]]</f>
        <v>7</v>
      </c>
      <c r="T357" t="str">
        <f t="shared" si="136"/>
        <v>Neutral</v>
      </c>
      <c r="U357" s="31">
        <f t="shared" si="137"/>
        <v>1</v>
      </c>
      <c r="V357">
        <f>step3_validation[[#This Row],[AI_ENF2]]</f>
        <v>9</v>
      </c>
      <c r="W357" t="str">
        <f t="shared" si="138"/>
        <v>Support</v>
      </c>
      <c r="X357">
        <f>survey_responses[[#This Row],[Tôi tin rằng Nhà nước, cơ quan thuế có đủ khả năng và công nghệ để phát hiện, xử lý nghiêm các hành vi trốn thuế. - HUMAN-ENF2]]</f>
        <v>7</v>
      </c>
      <c r="Y357" t="str">
        <f t="shared" si="139"/>
        <v>Neutral</v>
      </c>
      <c r="Z357" s="31">
        <f t="shared" si="140"/>
        <v>2</v>
      </c>
      <c r="AA357">
        <f>step3_validation[[#This Row],[AI_FAC1]]</f>
        <v>8</v>
      </c>
      <c r="AB357" t="str">
        <f t="shared" si="141"/>
        <v>Support</v>
      </c>
      <c r="AC357">
        <f>survey_responses[[#This Row],[Các thủ tục khai báo thuế VÀ/HOẶC quy trình làm việc với cơ quan thuế đơn giản, tiện lợi, nhanh chóng hơn so với trước đây. - HUMAN-FAC1]]</f>
        <v>8</v>
      </c>
      <c r="AD357" t="str">
        <f t="shared" si="142"/>
        <v>Support</v>
      </c>
      <c r="AE357" s="31">
        <f t="shared" si="143"/>
        <v>0</v>
      </c>
      <c r="AF357">
        <f>step3_validation[[#This Row],[AI_FAC2]]</f>
        <v>9</v>
      </c>
      <c r="AG357" t="str">
        <f t="shared" si="144"/>
        <v>Support</v>
      </c>
      <c r="AH357">
        <f>survey_responses[[#This Row],[So với trước đây, tôi thấy cách tính thuế và các bậc thuế trong phương án mới đơn giản, dễ hiểu và dễ thực hiện hơn. - HUMAN-FAC2]]</f>
        <v>10</v>
      </c>
      <c r="AI357" t="str">
        <f t="shared" si="145"/>
        <v>Support</v>
      </c>
      <c r="AJ357" s="31">
        <f t="shared" si="146"/>
        <v>1</v>
      </c>
      <c r="AK357">
        <f>step3_validation[[#This Row],[AI_TRU1]]</f>
        <v>8</v>
      </c>
      <c r="AL357" t="str">
        <f t="shared" si="147"/>
        <v>Support</v>
      </c>
      <c r="AM357">
        <f>survey_responses[[#This Row],[Tôi tin rằng Nhà nước, cơ quan thuế sẽ thực thi chính sách mới một cách khách quan, công tâm và đối xử bình đẳng với mọi người nộp thuế.  - HUMAN-TRU1]]</f>
        <v>9</v>
      </c>
      <c r="AN357" t="str">
        <f t="shared" si="148"/>
        <v>Support</v>
      </c>
      <c r="AO357" s="31">
        <f t="shared" si="149"/>
        <v>1</v>
      </c>
      <c r="AP357">
        <f>step3_validation[[#This Row],[AI_TRU2]]</f>
        <v>9</v>
      </c>
      <c r="AQ357" t="str">
        <f t="shared" si="150"/>
        <v>Support</v>
      </c>
      <c r="AR357">
        <f>survey_responses[[#This Row],[Tôi thấy mức thuế tôi phải đóng theo phương án mới là công bằng (người thu nhập như tôi đóng mức này là hợp lý). - HUMAN-TRU2]]</f>
        <v>10</v>
      </c>
      <c r="AS357" t="str">
        <f t="shared" si="151"/>
        <v>Support</v>
      </c>
      <c r="AT357" s="31">
        <f t="shared" si="152"/>
        <v>1</v>
      </c>
      <c r="AU357">
        <f>step3_validation[[#This Row],[AI_TRU3]]</f>
        <v>8</v>
      </c>
      <c r="AV357" t="str">
        <f t="shared" si="153"/>
        <v>Support</v>
      </c>
      <c r="AW357">
        <f>survey_responses[[#This Row],[Tôi tin tưởng số tiền thuế tôi đóng sẽ được Nhà nước sử dụng hiệu quả để cải thiện dịch vụ công (y tế, đường xá...). - HUMAN-TRU3]]</f>
        <v>8</v>
      </c>
      <c r="AX357" t="str">
        <f t="shared" si="154"/>
        <v>Support</v>
      </c>
      <c r="AY357" s="31">
        <f t="shared" si="155"/>
        <v>0</v>
      </c>
      <c r="AZ357">
        <f>step3_validation[[#This Row],[AI_TRU4]]</f>
        <v>9</v>
      </c>
      <c r="BA357" t="str">
        <f t="shared" si="156"/>
        <v>Support</v>
      </c>
      <c r="BB357">
        <f>survey_responses[[#This Row],[Tôi thấy Nhà nước đã giải thích rõ ràng, minh bạch về lý do và mục tiêu của việc sửa đổi thuế lần này. - HUMAN-TRU4]]</f>
        <v>8</v>
      </c>
      <c r="BC357" t="str">
        <f t="shared" si="157"/>
        <v>Support</v>
      </c>
      <c r="BD357" s="31">
        <f t="shared" si="158"/>
        <v>1</v>
      </c>
      <c r="BE357">
        <f>step3_validation[[#This Row],[AI_OUT1]]</f>
        <v>10</v>
      </c>
      <c r="BF357" t="str">
        <f t="shared" si="159"/>
        <v>Support</v>
      </c>
      <c r="BG357">
        <f>survey_responses[[#This Row],[Sau khi xem xét các quyền lợi và nghĩa vụ, bạn có ủng hộ và tuân thủ chính sách mới hiện nay? - HUMAN-OUT1]]</f>
        <v>10</v>
      </c>
      <c r="BH357" t="str">
        <f t="shared" si="160"/>
        <v>Support</v>
      </c>
      <c r="BI357" s="31">
        <f t="shared" si="161"/>
        <v>0</v>
      </c>
    </row>
    <row r="358" spans="1:61" hidden="1" x14ac:dyDescent="0.45">
      <c r="A358" s="29">
        <f>step3_validation[[#This Row],[Persona_ID]]</f>
        <v>357</v>
      </c>
      <c r="B358" s="30">
        <f>step3_validation[[#This Row],[Used_Seed]]</f>
        <v>398</v>
      </c>
      <c r="C358" t="str">
        <f>step3_validation[[#This Row],[Gender]]</f>
        <v>Nam</v>
      </c>
      <c r="D358" t="str">
        <f>survey_responses[[#This Row],[Giới tính của bạn:]]</f>
        <v>Nam</v>
      </c>
      <c r="E358" t="str">
        <f>step3_validation[[#This Row],[Age_Group]]</f>
        <v>25 - 29</v>
      </c>
      <c r="F358" t="str">
        <f>survey_responses[[#This Row],[Độ tuổi của bạn:]]</f>
        <v>25 - 29</v>
      </c>
      <c r="G358" t="str">
        <f>step3_validation[[#This Row],[Region]]</f>
        <v>Thành thị</v>
      </c>
      <c r="H358" t="str">
        <f>survey_responses[[#This Row],[Khu vực bạn đang sinh sống:]]</f>
        <v>Thành thị</v>
      </c>
      <c r="I358" t="str">
        <f>step3_validation[[#This Row],[Education]]</f>
        <v>Đại học</v>
      </c>
      <c r="J358" t="str">
        <f>survey_responses[[#This Row],[Trình độ học vấn cao nhất:]]</f>
        <v>Đại học</v>
      </c>
      <c r="K358" t="str">
        <f>step3_validation[[#This Row],[Employment]]</f>
        <v>Chính thức</v>
      </c>
      <c r="L358" t="str">
        <f>survey_responses[[#This Row],[Tình trạng việc làm chính:]]</f>
        <v>Khu vực chính thức (Có Hợp đồng lao động, đóng BHXH)</v>
      </c>
      <c r="M358">
        <f>step3_validation[[#This Row],[Income_Mil]]</f>
        <v>26.747151426270499</v>
      </c>
      <c r="N358" t="str">
        <f>survey_responses[[#This Row],[Thu nhập bình quân tháng theo Hợp đồng lao động của bạn là bao nhiêu? (Vui lòng điền tổng thu nhập trước khi khấu trừ các loại Bảo hiểm (BHXH, BHYT, BHTN) và Thuế TNCN)]]</f>
        <v>Từ 23 - 32 triệu VNĐ</v>
      </c>
      <c r="O358">
        <f>step3_validation[[#This Row],[Dependents]]</f>
        <v>0</v>
      </c>
      <c r="P358" t="str">
        <f>survey_responses[[#This Row],[Số người phụ thuộc (con nhỏ, cha mẹ già...) đủ điều kiện giảm trừ gia cảnh:]]</f>
        <v>0 người</v>
      </c>
      <c r="Q358">
        <f>step3_validation[[#This Row],[AI_ENF1]]</f>
        <v>7</v>
      </c>
      <c r="R358" t="str">
        <f t="shared" si="135"/>
        <v>Neutral</v>
      </c>
      <c r="S358">
        <f>survey_responses[[#This Row],[Tôi tin rằng với các quy định quản lý thuế hiện nay, hành vi gian lận hoặc trốn thuế sẽ dễ dàng bị phát hiện và xử lý nghiêm. - HUMAN-ENF1]]</f>
        <v>9</v>
      </c>
      <c r="T358" t="str">
        <f t="shared" si="136"/>
        <v>Support</v>
      </c>
      <c r="U358" s="31">
        <f t="shared" si="137"/>
        <v>2</v>
      </c>
      <c r="V358">
        <f>step3_validation[[#This Row],[AI_ENF2]]</f>
        <v>6</v>
      </c>
      <c r="W358" t="str">
        <f t="shared" si="138"/>
        <v>Neutral</v>
      </c>
      <c r="X358">
        <f>survey_responses[[#This Row],[Tôi tin rằng Nhà nước, cơ quan thuế có đủ khả năng và công nghệ để phát hiện, xử lý nghiêm các hành vi trốn thuế. - HUMAN-ENF2]]</f>
        <v>9</v>
      </c>
      <c r="Y358" t="str">
        <f t="shared" si="139"/>
        <v>Support</v>
      </c>
      <c r="Z358" s="31">
        <f t="shared" si="140"/>
        <v>3</v>
      </c>
      <c r="AA358">
        <f>step3_validation[[#This Row],[AI_FAC1]]</f>
        <v>9</v>
      </c>
      <c r="AB358" t="str">
        <f t="shared" si="141"/>
        <v>Support</v>
      </c>
      <c r="AC358">
        <f>survey_responses[[#This Row],[Các thủ tục khai báo thuế VÀ/HOẶC quy trình làm việc với cơ quan thuế đơn giản, tiện lợi, nhanh chóng hơn so với trước đây. - HUMAN-FAC1]]</f>
        <v>8</v>
      </c>
      <c r="AD358" t="str">
        <f t="shared" si="142"/>
        <v>Support</v>
      </c>
      <c r="AE358" s="31">
        <f t="shared" si="143"/>
        <v>1</v>
      </c>
      <c r="AF358">
        <f>step3_validation[[#This Row],[AI_FAC2]]</f>
        <v>8</v>
      </c>
      <c r="AG358" t="str">
        <f t="shared" si="144"/>
        <v>Support</v>
      </c>
      <c r="AH358">
        <f>survey_responses[[#This Row],[So với trước đây, tôi thấy cách tính thuế và các bậc thuế trong phương án mới đơn giản, dễ hiểu và dễ thực hiện hơn. - HUMAN-FAC2]]</f>
        <v>9</v>
      </c>
      <c r="AI358" t="str">
        <f t="shared" si="145"/>
        <v>Support</v>
      </c>
      <c r="AJ358" s="31">
        <f t="shared" si="146"/>
        <v>1</v>
      </c>
      <c r="AK358">
        <f>step3_validation[[#This Row],[AI_TRU1]]</f>
        <v>7</v>
      </c>
      <c r="AL358" t="str">
        <f t="shared" si="147"/>
        <v>Neutral</v>
      </c>
      <c r="AM358">
        <f>survey_responses[[#This Row],[Tôi tin rằng Nhà nước, cơ quan thuế sẽ thực thi chính sách mới một cách khách quan, công tâm và đối xử bình đẳng với mọi người nộp thuế.  - HUMAN-TRU1]]</f>
        <v>8</v>
      </c>
      <c r="AN358" t="str">
        <f t="shared" si="148"/>
        <v>Support</v>
      </c>
      <c r="AO358" s="31">
        <f t="shared" si="149"/>
        <v>1</v>
      </c>
      <c r="AP358">
        <f>step3_validation[[#This Row],[AI_TRU2]]</f>
        <v>9</v>
      </c>
      <c r="AQ358" t="str">
        <f t="shared" si="150"/>
        <v>Support</v>
      </c>
      <c r="AR358">
        <f>survey_responses[[#This Row],[Tôi thấy mức thuế tôi phải đóng theo phương án mới là công bằng (người thu nhập như tôi đóng mức này là hợp lý). - HUMAN-TRU2]]</f>
        <v>8</v>
      </c>
      <c r="AS358" t="str">
        <f t="shared" si="151"/>
        <v>Support</v>
      </c>
      <c r="AT358" s="31">
        <f t="shared" si="152"/>
        <v>1</v>
      </c>
      <c r="AU358">
        <f>step3_validation[[#This Row],[AI_TRU3]]</f>
        <v>8</v>
      </c>
      <c r="AV358" t="str">
        <f t="shared" si="153"/>
        <v>Support</v>
      </c>
      <c r="AW358">
        <f>survey_responses[[#This Row],[Tôi tin tưởng số tiền thuế tôi đóng sẽ được Nhà nước sử dụng hiệu quả để cải thiện dịch vụ công (y tế, đường xá...). - HUMAN-TRU3]]</f>
        <v>7</v>
      </c>
      <c r="AX358" t="str">
        <f t="shared" si="154"/>
        <v>Neutral</v>
      </c>
      <c r="AY358" s="31">
        <f t="shared" si="155"/>
        <v>1</v>
      </c>
      <c r="AZ358">
        <f>step3_validation[[#This Row],[AI_TRU4]]</f>
        <v>9</v>
      </c>
      <c r="BA358" t="str">
        <f t="shared" si="156"/>
        <v>Support</v>
      </c>
      <c r="BB358">
        <f>survey_responses[[#This Row],[Tôi thấy Nhà nước đã giải thích rõ ràng, minh bạch về lý do và mục tiêu của việc sửa đổi thuế lần này. - HUMAN-TRU4]]</f>
        <v>7</v>
      </c>
      <c r="BC358" t="str">
        <f t="shared" si="157"/>
        <v>Neutral</v>
      </c>
      <c r="BD358" s="31">
        <f t="shared" si="158"/>
        <v>2</v>
      </c>
      <c r="BE358">
        <f>step3_validation[[#This Row],[AI_OUT1]]</f>
        <v>8</v>
      </c>
      <c r="BF358" t="str">
        <f t="shared" si="159"/>
        <v>Support</v>
      </c>
      <c r="BG358">
        <f>survey_responses[[#This Row],[Sau khi xem xét các quyền lợi và nghĩa vụ, bạn có ủng hộ và tuân thủ chính sách mới hiện nay? - HUMAN-OUT1]]</f>
        <v>8</v>
      </c>
      <c r="BH358" t="str">
        <f t="shared" si="160"/>
        <v>Support</v>
      </c>
      <c r="BI358" s="31">
        <f t="shared" si="161"/>
        <v>0</v>
      </c>
    </row>
    <row r="359" spans="1:61" hidden="1" x14ac:dyDescent="0.45">
      <c r="A359" s="29">
        <f>step3_validation[[#This Row],[Persona_ID]]</f>
        <v>358</v>
      </c>
      <c r="B359" s="30">
        <f>step3_validation[[#This Row],[Used_Seed]]</f>
        <v>399</v>
      </c>
      <c r="C359" t="str">
        <f>step3_validation[[#This Row],[Gender]]</f>
        <v>Nữ</v>
      </c>
      <c r="D359" t="str">
        <f>survey_responses[[#This Row],[Giới tính của bạn:]]</f>
        <v>Nữ</v>
      </c>
      <c r="E359" t="str">
        <f>step3_validation[[#This Row],[Age_Group]]</f>
        <v>18 - 24</v>
      </c>
      <c r="F359" t="str">
        <f>survey_responses[[#This Row],[Độ tuổi của bạn:]]</f>
        <v>18 - 24</v>
      </c>
      <c r="G359" t="str">
        <f>step3_validation[[#This Row],[Region]]</f>
        <v>Thành thị</v>
      </c>
      <c r="H359" t="str">
        <f>survey_responses[[#This Row],[Khu vực bạn đang sinh sống:]]</f>
        <v>Thành thị</v>
      </c>
      <c r="I359" t="str">
        <f>step3_validation[[#This Row],[Education]]</f>
        <v>Đại học</v>
      </c>
      <c r="J359" t="str">
        <f>survey_responses[[#This Row],[Trình độ học vấn cao nhất:]]</f>
        <v>Đại học</v>
      </c>
      <c r="K359" t="str">
        <f>step3_validation[[#This Row],[Employment]]</f>
        <v>Chính thức</v>
      </c>
      <c r="L359" t="str">
        <f>survey_responses[[#This Row],[Tình trạng việc làm chính:]]</f>
        <v>Khu vực chính thức (Có Hợp đồng lao động, đóng BHXH)</v>
      </c>
      <c r="M359">
        <f>step3_validation[[#This Row],[Income_Mil]]</f>
        <v>15.530543139297841</v>
      </c>
      <c r="N359" t="str">
        <f>survey_responses[[#This Row],[Thu nhập bình quân tháng theo Hợp đồng lao động của bạn là bao nhiêu? (Vui lòng điền tổng thu nhập trước khi khấu trừ các loại Bảo hiểm (BHXH, BHYT, BHTN) và Thuế TNCN)]]</f>
        <v>Từ 12 - 18 triệu VNĐ</v>
      </c>
      <c r="O359">
        <f>step3_validation[[#This Row],[Dependents]]</f>
        <v>0</v>
      </c>
      <c r="P359" t="str">
        <f>survey_responses[[#This Row],[Số người phụ thuộc (con nhỏ, cha mẹ già...) đủ điều kiện giảm trừ gia cảnh:]]</f>
        <v>0 người</v>
      </c>
      <c r="Q359">
        <f>step3_validation[[#This Row],[AI_ENF1]]</f>
        <v>6</v>
      </c>
      <c r="R359" t="str">
        <f t="shared" si="135"/>
        <v>Neutral</v>
      </c>
      <c r="S359">
        <f>survey_responses[[#This Row],[Tôi tin rằng với các quy định quản lý thuế hiện nay, hành vi gian lận hoặc trốn thuế sẽ dễ dàng bị phát hiện và xử lý nghiêm. - HUMAN-ENF1]]</f>
        <v>7</v>
      </c>
      <c r="T359" t="str">
        <f t="shared" si="136"/>
        <v>Neutral</v>
      </c>
      <c r="U359" s="31">
        <f t="shared" si="137"/>
        <v>1</v>
      </c>
      <c r="V359">
        <f>step3_validation[[#This Row],[AI_ENF2]]</f>
        <v>6</v>
      </c>
      <c r="W359" t="str">
        <f t="shared" si="138"/>
        <v>Neutral</v>
      </c>
      <c r="X359">
        <f>survey_responses[[#This Row],[Tôi tin rằng Nhà nước, cơ quan thuế có đủ khả năng và công nghệ để phát hiện, xử lý nghiêm các hành vi trốn thuế. - HUMAN-ENF2]]</f>
        <v>7</v>
      </c>
      <c r="Y359" t="str">
        <f t="shared" si="139"/>
        <v>Neutral</v>
      </c>
      <c r="Z359" s="31">
        <f t="shared" si="140"/>
        <v>1</v>
      </c>
      <c r="AA359">
        <f>step3_validation[[#This Row],[AI_FAC1]]</f>
        <v>7</v>
      </c>
      <c r="AB359" t="str">
        <f t="shared" si="141"/>
        <v>Neutral</v>
      </c>
      <c r="AC359">
        <f>survey_responses[[#This Row],[Các thủ tục khai báo thuế VÀ/HOẶC quy trình làm việc với cơ quan thuế đơn giản, tiện lợi, nhanh chóng hơn so với trước đây. - HUMAN-FAC1]]</f>
        <v>7</v>
      </c>
      <c r="AD359" t="str">
        <f t="shared" si="142"/>
        <v>Neutral</v>
      </c>
      <c r="AE359" s="31">
        <f t="shared" si="143"/>
        <v>0</v>
      </c>
      <c r="AF359">
        <f>step3_validation[[#This Row],[AI_FAC2]]</f>
        <v>9</v>
      </c>
      <c r="AG359" t="str">
        <f t="shared" si="144"/>
        <v>Support</v>
      </c>
      <c r="AH359">
        <f>survey_responses[[#This Row],[So với trước đây, tôi thấy cách tính thuế và các bậc thuế trong phương án mới đơn giản, dễ hiểu và dễ thực hiện hơn. - HUMAN-FAC2]]</f>
        <v>8</v>
      </c>
      <c r="AI359" t="str">
        <f t="shared" si="145"/>
        <v>Support</v>
      </c>
      <c r="AJ359" s="31">
        <f t="shared" si="146"/>
        <v>1</v>
      </c>
      <c r="AK359">
        <f>step3_validation[[#This Row],[AI_TRU1]]</f>
        <v>7</v>
      </c>
      <c r="AL359" t="str">
        <f t="shared" si="147"/>
        <v>Neutral</v>
      </c>
      <c r="AM359">
        <f>survey_responses[[#This Row],[Tôi tin rằng Nhà nước, cơ quan thuế sẽ thực thi chính sách mới một cách khách quan, công tâm và đối xử bình đẳng với mọi người nộp thuế.  - HUMAN-TRU1]]</f>
        <v>7</v>
      </c>
      <c r="AN359" t="str">
        <f t="shared" si="148"/>
        <v>Neutral</v>
      </c>
      <c r="AO359" s="31">
        <f t="shared" si="149"/>
        <v>0</v>
      </c>
      <c r="AP359">
        <f>step3_validation[[#This Row],[AI_TRU2]]</f>
        <v>8</v>
      </c>
      <c r="AQ359" t="str">
        <f t="shared" si="150"/>
        <v>Support</v>
      </c>
      <c r="AR359">
        <f>survey_responses[[#This Row],[Tôi thấy mức thuế tôi phải đóng theo phương án mới là công bằng (người thu nhập như tôi đóng mức này là hợp lý). - HUMAN-TRU2]]</f>
        <v>9</v>
      </c>
      <c r="AS359" t="str">
        <f t="shared" si="151"/>
        <v>Support</v>
      </c>
      <c r="AT359" s="31">
        <f t="shared" si="152"/>
        <v>1</v>
      </c>
      <c r="AU359">
        <f>step3_validation[[#This Row],[AI_TRU3]]</f>
        <v>7</v>
      </c>
      <c r="AV359" t="str">
        <f t="shared" si="153"/>
        <v>Neutral</v>
      </c>
      <c r="AW359">
        <f>survey_responses[[#This Row],[Tôi tin tưởng số tiền thuế tôi đóng sẽ được Nhà nước sử dụng hiệu quả để cải thiện dịch vụ công (y tế, đường xá...). - HUMAN-TRU3]]</f>
        <v>8</v>
      </c>
      <c r="AX359" t="str">
        <f t="shared" si="154"/>
        <v>Support</v>
      </c>
      <c r="AY359" s="31">
        <f t="shared" si="155"/>
        <v>1</v>
      </c>
      <c r="AZ359">
        <f>step3_validation[[#This Row],[AI_TRU4]]</f>
        <v>8</v>
      </c>
      <c r="BA359" t="str">
        <f t="shared" si="156"/>
        <v>Support</v>
      </c>
      <c r="BB359">
        <f>survey_responses[[#This Row],[Tôi thấy Nhà nước đã giải thích rõ ràng, minh bạch về lý do và mục tiêu của việc sửa đổi thuế lần này. - HUMAN-TRU4]]</f>
        <v>8</v>
      </c>
      <c r="BC359" t="str">
        <f t="shared" si="157"/>
        <v>Support</v>
      </c>
      <c r="BD359" s="31">
        <f t="shared" si="158"/>
        <v>0</v>
      </c>
      <c r="BE359">
        <f>step3_validation[[#This Row],[AI_OUT1]]</f>
        <v>9</v>
      </c>
      <c r="BF359" t="str">
        <f t="shared" si="159"/>
        <v>Support</v>
      </c>
      <c r="BG359">
        <f>survey_responses[[#This Row],[Sau khi xem xét các quyền lợi và nghĩa vụ, bạn có ủng hộ và tuân thủ chính sách mới hiện nay? - HUMAN-OUT1]]</f>
        <v>8</v>
      </c>
      <c r="BH359" t="str">
        <f t="shared" si="160"/>
        <v>Support</v>
      </c>
      <c r="BI359" s="31">
        <f t="shared" si="161"/>
        <v>1</v>
      </c>
    </row>
    <row r="360" spans="1:61" hidden="1" x14ac:dyDescent="0.45">
      <c r="A360" s="29">
        <f>step3_validation[[#This Row],[Persona_ID]]</f>
        <v>359</v>
      </c>
      <c r="B360" s="30">
        <f>step3_validation[[#This Row],[Used_Seed]]</f>
        <v>400</v>
      </c>
      <c r="C360" t="str">
        <f>step3_validation[[#This Row],[Gender]]</f>
        <v>Nữ</v>
      </c>
      <c r="D360" t="str">
        <f>survey_responses[[#This Row],[Giới tính của bạn:]]</f>
        <v>Nữ</v>
      </c>
      <c r="E360" t="str">
        <f>step3_validation[[#This Row],[Age_Group]]</f>
        <v>25 - 29</v>
      </c>
      <c r="F360" t="str">
        <f>survey_responses[[#This Row],[Độ tuổi của bạn:]]</f>
        <v>25 - 29</v>
      </c>
      <c r="G360" t="str">
        <f>step3_validation[[#This Row],[Region]]</f>
        <v>Thành thị</v>
      </c>
      <c r="H360" t="str">
        <f>survey_responses[[#This Row],[Khu vực bạn đang sinh sống:]]</f>
        <v>Thành thị</v>
      </c>
      <c r="I360" t="str">
        <f>step3_validation[[#This Row],[Education]]</f>
        <v>Đại học</v>
      </c>
      <c r="J360" t="str">
        <f>survey_responses[[#This Row],[Trình độ học vấn cao nhất:]]</f>
        <v>Đại học</v>
      </c>
      <c r="K360" t="str">
        <f>step3_validation[[#This Row],[Employment]]</f>
        <v>Chính thức</v>
      </c>
      <c r="L360" t="str">
        <f>survey_responses[[#This Row],[Tình trạng việc làm chính:]]</f>
        <v>Khu vực chính thức (Có Hợp đồng lao động, đóng BHXH)</v>
      </c>
      <c r="M360">
        <f>step3_validation[[#This Row],[Income_Mil]]</f>
        <v>20.485635072954015</v>
      </c>
      <c r="N360" t="str">
        <f>survey_responses[[#This Row],[Thu nhập bình quân tháng theo Hợp đồng lao động của bạn là bao nhiêu? (Vui lòng điền tổng thu nhập trước khi khấu trừ các loại Bảo hiểm (BHXH, BHYT, BHTN) và Thuế TNCN)]]</f>
        <v>Từ 18 - 23 triệu VNĐ</v>
      </c>
      <c r="O360">
        <f>step3_validation[[#This Row],[Dependents]]</f>
        <v>1</v>
      </c>
      <c r="P360" t="str">
        <f>survey_responses[[#This Row],[Số người phụ thuộc (con nhỏ, cha mẹ già...) đủ điều kiện giảm trừ gia cảnh:]]</f>
        <v>1 người</v>
      </c>
      <c r="Q360">
        <f>step3_validation[[#This Row],[AI_ENF1]]</f>
        <v>7</v>
      </c>
      <c r="R360" t="str">
        <f t="shared" si="135"/>
        <v>Neutral</v>
      </c>
      <c r="S360">
        <f>survey_responses[[#This Row],[Tôi tin rằng với các quy định quản lý thuế hiện nay, hành vi gian lận hoặc trốn thuế sẽ dễ dàng bị phát hiện và xử lý nghiêm. - HUMAN-ENF1]]</f>
        <v>4</v>
      </c>
      <c r="T360" t="str">
        <f t="shared" si="136"/>
        <v>Oppose</v>
      </c>
      <c r="U360" s="31">
        <f t="shared" si="137"/>
        <v>3</v>
      </c>
      <c r="V360">
        <f>step3_validation[[#This Row],[AI_ENF2]]</f>
        <v>8</v>
      </c>
      <c r="W360" t="str">
        <f t="shared" si="138"/>
        <v>Support</v>
      </c>
      <c r="X360">
        <f>survey_responses[[#This Row],[Tôi tin rằng Nhà nước, cơ quan thuế có đủ khả năng và công nghệ để phát hiện, xử lý nghiêm các hành vi trốn thuế. - HUMAN-ENF2]]</f>
        <v>5</v>
      </c>
      <c r="Y360" t="str">
        <f t="shared" si="139"/>
        <v>Neutral</v>
      </c>
      <c r="Z360" s="31">
        <f t="shared" si="140"/>
        <v>3</v>
      </c>
      <c r="AA360">
        <f>step3_validation[[#This Row],[AI_FAC1]]</f>
        <v>9</v>
      </c>
      <c r="AB360" t="str">
        <f t="shared" si="141"/>
        <v>Support</v>
      </c>
      <c r="AC360">
        <f>survey_responses[[#This Row],[Các thủ tục khai báo thuế VÀ/HOẶC quy trình làm việc với cơ quan thuế đơn giản, tiện lợi, nhanh chóng hơn so với trước đây. - HUMAN-FAC1]]</f>
        <v>6</v>
      </c>
      <c r="AD360" t="str">
        <f t="shared" si="142"/>
        <v>Neutral</v>
      </c>
      <c r="AE360" s="31">
        <f t="shared" si="143"/>
        <v>3</v>
      </c>
      <c r="AF360">
        <f>step3_validation[[#This Row],[AI_FAC2]]</f>
        <v>8</v>
      </c>
      <c r="AG360" t="str">
        <f t="shared" si="144"/>
        <v>Support</v>
      </c>
      <c r="AH360">
        <f>survey_responses[[#This Row],[So với trước đây, tôi thấy cách tính thuế và các bậc thuế trong phương án mới đơn giản, dễ hiểu và dễ thực hiện hơn. - HUMAN-FAC2]]</f>
        <v>7</v>
      </c>
      <c r="AI360" t="str">
        <f t="shared" si="145"/>
        <v>Neutral</v>
      </c>
      <c r="AJ360" s="31">
        <f t="shared" si="146"/>
        <v>1</v>
      </c>
      <c r="AK360">
        <f>step3_validation[[#This Row],[AI_TRU1]]</f>
        <v>9</v>
      </c>
      <c r="AL360" t="str">
        <f t="shared" si="147"/>
        <v>Support</v>
      </c>
      <c r="AM360">
        <f>survey_responses[[#This Row],[Tôi tin rằng Nhà nước, cơ quan thuế sẽ thực thi chính sách mới một cách khách quan, công tâm và đối xử bình đẳng với mọi người nộp thuế.  - HUMAN-TRU1]]</f>
        <v>7</v>
      </c>
      <c r="AN360" t="str">
        <f t="shared" si="148"/>
        <v>Neutral</v>
      </c>
      <c r="AO360" s="31">
        <f t="shared" si="149"/>
        <v>2</v>
      </c>
      <c r="AP360">
        <f>step3_validation[[#This Row],[AI_TRU2]]</f>
        <v>8</v>
      </c>
      <c r="AQ360" t="str">
        <f t="shared" si="150"/>
        <v>Support</v>
      </c>
      <c r="AR360">
        <f>survey_responses[[#This Row],[Tôi thấy mức thuế tôi phải đóng theo phương án mới là công bằng (người thu nhập như tôi đóng mức này là hợp lý). - HUMAN-TRU2]]</f>
        <v>6</v>
      </c>
      <c r="AS360" t="str">
        <f t="shared" si="151"/>
        <v>Neutral</v>
      </c>
      <c r="AT360" s="31">
        <f t="shared" si="152"/>
        <v>2</v>
      </c>
      <c r="AU360">
        <f>step3_validation[[#This Row],[AI_TRU3]]</f>
        <v>9</v>
      </c>
      <c r="AV360" t="str">
        <f t="shared" si="153"/>
        <v>Support</v>
      </c>
      <c r="AW360">
        <f>survey_responses[[#This Row],[Tôi tin tưởng số tiền thuế tôi đóng sẽ được Nhà nước sử dụng hiệu quả để cải thiện dịch vụ công (y tế, đường xá...). - HUMAN-TRU3]]</f>
        <v>4</v>
      </c>
      <c r="AX360" t="str">
        <f t="shared" si="154"/>
        <v>Oppose</v>
      </c>
      <c r="AY360" s="31">
        <f t="shared" si="155"/>
        <v>5</v>
      </c>
      <c r="AZ360">
        <f>step3_validation[[#This Row],[AI_TRU4]]</f>
        <v>8</v>
      </c>
      <c r="BA360" t="str">
        <f t="shared" si="156"/>
        <v>Support</v>
      </c>
      <c r="BB360">
        <f>survey_responses[[#This Row],[Tôi thấy Nhà nước đã giải thích rõ ràng, minh bạch về lý do và mục tiêu của việc sửa đổi thuế lần này. - HUMAN-TRU4]]</f>
        <v>6</v>
      </c>
      <c r="BC360" t="str">
        <f t="shared" si="157"/>
        <v>Neutral</v>
      </c>
      <c r="BD360" s="31">
        <f t="shared" si="158"/>
        <v>2</v>
      </c>
      <c r="BE360">
        <f>step3_validation[[#This Row],[AI_OUT1]]</f>
        <v>9</v>
      </c>
      <c r="BF360" t="str">
        <f t="shared" si="159"/>
        <v>Support</v>
      </c>
      <c r="BG360">
        <f>survey_responses[[#This Row],[Sau khi xem xét các quyền lợi và nghĩa vụ, bạn có ủng hộ và tuân thủ chính sách mới hiện nay? - HUMAN-OUT1]]</f>
        <v>7</v>
      </c>
      <c r="BH360" t="str">
        <f t="shared" si="160"/>
        <v>Neutral</v>
      </c>
      <c r="BI360" s="31">
        <f t="shared" si="161"/>
        <v>2</v>
      </c>
    </row>
    <row r="361" spans="1:61" hidden="1" x14ac:dyDescent="0.45">
      <c r="A361" s="29">
        <f>step3_validation[[#This Row],[Persona_ID]]</f>
        <v>360</v>
      </c>
      <c r="B361" s="30">
        <f>step3_validation[[#This Row],[Used_Seed]]</f>
        <v>401</v>
      </c>
      <c r="C361" t="str">
        <f>step3_validation[[#This Row],[Gender]]</f>
        <v>Nam</v>
      </c>
      <c r="D361" t="str">
        <f>survey_responses[[#This Row],[Giới tính của bạn:]]</f>
        <v>Nam</v>
      </c>
      <c r="E361" t="str">
        <f>step3_validation[[#This Row],[Age_Group]]</f>
        <v>25 - 29</v>
      </c>
      <c r="F361" t="str">
        <f>survey_responses[[#This Row],[Độ tuổi của bạn:]]</f>
        <v>25 - 29</v>
      </c>
      <c r="G361" t="str">
        <f>step3_validation[[#This Row],[Region]]</f>
        <v>Thành thị</v>
      </c>
      <c r="H361" t="str">
        <f>survey_responses[[#This Row],[Khu vực bạn đang sinh sống:]]</f>
        <v>Thành thị</v>
      </c>
      <c r="I361" t="str">
        <f>step3_validation[[#This Row],[Education]]</f>
        <v>Đại học</v>
      </c>
      <c r="J361" t="str">
        <f>survey_responses[[#This Row],[Trình độ học vấn cao nhất:]]</f>
        <v>Đại học</v>
      </c>
      <c r="K361" t="str">
        <f>step3_validation[[#This Row],[Employment]]</f>
        <v>Chính thức</v>
      </c>
      <c r="L361" t="str">
        <f>survey_responses[[#This Row],[Tình trạng việc làm chính:]]</f>
        <v>Khu vực chính thức (Có Hợp đồng lao động, đóng BHXH)</v>
      </c>
      <c r="M361">
        <f>step3_validation[[#This Row],[Income_Mil]]</f>
        <v>20.857630152997423</v>
      </c>
      <c r="N361" t="str">
        <f>survey_responses[[#This Row],[Thu nhập bình quân tháng theo Hợp đồng lao động của bạn là bao nhiêu? (Vui lòng điền tổng thu nhập trước khi khấu trừ các loại Bảo hiểm (BHXH, BHYT, BHTN) và Thuế TNCN)]]</f>
        <v>Từ 18 - 23 triệu VNĐ</v>
      </c>
      <c r="O361">
        <f>step3_validation[[#This Row],[Dependents]]</f>
        <v>0</v>
      </c>
      <c r="P361" t="str">
        <f>survey_responses[[#This Row],[Số người phụ thuộc (con nhỏ, cha mẹ già...) đủ điều kiện giảm trừ gia cảnh:]]</f>
        <v>0 người</v>
      </c>
      <c r="Q361">
        <f>step3_validation[[#This Row],[AI_ENF1]]</f>
        <v>7</v>
      </c>
      <c r="R361" t="str">
        <f t="shared" si="135"/>
        <v>Neutral</v>
      </c>
      <c r="S361">
        <f>survey_responses[[#This Row],[Tôi tin rằng với các quy định quản lý thuế hiện nay, hành vi gian lận hoặc trốn thuế sẽ dễ dàng bị phát hiện và xử lý nghiêm. - HUMAN-ENF1]]</f>
        <v>9</v>
      </c>
      <c r="T361" t="str">
        <f t="shared" si="136"/>
        <v>Support</v>
      </c>
      <c r="U361" s="31">
        <f t="shared" si="137"/>
        <v>2</v>
      </c>
      <c r="V361">
        <f>step3_validation[[#This Row],[AI_ENF2]]</f>
        <v>6</v>
      </c>
      <c r="W361" t="str">
        <f t="shared" si="138"/>
        <v>Neutral</v>
      </c>
      <c r="X361">
        <f>survey_responses[[#This Row],[Tôi tin rằng Nhà nước, cơ quan thuế có đủ khả năng và công nghệ để phát hiện, xử lý nghiêm các hành vi trốn thuế. - HUMAN-ENF2]]</f>
        <v>8</v>
      </c>
      <c r="Y361" t="str">
        <f t="shared" si="139"/>
        <v>Support</v>
      </c>
      <c r="Z361" s="31">
        <f t="shared" si="140"/>
        <v>2</v>
      </c>
      <c r="AA361">
        <f>step3_validation[[#This Row],[AI_FAC1]]</f>
        <v>8</v>
      </c>
      <c r="AB361" t="str">
        <f t="shared" si="141"/>
        <v>Support</v>
      </c>
      <c r="AC361">
        <f>survey_responses[[#This Row],[Các thủ tục khai báo thuế VÀ/HOẶC quy trình làm việc với cơ quan thuế đơn giản, tiện lợi, nhanh chóng hơn so với trước đây. - HUMAN-FAC1]]</f>
        <v>8</v>
      </c>
      <c r="AD361" t="str">
        <f t="shared" si="142"/>
        <v>Support</v>
      </c>
      <c r="AE361" s="31">
        <f t="shared" si="143"/>
        <v>0</v>
      </c>
      <c r="AF361">
        <f>step3_validation[[#This Row],[AI_FAC2]]</f>
        <v>9</v>
      </c>
      <c r="AG361" t="str">
        <f t="shared" si="144"/>
        <v>Support</v>
      </c>
      <c r="AH361">
        <f>survey_responses[[#This Row],[So với trước đây, tôi thấy cách tính thuế và các bậc thuế trong phương án mới đơn giản, dễ hiểu và dễ thực hiện hơn. - HUMAN-FAC2]]</f>
        <v>8</v>
      </c>
      <c r="AI361" t="str">
        <f t="shared" si="145"/>
        <v>Support</v>
      </c>
      <c r="AJ361" s="31">
        <f t="shared" si="146"/>
        <v>1</v>
      </c>
      <c r="AK361">
        <f>step3_validation[[#This Row],[AI_TRU1]]</f>
        <v>7</v>
      </c>
      <c r="AL361" t="str">
        <f t="shared" si="147"/>
        <v>Neutral</v>
      </c>
      <c r="AM361">
        <f>survey_responses[[#This Row],[Tôi tin rằng Nhà nước, cơ quan thuế sẽ thực thi chính sách mới một cách khách quan, công tâm và đối xử bình đẳng với mọi người nộp thuế.  - HUMAN-TRU1]]</f>
        <v>7</v>
      </c>
      <c r="AN361" t="str">
        <f t="shared" si="148"/>
        <v>Neutral</v>
      </c>
      <c r="AO361" s="31">
        <f t="shared" si="149"/>
        <v>0</v>
      </c>
      <c r="AP361">
        <f>step3_validation[[#This Row],[AI_TRU2]]</f>
        <v>9</v>
      </c>
      <c r="AQ361" t="str">
        <f t="shared" si="150"/>
        <v>Support</v>
      </c>
      <c r="AR361">
        <f>survey_responses[[#This Row],[Tôi thấy mức thuế tôi phải đóng theo phương án mới là công bằng (người thu nhập như tôi đóng mức này là hợp lý). - HUMAN-TRU2]]</f>
        <v>7</v>
      </c>
      <c r="AS361" t="str">
        <f t="shared" si="151"/>
        <v>Neutral</v>
      </c>
      <c r="AT361" s="31">
        <f t="shared" si="152"/>
        <v>2</v>
      </c>
      <c r="AU361">
        <f>step3_validation[[#This Row],[AI_TRU3]]</f>
        <v>7</v>
      </c>
      <c r="AV361" t="str">
        <f t="shared" si="153"/>
        <v>Neutral</v>
      </c>
      <c r="AW361">
        <f>survey_responses[[#This Row],[Tôi tin tưởng số tiền thuế tôi đóng sẽ được Nhà nước sử dụng hiệu quả để cải thiện dịch vụ công (y tế, đường xá...). - HUMAN-TRU3]]</f>
        <v>6</v>
      </c>
      <c r="AX361" t="str">
        <f t="shared" si="154"/>
        <v>Neutral</v>
      </c>
      <c r="AY361" s="31">
        <f t="shared" si="155"/>
        <v>1</v>
      </c>
      <c r="AZ361">
        <f>step3_validation[[#This Row],[AI_TRU4]]</f>
        <v>6</v>
      </c>
      <c r="BA361" t="str">
        <f t="shared" si="156"/>
        <v>Neutral</v>
      </c>
      <c r="BB361">
        <f>survey_responses[[#This Row],[Tôi thấy Nhà nước đã giải thích rõ ràng, minh bạch về lý do và mục tiêu của việc sửa đổi thuế lần này. - HUMAN-TRU4]]</f>
        <v>7</v>
      </c>
      <c r="BC361" t="str">
        <f t="shared" si="157"/>
        <v>Neutral</v>
      </c>
      <c r="BD361" s="31">
        <f t="shared" si="158"/>
        <v>1</v>
      </c>
      <c r="BE361">
        <f>step3_validation[[#This Row],[AI_OUT1]]</f>
        <v>9</v>
      </c>
      <c r="BF361" t="str">
        <f t="shared" si="159"/>
        <v>Support</v>
      </c>
      <c r="BG361">
        <f>survey_responses[[#This Row],[Sau khi xem xét các quyền lợi và nghĩa vụ, bạn có ủng hộ và tuân thủ chính sách mới hiện nay? - HUMAN-OUT1]]</f>
        <v>8</v>
      </c>
      <c r="BH361" t="str">
        <f t="shared" si="160"/>
        <v>Support</v>
      </c>
      <c r="BI361" s="31">
        <f t="shared" si="161"/>
        <v>1</v>
      </c>
    </row>
    <row r="362" spans="1:61" x14ac:dyDescent="0.45">
      <c r="A362" s="29">
        <f>step3_validation[[#This Row],[Persona_ID]]</f>
        <v>361</v>
      </c>
      <c r="B362" s="30">
        <f>step3_validation[[#This Row],[Used_Seed]]</f>
        <v>402</v>
      </c>
      <c r="C362" t="str">
        <f>step3_validation[[#This Row],[Gender]]</f>
        <v>Nữ</v>
      </c>
      <c r="D362" t="str">
        <f>survey_responses[[#This Row],[Giới tính của bạn:]]</f>
        <v>Nữ</v>
      </c>
      <c r="E362" t="str">
        <f>step3_validation[[#This Row],[Age_Group]]</f>
        <v>18 - 24</v>
      </c>
      <c r="F362" t="str">
        <f>survey_responses[[#This Row],[Độ tuổi của bạn:]]</f>
        <v>18 - 24</v>
      </c>
      <c r="G362" t="str">
        <f>step3_validation[[#This Row],[Region]]</f>
        <v>Thành thị</v>
      </c>
      <c r="H362" t="str">
        <f>survey_responses[[#This Row],[Khu vực bạn đang sinh sống:]]</f>
        <v>Thành thị</v>
      </c>
      <c r="I362" t="str">
        <f>step3_validation[[#This Row],[Education]]</f>
        <v>Đại học</v>
      </c>
      <c r="J362" t="str">
        <f>survey_responses[[#This Row],[Trình độ học vấn cao nhất:]]</f>
        <v>Đại học</v>
      </c>
      <c r="K362" t="str">
        <f>step3_validation[[#This Row],[Employment]]</f>
        <v>Chính thức</v>
      </c>
      <c r="L362" t="str">
        <f>survey_responses[[#This Row],[Tình trạng việc làm chính:]]</f>
        <v>Khu vực chính thức (Có Hợp đồng lao động, đóng BHXH)</v>
      </c>
      <c r="M362">
        <f>step3_validation[[#This Row],[Income_Mil]]</f>
        <v>12</v>
      </c>
      <c r="N362" t="str">
        <f>survey_responses[[#This Row],[Thu nhập bình quân tháng theo Hợp đồng lao động của bạn là bao nhiêu? (Vui lòng điền tổng thu nhập trước khi khấu trừ các loại Bảo hiểm (BHXH, BHYT, BHTN) và Thuế TNCN)]]</f>
        <v>Dưới 12 triệu VNĐ</v>
      </c>
      <c r="O362">
        <f>step3_validation[[#This Row],[Dependents]]</f>
        <v>0</v>
      </c>
      <c r="P362" t="str">
        <f>survey_responses[[#This Row],[Số người phụ thuộc (con nhỏ, cha mẹ già...) đủ điều kiện giảm trừ gia cảnh:]]</f>
        <v>0 người</v>
      </c>
      <c r="Q362">
        <f>step3_validation[[#This Row],[AI_ENF1]]</f>
        <v>7</v>
      </c>
      <c r="R362" t="str">
        <f t="shared" si="135"/>
        <v>Neutral</v>
      </c>
      <c r="S362">
        <f>survey_responses[[#This Row],[Tôi tin rằng với các quy định quản lý thuế hiện nay, hành vi gian lận hoặc trốn thuế sẽ dễ dàng bị phát hiện và xử lý nghiêm. - HUMAN-ENF1]]</f>
        <v>7</v>
      </c>
      <c r="T362" t="str">
        <f t="shared" si="136"/>
        <v>Neutral</v>
      </c>
      <c r="U362" s="31">
        <f t="shared" si="137"/>
        <v>0</v>
      </c>
      <c r="V362">
        <f>step3_validation[[#This Row],[AI_ENF2]]</f>
        <v>8</v>
      </c>
      <c r="W362" t="str">
        <f t="shared" si="138"/>
        <v>Support</v>
      </c>
      <c r="X362">
        <f>survey_responses[[#This Row],[Tôi tin rằng Nhà nước, cơ quan thuế có đủ khả năng và công nghệ để phát hiện, xử lý nghiêm các hành vi trốn thuế. - HUMAN-ENF2]]</f>
        <v>7</v>
      </c>
      <c r="Y362" t="str">
        <f t="shared" si="139"/>
        <v>Neutral</v>
      </c>
      <c r="Z362" s="31">
        <f t="shared" si="140"/>
        <v>1</v>
      </c>
      <c r="AA362">
        <f>step3_validation[[#This Row],[AI_FAC1]]</f>
        <v>6</v>
      </c>
      <c r="AB362" t="str">
        <f t="shared" si="141"/>
        <v>Neutral</v>
      </c>
      <c r="AC362">
        <f>survey_responses[[#This Row],[Các thủ tục khai báo thuế VÀ/HOẶC quy trình làm việc với cơ quan thuế đơn giản, tiện lợi, nhanh chóng hơn so với trước đây. - HUMAN-FAC1]]</f>
        <v>8</v>
      </c>
      <c r="AD362" t="str">
        <f t="shared" si="142"/>
        <v>Support</v>
      </c>
      <c r="AE362" s="31">
        <f t="shared" si="143"/>
        <v>2</v>
      </c>
      <c r="AF362">
        <f>step3_validation[[#This Row],[AI_FAC2]]</f>
        <v>9</v>
      </c>
      <c r="AG362" t="str">
        <f t="shared" si="144"/>
        <v>Support</v>
      </c>
      <c r="AH362">
        <f>survey_responses[[#This Row],[So với trước đây, tôi thấy cách tính thuế và các bậc thuế trong phương án mới đơn giản, dễ hiểu và dễ thực hiện hơn. - HUMAN-FAC2]]</f>
        <v>9</v>
      </c>
      <c r="AI362" t="str">
        <f t="shared" si="145"/>
        <v>Support</v>
      </c>
      <c r="AJ362" s="31">
        <f t="shared" si="146"/>
        <v>0</v>
      </c>
      <c r="AK362">
        <f>step3_validation[[#This Row],[AI_TRU1]]</f>
        <v>7</v>
      </c>
      <c r="AL362" t="str">
        <f t="shared" si="147"/>
        <v>Neutral</v>
      </c>
      <c r="AM362">
        <f>survey_responses[[#This Row],[Tôi tin rằng Nhà nước, cơ quan thuế sẽ thực thi chính sách mới một cách khách quan, công tâm và đối xử bình đẳng với mọi người nộp thuế.  - HUMAN-TRU1]]</f>
        <v>7</v>
      </c>
      <c r="AN362" t="str">
        <f t="shared" si="148"/>
        <v>Neutral</v>
      </c>
      <c r="AO362" s="31">
        <f t="shared" si="149"/>
        <v>0</v>
      </c>
      <c r="AP362">
        <f>step3_validation[[#This Row],[AI_TRU2]]</f>
        <v>9</v>
      </c>
      <c r="AQ362" t="str">
        <f t="shared" si="150"/>
        <v>Support</v>
      </c>
      <c r="AR362">
        <f>survey_responses[[#This Row],[Tôi thấy mức thuế tôi phải đóng theo phương án mới là công bằng (người thu nhập như tôi đóng mức này là hợp lý). - HUMAN-TRU2]]</f>
        <v>10</v>
      </c>
      <c r="AS362" t="str">
        <f t="shared" si="151"/>
        <v>Support</v>
      </c>
      <c r="AT362" s="31">
        <f t="shared" si="152"/>
        <v>1</v>
      </c>
      <c r="AU362">
        <f>step3_validation[[#This Row],[AI_TRU3]]</f>
        <v>8</v>
      </c>
      <c r="AV362" t="str">
        <f t="shared" si="153"/>
        <v>Support</v>
      </c>
      <c r="AW362">
        <f>survey_responses[[#This Row],[Tôi tin tưởng số tiền thuế tôi đóng sẽ được Nhà nước sử dụng hiệu quả để cải thiện dịch vụ công (y tế, đường xá...). - HUMAN-TRU3]]</f>
        <v>8</v>
      </c>
      <c r="AX362" t="str">
        <f t="shared" si="154"/>
        <v>Support</v>
      </c>
      <c r="AY362" s="31">
        <f t="shared" si="155"/>
        <v>0</v>
      </c>
      <c r="AZ362">
        <f>step3_validation[[#This Row],[AI_TRU4]]</f>
        <v>7</v>
      </c>
      <c r="BA362" t="str">
        <f t="shared" si="156"/>
        <v>Neutral</v>
      </c>
      <c r="BB362">
        <f>survey_responses[[#This Row],[Tôi thấy Nhà nước đã giải thích rõ ràng, minh bạch về lý do và mục tiêu của việc sửa đổi thuế lần này. - HUMAN-TRU4]]</f>
        <v>8</v>
      </c>
      <c r="BC362" t="str">
        <f t="shared" si="157"/>
        <v>Support</v>
      </c>
      <c r="BD362" s="31">
        <f t="shared" si="158"/>
        <v>1</v>
      </c>
      <c r="BE362">
        <f>step3_validation[[#This Row],[AI_OUT1]]</f>
        <v>8</v>
      </c>
      <c r="BF362" t="str">
        <f t="shared" si="159"/>
        <v>Support</v>
      </c>
      <c r="BG362">
        <f>survey_responses[[#This Row],[Sau khi xem xét các quyền lợi và nghĩa vụ, bạn có ủng hộ và tuân thủ chính sách mới hiện nay? - HUMAN-OUT1]]</f>
        <v>10</v>
      </c>
      <c r="BH362" t="str">
        <f t="shared" si="160"/>
        <v>Support</v>
      </c>
      <c r="BI362" s="31">
        <f t="shared" si="161"/>
        <v>2</v>
      </c>
    </row>
    <row r="363" spans="1:61" hidden="1" x14ac:dyDescent="0.45">
      <c r="A363" s="29">
        <f>step3_validation[[#This Row],[Persona_ID]]</f>
        <v>362</v>
      </c>
      <c r="B363" s="30">
        <f>step3_validation[[#This Row],[Used_Seed]]</f>
        <v>403</v>
      </c>
      <c r="C363" t="str">
        <f>step3_validation[[#This Row],[Gender]]</f>
        <v>Nữ</v>
      </c>
      <c r="D363" t="str">
        <f>survey_responses[[#This Row],[Giới tính của bạn:]]</f>
        <v>Nữ</v>
      </c>
      <c r="E363" t="str">
        <f>step3_validation[[#This Row],[Age_Group]]</f>
        <v>18 - 24</v>
      </c>
      <c r="F363" t="str">
        <f>survey_responses[[#This Row],[Độ tuổi của bạn:]]</f>
        <v>18 - 24</v>
      </c>
      <c r="G363" t="str">
        <f>step3_validation[[#This Row],[Region]]</f>
        <v>Thành thị</v>
      </c>
      <c r="H363" t="str">
        <f>survey_responses[[#This Row],[Khu vực bạn đang sinh sống:]]</f>
        <v>Thành thị</v>
      </c>
      <c r="I363" t="str">
        <f>step3_validation[[#This Row],[Education]]</f>
        <v>Đại học</v>
      </c>
      <c r="J363" t="str">
        <f>survey_responses[[#This Row],[Trình độ học vấn cao nhất:]]</f>
        <v>Đại học</v>
      </c>
      <c r="K363" t="str">
        <f>step3_validation[[#This Row],[Employment]]</f>
        <v>Chính thức</v>
      </c>
      <c r="L363" t="str">
        <f>survey_responses[[#This Row],[Tình trạng việc làm chính:]]</f>
        <v>Khu vực chính thức (Có Hợp đồng lao động, đóng BHXH)</v>
      </c>
      <c r="M363">
        <f>step3_validation[[#This Row],[Income_Mil]]</f>
        <v>13.205822112677556</v>
      </c>
      <c r="N363" t="str">
        <f>survey_responses[[#This Row],[Thu nhập bình quân tháng theo Hợp đồng lao động của bạn là bao nhiêu? (Vui lòng điền tổng thu nhập trước khi khấu trừ các loại Bảo hiểm (BHXH, BHYT, BHTN) và Thuế TNCN)]]</f>
        <v>Từ 12 - 18 triệu VNĐ</v>
      </c>
      <c r="O363">
        <f>step3_validation[[#This Row],[Dependents]]</f>
        <v>0</v>
      </c>
      <c r="P363" t="str">
        <f>survey_responses[[#This Row],[Số người phụ thuộc (con nhỏ, cha mẹ già...) đủ điều kiện giảm trừ gia cảnh:]]</f>
        <v>0 người</v>
      </c>
      <c r="Q363">
        <f>step3_validation[[#This Row],[AI_ENF1]]</f>
        <v>6</v>
      </c>
      <c r="R363" t="str">
        <f t="shared" si="135"/>
        <v>Neutral</v>
      </c>
      <c r="S363">
        <f>survey_responses[[#This Row],[Tôi tin rằng với các quy định quản lý thuế hiện nay, hành vi gian lận hoặc trốn thuế sẽ dễ dàng bị phát hiện và xử lý nghiêm. - HUMAN-ENF1]]</f>
        <v>3</v>
      </c>
      <c r="T363" t="str">
        <f t="shared" si="136"/>
        <v>Oppose</v>
      </c>
      <c r="U363" s="31">
        <f t="shared" si="137"/>
        <v>3</v>
      </c>
      <c r="V363">
        <f>step3_validation[[#This Row],[AI_ENF2]]</f>
        <v>7</v>
      </c>
      <c r="W363" t="str">
        <f t="shared" si="138"/>
        <v>Neutral</v>
      </c>
      <c r="X363">
        <f>survey_responses[[#This Row],[Tôi tin rằng Nhà nước, cơ quan thuế có đủ khả năng và công nghệ để phát hiện, xử lý nghiêm các hành vi trốn thuế. - HUMAN-ENF2]]</f>
        <v>3</v>
      </c>
      <c r="Y363" t="str">
        <f t="shared" si="139"/>
        <v>Oppose</v>
      </c>
      <c r="Z363" s="31">
        <f t="shared" si="140"/>
        <v>4</v>
      </c>
      <c r="AA363">
        <f>step3_validation[[#This Row],[AI_FAC1]]</f>
        <v>9</v>
      </c>
      <c r="AB363" t="str">
        <f t="shared" si="141"/>
        <v>Support</v>
      </c>
      <c r="AC363">
        <f>survey_responses[[#This Row],[Các thủ tục khai báo thuế VÀ/HOẶC quy trình làm việc với cơ quan thuế đơn giản, tiện lợi, nhanh chóng hơn so với trước đây. - HUMAN-FAC1]]</f>
        <v>5</v>
      </c>
      <c r="AD363" t="str">
        <f t="shared" si="142"/>
        <v>Neutral</v>
      </c>
      <c r="AE363" s="31">
        <f t="shared" si="143"/>
        <v>4</v>
      </c>
      <c r="AF363">
        <f>step3_validation[[#This Row],[AI_FAC2]]</f>
        <v>10</v>
      </c>
      <c r="AG363" t="str">
        <f t="shared" si="144"/>
        <v>Support</v>
      </c>
      <c r="AH363">
        <f>survey_responses[[#This Row],[So với trước đây, tôi thấy cách tính thuế và các bậc thuế trong phương án mới đơn giản, dễ hiểu và dễ thực hiện hơn. - HUMAN-FAC2]]</f>
        <v>6</v>
      </c>
      <c r="AI363" t="str">
        <f t="shared" si="145"/>
        <v>Neutral</v>
      </c>
      <c r="AJ363" s="31">
        <f t="shared" si="146"/>
        <v>4</v>
      </c>
      <c r="AK363">
        <f>step3_validation[[#This Row],[AI_TRU1]]</f>
        <v>8</v>
      </c>
      <c r="AL363" t="str">
        <f t="shared" si="147"/>
        <v>Support</v>
      </c>
      <c r="AM363">
        <f>survey_responses[[#This Row],[Tôi tin rằng Nhà nước, cơ quan thuế sẽ thực thi chính sách mới một cách khách quan, công tâm và đối xử bình đẳng với mọi người nộp thuế.  - HUMAN-TRU1]]</f>
        <v>5</v>
      </c>
      <c r="AN363" t="str">
        <f t="shared" si="148"/>
        <v>Neutral</v>
      </c>
      <c r="AO363" s="31">
        <f t="shared" si="149"/>
        <v>3</v>
      </c>
      <c r="AP363">
        <f>step3_validation[[#This Row],[AI_TRU2]]</f>
        <v>9</v>
      </c>
      <c r="AQ363" t="str">
        <f t="shared" si="150"/>
        <v>Support</v>
      </c>
      <c r="AR363">
        <f>survey_responses[[#This Row],[Tôi thấy mức thuế tôi phải đóng theo phương án mới là công bằng (người thu nhập như tôi đóng mức này là hợp lý). - HUMAN-TRU2]]</f>
        <v>6</v>
      </c>
      <c r="AS363" t="str">
        <f t="shared" si="151"/>
        <v>Neutral</v>
      </c>
      <c r="AT363" s="31">
        <f t="shared" si="152"/>
        <v>3</v>
      </c>
      <c r="AU363">
        <f>step3_validation[[#This Row],[AI_TRU3]]</f>
        <v>7</v>
      </c>
      <c r="AV363" t="str">
        <f t="shared" si="153"/>
        <v>Neutral</v>
      </c>
      <c r="AW363">
        <f>survey_responses[[#This Row],[Tôi tin tưởng số tiền thuế tôi đóng sẽ được Nhà nước sử dụng hiệu quả để cải thiện dịch vụ công (y tế, đường xá...). - HUMAN-TRU3]]</f>
        <v>4</v>
      </c>
      <c r="AX363" t="str">
        <f t="shared" si="154"/>
        <v>Oppose</v>
      </c>
      <c r="AY363" s="31">
        <f t="shared" si="155"/>
        <v>3</v>
      </c>
      <c r="AZ363">
        <f>step3_validation[[#This Row],[AI_TRU4]]</f>
        <v>8</v>
      </c>
      <c r="BA363" t="str">
        <f t="shared" si="156"/>
        <v>Support</v>
      </c>
      <c r="BB363">
        <f>survey_responses[[#This Row],[Tôi thấy Nhà nước đã giải thích rõ ràng, minh bạch về lý do và mục tiêu của việc sửa đổi thuế lần này. - HUMAN-TRU4]]</f>
        <v>6</v>
      </c>
      <c r="BC363" t="str">
        <f t="shared" si="157"/>
        <v>Neutral</v>
      </c>
      <c r="BD363" s="31">
        <f t="shared" si="158"/>
        <v>2</v>
      </c>
      <c r="BE363">
        <f>step3_validation[[#This Row],[AI_OUT1]]</f>
        <v>9</v>
      </c>
      <c r="BF363" t="str">
        <f t="shared" si="159"/>
        <v>Support</v>
      </c>
      <c r="BG363">
        <f>survey_responses[[#This Row],[Sau khi xem xét các quyền lợi và nghĩa vụ, bạn có ủng hộ và tuân thủ chính sách mới hiện nay? - HUMAN-OUT1]]</f>
        <v>6</v>
      </c>
      <c r="BH363" t="str">
        <f t="shared" si="160"/>
        <v>Neutral</v>
      </c>
      <c r="BI363" s="31">
        <f t="shared" si="161"/>
        <v>3</v>
      </c>
    </row>
    <row r="364" spans="1:61" hidden="1" x14ac:dyDescent="0.45">
      <c r="A364" s="29">
        <f>step3_validation[[#This Row],[Persona_ID]]</f>
        <v>363</v>
      </c>
      <c r="B364" s="30">
        <f>step3_validation[[#This Row],[Used_Seed]]</f>
        <v>404</v>
      </c>
      <c r="C364" t="str">
        <f>step3_validation[[#This Row],[Gender]]</f>
        <v>Nam</v>
      </c>
      <c r="D364" t="str">
        <f>survey_responses[[#This Row],[Giới tính của bạn:]]</f>
        <v>Nam</v>
      </c>
      <c r="E364" t="str">
        <f>step3_validation[[#This Row],[Age_Group]]</f>
        <v>25 - 29</v>
      </c>
      <c r="F364" t="str">
        <f>survey_responses[[#This Row],[Độ tuổi của bạn:]]</f>
        <v>25 - 29</v>
      </c>
      <c r="G364" t="str">
        <f>step3_validation[[#This Row],[Region]]</f>
        <v>Thành thị</v>
      </c>
      <c r="H364" t="str">
        <f>survey_responses[[#This Row],[Khu vực bạn đang sinh sống:]]</f>
        <v>Thành thị</v>
      </c>
      <c r="I364" t="str">
        <f>step3_validation[[#This Row],[Education]]</f>
        <v>Đại học</v>
      </c>
      <c r="J364" t="str">
        <f>survey_responses[[#This Row],[Trình độ học vấn cao nhất:]]</f>
        <v>Đại học</v>
      </c>
      <c r="K364" t="str">
        <f>step3_validation[[#This Row],[Employment]]</f>
        <v>Chính thức</v>
      </c>
      <c r="L364" t="str">
        <f>survey_responses[[#This Row],[Tình trạng việc làm chính:]]</f>
        <v>Khu vực chính thức (Có Hợp đồng lao động, đóng BHXH)</v>
      </c>
      <c r="M364">
        <f>step3_validation[[#This Row],[Income_Mil]]</f>
        <v>25.535590056170005</v>
      </c>
      <c r="N364" t="str">
        <f>survey_responses[[#This Row],[Thu nhập bình quân tháng theo Hợp đồng lao động của bạn là bao nhiêu? (Vui lòng điền tổng thu nhập trước khi khấu trừ các loại Bảo hiểm (BHXH, BHYT, BHTN) và Thuế TNCN)]]</f>
        <v>Từ 23 - 32 triệu VNĐ</v>
      </c>
      <c r="O364">
        <f>step3_validation[[#This Row],[Dependents]]</f>
        <v>1</v>
      </c>
      <c r="P364" t="str">
        <f>survey_responses[[#This Row],[Số người phụ thuộc (con nhỏ, cha mẹ già...) đủ điều kiện giảm trừ gia cảnh:]]</f>
        <v>1 người</v>
      </c>
      <c r="Q364">
        <f>step3_validation[[#This Row],[AI_ENF1]]</f>
        <v>7</v>
      </c>
      <c r="R364" t="str">
        <f t="shared" si="135"/>
        <v>Neutral</v>
      </c>
      <c r="S364">
        <f>survey_responses[[#This Row],[Tôi tin rằng với các quy định quản lý thuế hiện nay, hành vi gian lận hoặc trốn thuế sẽ dễ dàng bị phát hiện và xử lý nghiêm. - HUMAN-ENF1]]</f>
        <v>8</v>
      </c>
      <c r="T364" t="str">
        <f t="shared" si="136"/>
        <v>Support</v>
      </c>
      <c r="U364" s="31">
        <f t="shared" si="137"/>
        <v>1</v>
      </c>
      <c r="V364">
        <f>step3_validation[[#This Row],[AI_ENF2]]</f>
        <v>8</v>
      </c>
      <c r="W364" t="str">
        <f t="shared" si="138"/>
        <v>Support</v>
      </c>
      <c r="X364">
        <f>survey_responses[[#This Row],[Tôi tin rằng Nhà nước, cơ quan thuế có đủ khả năng và công nghệ để phát hiện, xử lý nghiêm các hành vi trốn thuế. - HUMAN-ENF2]]</f>
        <v>8</v>
      </c>
      <c r="Y364" t="str">
        <f t="shared" si="139"/>
        <v>Support</v>
      </c>
      <c r="Z364" s="31">
        <f t="shared" si="140"/>
        <v>0</v>
      </c>
      <c r="AA364">
        <f>step3_validation[[#This Row],[AI_FAC1]]</f>
        <v>9</v>
      </c>
      <c r="AB364" t="str">
        <f t="shared" si="141"/>
        <v>Support</v>
      </c>
      <c r="AC364">
        <f>survey_responses[[#This Row],[Các thủ tục khai báo thuế VÀ/HOẶC quy trình làm việc với cơ quan thuế đơn giản, tiện lợi, nhanh chóng hơn so với trước đây. - HUMAN-FAC1]]</f>
        <v>5</v>
      </c>
      <c r="AD364" t="str">
        <f t="shared" si="142"/>
        <v>Neutral</v>
      </c>
      <c r="AE364" s="31">
        <f t="shared" si="143"/>
        <v>4</v>
      </c>
      <c r="AF364">
        <f>step3_validation[[#This Row],[AI_FAC2]]</f>
        <v>10</v>
      </c>
      <c r="AG364" t="str">
        <f t="shared" si="144"/>
        <v>Support</v>
      </c>
      <c r="AH364">
        <f>survey_responses[[#This Row],[So với trước đây, tôi thấy cách tính thuế và các bậc thuế trong phương án mới đơn giản, dễ hiểu và dễ thực hiện hơn. - HUMAN-FAC2]]</f>
        <v>7</v>
      </c>
      <c r="AI364" t="str">
        <f t="shared" si="145"/>
        <v>Neutral</v>
      </c>
      <c r="AJ364" s="31">
        <f t="shared" si="146"/>
        <v>3</v>
      </c>
      <c r="AK364">
        <f>step3_validation[[#This Row],[AI_TRU1]]</f>
        <v>7</v>
      </c>
      <c r="AL364" t="str">
        <f t="shared" si="147"/>
        <v>Neutral</v>
      </c>
      <c r="AM364">
        <f>survey_responses[[#This Row],[Tôi tin rằng Nhà nước, cơ quan thuế sẽ thực thi chính sách mới một cách khách quan, công tâm và đối xử bình đẳng với mọi người nộp thuế.  - HUMAN-TRU1]]</f>
        <v>5</v>
      </c>
      <c r="AN364" t="str">
        <f t="shared" si="148"/>
        <v>Neutral</v>
      </c>
      <c r="AO364" s="31">
        <f t="shared" si="149"/>
        <v>2</v>
      </c>
      <c r="AP364">
        <f>step3_validation[[#This Row],[AI_TRU2]]</f>
        <v>9</v>
      </c>
      <c r="AQ364" t="str">
        <f t="shared" si="150"/>
        <v>Support</v>
      </c>
      <c r="AR364">
        <f>survey_responses[[#This Row],[Tôi thấy mức thuế tôi phải đóng theo phương án mới là công bằng (người thu nhập như tôi đóng mức này là hợp lý). - HUMAN-TRU2]]</f>
        <v>8</v>
      </c>
      <c r="AS364" t="str">
        <f t="shared" si="151"/>
        <v>Support</v>
      </c>
      <c r="AT364" s="31">
        <f t="shared" si="152"/>
        <v>1</v>
      </c>
      <c r="AU364">
        <f>step3_validation[[#This Row],[AI_TRU3]]</f>
        <v>8</v>
      </c>
      <c r="AV364" t="str">
        <f t="shared" si="153"/>
        <v>Support</v>
      </c>
      <c r="AW364">
        <f>survey_responses[[#This Row],[Tôi tin tưởng số tiền thuế tôi đóng sẽ được Nhà nước sử dụng hiệu quả để cải thiện dịch vụ công (y tế, đường xá...). - HUMAN-TRU3]]</f>
        <v>5</v>
      </c>
      <c r="AX364" t="str">
        <f t="shared" si="154"/>
        <v>Neutral</v>
      </c>
      <c r="AY364" s="31">
        <f t="shared" si="155"/>
        <v>3</v>
      </c>
      <c r="AZ364">
        <f>step3_validation[[#This Row],[AI_TRU4]]</f>
        <v>7</v>
      </c>
      <c r="BA364" t="str">
        <f t="shared" si="156"/>
        <v>Neutral</v>
      </c>
      <c r="BB364">
        <f>survey_responses[[#This Row],[Tôi thấy Nhà nước đã giải thích rõ ràng, minh bạch về lý do và mục tiêu của việc sửa đổi thuế lần này. - HUMAN-TRU4]]</f>
        <v>7</v>
      </c>
      <c r="BC364" t="str">
        <f t="shared" si="157"/>
        <v>Neutral</v>
      </c>
      <c r="BD364" s="31">
        <f t="shared" si="158"/>
        <v>0</v>
      </c>
      <c r="BE364">
        <f>step3_validation[[#This Row],[AI_OUT1]]</f>
        <v>8</v>
      </c>
      <c r="BF364" t="str">
        <f t="shared" si="159"/>
        <v>Support</v>
      </c>
      <c r="BG364">
        <f>survey_responses[[#This Row],[Sau khi xem xét các quyền lợi và nghĩa vụ, bạn có ủng hộ và tuân thủ chính sách mới hiện nay? - HUMAN-OUT1]]</f>
        <v>8</v>
      </c>
      <c r="BH364" t="str">
        <f t="shared" si="160"/>
        <v>Support</v>
      </c>
      <c r="BI364" s="31">
        <f t="shared" si="161"/>
        <v>0</v>
      </c>
    </row>
    <row r="365" spans="1:61" hidden="1" x14ac:dyDescent="0.45">
      <c r="A365" s="29">
        <f>step3_validation[[#This Row],[Persona_ID]]</f>
        <v>364</v>
      </c>
      <c r="B365" s="30">
        <f>step3_validation[[#This Row],[Used_Seed]]</f>
        <v>405</v>
      </c>
      <c r="C365" t="str">
        <f>step3_validation[[#This Row],[Gender]]</f>
        <v>Nam</v>
      </c>
      <c r="D365" t="str">
        <f>survey_responses[[#This Row],[Giới tính của bạn:]]</f>
        <v>Nam</v>
      </c>
      <c r="E365" t="str">
        <f>step3_validation[[#This Row],[Age_Group]]</f>
        <v>30 - 39</v>
      </c>
      <c r="F365" t="str">
        <f>survey_responses[[#This Row],[Độ tuổi của bạn:]]</f>
        <v>30 - 39</v>
      </c>
      <c r="G365" t="str">
        <f>step3_validation[[#This Row],[Region]]</f>
        <v>Thành thị</v>
      </c>
      <c r="H365" t="str">
        <f>survey_responses[[#This Row],[Khu vực bạn đang sinh sống:]]</f>
        <v>Thành thị</v>
      </c>
      <c r="I365" t="str">
        <f>step3_validation[[#This Row],[Education]]</f>
        <v>Đại học</v>
      </c>
      <c r="J365" t="str">
        <f>survey_responses[[#This Row],[Trình độ học vấn cao nhất:]]</f>
        <v>Đại học</v>
      </c>
      <c r="K365" t="str">
        <f>step3_validation[[#This Row],[Employment]]</f>
        <v>Chính thức</v>
      </c>
      <c r="L365" t="str">
        <f>survey_responses[[#This Row],[Tình trạng việc làm chính:]]</f>
        <v>Khu vực chính thức (Có Hợp đồng lao động, đóng BHXH)</v>
      </c>
      <c r="M365">
        <f>step3_validation[[#This Row],[Income_Mil]]</f>
        <v>20.537112224734702</v>
      </c>
      <c r="N365" t="str">
        <f>survey_responses[[#This Row],[Thu nhập bình quân tháng theo Hợp đồng lao động của bạn là bao nhiêu? (Vui lòng điền tổng thu nhập trước khi khấu trừ các loại Bảo hiểm (BHXH, BHYT, BHTN) và Thuế TNCN)]]</f>
        <v>Từ 18 - 23 triệu VNĐ</v>
      </c>
      <c r="O365">
        <f>step3_validation[[#This Row],[Dependents]]</f>
        <v>1</v>
      </c>
      <c r="P365" t="str">
        <f>survey_responses[[#This Row],[Số người phụ thuộc (con nhỏ, cha mẹ già...) đủ điều kiện giảm trừ gia cảnh:]]</f>
        <v>1 người</v>
      </c>
      <c r="Q365">
        <f>step3_validation[[#This Row],[AI_ENF1]]</f>
        <v>6</v>
      </c>
      <c r="R365" t="str">
        <f t="shared" si="135"/>
        <v>Neutral</v>
      </c>
      <c r="S365">
        <f>survey_responses[[#This Row],[Tôi tin rằng với các quy định quản lý thuế hiện nay, hành vi gian lận hoặc trốn thuế sẽ dễ dàng bị phát hiện và xử lý nghiêm. - HUMAN-ENF1]]</f>
        <v>4</v>
      </c>
      <c r="T365" t="str">
        <f t="shared" si="136"/>
        <v>Oppose</v>
      </c>
      <c r="U365" s="31">
        <f t="shared" si="137"/>
        <v>2</v>
      </c>
      <c r="V365">
        <f>step3_validation[[#This Row],[AI_ENF2]]</f>
        <v>6</v>
      </c>
      <c r="W365" t="str">
        <f t="shared" si="138"/>
        <v>Neutral</v>
      </c>
      <c r="X365">
        <f>survey_responses[[#This Row],[Tôi tin rằng Nhà nước, cơ quan thuế có đủ khả năng và công nghệ để phát hiện, xử lý nghiêm các hành vi trốn thuế. - HUMAN-ENF2]]</f>
        <v>5</v>
      </c>
      <c r="Y365" t="str">
        <f t="shared" si="139"/>
        <v>Neutral</v>
      </c>
      <c r="Z365" s="31">
        <f t="shared" si="140"/>
        <v>1</v>
      </c>
      <c r="AA365">
        <f>step3_validation[[#This Row],[AI_FAC1]]</f>
        <v>9</v>
      </c>
      <c r="AB365" t="str">
        <f t="shared" si="141"/>
        <v>Support</v>
      </c>
      <c r="AC365">
        <f>survey_responses[[#This Row],[Các thủ tục khai báo thuế VÀ/HOẶC quy trình làm việc với cơ quan thuế đơn giản, tiện lợi, nhanh chóng hơn so với trước đây. - HUMAN-FAC1]]</f>
        <v>5</v>
      </c>
      <c r="AD365" t="str">
        <f t="shared" si="142"/>
        <v>Neutral</v>
      </c>
      <c r="AE365" s="31">
        <f t="shared" si="143"/>
        <v>4</v>
      </c>
      <c r="AF365">
        <f>step3_validation[[#This Row],[AI_FAC2]]</f>
        <v>10</v>
      </c>
      <c r="AG365" t="str">
        <f t="shared" si="144"/>
        <v>Support</v>
      </c>
      <c r="AH365">
        <f>survey_responses[[#This Row],[So với trước đây, tôi thấy cách tính thuế và các bậc thuế trong phương án mới đơn giản, dễ hiểu và dễ thực hiện hơn. - HUMAN-FAC2]]</f>
        <v>7</v>
      </c>
      <c r="AI365" t="str">
        <f t="shared" si="145"/>
        <v>Neutral</v>
      </c>
      <c r="AJ365" s="31">
        <f t="shared" si="146"/>
        <v>3</v>
      </c>
      <c r="AK365">
        <f>step3_validation[[#This Row],[AI_TRU1]]</f>
        <v>7</v>
      </c>
      <c r="AL365" t="str">
        <f t="shared" si="147"/>
        <v>Neutral</v>
      </c>
      <c r="AM365">
        <f>survey_responses[[#This Row],[Tôi tin rằng Nhà nước, cơ quan thuế sẽ thực thi chính sách mới một cách khách quan, công tâm và đối xử bình đẳng với mọi người nộp thuế.  - HUMAN-TRU1]]</f>
        <v>5</v>
      </c>
      <c r="AN365" t="str">
        <f t="shared" si="148"/>
        <v>Neutral</v>
      </c>
      <c r="AO365" s="31">
        <f t="shared" si="149"/>
        <v>2</v>
      </c>
      <c r="AP365">
        <f>step3_validation[[#This Row],[AI_TRU2]]</f>
        <v>9</v>
      </c>
      <c r="AQ365" t="str">
        <f t="shared" si="150"/>
        <v>Support</v>
      </c>
      <c r="AR365">
        <f>survey_responses[[#This Row],[Tôi thấy mức thuế tôi phải đóng theo phương án mới là công bằng (người thu nhập như tôi đóng mức này là hợp lý). - HUMAN-TRU2]]</f>
        <v>7</v>
      </c>
      <c r="AS365" t="str">
        <f t="shared" si="151"/>
        <v>Neutral</v>
      </c>
      <c r="AT365" s="31">
        <f t="shared" si="152"/>
        <v>2</v>
      </c>
      <c r="AU365">
        <f>step3_validation[[#This Row],[AI_TRU3]]</f>
        <v>7</v>
      </c>
      <c r="AV365" t="str">
        <f t="shared" si="153"/>
        <v>Neutral</v>
      </c>
      <c r="AW365">
        <f>survey_responses[[#This Row],[Tôi tin tưởng số tiền thuế tôi đóng sẽ được Nhà nước sử dụng hiệu quả để cải thiện dịch vụ công (y tế, đường xá...). - HUMAN-TRU3]]</f>
        <v>5</v>
      </c>
      <c r="AX365" t="str">
        <f t="shared" si="154"/>
        <v>Neutral</v>
      </c>
      <c r="AY365" s="31">
        <f t="shared" si="155"/>
        <v>2</v>
      </c>
      <c r="AZ365">
        <f>step3_validation[[#This Row],[AI_TRU4]]</f>
        <v>8</v>
      </c>
      <c r="BA365" t="str">
        <f t="shared" si="156"/>
        <v>Support</v>
      </c>
      <c r="BB365">
        <f>survey_responses[[#This Row],[Tôi thấy Nhà nước đã giải thích rõ ràng, minh bạch về lý do và mục tiêu của việc sửa đổi thuế lần này. - HUMAN-TRU4]]</f>
        <v>6</v>
      </c>
      <c r="BC365" t="str">
        <f t="shared" si="157"/>
        <v>Neutral</v>
      </c>
      <c r="BD365" s="31">
        <f t="shared" si="158"/>
        <v>2</v>
      </c>
      <c r="BE365">
        <f>step3_validation[[#This Row],[AI_OUT1]]</f>
        <v>9</v>
      </c>
      <c r="BF365" t="str">
        <f t="shared" si="159"/>
        <v>Support</v>
      </c>
      <c r="BG365">
        <f>survey_responses[[#This Row],[Sau khi xem xét các quyền lợi và nghĩa vụ, bạn có ủng hộ và tuân thủ chính sách mới hiện nay? - HUMAN-OUT1]]</f>
        <v>7</v>
      </c>
      <c r="BH365" t="str">
        <f t="shared" si="160"/>
        <v>Neutral</v>
      </c>
      <c r="BI365" s="31">
        <f t="shared" si="161"/>
        <v>2</v>
      </c>
    </row>
    <row r="366" spans="1:61" hidden="1" x14ac:dyDescent="0.45">
      <c r="A366" s="29">
        <f>step3_validation[[#This Row],[Persona_ID]]</f>
        <v>365</v>
      </c>
      <c r="B366" s="30">
        <f>step3_validation[[#This Row],[Used_Seed]]</f>
        <v>406</v>
      </c>
      <c r="C366" t="str">
        <f>step3_validation[[#This Row],[Gender]]</f>
        <v>Nữ</v>
      </c>
      <c r="D366" t="str">
        <f>survey_responses[[#This Row],[Giới tính của bạn:]]</f>
        <v>Nữ</v>
      </c>
      <c r="E366" t="str">
        <f>step3_validation[[#This Row],[Age_Group]]</f>
        <v>25 - 29</v>
      </c>
      <c r="F366" t="str">
        <f>survey_responses[[#This Row],[Độ tuổi của bạn:]]</f>
        <v>25 - 29</v>
      </c>
      <c r="G366" t="str">
        <f>step3_validation[[#This Row],[Region]]</f>
        <v>Thành thị</v>
      </c>
      <c r="H366" t="str">
        <f>survey_responses[[#This Row],[Khu vực bạn đang sinh sống:]]</f>
        <v>Thành thị</v>
      </c>
      <c r="I366" t="str">
        <f>step3_validation[[#This Row],[Education]]</f>
        <v>Đại học</v>
      </c>
      <c r="J366" t="str">
        <f>survey_responses[[#This Row],[Trình độ học vấn cao nhất:]]</f>
        <v>Đại học</v>
      </c>
      <c r="K366" t="str">
        <f>step3_validation[[#This Row],[Employment]]</f>
        <v>Chính thức</v>
      </c>
      <c r="L366" t="str">
        <f>survey_responses[[#This Row],[Tình trạng việc làm chính:]]</f>
        <v>Khu vực chính thức (Có Hợp đồng lao động, đóng BHXH)</v>
      </c>
      <c r="M366">
        <f>step3_validation[[#This Row],[Income_Mil]]</f>
        <v>37.999691027175658</v>
      </c>
      <c r="N366" t="str">
        <f>survey_responses[[#This Row],[Thu nhập bình quân tháng theo Hợp đồng lao động của bạn là bao nhiêu? (Vui lòng điền tổng thu nhập trước khi khấu trừ các loại Bảo hiểm (BHXH, BHYT, BHTN) và Thuế TNCN)]]</f>
        <v>Từ 32 - 48 triệu VNĐ</v>
      </c>
      <c r="O366">
        <f>step3_validation[[#This Row],[Dependents]]</f>
        <v>0</v>
      </c>
      <c r="P366" t="str">
        <f>survey_responses[[#This Row],[Số người phụ thuộc (con nhỏ, cha mẹ già...) đủ điều kiện giảm trừ gia cảnh:]]</f>
        <v>0 người</v>
      </c>
      <c r="Q366">
        <f>step3_validation[[#This Row],[AI_ENF1]]</f>
        <v>8</v>
      </c>
      <c r="R366" t="str">
        <f t="shared" si="135"/>
        <v>Support</v>
      </c>
      <c r="S366">
        <f>survey_responses[[#This Row],[Tôi tin rằng với các quy định quản lý thuế hiện nay, hành vi gian lận hoặc trốn thuế sẽ dễ dàng bị phát hiện và xử lý nghiêm. - HUMAN-ENF1]]</f>
        <v>9</v>
      </c>
      <c r="T366" t="str">
        <f t="shared" si="136"/>
        <v>Support</v>
      </c>
      <c r="U366" s="31">
        <f t="shared" si="137"/>
        <v>1</v>
      </c>
      <c r="V366">
        <f>step3_validation[[#This Row],[AI_ENF2]]</f>
        <v>8</v>
      </c>
      <c r="W366" t="str">
        <f t="shared" si="138"/>
        <v>Support</v>
      </c>
      <c r="X366">
        <f>survey_responses[[#This Row],[Tôi tin rằng Nhà nước, cơ quan thuế có đủ khả năng và công nghệ để phát hiện, xử lý nghiêm các hành vi trốn thuế. - HUMAN-ENF2]]</f>
        <v>9</v>
      </c>
      <c r="Y366" t="str">
        <f t="shared" si="139"/>
        <v>Support</v>
      </c>
      <c r="Z366" s="31">
        <f t="shared" si="140"/>
        <v>1</v>
      </c>
      <c r="AA366">
        <f>step3_validation[[#This Row],[AI_FAC1]]</f>
        <v>9</v>
      </c>
      <c r="AB366" t="str">
        <f t="shared" si="141"/>
        <v>Support</v>
      </c>
      <c r="AC366">
        <f>survey_responses[[#This Row],[Các thủ tục khai báo thuế VÀ/HOẶC quy trình làm việc với cơ quan thuế đơn giản, tiện lợi, nhanh chóng hơn so với trước đây. - HUMAN-FAC1]]</f>
        <v>8</v>
      </c>
      <c r="AD366" t="str">
        <f t="shared" si="142"/>
        <v>Support</v>
      </c>
      <c r="AE366" s="31">
        <f t="shared" si="143"/>
        <v>1</v>
      </c>
      <c r="AF366">
        <f>step3_validation[[#This Row],[AI_FAC2]]</f>
        <v>9</v>
      </c>
      <c r="AG366" t="str">
        <f t="shared" si="144"/>
        <v>Support</v>
      </c>
      <c r="AH366">
        <f>survey_responses[[#This Row],[So với trước đây, tôi thấy cách tính thuế và các bậc thuế trong phương án mới đơn giản, dễ hiểu và dễ thực hiện hơn. - HUMAN-FAC2]]</f>
        <v>9</v>
      </c>
      <c r="AI366" t="str">
        <f t="shared" si="145"/>
        <v>Support</v>
      </c>
      <c r="AJ366" s="31">
        <f t="shared" si="146"/>
        <v>0</v>
      </c>
      <c r="AK366">
        <f>step3_validation[[#This Row],[AI_TRU1]]</f>
        <v>8</v>
      </c>
      <c r="AL366" t="str">
        <f t="shared" si="147"/>
        <v>Support</v>
      </c>
      <c r="AM366">
        <f>survey_responses[[#This Row],[Tôi tin rằng Nhà nước, cơ quan thuế sẽ thực thi chính sách mới một cách khách quan, công tâm và đối xử bình đẳng với mọi người nộp thuế.  - HUMAN-TRU1]]</f>
        <v>9</v>
      </c>
      <c r="AN366" t="str">
        <f t="shared" si="148"/>
        <v>Support</v>
      </c>
      <c r="AO366" s="31">
        <f t="shared" si="149"/>
        <v>1</v>
      </c>
      <c r="AP366">
        <f>step3_validation[[#This Row],[AI_TRU2]]</f>
        <v>9</v>
      </c>
      <c r="AQ366" t="str">
        <f t="shared" si="150"/>
        <v>Support</v>
      </c>
      <c r="AR366">
        <f>survey_responses[[#This Row],[Tôi thấy mức thuế tôi phải đóng theo phương án mới là công bằng (người thu nhập như tôi đóng mức này là hợp lý). - HUMAN-TRU2]]</f>
        <v>7</v>
      </c>
      <c r="AS366" t="str">
        <f t="shared" si="151"/>
        <v>Neutral</v>
      </c>
      <c r="AT366" s="31">
        <f t="shared" si="152"/>
        <v>2</v>
      </c>
      <c r="AU366">
        <f>step3_validation[[#This Row],[AI_TRU3]]</f>
        <v>8</v>
      </c>
      <c r="AV366" t="str">
        <f t="shared" si="153"/>
        <v>Support</v>
      </c>
      <c r="AW366">
        <f>survey_responses[[#This Row],[Tôi tin tưởng số tiền thuế tôi đóng sẽ được Nhà nước sử dụng hiệu quả để cải thiện dịch vụ công (y tế, đường xá...). - HUMAN-TRU3]]</f>
        <v>7</v>
      </c>
      <c r="AX366" t="str">
        <f t="shared" si="154"/>
        <v>Neutral</v>
      </c>
      <c r="AY366" s="31">
        <f t="shared" si="155"/>
        <v>1</v>
      </c>
      <c r="AZ366">
        <f>step3_validation[[#This Row],[AI_TRU4]]</f>
        <v>8</v>
      </c>
      <c r="BA366" t="str">
        <f t="shared" si="156"/>
        <v>Support</v>
      </c>
      <c r="BB366">
        <f>survey_responses[[#This Row],[Tôi thấy Nhà nước đã giải thích rõ ràng, minh bạch về lý do và mục tiêu của việc sửa đổi thuế lần này. - HUMAN-TRU4]]</f>
        <v>7</v>
      </c>
      <c r="BC366" t="str">
        <f t="shared" si="157"/>
        <v>Neutral</v>
      </c>
      <c r="BD366" s="31">
        <f t="shared" si="158"/>
        <v>1</v>
      </c>
      <c r="BE366">
        <f>step3_validation[[#This Row],[AI_OUT1]]</f>
        <v>9</v>
      </c>
      <c r="BF366" t="str">
        <f t="shared" si="159"/>
        <v>Support</v>
      </c>
      <c r="BG366">
        <f>survey_responses[[#This Row],[Sau khi xem xét các quyền lợi và nghĩa vụ, bạn có ủng hộ và tuân thủ chính sách mới hiện nay? - HUMAN-OUT1]]</f>
        <v>7</v>
      </c>
      <c r="BH366" t="str">
        <f t="shared" si="160"/>
        <v>Neutral</v>
      </c>
      <c r="BI366" s="31">
        <f t="shared" si="161"/>
        <v>2</v>
      </c>
    </row>
    <row r="367" spans="1:61" hidden="1" x14ac:dyDescent="0.45">
      <c r="A367" s="29">
        <f>step3_validation[[#This Row],[Persona_ID]]</f>
        <v>366</v>
      </c>
      <c r="B367" s="30">
        <f>step3_validation[[#This Row],[Used_Seed]]</f>
        <v>407</v>
      </c>
      <c r="C367" t="str">
        <f>step3_validation[[#This Row],[Gender]]</f>
        <v>Nam</v>
      </c>
      <c r="D367" t="str">
        <f>survey_responses[[#This Row],[Giới tính của bạn:]]</f>
        <v>Nam</v>
      </c>
      <c r="E367" t="str">
        <f>step3_validation[[#This Row],[Age_Group]]</f>
        <v>30 - 39</v>
      </c>
      <c r="F367" t="str">
        <f>survey_responses[[#This Row],[Độ tuổi của bạn:]]</f>
        <v>30 - 39</v>
      </c>
      <c r="G367" t="str">
        <f>step3_validation[[#This Row],[Region]]</f>
        <v>Thành thị</v>
      </c>
      <c r="H367" t="str">
        <f>survey_responses[[#This Row],[Khu vực bạn đang sinh sống:]]</f>
        <v>Thành thị</v>
      </c>
      <c r="I367" t="str">
        <f>step3_validation[[#This Row],[Education]]</f>
        <v>Sau Đại học</v>
      </c>
      <c r="J367" t="str">
        <f>survey_responses[[#This Row],[Trình độ học vấn cao nhất:]]</f>
        <v>Sau Đại học</v>
      </c>
      <c r="K367" t="str">
        <f>step3_validation[[#This Row],[Employment]]</f>
        <v>Chính thức</v>
      </c>
      <c r="L367" t="str">
        <f>survey_responses[[#This Row],[Tình trạng việc làm chính:]]</f>
        <v>Khu vực chính thức (Có Hợp đồng lao động, đóng BHXH)</v>
      </c>
      <c r="M367">
        <f>step3_validation[[#This Row],[Income_Mil]]</f>
        <v>57.008492890369311</v>
      </c>
      <c r="N367" t="str">
        <f>survey_responses[[#This Row],[Thu nhập bình quân tháng theo Hợp đồng lao động của bạn là bao nhiêu? (Vui lòng điền tổng thu nhập trước khi khấu trừ các loại Bảo hiểm (BHXH, BHYT, BHTN) và Thuế TNCN)]]</f>
        <v>Từ 48 - 70 triệu VNĐ</v>
      </c>
      <c r="O367">
        <f>step3_validation[[#This Row],[Dependents]]</f>
        <v>1</v>
      </c>
      <c r="P367" t="str">
        <f>survey_responses[[#This Row],[Số người phụ thuộc (con nhỏ, cha mẹ già...) đủ điều kiện giảm trừ gia cảnh:]]</f>
        <v>1 người</v>
      </c>
      <c r="Q367">
        <f>step3_validation[[#This Row],[AI_ENF1]]</f>
        <v>6</v>
      </c>
      <c r="R367" t="str">
        <f t="shared" si="135"/>
        <v>Neutral</v>
      </c>
      <c r="S367">
        <f>survey_responses[[#This Row],[Tôi tin rằng với các quy định quản lý thuế hiện nay, hành vi gian lận hoặc trốn thuế sẽ dễ dàng bị phát hiện và xử lý nghiêm. - HUMAN-ENF1]]</f>
        <v>7</v>
      </c>
      <c r="T367" t="str">
        <f t="shared" si="136"/>
        <v>Neutral</v>
      </c>
      <c r="U367" s="31">
        <f t="shared" si="137"/>
        <v>1</v>
      </c>
      <c r="V367">
        <f>step3_validation[[#This Row],[AI_ENF2]]</f>
        <v>7</v>
      </c>
      <c r="W367" t="str">
        <f t="shared" si="138"/>
        <v>Neutral</v>
      </c>
      <c r="X367">
        <f>survey_responses[[#This Row],[Tôi tin rằng Nhà nước, cơ quan thuế có đủ khả năng và công nghệ để phát hiện, xử lý nghiêm các hành vi trốn thuế. - HUMAN-ENF2]]</f>
        <v>8</v>
      </c>
      <c r="Y367" t="str">
        <f t="shared" si="139"/>
        <v>Support</v>
      </c>
      <c r="Z367" s="31">
        <f t="shared" si="140"/>
        <v>1</v>
      </c>
      <c r="AA367">
        <f>step3_validation[[#This Row],[AI_FAC1]]</f>
        <v>8</v>
      </c>
      <c r="AB367" t="str">
        <f t="shared" si="141"/>
        <v>Support</v>
      </c>
      <c r="AC367">
        <f>survey_responses[[#This Row],[Các thủ tục khai báo thuế VÀ/HOẶC quy trình làm việc với cơ quan thuế đơn giản, tiện lợi, nhanh chóng hơn so với trước đây. - HUMAN-FAC1]]</f>
        <v>8</v>
      </c>
      <c r="AD367" t="str">
        <f t="shared" si="142"/>
        <v>Support</v>
      </c>
      <c r="AE367" s="31">
        <f t="shared" si="143"/>
        <v>0</v>
      </c>
      <c r="AF367">
        <f>step3_validation[[#This Row],[AI_FAC2]]</f>
        <v>9</v>
      </c>
      <c r="AG367" t="str">
        <f t="shared" si="144"/>
        <v>Support</v>
      </c>
      <c r="AH367">
        <f>survey_responses[[#This Row],[So với trước đây, tôi thấy cách tính thuế và các bậc thuế trong phương án mới đơn giản, dễ hiểu và dễ thực hiện hơn. - HUMAN-FAC2]]</f>
        <v>8</v>
      </c>
      <c r="AI367" t="str">
        <f t="shared" si="145"/>
        <v>Support</v>
      </c>
      <c r="AJ367" s="31">
        <f t="shared" si="146"/>
        <v>1</v>
      </c>
      <c r="AK367">
        <f>step3_validation[[#This Row],[AI_TRU1]]</f>
        <v>8</v>
      </c>
      <c r="AL367" t="str">
        <f t="shared" si="147"/>
        <v>Support</v>
      </c>
      <c r="AM367">
        <f>survey_responses[[#This Row],[Tôi tin rằng Nhà nước, cơ quan thuế sẽ thực thi chính sách mới một cách khách quan, công tâm và đối xử bình đẳng với mọi người nộp thuế.  - HUMAN-TRU1]]</f>
        <v>5</v>
      </c>
      <c r="AN367" t="str">
        <f t="shared" si="148"/>
        <v>Neutral</v>
      </c>
      <c r="AO367" s="31">
        <f t="shared" si="149"/>
        <v>3</v>
      </c>
      <c r="AP367">
        <f>step3_validation[[#This Row],[AI_TRU2]]</f>
        <v>9</v>
      </c>
      <c r="AQ367" t="str">
        <f t="shared" si="150"/>
        <v>Support</v>
      </c>
      <c r="AR367">
        <f>survey_responses[[#This Row],[Tôi thấy mức thuế tôi phải đóng theo phương án mới là công bằng (người thu nhập như tôi đóng mức này là hợp lý). - HUMAN-TRU2]]</f>
        <v>6</v>
      </c>
      <c r="AS367" t="str">
        <f t="shared" si="151"/>
        <v>Neutral</v>
      </c>
      <c r="AT367" s="31">
        <f t="shared" si="152"/>
        <v>3</v>
      </c>
      <c r="AU367">
        <f>step3_validation[[#This Row],[AI_TRU3]]</f>
        <v>7</v>
      </c>
      <c r="AV367" t="str">
        <f t="shared" si="153"/>
        <v>Neutral</v>
      </c>
      <c r="AW367">
        <f>survey_responses[[#This Row],[Tôi tin tưởng số tiền thuế tôi đóng sẽ được Nhà nước sử dụng hiệu quả để cải thiện dịch vụ công (y tế, đường xá...). - HUMAN-TRU3]]</f>
        <v>5</v>
      </c>
      <c r="AX367" t="str">
        <f t="shared" si="154"/>
        <v>Neutral</v>
      </c>
      <c r="AY367" s="31">
        <f t="shared" si="155"/>
        <v>2</v>
      </c>
      <c r="AZ367">
        <f>step3_validation[[#This Row],[AI_TRU4]]</f>
        <v>8</v>
      </c>
      <c r="BA367" t="str">
        <f t="shared" si="156"/>
        <v>Support</v>
      </c>
      <c r="BB367">
        <f>survey_responses[[#This Row],[Tôi thấy Nhà nước đã giải thích rõ ràng, minh bạch về lý do và mục tiêu của việc sửa đổi thuế lần này. - HUMAN-TRU4]]</f>
        <v>6</v>
      </c>
      <c r="BC367" t="str">
        <f t="shared" si="157"/>
        <v>Neutral</v>
      </c>
      <c r="BD367" s="31">
        <f t="shared" si="158"/>
        <v>2</v>
      </c>
      <c r="BE367">
        <f>step3_validation[[#This Row],[AI_OUT1]]</f>
        <v>9</v>
      </c>
      <c r="BF367" t="str">
        <f t="shared" si="159"/>
        <v>Support</v>
      </c>
      <c r="BG367">
        <f>survey_responses[[#This Row],[Sau khi xem xét các quyền lợi và nghĩa vụ, bạn có ủng hộ và tuân thủ chính sách mới hiện nay? - HUMAN-OUT1]]</f>
        <v>6</v>
      </c>
      <c r="BH367" t="str">
        <f t="shared" si="160"/>
        <v>Neutral</v>
      </c>
      <c r="BI367" s="31">
        <f t="shared" si="161"/>
        <v>3</v>
      </c>
    </row>
    <row r="368" spans="1:61" hidden="1" x14ac:dyDescent="0.45">
      <c r="A368" s="29">
        <f>step3_validation[[#This Row],[Persona_ID]]</f>
        <v>367</v>
      </c>
      <c r="B368" s="30">
        <f>step3_validation[[#This Row],[Used_Seed]]</f>
        <v>408</v>
      </c>
      <c r="C368" t="str">
        <f>step3_validation[[#This Row],[Gender]]</f>
        <v>Nữ</v>
      </c>
      <c r="D368" t="str">
        <f>survey_responses[[#This Row],[Giới tính của bạn:]]</f>
        <v>Nữ</v>
      </c>
      <c r="E368" t="str">
        <f>step3_validation[[#This Row],[Age_Group]]</f>
        <v>18 - 24</v>
      </c>
      <c r="F368" t="str">
        <f>survey_responses[[#This Row],[Độ tuổi của bạn:]]</f>
        <v>18 - 24</v>
      </c>
      <c r="G368" t="str">
        <f>step3_validation[[#This Row],[Region]]</f>
        <v>Thành thị</v>
      </c>
      <c r="H368" t="str">
        <f>survey_responses[[#This Row],[Khu vực bạn đang sinh sống:]]</f>
        <v>Thành thị</v>
      </c>
      <c r="I368" t="str">
        <f>step3_validation[[#This Row],[Education]]</f>
        <v>Đại học</v>
      </c>
      <c r="J368" t="str">
        <f>survey_responses[[#This Row],[Trình độ học vấn cao nhất:]]</f>
        <v>Đại học</v>
      </c>
      <c r="K368" t="str">
        <f>step3_validation[[#This Row],[Employment]]</f>
        <v>Chính thức</v>
      </c>
      <c r="L368" t="str">
        <f>survey_responses[[#This Row],[Tình trạng việc làm chính:]]</f>
        <v>Khu vực chính thức (Có Hợp đồng lao động, đóng BHXH)</v>
      </c>
      <c r="M368">
        <f>step3_validation[[#This Row],[Income_Mil]]</f>
        <v>14.489915005413165</v>
      </c>
      <c r="N368" t="str">
        <f>survey_responses[[#This Row],[Thu nhập bình quân tháng theo Hợp đồng lao động của bạn là bao nhiêu? (Vui lòng điền tổng thu nhập trước khi khấu trừ các loại Bảo hiểm (BHXH, BHYT, BHTN) và Thuế TNCN)]]</f>
        <v>Từ 12 - 18 triệu VNĐ</v>
      </c>
      <c r="O368">
        <f>step3_validation[[#This Row],[Dependents]]</f>
        <v>0</v>
      </c>
      <c r="P368" t="str">
        <f>survey_responses[[#This Row],[Số người phụ thuộc (con nhỏ, cha mẹ già...) đủ điều kiện giảm trừ gia cảnh:]]</f>
        <v>0 người</v>
      </c>
      <c r="Q368">
        <f>step3_validation[[#This Row],[AI_ENF1]]</f>
        <v>8</v>
      </c>
      <c r="R368" t="str">
        <f t="shared" si="135"/>
        <v>Support</v>
      </c>
      <c r="S368">
        <f>survey_responses[[#This Row],[Tôi tin rằng với các quy định quản lý thuế hiện nay, hành vi gian lận hoặc trốn thuế sẽ dễ dàng bị phát hiện và xử lý nghiêm. - HUMAN-ENF1]]</f>
        <v>8</v>
      </c>
      <c r="T368" t="str">
        <f t="shared" si="136"/>
        <v>Support</v>
      </c>
      <c r="U368" s="31">
        <f t="shared" si="137"/>
        <v>0</v>
      </c>
      <c r="V368">
        <f>step3_validation[[#This Row],[AI_ENF2]]</f>
        <v>9</v>
      </c>
      <c r="W368" t="str">
        <f t="shared" si="138"/>
        <v>Support</v>
      </c>
      <c r="X368">
        <f>survey_responses[[#This Row],[Tôi tin rằng Nhà nước, cơ quan thuế có đủ khả năng và công nghệ để phát hiện, xử lý nghiêm các hành vi trốn thuế. - HUMAN-ENF2]]</f>
        <v>9</v>
      </c>
      <c r="Y368" t="str">
        <f t="shared" si="139"/>
        <v>Support</v>
      </c>
      <c r="Z368" s="31">
        <f t="shared" si="140"/>
        <v>0</v>
      </c>
      <c r="AA368">
        <f>step3_validation[[#This Row],[AI_FAC1]]</f>
        <v>9</v>
      </c>
      <c r="AB368" t="str">
        <f t="shared" si="141"/>
        <v>Support</v>
      </c>
      <c r="AC368">
        <f>survey_responses[[#This Row],[Các thủ tục khai báo thuế VÀ/HOẶC quy trình làm việc với cơ quan thuế đơn giản, tiện lợi, nhanh chóng hơn so với trước đây. - HUMAN-FAC1]]</f>
        <v>8</v>
      </c>
      <c r="AD368" t="str">
        <f t="shared" si="142"/>
        <v>Support</v>
      </c>
      <c r="AE368" s="31">
        <f t="shared" si="143"/>
        <v>1</v>
      </c>
      <c r="AF368">
        <f>step3_validation[[#This Row],[AI_FAC2]]</f>
        <v>9</v>
      </c>
      <c r="AG368" t="str">
        <f t="shared" si="144"/>
        <v>Support</v>
      </c>
      <c r="AH368">
        <f>survey_responses[[#This Row],[So với trước đây, tôi thấy cách tính thuế và các bậc thuế trong phương án mới đơn giản, dễ hiểu và dễ thực hiện hơn. - HUMAN-FAC2]]</f>
        <v>8</v>
      </c>
      <c r="AI368" t="str">
        <f t="shared" si="145"/>
        <v>Support</v>
      </c>
      <c r="AJ368" s="31">
        <f t="shared" si="146"/>
        <v>1</v>
      </c>
      <c r="AK368">
        <f>step3_validation[[#This Row],[AI_TRU1]]</f>
        <v>8</v>
      </c>
      <c r="AL368" t="str">
        <f t="shared" si="147"/>
        <v>Support</v>
      </c>
      <c r="AM368">
        <f>survey_responses[[#This Row],[Tôi tin rằng Nhà nước, cơ quan thuế sẽ thực thi chính sách mới một cách khách quan, công tâm và đối xử bình đẳng với mọi người nộp thuế.  - HUMAN-TRU1]]</f>
        <v>9</v>
      </c>
      <c r="AN368" t="str">
        <f t="shared" si="148"/>
        <v>Support</v>
      </c>
      <c r="AO368" s="31">
        <f t="shared" si="149"/>
        <v>1</v>
      </c>
      <c r="AP368">
        <f>step3_validation[[#This Row],[AI_TRU2]]</f>
        <v>9</v>
      </c>
      <c r="AQ368" t="str">
        <f t="shared" si="150"/>
        <v>Support</v>
      </c>
      <c r="AR368">
        <f>survey_responses[[#This Row],[Tôi thấy mức thuế tôi phải đóng theo phương án mới là công bằng (người thu nhập như tôi đóng mức này là hợp lý). - HUMAN-TRU2]]</f>
        <v>10</v>
      </c>
      <c r="AS368" t="str">
        <f t="shared" si="151"/>
        <v>Support</v>
      </c>
      <c r="AT368" s="31">
        <f t="shared" si="152"/>
        <v>1</v>
      </c>
      <c r="AU368">
        <f>step3_validation[[#This Row],[AI_TRU3]]</f>
        <v>8</v>
      </c>
      <c r="AV368" t="str">
        <f t="shared" si="153"/>
        <v>Support</v>
      </c>
      <c r="AW368">
        <f>survey_responses[[#This Row],[Tôi tin tưởng số tiền thuế tôi đóng sẽ được Nhà nước sử dụng hiệu quả để cải thiện dịch vụ công (y tế, đường xá...). - HUMAN-TRU3]]</f>
        <v>10</v>
      </c>
      <c r="AX368" t="str">
        <f t="shared" si="154"/>
        <v>Support</v>
      </c>
      <c r="AY368" s="31">
        <f t="shared" si="155"/>
        <v>2</v>
      </c>
      <c r="AZ368">
        <f>step3_validation[[#This Row],[AI_TRU4]]</f>
        <v>8</v>
      </c>
      <c r="BA368" t="str">
        <f t="shared" si="156"/>
        <v>Support</v>
      </c>
      <c r="BB368">
        <f>survey_responses[[#This Row],[Tôi thấy Nhà nước đã giải thích rõ ràng, minh bạch về lý do và mục tiêu của việc sửa đổi thuế lần này. - HUMAN-TRU4]]</f>
        <v>9</v>
      </c>
      <c r="BC368" t="str">
        <f t="shared" si="157"/>
        <v>Support</v>
      </c>
      <c r="BD368" s="31">
        <f t="shared" si="158"/>
        <v>1</v>
      </c>
      <c r="BE368">
        <f>step3_validation[[#This Row],[AI_OUT1]]</f>
        <v>9</v>
      </c>
      <c r="BF368" t="str">
        <f t="shared" si="159"/>
        <v>Support</v>
      </c>
      <c r="BG368">
        <f>survey_responses[[#This Row],[Sau khi xem xét các quyền lợi và nghĩa vụ, bạn có ủng hộ và tuân thủ chính sách mới hiện nay? - HUMAN-OUT1]]</f>
        <v>10</v>
      </c>
      <c r="BH368" t="str">
        <f t="shared" si="160"/>
        <v>Support</v>
      </c>
      <c r="BI368" s="31">
        <f t="shared" si="161"/>
        <v>1</v>
      </c>
    </row>
    <row r="369" spans="1:61" hidden="1" x14ac:dyDescent="0.45">
      <c r="A369" s="29">
        <f>step3_validation[[#This Row],[Persona_ID]]</f>
        <v>368</v>
      </c>
      <c r="B369" s="30">
        <f>step3_validation[[#This Row],[Used_Seed]]</f>
        <v>409</v>
      </c>
      <c r="C369" t="str">
        <f>step3_validation[[#This Row],[Gender]]</f>
        <v>Nữ</v>
      </c>
      <c r="D369" t="str">
        <f>survey_responses[[#This Row],[Giới tính của bạn:]]</f>
        <v>Nữ</v>
      </c>
      <c r="E369" t="str">
        <f>step3_validation[[#This Row],[Age_Group]]</f>
        <v>25 - 29</v>
      </c>
      <c r="F369" t="str">
        <f>survey_responses[[#This Row],[Độ tuổi của bạn:]]</f>
        <v>25 - 29</v>
      </c>
      <c r="G369" t="str">
        <f>step3_validation[[#This Row],[Region]]</f>
        <v>Thành thị</v>
      </c>
      <c r="H369" t="str">
        <f>survey_responses[[#This Row],[Khu vực bạn đang sinh sống:]]</f>
        <v>Thành thị</v>
      </c>
      <c r="I369" t="str">
        <f>step3_validation[[#This Row],[Education]]</f>
        <v>Sau Đại học</v>
      </c>
      <c r="J369" t="str">
        <f>survey_responses[[#This Row],[Trình độ học vấn cao nhất:]]</f>
        <v>Sau Đại học</v>
      </c>
      <c r="K369" t="str">
        <f>step3_validation[[#This Row],[Employment]]</f>
        <v>Chính thức</v>
      </c>
      <c r="L369" t="str">
        <f>survey_responses[[#This Row],[Tình trạng việc làm chính:]]</f>
        <v>Khu vực chính thức (Có Hợp đồng lao động, đóng BHXH)</v>
      </c>
      <c r="M369">
        <f>step3_validation[[#This Row],[Income_Mil]]</f>
        <v>26.614885250121439</v>
      </c>
      <c r="N369" t="str">
        <f>survey_responses[[#This Row],[Thu nhập bình quân tháng theo Hợp đồng lao động của bạn là bao nhiêu? (Vui lòng điền tổng thu nhập trước khi khấu trừ các loại Bảo hiểm (BHXH, BHYT, BHTN) và Thuế TNCN)]]</f>
        <v>Từ 23 - 32 triệu VNĐ</v>
      </c>
      <c r="O369">
        <f>step3_validation[[#This Row],[Dependents]]</f>
        <v>2</v>
      </c>
      <c r="P369" t="str">
        <f>survey_responses[[#This Row],[Số người phụ thuộc (con nhỏ, cha mẹ già...) đủ điều kiện giảm trừ gia cảnh:]]</f>
        <v>2 người</v>
      </c>
      <c r="Q369">
        <f>step3_validation[[#This Row],[AI_ENF1]]</f>
        <v>7</v>
      </c>
      <c r="R369" t="str">
        <f t="shared" si="135"/>
        <v>Neutral</v>
      </c>
      <c r="S369">
        <f>survey_responses[[#This Row],[Tôi tin rằng với các quy định quản lý thuế hiện nay, hành vi gian lận hoặc trốn thuế sẽ dễ dàng bị phát hiện và xử lý nghiêm. - HUMAN-ENF1]]</f>
        <v>7</v>
      </c>
      <c r="T369" t="str">
        <f t="shared" si="136"/>
        <v>Neutral</v>
      </c>
      <c r="U369" s="31">
        <f t="shared" si="137"/>
        <v>0</v>
      </c>
      <c r="V369">
        <f>step3_validation[[#This Row],[AI_ENF2]]</f>
        <v>7</v>
      </c>
      <c r="W369" t="str">
        <f t="shared" si="138"/>
        <v>Neutral</v>
      </c>
      <c r="X369">
        <f>survey_responses[[#This Row],[Tôi tin rằng Nhà nước, cơ quan thuế có đủ khả năng và công nghệ để phát hiện, xử lý nghiêm các hành vi trốn thuế. - HUMAN-ENF2]]</f>
        <v>7</v>
      </c>
      <c r="Y369" t="str">
        <f t="shared" si="139"/>
        <v>Neutral</v>
      </c>
      <c r="Z369" s="31">
        <f t="shared" si="140"/>
        <v>0</v>
      </c>
      <c r="AA369">
        <f>step3_validation[[#This Row],[AI_FAC1]]</f>
        <v>9</v>
      </c>
      <c r="AB369" t="str">
        <f t="shared" si="141"/>
        <v>Support</v>
      </c>
      <c r="AC369">
        <f>survey_responses[[#This Row],[Các thủ tục khai báo thuế VÀ/HOẶC quy trình làm việc với cơ quan thuế đơn giản, tiện lợi, nhanh chóng hơn so với trước đây. - HUMAN-FAC1]]</f>
        <v>8</v>
      </c>
      <c r="AD369" t="str">
        <f t="shared" si="142"/>
        <v>Support</v>
      </c>
      <c r="AE369" s="31">
        <f t="shared" si="143"/>
        <v>1</v>
      </c>
      <c r="AF369">
        <f>step3_validation[[#This Row],[AI_FAC2]]</f>
        <v>9</v>
      </c>
      <c r="AG369" t="str">
        <f t="shared" si="144"/>
        <v>Support</v>
      </c>
      <c r="AH369">
        <f>survey_responses[[#This Row],[So với trước đây, tôi thấy cách tính thuế và các bậc thuế trong phương án mới đơn giản, dễ hiểu và dễ thực hiện hơn. - HUMAN-FAC2]]</f>
        <v>8</v>
      </c>
      <c r="AI369" t="str">
        <f t="shared" si="145"/>
        <v>Support</v>
      </c>
      <c r="AJ369" s="31">
        <f t="shared" si="146"/>
        <v>1</v>
      </c>
      <c r="AK369">
        <f>step3_validation[[#This Row],[AI_TRU1]]</f>
        <v>8</v>
      </c>
      <c r="AL369" t="str">
        <f t="shared" si="147"/>
        <v>Support</v>
      </c>
      <c r="AM369">
        <f>survey_responses[[#This Row],[Tôi tin rằng Nhà nước, cơ quan thuế sẽ thực thi chính sách mới một cách khách quan, công tâm và đối xử bình đẳng với mọi người nộp thuế.  - HUMAN-TRU1]]</f>
        <v>6</v>
      </c>
      <c r="AN369" t="str">
        <f t="shared" si="148"/>
        <v>Neutral</v>
      </c>
      <c r="AO369" s="31">
        <f t="shared" si="149"/>
        <v>2</v>
      </c>
      <c r="AP369">
        <f>step3_validation[[#This Row],[AI_TRU2]]</f>
        <v>9</v>
      </c>
      <c r="AQ369" t="str">
        <f t="shared" si="150"/>
        <v>Support</v>
      </c>
      <c r="AR369">
        <f>survey_responses[[#This Row],[Tôi thấy mức thuế tôi phải đóng theo phương án mới là công bằng (người thu nhập như tôi đóng mức này là hợp lý). - HUMAN-TRU2]]</f>
        <v>8</v>
      </c>
      <c r="AS369" t="str">
        <f t="shared" si="151"/>
        <v>Support</v>
      </c>
      <c r="AT369" s="31">
        <f t="shared" si="152"/>
        <v>1</v>
      </c>
      <c r="AU369">
        <f>step3_validation[[#This Row],[AI_TRU3]]</f>
        <v>8</v>
      </c>
      <c r="AV369" t="str">
        <f t="shared" si="153"/>
        <v>Support</v>
      </c>
      <c r="AW369">
        <f>survey_responses[[#This Row],[Tôi tin tưởng số tiền thuế tôi đóng sẽ được Nhà nước sử dụng hiệu quả để cải thiện dịch vụ công (y tế, đường xá...). - HUMAN-TRU3]]</f>
        <v>6</v>
      </c>
      <c r="AX369" t="str">
        <f t="shared" si="154"/>
        <v>Neutral</v>
      </c>
      <c r="AY369" s="31">
        <f t="shared" si="155"/>
        <v>2</v>
      </c>
      <c r="AZ369">
        <f>step3_validation[[#This Row],[AI_TRU4]]</f>
        <v>7</v>
      </c>
      <c r="BA369" t="str">
        <f t="shared" si="156"/>
        <v>Neutral</v>
      </c>
      <c r="BB369">
        <f>survey_responses[[#This Row],[Tôi thấy Nhà nước đã giải thích rõ ràng, minh bạch về lý do và mục tiêu của việc sửa đổi thuế lần này. - HUMAN-TRU4]]</f>
        <v>7</v>
      </c>
      <c r="BC369" t="str">
        <f t="shared" si="157"/>
        <v>Neutral</v>
      </c>
      <c r="BD369" s="31">
        <f t="shared" si="158"/>
        <v>0</v>
      </c>
      <c r="BE369">
        <f>step3_validation[[#This Row],[AI_OUT1]]</f>
        <v>9</v>
      </c>
      <c r="BF369" t="str">
        <f t="shared" si="159"/>
        <v>Support</v>
      </c>
      <c r="BG369">
        <f>survey_responses[[#This Row],[Sau khi xem xét các quyền lợi và nghĩa vụ, bạn có ủng hộ và tuân thủ chính sách mới hiện nay? - HUMAN-OUT1]]</f>
        <v>8</v>
      </c>
      <c r="BH369" t="str">
        <f t="shared" si="160"/>
        <v>Support</v>
      </c>
      <c r="BI369" s="31">
        <f t="shared" si="161"/>
        <v>1</v>
      </c>
    </row>
    <row r="370" spans="1:61" hidden="1" x14ac:dyDescent="0.45">
      <c r="A370" s="29">
        <f>step3_validation[[#This Row],[Persona_ID]]</f>
        <v>369</v>
      </c>
      <c r="B370" s="30">
        <f>step3_validation[[#This Row],[Used_Seed]]</f>
        <v>410</v>
      </c>
      <c r="C370" t="str">
        <f>step3_validation[[#This Row],[Gender]]</f>
        <v>Nam</v>
      </c>
      <c r="D370" t="str">
        <f>survey_responses[[#This Row],[Giới tính của bạn:]]</f>
        <v>Nam</v>
      </c>
      <c r="E370" t="str">
        <f>step3_validation[[#This Row],[Age_Group]]</f>
        <v>25 - 29</v>
      </c>
      <c r="F370" t="str">
        <f>survey_responses[[#This Row],[Độ tuổi của bạn:]]</f>
        <v>25 - 29</v>
      </c>
      <c r="G370" t="str">
        <f>step3_validation[[#This Row],[Region]]</f>
        <v>Thành thị</v>
      </c>
      <c r="H370" t="str">
        <f>survey_responses[[#This Row],[Khu vực bạn đang sinh sống:]]</f>
        <v>Thành thị</v>
      </c>
      <c r="I370" t="str">
        <f>step3_validation[[#This Row],[Education]]</f>
        <v>Đại học</v>
      </c>
      <c r="J370" t="str">
        <f>survey_responses[[#This Row],[Trình độ học vấn cao nhất:]]</f>
        <v>Đại học</v>
      </c>
      <c r="K370" t="str">
        <f>step3_validation[[#This Row],[Employment]]</f>
        <v>Chính thức</v>
      </c>
      <c r="L370" t="str">
        <f>survey_responses[[#This Row],[Tình trạng việc làm chính:]]</f>
        <v>Khu vực chính thức (Có Hợp đồng lao động, đóng BHXH)</v>
      </c>
      <c r="M370">
        <f>step3_validation[[#This Row],[Income_Mil]]</f>
        <v>13.067110338123854</v>
      </c>
      <c r="N370" t="str">
        <f>survey_responses[[#This Row],[Thu nhập bình quân tháng theo Hợp đồng lao động của bạn là bao nhiêu? (Vui lòng điền tổng thu nhập trước khi khấu trừ các loại Bảo hiểm (BHXH, BHYT, BHTN) và Thuế TNCN)]]</f>
        <v>Từ 12 - 18 triệu VNĐ</v>
      </c>
      <c r="O370">
        <f>step3_validation[[#This Row],[Dependents]]</f>
        <v>0</v>
      </c>
      <c r="P370" t="str">
        <f>survey_responses[[#This Row],[Số người phụ thuộc (con nhỏ, cha mẹ già...) đủ điều kiện giảm trừ gia cảnh:]]</f>
        <v>0 người</v>
      </c>
      <c r="Q370">
        <f>step3_validation[[#This Row],[AI_ENF1]]</f>
        <v>7</v>
      </c>
      <c r="R370" t="str">
        <f t="shared" si="135"/>
        <v>Neutral</v>
      </c>
      <c r="S370">
        <f>survey_responses[[#This Row],[Tôi tin rằng với các quy định quản lý thuế hiện nay, hành vi gian lận hoặc trốn thuế sẽ dễ dàng bị phát hiện và xử lý nghiêm. - HUMAN-ENF1]]</f>
        <v>6</v>
      </c>
      <c r="T370" t="str">
        <f t="shared" si="136"/>
        <v>Neutral</v>
      </c>
      <c r="U370" s="31">
        <f t="shared" si="137"/>
        <v>1</v>
      </c>
      <c r="V370">
        <f>step3_validation[[#This Row],[AI_ENF2]]</f>
        <v>8</v>
      </c>
      <c r="W370" t="str">
        <f t="shared" si="138"/>
        <v>Support</v>
      </c>
      <c r="X370">
        <f>survey_responses[[#This Row],[Tôi tin rằng Nhà nước, cơ quan thuế có đủ khả năng và công nghệ để phát hiện, xử lý nghiêm các hành vi trốn thuế. - HUMAN-ENF2]]</f>
        <v>6</v>
      </c>
      <c r="Y370" t="str">
        <f t="shared" si="139"/>
        <v>Neutral</v>
      </c>
      <c r="Z370" s="31">
        <f t="shared" si="140"/>
        <v>2</v>
      </c>
      <c r="AA370">
        <f>step3_validation[[#This Row],[AI_FAC1]]</f>
        <v>7</v>
      </c>
      <c r="AB370" t="str">
        <f t="shared" si="141"/>
        <v>Neutral</v>
      </c>
      <c r="AC370">
        <f>survey_responses[[#This Row],[Các thủ tục khai báo thuế VÀ/HOẶC quy trình làm việc với cơ quan thuế đơn giản, tiện lợi, nhanh chóng hơn so với trước đây. - HUMAN-FAC1]]</f>
        <v>8</v>
      </c>
      <c r="AD370" t="str">
        <f t="shared" si="142"/>
        <v>Support</v>
      </c>
      <c r="AE370" s="31">
        <f t="shared" si="143"/>
        <v>1</v>
      </c>
      <c r="AF370">
        <f>step3_validation[[#This Row],[AI_FAC2]]</f>
        <v>9</v>
      </c>
      <c r="AG370" t="str">
        <f t="shared" si="144"/>
        <v>Support</v>
      </c>
      <c r="AH370">
        <f>survey_responses[[#This Row],[So với trước đây, tôi thấy cách tính thuế và các bậc thuế trong phương án mới đơn giản, dễ hiểu và dễ thực hiện hơn. - HUMAN-FAC2]]</f>
        <v>9</v>
      </c>
      <c r="AI370" t="str">
        <f t="shared" si="145"/>
        <v>Support</v>
      </c>
      <c r="AJ370" s="31">
        <f t="shared" si="146"/>
        <v>0</v>
      </c>
      <c r="AK370">
        <f>step3_validation[[#This Row],[AI_TRU1]]</f>
        <v>8</v>
      </c>
      <c r="AL370" t="str">
        <f t="shared" si="147"/>
        <v>Support</v>
      </c>
      <c r="AM370">
        <f>survey_responses[[#This Row],[Tôi tin rằng Nhà nước, cơ quan thuế sẽ thực thi chính sách mới một cách khách quan, công tâm và đối xử bình đẳng với mọi người nộp thuế.  - HUMAN-TRU1]]</f>
        <v>8</v>
      </c>
      <c r="AN370" t="str">
        <f t="shared" si="148"/>
        <v>Support</v>
      </c>
      <c r="AO370" s="31">
        <f t="shared" si="149"/>
        <v>0</v>
      </c>
      <c r="AP370">
        <f>step3_validation[[#This Row],[AI_TRU2]]</f>
        <v>9</v>
      </c>
      <c r="AQ370" t="str">
        <f t="shared" si="150"/>
        <v>Support</v>
      </c>
      <c r="AR370">
        <f>survey_responses[[#This Row],[Tôi thấy mức thuế tôi phải đóng theo phương án mới là công bằng (người thu nhập như tôi đóng mức này là hợp lý). - HUMAN-TRU2]]</f>
        <v>8</v>
      </c>
      <c r="AS370" t="str">
        <f t="shared" si="151"/>
        <v>Support</v>
      </c>
      <c r="AT370" s="31">
        <f t="shared" si="152"/>
        <v>1</v>
      </c>
      <c r="AU370">
        <f>step3_validation[[#This Row],[AI_TRU3]]</f>
        <v>8</v>
      </c>
      <c r="AV370" t="str">
        <f t="shared" si="153"/>
        <v>Support</v>
      </c>
      <c r="AW370">
        <f>survey_responses[[#This Row],[Tôi tin tưởng số tiền thuế tôi đóng sẽ được Nhà nước sử dụng hiệu quả để cải thiện dịch vụ công (y tế, đường xá...). - HUMAN-TRU3]]</f>
        <v>5</v>
      </c>
      <c r="AX370" t="str">
        <f t="shared" si="154"/>
        <v>Neutral</v>
      </c>
      <c r="AY370" s="31">
        <f t="shared" si="155"/>
        <v>3</v>
      </c>
      <c r="AZ370">
        <f>step3_validation[[#This Row],[AI_TRU4]]</f>
        <v>9</v>
      </c>
      <c r="BA370" t="str">
        <f t="shared" si="156"/>
        <v>Support</v>
      </c>
      <c r="BB370">
        <f>survey_responses[[#This Row],[Tôi thấy Nhà nước đã giải thích rõ ràng, minh bạch về lý do và mục tiêu của việc sửa đổi thuế lần này. - HUMAN-TRU4]]</f>
        <v>7</v>
      </c>
      <c r="BC370" t="str">
        <f t="shared" si="157"/>
        <v>Neutral</v>
      </c>
      <c r="BD370" s="31">
        <f t="shared" si="158"/>
        <v>2</v>
      </c>
      <c r="BE370">
        <f>step3_validation[[#This Row],[AI_OUT1]]</f>
        <v>8</v>
      </c>
      <c r="BF370" t="str">
        <f t="shared" si="159"/>
        <v>Support</v>
      </c>
      <c r="BG370">
        <f>survey_responses[[#This Row],[Sau khi xem xét các quyền lợi và nghĩa vụ, bạn có ủng hộ và tuân thủ chính sách mới hiện nay? - HUMAN-OUT1]]</f>
        <v>8</v>
      </c>
      <c r="BH370" t="str">
        <f t="shared" si="160"/>
        <v>Support</v>
      </c>
      <c r="BI370" s="31">
        <f t="shared" si="161"/>
        <v>0</v>
      </c>
    </row>
    <row r="371" spans="1:61" hidden="1" x14ac:dyDescent="0.45">
      <c r="A371" s="29">
        <f>step3_validation[[#This Row],[Persona_ID]]</f>
        <v>370</v>
      </c>
      <c r="B371" s="30">
        <f>step3_validation[[#This Row],[Used_Seed]]</f>
        <v>411</v>
      </c>
      <c r="C371" t="str">
        <f>step3_validation[[#This Row],[Gender]]</f>
        <v>Nam</v>
      </c>
      <c r="D371" t="str">
        <f>survey_responses[[#This Row],[Giới tính của bạn:]]</f>
        <v>Nam</v>
      </c>
      <c r="E371" t="str">
        <f>step3_validation[[#This Row],[Age_Group]]</f>
        <v>18 - 24</v>
      </c>
      <c r="F371" t="str">
        <f>survey_responses[[#This Row],[Độ tuổi của bạn:]]</f>
        <v>18 - 24</v>
      </c>
      <c r="G371" t="str">
        <f>step3_validation[[#This Row],[Region]]</f>
        <v>Thành thị</v>
      </c>
      <c r="H371" t="str">
        <f>survey_responses[[#This Row],[Khu vực bạn đang sinh sống:]]</f>
        <v>Thành thị</v>
      </c>
      <c r="I371" t="str">
        <f>step3_validation[[#This Row],[Education]]</f>
        <v>Đại học</v>
      </c>
      <c r="J371" t="str">
        <f>survey_responses[[#This Row],[Trình độ học vấn cao nhất:]]</f>
        <v>Đại học</v>
      </c>
      <c r="K371" t="str">
        <f>step3_validation[[#This Row],[Employment]]</f>
        <v>Chính thức</v>
      </c>
      <c r="L371" t="str">
        <f>survey_responses[[#This Row],[Tình trạng việc làm chính:]]</f>
        <v>Khu vực chính thức (Có Hợp đồng lao động, đóng BHXH)</v>
      </c>
      <c r="M371">
        <f>step3_validation[[#This Row],[Income_Mil]]</f>
        <v>20.907587209693709</v>
      </c>
      <c r="N371" t="str">
        <f>survey_responses[[#This Row],[Thu nhập bình quân tháng theo Hợp đồng lao động của bạn là bao nhiêu? (Vui lòng điền tổng thu nhập trước khi khấu trừ các loại Bảo hiểm (BHXH, BHYT, BHTN) và Thuế TNCN)]]</f>
        <v>Từ 18 - 23 triệu VNĐ</v>
      </c>
      <c r="O371">
        <f>step3_validation[[#This Row],[Dependents]]</f>
        <v>0</v>
      </c>
      <c r="P371" t="str">
        <f>survey_responses[[#This Row],[Số người phụ thuộc (con nhỏ, cha mẹ già...) đủ điều kiện giảm trừ gia cảnh:]]</f>
        <v>0 người</v>
      </c>
      <c r="Q371">
        <f>step3_validation[[#This Row],[AI_ENF1]]</f>
        <v>8</v>
      </c>
      <c r="R371" t="str">
        <f t="shared" si="135"/>
        <v>Support</v>
      </c>
      <c r="S371">
        <f>survey_responses[[#This Row],[Tôi tin rằng với các quy định quản lý thuế hiện nay, hành vi gian lận hoặc trốn thuế sẽ dễ dàng bị phát hiện và xử lý nghiêm. - HUMAN-ENF1]]</f>
        <v>6</v>
      </c>
      <c r="T371" t="str">
        <f t="shared" si="136"/>
        <v>Neutral</v>
      </c>
      <c r="U371" s="31">
        <f t="shared" si="137"/>
        <v>2</v>
      </c>
      <c r="V371">
        <f>step3_validation[[#This Row],[AI_ENF2]]</f>
        <v>9</v>
      </c>
      <c r="W371" t="str">
        <f t="shared" si="138"/>
        <v>Support</v>
      </c>
      <c r="X371">
        <f>survey_responses[[#This Row],[Tôi tin rằng Nhà nước, cơ quan thuế có đủ khả năng và công nghệ để phát hiện, xử lý nghiêm các hành vi trốn thuế. - HUMAN-ENF2]]</f>
        <v>7</v>
      </c>
      <c r="Y371" t="str">
        <f t="shared" si="139"/>
        <v>Neutral</v>
      </c>
      <c r="Z371" s="31">
        <f t="shared" si="140"/>
        <v>2</v>
      </c>
      <c r="AA371">
        <f>step3_validation[[#This Row],[AI_FAC1]]</f>
        <v>8</v>
      </c>
      <c r="AB371" t="str">
        <f t="shared" si="141"/>
        <v>Support</v>
      </c>
      <c r="AC371">
        <f>survey_responses[[#This Row],[Các thủ tục khai báo thuế VÀ/HOẶC quy trình làm việc với cơ quan thuế đơn giản, tiện lợi, nhanh chóng hơn so với trước đây. - HUMAN-FAC1]]</f>
        <v>7</v>
      </c>
      <c r="AD371" t="str">
        <f t="shared" si="142"/>
        <v>Neutral</v>
      </c>
      <c r="AE371" s="31">
        <f t="shared" si="143"/>
        <v>1</v>
      </c>
      <c r="AF371">
        <f>step3_validation[[#This Row],[AI_FAC2]]</f>
        <v>9</v>
      </c>
      <c r="AG371" t="str">
        <f t="shared" si="144"/>
        <v>Support</v>
      </c>
      <c r="AH371">
        <f>survey_responses[[#This Row],[So với trước đây, tôi thấy cách tính thuế và các bậc thuế trong phương án mới đơn giản, dễ hiểu và dễ thực hiện hơn. - HUMAN-FAC2]]</f>
        <v>9</v>
      </c>
      <c r="AI371" t="str">
        <f t="shared" si="145"/>
        <v>Support</v>
      </c>
      <c r="AJ371" s="31">
        <f t="shared" si="146"/>
        <v>0</v>
      </c>
      <c r="AK371">
        <f>step3_validation[[#This Row],[AI_TRU1]]</f>
        <v>8</v>
      </c>
      <c r="AL371" t="str">
        <f t="shared" si="147"/>
        <v>Support</v>
      </c>
      <c r="AM371">
        <f>survey_responses[[#This Row],[Tôi tin rằng Nhà nước, cơ quan thuế sẽ thực thi chính sách mới một cách khách quan, công tâm và đối xử bình đẳng với mọi người nộp thuế.  - HUMAN-TRU1]]</f>
        <v>7</v>
      </c>
      <c r="AN371" t="str">
        <f t="shared" si="148"/>
        <v>Neutral</v>
      </c>
      <c r="AO371" s="31">
        <f t="shared" si="149"/>
        <v>1</v>
      </c>
      <c r="AP371">
        <f>step3_validation[[#This Row],[AI_TRU2]]</f>
        <v>9</v>
      </c>
      <c r="AQ371" t="str">
        <f t="shared" si="150"/>
        <v>Support</v>
      </c>
      <c r="AR371">
        <f>survey_responses[[#This Row],[Tôi thấy mức thuế tôi phải đóng theo phương án mới là công bằng (người thu nhập như tôi đóng mức này là hợp lý). - HUMAN-TRU2]]</f>
        <v>9</v>
      </c>
      <c r="AS371" t="str">
        <f t="shared" si="151"/>
        <v>Support</v>
      </c>
      <c r="AT371" s="31">
        <f t="shared" si="152"/>
        <v>0</v>
      </c>
      <c r="AU371">
        <f>step3_validation[[#This Row],[AI_TRU3]]</f>
        <v>7</v>
      </c>
      <c r="AV371" t="str">
        <f t="shared" si="153"/>
        <v>Neutral</v>
      </c>
      <c r="AW371">
        <f>survey_responses[[#This Row],[Tôi tin tưởng số tiền thuế tôi đóng sẽ được Nhà nước sử dụng hiệu quả để cải thiện dịch vụ công (y tế, đường xá...). - HUMAN-TRU3]]</f>
        <v>9</v>
      </c>
      <c r="AX371" t="str">
        <f t="shared" si="154"/>
        <v>Support</v>
      </c>
      <c r="AY371" s="31">
        <f t="shared" si="155"/>
        <v>2</v>
      </c>
      <c r="AZ371">
        <f>step3_validation[[#This Row],[AI_TRU4]]</f>
        <v>8</v>
      </c>
      <c r="BA371" t="str">
        <f t="shared" si="156"/>
        <v>Support</v>
      </c>
      <c r="BB371">
        <f>survey_responses[[#This Row],[Tôi thấy Nhà nước đã giải thích rõ ràng, minh bạch về lý do và mục tiêu của việc sửa đổi thuế lần này. - HUMAN-TRU4]]</f>
        <v>9</v>
      </c>
      <c r="BC371" t="str">
        <f t="shared" si="157"/>
        <v>Support</v>
      </c>
      <c r="BD371" s="31">
        <f t="shared" si="158"/>
        <v>1</v>
      </c>
      <c r="BE371">
        <f>step3_validation[[#This Row],[AI_OUT1]]</f>
        <v>9</v>
      </c>
      <c r="BF371" t="str">
        <f t="shared" si="159"/>
        <v>Support</v>
      </c>
      <c r="BG371">
        <f>survey_responses[[#This Row],[Sau khi xem xét các quyền lợi và nghĩa vụ, bạn có ủng hộ và tuân thủ chính sách mới hiện nay? - HUMAN-OUT1]]</f>
        <v>9</v>
      </c>
      <c r="BH371" t="str">
        <f t="shared" si="160"/>
        <v>Support</v>
      </c>
      <c r="BI371" s="31">
        <f t="shared" si="161"/>
        <v>0</v>
      </c>
    </row>
    <row r="372" spans="1:61" hidden="1" x14ac:dyDescent="0.45">
      <c r="A372" s="29">
        <f>step3_validation[[#This Row],[Persona_ID]]</f>
        <v>371</v>
      </c>
      <c r="B372" s="30">
        <f>step3_validation[[#This Row],[Used_Seed]]</f>
        <v>412</v>
      </c>
      <c r="C372" t="str">
        <f>step3_validation[[#This Row],[Gender]]</f>
        <v>Nam</v>
      </c>
      <c r="D372" t="str">
        <f>survey_responses[[#This Row],[Giới tính của bạn:]]</f>
        <v>Nam</v>
      </c>
      <c r="E372" t="str">
        <f>step3_validation[[#This Row],[Age_Group]]</f>
        <v>40 - 49</v>
      </c>
      <c r="F372" t="str">
        <f>survey_responses[[#This Row],[Độ tuổi của bạn:]]</f>
        <v>40 - 49</v>
      </c>
      <c r="G372" t="str">
        <f>step3_validation[[#This Row],[Region]]</f>
        <v>Thành thị</v>
      </c>
      <c r="H372" t="str">
        <f>survey_responses[[#This Row],[Khu vực bạn đang sinh sống:]]</f>
        <v>Thành thị</v>
      </c>
      <c r="I372" t="str">
        <f>step3_validation[[#This Row],[Education]]</f>
        <v>Sau Đại học</v>
      </c>
      <c r="J372" t="str">
        <f>survey_responses[[#This Row],[Trình độ học vấn cao nhất:]]</f>
        <v>Sau Đại học</v>
      </c>
      <c r="K372" t="str">
        <f>step3_validation[[#This Row],[Employment]]</f>
        <v>Chính thức</v>
      </c>
      <c r="L372" t="str">
        <f>survey_responses[[#This Row],[Tình trạng việc làm chính:]]</f>
        <v>Khu vực chính thức (Có Hợp đồng lao động, đóng BHXH)</v>
      </c>
      <c r="M372">
        <f>step3_validation[[#This Row],[Income_Mil]]</f>
        <v>64.058905665032313</v>
      </c>
      <c r="N372" t="str">
        <f>survey_responses[[#This Row],[Thu nhập bình quân tháng theo Hợp đồng lao động của bạn là bao nhiêu? (Vui lòng điền tổng thu nhập trước khi khấu trừ các loại Bảo hiểm (BHXH, BHYT, BHTN) và Thuế TNCN)]]</f>
        <v>Từ 48 - 70 triệu VNĐ</v>
      </c>
      <c r="O372">
        <f>step3_validation[[#This Row],[Dependents]]</f>
        <v>3</v>
      </c>
      <c r="P372" t="str">
        <f>survey_responses[[#This Row],[Số người phụ thuộc (con nhỏ, cha mẹ già...) đủ điều kiện giảm trừ gia cảnh:]]</f>
        <v>3 người</v>
      </c>
      <c r="Q372">
        <f>step3_validation[[#This Row],[AI_ENF1]]</f>
        <v>7</v>
      </c>
      <c r="R372" t="str">
        <f t="shared" si="135"/>
        <v>Neutral</v>
      </c>
      <c r="S372">
        <f>survey_responses[[#This Row],[Tôi tin rằng với các quy định quản lý thuế hiện nay, hành vi gian lận hoặc trốn thuế sẽ dễ dàng bị phát hiện và xử lý nghiêm. - HUMAN-ENF1]]</f>
        <v>4</v>
      </c>
      <c r="T372" t="str">
        <f t="shared" si="136"/>
        <v>Oppose</v>
      </c>
      <c r="U372" s="31">
        <f t="shared" si="137"/>
        <v>3</v>
      </c>
      <c r="V372">
        <f>step3_validation[[#This Row],[AI_ENF2]]</f>
        <v>8</v>
      </c>
      <c r="W372" t="str">
        <f t="shared" si="138"/>
        <v>Support</v>
      </c>
      <c r="X372">
        <f>survey_responses[[#This Row],[Tôi tin rằng Nhà nước, cơ quan thuế có đủ khả năng và công nghệ để phát hiện, xử lý nghiêm các hành vi trốn thuế. - HUMAN-ENF2]]</f>
        <v>4</v>
      </c>
      <c r="Y372" t="str">
        <f t="shared" si="139"/>
        <v>Oppose</v>
      </c>
      <c r="Z372" s="31">
        <f t="shared" si="140"/>
        <v>4</v>
      </c>
      <c r="AA372">
        <f>step3_validation[[#This Row],[AI_FAC1]]</f>
        <v>9</v>
      </c>
      <c r="AB372" t="str">
        <f t="shared" si="141"/>
        <v>Support</v>
      </c>
      <c r="AC372">
        <f>survey_responses[[#This Row],[Các thủ tục khai báo thuế VÀ/HOẶC quy trình làm việc với cơ quan thuế đơn giản, tiện lợi, nhanh chóng hơn so với trước đây. - HUMAN-FAC1]]</f>
        <v>5</v>
      </c>
      <c r="AD372" t="str">
        <f t="shared" si="142"/>
        <v>Neutral</v>
      </c>
      <c r="AE372" s="31">
        <f t="shared" si="143"/>
        <v>4</v>
      </c>
      <c r="AF372">
        <f>step3_validation[[#This Row],[AI_FAC2]]</f>
        <v>9</v>
      </c>
      <c r="AG372" t="str">
        <f t="shared" si="144"/>
        <v>Support</v>
      </c>
      <c r="AH372">
        <f>survey_responses[[#This Row],[So với trước đây, tôi thấy cách tính thuế và các bậc thuế trong phương án mới đơn giản, dễ hiểu và dễ thực hiện hơn. - HUMAN-FAC2]]</f>
        <v>5</v>
      </c>
      <c r="AI372" t="str">
        <f t="shared" si="145"/>
        <v>Neutral</v>
      </c>
      <c r="AJ372" s="31">
        <f t="shared" si="146"/>
        <v>4</v>
      </c>
      <c r="AK372">
        <f>step3_validation[[#This Row],[AI_TRU1]]</f>
        <v>6</v>
      </c>
      <c r="AL372" t="str">
        <f t="shared" si="147"/>
        <v>Neutral</v>
      </c>
      <c r="AM372">
        <f>survey_responses[[#This Row],[Tôi tin rằng Nhà nước, cơ quan thuế sẽ thực thi chính sách mới một cách khách quan, công tâm và đối xử bình đẳng với mọi người nộp thuế.  - HUMAN-TRU1]]</f>
        <v>5</v>
      </c>
      <c r="AN372" t="str">
        <f t="shared" si="148"/>
        <v>Neutral</v>
      </c>
      <c r="AO372" s="31">
        <f t="shared" si="149"/>
        <v>1</v>
      </c>
      <c r="AP372">
        <f>step3_validation[[#This Row],[AI_TRU2]]</f>
        <v>8</v>
      </c>
      <c r="AQ372" t="str">
        <f t="shared" si="150"/>
        <v>Support</v>
      </c>
      <c r="AR372">
        <f>survey_responses[[#This Row],[Tôi thấy mức thuế tôi phải đóng theo phương án mới là công bằng (người thu nhập như tôi đóng mức này là hợp lý). - HUMAN-TRU2]]</f>
        <v>4</v>
      </c>
      <c r="AS372" t="str">
        <f t="shared" si="151"/>
        <v>Oppose</v>
      </c>
      <c r="AT372" s="31">
        <f t="shared" si="152"/>
        <v>4</v>
      </c>
      <c r="AU372">
        <f>step3_validation[[#This Row],[AI_TRU3]]</f>
        <v>7</v>
      </c>
      <c r="AV372" t="str">
        <f t="shared" si="153"/>
        <v>Neutral</v>
      </c>
      <c r="AW372">
        <f>survey_responses[[#This Row],[Tôi tin tưởng số tiền thuế tôi đóng sẽ được Nhà nước sử dụng hiệu quả để cải thiện dịch vụ công (y tế, đường xá...). - HUMAN-TRU3]]</f>
        <v>5</v>
      </c>
      <c r="AX372" t="str">
        <f t="shared" si="154"/>
        <v>Neutral</v>
      </c>
      <c r="AY372" s="31">
        <f t="shared" si="155"/>
        <v>2</v>
      </c>
      <c r="AZ372">
        <f>step3_validation[[#This Row],[AI_TRU4]]</f>
        <v>6</v>
      </c>
      <c r="BA372" t="str">
        <f t="shared" si="156"/>
        <v>Neutral</v>
      </c>
      <c r="BB372">
        <f>survey_responses[[#This Row],[Tôi thấy Nhà nước đã giải thích rõ ràng, minh bạch về lý do và mục tiêu của việc sửa đổi thuế lần này. - HUMAN-TRU4]]</f>
        <v>6</v>
      </c>
      <c r="BC372" t="str">
        <f t="shared" si="157"/>
        <v>Neutral</v>
      </c>
      <c r="BD372" s="31">
        <f t="shared" si="158"/>
        <v>0</v>
      </c>
      <c r="BE372">
        <f>step3_validation[[#This Row],[AI_OUT1]]</f>
        <v>9</v>
      </c>
      <c r="BF372" t="str">
        <f t="shared" si="159"/>
        <v>Support</v>
      </c>
      <c r="BG372">
        <f>survey_responses[[#This Row],[Sau khi xem xét các quyền lợi và nghĩa vụ, bạn có ủng hộ và tuân thủ chính sách mới hiện nay? - HUMAN-OUT1]]</f>
        <v>5</v>
      </c>
      <c r="BH372" t="str">
        <f t="shared" si="160"/>
        <v>Neutral</v>
      </c>
      <c r="BI372" s="31">
        <f t="shared" si="161"/>
        <v>4</v>
      </c>
    </row>
    <row r="373" spans="1:61" hidden="1" x14ac:dyDescent="0.45">
      <c r="A373" s="29">
        <f>step3_validation[[#This Row],[Persona_ID]]</f>
        <v>372</v>
      </c>
      <c r="B373" s="30">
        <f>step3_validation[[#This Row],[Used_Seed]]</f>
        <v>413</v>
      </c>
      <c r="C373" t="str">
        <f>step3_validation[[#This Row],[Gender]]</f>
        <v>Nữ</v>
      </c>
      <c r="D373" t="str">
        <f>survey_responses[[#This Row],[Giới tính của bạn:]]</f>
        <v>Nữ</v>
      </c>
      <c r="E373" t="str">
        <f>step3_validation[[#This Row],[Age_Group]]</f>
        <v>30 - 39</v>
      </c>
      <c r="F373" t="str">
        <f>survey_responses[[#This Row],[Độ tuổi của bạn:]]</f>
        <v>30 - 39</v>
      </c>
      <c r="G373" t="str">
        <f>step3_validation[[#This Row],[Region]]</f>
        <v>Thành thị</v>
      </c>
      <c r="H373" t="str">
        <f>survey_responses[[#This Row],[Khu vực bạn đang sinh sống:]]</f>
        <v>Thành thị</v>
      </c>
      <c r="I373" t="str">
        <f>step3_validation[[#This Row],[Education]]</f>
        <v>Đại học</v>
      </c>
      <c r="J373" t="str">
        <f>survey_responses[[#This Row],[Trình độ học vấn cao nhất:]]</f>
        <v>Đại học</v>
      </c>
      <c r="K373" t="str">
        <f>step3_validation[[#This Row],[Employment]]</f>
        <v>Chính thức</v>
      </c>
      <c r="L373" t="str">
        <f>survey_responses[[#This Row],[Tình trạng việc làm chính:]]</f>
        <v>Khu vực chính thức (Có Hợp đồng lao động, đóng BHXH)</v>
      </c>
      <c r="M373">
        <f>step3_validation[[#This Row],[Income_Mil]]</f>
        <v>41.561424816595256</v>
      </c>
      <c r="N373" t="str">
        <f>survey_responses[[#This Row],[Thu nhập bình quân tháng theo Hợp đồng lao động của bạn là bao nhiêu? (Vui lòng điền tổng thu nhập trước khi khấu trừ các loại Bảo hiểm (BHXH, BHYT, BHTN) và Thuế TNCN)]]</f>
        <v>Từ 32 - 48 triệu VNĐ</v>
      </c>
      <c r="O373">
        <f>step3_validation[[#This Row],[Dependents]]</f>
        <v>2</v>
      </c>
      <c r="P373" t="str">
        <f>survey_responses[[#This Row],[Số người phụ thuộc (con nhỏ, cha mẹ già...) đủ điều kiện giảm trừ gia cảnh:]]</f>
        <v>2 người</v>
      </c>
      <c r="Q373">
        <f>step3_validation[[#This Row],[AI_ENF1]]</f>
        <v>7</v>
      </c>
      <c r="R373" t="str">
        <f t="shared" si="135"/>
        <v>Neutral</v>
      </c>
      <c r="S373">
        <f>survey_responses[[#This Row],[Tôi tin rằng với các quy định quản lý thuế hiện nay, hành vi gian lận hoặc trốn thuế sẽ dễ dàng bị phát hiện và xử lý nghiêm. - HUMAN-ENF1]]</f>
        <v>6</v>
      </c>
      <c r="T373" t="str">
        <f t="shared" si="136"/>
        <v>Neutral</v>
      </c>
      <c r="U373" s="31">
        <f t="shared" si="137"/>
        <v>1</v>
      </c>
      <c r="V373">
        <f>step3_validation[[#This Row],[AI_ENF2]]</f>
        <v>8</v>
      </c>
      <c r="W373" t="str">
        <f t="shared" si="138"/>
        <v>Support</v>
      </c>
      <c r="X373">
        <f>survey_responses[[#This Row],[Tôi tin rằng Nhà nước, cơ quan thuế có đủ khả năng và công nghệ để phát hiện, xử lý nghiêm các hành vi trốn thuế. - HUMAN-ENF2]]</f>
        <v>6</v>
      </c>
      <c r="Y373" t="str">
        <f t="shared" si="139"/>
        <v>Neutral</v>
      </c>
      <c r="Z373" s="31">
        <f t="shared" si="140"/>
        <v>2</v>
      </c>
      <c r="AA373">
        <f>step3_validation[[#This Row],[AI_FAC1]]</f>
        <v>6</v>
      </c>
      <c r="AB373" t="str">
        <f t="shared" si="141"/>
        <v>Neutral</v>
      </c>
      <c r="AC373">
        <f>survey_responses[[#This Row],[Các thủ tục khai báo thuế VÀ/HOẶC quy trình làm việc với cơ quan thuế đơn giản, tiện lợi, nhanh chóng hơn so với trước đây. - HUMAN-FAC1]]</f>
        <v>8</v>
      </c>
      <c r="AD373" t="str">
        <f t="shared" si="142"/>
        <v>Support</v>
      </c>
      <c r="AE373" s="31">
        <f t="shared" si="143"/>
        <v>2</v>
      </c>
      <c r="AF373">
        <f>step3_validation[[#This Row],[AI_FAC2]]</f>
        <v>7</v>
      </c>
      <c r="AG373" t="str">
        <f t="shared" si="144"/>
        <v>Neutral</v>
      </c>
      <c r="AH373">
        <f>survey_responses[[#This Row],[So với trước đây, tôi thấy cách tính thuế và các bậc thuế trong phương án mới đơn giản, dễ hiểu và dễ thực hiện hơn. - HUMAN-FAC2]]</f>
        <v>8</v>
      </c>
      <c r="AI373" t="str">
        <f t="shared" si="145"/>
        <v>Support</v>
      </c>
      <c r="AJ373" s="31">
        <f t="shared" si="146"/>
        <v>1</v>
      </c>
      <c r="AK373">
        <f>step3_validation[[#This Row],[AI_TRU1]]</f>
        <v>6</v>
      </c>
      <c r="AL373" t="str">
        <f t="shared" si="147"/>
        <v>Neutral</v>
      </c>
      <c r="AM373">
        <f>survey_responses[[#This Row],[Tôi tin rằng Nhà nước, cơ quan thuế sẽ thực thi chính sách mới một cách khách quan, công tâm và đối xử bình đẳng với mọi người nộp thuế.  - HUMAN-TRU1]]</f>
        <v>6</v>
      </c>
      <c r="AN373" t="str">
        <f t="shared" si="148"/>
        <v>Neutral</v>
      </c>
      <c r="AO373" s="31">
        <f t="shared" si="149"/>
        <v>0</v>
      </c>
      <c r="AP373">
        <f>step3_validation[[#This Row],[AI_TRU2]]</f>
        <v>8</v>
      </c>
      <c r="AQ373" t="str">
        <f t="shared" si="150"/>
        <v>Support</v>
      </c>
      <c r="AR373">
        <f>survey_responses[[#This Row],[Tôi thấy mức thuế tôi phải đóng theo phương án mới là công bằng (người thu nhập như tôi đóng mức này là hợp lý). - HUMAN-TRU2]]</f>
        <v>7</v>
      </c>
      <c r="AS373" t="str">
        <f t="shared" si="151"/>
        <v>Neutral</v>
      </c>
      <c r="AT373" s="31">
        <f t="shared" si="152"/>
        <v>1</v>
      </c>
      <c r="AU373">
        <f>step3_validation[[#This Row],[AI_TRU3]]</f>
        <v>7</v>
      </c>
      <c r="AV373" t="str">
        <f t="shared" si="153"/>
        <v>Neutral</v>
      </c>
      <c r="AW373">
        <f>survey_responses[[#This Row],[Tôi tin tưởng số tiền thuế tôi đóng sẽ được Nhà nước sử dụng hiệu quả để cải thiện dịch vụ công (y tế, đường xá...). - HUMAN-TRU3]]</f>
        <v>5</v>
      </c>
      <c r="AX373" t="str">
        <f t="shared" si="154"/>
        <v>Neutral</v>
      </c>
      <c r="AY373" s="31">
        <f t="shared" si="155"/>
        <v>2</v>
      </c>
      <c r="AZ373">
        <f>step3_validation[[#This Row],[AI_TRU4]]</f>
        <v>6</v>
      </c>
      <c r="BA373" t="str">
        <f t="shared" si="156"/>
        <v>Neutral</v>
      </c>
      <c r="BB373">
        <f>survey_responses[[#This Row],[Tôi thấy Nhà nước đã giải thích rõ ràng, minh bạch về lý do và mục tiêu của việc sửa đổi thuế lần này. - HUMAN-TRU4]]</f>
        <v>6</v>
      </c>
      <c r="BC373" t="str">
        <f t="shared" si="157"/>
        <v>Neutral</v>
      </c>
      <c r="BD373" s="31">
        <f t="shared" si="158"/>
        <v>0</v>
      </c>
      <c r="BE373">
        <f>step3_validation[[#This Row],[AI_OUT1]]</f>
        <v>8</v>
      </c>
      <c r="BF373" t="str">
        <f t="shared" si="159"/>
        <v>Support</v>
      </c>
      <c r="BG373">
        <f>survey_responses[[#This Row],[Sau khi xem xét các quyền lợi và nghĩa vụ, bạn có ủng hộ và tuân thủ chính sách mới hiện nay? - HUMAN-OUT1]]</f>
        <v>6</v>
      </c>
      <c r="BH373" t="str">
        <f t="shared" si="160"/>
        <v>Neutral</v>
      </c>
      <c r="BI373" s="31">
        <f t="shared" si="161"/>
        <v>2</v>
      </c>
    </row>
    <row r="374" spans="1:61" hidden="1" x14ac:dyDescent="0.45">
      <c r="A374" s="29">
        <f>step3_validation[[#This Row],[Persona_ID]]</f>
        <v>373</v>
      </c>
      <c r="B374" s="30">
        <f>step3_validation[[#This Row],[Used_Seed]]</f>
        <v>414</v>
      </c>
      <c r="C374" t="str">
        <f>step3_validation[[#This Row],[Gender]]</f>
        <v>Nữ</v>
      </c>
      <c r="D374" t="str">
        <f>survey_responses[[#This Row],[Giới tính của bạn:]]</f>
        <v>Nữ</v>
      </c>
      <c r="E374" t="str">
        <f>step3_validation[[#This Row],[Age_Group]]</f>
        <v>30 - 39</v>
      </c>
      <c r="F374" t="str">
        <f>survey_responses[[#This Row],[Độ tuổi của bạn:]]</f>
        <v>30 - 39</v>
      </c>
      <c r="G374" t="str">
        <f>step3_validation[[#This Row],[Region]]</f>
        <v>Thành thị</v>
      </c>
      <c r="H374" t="str">
        <f>survey_responses[[#This Row],[Khu vực bạn đang sinh sống:]]</f>
        <v>Thành thị</v>
      </c>
      <c r="I374" t="str">
        <f>step3_validation[[#This Row],[Education]]</f>
        <v>Đại học</v>
      </c>
      <c r="J374" t="str">
        <f>survey_responses[[#This Row],[Trình độ học vấn cao nhất:]]</f>
        <v>Đại học</v>
      </c>
      <c r="K374" t="str">
        <f>step3_validation[[#This Row],[Employment]]</f>
        <v>Chính thức</v>
      </c>
      <c r="L374" t="str">
        <f>survey_responses[[#This Row],[Tình trạng việc làm chính:]]</f>
        <v>Khu vực chính thức (Có Hợp đồng lao động, đóng BHXH)</v>
      </c>
      <c r="M374">
        <f>step3_validation[[#This Row],[Income_Mil]]</f>
        <v>90.612331568130955</v>
      </c>
      <c r="N374" t="str">
        <f>survey_responses[[#This Row],[Thu nhập bình quân tháng theo Hợp đồng lao động của bạn là bao nhiêu? (Vui lòng điền tổng thu nhập trước khi khấu trừ các loại Bảo hiểm (BHXH, BHYT, BHTN) và Thuế TNCN)]]</f>
        <v>Từ 70 - 102 triệu VNĐ</v>
      </c>
      <c r="O374">
        <f>step3_validation[[#This Row],[Dependents]]</f>
        <v>2</v>
      </c>
      <c r="P374" t="str">
        <f>survey_responses[[#This Row],[Số người phụ thuộc (con nhỏ, cha mẹ già...) đủ điều kiện giảm trừ gia cảnh:]]</f>
        <v>2 người</v>
      </c>
      <c r="Q374">
        <f>step3_validation[[#This Row],[AI_ENF1]]</f>
        <v>7</v>
      </c>
      <c r="R374" t="str">
        <f t="shared" si="135"/>
        <v>Neutral</v>
      </c>
      <c r="S374">
        <f>survey_responses[[#This Row],[Tôi tin rằng với các quy định quản lý thuế hiện nay, hành vi gian lận hoặc trốn thuế sẽ dễ dàng bị phát hiện và xử lý nghiêm. - HUMAN-ENF1]]</f>
        <v>8</v>
      </c>
      <c r="T374" t="str">
        <f t="shared" si="136"/>
        <v>Support</v>
      </c>
      <c r="U374" s="31">
        <f t="shared" si="137"/>
        <v>1</v>
      </c>
      <c r="V374">
        <f>step3_validation[[#This Row],[AI_ENF2]]</f>
        <v>8</v>
      </c>
      <c r="W374" t="str">
        <f t="shared" si="138"/>
        <v>Support</v>
      </c>
      <c r="X374">
        <f>survey_responses[[#This Row],[Tôi tin rằng Nhà nước, cơ quan thuế có đủ khả năng và công nghệ để phát hiện, xử lý nghiêm các hành vi trốn thuế. - HUMAN-ENF2]]</f>
        <v>8</v>
      </c>
      <c r="Y374" t="str">
        <f t="shared" si="139"/>
        <v>Support</v>
      </c>
      <c r="Z374" s="31">
        <f t="shared" si="140"/>
        <v>0</v>
      </c>
      <c r="AA374">
        <f>step3_validation[[#This Row],[AI_FAC1]]</f>
        <v>9</v>
      </c>
      <c r="AB374" t="str">
        <f t="shared" si="141"/>
        <v>Support</v>
      </c>
      <c r="AC374">
        <f>survey_responses[[#This Row],[Các thủ tục khai báo thuế VÀ/HOẶC quy trình làm việc với cơ quan thuế đơn giản, tiện lợi, nhanh chóng hơn so với trước đây. - HUMAN-FAC1]]</f>
        <v>9</v>
      </c>
      <c r="AD374" t="str">
        <f t="shared" si="142"/>
        <v>Support</v>
      </c>
      <c r="AE374" s="31">
        <f t="shared" si="143"/>
        <v>0</v>
      </c>
      <c r="AF374">
        <f>step3_validation[[#This Row],[AI_FAC2]]</f>
        <v>10</v>
      </c>
      <c r="AG374" t="str">
        <f t="shared" si="144"/>
        <v>Support</v>
      </c>
      <c r="AH374">
        <f>survey_responses[[#This Row],[So với trước đây, tôi thấy cách tính thuế và các bậc thuế trong phương án mới đơn giản, dễ hiểu và dễ thực hiện hơn. - HUMAN-FAC2]]</f>
        <v>9</v>
      </c>
      <c r="AI374" t="str">
        <f t="shared" si="145"/>
        <v>Support</v>
      </c>
      <c r="AJ374" s="31">
        <f t="shared" si="146"/>
        <v>1</v>
      </c>
      <c r="AK374">
        <f>step3_validation[[#This Row],[AI_TRU1]]</f>
        <v>7</v>
      </c>
      <c r="AL374" t="str">
        <f t="shared" si="147"/>
        <v>Neutral</v>
      </c>
      <c r="AM374">
        <f>survey_responses[[#This Row],[Tôi tin rằng Nhà nước, cơ quan thuế sẽ thực thi chính sách mới một cách khách quan, công tâm và đối xử bình đẳng với mọi người nộp thuế.  - HUMAN-TRU1]]</f>
        <v>5</v>
      </c>
      <c r="AN374" t="str">
        <f t="shared" si="148"/>
        <v>Neutral</v>
      </c>
      <c r="AO374" s="31">
        <f t="shared" si="149"/>
        <v>2</v>
      </c>
      <c r="AP374">
        <f>step3_validation[[#This Row],[AI_TRU2]]</f>
        <v>9</v>
      </c>
      <c r="AQ374" t="str">
        <f t="shared" si="150"/>
        <v>Support</v>
      </c>
      <c r="AR374">
        <f>survey_responses[[#This Row],[Tôi thấy mức thuế tôi phải đóng theo phương án mới là công bằng (người thu nhập như tôi đóng mức này là hợp lý). - HUMAN-TRU2]]</f>
        <v>5</v>
      </c>
      <c r="AS374" t="str">
        <f t="shared" si="151"/>
        <v>Neutral</v>
      </c>
      <c r="AT374" s="31">
        <f t="shared" si="152"/>
        <v>4</v>
      </c>
      <c r="AU374">
        <f>step3_validation[[#This Row],[AI_TRU3]]</f>
        <v>8</v>
      </c>
      <c r="AV374" t="str">
        <f t="shared" si="153"/>
        <v>Support</v>
      </c>
      <c r="AW374">
        <f>survey_responses[[#This Row],[Tôi tin tưởng số tiền thuế tôi đóng sẽ được Nhà nước sử dụng hiệu quả để cải thiện dịch vụ công (y tế, đường xá...). - HUMAN-TRU3]]</f>
        <v>5</v>
      </c>
      <c r="AX374" t="str">
        <f t="shared" si="154"/>
        <v>Neutral</v>
      </c>
      <c r="AY374" s="31">
        <f t="shared" si="155"/>
        <v>3</v>
      </c>
      <c r="AZ374">
        <f>step3_validation[[#This Row],[AI_TRU4]]</f>
        <v>9</v>
      </c>
      <c r="BA374" t="str">
        <f t="shared" si="156"/>
        <v>Support</v>
      </c>
      <c r="BB374">
        <f>survey_responses[[#This Row],[Tôi thấy Nhà nước đã giải thích rõ ràng, minh bạch về lý do và mục tiêu của việc sửa đổi thuế lần này. - HUMAN-TRU4]]</f>
        <v>6</v>
      </c>
      <c r="BC374" t="str">
        <f t="shared" si="157"/>
        <v>Neutral</v>
      </c>
      <c r="BD374" s="31">
        <f t="shared" si="158"/>
        <v>3</v>
      </c>
      <c r="BE374">
        <f>step3_validation[[#This Row],[AI_OUT1]]</f>
        <v>9</v>
      </c>
      <c r="BF374" t="str">
        <f t="shared" si="159"/>
        <v>Support</v>
      </c>
      <c r="BG374">
        <f>survey_responses[[#This Row],[Sau khi xem xét các quyền lợi và nghĩa vụ, bạn có ủng hộ và tuân thủ chính sách mới hiện nay? - HUMAN-OUT1]]</f>
        <v>5</v>
      </c>
      <c r="BH374" t="str">
        <f t="shared" si="160"/>
        <v>Neutral</v>
      </c>
      <c r="BI374" s="31">
        <f t="shared" si="161"/>
        <v>4</v>
      </c>
    </row>
    <row r="375" spans="1:61" hidden="1" x14ac:dyDescent="0.45">
      <c r="A375" s="29">
        <f>step3_validation[[#This Row],[Persona_ID]]</f>
        <v>374</v>
      </c>
      <c r="B375" s="30">
        <f>step3_validation[[#This Row],[Used_Seed]]</f>
        <v>415</v>
      </c>
      <c r="C375" t="str">
        <f>step3_validation[[#This Row],[Gender]]</f>
        <v>Nữ</v>
      </c>
      <c r="D375" t="str">
        <f>survey_responses[[#This Row],[Giới tính của bạn:]]</f>
        <v>Nữ</v>
      </c>
      <c r="E375" t="str">
        <f>step3_validation[[#This Row],[Age_Group]]</f>
        <v>30 - 39</v>
      </c>
      <c r="F375" t="str">
        <f>survey_responses[[#This Row],[Độ tuổi của bạn:]]</f>
        <v>30 - 39</v>
      </c>
      <c r="G375" t="str">
        <f>step3_validation[[#This Row],[Region]]</f>
        <v>Thành thị</v>
      </c>
      <c r="H375" t="str">
        <f>survey_responses[[#This Row],[Khu vực bạn đang sinh sống:]]</f>
        <v>Thành thị</v>
      </c>
      <c r="I375" t="str">
        <f>step3_validation[[#This Row],[Education]]</f>
        <v>Đại học</v>
      </c>
      <c r="J375" t="str">
        <f>survey_responses[[#This Row],[Trình độ học vấn cao nhất:]]</f>
        <v>Đại học</v>
      </c>
      <c r="K375" t="str">
        <f>step3_validation[[#This Row],[Employment]]</f>
        <v>Chính thức</v>
      </c>
      <c r="L375" t="str">
        <f>survey_responses[[#This Row],[Tình trạng việc làm chính:]]</f>
        <v>Khu vực chính thức (Có Hợp đồng lao động, đóng BHXH)</v>
      </c>
      <c r="M375">
        <f>step3_validation[[#This Row],[Income_Mil]]</f>
        <v>44.000095852944739</v>
      </c>
      <c r="N375" t="str">
        <f>survey_responses[[#This Row],[Thu nhập bình quân tháng theo Hợp đồng lao động của bạn là bao nhiêu? (Vui lòng điền tổng thu nhập trước khi khấu trừ các loại Bảo hiểm (BHXH, BHYT, BHTN) và Thuế TNCN)]]</f>
        <v>Từ 32 - 48 triệu VNĐ</v>
      </c>
      <c r="O375">
        <f>step3_validation[[#This Row],[Dependents]]</f>
        <v>1</v>
      </c>
      <c r="P375" t="str">
        <f>survey_responses[[#This Row],[Số người phụ thuộc (con nhỏ, cha mẹ già...) đủ điều kiện giảm trừ gia cảnh:]]</f>
        <v>1 người</v>
      </c>
      <c r="Q375">
        <f>step3_validation[[#This Row],[AI_ENF1]]</f>
        <v>7</v>
      </c>
      <c r="R375" t="str">
        <f t="shared" si="135"/>
        <v>Neutral</v>
      </c>
      <c r="S375">
        <f>survey_responses[[#This Row],[Tôi tin rằng với các quy định quản lý thuế hiện nay, hành vi gian lận hoặc trốn thuế sẽ dễ dàng bị phát hiện và xử lý nghiêm. - HUMAN-ENF1]]</f>
        <v>6</v>
      </c>
      <c r="T375" t="str">
        <f t="shared" si="136"/>
        <v>Neutral</v>
      </c>
      <c r="U375" s="31">
        <f t="shared" si="137"/>
        <v>1</v>
      </c>
      <c r="V375">
        <f>step3_validation[[#This Row],[AI_ENF2]]</f>
        <v>7</v>
      </c>
      <c r="W375" t="str">
        <f t="shared" si="138"/>
        <v>Neutral</v>
      </c>
      <c r="X375">
        <f>survey_responses[[#This Row],[Tôi tin rằng Nhà nước, cơ quan thuế có đủ khả năng và công nghệ để phát hiện, xử lý nghiêm các hành vi trốn thuế. - HUMAN-ENF2]]</f>
        <v>6</v>
      </c>
      <c r="Y375" t="str">
        <f t="shared" si="139"/>
        <v>Neutral</v>
      </c>
      <c r="Z375" s="31">
        <f t="shared" si="140"/>
        <v>1</v>
      </c>
      <c r="AA375">
        <f>step3_validation[[#This Row],[AI_FAC1]]</f>
        <v>8</v>
      </c>
      <c r="AB375" t="str">
        <f t="shared" si="141"/>
        <v>Support</v>
      </c>
      <c r="AC375">
        <f>survey_responses[[#This Row],[Các thủ tục khai báo thuế VÀ/HOẶC quy trình làm việc với cơ quan thuế đơn giản, tiện lợi, nhanh chóng hơn so với trước đây. - HUMAN-FAC1]]</f>
        <v>7</v>
      </c>
      <c r="AD375" t="str">
        <f t="shared" si="142"/>
        <v>Neutral</v>
      </c>
      <c r="AE375" s="31">
        <f t="shared" si="143"/>
        <v>1</v>
      </c>
      <c r="AF375">
        <f>step3_validation[[#This Row],[AI_FAC2]]</f>
        <v>9</v>
      </c>
      <c r="AG375" t="str">
        <f t="shared" si="144"/>
        <v>Support</v>
      </c>
      <c r="AH375">
        <f>survey_responses[[#This Row],[So với trước đây, tôi thấy cách tính thuế và các bậc thuế trong phương án mới đơn giản, dễ hiểu và dễ thực hiện hơn. - HUMAN-FAC2]]</f>
        <v>7</v>
      </c>
      <c r="AI375" t="str">
        <f t="shared" si="145"/>
        <v>Neutral</v>
      </c>
      <c r="AJ375" s="31">
        <f t="shared" si="146"/>
        <v>2</v>
      </c>
      <c r="AK375">
        <f>step3_validation[[#This Row],[AI_TRU1]]</f>
        <v>7</v>
      </c>
      <c r="AL375" t="str">
        <f t="shared" si="147"/>
        <v>Neutral</v>
      </c>
      <c r="AM375">
        <f>survey_responses[[#This Row],[Tôi tin rằng Nhà nước, cơ quan thuế sẽ thực thi chính sách mới một cách khách quan, công tâm và đối xử bình đẳng với mọi người nộp thuế.  - HUMAN-TRU1]]</f>
        <v>6</v>
      </c>
      <c r="AN375" t="str">
        <f t="shared" si="148"/>
        <v>Neutral</v>
      </c>
      <c r="AO375" s="31">
        <f t="shared" si="149"/>
        <v>1</v>
      </c>
      <c r="AP375">
        <f>step3_validation[[#This Row],[AI_TRU2]]</f>
        <v>8</v>
      </c>
      <c r="AQ375" t="str">
        <f t="shared" si="150"/>
        <v>Support</v>
      </c>
      <c r="AR375">
        <f>survey_responses[[#This Row],[Tôi thấy mức thuế tôi phải đóng theo phương án mới là công bằng (người thu nhập như tôi đóng mức này là hợp lý). - HUMAN-TRU2]]</f>
        <v>6</v>
      </c>
      <c r="AS375" t="str">
        <f t="shared" si="151"/>
        <v>Neutral</v>
      </c>
      <c r="AT375" s="31">
        <f t="shared" si="152"/>
        <v>2</v>
      </c>
      <c r="AU375">
        <f>step3_validation[[#This Row],[AI_TRU3]]</f>
        <v>7</v>
      </c>
      <c r="AV375" t="str">
        <f t="shared" si="153"/>
        <v>Neutral</v>
      </c>
      <c r="AW375">
        <f>survey_responses[[#This Row],[Tôi tin tưởng số tiền thuế tôi đóng sẽ được Nhà nước sử dụng hiệu quả để cải thiện dịch vụ công (y tế, đường xá...). - HUMAN-TRU3]]</f>
        <v>6</v>
      </c>
      <c r="AX375" t="str">
        <f t="shared" si="154"/>
        <v>Neutral</v>
      </c>
      <c r="AY375" s="31">
        <f t="shared" si="155"/>
        <v>1</v>
      </c>
      <c r="AZ375">
        <f>step3_validation[[#This Row],[AI_TRU4]]</f>
        <v>8</v>
      </c>
      <c r="BA375" t="str">
        <f t="shared" si="156"/>
        <v>Support</v>
      </c>
      <c r="BB375">
        <f>survey_responses[[#This Row],[Tôi thấy Nhà nước đã giải thích rõ ràng, minh bạch về lý do và mục tiêu của việc sửa đổi thuế lần này. - HUMAN-TRU4]]</f>
        <v>6</v>
      </c>
      <c r="BC375" t="str">
        <f t="shared" si="157"/>
        <v>Neutral</v>
      </c>
      <c r="BD375" s="31">
        <f t="shared" si="158"/>
        <v>2</v>
      </c>
      <c r="BE375">
        <f>step3_validation[[#This Row],[AI_OUT1]]</f>
        <v>9</v>
      </c>
      <c r="BF375" t="str">
        <f t="shared" si="159"/>
        <v>Support</v>
      </c>
      <c r="BG375">
        <f>survey_responses[[#This Row],[Sau khi xem xét các quyền lợi và nghĩa vụ, bạn có ủng hộ và tuân thủ chính sách mới hiện nay? - HUMAN-OUT1]]</f>
        <v>6</v>
      </c>
      <c r="BH375" t="str">
        <f t="shared" si="160"/>
        <v>Neutral</v>
      </c>
      <c r="BI375" s="31">
        <f t="shared" si="161"/>
        <v>3</v>
      </c>
    </row>
    <row r="376" spans="1:61" hidden="1" x14ac:dyDescent="0.45">
      <c r="A376" s="29">
        <f>step3_validation[[#This Row],[Persona_ID]]</f>
        <v>375</v>
      </c>
      <c r="B376" s="30">
        <f>step3_validation[[#This Row],[Used_Seed]]</f>
        <v>416</v>
      </c>
      <c r="C376" t="str">
        <f>step3_validation[[#This Row],[Gender]]</f>
        <v>Nữ</v>
      </c>
      <c r="D376" t="str">
        <f>survey_responses[[#This Row],[Giới tính của bạn:]]</f>
        <v>Nữ</v>
      </c>
      <c r="E376" t="str">
        <f>step3_validation[[#This Row],[Age_Group]]</f>
        <v>30 - 39</v>
      </c>
      <c r="F376" t="str">
        <f>survey_responses[[#This Row],[Độ tuổi của bạn:]]</f>
        <v>30 - 39</v>
      </c>
      <c r="G376" t="str">
        <f>step3_validation[[#This Row],[Region]]</f>
        <v>Thành thị</v>
      </c>
      <c r="H376" t="str">
        <f>survey_responses[[#This Row],[Khu vực bạn đang sinh sống:]]</f>
        <v>Thành thị</v>
      </c>
      <c r="I376" t="str">
        <f>step3_validation[[#This Row],[Education]]</f>
        <v>Đại học</v>
      </c>
      <c r="J376" t="str">
        <f>survey_responses[[#This Row],[Trình độ học vấn cao nhất:]]</f>
        <v>Đại học</v>
      </c>
      <c r="K376" t="str">
        <f>step3_validation[[#This Row],[Employment]]</f>
        <v>Chính thức</v>
      </c>
      <c r="L376" t="str">
        <f>survey_responses[[#This Row],[Tình trạng việc làm chính:]]</f>
        <v>Khu vực chính thức (Có Hợp đồng lao động, đóng BHXH)</v>
      </c>
      <c r="M376">
        <f>step3_validation[[#This Row],[Income_Mil]]</f>
        <v>68.19877745662771</v>
      </c>
      <c r="N376" t="str">
        <f>survey_responses[[#This Row],[Thu nhập bình quân tháng theo Hợp đồng lao động của bạn là bao nhiêu? (Vui lòng điền tổng thu nhập trước khi khấu trừ các loại Bảo hiểm (BHXH, BHYT, BHTN) và Thuế TNCN)]]</f>
        <v>Từ 48 - 70 triệu VNĐ</v>
      </c>
      <c r="O376">
        <f>step3_validation[[#This Row],[Dependents]]</f>
        <v>1</v>
      </c>
      <c r="P376" t="str">
        <f>survey_responses[[#This Row],[Số người phụ thuộc (con nhỏ, cha mẹ già...) đủ điều kiện giảm trừ gia cảnh:]]</f>
        <v>1 người</v>
      </c>
      <c r="Q376">
        <f>step3_validation[[#This Row],[AI_ENF1]]</f>
        <v>7</v>
      </c>
      <c r="R376" t="str">
        <f t="shared" si="135"/>
        <v>Neutral</v>
      </c>
      <c r="S376">
        <f>survey_responses[[#This Row],[Tôi tin rằng với các quy định quản lý thuế hiện nay, hành vi gian lận hoặc trốn thuế sẽ dễ dàng bị phát hiện và xử lý nghiêm. - HUMAN-ENF1]]</f>
        <v>8</v>
      </c>
      <c r="T376" t="str">
        <f t="shared" si="136"/>
        <v>Support</v>
      </c>
      <c r="U376" s="31">
        <f t="shared" si="137"/>
        <v>1</v>
      </c>
      <c r="V376">
        <f>step3_validation[[#This Row],[AI_ENF2]]</f>
        <v>8</v>
      </c>
      <c r="W376" t="str">
        <f t="shared" si="138"/>
        <v>Support</v>
      </c>
      <c r="X376">
        <f>survey_responses[[#This Row],[Tôi tin rằng Nhà nước, cơ quan thuế có đủ khả năng và công nghệ để phát hiện, xử lý nghiêm các hành vi trốn thuế. - HUMAN-ENF2]]</f>
        <v>8</v>
      </c>
      <c r="Y376" t="str">
        <f t="shared" si="139"/>
        <v>Support</v>
      </c>
      <c r="Z376" s="31">
        <f t="shared" si="140"/>
        <v>0</v>
      </c>
      <c r="AA376">
        <f>step3_validation[[#This Row],[AI_FAC1]]</f>
        <v>9</v>
      </c>
      <c r="AB376" t="str">
        <f t="shared" si="141"/>
        <v>Support</v>
      </c>
      <c r="AC376">
        <f>survey_responses[[#This Row],[Các thủ tục khai báo thuế VÀ/HOẶC quy trình làm việc với cơ quan thuế đơn giản, tiện lợi, nhanh chóng hơn so với trước đây. - HUMAN-FAC1]]</f>
        <v>8</v>
      </c>
      <c r="AD376" t="str">
        <f t="shared" si="142"/>
        <v>Support</v>
      </c>
      <c r="AE376" s="31">
        <f t="shared" si="143"/>
        <v>1</v>
      </c>
      <c r="AF376">
        <f>step3_validation[[#This Row],[AI_FAC2]]</f>
        <v>8</v>
      </c>
      <c r="AG376" t="str">
        <f t="shared" si="144"/>
        <v>Support</v>
      </c>
      <c r="AH376">
        <f>survey_responses[[#This Row],[So với trước đây, tôi thấy cách tính thuế và các bậc thuế trong phương án mới đơn giản, dễ hiểu và dễ thực hiện hơn. - HUMAN-FAC2]]</f>
        <v>8</v>
      </c>
      <c r="AI376" t="str">
        <f t="shared" si="145"/>
        <v>Support</v>
      </c>
      <c r="AJ376" s="31">
        <f t="shared" si="146"/>
        <v>0</v>
      </c>
      <c r="AK376">
        <f>step3_validation[[#This Row],[AI_TRU1]]</f>
        <v>6</v>
      </c>
      <c r="AL376" t="str">
        <f t="shared" si="147"/>
        <v>Neutral</v>
      </c>
      <c r="AM376">
        <f>survey_responses[[#This Row],[Tôi tin rằng Nhà nước, cơ quan thuế sẽ thực thi chính sách mới một cách khách quan, công tâm và đối xử bình đẳng với mọi người nộp thuế.  - HUMAN-TRU1]]</f>
        <v>7</v>
      </c>
      <c r="AN376" t="str">
        <f t="shared" si="148"/>
        <v>Neutral</v>
      </c>
      <c r="AO376" s="31">
        <f t="shared" si="149"/>
        <v>1</v>
      </c>
      <c r="AP376">
        <f>step3_validation[[#This Row],[AI_TRU2]]</f>
        <v>9</v>
      </c>
      <c r="AQ376" t="str">
        <f t="shared" si="150"/>
        <v>Support</v>
      </c>
      <c r="AR376">
        <f>survey_responses[[#This Row],[Tôi thấy mức thuế tôi phải đóng theo phương án mới là công bằng (người thu nhập như tôi đóng mức này là hợp lý). - HUMAN-TRU2]]</f>
        <v>6</v>
      </c>
      <c r="AS376" t="str">
        <f t="shared" si="151"/>
        <v>Neutral</v>
      </c>
      <c r="AT376" s="31">
        <f t="shared" si="152"/>
        <v>3</v>
      </c>
      <c r="AU376">
        <f>step3_validation[[#This Row],[AI_TRU3]]</f>
        <v>7</v>
      </c>
      <c r="AV376" t="str">
        <f t="shared" si="153"/>
        <v>Neutral</v>
      </c>
      <c r="AW376">
        <f>survey_responses[[#This Row],[Tôi tin tưởng số tiền thuế tôi đóng sẽ được Nhà nước sử dụng hiệu quả để cải thiện dịch vụ công (y tế, đường xá...). - HUMAN-TRU3]]</f>
        <v>6</v>
      </c>
      <c r="AX376" t="str">
        <f t="shared" si="154"/>
        <v>Neutral</v>
      </c>
      <c r="AY376" s="31">
        <f t="shared" si="155"/>
        <v>1</v>
      </c>
      <c r="AZ376">
        <f>step3_validation[[#This Row],[AI_TRU4]]</f>
        <v>8</v>
      </c>
      <c r="BA376" t="str">
        <f t="shared" si="156"/>
        <v>Support</v>
      </c>
      <c r="BB376">
        <f>survey_responses[[#This Row],[Tôi thấy Nhà nước đã giải thích rõ ràng, minh bạch về lý do và mục tiêu của việc sửa đổi thuế lần này. - HUMAN-TRU4]]</f>
        <v>5</v>
      </c>
      <c r="BC376" t="str">
        <f t="shared" si="157"/>
        <v>Neutral</v>
      </c>
      <c r="BD376" s="31">
        <f t="shared" si="158"/>
        <v>3</v>
      </c>
      <c r="BE376">
        <f>step3_validation[[#This Row],[AI_OUT1]]</f>
        <v>9</v>
      </c>
      <c r="BF376" t="str">
        <f t="shared" si="159"/>
        <v>Support</v>
      </c>
      <c r="BG376">
        <f>survey_responses[[#This Row],[Sau khi xem xét các quyền lợi và nghĩa vụ, bạn có ủng hộ và tuân thủ chính sách mới hiện nay? - HUMAN-OUT1]]</f>
        <v>7</v>
      </c>
      <c r="BH376" t="str">
        <f t="shared" si="160"/>
        <v>Neutral</v>
      </c>
      <c r="BI376" s="31">
        <f t="shared" si="161"/>
        <v>2</v>
      </c>
    </row>
    <row r="377" spans="1:61" hidden="1" x14ac:dyDescent="0.45">
      <c r="A377" s="29">
        <f>step3_validation[[#This Row],[Persona_ID]]</f>
        <v>376</v>
      </c>
      <c r="B377" s="30">
        <f>step3_validation[[#This Row],[Used_Seed]]</f>
        <v>417</v>
      </c>
      <c r="C377" t="str">
        <f>step3_validation[[#This Row],[Gender]]</f>
        <v>Nữ</v>
      </c>
      <c r="D377" t="str">
        <f>survey_responses[[#This Row],[Giới tính của bạn:]]</f>
        <v>Nữ</v>
      </c>
      <c r="E377" t="str">
        <f>step3_validation[[#This Row],[Age_Group]]</f>
        <v>25 - 29</v>
      </c>
      <c r="F377" t="str">
        <f>survey_responses[[#This Row],[Độ tuổi của bạn:]]</f>
        <v>25 - 29</v>
      </c>
      <c r="G377" t="str">
        <f>step3_validation[[#This Row],[Region]]</f>
        <v>Thành thị</v>
      </c>
      <c r="H377" t="str">
        <f>survey_responses[[#This Row],[Khu vực bạn đang sinh sống:]]</f>
        <v>Thành thị</v>
      </c>
      <c r="I377" t="str">
        <f>step3_validation[[#This Row],[Education]]</f>
        <v>Đại học</v>
      </c>
      <c r="J377" t="str">
        <f>survey_responses[[#This Row],[Trình độ học vấn cao nhất:]]</f>
        <v>Đại học</v>
      </c>
      <c r="K377" t="str">
        <f>step3_validation[[#This Row],[Employment]]</f>
        <v>Chính thức</v>
      </c>
      <c r="L377" t="str">
        <f>survey_responses[[#This Row],[Tình trạng việc làm chính:]]</f>
        <v>Khu vực chính thức (Có Hợp đồng lao động, đóng BHXH)</v>
      </c>
      <c r="M377">
        <f>step3_validation[[#This Row],[Income_Mil]]</f>
        <v>18.778632115297356</v>
      </c>
      <c r="N377" t="str">
        <f>survey_responses[[#This Row],[Thu nhập bình quân tháng theo Hợp đồng lao động của bạn là bao nhiêu? (Vui lòng điền tổng thu nhập trước khi khấu trừ các loại Bảo hiểm (BHXH, BHYT, BHTN) và Thuế TNCN)]]</f>
        <v>Từ 18 - 23 triệu VNĐ</v>
      </c>
      <c r="O377">
        <f>step3_validation[[#This Row],[Dependents]]</f>
        <v>0</v>
      </c>
      <c r="P377" t="str">
        <f>survey_responses[[#This Row],[Số người phụ thuộc (con nhỏ, cha mẹ già...) đủ điều kiện giảm trừ gia cảnh:]]</f>
        <v>0 người</v>
      </c>
      <c r="Q377">
        <f>step3_validation[[#This Row],[AI_ENF1]]</f>
        <v>7</v>
      </c>
      <c r="R377" t="str">
        <f t="shared" si="135"/>
        <v>Neutral</v>
      </c>
      <c r="S377">
        <f>survey_responses[[#This Row],[Tôi tin rằng với các quy định quản lý thuế hiện nay, hành vi gian lận hoặc trốn thuế sẽ dễ dàng bị phát hiện và xử lý nghiêm. - HUMAN-ENF1]]</f>
        <v>6</v>
      </c>
      <c r="T377" t="str">
        <f t="shared" si="136"/>
        <v>Neutral</v>
      </c>
      <c r="U377" s="31">
        <f t="shared" si="137"/>
        <v>1</v>
      </c>
      <c r="V377">
        <f>step3_validation[[#This Row],[AI_ENF2]]</f>
        <v>8</v>
      </c>
      <c r="W377" t="str">
        <f t="shared" si="138"/>
        <v>Support</v>
      </c>
      <c r="X377">
        <f>survey_responses[[#This Row],[Tôi tin rằng Nhà nước, cơ quan thuế có đủ khả năng và công nghệ để phát hiện, xử lý nghiêm các hành vi trốn thuế. - HUMAN-ENF2]]</f>
        <v>6</v>
      </c>
      <c r="Y377" t="str">
        <f t="shared" si="139"/>
        <v>Neutral</v>
      </c>
      <c r="Z377" s="31">
        <f t="shared" si="140"/>
        <v>2</v>
      </c>
      <c r="AA377">
        <f>step3_validation[[#This Row],[AI_FAC1]]</f>
        <v>9</v>
      </c>
      <c r="AB377" t="str">
        <f t="shared" si="141"/>
        <v>Support</v>
      </c>
      <c r="AC377">
        <f>survey_responses[[#This Row],[Các thủ tục khai báo thuế VÀ/HOẶC quy trình làm việc với cơ quan thuế đơn giản, tiện lợi, nhanh chóng hơn so với trước đây. - HUMAN-FAC1]]</f>
        <v>5</v>
      </c>
      <c r="AD377" t="str">
        <f t="shared" si="142"/>
        <v>Neutral</v>
      </c>
      <c r="AE377" s="31">
        <f t="shared" si="143"/>
        <v>4</v>
      </c>
      <c r="AF377">
        <f>step3_validation[[#This Row],[AI_FAC2]]</f>
        <v>8</v>
      </c>
      <c r="AG377" t="str">
        <f t="shared" si="144"/>
        <v>Support</v>
      </c>
      <c r="AH377">
        <f>survey_responses[[#This Row],[So với trước đây, tôi thấy cách tính thuế và các bậc thuế trong phương án mới đơn giản, dễ hiểu và dễ thực hiện hơn. - HUMAN-FAC2]]</f>
        <v>7</v>
      </c>
      <c r="AI377" t="str">
        <f t="shared" si="145"/>
        <v>Neutral</v>
      </c>
      <c r="AJ377" s="31">
        <f t="shared" si="146"/>
        <v>1</v>
      </c>
      <c r="AK377">
        <f>step3_validation[[#This Row],[AI_TRU1]]</f>
        <v>9</v>
      </c>
      <c r="AL377" t="str">
        <f t="shared" si="147"/>
        <v>Support</v>
      </c>
      <c r="AM377">
        <f>survey_responses[[#This Row],[Tôi tin rằng Nhà nước, cơ quan thuế sẽ thực thi chính sách mới một cách khách quan, công tâm và đối xử bình đẳng với mọi người nộp thuế.  - HUMAN-TRU1]]</f>
        <v>6</v>
      </c>
      <c r="AN377" t="str">
        <f t="shared" si="148"/>
        <v>Neutral</v>
      </c>
      <c r="AO377" s="31">
        <f t="shared" si="149"/>
        <v>3</v>
      </c>
      <c r="AP377">
        <f>step3_validation[[#This Row],[AI_TRU2]]</f>
        <v>8</v>
      </c>
      <c r="AQ377" t="str">
        <f t="shared" si="150"/>
        <v>Support</v>
      </c>
      <c r="AR377">
        <f>survey_responses[[#This Row],[Tôi thấy mức thuế tôi phải đóng theo phương án mới là công bằng (người thu nhập như tôi đóng mức này là hợp lý). - HUMAN-TRU2]]</f>
        <v>7</v>
      </c>
      <c r="AS377" t="str">
        <f t="shared" si="151"/>
        <v>Neutral</v>
      </c>
      <c r="AT377" s="31">
        <f t="shared" si="152"/>
        <v>1</v>
      </c>
      <c r="AU377">
        <f>step3_validation[[#This Row],[AI_TRU3]]</f>
        <v>9</v>
      </c>
      <c r="AV377" t="str">
        <f t="shared" si="153"/>
        <v>Support</v>
      </c>
      <c r="AW377">
        <f>survey_responses[[#This Row],[Tôi tin tưởng số tiền thuế tôi đóng sẽ được Nhà nước sử dụng hiệu quả để cải thiện dịch vụ công (y tế, đường xá...). - HUMAN-TRU3]]</f>
        <v>5</v>
      </c>
      <c r="AX377" t="str">
        <f t="shared" si="154"/>
        <v>Neutral</v>
      </c>
      <c r="AY377" s="31">
        <f t="shared" si="155"/>
        <v>4</v>
      </c>
      <c r="AZ377">
        <f>step3_validation[[#This Row],[AI_TRU4]]</f>
        <v>7</v>
      </c>
      <c r="BA377" t="str">
        <f t="shared" si="156"/>
        <v>Neutral</v>
      </c>
      <c r="BB377">
        <f>survey_responses[[#This Row],[Tôi thấy Nhà nước đã giải thích rõ ràng, minh bạch về lý do và mục tiêu của việc sửa đổi thuế lần này. - HUMAN-TRU4]]</f>
        <v>6</v>
      </c>
      <c r="BC377" t="str">
        <f t="shared" si="157"/>
        <v>Neutral</v>
      </c>
      <c r="BD377" s="31">
        <f t="shared" si="158"/>
        <v>1</v>
      </c>
      <c r="BE377">
        <f>step3_validation[[#This Row],[AI_OUT1]]</f>
        <v>9</v>
      </c>
      <c r="BF377" t="str">
        <f t="shared" si="159"/>
        <v>Support</v>
      </c>
      <c r="BG377">
        <f>survey_responses[[#This Row],[Sau khi xem xét các quyền lợi và nghĩa vụ, bạn có ủng hộ và tuân thủ chính sách mới hiện nay? - HUMAN-OUT1]]</f>
        <v>7</v>
      </c>
      <c r="BH377" t="str">
        <f t="shared" si="160"/>
        <v>Neutral</v>
      </c>
      <c r="BI377" s="31">
        <f t="shared" si="161"/>
        <v>2</v>
      </c>
    </row>
    <row r="378" spans="1:61" hidden="1" x14ac:dyDescent="0.45">
      <c r="A378" s="29">
        <f>step3_validation[[#This Row],[Persona_ID]]</f>
        <v>377</v>
      </c>
      <c r="B378" s="30">
        <f>step3_validation[[#This Row],[Used_Seed]]</f>
        <v>418</v>
      </c>
      <c r="C378" t="str">
        <f>step3_validation[[#This Row],[Gender]]</f>
        <v>Nam</v>
      </c>
      <c r="D378" t="str">
        <f>survey_responses[[#This Row],[Giới tính của bạn:]]</f>
        <v>Nam</v>
      </c>
      <c r="E378" t="str">
        <f>step3_validation[[#This Row],[Age_Group]]</f>
        <v>25 - 29</v>
      </c>
      <c r="F378" t="str">
        <f>survey_responses[[#This Row],[Độ tuổi của bạn:]]</f>
        <v>25 - 29</v>
      </c>
      <c r="G378" t="str">
        <f>step3_validation[[#This Row],[Region]]</f>
        <v>Thành thị</v>
      </c>
      <c r="H378" t="str">
        <f>survey_responses[[#This Row],[Khu vực bạn đang sinh sống:]]</f>
        <v>Thành thị</v>
      </c>
      <c r="I378" t="str">
        <f>step3_validation[[#This Row],[Education]]</f>
        <v>Đại học</v>
      </c>
      <c r="J378" t="str">
        <f>survey_responses[[#This Row],[Trình độ học vấn cao nhất:]]</f>
        <v>Đại học</v>
      </c>
      <c r="K378" t="str">
        <f>step3_validation[[#This Row],[Employment]]</f>
        <v>Chính thức</v>
      </c>
      <c r="L378" t="str">
        <f>survey_responses[[#This Row],[Tình trạng việc làm chính:]]</f>
        <v>Khu vực chính thức (Có Hợp đồng lao động, đóng BHXH)</v>
      </c>
      <c r="M378">
        <f>step3_validation[[#This Row],[Income_Mil]]</f>
        <v>12.80522755237557</v>
      </c>
      <c r="N378" t="str">
        <f>survey_responses[[#This Row],[Thu nhập bình quân tháng theo Hợp đồng lao động của bạn là bao nhiêu? (Vui lòng điền tổng thu nhập trước khi khấu trừ các loại Bảo hiểm (BHXH, BHYT, BHTN) và Thuế TNCN)]]</f>
        <v>Từ 12 - 18 triệu VNĐ</v>
      </c>
      <c r="O378">
        <f>step3_validation[[#This Row],[Dependents]]</f>
        <v>0</v>
      </c>
      <c r="P378" t="str">
        <f>survey_responses[[#This Row],[Số người phụ thuộc (con nhỏ, cha mẹ già...) đủ điều kiện giảm trừ gia cảnh:]]</f>
        <v>0 người</v>
      </c>
      <c r="Q378">
        <f>step3_validation[[#This Row],[AI_ENF1]]</f>
        <v>7</v>
      </c>
      <c r="R378" t="str">
        <f t="shared" si="135"/>
        <v>Neutral</v>
      </c>
      <c r="S378">
        <f>survey_responses[[#This Row],[Tôi tin rằng với các quy định quản lý thuế hiện nay, hành vi gian lận hoặc trốn thuế sẽ dễ dàng bị phát hiện và xử lý nghiêm. - HUMAN-ENF1]]</f>
        <v>7</v>
      </c>
      <c r="T378" t="str">
        <f t="shared" si="136"/>
        <v>Neutral</v>
      </c>
      <c r="U378" s="31">
        <f t="shared" si="137"/>
        <v>0</v>
      </c>
      <c r="V378">
        <f>step3_validation[[#This Row],[AI_ENF2]]</f>
        <v>8</v>
      </c>
      <c r="W378" t="str">
        <f t="shared" si="138"/>
        <v>Support</v>
      </c>
      <c r="X378">
        <f>survey_responses[[#This Row],[Tôi tin rằng Nhà nước, cơ quan thuế có đủ khả năng và công nghệ để phát hiện, xử lý nghiêm các hành vi trốn thuế. - HUMAN-ENF2]]</f>
        <v>8</v>
      </c>
      <c r="Y378" t="str">
        <f t="shared" si="139"/>
        <v>Support</v>
      </c>
      <c r="Z378" s="31">
        <f t="shared" si="140"/>
        <v>0</v>
      </c>
      <c r="AA378">
        <f>step3_validation[[#This Row],[AI_FAC1]]</f>
        <v>9</v>
      </c>
      <c r="AB378" t="str">
        <f t="shared" si="141"/>
        <v>Support</v>
      </c>
      <c r="AC378">
        <f>survey_responses[[#This Row],[Các thủ tục khai báo thuế VÀ/HOẶC quy trình làm việc với cơ quan thuế đơn giản, tiện lợi, nhanh chóng hơn so với trước đây. - HUMAN-FAC1]]</f>
        <v>7</v>
      </c>
      <c r="AD378" t="str">
        <f t="shared" si="142"/>
        <v>Neutral</v>
      </c>
      <c r="AE378" s="31">
        <f t="shared" si="143"/>
        <v>2</v>
      </c>
      <c r="AF378">
        <f>step3_validation[[#This Row],[AI_FAC2]]</f>
        <v>10</v>
      </c>
      <c r="AG378" t="str">
        <f t="shared" si="144"/>
        <v>Support</v>
      </c>
      <c r="AH378">
        <f>survey_responses[[#This Row],[So với trước đây, tôi thấy cách tính thuế và các bậc thuế trong phương án mới đơn giản, dễ hiểu và dễ thực hiện hơn. - HUMAN-FAC2]]</f>
        <v>7</v>
      </c>
      <c r="AI378" t="str">
        <f t="shared" si="145"/>
        <v>Neutral</v>
      </c>
      <c r="AJ378" s="31">
        <f t="shared" si="146"/>
        <v>3</v>
      </c>
      <c r="AK378">
        <f>step3_validation[[#This Row],[AI_TRU1]]</f>
        <v>7</v>
      </c>
      <c r="AL378" t="str">
        <f t="shared" si="147"/>
        <v>Neutral</v>
      </c>
      <c r="AM378">
        <f>survey_responses[[#This Row],[Tôi tin rằng Nhà nước, cơ quan thuế sẽ thực thi chính sách mới một cách khách quan, công tâm và đối xử bình đẳng với mọi người nộp thuế.  - HUMAN-TRU1]]</f>
        <v>8</v>
      </c>
      <c r="AN378" t="str">
        <f t="shared" si="148"/>
        <v>Support</v>
      </c>
      <c r="AO378" s="31">
        <f t="shared" si="149"/>
        <v>1</v>
      </c>
      <c r="AP378">
        <f>step3_validation[[#This Row],[AI_TRU2]]</f>
        <v>9</v>
      </c>
      <c r="AQ378" t="str">
        <f t="shared" si="150"/>
        <v>Support</v>
      </c>
      <c r="AR378">
        <f>survey_responses[[#This Row],[Tôi thấy mức thuế tôi phải đóng theo phương án mới là công bằng (người thu nhập như tôi đóng mức này là hợp lý). - HUMAN-TRU2]]</f>
        <v>9</v>
      </c>
      <c r="AS378" t="str">
        <f t="shared" si="151"/>
        <v>Support</v>
      </c>
      <c r="AT378" s="31">
        <f t="shared" si="152"/>
        <v>0</v>
      </c>
      <c r="AU378">
        <f>step3_validation[[#This Row],[AI_TRU3]]</f>
        <v>7</v>
      </c>
      <c r="AV378" t="str">
        <f t="shared" si="153"/>
        <v>Neutral</v>
      </c>
      <c r="AW378">
        <f>survey_responses[[#This Row],[Tôi tin tưởng số tiền thuế tôi đóng sẽ được Nhà nước sử dụng hiệu quả để cải thiện dịch vụ công (y tế, đường xá...). - HUMAN-TRU3]]</f>
        <v>7</v>
      </c>
      <c r="AX378" t="str">
        <f t="shared" si="154"/>
        <v>Neutral</v>
      </c>
      <c r="AY378" s="31">
        <f t="shared" si="155"/>
        <v>0</v>
      </c>
      <c r="AZ378">
        <f>step3_validation[[#This Row],[AI_TRU4]]</f>
        <v>8</v>
      </c>
      <c r="BA378" t="str">
        <f t="shared" si="156"/>
        <v>Support</v>
      </c>
      <c r="BB378">
        <f>survey_responses[[#This Row],[Tôi thấy Nhà nước đã giải thích rõ ràng, minh bạch về lý do và mục tiêu của việc sửa đổi thuế lần này. - HUMAN-TRU4]]</f>
        <v>7</v>
      </c>
      <c r="BC378" t="str">
        <f t="shared" si="157"/>
        <v>Neutral</v>
      </c>
      <c r="BD378" s="31">
        <f t="shared" si="158"/>
        <v>1</v>
      </c>
      <c r="BE378">
        <f>step3_validation[[#This Row],[AI_OUT1]]</f>
        <v>9</v>
      </c>
      <c r="BF378" t="str">
        <f t="shared" si="159"/>
        <v>Support</v>
      </c>
      <c r="BG378">
        <f>survey_responses[[#This Row],[Sau khi xem xét các quyền lợi và nghĩa vụ, bạn có ủng hộ và tuân thủ chính sách mới hiện nay? - HUMAN-OUT1]]</f>
        <v>8</v>
      </c>
      <c r="BH378" t="str">
        <f t="shared" si="160"/>
        <v>Support</v>
      </c>
      <c r="BI378" s="31">
        <f t="shared" si="161"/>
        <v>1</v>
      </c>
    </row>
    <row r="379" spans="1:61" hidden="1" x14ac:dyDescent="0.45">
      <c r="A379" s="29">
        <f>step3_validation[[#This Row],[Persona_ID]]</f>
        <v>378</v>
      </c>
      <c r="B379" s="30">
        <f>step3_validation[[#This Row],[Used_Seed]]</f>
        <v>419</v>
      </c>
      <c r="C379" t="str">
        <f>step3_validation[[#This Row],[Gender]]</f>
        <v>Nữ</v>
      </c>
      <c r="D379" t="str">
        <f>survey_responses[[#This Row],[Giới tính của bạn:]]</f>
        <v>Nữ</v>
      </c>
      <c r="E379" t="str">
        <f>step3_validation[[#This Row],[Age_Group]]</f>
        <v>18 - 24</v>
      </c>
      <c r="F379" t="str">
        <f>survey_responses[[#This Row],[Độ tuổi của bạn:]]</f>
        <v>18 - 24</v>
      </c>
      <c r="G379" t="str">
        <f>step3_validation[[#This Row],[Region]]</f>
        <v>Thành thị</v>
      </c>
      <c r="H379" t="str">
        <f>survey_responses[[#This Row],[Khu vực bạn đang sinh sống:]]</f>
        <v>Thành thị</v>
      </c>
      <c r="I379" t="str">
        <f>step3_validation[[#This Row],[Education]]</f>
        <v>Đại học</v>
      </c>
      <c r="J379" t="str">
        <f>survey_responses[[#This Row],[Trình độ học vấn cao nhất:]]</f>
        <v>Đại học</v>
      </c>
      <c r="K379" t="str">
        <f>step3_validation[[#This Row],[Employment]]</f>
        <v>Chính thức</v>
      </c>
      <c r="L379" t="str">
        <f>survey_responses[[#This Row],[Tình trạng việc làm chính:]]</f>
        <v>Khu vực chính thức (Có Hợp đồng lao động, đóng BHXH)</v>
      </c>
      <c r="M379">
        <f>step3_validation[[#This Row],[Income_Mil]]</f>
        <v>19.054677002787088</v>
      </c>
      <c r="N379" t="str">
        <f>survey_responses[[#This Row],[Thu nhập bình quân tháng theo Hợp đồng lao động của bạn là bao nhiêu? (Vui lòng điền tổng thu nhập trước khi khấu trừ các loại Bảo hiểm (BHXH, BHYT, BHTN) và Thuế TNCN)]]</f>
        <v>Từ 18 - 23 triệu VNĐ</v>
      </c>
      <c r="O379">
        <f>step3_validation[[#This Row],[Dependents]]</f>
        <v>0</v>
      </c>
      <c r="P379" t="str">
        <f>survey_responses[[#This Row],[Số người phụ thuộc (con nhỏ, cha mẹ già...) đủ điều kiện giảm trừ gia cảnh:]]</f>
        <v>0 người</v>
      </c>
      <c r="Q379">
        <f>step3_validation[[#This Row],[AI_ENF1]]</f>
        <v>7</v>
      </c>
      <c r="R379" t="str">
        <f t="shared" si="135"/>
        <v>Neutral</v>
      </c>
      <c r="S379">
        <f>survey_responses[[#This Row],[Tôi tin rằng với các quy định quản lý thuế hiện nay, hành vi gian lận hoặc trốn thuế sẽ dễ dàng bị phát hiện và xử lý nghiêm. - HUMAN-ENF1]]</f>
        <v>6</v>
      </c>
      <c r="T379" t="str">
        <f t="shared" si="136"/>
        <v>Neutral</v>
      </c>
      <c r="U379" s="31">
        <f t="shared" si="137"/>
        <v>1</v>
      </c>
      <c r="V379">
        <f>step3_validation[[#This Row],[AI_ENF2]]</f>
        <v>8</v>
      </c>
      <c r="W379" t="str">
        <f t="shared" si="138"/>
        <v>Support</v>
      </c>
      <c r="X379">
        <f>survey_responses[[#This Row],[Tôi tin rằng Nhà nước, cơ quan thuế có đủ khả năng và công nghệ để phát hiện, xử lý nghiêm các hành vi trốn thuế. - HUMAN-ENF2]]</f>
        <v>7</v>
      </c>
      <c r="Y379" t="str">
        <f t="shared" si="139"/>
        <v>Neutral</v>
      </c>
      <c r="Z379" s="31">
        <f t="shared" si="140"/>
        <v>1</v>
      </c>
      <c r="AA379">
        <f>step3_validation[[#This Row],[AI_FAC1]]</f>
        <v>9</v>
      </c>
      <c r="AB379" t="str">
        <f t="shared" si="141"/>
        <v>Support</v>
      </c>
      <c r="AC379">
        <f>survey_responses[[#This Row],[Các thủ tục khai báo thuế VÀ/HOẶC quy trình làm việc với cơ quan thuế đơn giản, tiện lợi, nhanh chóng hơn so với trước đây. - HUMAN-FAC1]]</f>
        <v>5</v>
      </c>
      <c r="AD379" t="str">
        <f t="shared" si="142"/>
        <v>Neutral</v>
      </c>
      <c r="AE379" s="31">
        <f t="shared" si="143"/>
        <v>4</v>
      </c>
      <c r="AF379">
        <f>step3_validation[[#This Row],[AI_FAC2]]</f>
        <v>9</v>
      </c>
      <c r="AG379" t="str">
        <f t="shared" si="144"/>
        <v>Support</v>
      </c>
      <c r="AH379">
        <f>survey_responses[[#This Row],[So với trước đây, tôi thấy cách tính thuế và các bậc thuế trong phương án mới đơn giản, dễ hiểu và dễ thực hiện hơn. - HUMAN-FAC2]]</f>
        <v>8</v>
      </c>
      <c r="AI379" t="str">
        <f t="shared" si="145"/>
        <v>Support</v>
      </c>
      <c r="AJ379" s="31">
        <f t="shared" si="146"/>
        <v>1</v>
      </c>
      <c r="AK379">
        <f>step3_validation[[#This Row],[AI_TRU1]]</f>
        <v>8</v>
      </c>
      <c r="AL379" t="str">
        <f t="shared" si="147"/>
        <v>Support</v>
      </c>
      <c r="AM379">
        <f>survey_responses[[#This Row],[Tôi tin rằng Nhà nước, cơ quan thuế sẽ thực thi chính sách mới một cách khách quan, công tâm và đối xử bình đẳng với mọi người nộp thuế.  - HUMAN-TRU1]]</f>
        <v>7</v>
      </c>
      <c r="AN379" t="str">
        <f t="shared" si="148"/>
        <v>Neutral</v>
      </c>
      <c r="AO379" s="31">
        <f t="shared" si="149"/>
        <v>1</v>
      </c>
      <c r="AP379">
        <f>step3_validation[[#This Row],[AI_TRU2]]</f>
        <v>9</v>
      </c>
      <c r="AQ379" t="str">
        <f t="shared" si="150"/>
        <v>Support</v>
      </c>
      <c r="AR379">
        <f>survey_responses[[#This Row],[Tôi thấy mức thuế tôi phải đóng theo phương án mới là công bằng (người thu nhập như tôi đóng mức này là hợp lý). - HUMAN-TRU2]]</f>
        <v>7</v>
      </c>
      <c r="AS379" t="str">
        <f t="shared" si="151"/>
        <v>Neutral</v>
      </c>
      <c r="AT379" s="31">
        <f t="shared" si="152"/>
        <v>2</v>
      </c>
      <c r="AU379">
        <f>step3_validation[[#This Row],[AI_TRU3]]</f>
        <v>8</v>
      </c>
      <c r="AV379" t="str">
        <f t="shared" si="153"/>
        <v>Support</v>
      </c>
      <c r="AW379">
        <f>survey_responses[[#This Row],[Tôi tin tưởng số tiền thuế tôi đóng sẽ được Nhà nước sử dụng hiệu quả để cải thiện dịch vụ công (y tế, đường xá...). - HUMAN-TRU3]]</f>
        <v>7</v>
      </c>
      <c r="AX379" t="str">
        <f t="shared" si="154"/>
        <v>Neutral</v>
      </c>
      <c r="AY379" s="31">
        <f t="shared" si="155"/>
        <v>1</v>
      </c>
      <c r="AZ379">
        <f>step3_validation[[#This Row],[AI_TRU4]]</f>
        <v>9</v>
      </c>
      <c r="BA379" t="str">
        <f t="shared" si="156"/>
        <v>Support</v>
      </c>
      <c r="BB379">
        <f>survey_responses[[#This Row],[Tôi thấy Nhà nước đã giải thích rõ ràng, minh bạch về lý do và mục tiêu của việc sửa đổi thuế lần này. - HUMAN-TRU4]]</f>
        <v>7</v>
      </c>
      <c r="BC379" t="str">
        <f t="shared" si="157"/>
        <v>Neutral</v>
      </c>
      <c r="BD379" s="31">
        <f t="shared" si="158"/>
        <v>2</v>
      </c>
      <c r="BE379">
        <f>step3_validation[[#This Row],[AI_OUT1]]</f>
        <v>8</v>
      </c>
      <c r="BF379" t="str">
        <f t="shared" si="159"/>
        <v>Support</v>
      </c>
      <c r="BG379">
        <f>survey_responses[[#This Row],[Sau khi xem xét các quyền lợi và nghĩa vụ, bạn có ủng hộ và tuân thủ chính sách mới hiện nay? - HUMAN-OUT1]]</f>
        <v>8</v>
      </c>
      <c r="BH379" t="str">
        <f t="shared" si="160"/>
        <v>Support</v>
      </c>
      <c r="BI379" s="31">
        <f t="shared" si="161"/>
        <v>0</v>
      </c>
    </row>
    <row r="380" spans="1:61" hidden="1" x14ac:dyDescent="0.45">
      <c r="A380" s="29">
        <f>step3_validation[[#This Row],[Persona_ID]]</f>
        <v>379</v>
      </c>
      <c r="B380" s="30">
        <f>step3_validation[[#This Row],[Used_Seed]]</f>
        <v>420</v>
      </c>
      <c r="C380" t="str">
        <f>step3_validation[[#This Row],[Gender]]</f>
        <v>Nữ</v>
      </c>
      <c r="D380" t="str">
        <f>survey_responses[[#This Row],[Giới tính của bạn:]]</f>
        <v>Nữ</v>
      </c>
      <c r="E380" t="str">
        <f>step3_validation[[#This Row],[Age_Group]]</f>
        <v>18 - 24</v>
      </c>
      <c r="F380" t="str">
        <f>survey_responses[[#This Row],[Độ tuổi của bạn:]]</f>
        <v>18 - 24</v>
      </c>
      <c r="G380" t="str">
        <f>step3_validation[[#This Row],[Region]]</f>
        <v>Thành thị</v>
      </c>
      <c r="H380" t="str">
        <f>survey_responses[[#This Row],[Khu vực bạn đang sinh sống:]]</f>
        <v>Thành thị</v>
      </c>
      <c r="I380" t="str">
        <f>step3_validation[[#This Row],[Education]]</f>
        <v>Đại học</v>
      </c>
      <c r="J380" t="str">
        <f>survey_responses[[#This Row],[Trình độ học vấn cao nhất:]]</f>
        <v>Đại học</v>
      </c>
      <c r="K380" t="str">
        <f>step3_validation[[#This Row],[Employment]]</f>
        <v>Chính thức</v>
      </c>
      <c r="L380" t="str">
        <f>survey_responses[[#This Row],[Tình trạng việc làm chính:]]</f>
        <v>Khu vực chính thức (Có Hợp đồng lao động, đóng BHXH)</v>
      </c>
      <c r="M380">
        <f>step3_validation[[#This Row],[Income_Mil]]</f>
        <v>14.825139556692614</v>
      </c>
      <c r="N380" t="str">
        <f>survey_responses[[#This Row],[Thu nhập bình quân tháng theo Hợp đồng lao động của bạn là bao nhiêu? (Vui lòng điền tổng thu nhập trước khi khấu trừ các loại Bảo hiểm (BHXH, BHYT, BHTN) và Thuế TNCN)]]</f>
        <v>Từ 12 - 18 triệu VNĐ</v>
      </c>
      <c r="O380">
        <f>step3_validation[[#This Row],[Dependents]]</f>
        <v>0</v>
      </c>
      <c r="P380" t="str">
        <f>survey_responses[[#This Row],[Số người phụ thuộc (con nhỏ, cha mẹ già...) đủ điều kiện giảm trừ gia cảnh:]]</f>
        <v>0 người</v>
      </c>
      <c r="Q380">
        <f>step3_validation[[#This Row],[AI_ENF1]]</f>
        <v>7</v>
      </c>
      <c r="R380" t="str">
        <f t="shared" si="135"/>
        <v>Neutral</v>
      </c>
      <c r="S380">
        <f>survey_responses[[#This Row],[Tôi tin rằng với các quy định quản lý thuế hiện nay, hành vi gian lận hoặc trốn thuế sẽ dễ dàng bị phát hiện và xử lý nghiêm. - HUMAN-ENF1]]</f>
        <v>8</v>
      </c>
      <c r="T380" t="str">
        <f t="shared" si="136"/>
        <v>Support</v>
      </c>
      <c r="U380" s="31">
        <f t="shared" si="137"/>
        <v>1</v>
      </c>
      <c r="V380">
        <f>step3_validation[[#This Row],[AI_ENF2]]</f>
        <v>8</v>
      </c>
      <c r="W380" t="str">
        <f t="shared" si="138"/>
        <v>Support</v>
      </c>
      <c r="X380">
        <f>survey_responses[[#This Row],[Tôi tin rằng Nhà nước, cơ quan thuế có đủ khả năng và công nghệ để phát hiện, xử lý nghiêm các hành vi trốn thuế. - HUMAN-ENF2]]</f>
        <v>8</v>
      </c>
      <c r="Y380" t="str">
        <f t="shared" si="139"/>
        <v>Support</v>
      </c>
      <c r="Z380" s="31">
        <f t="shared" si="140"/>
        <v>0</v>
      </c>
      <c r="AA380">
        <f>step3_validation[[#This Row],[AI_FAC1]]</f>
        <v>9</v>
      </c>
      <c r="AB380" t="str">
        <f t="shared" si="141"/>
        <v>Support</v>
      </c>
      <c r="AC380">
        <f>survey_responses[[#This Row],[Các thủ tục khai báo thuế VÀ/HOẶC quy trình làm việc với cơ quan thuế đơn giản, tiện lợi, nhanh chóng hơn so với trước đây. - HUMAN-FAC1]]</f>
        <v>9</v>
      </c>
      <c r="AD380" t="str">
        <f t="shared" si="142"/>
        <v>Support</v>
      </c>
      <c r="AE380" s="31">
        <f t="shared" si="143"/>
        <v>0</v>
      </c>
      <c r="AF380">
        <f>step3_validation[[#This Row],[AI_FAC2]]</f>
        <v>10</v>
      </c>
      <c r="AG380" t="str">
        <f t="shared" si="144"/>
        <v>Support</v>
      </c>
      <c r="AH380">
        <f>survey_responses[[#This Row],[So với trước đây, tôi thấy cách tính thuế và các bậc thuế trong phương án mới đơn giản, dễ hiểu và dễ thực hiện hơn. - HUMAN-FAC2]]</f>
        <v>9</v>
      </c>
      <c r="AI380" t="str">
        <f t="shared" si="145"/>
        <v>Support</v>
      </c>
      <c r="AJ380" s="31">
        <f t="shared" si="146"/>
        <v>1</v>
      </c>
      <c r="AK380">
        <f>step3_validation[[#This Row],[AI_TRU1]]</f>
        <v>8</v>
      </c>
      <c r="AL380" t="str">
        <f t="shared" si="147"/>
        <v>Support</v>
      </c>
      <c r="AM380">
        <f>survey_responses[[#This Row],[Tôi tin rằng Nhà nước, cơ quan thuế sẽ thực thi chính sách mới một cách khách quan, công tâm và đối xử bình đẳng với mọi người nộp thuế.  - HUMAN-TRU1]]</f>
        <v>7</v>
      </c>
      <c r="AN380" t="str">
        <f t="shared" si="148"/>
        <v>Neutral</v>
      </c>
      <c r="AO380" s="31">
        <f t="shared" si="149"/>
        <v>1</v>
      </c>
      <c r="AP380">
        <f>step3_validation[[#This Row],[AI_TRU2]]</f>
        <v>9</v>
      </c>
      <c r="AQ380" t="str">
        <f t="shared" si="150"/>
        <v>Support</v>
      </c>
      <c r="AR380">
        <f>survey_responses[[#This Row],[Tôi thấy mức thuế tôi phải đóng theo phương án mới là công bằng (người thu nhập như tôi đóng mức này là hợp lý). - HUMAN-TRU2]]</f>
        <v>9</v>
      </c>
      <c r="AS380" t="str">
        <f t="shared" si="151"/>
        <v>Support</v>
      </c>
      <c r="AT380" s="31">
        <f t="shared" si="152"/>
        <v>0</v>
      </c>
      <c r="AU380">
        <f>step3_validation[[#This Row],[AI_TRU3]]</f>
        <v>8</v>
      </c>
      <c r="AV380" t="str">
        <f t="shared" si="153"/>
        <v>Support</v>
      </c>
      <c r="AW380">
        <f>survey_responses[[#This Row],[Tôi tin tưởng số tiền thuế tôi đóng sẽ được Nhà nước sử dụng hiệu quả để cải thiện dịch vụ công (y tế, đường xá...). - HUMAN-TRU3]]</f>
        <v>7</v>
      </c>
      <c r="AX380" t="str">
        <f t="shared" si="154"/>
        <v>Neutral</v>
      </c>
      <c r="AY380" s="31">
        <f t="shared" si="155"/>
        <v>1</v>
      </c>
      <c r="AZ380">
        <f>step3_validation[[#This Row],[AI_TRU4]]</f>
        <v>7</v>
      </c>
      <c r="BA380" t="str">
        <f t="shared" si="156"/>
        <v>Neutral</v>
      </c>
      <c r="BB380">
        <f>survey_responses[[#This Row],[Tôi thấy Nhà nước đã giải thích rõ ràng, minh bạch về lý do và mục tiêu của việc sửa đổi thuế lần này. - HUMAN-TRU4]]</f>
        <v>7</v>
      </c>
      <c r="BC380" t="str">
        <f t="shared" si="157"/>
        <v>Neutral</v>
      </c>
      <c r="BD380" s="31">
        <f t="shared" si="158"/>
        <v>0</v>
      </c>
      <c r="BE380">
        <f>step3_validation[[#This Row],[AI_OUT1]]</f>
        <v>9</v>
      </c>
      <c r="BF380" t="str">
        <f t="shared" si="159"/>
        <v>Support</v>
      </c>
      <c r="BG380">
        <f>survey_responses[[#This Row],[Sau khi xem xét các quyền lợi và nghĩa vụ, bạn có ủng hộ và tuân thủ chính sách mới hiện nay? - HUMAN-OUT1]]</f>
        <v>9</v>
      </c>
      <c r="BH380" t="str">
        <f t="shared" si="160"/>
        <v>Support</v>
      </c>
      <c r="BI380" s="31">
        <f t="shared" si="161"/>
        <v>0</v>
      </c>
    </row>
    <row r="381" spans="1:61" hidden="1" x14ac:dyDescent="0.45">
      <c r="A381" s="29">
        <f>step3_validation[[#This Row],[Persona_ID]]</f>
        <v>380</v>
      </c>
      <c r="B381" s="30">
        <f>step3_validation[[#This Row],[Used_Seed]]</f>
        <v>421</v>
      </c>
      <c r="C381" t="str">
        <f>step3_validation[[#This Row],[Gender]]</f>
        <v>Nam</v>
      </c>
      <c r="D381" t="str">
        <f>survey_responses[[#This Row],[Giới tính của bạn:]]</f>
        <v>Nam</v>
      </c>
      <c r="E381" t="str">
        <f>step3_validation[[#This Row],[Age_Group]]</f>
        <v>18 - 24</v>
      </c>
      <c r="F381" t="str">
        <f>survey_responses[[#This Row],[Độ tuổi của bạn:]]</f>
        <v>18 - 24</v>
      </c>
      <c r="G381" t="str">
        <f>step3_validation[[#This Row],[Region]]</f>
        <v>Thành thị</v>
      </c>
      <c r="H381" t="str">
        <f>survey_responses[[#This Row],[Khu vực bạn đang sinh sống:]]</f>
        <v>Thành thị</v>
      </c>
      <c r="I381" t="str">
        <f>step3_validation[[#This Row],[Education]]</f>
        <v>Đại học</v>
      </c>
      <c r="J381" t="str">
        <f>survey_responses[[#This Row],[Trình độ học vấn cao nhất:]]</f>
        <v>Đại học</v>
      </c>
      <c r="K381" t="str">
        <f>step3_validation[[#This Row],[Employment]]</f>
        <v>Chính thức</v>
      </c>
      <c r="L381" t="str">
        <f>survey_responses[[#This Row],[Tình trạng việc làm chính:]]</f>
        <v>Khu vực chính thức (Có Hợp đồng lao động, đóng BHXH)</v>
      </c>
      <c r="M381">
        <f>step3_validation[[#This Row],[Income_Mil]]</f>
        <v>18.625764953839678</v>
      </c>
      <c r="N381" t="str">
        <f>survey_responses[[#This Row],[Thu nhập bình quân tháng theo Hợp đồng lao động của bạn là bao nhiêu? (Vui lòng điền tổng thu nhập trước khi khấu trừ các loại Bảo hiểm (BHXH, BHYT, BHTN) và Thuế TNCN)]]</f>
        <v>Từ 18 - 23 triệu VNĐ</v>
      </c>
      <c r="O381">
        <f>step3_validation[[#This Row],[Dependents]]</f>
        <v>0</v>
      </c>
      <c r="P381" t="str">
        <f>survey_responses[[#This Row],[Số người phụ thuộc (con nhỏ, cha mẹ già...) đủ điều kiện giảm trừ gia cảnh:]]</f>
        <v>0 người</v>
      </c>
      <c r="Q381">
        <f>step3_validation[[#This Row],[AI_ENF1]]</f>
        <v>8</v>
      </c>
      <c r="R381" t="str">
        <f t="shared" si="135"/>
        <v>Support</v>
      </c>
      <c r="S381">
        <f>survey_responses[[#This Row],[Tôi tin rằng với các quy định quản lý thuế hiện nay, hành vi gian lận hoặc trốn thuế sẽ dễ dàng bị phát hiện và xử lý nghiêm. - HUMAN-ENF1]]</f>
        <v>8</v>
      </c>
      <c r="T381" t="str">
        <f t="shared" si="136"/>
        <v>Support</v>
      </c>
      <c r="U381" s="31">
        <f t="shared" si="137"/>
        <v>0</v>
      </c>
      <c r="V381">
        <f>step3_validation[[#This Row],[AI_ENF2]]</f>
        <v>9</v>
      </c>
      <c r="W381" t="str">
        <f t="shared" si="138"/>
        <v>Support</v>
      </c>
      <c r="X381">
        <f>survey_responses[[#This Row],[Tôi tin rằng Nhà nước, cơ quan thuế có đủ khả năng và công nghệ để phát hiện, xử lý nghiêm các hành vi trốn thuế. - HUMAN-ENF2]]</f>
        <v>8</v>
      </c>
      <c r="Y381" t="str">
        <f t="shared" si="139"/>
        <v>Support</v>
      </c>
      <c r="Z381" s="31">
        <f t="shared" si="140"/>
        <v>1</v>
      </c>
      <c r="AA381">
        <f>step3_validation[[#This Row],[AI_FAC1]]</f>
        <v>8</v>
      </c>
      <c r="AB381" t="str">
        <f t="shared" si="141"/>
        <v>Support</v>
      </c>
      <c r="AC381">
        <f>survey_responses[[#This Row],[Các thủ tục khai báo thuế VÀ/HOẶC quy trình làm việc với cơ quan thuế đơn giản, tiện lợi, nhanh chóng hơn so với trước đây. - HUMAN-FAC1]]</f>
        <v>5</v>
      </c>
      <c r="AD381" t="str">
        <f t="shared" si="142"/>
        <v>Neutral</v>
      </c>
      <c r="AE381" s="31">
        <f t="shared" si="143"/>
        <v>3</v>
      </c>
      <c r="AF381">
        <f>step3_validation[[#This Row],[AI_FAC2]]</f>
        <v>9</v>
      </c>
      <c r="AG381" t="str">
        <f t="shared" si="144"/>
        <v>Support</v>
      </c>
      <c r="AH381">
        <f>survey_responses[[#This Row],[So với trước đây, tôi thấy cách tính thuế và các bậc thuế trong phương án mới đơn giản, dễ hiểu và dễ thực hiện hơn. - HUMAN-FAC2]]</f>
        <v>8</v>
      </c>
      <c r="AI381" t="str">
        <f t="shared" si="145"/>
        <v>Support</v>
      </c>
      <c r="AJ381" s="31">
        <f t="shared" si="146"/>
        <v>1</v>
      </c>
      <c r="AK381">
        <f>step3_validation[[#This Row],[AI_TRU1]]</f>
        <v>8</v>
      </c>
      <c r="AL381" t="str">
        <f t="shared" si="147"/>
        <v>Support</v>
      </c>
      <c r="AM381">
        <f>survey_responses[[#This Row],[Tôi tin rằng Nhà nước, cơ quan thuế sẽ thực thi chính sách mới một cách khách quan, công tâm và đối xử bình đẳng với mọi người nộp thuế.  - HUMAN-TRU1]]</f>
        <v>6</v>
      </c>
      <c r="AN381" t="str">
        <f t="shared" si="148"/>
        <v>Neutral</v>
      </c>
      <c r="AO381" s="31">
        <f t="shared" si="149"/>
        <v>2</v>
      </c>
      <c r="AP381">
        <f>step3_validation[[#This Row],[AI_TRU2]]</f>
        <v>9</v>
      </c>
      <c r="AQ381" t="str">
        <f t="shared" si="150"/>
        <v>Support</v>
      </c>
      <c r="AR381">
        <f>survey_responses[[#This Row],[Tôi thấy mức thuế tôi phải đóng theo phương án mới là công bằng (người thu nhập như tôi đóng mức này là hợp lý). - HUMAN-TRU2]]</f>
        <v>9</v>
      </c>
      <c r="AS381" t="str">
        <f t="shared" si="151"/>
        <v>Support</v>
      </c>
      <c r="AT381" s="31">
        <f t="shared" si="152"/>
        <v>0</v>
      </c>
      <c r="AU381">
        <f>step3_validation[[#This Row],[AI_TRU3]]</f>
        <v>8</v>
      </c>
      <c r="AV381" t="str">
        <f t="shared" si="153"/>
        <v>Support</v>
      </c>
      <c r="AW381">
        <f>survey_responses[[#This Row],[Tôi tin tưởng số tiền thuế tôi đóng sẽ được Nhà nước sử dụng hiệu quả để cải thiện dịch vụ công (y tế, đường xá...). - HUMAN-TRU3]]</f>
        <v>5</v>
      </c>
      <c r="AX381" t="str">
        <f t="shared" si="154"/>
        <v>Neutral</v>
      </c>
      <c r="AY381" s="31">
        <f t="shared" si="155"/>
        <v>3</v>
      </c>
      <c r="AZ381">
        <f>step3_validation[[#This Row],[AI_TRU4]]</f>
        <v>9</v>
      </c>
      <c r="BA381" t="str">
        <f t="shared" si="156"/>
        <v>Support</v>
      </c>
      <c r="BB381">
        <f>survey_responses[[#This Row],[Tôi thấy Nhà nước đã giải thích rõ ràng, minh bạch về lý do và mục tiêu của việc sửa đổi thuế lần này. - HUMAN-TRU4]]</f>
        <v>7</v>
      </c>
      <c r="BC381" t="str">
        <f t="shared" si="157"/>
        <v>Neutral</v>
      </c>
      <c r="BD381" s="31">
        <f t="shared" si="158"/>
        <v>2</v>
      </c>
      <c r="BE381">
        <f>step3_validation[[#This Row],[AI_OUT1]]</f>
        <v>8</v>
      </c>
      <c r="BF381" t="str">
        <f t="shared" si="159"/>
        <v>Support</v>
      </c>
      <c r="BG381">
        <f>survey_responses[[#This Row],[Sau khi xem xét các quyền lợi và nghĩa vụ, bạn có ủng hộ và tuân thủ chính sách mới hiện nay? - HUMAN-OUT1]]</f>
        <v>8</v>
      </c>
      <c r="BH381" t="str">
        <f t="shared" si="160"/>
        <v>Support</v>
      </c>
      <c r="BI381" s="31">
        <f t="shared" si="161"/>
        <v>0</v>
      </c>
    </row>
    <row r="382" spans="1:61" hidden="1" x14ac:dyDescent="0.45">
      <c r="A382" s="29">
        <f>step3_validation[[#This Row],[Persona_ID]]</f>
        <v>381</v>
      </c>
      <c r="B382" s="30">
        <f>step3_validation[[#This Row],[Used_Seed]]</f>
        <v>422</v>
      </c>
      <c r="C382" t="str">
        <f>step3_validation[[#This Row],[Gender]]</f>
        <v>Nam</v>
      </c>
      <c r="D382" t="str">
        <f>survey_responses[[#This Row],[Giới tính của bạn:]]</f>
        <v>Nam</v>
      </c>
      <c r="E382" t="str">
        <f>step3_validation[[#This Row],[Age_Group]]</f>
        <v>18 - 24</v>
      </c>
      <c r="F382" t="str">
        <f>survey_responses[[#This Row],[Độ tuổi của bạn:]]</f>
        <v>18 - 24</v>
      </c>
      <c r="G382" t="str">
        <f>step3_validation[[#This Row],[Region]]</f>
        <v>Thành thị</v>
      </c>
      <c r="H382" t="str">
        <f>survey_responses[[#This Row],[Khu vực bạn đang sinh sống:]]</f>
        <v>Thành thị</v>
      </c>
      <c r="I382" t="str">
        <f>step3_validation[[#This Row],[Education]]</f>
        <v>Cao đẳng</v>
      </c>
      <c r="J382" t="str">
        <f>survey_responses[[#This Row],[Trình độ học vấn cao nhất:]]</f>
        <v>Cao đẳng</v>
      </c>
      <c r="K382" t="str">
        <f>step3_validation[[#This Row],[Employment]]</f>
        <v>Chính thức</v>
      </c>
      <c r="L382" t="str">
        <f>survey_responses[[#This Row],[Tình trạng việc làm chính:]]</f>
        <v>Khu vực chính thức (Có Hợp đồng lao động, đóng BHXH)</v>
      </c>
      <c r="M382">
        <f>step3_validation[[#This Row],[Income_Mil]]</f>
        <v>16.768256741385734</v>
      </c>
      <c r="N382" t="str">
        <f>survey_responses[[#This Row],[Thu nhập bình quân tháng theo Hợp đồng lao động của bạn là bao nhiêu? (Vui lòng điền tổng thu nhập trước khi khấu trừ các loại Bảo hiểm (BHXH, BHYT, BHTN) và Thuế TNCN)]]</f>
        <v>Từ 12 - 18 triệu VNĐ</v>
      </c>
      <c r="O382">
        <f>step3_validation[[#This Row],[Dependents]]</f>
        <v>0</v>
      </c>
      <c r="P382" t="str">
        <f>survey_responses[[#This Row],[Số người phụ thuộc (con nhỏ, cha mẹ già...) đủ điều kiện giảm trừ gia cảnh:]]</f>
        <v>0 người</v>
      </c>
      <c r="Q382">
        <f>step3_validation[[#This Row],[AI_ENF1]]</f>
        <v>9</v>
      </c>
      <c r="R382" t="str">
        <f t="shared" si="135"/>
        <v>Support</v>
      </c>
      <c r="S382">
        <f>survey_responses[[#This Row],[Tôi tin rằng với các quy định quản lý thuế hiện nay, hành vi gian lận hoặc trốn thuế sẽ dễ dàng bị phát hiện và xử lý nghiêm. - HUMAN-ENF1]]</f>
        <v>9</v>
      </c>
      <c r="T382" t="str">
        <f t="shared" si="136"/>
        <v>Support</v>
      </c>
      <c r="U382" s="31">
        <f t="shared" si="137"/>
        <v>0</v>
      </c>
      <c r="V382">
        <f>step3_validation[[#This Row],[AI_ENF2]]</f>
        <v>8</v>
      </c>
      <c r="W382" t="str">
        <f t="shared" si="138"/>
        <v>Support</v>
      </c>
      <c r="X382">
        <f>survey_responses[[#This Row],[Tôi tin rằng Nhà nước, cơ quan thuế có đủ khả năng và công nghệ để phát hiện, xử lý nghiêm các hành vi trốn thuế. - HUMAN-ENF2]]</f>
        <v>9</v>
      </c>
      <c r="Y382" t="str">
        <f t="shared" si="139"/>
        <v>Support</v>
      </c>
      <c r="Z382" s="31">
        <f t="shared" si="140"/>
        <v>1</v>
      </c>
      <c r="AA382">
        <f>step3_validation[[#This Row],[AI_FAC1]]</f>
        <v>7</v>
      </c>
      <c r="AB382" t="str">
        <f t="shared" si="141"/>
        <v>Neutral</v>
      </c>
      <c r="AC382">
        <f>survey_responses[[#This Row],[Các thủ tục khai báo thuế VÀ/HOẶC quy trình làm việc với cơ quan thuế đơn giản, tiện lợi, nhanh chóng hơn so với trước đây. - HUMAN-FAC1]]</f>
        <v>8</v>
      </c>
      <c r="AD382" t="str">
        <f t="shared" si="142"/>
        <v>Support</v>
      </c>
      <c r="AE382" s="31">
        <f t="shared" si="143"/>
        <v>1</v>
      </c>
      <c r="AF382">
        <f>step3_validation[[#This Row],[AI_FAC2]]</f>
        <v>8</v>
      </c>
      <c r="AG382" t="str">
        <f t="shared" si="144"/>
        <v>Support</v>
      </c>
      <c r="AH382">
        <f>survey_responses[[#This Row],[So với trước đây, tôi thấy cách tính thuế và các bậc thuế trong phương án mới đơn giản, dễ hiểu và dễ thực hiện hơn. - HUMAN-FAC2]]</f>
        <v>9</v>
      </c>
      <c r="AI382" t="str">
        <f t="shared" si="145"/>
        <v>Support</v>
      </c>
      <c r="AJ382" s="31">
        <f t="shared" si="146"/>
        <v>1</v>
      </c>
      <c r="AK382">
        <f>step3_validation[[#This Row],[AI_TRU1]]</f>
        <v>9</v>
      </c>
      <c r="AL382" t="str">
        <f t="shared" si="147"/>
        <v>Support</v>
      </c>
      <c r="AM382">
        <f>survey_responses[[#This Row],[Tôi tin rằng Nhà nước, cơ quan thuế sẽ thực thi chính sách mới một cách khách quan, công tâm và đối xử bình đẳng với mọi người nộp thuế.  - HUMAN-TRU1]]</f>
        <v>8</v>
      </c>
      <c r="AN382" t="str">
        <f t="shared" si="148"/>
        <v>Support</v>
      </c>
      <c r="AO382" s="31">
        <f t="shared" si="149"/>
        <v>1</v>
      </c>
      <c r="AP382">
        <f>step3_validation[[#This Row],[AI_TRU2]]</f>
        <v>8</v>
      </c>
      <c r="AQ382" t="str">
        <f t="shared" si="150"/>
        <v>Support</v>
      </c>
      <c r="AR382">
        <f>survey_responses[[#This Row],[Tôi thấy mức thuế tôi phải đóng theo phương án mới là công bằng (người thu nhập như tôi đóng mức này là hợp lý). - HUMAN-TRU2]]</f>
        <v>10</v>
      </c>
      <c r="AS382" t="str">
        <f t="shared" si="151"/>
        <v>Support</v>
      </c>
      <c r="AT382" s="31">
        <f t="shared" si="152"/>
        <v>2</v>
      </c>
      <c r="AU382">
        <f>step3_validation[[#This Row],[AI_TRU3]]</f>
        <v>9</v>
      </c>
      <c r="AV382" t="str">
        <f t="shared" si="153"/>
        <v>Support</v>
      </c>
      <c r="AW382">
        <f>survey_responses[[#This Row],[Tôi tin tưởng số tiền thuế tôi đóng sẽ được Nhà nước sử dụng hiệu quả để cải thiện dịch vụ công (y tế, đường xá...). - HUMAN-TRU3]]</f>
        <v>8</v>
      </c>
      <c r="AX382" t="str">
        <f t="shared" si="154"/>
        <v>Support</v>
      </c>
      <c r="AY382" s="31">
        <f t="shared" si="155"/>
        <v>1</v>
      </c>
      <c r="AZ382">
        <f>step3_validation[[#This Row],[AI_TRU4]]</f>
        <v>8</v>
      </c>
      <c r="BA382" t="str">
        <f t="shared" si="156"/>
        <v>Support</v>
      </c>
      <c r="BB382">
        <f>survey_responses[[#This Row],[Tôi thấy Nhà nước đã giải thích rõ ràng, minh bạch về lý do và mục tiêu của việc sửa đổi thuế lần này. - HUMAN-TRU4]]</f>
        <v>8</v>
      </c>
      <c r="BC382" t="str">
        <f t="shared" si="157"/>
        <v>Support</v>
      </c>
      <c r="BD382" s="31">
        <f t="shared" si="158"/>
        <v>0</v>
      </c>
      <c r="BE382">
        <f>step3_validation[[#This Row],[AI_OUT1]]</f>
        <v>9</v>
      </c>
      <c r="BF382" t="str">
        <f t="shared" si="159"/>
        <v>Support</v>
      </c>
      <c r="BG382">
        <f>survey_responses[[#This Row],[Sau khi xem xét các quyền lợi và nghĩa vụ, bạn có ủng hộ và tuân thủ chính sách mới hiện nay? - HUMAN-OUT1]]</f>
        <v>10</v>
      </c>
      <c r="BH382" t="str">
        <f t="shared" si="160"/>
        <v>Support</v>
      </c>
      <c r="BI382" s="31">
        <f t="shared" si="161"/>
        <v>1</v>
      </c>
    </row>
    <row r="383" spans="1:61" hidden="1" x14ac:dyDescent="0.45">
      <c r="A383" s="29">
        <f>step3_validation[[#This Row],[Persona_ID]]</f>
        <v>382</v>
      </c>
      <c r="B383" s="30">
        <f>step3_validation[[#This Row],[Used_Seed]]</f>
        <v>423</v>
      </c>
      <c r="C383" t="str">
        <f>step3_validation[[#This Row],[Gender]]</f>
        <v>Nữ</v>
      </c>
      <c r="D383" t="str">
        <f>survey_responses[[#This Row],[Giới tính của bạn:]]</f>
        <v>Nữ</v>
      </c>
      <c r="E383" t="str">
        <f>step3_validation[[#This Row],[Age_Group]]</f>
        <v>18 - 24</v>
      </c>
      <c r="F383" t="str">
        <f>survey_responses[[#This Row],[Độ tuổi của bạn:]]</f>
        <v>18 - 24</v>
      </c>
      <c r="G383" t="str">
        <f>step3_validation[[#This Row],[Region]]</f>
        <v>Thành thị</v>
      </c>
      <c r="H383" t="str">
        <f>survey_responses[[#This Row],[Khu vực bạn đang sinh sống:]]</f>
        <v>Thành thị</v>
      </c>
      <c r="I383" t="str">
        <f>step3_validation[[#This Row],[Education]]</f>
        <v>Đại học</v>
      </c>
      <c r="J383" t="str">
        <f>survey_responses[[#This Row],[Trình độ học vấn cao nhất:]]</f>
        <v>Đại học</v>
      </c>
      <c r="K383" t="str">
        <f>step3_validation[[#This Row],[Employment]]</f>
        <v>Chính thức</v>
      </c>
      <c r="L383" t="str">
        <f>survey_responses[[#This Row],[Tình trạng việc làm chính:]]</f>
        <v>Khu vực chính thức (Có Hợp đồng lao động, đóng BHXH)</v>
      </c>
      <c r="M383">
        <f>step3_validation[[#This Row],[Income_Mil]]</f>
        <v>21.24022309656339</v>
      </c>
      <c r="N383" t="str">
        <f>survey_responses[[#This Row],[Thu nhập bình quân tháng theo Hợp đồng lao động của bạn là bao nhiêu? (Vui lòng điền tổng thu nhập trước khi khấu trừ các loại Bảo hiểm (BHXH, BHYT, BHTN) và Thuế TNCN)]]</f>
        <v>Từ 18 - 23 triệu VNĐ</v>
      </c>
      <c r="O383">
        <f>step3_validation[[#This Row],[Dependents]]</f>
        <v>1</v>
      </c>
      <c r="P383" t="str">
        <f>survey_responses[[#This Row],[Số người phụ thuộc (con nhỏ, cha mẹ già...) đủ điều kiện giảm trừ gia cảnh:]]</f>
        <v>1 người</v>
      </c>
      <c r="Q383">
        <f>step3_validation[[#This Row],[AI_ENF1]]</f>
        <v>7</v>
      </c>
      <c r="R383" t="str">
        <f t="shared" si="135"/>
        <v>Neutral</v>
      </c>
      <c r="S383">
        <f>survey_responses[[#This Row],[Tôi tin rằng với các quy định quản lý thuế hiện nay, hành vi gian lận hoặc trốn thuế sẽ dễ dàng bị phát hiện và xử lý nghiêm. - HUMAN-ENF1]]</f>
        <v>5</v>
      </c>
      <c r="T383" t="str">
        <f t="shared" si="136"/>
        <v>Neutral</v>
      </c>
      <c r="U383" s="31">
        <f t="shared" si="137"/>
        <v>2</v>
      </c>
      <c r="V383">
        <f>step3_validation[[#This Row],[AI_ENF2]]</f>
        <v>6</v>
      </c>
      <c r="W383" t="str">
        <f t="shared" si="138"/>
        <v>Neutral</v>
      </c>
      <c r="X383">
        <f>survey_responses[[#This Row],[Tôi tin rằng Nhà nước, cơ quan thuế có đủ khả năng và công nghệ để phát hiện, xử lý nghiêm các hành vi trốn thuế. - HUMAN-ENF2]]</f>
        <v>5</v>
      </c>
      <c r="Y383" t="str">
        <f t="shared" si="139"/>
        <v>Neutral</v>
      </c>
      <c r="Z383" s="31">
        <f t="shared" si="140"/>
        <v>1</v>
      </c>
      <c r="AA383">
        <f>step3_validation[[#This Row],[AI_FAC1]]</f>
        <v>9</v>
      </c>
      <c r="AB383" t="str">
        <f t="shared" si="141"/>
        <v>Support</v>
      </c>
      <c r="AC383">
        <f>survey_responses[[#This Row],[Các thủ tục khai báo thuế VÀ/HOẶC quy trình làm việc với cơ quan thuế đơn giản, tiện lợi, nhanh chóng hơn so với trước đây. - HUMAN-FAC1]]</f>
        <v>4</v>
      </c>
      <c r="AD383" t="str">
        <f t="shared" si="142"/>
        <v>Oppose</v>
      </c>
      <c r="AE383" s="31">
        <f t="shared" si="143"/>
        <v>5</v>
      </c>
      <c r="AF383">
        <f>step3_validation[[#This Row],[AI_FAC2]]</f>
        <v>10</v>
      </c>
      <c r="AG383" t="str">
        <f t="shared" si="144"/>
        <v>Support</v>
      </c>
      <c r="AH383">
        <f>survey_responses[[#This Row],[So với trước đây, tôi thấy cách tính thuế và các bậc thuế trong phương án mới đơn giản, dễ hiểu và dễ thực hiện hơn. - HUMAN-FAC2]]</f>
        <v>8</v>
      </c>
      <c r="AI383" t="str">
        <f t="shared" si="145"/>
        <v>Support</v>
      </c>
      <c r="AJ383" s="31">
        <f t="shared" si="146"/>
        <v>2</v>
      </c>
      <c r="AK383">
        <f>step3_validation[[#This Row],[AI_TRU1]]</f>
        <v>8</v>
      </c>
      <c r="AL383" t="str">
        <f t="shared" si="147"/>
        <v>Support</v>
      </c>
      <c r="AM383">
        <f>survey_responses[[#This Row],[Tôi tin rằng Nhà nước, cơ quan thuế sẽ thực thi chính sách mới một cách khách quan, công tâm và đối xử bình đẳng với mọi người nộp thuế.  - HUMAN-TRU1]]</f>
        <v>4</v>
      </c>
      <c r="AN383" t="str">
        <f t="shared" si="148"/>
        <v>Oppose</v>
      </c>
      <c r="AO383" s="31">
        <f t="shared" si="149"/>
        <v>4</v>
      </c>
      <c r="AP383">
        <f>step3_validation[[#This Row],[AI_TRU2]]</f>
        <v>9</v>
      </c>
      <c r="AQ383" t="str">
        <f t="shared" si="150"/>
        <v>Support</v>
      </c>
      <c r="AR383">
        <f>survey_responses[[#This Row],[Tôi thấy mức thuế tôi phải đóng theo phương án mới là công bằng (người thu nhập như tôi đóng mức này là hợp lý). - HUMAN-TRU2]]</f>
        <v>8</v>
      </c>
      <c r="AS383" t="str">
        <f t="shared" si="151"/>
        <v>Support</v>
      </c>
      <c r="AT383" s="31">
        <f t="shared" si="152"/>
        <v>1</v>
      </c>
      <c r="AU383">
        <f>step3_validation[[#This Row],[AI_TRU3]]</f>
        <v>8</v>
      </c>
      <c r="AV383" t="str">
        <f t="shared" si="153"/>
        <v>Support</v>
      </c>
      <c r="AW383">
        <f>survey_responses[[#This Row],[Tôi tin tưởng số tiền thuế tôi đóng sẽ được Nhà nước sử dụng hiệu quả để cải thiện dịch vụ công (y tế, đường xá...). - HUMAN-TRU3]]</f>
        <v>4</v>
      </c>
      <c r="AX383" t="str">
        <f t="shared" si="154"/>
        <v>Oppose</v>
      </c>
      <c r="AY383" s="31">
        <f t="shared" si="155"/>
        <v>4</v>
      </c>
      <c r="AZ383">
        <f>step3_validation[[#This Row],[AI_TRU4]]</f>
        <v>7</v>
      </c>
      <c r="BA383" t="str">
        <f t="shared" si="156"/>
        <v>Neutral</v>
      </c>
      <c r="BB383">
        <f>survey_responses[[#This Row],[Tôi thấy Nhà nước đã giải thích rõ ràng, minh bạch về lý do và mục tiêu của việc sửa đổi thuế lần này. - HUMAN-TRU4]]</f>
        <v>5</v>
      </c>
      <c r="BC383" t="str">
        <f t="shared" si="157"/>
        <v>Neutral</v>
      </c>
      <c r="BD383" s="31">
        <f t="shared" si="158"/>
        <v>2</v>
      </c>
      <c r="BE383">
        <f>step3_validation[[#This Row],[AI_OUT1]]</f>
        <v>9</v>
      </c>
      <c r="BF383" t="str">
        <f t="shared" si="159"/>
        <v>Support</v>
      </c>
      <c r="BG383">
        <f>survey_responses[[#This Row],[Sau khi xem xét các quyền lợi và nghĩa vụ, bạn có ủng hộ và tuân thủ chính sách mới hiện nay? - HUMAN-OUT1]]</f>
        <v>7</v>
      </c>
      <c r="BH383" t="str">
        <f t="shared" si="160"/>
        <v>Neutral</v>
      </c>
      <c r="BI383" s="31">
        <f t="shared" si="161"/>
        <v>2</v>
      </c>
    </row>
    <row r="384" spans="1:61" hidden="1" x14ac:dyDescent="0.45">
      <c r="A384" s="29">
        <f>step3_validation[[#This Row],[Persona_ID]]</f>
        <v>383</v>
      </c>
      <c r="B384" s="30">
        <f>step3_validation[[#This Row],[Used_Seed]]</f>
        <v>424</v>
      </c>
      <c r="C384" t="str">
        <f>step3_validation[[#This Row],[Gender]]</f>
        <v>Nam</v>
      </c>
      <c r="D384" t="str">
        <f>survey_responses[[#This Row],[Giới tính của bạn:]]</f>
        <v>Nam</v>
      </c>
      <c r="E384" t="str">
        <f>step3_validation[[#This Row],[Age_Group]]</f>
        <v>50 - 54</v>
      </c>
      <c r="F384" t="str">
        <f>survey_responses[[#This Row],[Độ tuổi của bạn:]]</f>
        <v>50 - 54</v>
      </c>
      <c r="G384" t="str">
        <f>step3_validation[[#This Row],[Region]]</f>
        <v>Thành thị</v>
      </c>
      <c r="H384" t="str">
        <f>survey_responses[[#This Row],[Khu vực bạn đang sinh sống:]]</f>
        <v>Thành thị</v>
      </c>
      <c r="I384" t="str">
        <f>step3_validation[[#This Row],[Education]]</f>
        <v>Sau Đại học</v>
      </c>
      <c r="J384" t="str">
        <f>survey_responses[[#This Row],[Trình độ học vấn cao nhất:]]</f>
        <v>Sau Đại học</v>
      </c>
      <c r="K384" t="str">
        <f>step3_validation[[#This Row],[Employment]]</f>
        <v>Chính thức</v>
      </c>
      <c r="L384" t="str">
        <f>survey_responses[[#This Row],[Tình trạng việc làm chính:]]</f>
        <v>Khu vực chính thức (Có Hợp đồng lao động, đóng BHXH)</v>
      </c>
      <c r="M384">
        <f>step3_validation[[#This Row],[Income_Mil]]</f>
        <v>87.308382636723636</v>
      </c>
      <c r="N384" t="str">
        <f>survey_responses[[#This Row],[Thu nhập bình quân tháng theo Hợp đồng lao động của bạn là bao nhiêu? (Vui lòng điền tổng thu nhập trước khi khấu trừ các loại Bảo hiểm (BHXH, BHYT, BHTN) và Thuế TNCN)]]</f>
        <v>Từ 70 - 102 triệu VNĐ</v>
      </c>
      <c r="O384">
        <f>step3_validation[[#This Row],[Dependents]]</f>
        <v>2</v>
      </c>
      <c r="P384" t="str">
        <f>survey_responses[[#This Row],[Số người phụ thuộc (con nhỏ, cha mẹ già...) đủ điều kiện giảm trừ gia cảnh:]]</f>
        <v>2 người</v>
      </c>
      <c r="Q384">
        <f>step3_validation[[#This Row],[AI_ENF1]]</f>
        <v>7</v>
      </c>
      <c r="R384" t="str">
        <f t="shared" si="135"/>
        <v>Neutral</v>
      </c>
      <c r="S384">
        <f>survey_responses[[#This Row],[Tôi tin rằng với các quy định quản lý thuế hiện nay, hành vi gian lận hoặc trốn thuế sẽ dễ dàng bị phát hiện và xử lý nghiêm. - HUMAN-ENF1]]</f>
        <v>1</v>
      </c>
      <c r="T384" t="str">
        <f t="shared" si="136"/>
        <v>Oppose</v>
      </c>
      <c r="U384" s="31">
        <f t="shared" si="137"/>
        <v>6</v>
      </c>
      <c r="V384">
        <f>step3_validation[[#This Row],[AI_ENF2]]</f>
        <v>8</v>
      </c>
      <c r="W384" t="str">
        <f t="shared" si="138"/>
        <v>Support</v>
      </c>
      <c r="X384">
        <f>survey_responses[[#This Row],[Tôi tin rằng Nhà nước, cơ quan thuế có đủ khả năng và công nghệ để phát hiện, xử lý nghiêm các hành vi trốn thuế. - HUMAN-ENF2]]</f>
        <v>1</v>
      </c>
      <c r="Y384" t="str">
        <f t="shared" si="139"/>
        <v>Oppose</v>
      </c>
      <c r="Z384" s="31">
        <f t="shared" si="140"/>
        <v>7</v>
      </c>
      <c r="AA384">
        <f>step3_validation[[#This Row],[AI_FAC1]]</f>
        <v>9</v>
      </c>
      <c r="AB384" t="str">
        <f t="shared" si="141"/>
        <v>Support</v>
      </c>
      <c r="AC384">
        <f>survey_responses[[#This Row],[Các thủ tục khai báo thuế VÀ/HOẶC quy trình làm việc với cơ quan thuế đơn giản, tiện lợi, nhanh chóng hơn so với trước đây. - HUMAN-FAC1]]</f>
        <v>4</v>
      </c>
      <c r="AD384" t="str">
        <f t="shared" si="142"/>
        <v>Oppose</v>
      </c>
      <c r="AE384" s="31">
        <f t="shared" si="143"/>
        <v>5</v>
      </c>
      <c r="AF384">
        <f>step3_validation[[#This Row],[AI_FAC2]]</f>
        <v>9</v>
      </c>
      <c r="AG384" t="str">
        <f t="shared" si="144"/>
        <v>Support</v>
      </c>
      <c r="AH384">
        <f>survey_responses[[#This Row],[So với trước đây, tôi thấy cách tính thuế và các bậc thuế trong phương án mới đơn giản, dễ hiểu và dễ thực hiện hơn. - HUMAN-FAC2]]</f>
        <v>5</v>
      </c>
      <c r="AI384" t="str">
        <f t="shared" si="145"/>
        <v>Neutral</v>
      </c>
      <c r="AJ384" s="31">
        <f t="shared" si="146"/>
        <v>4</v>
      </c>
      <c r="AK384">
        <f>step3_validation[[#This Row],[AI_TRU1]]</f>
        <v>8</v>
      </c>
      <c r="AL384" t="str">
        <f t="shared" si="147"/>
        <v>Support</v>
      </c>
      <c r="AM384">
        <f>survey_responses[[#This Row],[Tôi tin rằng Nhà nước, cơ quan thuế sẽ thực thi chính sách mới một cách khách quan, công tâm và đối xử bình đẳng với mọi người nộp thuế.  - HUMAN-TRU1]]</f>
        <v>5</v>
      </c>
      <c r="AN384" t="str">
        <f t="shared" si="148"/>
        <v>Neutral</v>
      </c>
      <c r="AO384" s="31">
        <f t="shared" si="149"/>
        <v>3</v>
      </c>
      <c r="AP384">
        <f>step3_validation[[#This Row],[AI_TRU2]]</f>
        <v>9</v>
      </c>
      <c r="AQ384" t="str">
        <f t="shared" si="150"/>
        <v>Support</v>
      </c>
      <c r="AR384">
        <f>survey_responses[[#This Row],[Tôi thấy mức thuế tôi phải đóng theo phương án mới là công bằng (người thu nhập như tôi đóng mức này là hợp lý). - HUMAN-TRU2]]</f>
        <v>4</v>
      </c>
      <c r="AS384" t="str">
        <f t="shared" si="151"/>
        <v>Oppose</v>
      </c>
      <c r="AT384" s="31">
        <f t="shared" si="152"/>
        <v>5</v>
      </c>
      <c r="AU384">
        <f>step3_validation[[#This Row],[AI_TRU3]]</f>
        <v>8</v>
      </c>
      <c r="AV384" t="str">
        <f t="shared" si="153"/>
        <v>Support</v>
      </c>
      <c r="AW384">
        <f>survey_responses[[#This Row],[Tôi tin tưởng số tiền thuế tôi đóng sẽ được Nhà nước sử dụng hiệu quả để cải thiện dịch vụ công (y tế, đường xá...). - HUMAN-TRU3]]</f>
        <v>4</v>
      </c>
      <c r="AX384" t="str">
        <f t="shared" si="154"/>
        <v>Oppose</v>
      </c>
      <c r="AY384" s="31">
        <f t="shared" si="155"/>
        <v>4</v>
      </c>
      <c r="AZ384">
        <f>step3_validation[[#This Row],[AI_TRU4]]</f>
        <v>7</v>
      </c>
      <c r="BA384" t="str">
        <f t="shared" si="156"/>
        <v>Neutral</v>
      </c>
      <c r="BB384">
        <f>survey_responses[[#This Row],[Tôi thấy Nhà nước đã giải thích rõ ràng, minh bạch về lý do và mục tiêu của việc sửa đổi thuế lần này. - HUMAN-TRU4]]</f>
        <v>5</v>
      </c>
      <c r="BC384" t="str">
        <f t="shared" si="157"/>
        <v>Neutral</v>
      </c>
      <c r="BD384" s="31">
        <f t="shared" si="158"/>
        <v>2</v>
      </c>
      <c r="BE384">
        <f>step3_validation[[#This Row],[AI_OUT1]]</f>
        <v>9</v>
      </c>
      <c r="BF384" t="str">
        <f t="shared" si="159"/>
        <v>Support</v>
      </c>
      <c r="BG384">
        <f>survey_responses[[#This Row],[Sau khi xem xét các quyền lợi và nghĩa vụ, bạn có ủng hộ và tuân thủ chính sách mới hiện nay? - HUMAN-OUT1]]</f>
        <v>3</v>
      </c>
      <c r="BH384" t="str">
        <f t="shared" si="160"/>
        <v>Oppose</v>
      </c>
      <c r="BI384" s="31">
        <f t="shared" si="161"/>
        <v>6</v>
      </c>
    </row>
    <row r="385" spans="1:61" x14ac:dyDescent="0.45">
      <c r="A385" s="29">
        <f>step3_validation[[#This Row],[Persona_ID]]</f>
        <v>384</v>
      </c>
      <c r="B385" s="30">
        <f>step3_validation[[#This Row],[Used_Seed]]</f>
        <v>425</v>
      </c>
      <c r="C385" t="str">
        <f>step3_validation[[#This Row],[Gender]]</f>
        <v>Nam</v>
      </c>
      <c r="D385" t="str">
        <f>survey_responses[[#This Row],[Giới tính của bạn:]]</f>
        <v>Nam</v>
      </c>
      <c r="E385" t="str">
        <f>step3_validation[[#This Row],[Age_Group]]</f>
        <v>18 - 24</v>
      </c>
      <c r="F385" t="str">
        <f>survey_responses[[#This Row],[Độ tuổi của bạn:]]</f>
        <v>18 - 24</v>
      </c>
      <c r="G385" t="str">
        <f>step3_validation[[#This Row],[Region]]</f>
        <v>Thành thị</v>
      </c>
      <c r="H385" t="str">
        <f>survey_responses[[#This Row],[Khu vực bạn đang sinh sống:]]</f>
        <v>Thành thị</v>
      </c>
      <c r="I385" t="str">
        <f>step3_validation[[#This Row],[Education]]</f>
        <v>Đại học</v>
      </c>
      <c r="J385" t="str">
        <f>survey_responses[[#This Row],[Trình độ học vấn cao nhất:]]</f>
        <v>Đại học</v>
      </c>
      <c r="K385" t="str">
        <f>step3_validation[[#This Row],[Employment]]</f>
        <v>Chính thức</v>
      </c>
      <c r="L385" t="str">
        <f>survey_responses[[#This Row],[Tình trạng việc làm chính:]]</f>
        <v>Khu vực chính thức (Có Hợp đồng lao động, đóng BHXH)</v>
      </c>
      <c r="M385">
        <f>step3_validation[[#This Row],[Income_Mil]]</f>
        <v>12</v>
      </c>
      <c r="N385" t="str">
        <f>survey_responses[[#This Row],[Thu nhập bình quân tháng theo Hợp đồng lao động của bạn là bao nhiêu? (Vui lòng điền tổng thu nhập trước khi khấu trừ các loại Bảo hiểm (BHXH, BHYT, BHTN) và Thuế TNCN)]]</f>
        <v>Dưới 12 triệu VNĐ</v>
      </c>
      <c r="O385">
        <f>step3_validation[[#This Row],[Dependents]]</f>
        <v>0</v>
      </c>
      <c r="P385" t="str">
        <f>survey_responses[[#This Row],[Số người phụ thuộc (con nhỏ, cha mẹ già...) đủ điều kiện giảm trừ gia cảnh:]]</f>
        <v>0 người</v>
      </c>
      <c r="Q385">
        <f>step3_validation[[#This Row],[AI_ENF1]]</f>
        <v>9</v>
      </c>
      <c r="R385" t="str">
        <f t="shared" si="135"/>
        <v>Support</v>
      </c>
      <c r="S385">
        <f>survey_responses[[#This Row],[Tôi tin rằng với các quy định quản lý thuế hiện nay, hành vi gian lận hoặc trốn thuế sẽ dễ dàng bị phát hiện và xử lý nghiêm. - HUMAN-ENF1]]</f>
        <v>7</v>
      </c>
      <c r="T385" t="str">
        <f t="shared" si="136"/>
        <v>Neutral</v>
      </c>
      <c r="U385" s="31">
        <f t="shared" si="137"/>
        <v>2</v>
      </c>
      <c r="V385">
        <f>step3_validation[[#This Row],[AI_ENF2]]</f>
        <v>8</v>
      </c>
      <c r="W385" t="str">
        <f t="shared" si="138"/>
        <v>Support</v>
      </c>
      <c r="X385">
        <f>survey_responses[[#This Row],[Tôi tin rằng Nhà nước, cơ quan thuế có đủ khả năng và công nghệ để phát hiện, xử lý nghiêm các hành vi trốn thuế. - HUMAN-ENF2]]</f>
        <v>7</v>
      </c>
      <c r="Y385" t="str">
        <f t="shared" si="139"/>
        <v>Neutral</v>
      </c>
      <c r="Z385" s="31">
        <f t="shared" si="140"/>
        <v>1</v>
      </c>
      <c r="AA385">
        <f>step3_validation[[#This Row],[AI_FAC1]]</f>
        <v>9</v>
      </c>
      <c r="AB385" t="str">
        <f t="shared" si="141"/>
        <v>Support</v>
      </c>
      <c r="AC385">
        <f>survey_responses[[#This Row],[Các thủ tục khai báo thuế VÀ/HOẶC quy trình làm việc với cơ quan thuế đơn giản, tiện lợi, nhanh chóng hơn so với trước đây. - HUMAN-FAC1]]</f>
        <v>7</v>
      </c>
      <c r="AD385" t="str">
        <f t="shared" si="142"/>
        <v>Neutral</v>
      </c>
      <c r="AE385" s="31">
        <f t="shared" si="143"/>
        <v>2</v>
      </c>
      <c r="AF385">
        <f>step3_validation[[#This Row],[AI_FAC2]]</f>
        <v>8</v>
      </c>
      <c r="AG385" t="str">
        <f t="shared" si="144"/>
        <v>Support</v>
      </c>
      <c r="AH385">
        <f>survey_responses[[#This Row],[So với trước đây, tôi thấy cách tính thuế và các bậc thuế trong phương án mới đơn giản, dễ hiểu và dễ thực hiện hơn. - HUMAN-FAC2]]</f>
        <v>9</v>
      </c>
      <c r="AI385" t="str">
        <f t="shared" si="145"/>
        <v>Support</v>
      </c>
      <c r="AJ385" s="31">
        <f t="shared" si="146"/>
        <v>1</v>
      </c>
      <c r="AK385">
        <f>step3_validation[[#This Row],[AI_TRU1]]</f>
        <v>9</v>
      </c>
      <c r="AL385" t="str">
        <f t="shared" si="147"/>
        <v>Support</v>
      </c>
      <c r="AM385">
        <f>survey_responses[[#This Row],[Tôi tin rằng Nhà nước, cơ quan thuế sẽ thực thi chính sách mới một cách khách quan, công tâm và đối xử bình đẳng với mọi người nộp thuế.  - HUMAN-TRU1]]</f>
        <v>8</v>
      </c>
      <c r="AN385" t="str">
        <f t="shared" si="148"/>
        <v>Support</v>
      </c>
      <c r="AO385" s="31">
        <f t="shared" si="149"/>
        <v>1</v>
      </c>
      <c r="AP385">
        <f>step3_validation[[#This Row],[AI_TRU2]]</f>
        <v>8</v>
      </c>
      <c r="AQ385" t="str">
        <f t="shared" si="150"/>
        <v>Support</v>
      </c>
      <c r="AR385">
        <f>survey_responses[[#This Row],[Tôi thấy mức thuế tôi phải đóng theo phương án mới là công bằng (người thu nhập như tôi đóng mức này là hợp lý). - HUMAN-TRU2]]</f>
        <v>10</v>
      </c>
      <c r="AS385" t="str">
        <f t="shared" si="151"/>
        <v>Support</v>
      </c>
      <c r="AT385" s="31">
        <f t="shared" si="152"/>
        <v>2</v>
      </c>
      <c r="AU385">
        <f>step3_validation[[#This Row],[AI_TRU3]]</f>
        <v>9</v>
      </c>
      <c r="AV385" t="str">
        <f t="shared" si="153"/>
        <v>Support</v>
      </c>
      <c r="AW385">
        <f>survey_responses[[#This Row],[Tôi tin tưởng số tiền thuế tôi đóng sẽ được Nhà nước sử dụng hiệu quả để cải thiện dịch vụ công (y tế, đường xá...). - HUMAN-TRU3]]</f>
        <v>8</v>
      </c>
      <c r="AX385" t="str">
        <f t="shared" si="154"/>
        <v>Support</v>
      </c>
      <c r="AY385" s="31">
        <f t="shared" si="155"/>
        <v>1</v>
      </c>
      <c r="AZ385">
        <f>step3_validation[[#This Row],[AI_TRU4]]</f>
        <v>8</v>
      </c>
      <c r="BA385" t="str">
        <f t="shared" si="156"/>
        <v>Support</v>
      </c>
      <c r="BB385">
        <f>survey_responses[[#This Row],[Tôi thấy Nhà nước đã giải thích rõ ràng, minh bạch về lý do và mục tiêu của việc sửa đổi thuế lần này. - HUMAN-TRU4]]</f>
        <v>7</v>
      </c>
      <c r="BC385" t="str">
        <f t="shared" si="157"/>
        <v>Neutral</v>
      </c>
      <c r="BD385" s="31">
        <f t="shared" si="158"/>
        <v>1</v>
      </c>
      <c r="BE385">
        <f>step3_validation[[#This Row],[AI_OUT1]]</f>
        <v>9</v>
      </c>
      <c r="BF385" t="str">
        <f t="shared" si="159"/>
        <v>Support</v>
      </c>
      <c r="BG385">
        <f>survey_responses[[#This Row],[Sau khi xem xét các quyền lợi và nghĩa vụ, bạn có ủng hộ và tuân thủ chính sách mới hiện nay? - HUMAN-OUT1]]</f>
        <v>10</v>
      </c>
      <c r="BH385" t="str">
        <f t="shared" si="160"/>
        <v>Support</v>
      </c>
      <c r="BI385" s="31">
        <f t="shared" si="161"/>
        <v>1</v>
      </c>
    </row>
    <row r="386" spans="1:61" hidden="1" x14ac:dyDescent="0.45">
      <c r="A386" s="29">
        <f>step3_validation[[#This Row],[Persona_ID]]</f>
        <v>385</v>
      </c>
      <c r="B386" s="30">
        <f>step3_validation[[#This Row],[Used_Seed]]</f>
        <v>426</v>
      </c>
      <c r="C386" t="str">
        <f>step3_validation[[#This Row],[Gender]]</f>
        <v>Nam</v>
      </c>
      <c r="D386" t="str">
        <f>survey_responses[[#This Row],[Giới tính của bạn:]]</f>
        <v>Nam</v>
      </c>
      <c r="E386" t="str">
        <f>step3_validation[[#This Row],[Age_Group]]</f>
        <v>40 - 49</v>
      </c>
      <c r="F386" t="str">
        <f>survey_responses[[#This Row],[Độ tuổi của bạn:]]</f>
        <v>40 - 49</v>
      </c>
      <c r="G386" t="str">
        <f>step3_validation[[#This Row],[Region]]</f>
        <v>Thành thị</v>
      </c>
      <c r="H386" t="str">
        <f>survey_responses[[#This Row],[Khu vực bạn đang sinh sống:]]</f>
        <v>Thành thị</v>
      </c>
      <c r="I386" t="str">
        <f>step3_validation[[#This Row],[Education]]</f>
        <v>Đại học</v>
      </c>
      <c r="J386" t="str">
        <f>survey_responses[[#This Row],[Trình độ học vấn cao nhất:]]</f>
        <v>Đại học</v>
      </c>
      <c r="K386" t="str">
        <f>step3_validation[[#This Row],[Employment]]</f>
        <v>Chính thức</v>
      </c>
      <c r="L386" t="str">
        <f>survey_responses[[#This Row],[Tình trạng việc làm chính:]]</f>
        <v>Khu vực chính thức (Có Hợp đồng lao động, đóng BHXH)</v>
      </c>
      <c r="M386">
        <f>step3_validation[[#This Row],[Income_Mil]]</f>
        <v>46.438593179989148</v>
      </c>
      <c r="N386" t="str">
        <f>survey_responses[[#This Row],[Thu nhập bình quân tháng theo Hợp đồng lao động của bạn là bao nhiêu? (Vui lòng điền tổng thu nhập trước khi khấu trừ các loại Bảo hiểm (BHXH, BHYT, BHTN) và Thuế TNCN)]]</f>
        <v>Từ 32 - 48 triệu VNĐ</v>
      </c>
      <c r="O386">
        <f>step3_validation[[#This Row],[Dependents]]</f>
        <v>2</v>
      </c>
      <c r="P386" t="str">
        <f>survey_responses[[#This Row],[Số người phụ thuộc (con nhỏ, cha mẹ già...) đủ điều kiện giảm trừ gia cảnh:]]</f>
        <v>2 người</v>
      </c>
      <c r="Q386">
        <f>step3_validation[[#This Row],[AI_ENF1]]</f>
        <v>6</v>
      </c>
      <c r="R386" t="str">
        <f t="shared" si="135"/>
        <v>Neutral</v>
      </c>
      <c r="S386">
        <f>survey_responses[[#This Row],[Tôi tin rằng với các quy định quản lý thuế hiện nay, hành vi gian lận hoặc trốn thuế sẽ dễ dàng bị phát hiện và xử lý nghiêm. - HUMAN-ENF1]]</f>
        <v>3</v>
      </c>
      <c r="T386" t="str">
        <f t="shared" si="136"/>
        <v>Oppose</v>
      </c>
      <c r="U386" s="31">
        <f t="shared" si="137"/>
        <v>3</v>
      </c>
      <c r="V386">
        <f>step3_validation[[#This Row],[AI_ENF2]]</f>
        <v>8</v>
      </c>
      <c r="W386" t="str">
        <f t="shared" si="138"/>
        <v>Support</v>
      </c>
      <c r="X386">
        <f>survey_responses[[#This Row],[Tôi tin rằng Nhà nước, cơ quan thuế có đủ khả năng và công nghệ để phát hiện, xử lý nghiêm các hành vi trốn thuế. - HUMAN-ENF2]]</f>
        <v>3</v>
      </c>
      <c r="Y386" t="str">
        <f t="shared" si="139"/>
        <v>Oppose</v>
      </c>
      <c r="Z386" s="31">
        <f t="shared" si="140"/>
        <v>5</v>
      </c>
      <c r="AA386">
        <f>step3_validation[[#This Row],[AI_FAC1]]</f>
        <v>7</v>
      </c>
      <c r="AB386" t="str">
        <f t="shared" si="141"/>
        <v>Neutral</v>
      </c>
      <c r="AC386">
        <f>survey_responses[[#This Row],[Các thủ tục khai báo thuế VÀ/HOẶC quy trình làm việc với cơ quan thuế đơn giản, tiện lợi, nhanh chóng hơn so với trước đây. - HUMAN-FAC1]]</f>
        <v>4</v>
      </c>
      <c r="AD386" t="str">
        <f t="shared" si="142"/>
        <v>Oppose</v>
      </c>
      <c r="AE386" s="31">
        <f t="shared" si="143"/>
        <v>3</v>
      </c>
      <c r="AF386">
        <f>step3_validation[[#This Row],[AI_FAC2]]</f>
        <v>9</v>
      </c>
      <c r="AG386" t="str">
        <f t="shared" si="144"/>
        <v>Support</v>
      </c>
      <c r="AH386">
        <f>survey_responses[[#This Row],[So với trước đây, tôi thấy cách tính thuế và các bậc thuế trong phương án mới đơn giản, dễ hiểu và dễ thực hiện hơn. - HUMAN-FAC2]]</f>
        <v>6</v>
      </c>
      <c r="AI386" t="str">
        <f t="shared" si="145"/>
        <v>Neutral</v>
      </c>
      <c r="AJ386" s="31">
        <f t="shared" si="146"/>
        <v>3</v>
      </c>
      <c r="AK386">
        <f>step3_validation[[#This Row],[AI_TRU1]]</f>
        <v>7</v>
      </c>
      <c r="AL386" t="str">
        <f t="shared" si="147"/>
        <v>Neutral</v>
      </c>
      <c r="AM386">
        <f>survey_responses[[#This Row],[Tôi tin rằng Nhà nước, cơ quan thuế sẽ thực thi chính sách mới một cách khách quan, công tâm và đối xử bình đẳng với mọi người nộp thuế.  - HUMAN-TRU1]]</f>
        <v>4</v>
      </c>
      <c r="AN386" t="str">
        <f t="shared" si="148"/>
        <v>Oppose</v>
      </c>
      <c r="AO386" s="31">
        <f t="shared" si="149"/>
        <v>3</v>
      </c>
      <c r="AP386">
        <f>step3_validation[[#This Row],[AI_TRU2]]</f>
        <v>9</v>
      </c>
      <c r="AQ386" t="str">
        <f t="shared" si="150"/>
        <v>Support</v>
      </c>
      <c r="AR386">
        <f>survey_responses[[#This Row],[Tôi thấy mức thuế tôi phải đóng theo phương án mới là công bằng (người thu nhập như tôi đóng mức này là hợp lý). - HUMAN-TRU2]]</f>
        <v>5</v>
      </c>
      <c r="AS386" t="str">
        <f t="shared" si="151"/>
        <v>Neutral</v>
      </c>
      <c r="AT386" s="31">
        <f t="shared" si="152"/>
        <v>4</v>
      </c>
      <c r="AU386">
        <f>step3_validation[[#This Row],[AI_TRU3]]</f>
        <v>8</v>
      </c>
      <c r="AV386" t="str">
        <f t="shared" si="153"/>
        <v>Support</v>
      </c>
      <c r="AW386">
        <f>survey_responses[[#This Row],[Tôi tin tưởng số tiền thuế tôi đóng sẽ được Nhà nước sử dụng hiệu quả để cải thiện dịch vụ công (y tế, đường xá...). - HUMAN-TRU3]]</f>
        <v>4</v>
      </c>
      <c r="AX386" t="str">
        <f t="shared" si="154"/>
        <v>Oppose</v>
      </c>
      <c r="AY386" s="31">
        <f t="shared" si="155"/>
        <v>4</v>
      </c>
      <c r="AZ386">
        <f>step3_validation[[#This Row],[AI_TRU4]]</f>
        <v>9</v>
      </c>
      <c r="BA386" t="str">
        <f t="shared" si="156"/>
        <v>Support</v>
      </c>
      <c r="BB386">
        <f>survey_responses[[#This Row],[Tôi thấy Nhà nước đã giải thích rõ ràng, minh bạch về lý do và mục tiêu của việc sửa đổi thuế lần này. - HUMAN-TRU4]]</f>
        <v>5</v>
      </c>
      <c r="BC386" t="str">
        <f t="shared" si="157"/>
        <v>Neutral</v>
      </c>
      <c r="BD386" s="31">
        <f t="shared" si="158"/>
        <v>4</v>
      </c>
      <c r="BE386">
        <f>step3_validation[[#This Row],[AI_OUT1]]</f>
        <v>8</v>
      </c>
      <c r="BF386" t="str">
        <f t="shared" si="159"/>
        <v>Support</v>
      </c>
      <c r="BG386">
        <f>survey_responses[[#This Row],[Sau khi xem xét các quyền lợi và nghĩa vụ, bạn có ủng hộ và tuân thủ chính sách mới hiện nay? - HUMAN-OUT1]]</f>
        <v>5</v>
      </c>
      <c r="BH386" t="str">
        <f t="shared" si="160"/>
        <v>Neutral</v>
      </c>
      <c r="BI386" s="31">
        <f t="shared" si="161"/>
        <v>3</v>
      </c>
    </row>
    <row r="387" spans="1:61" hidden="1" x14ac:dyDescent="0.45">
      <c r="A387" s="29">
        <f>step3_validation[[#This Row],[Persona_ID]]</f>
        <v>386</v>
      </c>
      <c r="B387" s="30">
        <f>step3_validation[[#This Row],[Used_Seed]]</f>
        <v>427</v>
      </c>
      <c r="C387" t="str">
        <f>step3_validation[[#This Row],[Gender]]</f>
        <v>Nữ</v>
      </c>
      <c r="D387" t="str">
        <f>survey_responses[[#This Row],[Giới tính của bạn:]]</f>
        <v>Nữ</v>
      </c>
      <c r="E387" t="str">
        <f>step3_validation[[#This Row],[Age_Group]]</f>
        <v>25 - 29</v>
      </c>
      <c r="F387" t="str">
        <f>survey_responses[[#This Row],[Độ tuổi của bạn:]]</f>
        <v>25 - 29</v>
      </c>
      <c r="G387" t="str">
        <f>step3_validation[[#This Row],[Region]]</f>
        <v>Thành thị</v>
      </c>
      <c r="H387" t="str">
        <f>survey_responses[[#This Row],[Khu vực bạn đang sinh sống:]]</f>
        <v>Thành thị</v>
      </c>
      <c r="I387" t="str">
        <f>step3_validation[[#This Row],[Education]]</f>
        <v>Sau Đại học</v>
      </c>
      <c r="J387" t="str">
        <f>survey_responses[[#This Row],[Trình độ học vấn cao nhất:]]</f>
        <v>Sau Đại học</v>
      </c>
      <c r="K387" t="str">
        <f>step3_validation[[#This Row],[Employment]]</f>
        <v>Chính thức</v>
      </c>
      <c r="L387" t="str">
        <f>survey_responses[[#This Row],[Tình trạng việc làm chính:]]</f>
        <v>Khu vực chính thức (Có Hợp đồng lao động, đóng BHXH)</v>
      </c>
      <c r="M387">
        <f>step3_validation[[#This Row],[Income_Mil]]</f>
        <v>28.744304073137172</v>
      </c>
      <c r="N387" t="str">
        <f>survey_responses[[#This Row],[Thu nhập bình quân tháng theo Hợp đồng lao động của bạn là bao nhiêu? (Vui lòng điền tổng thu nhập trước khi khấu trừ các loại Bảo hiểm (BHXH, BHYT, BHTN) và Thuế TNCN)]]</f>
        <v>Từ 23 - 32 triệu VNĐ</v>
      </c>
      <c r="O387">
        <f>step3_validation[[#This Row],[Dependents]]</f>
        <v>0</v>
      </c>
      <c r="P387" t="str">
        <f>survey_responses[[#This Row],[Số người phụ thuộc (con nhỏ, cha mẹ già...) đủ điều kiện giảm trừ gia cảnh:]]</f>
        <v>0 người</v>
      </c>
      <c r="Q387">
        <f>step3_validation[[#This Row],[AI_ENF1]]</f>
        <v>7</v>
      </c>
      <c r="R387" t="str">
        <f t="shared" ref="R387:R404" si="162">IF(AND(Q387&gt;=1,Q387&lt;5),"Oppose",IF(AND(Q387&gt;=5,Q387&lt;8),"Neutral",IF(AND(Q387&gt;=8,Q387&lt;=10),"Support","")))</f>
        <v>Neutral</v>
      </c>
      <c r="S387">
        <f>survey_responses[[#This Row],[Tôi tin rằng với các quy định quản lý thuế hiện nay, hành vi gian lận hoặc trốn thuế sẽ dễ dàng bị phát hiện và xử lý nghiêm. - HUMAN-ENF1]]</f>
        <v>8</v>
      </c>
      <c r="T387" t="str">
        <f t="shared" ref="T387:T404" si="163">IF(AND(S387&gt;=1,S387&lt;5),"Oppose",IF(AND(S387&gt;=5,S387&lt;8),"Neutral",IF(AND(S387&gt;=8,S387&lt;=10),"Support","")))</f>
        <v>Support</v>
      </c>
      <c r="U387" s="31">
        <f t="shared" ref="U387:U404" si="164">ABS(S387-Q387)</f>
        <v>1</v>
      </c>
      <c r="V387">
        <f>step3_validation[[#This Row],[AI_ENF2]]</f>
        <v>6</v>
      </c>
      <c r="W387" t="str">
        <f t="shared" ref="W387:W404" si="165">IF(AND(V387&gt;=1,V387&lt;5),"Oppose",IF(AND(V387&gt;=5,V387&lt;8),"Neutral",IF(AND(V387&gt;=8,V387&lt;=10),"Support","")))</f>
        <v>Neutral</v>
      </c>
      <c r="X387">
        <f>survey_responses[[#This Row],[Tôi tin rằng Nhà nước, cơ quan thuế có đủ khả năng và công nghệ để phát hiện, xử lý nghiêm các hành vi trốn thuế. - HUMAN-ENF2]]</f>
        <v>8</v>
      </c>
      <c r="Y387" t="str">
        <f t="shared" ref="Y387:Y404" si="166">IF(AND(X387&gt;=1,X387&lt;5),"Oppose",IF(AND(X387&gt;=5,X387&lt;8),"Neutral",IF(AND(X387&gt;=8,X387&lt;=10),"Support","")))</f>
        <v>Support</v>
      </c>
      <c r="Z387" s="31">
        <f t="shared" ref="Z387:Z404" si="167">ABS(X387-V387)</f>
        <v>2</v>
      </c>
      <c r="AA387">
        <f>step3_validation[[#This Row],[AI_FAC1]]</f>
        <v>8</v>
      </c>
      <c r="AB387" t="str">
        <f t="shared" ref="AB387:AB404" si="168">IF(AND(AA387&gt;=1,AA387&lt;5),"Oppose",IF(AND(AA387&gt;=5,AA387&lt;8),"Neutral",IF(AND(AA387&gt;=8,AA387&lt;=10),"Support","")))</f>
        <v>Support</v>
      </c>
      <c r="AC387">
        <f>survey_responses[[#This Row],[Các thủ tục khai báo thuế VÀ/HOẶC quy trình làm việc với cơ quan thuế đơn giản, tiện lợi, nhanh chóng hơn so với trước đây. - HUMAN-FAC1]]</f>
        <v>9</v>
      </c>
      <c r="AD387" t="str">
        <f t="shared" ref="AD387:AD404" si="169">IF(AND(AC387&gt;=1,AC387&lt;5),"Oppose",IF(AND(AC387&gt;=5,AC387&lt;8),"Neutral",IF(AND(AC387&gt;=8,AC387&lt;=10),"Support","")))</f>
        <v>Support</v>
      </c>
      <c r="AE387" s="31">
        <f t="shared" ref="AE387:AE404" si="170">ABS(AC387-AA387)</f>
        <v>1</v>
      </c>
      <c r="AF387">
        <f>step3_validation[[#This Row],[AI_FAC2]]</f>
        <v>9</v>
      </c>
      <c r="AG387" t="str">
        <f t="shared" ref="AG387:AG404" si="171">IF(AND(AF387&gt;=1,AF387&lt;5),"Oppose",IF(AND(AF387&gt;=5,AF387&lt;8),"Neutral",IF(AND(AF387&gt;=8,AF387&lt;=10),"Support","")))</f>
        <v>Support</v>
      </c>
      <c r="AH387">
        <f>survey_responses[[#This Row],[So với trước đây, tôi thấy cách tính thuế và các bậc thuế trong phương án mới đơn giản, dễ hiểu và dễ thực hiện hơn. - HUMAN-FAC2]]</f>
        <v>8</v>
      </c>
      <c r="AI387" t="str">
        <f t="shared" ref="AI387:AI404" si="172">IF(AND(AH387&gt;=1,AH387&lt;5),"Oppose",IF(AND(AH387&gt;=5,AH387&lt;8),"Neutral",IF(AND(AH387&gt;=8,AH387&lt;=10),"Support","")))</f>
        <v>Support</v>
      </c>
      <c r="AJ387" s="31">
        <f t="shared" ref="AJ387:AJ404" si="173">ABS(AH387-AF387)</f>
        <v>1</v>
      </c>
      <c r="AK387">
        <f>step3_validation[[#This Row],[AI_TRU1]]</f>
        <v>7</v>
      </c>
      <c r="AL387" t="str">
        <f t="shared" ref="AL387:AL404" si="174">IF(AND(AK387&gt;=1,AK387&lt;5),"Oppose",IF(AND(AK387&gt;=5,AK387&lt;8),"Neutral",IF(AND(AK387&gt;=8,AK387&lt;=10),"Support","")))</f>
        <v>Neutral</v>
      </c>
      <c r="AM387">
        <f>survey_responses[[#This Row],[Tôi tin rằng Nhà nước, cơ quan thuế sẽ thực thi chính sách mới một cách khách quan, công tâm và đối xử bình đẳng với mọi người nộp thuế.  - HUMAN-TRU1]]</f>
        <v>7</v>
      </c>
      <c r="AN387" t="str">
        <f t="shared" ref="AN387:AN404" si="175">IF(AND(AM387&gt;=1,AM387&lt;5),"Oppose",IF(AND(AM387&gt;=5,AM387&lt;8),"Neutral",IF(AND(AM387&gt;=8,AM387&lt;=10),"Support","")))</f>
        <v>Neutral</v>
      </c>
      <c r="AO387" s="31">
        <f t="shared" ref="AO387:AO404" si="176">ABS(AM387-AK387)</f>
        <v>0</v>
      </c>
      <c r="AP387">
        <f>step3_validation[[#This Row],[AI_TRU2]]</f>
        <v>9</v>
      </c>
      <c r="AQ387" t="str">
        <f t="shared" ref="AQ387:AQ404" si="177">IF(AND(AP387&gt;=1,AP387&lt;5),"Oppose",IF(AND(AP387&gt;=5,AP387&lt;8),"Neutral",IF(AND(AP387&gt;=8,AP387&lt;=10),"Support","")))</f>
        <v>Support</v>
      </c>
      <c r="AR387">
        <f>survey_responses[[#This Row],[Tôi thấy mức thuế tôi phải đóng theo phương án mới là công bằng (người thu nhập như tôi đóng mức này là hợp lý). - HUMAN-TRU2]]</f>
        <v>8</v>
      </c>
      <c r="AS387" t="str">
        <f t="shared" ref="AS387:AS404" si="178">IF(AND(AR387&gt;=1,AR387&lt;5),"Oppose",IF(AND(AR387&gt;=5,AR387&lt;8),"Neutral",IF(AND(AR387&gt;=8,AR387&lt;=10),"Support","")))</f>
        <v>Support</v>
      </c>
      <c r="AT387" s="31">
        <f t="shared" ref="AT387:AT404" si="179">ABS(AR387-AP387)</f>
        <v>1</v>
      </c>
      <c r="AU387">
        <f>step3_validation[[#This Row],[AI_TRU3]]</f>
        <v>7</v>
      </c>
      <c r="AV387" t="str">
        <f t="shared" ref="AV387:AV404" si="180">IF(AND(AU387&gt;=1,AU387&lt;5),"Oppose",IF(AND(AU387&gt;=5,AU387&lt;8),"Neutral",IF(AND(AU387&gt;=8,AU387&lt;=10),"Support","")))</f>
        <v>Neutral</v>
      </c>
      <c r="AW387">
        <f>survey_responses[[#This Row],[Tôi tin tưởng số tiền thuế tôi đóng sẽ được Nhà nước sử dụng hiệu quả để cải thiện dịch vụ công (y tế, đường xá...). - HUMAN-TRU3]]</f>
        <v>7</v>
      </c>
      <c r="AX387" t="str">
        <f t="shared" ref="AX387:AX404" si="181">IF(AND(AW387&gt;=1,AW387&lt;5),"Oppose",IF(AND(AW387&gt;=5,AW387&lt;8),"Neutral",IF(AND(AW387&gt;=8,AW387&lt;=10),"Support","")))</f>
        <v>Neutral</v>
      </c>
      <c r="AY387" s="31">
        <f t="shared" ref="AY387:AY404" si="182">ABS(AW387-AU387)</f>
        <v>0</v>
      </c>
      <c r="AZ387">
        <f>step3_validation[[#This Row],[AI_TRU4]]</f>
        <v>8</v>
      </c>
      <c r="BA387" t="str">
        <f t="shared" ref="BA387:BA404" si="183">IF(AND(AZ387&gt;=1,AZ387&lt;5),"Oppose",IF(AND(AZ387&gt;=5,AZ387&lt;8),"Neutral",IF(AND(AZ387&gt;=8,AZ387&lt;=10),"Support","")))</f>
        <v>Support</v>
      </c>
      <c r="BB387">
        <f>survey_responses[[#This Row],[Tôi thấy Nhà nước đã giải thích rõ ràng, minh bạch về lý do và mục tiêu của việc sửa đổi thuế lần này. - HUMAN-TRU4]]</f>
        <v>7</v>
      </c>
      <c r="BC387" t="str">
        <f t="shared" ref="BC387:BC404" si="184">IF(AND(BB387&gt;=1,BB387&lt;5),"Oppose",IF(AND(BB387&gt;=5,BB387&lt;8),"Neutral",IF(AND(BB387&gt;=8,BB387&lt;=10),"Support","")))</f>
        <v>Neutral</v>
      </c>
      <c r="BD387" s="31">
        <f t="shared" ref="BD387:BD404" si="185">ABS(BB387-AZ387)</f>
        <v>1</v>
      </c>
      <c r="BE387">
        <f>step3_validation[[#This Row],[AI_OUT1]]</f>
        <v>9</v>
      </c>
      <c r="BF387" t="str">
        <f t="shared" ref="BF387:BF404" si="186">IF(AND(BE387&gt;=1,BE387&lt;5),"Oppose",IF(AND(BE387&gt;=5,BE387&lt;8),"Neutral",IF(AND(BE387&gt;=8,BE387&lt;=10),"Support","")))</f>
        <v>Support</v>
      </c>
      <c r="BG387">
        <f>survey_responses[[#This Row],[Sau khi xem xét các quyền lợi và nghĩa vụ, bạn có ủng hộ và tuân thủ chính sách mới hiện nay? - HUMAN-OUT1]]</f>
        <v>8</v>
      </c>
      <c r="BH387" t="str">
        <f t="shared" ref="BH387:BH404" si="187">IF(AND(BG387&gt;=1,BG387&lt;5),"Oppose",IF(AND(BG387&gt;=5,BG387&lt;8),"Neutral",IF(AND(BG387&gt;=8,BG387&lt;=10),"Support","")))</f>
        <v>Support</v>
      </c>
      <c r="BI387" s="31">
        <f t="shared" ref="BI387:BI404" si="188">ABS(BG387-BE387)</f>
        <v>1</v>
      </c>
    </row>
    <row r="388" spans="1:61" hidden="1" x14ac:dyDescent="0.45">
      <c r="A388" s="29">
        <f>step3_validation[[#This Row],[Persona_ID]]</f>
        <v>387</v>
      </c>
      <c r="B388" s="30">
        <f>step3_validation[[#This Row],[Used_Seed]]</f>
        <v>428</v>
      </c>
      <c r="C388" t="str">
        <f>step3_validation[[#This Row],[Gender]]</f>
        <v>Nam</v>
      </c>
      <c r="D388" t="str">
        <f>survey_responses[[#This Row],[Giới tính của bạn:]]</f>
        <v>Nam</v>
      </c>
      <c r="E388" t="str">
        <f>step3_validation[[#This Row],[Age_Group]]</f>
        <v>30 - 39</v>
      </c>
      <c r="F388" t="str">
        <f>survey_responses[[#This Row],[Độ tuổi của bạn:]]</f>
        <v>30 - 39</v>
      </c>
      <c r="G388" t="str">
        <f>step3_validation[[#This Row],[Region]]</f>
        <v>Thành thị</v>
      </c>
      <c r="H388" t="str">
        <f>survey_responses[[#This Row],[Khu vực bạn đang sinh sống:]]</f>
        <v>Thành thị</v>
      </c>
      <c r="I388" t="str">
        <f>step3_validation[[#This Row],[Education]]</f>
        <v>Đại học</v>
      </c>
      <c r="J388" t="str">
        <f>survey_responses[[#This Row],[Trình độ học vấn cao nhất:]]</f>
        <v>Đại học</v>
      </c>
      <c r="K388" t="str">
        <f>step3_validation[[#This Row],[Employment]]</f>
        <v>Chính thức</v>
      </c>
      <c r="L388" t="str">
        <f>survey_responses[[#This Row],[Tình trạng việc làm chính:]]</f>
        <v>Khu vực chính thức (Có Hợp đồng lao động, đóng BHXH)</v>
      </c>
      <c r="M388">
        <f>step3_validation[[#This Row],[Income_Mil]]</f>
        <v>55.342749637454453</v>
      </c>
      <c r="N388" t="str">
        <f>survey_responses[[#This Row],[Thu nhập bình quân tháng theo Hợp đồng lao động của bạn là bao nhiêu? (Vui lòng điền tổng thu nhập trước khi khấu trừ các loại Bảo hiểm (BHXH, BHYT, BHTN) và Thuế TNCN)]]</f>
        <v>Từ 48 - 70 triệu VNĐ</v>
      </c>
      <c r="O388">
        <f>step3_validation[[#This Row],[Dependents]]</f>
        <v>2</v>
      </c>
      <c r="P388" t="str">
        <f>survey_responses[[#This Row],[Số người phụ thuộc (con nhỏ, cha mẹ già...) đủ điều kiện giảm trừ gia cảnh:]]</f>
        <v>2 người</v>
      </c>
      <c r="Q388">
        <f>step3_validation[[#This Row],[AI_ENF1]]</f>
        <v>7</v>
      </c>
      <c r="R388" t="str">
        <f t="shared" si="162"/>
        <v>Neutral</v>
      </c>
      <c r="S388">
        <f>survey_responses[[#This Row],[Tôi tin rằng với các quy định quản lý thuế hiện nay, hành vi gian lận hoặc trốn thuế sẽ dễ dàng bị phát hiện và xử lý nghiêm. - HUMAN-ENF1]]</f>
        <v>5</v>
      </c>
      <c r="T388" t="str">
        <f t="shared" si="163"/>
        <v>Neutral</v>
      </c>
      <c r="U388" s="31">
        <f t="shared" si="164"/>
        <v>2</v>
      </c>
      <c r="V388">
        <f>step3_validation[[#This Row],[AI_ENF2]]</f>
        <v>6</v>
      </c>
      <c r="W388" t="str">
        <f t="shared" si="165"/>
        <v>Neutral</v>
      </c>
      <c r="X388">
        <f>survey_responses[[#This Row],[Tôi tin rằng Nhà nước, cơ quan thuế có đủ khả năng và công nghệ để phát hiện, xử lý nghiêm các hành vi trốn thuế. - HUMAN-ENF2]]</f>
        <v>5</v>
      </c>
      <c r="Y388" t="str">
        <f t="shared" si="166"/>
        <v>Neutral</v>
      </c>
      <c r="Z388" s="31">
        <f t="shared" si="167"/>
        <v>1</v>
      </c>
      <c r="AA388">
        <f>step3_validation[[#This Row],[AI_FAC1]]</f>
        <v>8</v>
      </c>
      <c r="AB388" t="str">
        <f t="shared" si="168"/>
        <v>Support</v>
      </c>
      <c r="AC388">
        <f>survey_responses[[#This Row],[Các thủ tục khai báo thuế VÀ/HOẶC quy trình làm việc với cơ quan thuế đơn giản, tiện lợi, nhanh chóng hơn so với trước đây. - HUMAN-FAC1]]</f>
        <v>5</v>
      </c>
      <c r="AD388" t="str">
        <f t="shared" si="169"/>
        <v>Neutral</v>
      </c>
      <c r="AE388" s="31">
        <f t="shared" si="170"/>
        <v>3</v>
      </c>
      <c r="AF388">
        <f>step3_validation[[#This Row],[AI_FAC2]]</f>
        <v>9</v>
      </c>
      <c r="AG388" t="str">
        <f t="shared" si="171"/>
        <v>Support</v>
      </c>
      <c r="AH388">
        <f>survey_responses[[#This Row],[So với trước đây, tôi thấy cách tính thuế và các bậc thuế trong phương án mới đơn giản, dễ hiểu và dễ thực hiện hơn. - HUMAN-FAC2]]</f>
        <v>5</v>
      </c>
      <c r="AI388" t="str">
        <f t="shared" si="172"/>
        <v>Neutral</v>
      </c>
      <c r="AJ388" s="31">
        <f t="shared" si="173"/>
        <v>4</v>
      </c>
      <c r="AK388">
        <f>step3_validation[[#This Row],[AI_TRU1]]</f>
        <v>8</v>
      </c>
      <c r="AL388" t="str">
        <f t="shared" si="174"/>
        <v>Support</v>
      </c>
      <c r="AM388">
        <f>survey_responses[[#This Row],[Tôi tin rằng Nhà nước, cơ quan thuế sẽ thực thi chính sách mới một cách khách quan, công tâm và đối xử bình đẳng với mọi người nộp thuế.  - HUMAN-TRU1]]</f>
        <v>5</v>
      </c>
      <c r="AN388" t="str">
        <f t="shared" si="175"/>
        <v>Neutral</v>
      </c>
      <c r="AO388" s="31">
        <f t="shared" si="176"/>
        <v>3</v>
      </c>
      <c r="AP388">
        <f>step3_validation[[#This Row],[AI_TRU2]]</f>
        <v>9</v>
      </c>
      <c r="AQ388" t="str">
        <f t="shared" si="177"/>
        <v>Support</v>
      </c>
      <c r="AR388">
        <f>survey_responses[[#This Row],[Tôi thấy mức thuế tôi phải đóng theo phương án mới là công bằng (người thu nhập như tôi đóng mức này là hợp lý). - HUMAN-TRU2]]</f>
        <v>5</v>
      </c>
      <c r="AS388" t="str">
        <f t="shared" si="178"/>
        <v>Neutral</v>
      </c>
      <c r="AT388" s="31">
        <f t="shared" si="179"/>
        <v>4</v>
      </c>
      <c r="AU388">
        <f>step3_validation[[#This Row],[AI_TRU3]]</f>
        <v>8</v>
      </c>
      <c r="AV388" t="str">
        <f t="shared" si="180"/>
        <v>Support</v>
      </c>
      <c r="AW388">
        <f>survey_responses[[#This Row],[Tôi tin tưởng số tiền thuế tôi đóng sẽ được Nhà nước sử dụng hiệu quả để cải thiện dịch vụ công (y tế, đường xá...). - HUMAN-TRU3]]</f>
        <v>5</v>
      </c>
      <c r="AX388" t="str">
        <f t="shared" si="181"/>
        <v>Neutral</v>
      </c>
      <c r="AY388" s="31">
        <f t="shared" si="182"/>
        <v>3</v>
      </c>
      <c r="AZ388">
        <f>step3_validation[[#This Row],[AI_TRU4]]</f>
        <v>9</v>
      </c>
      <c r="BA388" t="str">
        <f t="shared" si="183"/>
        <v>Support</v>
      </c>
      <c r="BB388">
        <f>survey_responses[[#This Row],[Tôi thấy Nhà nước đã giải thích rõ ràng, minh bạch về lý do và mục tiêu của việc sửa đổi thuế lần này. - HUMAN-TRU4]]</f>
        <v>5</v>
      </c>
      <c r="BC388" t="str">
        <f t="shared" si="184"/>
        <v>Neutral</v>
      </c>
      <c r="BD388" s="31">
        <f t="shared" si="185"/>
        <v>4</v>
      </c>
      <c r="BE388">
        <f>step3_validation[[#This Row],[AI_OUT1]]</f>
        <v>9</v>
      </c>
      <c r="BF388" t="str">
        <f t="shared" si="186"/>
        <v>Support</v>
      </c>
      <c r="BG388">
        <f>survey_responses[[#This Row],[Sau khi xem xét các quyền lợi và nghĩa vụ, bạn có ủng hộ và tuân thủ chính sách mới hiện nay? - HUMAN-OUT1]]</f>
        <v>5</v>
      </c>
      <c r="BH388" t="str">
        <f t="shared" si="187"/>
        <v>Neutral</v>
      </c>
      <c r="BI388" s="31">
        <f t="shared" si="188"/>
        <v>4</v>
      </c>
    </row>
    <row r="389" spans="1:61" hidden="1" x14ac:dyDescent="0.45">
      <c r="A389" s="29">
        <f>step3_validation[[#This Row],[Persona_ID]]</f>
        <v>388</v>
      </c>
      <c r="B389" s="30">
        <f>step3_validation[[#This Row],[Used_Seed]]</f>
        <v>429</v>
      </c>
      <c r="C389" t="str">
        <f>step3_validation[[#This Row],[Gender]]</f>
        <v>Nam</v>
      </c>
      <c r="D389" t="str">
        <f>survey_responses[[#This Row],[Giới tính của bạn:]]</f>
        <v>Nam</v>
      </c>
      <c r="E389" t="str">
        <f>step3_validation[[#This Row],[Age_Group]]</f>
        <v>18 - 24</v>
      </c>
      <c r="F389" t="str">
        <f>survey_responses[[#This Row],[Độ tuổi của bạn:]]</f>
        <v>18 - 24</v>
      </c>
      <c r="G389" t="str">
        <f>step3_validation[[#This Row],[Region]]</f>
        <v>Thành thị</v>
      </c>
      <c r="H389" t="str">
        <f>survey_responses[[#This Row],[Khu vực bạn đang sinh sống:]]</f>
        <v>Thành thị</v>
      </c>
      <c r="I389" t="str">
        <f>step3_validation[[#This Row],[Education]]</f>
        <v>Đại học</v>
      </c>
      <c r="J389" t="str">
        <f>survey_responses[[#This Row],[Trình độ học vấn cao nhất:]]</f>
        <v>Đại học</v>
      </c>
      <c r="K389" t="str">
        <f>step3_validation[[#This Row],[Employment]]</f>
        <v>Chính thức</v>
      </c>
      <c r="L389" t="str">
        <f>survey_responses[[#This Row],[Tình trạng việc làm chính:]]</f>
        <v>Khu vực chính thức (Có Hợp đồng lao động, đóng BHXH)</v>
      </c>
      <c r="M389">
        <f>step3_validation[[#This Row],[Income_Mil]]</f>
        <v>15.841877126292323</v>
      </c>
      <c r="N389" t="str">
        <f>survey_responses[[#This Row],[Thu nhập bình quân tháng theo Hợp đồng lao động của bạn là bao nhiêu? (Vui lòng điền tổng thu nhập trước khi khấu trừ các loại Bảo hiểm (BHXH, BHYT, BHTN) và Thuế TNCN)]]</f>
        <v>Từ 12 - 18 triệu VNĐ</v>
      </c>
      <c r="O389">
        <f>step3_validation[[#This Row],[Dependents]]</f>
        <v>0</v>
      </c>
      <c r="P389" t="str">
        <f>survey_responses[[#This Row],[Số người phụ thuộc (con nhỏ, cha mẹ già...) đủ điều kiện giảm trừ gia cảnh:]]</f>
        <v>0 người</v>
      </c>
      <c r="Q389">
        <f>step3_validation[[#This Row],[AI_ENF1]]</f>
        <v>9</v>
      </c>
      <c r="R389" t="str">
        <f t="shared" si="162"/>
        <v>Support</v>
      </c>
      <c r="S389">
        <f>survey_responses[[#This Row],[Tôi tin rằng với các quy định quản lý thuế hiện nay, hành vi gian lận hoặc trốn thuế sẽ dễ dàng bị phát hiện và xử lý nghiêm. - HUMAN-ENF1]]</f>
        <v>7</v>
      </c>
      <c r="T389" t="str">
        <f t="shared" si="163"/>
        <v>Neutral</v>
      </c>
      <c r="U389" s="31">
        <f t="shared" si="164"/>
        <v>2</v>
      </c>
      <c r="V389">
        <f>step3_validation[[#This Row],[AI_ENF2]]</f>
        <v>8</v>
      </c>
      <c r="W389" t="str">
        <f t="shared" si="165"/>
        <v>Support</v>
      </c>
      <c r="X389">
        <f>survey_responses[[#This Row],[Tôi tin rằng Nhà nước, cơ quan thuế có đủ khả năng và công nghệ để phát hiện, xử lý nghiêm các hành vi trốn thuế. - HUMAN-ENF2]]</f>
        <v>7</v>
      </c>
      <c r="Y389" t="str">
        <f t="shared" si="166"/>
        <v>Neutral</v>
      </c>
      <c r="Z389" s="31">
        <f t="shared" si="167"/>
        <v>1</v>
      </c>
      <c r="AA389">
        <f>step3_validation[[#This Row],[AI_FAC1]]</f>
        <v>9</v>
      </c>
      <c r="AB389" t="str">
        <f t="shared" si="168"/>
        <v>Support</v>
      </c>
      <c r="AC389">
        <f>survey_responses[[#This Row],[Các thủ tục khai báo thuế VÀ/HOẶC quy trình làm việc với cơ quan thuế đơn giản, tiện lợi, nhanh chóng hơn so với trước đây. - HUMAN-FAC1]]</f>
        <v>5</v>
      </c>
      <c r="AD389" t="str">
        <f t="shared" si="169"/>
        <v>Neutral</v>
      </c>
      <c r="AE389" s="31">
        <f t="shared" si="170"/>
        <v>4</v>
      </c>
      <c r="AF389">
        <f>step3_validation[[#This Row],[AI_FAC2]]</f>
        <v>8</v>
      </c>
      <c r="AG389" t="str">
        <f t="shared" si="171"/>
        <v>Support</v>
      </c>
      <c r="AH389">
        <f>survey_responses[[#This Row],[So với trước đây, tôi thấy cách tính thuế và các bậc thuế trong phương án mới đơn giản, dễ hiểu và dễ thực hiện hơn. - HUMAN-FAC2]]</f>
        <v>8</v>
      </c>
      <c r="AI389" t="str">
        <f t="shared" si="172"/>
        <v>Support</v>
      </c>
      <c r="AJ389" s="31">
        <f t="shared" si="173"/>
        <v>0</v>
      </c>
      <c r="AK389">
        <f>step3_validation[[#This Row],[AI_TRU1]]</f>
        <v>9</v>
      </c>
      <c r="AL389" t="str">
        <f t="shared" si="174"/>
        <v>Support</v>
      </c>
      <c r="AM389">
        <f>survey_responses[[#This Row],[Tôi tin rằng Nhà nước, cơ quan thuế sẽ thực thi chính sách mới một cách khách quan, công tâm và đối xử bình đẳng với mọi người nộp thuế.  - HUMAN-TRU1]]</f>
        <v>6</v>
      </c>
      <c r="AN389" t="str">
        <f t="shared" si="175"/>
        <v>Neutral</v>
      </c>
      <c r="AO389" s="31">
        <f t="shared" si="176"/>
        <v>3</v>
      </c>
      <c r="AP389">
        <f>step3_validation[[#This Row],[AI_TRU2]]</f>
        <v>8</v>
      </c>
      <c r="AQ389" t="str">
        <f t="shared" si="177"/>
        <v>Support</v>
      </c>
      <c r="AR389">
        <f>survey_responses[[#This Row],[Tôi thấy mức thuế tôi phải đóng theo phương án mới là công bằng (người thu nhập như tôi đóng mức này là hợp lý). - HUMAN-TRU2]]</f>
        <v>8</v>
      </c>
      <c r="AS389" t="str">
        <f t="shared" si="178"/>
        <v>Support</v>
      </c>
      <c r="AT389" s="31">
        <f t="shared" si="179"/>
        <v>0</v>
      </c>
      <c r="AU389">
        <f>step3_validation[[#This Row],[AI_TRU3]]</f>
        <v>9</v>
      </c>
      <c r="AV389" t="str">
        <f t="shared" si="180"/>
        <v>Support</v>
      </c>
      <c r="AW389">
        <f>survey_responses[[#This Row],[Tôi tin tưởng số tiền thuế tôi đóng sẽ được Nhà nước sử dụng hiệu quả để cải thiện dịch vụ công (y tế, đường xá...). - HUMAN-TRU3]]</f>
        <v>5</v>
      </c>
      <c r="AX389" t="str">
        <f t="shared" si="181"/>
        <v>Neutral</v>
      </c>
      <c r="AY389" s="31">
        <f t="shared" si="182"/>
        <v>4</v>
      </c>
      <c r="AZ389">
        <f>step3_validation[[#This Row],[AI_TRU4]]</f>
        <v>8</v>
      </c>
      <c r="BA389" t="str">
        <f t="shared" si="183"/>
        <v>Support</v>
      </c>
      <c r="BB389">
        <f>survey_responses[[#This Row],[Tôi thấy Nhà nước đã giải thích rõ ràng, minh bạch về lý do và mục tiêu của việc sửa đổi thuế lần này. - HUMAN-TRU4]]</f>
        <v>5</v>
      </c>
      <c r="BC389" t="str">
        <f t="shared" si="184"/>
        <v>Neutral</v>
      </c>
      <c r="BD389" s="31">
        <f t="shared" si="185"/>
        <v>3</v>
      </c>
      <c r="BE389">
        <f>step3_validation[[#This Row],[AI_OUT1]]</f>
        <v>9</v>
      </c>
      <c r="BF389" t="str">
        <f t="shared" si="186"/>
        <v>Support</v>
      </c>
      <c r="BG389">
        <f>survey_responses[[#This Row],[Sau khi xem xét các quyền lợi và nghĩa vụ, bạn có ủng hộ và tuân thủ chính sách mới hiện nay? - HUMAN-OUT1]]</f>
        <v>8</v>
      </c>
      <c r="BH389" t="str">
        <f t="shared" si="187"/>
        <v>Support</v>
      </c>
      <c r="BI389" s="31">
        <f t="shared" si="188"/>
        <v>1</v>
      </c>
    </row>
    <row r="390" spans="1:61" hidden="1" x14ac:dyDescent="0.45">
      <c r="A390" s="29">
        <f>step3_validation[[#This Row],[Persona_ID]]</f>
        <v>389</v>
      </c>
      <c r="B390" s="30">
        <f>step3_validation[[#This Row],[Used_Seed]]</f>
        <v>430</v>
      </c>
      <c r="C390" t="str">
        <f>step3_validation[[#This Row],[Gender]]</f>
        <v>Nam</v>
      </c>
      <c r="D390" t="str">
        <f>survey_responses[[#This Row],[Giới tính của bạn:]]</f>
        <v>Nam</v>
      </c>
      <c r="E390" t="str">
        <f>step3_validation[[#This Row],[Age_Group]]</f>
        <v>25 - 29</v>
      </c>
      <c r="F390" t="str">
        <f>survey_responses[[#This Row],[Độ tuổi của bạn:]]</f>
        <v>25 - 29</v>
      </c>
      <c r="G390" t="str">
        <f>step3_validation[[#This Row],[Region]]</f>
        <v>Thành thị</v>
      </c>
      <c r="H390" t="str">
        <f>survey_responses[[#This Row],[Khu vực bạn đang sinh sống:]]</f>
        <v>Thành thị</v>
      </c>
      <c r="I390" t="str">
        <f>step3_validation[[#This Row],[Education]]</f>
        <v>Đại học</v>
      </c>
      <c r="J390" t="str">
        <f>survey_responses[[#This Row],[Trình độ học vấn cao nhất:]]</f>
        <v>Đại học</v>
      </c>
      <c r="K390" t="str">
        <f>step3_validation[[#This Row],[Employment]]</f>
        <v>Chính thức</v>
      </c>
      <c r="L390" t="str">
        <f>survey_responses[[#This Row],[Tình trạng việc làm chính:]]</f>
        <v>Khu vực chính thức (Có Hợp đồng lao động, đóng BHXH)</v>
      </c>
      <c r="M390">
        <f>step3_validation[[#This Row],[Income_Mil]]</f>
        <v>19.134406829911434</v>
      </c>
      <c r="N390" t="str">
        <f>survey_responses[[#This Row],[Thu nhập bình quân tháng theo Hợp đồng lao động của bạn là bao nhiêu? (Vui lòng điền tổng thu nhập trước khi khấu trừ các loại Bảo hiểm (BHXH, BHYT, BHTN) và Thuế TNCN)]]</f>
        <v>Từ 18 - 23 triệu VNĐ</v>
      </c>
      <c r="O390">
        <f>step3_validation[[#This Row],[Dependents]]</f>
        <v>0</v>
      </c>
      <c r="P390" t="str">
        <f>survey_responses[[#This Row],[Số người phụ thuộc (con nhỏ, cha mẹ già...) đủ điều kiện giảm trừ gia cảnh:]]</f>
        <v>0 người</v>
      </c>
      <c r="Q390">
        <f>step3_validation[[#This Row],[AI_ENF1]]</f>
        <v>6</v>
      </c>
      <c r="R390" t="str">
        <f t="shared" si="162"/>
        <v>Neutral</v>
      </c>
      <c r="S390">
        <f>survey_responses[[#This Row],[Tôi tin rằng với các quy định quản lý thuế hiện nay, hành vi gian lận hoặc trốn thuế sẽ dễ dàng bị phát hiện và xử lý nghiêm. - HUMAN-ENF1]]</f>
        <v>6</v>
      </c>
      <c r="T390" t="str">
        <f t="shared" si="163"/>
        <v>Neutral</v>
      </c>
      <c r="U390" s="31">
        <f t="shared" si="164"/>
        <v>0</v>
      </c>
      <c r="V390">
        <f>step3_validation[[#This Row],[AI_ENF2]]</f>
        <v>8</v>
      </c>
      <c r="W390" t="str">
        <f t="shared" si="165"/>
        <v>Support</v>
      </c>
      <c r="X390">
        <f>survey_responses[[#This Row],[Tôi tin rằng Nhà nước, cơ quan thuế có đủ khả năng và công nghệ để phát hiện, xử lý nghiêm các hành vi trốn thuế. - HUMAN-ENF2]]</f>
        <v>8</v>
      </c>
      <c r="Y390" t="str">
        <f t="shared" si="166"/>
        <v>Support</v>
      </c>
      <c r="Z390" s="31">
        <f t="shared" si="167"/>
        <v>0</v>
      </c>
      <c r="AA390">
        <f>step3_validation[[#This Row],[AI_FAC1]]</f>
        <v>7</v>
      </c>
      <c r="AB390" t="str">
        <f t="shared" si="168"/>
        <v>Neutral</v>
      </c>
      <c r="AC390">
        <f>survey_responses[[#This Row],[Các thủ tục khai báo thuế VÀ/HOẶC quy trình làm việc với cơ quan thuế đơn giản, tiện lợi, nhanh chóng hơn so với trước đây. - HUMAN-FAC1]]</f>
        <v>7</v>
      </c>
      <c r="AD390" t="str">
        <f t="shared" si="169"/>
        <v>Neutral</v>
      </c>
      <c r="AE390" s="31">
        <f t="shared" si="170"/>
        <v>0</v>
      </c>
      <c r="AF390">
        <f>step3_validation[[#This Row],[AI_FAC2]]</f>
        <v>9</v>
      </c>
      <c r="AG390" t="str">
        <f t="shared" si="171"/>
        <v>Support</v>
      </c>
      <c r="AH390">
        <f>survey_responses[[#This Row],[So với trước đây, tôi thấy cách tính thuế và các bậc thuế trong phương án mới đơn giản, dễ hiểu và dễ thực hiện hơn. - HUMAN-FAC2]]</f>
        <v>8</v>
      </c>
      <c r="AI390" t="str">
        <f t="shared" si="172"/>
        <v>Support</v>
      </c>
      <c r="AJ390" s="31">
        <f t="shared" si="173"/>
        <v>1</v>
      </c>
      <c r="AK390">
        <f>step3_validation[[#This Row],[AI_TRU1]]</f>
        <v>7</v>
      </c>
      <c r="AL390" t="str">
        <f t="shared" si="174"/>
        <v>Neutral</v>
      </c>
      <c r="AM390">
        <f>survey_responses[[#This Row],[Tôi tin rằng Nhà nước, cơ quan thuế sẽ thực thi chính sách mới một cách khách quan, công tâm và đối xử bình đẳng với mọi người nộp thuế.  - HUMAN-TRU1]]</f>
        <v>6</v>
      </c>
      <c r="AN390" t="str">
        <f t="shared" si="175"/>
        <v>Neutral</v>
      </c>
      <c r="AO390" s="31">
        <f t="shared" si="176"/>
        <v>1</v>
      </c>
      <c r="AP390">
        <f>step3_validation[[#This Row],[AI_TRU2]]</f>
        <v>8</v>
      </c>
      <c r="AQ390" t="str">
        <f t="shared" si="177"/>
        <v>Support</v>
      </c>
      <c r="AR390">
        <f>survey_responses[[#This Row],[Tôi thấy mức thuế tôi phải đóng theo phương án mới là công bằng (người thu nhập như tôi đóng mức này là hợp lý). - HUMAN-TRU2]]</f>
        <v>8</v>
      </c>
      <c r="AS390" t="str">
        <f t="shared" si="178"/>
        <v>Support</v>
      </c>
      <c r="AT390" s="31">
        <f t="shared" si="179"/>
        <v>0</v>
      </c>
      <c r="AU390">
        <f>step3_validation[[#This Row],[AI_TRU3]]</f>
        <v>7</v>
      </c>
      <c r="AV390" t="str">
        <f t="shared" si="180"/>
        <v>Neutral</v>
      </c>
      <c r="AW390">
        <f>survey_responses[[#This Row],[Tôi tin tưởng số tiền thuế tôi đóng sẽ được Nhà nước sử dụng hiệu quả để cải thiện dịch vụ công (y tế, đường xá...). - HUMAN-TRU3]]</f>
        <v>5</v>
      </c>
      <c r="AX390" t="str">
        <f t="shared" si="181"/>
        <v>Neutral</v>
      </c>
      <c r="AY390" s="31">
        <f t="shared" si="182"/>
        <v>2</v>
      </c>
      <c r="AZ390">
        <f>step3_validation[[#This Row],[AI_TRU4]]</f>
        <v>8</v>
      </c>
      <c r="BA390" t="str">
        <f t="shared" si="183"/>
        <v>Support</v>
      </c>
      <c r="BB390">
        <f>survey_responses[[#This Row],[Tôi thấy Nhà nước đã giải thích rõ ràng, minh bạch về lý do và mục tiêu của việc sửa đổi thuế lần này. - HUMAN-TRU4]]</f>
        <v>5</v>
      </c>
      <c r="BC390" t="str">
        <f t="shared" si="184"/>
        <v>Neutral</v>
      </c>
      <c r="BD390" s="31">
        <f t="shared" si="185"/>
        <v>3</v>
      </c>
      <c r="BE390">
        <f>step3_validation[[#This Row],[AI_OUT1]]</f>
        <v>8</v>
      </c>
      <c r="BF390" t="str">
        <f t="shared" si="186"/>
        <v>Support</v>
      </c>
      <c r="BG390">
        <f>survey_responses[[#This Row],[Sau khi xem xét các quyền lợi và nghĩa vụ, bạn có ủng hộ và tuân thủ chính sách mới hiện nay? - HUMAN-OUT1]]</f>
        <v>8</v>
      </c>
      <c r="BH390" t="str">
        <f t="shared" si="187"/>
        <v>Support</v>
      </c>
      <c r="BI390" s="31">
        <f t="shared" si="188"/>
        <v>0</v>
      </c>
    </row>
    <row r="391" spans="1:61" hidden="1" x14ac:dyDescent="0.45">
      <c r="A391" s="29">
        <f>step3_validation[[#This Row],[Persona_ID]]</f>
        <v>390</v>
      </c>
      <c r="B391" s="30">
        <f>step3_validation[[#This Row],[Used_Seed]]</f>
        <v>431</v>
      </c>
      <c r="C391" t="str">
        <f>step3_validation[[#This Row],[Gender]]</f>
        <v>Nữ</v>
      </c>
      <c r="D391" t="str">
        <f>survey_responses[[#This Row],[Giới tính của bạn:]]</f>
        <v>Nữ</v>
      </c>
      <c r="E391" t="str">
        <f>step3_validation[[#This Row],[Age_Group]]</f>
        <v>40 - 49</v>
      </c>
      <c r="F391" t="str">
        <f>survey_responses[[#This Row],[Độ tuổi của bạn:]]</f>
        <v>40 - 49</v>
      </c>
      <c r="G391" t="str">
        <f>step3_validation[[#This Row],[Region]]</f>
        <v>Thành thị</v>
      </c>
      <c r="H391" t="str">
        <f>survey_responses[[#This Row],[Khu vực bạn đang sinh sống:]]</f>
        <v>Thành thị</v>
      </c>
      <c r="I391" t="str">
        <f>step3_validation[[#This Row],[Education]]</f>
        <v>Sau Đại học</v>
      </c>
      <c r="J391" t="str">
        <f>survey_responses[[#This Row],[Trình độ học vấn cao nhất:]]</f>
        <v>Sau Đại học</v>
      </c>
      <c r="K391" t="str">
        <f>step3_validation[[#This Row],[Employment]]</f>
        <v>Chính thức</v>
      </c>
      <c r="L391" t="str">
        <f>survey_responses[[#This Row],[Tình trạng việc làm chính:]]</f>
        <v>Khu vực chính thức (Có Hợp đồng lao động, đóng BHXH)</v>
      </c>
      <c r="M391">
        <f>step3_validation[[#This Row],[Income_Mil]]</f>
        <v>43.084629847160691</v>
      </c>
      <c r="N391" t="str">
        <f>survey_responses[[#This Row],[Thu nhập bình quân tháng theo Hợp đồng lao động của bạn là bao nhiêu? (Vui lòng điền tổng thu nhập trước khi khấu trừ các loại Bảo hiểm (BHXH, BHYT, BHTN) và Thuế TNCN)]]</f>
        <v>Từ 32 - 48 triệu VNĐ</v>
      </c>
      <c r="O391">
        <f>step3_validation[[#This Row],[Dependents]]</f>
        <v>3</v>
      </c>
      <c r="P391" t="str">
        <f>survey_responses[[#This Row],[Số người phụ thuộc (con nhỏ, cha mẹ già...) đủ điều kiện giảm trừ gia cảnh:]]</f>
        <v>3 người</v>
      </c>
      <c r="Q391">
        <f>step3_validation[[#This Row],[AI_ENF1]]</f>
        <v>7</v>
      </c>
      <c r="R391" t="str">
        <f t="shared" si="162"/>
        <v>Neutral</v>
      </c>
      <c r="S391">
        <f>survey_responses[[#This Row],[Tôi tin rằng với các quy định quản lý thuế hiện nay, hành vi gian lận hoặc trốn thuế sẽ dễ dàng bị phát hiện và xử lý nghiêm. - HUMAN-ENF1]]</f>
        <v>10</v>
      </c>
      <c r="T391" t="str">
        <f t="shared" si="163"/>
        <v>Support</v>
      </c>
      <c r="U391" s="31">
        <f t="shared" si="164"/>
        <v>3</v>
      </c>
      <c r="V391">
        <f>step3_validation[[#This Row],[AI_ENF2]]</f>
        <v>8</v>
      </c>
      <c r="W391" t="str">
        <f t="shared" si="165"/>
        <v>Support</v>
      </c>
      <c r="X391">
        <f>survey_responses[[#This Row],[Tôi tin rằng Nhà nước, cơ quan thuế có đủ khả năng và công nghệ để phát hiện, xử lý nghiêm các hành vi trốn thuế. - HUMAN-ENF2]]</f>
        <v>10</v>
      </c>
      <c r="Y391" t="str">
        <f t="shared" si="166"/>
        <v>Support</v>
      </c>
      <c r="Z391" s="31">
        <f t="shared" si="167"/>
        <v>2</v>
      </c>
      <c r="AA391">
        <f>step3_validation[[#This Row],[AI_FAC1]]</f>
        <v>6</v>
      </c>
      <c r="AB391" t="str">
        <f t="shared" si="168"/>
        <v>Neutral</v>
      </c>
      <c r="AC391">
        <f>survey_responses[[#This Row],[Các thủ tục khai báo thuế VÀ/HOẶC quy trình làm việc với cơ quan thuế đơn giản, tiện lợi, nhanh chóng hơn so với trước đây. - HUMAN-FAC1]]</f>
        <v>5</v>
      </c>
      <c r="AD391" t="str">
        <f t="shared" si="169"/>
        <v>Neutral</v>
      </c>
      <c r="AE391" s="31">
        <f t="shared" si="170"/>
        <v>1</v>
      </c>
      <c r="AF391">
        <f>step3_validation[[#This Row],[AI_FAC2]]</f>
        <v>9</v>
      </c>
      <c r="AG391" t="str">
        <f t="shared" si="171"/>
        <v>Support</v>
      </c>
      <c r="AH391">
        <f>survey_responses[[#This Row],[So với trước đây, tôi thấy cách tính thuế và các bậc thuế trong phương án mới đơn giản, dễ hiểu và dễ thực hiện hơn. - HUMAN-FAC2]]</f>
        <v>9</v>
      </c>
      <c r="AI391" t="str">
        <f t="shared" si="172"/>
        <v>Support</v>
      </c>
      <c r="AJ391" s="31">
        <f t="shared" si="173"/>
        <v>0</v>
      </c>
      <c r="AK391">
        <f>step3_validation[[#This Row],[AI_TRU1]]</f>
        <v>8</v>
      </c>
      <c r="AL391" t="str">
        <f t="shared" si="174"/>
        <v>Support</v>
      </c>
      <c r="AM391">
        <f>survey_responses[[#This Row],[Tôi tin rằng Nhà nước, cơ quan thuế sẽ thực thi chính sách mới một cách khách quan, công tâm và đối xử bình đẳng với mọi người nộp thuế.  - HUMAN-TRU1]]</f>
        <v>7</v>
      </c>
      <c r="AN391" t="str">
        <f t="shared" si="175"/>
        <v>Neutral</v>
      </c>
      <c r="AO391" s="31">
        <f t="shared" si="176"/>
        <v>1</v>
      </c>
      <c r="AP391">
        <f>step3_validation[[#This Row],[AI_TRU2]]</f>
        <v>9</v>
      </c>
      <c r="AQ391" t="str">
        <f t="shared" si="177"/>
        <v>Support</v>
      </c>
      <c r="AR391">
        <f>survey_responses[[#This Row],[Tôi thấy mức thuế tôi phải đóng theo phương án mới là công bằng (người thu nhập như tôi đóng mức này là hợp lý). - HUMAN-TRU2]]</f>
        <v>8</v>
      </c>
      <c r="AS391" t="str">
        <f t="shared" si="178"/>
        <v>Support</v>
      </c>
      <c r="AT391" s="31">
        <f t="shared" si="179"/>
        <v>1</v>
      </c>
      <c r="AU391">
        <f>step3_validation[[#This Row],[AI_TRU3]]</f>
        <v>8</v>
      </c>
      <c r="AV391" t="str">
        <f t="shared" si="180"/>
        <v>Support</v>
      </c>
      <c r="AW391">
        <f>survey_responses[[#This Row],[Tôi tin tưởng số tiền thuế tôi đóng sẽ được Nhà nước sử dụng hiệu quả để cải thiện dịch vụ công (y tế, đường xá...). - HUMAN-TRU3]]</f>
        <v>5</v>
      </c>
      <c r="AX391" t="str">
        <f t="shared" si="181"/>
        <v>Neutral</v>
      </c>
      <c r="AY391" s="31">
        <f t="shared" si="182"/>
        <v>3</v>
      </c>
      <c r="AZ391">
        <f>step3_validation[[#This Row],[AI_TRU4]]</f>
        <v>7</v>
      </c>
      <c r="BA391" t="str">
        <f t="shared" si="183"/>
        <v>Neutral</v>
      </c>
      <c r="BB391">
        <f>survey_responses[[#This Row],[Tôi thấy Nhà nước đã giải thích rõ ràng, minh bạch về lý do và mục tiêu của việc sửa đổi thuế lần này. - HUMAN-TRU4]]</f>
        <v>5</v>
      </c>
      <c r="BC391" t="str">
        <f t="shared" si="184"/>
        <v>Neutral</v>
      </c>
      <c r="BD391" s="31">
        <f t="shared" si="185"/>
        <v>2</v>
      </c>
      <c r="BE391">
        <f>step3_validation[[#This Row],[AI_OUT1]]</f>
        <v>9</v>
      </c>
      <c r="BF391" t="str">
        <f t="shared" si="186"/>
        <v>Support</v>
      </c>
      <c r="BG391">
        <f>survey_responses[[#This Row],[Sau khi xem xét các quyền lợi và nghĩa vụ, bạn có ủng hộ và tuân thủ chính sách mới hiện nay? - HUMAN-OUT1]]</f>
        <v>8</v>
      </c>
      <c r="BH391" t="str">
        <f t="shared" si="187"/>
        <v>Support</v>
      </c>
      <c r="BI391" s="31">
        <f t="shared" si="188"/>
        <v>1</v>
      </c>
    </row>
    <row r="392" spans="1:61" hidden="1" x14ac:dyDescent="0.45">
      <c r="A392" s="29">
        <f>step3_validation[[#This Row],[Persona_ID]]</f>
        <v>391</v>
      </c>
      <c r="B392" s="30">
        <f>step3_validation[[#This Row],[Used_Seed]]</f>
        <v>432</v>
      </c>
      <c r="C392" t="str">
        <f>step3_validation[[#This Row],[Gender]]</f>
        <v>Nam</v>
      </c>
      <c r="D392" t="str">
        <f>survey_responses[[#This Row],[Giới tính của bạn:]]</f>
        <v>Nam</v>
      </c>
      <c r="E392" t="str">
        <f>step3_validation[[#This Row],[Age_Group]]</f>
        <v>25 - 29</v>
      </c>
      <c r="F392" t="str">
        <f>survey_responses[[#This Row],[Độ tuổi của bạn:]]</f>
        <v>25 - 29</v>
      </c>
      <c r="G392" t="str">
        <f>step3_validation[[#This Row],[Region]]</f>
        <v>Thành thị</v>
      </c>
      <c r="H392" t="str">
        <f>survey_responses[[#This Row],[Khu vực bạn đang sinh sống:]]</f>
        <v>Thành thị</v>
      </c>
      <c r="I392" t="str">
        <f>step3_validation[[#This Row],[Education]]</f>
        <v>Đại học</v>
      </c>
      <c r="J392" t="str">
        <f>survey_responses[[#This Row],[Trình độ học vấn cao nhất:]]</f>
        <v>Đại học</v>
      </c>
      <c r="K392" t="str">
        <f>step3_validation[[#This Row],[Employment]]</f>
        <v>Chính thức</v>
      </c>
      <c r="L392" t="str">
        <f>survey_responses[[#This Row],[Tình trạng việc làm chính:]]</f>
        <v>Khu vực chính thức (Có Hợp đồng lao động, đóng BHXH)</v>
      </c>
      <c r="M392">
        <f>step3_validation[[#This Row],[Income_Mil]]</f>
        <v>12.513975961973156</v>
      </c>
      <c r="N392" t="str">
        <f>survey_responses[[#This Row],[Thu nhập bình quân tháng theo Hợp đồng lao động của bạn là bao nhiêu? (Vui lòng điền tổng thu nhập trước khi khấu trừ các loại Bảo hiểm (BHXH, BHYT, BHTN) và Thuế TNCN)]]</f>
        <v>Từ 12 - 18 triệu VNĐ</v>
      </c>
      <c r="O392">
        <f>step3_validation[[#This Row],[Dependents]]</f>
        <v>0</v>
      </c>
      <c r="P392" t="str">
        <f>survey_responses[[#This Row],[Số người phụ thuộc (con nhỏ, cha mẹ già...) đủ điều kiện giảm trừ gia cảnh:]]</f>
        <v>0 người</v>
      </c>
      <c r="Q392">
        <f>step3_validation[[#This Row],[AI_ENF1]]</f>
        <v>7</v>
      </c>
      <c r="R392" t="str">
        <f t="shared" si="162"/>
        <v>Neutral</v>
      </c>
      <c r="S392">
        <f>survey_responses[[#This Row],[Tôi tin rằng với các quy định quản lý thuế hiện nay, hành vi gian lận hoặc trốn thuế sẽ dễ dàng bị phát hiện và xử lý nghiêm. - HUMAN-ENF1]]</f>
        <v>4</v>
      </c>
      <c r="T392" t="str">
        <f t="shared" si="163"/>
        <v>Oppose</v>
      </c>
      <c r="U392" s="31">
        <f t="shared" si="164"/>
        <v>3</v>
      </c>
      <c r="V392">
        <f>step3_validation[[#This Row],[AI_ENF2]]</f>
        <v>7</v>
      </c>
      <c r="W392" t="str">
        <f t="shared" si="165"/>
        <v>Neutral</v>
      </c>
      <c r="X392">
        <f>survey_responses[[#This Row],[Tôi tin rằng Nhà nước, cơ quan thuế có đủ khả năng và công nghệ để phát hiện, xử lý nghiêm các hành vi trốn thuế. - HUMAN-ENF2]]</f>
        <v>5</v>
      </c>
      <c r="Y392" t="str">
        <f t="shared" si="166"/>
        <v>Neutral</v>
      </c>
      <c r="Z392" s="31">
        <f t="shared" si="167"/>
        <v>2</v>
      </c>
      <c r="AA392">
        <f>step3_validation[[#This Row],[AI_FAC1]]</f>
        <v>9</v>
      </c>
      <c r="AB392" t="str">
        <f t="shared" si="168"/>
        <v>Support</v>
      </c>
      <c r="AC392">
        <f>survey_responses[[#This Row],[Các thủ tục khai báo thuế VÀ/HOẶC quy trình làm việc với cơ quan thuế đơn giản, tiện lợi, nhanh chóng hơn so với trước đây. - HUMAN-FAC1]]</f>
        <v>7</v>
      </c>
      <c r="AD392" t="str">
        <f t="shared" si="169"/>
        <v>Neutral</v>
      </c>
      <c r="AE392" s="31">
        <f t="shared" si="170"/>
        <v>2</v>
      </c>
      <c r="AF392">
        <f>step3_validation[[#This Row],[AI_FAC2]]</f>
        <v>9</v>
      </c>
      <c r="AG392" t="str">
        <f t="shared" si="171"/>
        <v>Support</v>
      </c>
      <c r="AH392">
        <f>survey_responses[[#This Row],[So với trước đây, tôi thấy cách tính thuế và các bậc thuế trong phương án mới đơn giản, dễ hiểu và dễ thực hiện hơn. - HUMAN-FAC2]]</f>
        <v>7</v>
      </c>
      <c r="AI392" t="str">
        <f t="shared" si="172"/>
        <v>Neutral</v>
      </c>
      <c r="AJ392" s="31">
        <f t="shared" si="173"/>
        <v>2</v>
      </c>
      <c r="AK392">
        <f>step3_validation[[#This Row],[AI_TRU1]]</f>
        <v>6</v>
      </c>
      <c r="AL392" t="str">
        <f t="shared" si="174"/>
        <v>Neutral</v>
      </c>
      <c r="AM392">
        <f>survey_responses[[#This Row],[Tôi tin rằng Nhà nước, cơ quan thuế sẽ thực thi chính sách mới một cách khách quan, công tâm và đối xử bình đẳng với mọi người nộp thuế.  - HUMAN-TRU1]]</f>
        <v>5</v>
      </c>
      <c r="AN392" t="str">
        <f t="shared" si="175"/>
        <v>Neutral</v>
      </c>
      <c r="AO392" s="31">
        <f t="shared" si="176"/>
        <v>1</v>
      </c>
      <c r="AP392">
        <f>step3_validation[[#This Row],[AI_TRU2]]</f>
        <v>8</v>
      </c>
      <c r="AQ392" t="str">
        <f t="shared" si="177"/>
        <v>Support</v>
      </c>
      <c r="AR392">
        <f>survey_responses[[#This Row],[Tôi thấy mức thuế tôi phải đóng theo phương án mới là công bằng (người thu nhập như tôi đóng mức này là hợp lý). - HUMAN-TRU2]]</f>
        <v>7</v>
      </c>
      <c r="AS392" t="str">
        <f t="shared" si="178"/>
        <v>Neutral</v>
      </c>
      <c r="AT392" s="31">
        <f t="shared" si="179"/>
        <v>1</v>
      </c>
      <c r="AU392">
        <f>step3_validation[[#This Row],[AI_TRU3]]</f>
        <v>6</v>
      </c>
      <c r="AV392" t="str">
        <f t="shared" si="180"/>
        <v>Neutral</v>
      </c>
      <c r="AW392">
        <f>survey_responses[[#This Row],[Tôi tin tưởng số tiền thuế tôi đóng sẽ được Nhà nước sử dụng hiệu quả để cải thiện dịch vụ công (y tế, đường xá...). - HUMAN-TRU3]]</f>
        <v>5</v>
      </c>
      <c r="AX392" t="str">
        <f t="shared" si="181"/>
        <v>Neutral</v>
      </c>
      <c r="AY392" s="31">
        <f t="shared" si="182"/>
        <v>1</v>
      </c>
      <c r="AZ392">
        <f>step3_validation[[#This Row],[AI_TRU4]]</f>
        <v>7</v>
      </c>
      <c r="BA392" t="str">
        <f t="shared" si="183"/>
        <v>Neutral</v>
      </c>
      <c r="BB392">
        <f>survey_responses[[#This Row],[Tôi thấy Nhà nước đã giải thích rõ ràng, minh bạch về lý do và mục tiêu của việc sửa đổi thuế lần này. - HUMAN-TRU4]]</f>
        <v>5</v>
      </c>
      <c r="BC392" t="str">
        <f t="shared" si="184"/>
        <v>Neutral</v>
      </c>
      <c r="BD392" s="31">
        <f t="shared" si="185"/>
        <v>2</v>
      </c>
      <c r="BE392">
        <f>step3_validation[[#This Row],[AI_OUT1]]</f>
        <v>9</v>
      </c>
      <c r="BF392" t="str">
        <f t="shared" si="186"/>
        <v>Support</v>
      </c>
      <c r="BG392">
        <f>survey_responses[[#This Row],[Sau khi xem xét các quyền lợi và nghĩa vụ, bạn có ủng hộ và tuân thủ chính sách mới hiện nay? - HUMAN-OUT1]]</f>
        <v>7</v>
      </c>
      <c r="BH392" t="str">
        <f t="shared" si="187"/>
        <v>Neutral</v>
      </c>
      <c r="BI392" s="31">
        <f t="shared" si="188"/>
        <v>2</v>
      </c>
    </row>
    <row r="393" spans="1:61" hidden="1" x14ac:dyDescent="0.45">
      <c r="A393" s="29">
        <f>step3_validation[[#This Row],[Persona_ID]]</f>
        <v>392</v>
      </c>
      <c r="B393" s="30">
        <f>step3_validation[[#This Row],[Used_Seed]]</f>
        <v>433</v>
      </c>
      <c r="C393" t="str">
        <f>step3_validation[[#This Row],[Gender]]</f>
        <v>Nữ</v>
      </c>
      <c r="D393" t="str">
        <f>survey_responses[[#This Row],[Giới tính của bạn:]]</f>
        <v>Nữ</v>
      </c>
      <c r="E393" t="str">
        <f>step3_validation[[#This Row],[Age_Group]]</f>
        <v>55 - 64</v>
      </c>
      <c r="F393" t="str">
        <f>survey_responses[[#This Row],[Độ tuổi của bạn:]]</f>
        <v>55 - 64</v>
      </c>
      <c r="G393" t="str">
        <f>step3_validation[[#This Row],[Region]]</f>
        <v>Thành thị</v>
      </c>
      <c r="H393" t="str">
        <f>survey_responses[[#This Row],[Khu vực bạn đang sinh sống:]]</f>
        <v>Thành thị</v>
      </c>
      <c r="I393" t="str">
        <f>step3_validation[[#This Row],[Education]]</f>
        <v>Sau Đại học</v>
      </c>
      <c r="J393" t="str">
        <f>survey_responses[[#This Row],[Trình độ học vấn cao nhất:]]</f>
        <v>Sau Đại học</v>
      </c>
      <c r="K393" t="str">
        <f>step3_validation[[#This Row],[Employment]]</f>
        <v>Chính thức</v>
      </c>
      <c r="L393" t="str">
        <f>survey_responses[[#This Row],[Tình trạng việc làm chính:]]</f>
        <v>Khu vực chính thức (Có Hợp đồng lao động, đóng BHXH)</v>
      </c>
      <c r="M393">
        <f>step3_validation[[#This Row],[Income_Mil]]</f>
        <v>181.80268236805213</v>
      </c>
      <c r="N393" t="str">
        <f>survey_responses[[#This Row],[Thu nhập bình quân tháng theo Hợp đồng lao động của bạn là bao nhiêu? (Vui lòng điền tổng thu nhập trước khi khấu trừ các loại Bảo hiểm (BHXH, BHYT, BHTN) và Thuế TNCN)]]</f>
        <v>Trên 102 triệu VNĐ</v>
      </c>
      <c r="O393">
        <f>step3_validation[[#This Row],[Dependents]]</f>
        <v>4</v>
      </c>
      <c r="P393" t="str">
        <f>survey_responses[[#This Row],[Số người phụ thuộc (con nhỏ, cha mẹ già...) đủ điều kiện giảm trừ gia cảnh:]]</f>
        <v>4 người trở lên</v>
      </c>
      <c r="Q393">
        <f>step3_validation[[#This Row],[AI_ENF1]]</f>
        <v>7</v>
      </c>
      <c r="R393" t="str">
        <f t="shared" si="162"/>
        <v>Neutral</v>
      </c>
      <c r="S393">
        <f>survey_responses[[#This Row],[Tôi tin rằng với các quy định quản lý thuế hiện nay, hành vi gian lận hoặc trốn thuế sẽ dễ dàng bị phát hiện và xử lý nghiêm. - HUMAN-ENF1]]</f>
        <v>2</v>
      </c>
      <c r="T393" t="str">
        <f t="shared" si="163"/>
        <v>Oppose</v>
      </c>
      <c r="U393" s="31">
        <f t="shared" si="164"/>
        <v>5</v>
      </c>
      <c r="V393">
        <f>step3_validation[[#This Row],[AI_ENF2]]</f>
        <v>8</v>
      </c>
      <c r="W393" t="str">
        <f t="shared" si="165"/>
        <v>Support</v>
      </c>
      <c r="X393">
        <f>survey_responses[[#This Row],[Tôi tin rằng Nhà nước, cơ quan thuế có đủ khả năng và công nghệ để phát hiện, xử lý nghiêm các hành vi trốn thuế. - HUMAN-ENF2]]</f>
        <v>3</v>
      </c>
      <c r="Y393" t="str">
        <f t="shared" si="166"/>
        <v>Oppose</v>
      </c>
      <c r="Z393" s="31">
        <f t="shared" si="167"/>
        <v>5</v>
      </c>
      <c r="AA393">
        <f>step3_validation[[#This Row],[AI_FAC1]]</f>
        <v>9</v>
      </c>
      <c r="AB393" t="str">
        <f t="shared" si="168"/>
        <v>Support</v>
      </c>
      <c r="AC393">
        <f>survey_responses[[#This Row],[Các thủ tục khai báo thuế VÀ/HOẶC quy trình làm việc với cơ quan thuế đơn giản, tiện lợi, nhanh chóng hơn so với trước đây. - HUMAN-FAC1]]</f>
        <v>3</v>
      </c>
      <c r="AD393" t="str">
        <f t="shared" si="169"/>
        <v>Oppose</v>
      </c>
      <c r="AE393" s="31">
        <f t="shared" si="170"/>
        <v>6</v>
      </c>
      <c r="AF393">
        <f>step3_validation[[#This Row],[AI_FAC2]]</f>
        <v>9</v>
      </c>
      <c r="AG393" t="str">
        <f t="shared" si="171"/>
        <v>Support</v>
      </c>
      <c r="AH393">
        <f>survey_responses[[#This Row],[So với trước đây, tôi thấy cách tính thuế và các bậc thuế trong phương án mới đơn giản, dễ hiểu và dễ thực hiện hơn. - HUMAN-FAC2]]</f>
        <v>6</v>
      </c>
      <c r="AI393" t="str">
        <f t="shared" si="172"/>
        <v>Neutral</v>
      </c>
      <c r="AJ393" s="31">
        <f t="shared" si="173"/>
        <v>3</v>
      </c>
      <c r="AK393">
        <f>step3_validation[[#This Row],[AI_TRU1]]</f>
        <v>8</v>
      </c>
      <c r="AL393" t="str">
        <f t="shared" si="174"/>
        <v>Support</v>
      </c>
      <c r="AM393">
        <f>survey_responses[[#This Row],[Tôi tin rằng Nhà nước, cơ quan thuế sẽ thực thi chính sách mới một cách khách quan, công tâm và đối xử bình đẳng với mọi người nộp thuế.  - HUMAN-TRU1]]</f>
        <v>5</v>
      </c>
      <c r="AN393" t="str">
        <f t="shared" si="175"/>
        <v>Neutral</v>
      </c>
      <c r="AO393" s="31">
        <f t="shared" si="176"/>
        <v>3</v>
      </c>
      <c r="AP393">
        <f>step3_validation[[#This Row],[AI_TRU2]]</f>
        <v>9</v>
      </c>
      <c r="AQ393" t="str">
        <f t="shared" si="177"/>
        <v>Support</v>
      </c>
      <c r="AR393">
        <f>survey_responses[[#This Row],[Tôi thấy mức thuế tôi phải đóng theo phương án mới là công bằng (người thu nhập như tôi đóng mức này là hợp lý). - HUMAN-TRU2]]</f>
        <v>5</v>
      </c>
      <c r="AS393" t="str">
        <f t="shared" si="178"/>
        <v>Neutral</v>
      </c>
      <c r="AT393" s="31">
        <f t="shared" si="179"/>
        <v>4</v>
      </c>
      <c r="AU393">
        <f>step3_validation[[#This Row],[AI_TRU3]]</f>
        <v>8</v>
      </c>
      <c r="AV393" t="str">
        <f t="shared" si="180"/>
        <v>Support</v>
      </c>
      <c r="AW393">
        <f>survey_responses[[#This Row],[Tôi tin tưởng số tiền thuế tôi đóng sẽ được Nhà nước sử dụng hiệu quả để cải thiện dịch vụ công (y tế, đường xá...). - HUMAN-TRU3]]</f>
        <v>5</v>
      </c>
      <c r="AX393" t="str">
        <f t="shared" si="181"/>
        <v>Neutral</v>
      </c>
      <c r="AY393" s="31">
        <f t="shared" si="182"/>
        <v>3</v>
      </c>
      <c r="AZ393">
        <f>step3_validation[[#This Row],[AI_TRU4]]</f>
        <v>7</v>
      </c>
      <c r="BA393" t="str">
        <f t="shared" si="183"/>
        <v>Neutral</v>
      </c>
      <c r="BB393">
        <f>survey_responses[[#This Row],[Tôi thấy Nhà nước đã giải thích rõ ràng, minh bạch về lý do và mục tiêu của việc sửa đổi thuế lần này. - HUMAN-TRU4]]</f>
        <v>5</v>
      </c>
      <c r="BC393" t="str">
        <f t="shared" si="184"/>
        <v>Neutral</v>
      </c>
      <c r="BD393" s="31">
        <f t="shared" si="185"/>
        <v>2</v>
      </c>
      <c r="BE393">
        <f>step3_validation[[#This Row],[AI_OUT1]]</f>
        <v>9</v>
      </c>
      <c r="BF393" t="str">
        <f t="shared" si="186"/>
        <v>Support</v>
      </c>
      <c r="BG393">
        <f>survey_responses[[#This Row],[Sau khi xem xét các quyền lợi và nghĩa vụ, bạn có ủng hộ và tuân thủ chính sách mới hiện nay? - HUMAN-OUT1]]</f>
        <v>5</v>
      </c>
      <c r="BH393" t="str">
        <f t="shared" si="187"/>
        <v>Neutral</v>
      </c>
      <c r="BI393" s="31">
        <f t="shared" si="188"/>
        <v>4</v>
      </c>
    </row>
    <row r="394" spans="1:61" hidden="1" x14ac:dyDescent="0.45">
      <c r="A394" s="29">
        <f>step3_validation[[#This Row],[Persona_ID]]</f>
        <v>393</v>
      </c>
      <c r="B394" s="30">
        <f>step3_validation[[#This Row],[Used_Seed]]</f>
        <v>434</v>
      </c>
      <c r="C394" t="str">
        <f>step3_validation[[#This Row],[Gender]]</f>
        <v>Nữ</v>
      </c>
      <c r="D394" t="str">
        <f>survey_responses[[#This Row],[Giới tính của bạn:]]</f>
        <v>Nữ</v>
      </c>
      <c r="E394" t="str">
        <f>step3_validation[[#This Row],[Age_Group]]</f>
        <v>30 - 39</v>
      </c>
      <c r="F394" t="str">
        <f>survey_responses[[#This Row],[Độ tuổi của bạn:]]</f>
        <v>30 - 39</v>
      </c>
      <c r="G394" t="str">
        <f>step3_validation[[#This Row],[Region]]</f>
        <v>Thành thị</v>
      </c>
      <c r="H394" t="str">
        <f>survey_responses[[#This Row],[Khu vực bạn đang sinh sống:]]</f>
        <v>Thành thị</v>
      </c>
      <c r="I394" t="str">
        <f>step3_validation[[#This Row],[Education]]</f>
        <v>Đại học</v>
      </c>
      <c r="J394" t="str">
        <f>survey_responses[[#This Row],[Trình độ học vấn cao nhất:]]</f>
        <v>Đại học</v>
      </c>
      <c r="K394" t="str">
        <f>step3_validation[[#This Row],[Employment]]</f>
        <v>Chính thức</v>
      </c>
      <c r="L394" t="str">
        <f>survey_responses[[#This Row],[Tình trạng việc làm chính:]]</f>
        <v>Khu vực chính thức (Có Hợp đồng lao động, đóng BHXH)</v>
      </c>
      <c r="M394">
        <f>step3_validation[[#This Row],[Income_Mil]]</f>
        <v>24.237912887979391</v>
      </c>
      <c r="N394" t="str">
        <f>survey_responses[[#This Row],[Thu nhập bình quân tháng theo Hợp đồng lao động của bạn là bao nhiêu? (Vui lòng điền tổng thu nhập trước khi khấu trừ các loại Bảo hiểm (BHXH, BHYT, BHTN) và Thuế TNCN)]]</f>
        <v>Từ 23 - 32 triệu VNĐ</v>
      </c>
      <c r="O394">
        <f>step3_validation[[#This Row],[Dependents]]</f>
        <v>2</v>
      </c>
      <c r="P394" t="str">
        <f>survey_responses[[#This Row],[Số người phụ thuộc (con nhỏ, cha mẹ già...) đủ điều kiện giảm trừ gia cảnh:]]</f>
        <v>2 người</v>
      </c>
      <c r="Q394">
        <f>step3_validation[[#This Row],[AI_ENF1]]</f>
        <v>7</v>
      </c>
      <c r="R394" t="str">
        <f t="shared" si="162"/>
        <v>Neutral</v>
      </c>
      <c r="S394">
        <f>survey_responses[[#This Row],[Tôi tin rằng với các quy định quản lý thuế hiện nay, hành vi gian lận hoặc trốn thuế sẽ dễ dàng bị phát hiện và xử lý nghiêm. - HUMAN-ENF1]]</f>
        <v>7</v>
      </c>
      <c r="T394" t="str">
        <f t="shared" si="163"/>
        <v>Neutral</v>
      </c>
      <c r="U394" s="31">
        <f t="shared" si="164"/>
        <v>0</v>
      </c>
      <c r="V394">
        <f>step3_validation[[#This Row],[AI_ENF2]]</f>
        <v>9</v>
      </c>
      <c r="W394" t="str">
        <f t="shared" si="165"/>
        <v>Support</v>
      </c>
      <c r="X394">
        <f>survey_responses[[#This Row],[Tôi tin rằng Nhà nước, cơ quan thuế có đủ khả năng và công nghệ để phát hiện, xử lý nghiêm các hành vi trốn thuế. - HUMAN-ENF2]]</f>
        <v>7</v>
      </c>
      <c r="Y394" t="str">
        <f t="shared" si="166"/>
        <v>Neutral</v>
      </c>
      <c r="Z394" s="31">
        <f t="shared" si="167"/>
        <v>2</v>
      </c>
      <c r="AA394">
        <f>step3_validation[[#This Row],[AI_FAC1]]</f>
        <v>8</v>
      </c>
      <c r="AB394" t="str">
        <f t="shared" si="168"/>
        <v>Support</v>
      </c>
      <c r="AC394">
        <f>survey_responses[[#This Row],[Các thủ tục khai báo thuế VÀ/HOẶC quy trình làm việc với cơ quan thuế đơn giản, tiện lợi, nhanh chóng hơn so với trước đây. - HUMAN-FAC1]]</f>
        <v>5</v>
      </c>
      <c r="AD394" t="str">
        <f t="shared" si="169"/>
        <v>Neutral</v>
      </c>
      <c r="AE394" s="31">
        <f t="shared" si="170"/>
        <v>3</v>
      </c>
      <c r="AF394">
        <f>step3_validation[[#This Row],[AI_FAC2]]</f>
        <v>9</v>
      </c>
      <c r="AG394" t="str">
        <f t="shared" si="171"/>
        <v>Support</v>
      </c>
      <c r="AH394">
        <f>survey_responses[[#This Row],[So với trước đây, tôi thấy cách tính thuế và các bậc thuế trong phương án mới đơn giản, dễ hiểu và dễ thực hiện hơn. - HUMAN-FAC2]]</f>
        <v>8</v>
      </c>
      <c r="AI394" t="str">
        <f t="shared" si="172"/>
        <v>Support</v>
      </c>
      <c r="AJ394" s="31">
        <f t="shared" si="173"/>
        <v>1</v>
      </c>
      <c r="AK394">
        <f>step3_validation[[#This Row],[AI_TRU1]]</f>
        <v>7</v>
      </c>
      <c r="AL394" t="str">
        <f t="shared" si="174"/>
        <v>Neutral</v>
      </c>
      <c r="AM394">
        <f>survey_responses[[#This Row],[Tôi tin rằng Nhà nước, cơ quan thuế sẽ thực thi chính sách mới một cách khách quan, công tâm và đối xử bình đẳng với mọi người nộp thuế.  - HUMAN-TRU1]]</f>
        <v>7</v>
      </c>
      <c r="AN394" t="str">
        <f t="shared" si="175"/>
        <v>Neutral</v>
      </c>
      <c r="AO394" s="31">
        <f t="shared" si="176"/>
        <v>0</v>
      </c>
      <c r="AP394">
        <f>step3_validation[[#This Row],[AI_TRU2]]</f>
        <v>8</v>
      </c>
      <c r="AQ394" t="str">
        <f t="shared" si="177"/>
        <v>Support</v>
      </c>
      <c r="AR394">
        <f>survey_responses[[#This Row],[Tôi thấy mức thuế tôi phải đóng theo phương án mới là công bằng (người thu nhập như tôi đóng mức này là hợp lý). - HUMAN-TRU2]]</f>
        <v>7</v>
      </c>
      <c r="AS394" t="str">
        <f t="shared" si="178"/>
        <v>Neutral</v>
      </c>
      <c r="AT394" s="31">
        <f t="shared" si="179"/>
        <v>1</v>
      </c>
      <c r="AU394">
        <f>step3_validation[[#This Row],[AI_TRU3]]</f>
        <v>9</v>
      </c>
      <c r="AV394" t="str">
        <f t="shared" si="180"/>
        <v>Support</v>
      </c>
      <c r="AW394">
        <f>survey_responses[[#This Row],[Tôi tin tưởng số tiền thuế tôi đóng sẽ được Nhà nước sử dụng hiệu quả để cải thiện dịch vụ công (y tế, đường xá...). - HUMAN-TRU3]]</f>
        <v>5</v>
      </c>
      <c r="AX394" t="str">
        <f t="shared" si="181"/>
        <v>Neutral</v>
      </c>
      <c r="AY394" s="31">
        <f t="shared" si="182"/>
        <v>4</v>
      </c>
      <c r="AZ394">
        <f>step3_validation[[#This Row],[AI_TRU4]]</f>
        <v>8</v>
      </c>
      <c r="BA394" t="str">
        <f t="shared" si="183"/>
        <v>Support</v>
      </c>
      <c r="BB394">
        <f>survey_responses[[#This Row],[Tôi thấy Nhà nước đã giải thích rõ ràng, minh bạch về lý do và mục tiêu của việc sửa đổi thuế lần này. - HUMAN-TRU4]]</f>
        <v>6</v>
      </c>
      <c r="BC394" t="str">
        <f t="shared" si="184"/>
        <v>Neutral</v>
      </c>
      <c r="BD394" s="31">
        <f t="shared" si="185"/>
        <v>2</v>
      </c>
      <c r="BE394">
        <f>step3_validation[[#This Row],[AI_OUT1]]</f>
        <v>9</v>
      </c>
      <c r="BF394" t="str">
        <f t="shared" si="186"/>
        <v>Support</v>
      </c>
      <c r="BG394">
        <f>survey_responses[[#This Row],[Sau khi xem xét các quyền lợi và nghĩa vụ, bạn có ủng hộ và tuân thủ chính sách mới hiện nay? - HUMAN-OUT1]]</f>
        <v>7</v>
      </c>
      <c r="BH394" t="str">
        <f t="shared" si="187"/>
        <v>Neutral</v>
      </c>
      <c r="BI394" s="31">
        <f t="shared" si="188"/>
        <v>2</v>
      </c>
    </row>
    <row r="395" spans="1:61" x14ac:dyDescent="0.45">
      <c r="A395" s="29">
        <f>step3_validation[[#This Row],[Persona_ID]]</f>
        <v>394</v>
      </c>
      <c r="B395" s="30">
        <f>step3_validation[[#This Row],[Used_Seed]]</f>
        <v>435</v>
      </c>
      <c r="C395" t="str">
        <f>step3_validation[[#This Row],[Gender]]</f>
        <v>Nam</v>
      </c>
      <c r="D395" t="str">
        <f>survey_responses[[#This Row],[Giới tính của bạn:]]</f>
        <v>Nam</v>
      </c>
      <c r="E395" t="str">
        <f>step3_validation[[#This Row],[Age_Group]]</f>
        <v>25 - 29</v>
      </c>
      <c r="F395" t="str">
        <f>survey_responses[[#This Row],[Độ tuổi của bạn:]]</f>
        <v>25 - 29</v>
      </c>
      <c r="G395" t="str">
        <f>step3_validation[[#This Row],[Region]]</f>
        <v>Thành thị</v>
      </c>
      <c r="H395" t="str">
        <f>survey_responses[[#This Row],[Khu vực bạn đang sinh sống:]]</f>
        <v>Thành thị</v>
      </c>
      <c r="I395" t="str">
        <f>step3_validation[[#This Row],[Education]]</f>
        <v>Đại học</v>
      </c>
      <c r="J395" t="str">
        <f>survey_responses[[#This Row],[Trình độ học vấn cao nhất:]]</f>
        <v>Đại học</v>
      </c>
      <c r="K395" t="str">
        <f>step3_validation[[#This Row],[Employment]]</f>
        <v>Chính thức</v>
      </c>
      <c r="L395" t="str">
        <f>survey_responses[[#This Row],[Tình trạng việc làm chính:]]</f>
        <v>Khu vực chính thức (Có Hợp đồng lao động, đóng BHXH)</v>
      </c>
      <c r="M395">
        <f>step3_validation[[#This Row],[Income_Mil]]</f>
        <v>12</v>
      </c>
      <c r="N395" t="str">
        <f>survey_responses[[#This Row],[Thu nhập bình quân tháng theo Hợp đồng lao động của bạn là bao nhiêu? (Vui lòng điền tổng thu nhập trước khi khấu trừ các loại Bảo hiểm (BHXH, BHYT, BHTN) và Thuế TNCN)]]</f>
        <v>Dưới 12 triệu VNĐ</v>
      </c>
      <c r="O395">
        <f>step3_validation[[#This Row],[Dependents]]</f>
        <v>1</v>
      </c>
      <c r="P395" t="str">
        <f>survey_responses[[#This Row],[Số người phụ thuộc (con nhỏ, cha mẹ già...) đủ điều kiện giảm trừ gia cảnh:]]</f>
        <v>1 người</v>
      </c>
      <c r="Q395">
        <f>step3_validation[[#This Row],[AI_ENF1]]</f>
        <v>3</v>
      </c>
      <c r="R395" t="str">
        <f t="shared" si="162"/>
        <v>Oppose</v>
      </c>
      <c r="S395">
        <f>survey_responses[[#This Row],[Tôi tin rằng với các quy định quản lý thuế hiện nay, hành vi gian lận hoặc trốn thuế sẽ dễ dàng bị phát hiện và xử lý nghiêm. - HUMAN-ENF1]]</f>
        <v>9</v>
      </c>
      <c r="T395" t="str">
        <f t="shared" si="163"/>
        <v>Support</v>
      </c>
      <c r="U395" s="31">
        <f t="shared" si="164"/>
        <v>6</v>
      </c>
      <c r="V395">
        <f>step3_validation[[#This Row],[AI_ENF2]]</f>
        <v>3</v>
      </c>
      <c r="W395" t="str">
        <f t="shared" si="165"/>
        <v>Oppose</v>
      </c>
      <c r="X395">
        <f>survey_responses[[#This Row],[Tôi tin rằng Nhà nước, cơ quan thuế có đủ khả năng và công nghệ để phát hiện, xử lý nghiêm các hành vi trốn thuế. - HUMAN-ENF2]]</f>
        <v>9</v>
      </c>
      <c r="Y395" t="str">
        <f t="shared" si="166"/>
        <v>Support</v>
      </c>
      <c r="Z395" s="31">
        <f t="shared" si="167"/>
        <v>6</v>
      </c>
      <c r="AA395">
        <f>step3_validation[[#This Row],[AI_FAC1]]</f>
        <v>8</v>
      </c>
      <c r="AB395" t="str">
        <f t="shared" si="168"/>
        <v>Support</v>
      </c>
      <c r="AC395">
        <f>survey_responses[[#This Row],[Các thủ tục khai báo thuế VÀ/HOẶC quy trình làm việc với cơ quan thuế đơn giản, tiện lợi, nhanh chóng hơn so với trước đây. - HUMAN-FAC1]]</f>
        <v>9</v>
      </c>
      <c r="AD395" t="str">
        <f t="shared" si="169"/>
        <v>Support</v>
      </c>
      <c r="AE395" s="31">
        <f t="shared" si="170"/>
        <v>1</v>
      </c>
      <c r="AF395">
        <f>step3_validation[[#This Row],[AI_FAC2]]</f>
        <v>9</v>
      </c>
      <c r="AG395" t="str">
        <f t="shared" si="171"/>
        <v>Support</v>
      </c>
      <c r="AH395">
        <f>survey_responses[[#This Row],[So với trước đây, tôi thấy cách tính thuế và các bậc thuế trong phương án mới đơn giản, dễ hiểu và dễ thực hiện hơn. - HUMAN-FAC2]]</f>
        <v>7</v>
      </c>
      <c r="AI395" t="str">
        <f t="shared" si="172"/>
        <v>Neutral</v>
      </c>
      <c r="AJ395" s="31">
        <f t="shared" si="173"/>
        <v>2</v>
      </c>
      <c r="AK395">
        <f>step3_validation[[#This Row],[AI_TRU1]]</f>
        <v>6</v>
      </c>
      <c r="AL395" t="str">
        <f t="shared" si="174"/>
        <v>Neutral</v>
      </c>
      <c r="AM395">
        <f>survey_responses[[#This Row],[Tôi tin rằng Nhà nước, cơ quan thuế sẽ thực thi chính sách mới một cách khách quan, công tâm và đối xử bình đẳng với mọi người nộp thuế.  - HUMAN-TRU1]]</f>
        <v>8</v>
      </c>
      <c r="AN395" t="str">
        <f t="shared" si="175"/>
        <v>Support</v>
      </c>
      <c r="AO395" s="31">
        <f t="shared" si="176"/>
        <v>2</v>
      </c>
      <c r="AP395">
        <f>step3_validation[[#This Row],[AI_TRU2]]</f>
        <v>6</v>
      </c>
      <c r="AQ395" t="str">
        <f t="shared" si="177"/>
        <v>Neutral</v>
      </c>
      <c r="AR395">
        <f>survey_responses[[#This Row],[Tôi thấy mức thuế tôi phải đóng theo phương án mới là công bằng (người thu nhập như tôi đóng mức này là hợp lý). - HUMAN-TRU2]]</f>
        <v>6</v>
      </c>
      <c r="AS395" t="str">
        <f t="shared" si="178"/>
        <v>Neutral</v>
      </c>
      <c r="AT395" s="31">
        <f t="shared" si="179"/>
        <v>0</v>
      </c>
      <c r="AU395">
        <f>step3_validation[[#This Row],[AI_TRU3]]</f>
        <v>7</v>
      </c>
      <c r="AV395" t="str">
        <f t="shared" si="180"/>
        <v>Neutral</v>
      </c>
      <c r="AW395">
        <f>survey_responses[[#This Row],[Tôi tin tưởng số tiền thuế tôi đóng sẽ được Nhà nước sử dụng hiệu quả để cải thiện dịch vụ công (y tế, đường xá...). - HUMAN-TRU3]]</f>
        <v>8</v>
      </c>
      <c r="AX395" t="str">
        <f t="shared" si="181"/>
        <v>Support</v>
      </c>
      <c r="AY395" s="31">
        <f t="shared" si="182"/>
        <v>1</v>
      </c>
      <c r="AZ395">
        <f>step3_validation[[#This Row],[AI_TRU4]]</f>
        <v>6</v>
      </c>
      <c r="BA395" t="str">
        <f t="shared" si="183"/>
        <v>Neutral</v>
      </c>
      <c r="BB395">
        <f>survey_responses[[#This Row],[Tôi thấy Nhà nước đã giải thích rõ ràng, minh bạch về lý do và mục tiêu của việc sửa đổi thuế lần này. - HUMAN-TRU4]]</f>
        <v>10</v>
      </c>
      <c r="BC395" t="str">
        <f t="shared" si="184"/>
        <v>Support</v>
      </c>
      <c r="BD395" s="31">
        <f t="shared" si="185"/>
        <v>4</v>
      </c>
      <c r="BE395">
        <f>step3_validation[[#This Row],[AI_OUT1]]</f>
        <v>7</v>
      </c>
      <c r="BF395" t="str">
        <f t="shared" si="186"/>
        <v>Neutral</v>
      </c>
      <c r="BG395">
        <f>survey_responses[[#This Row],[Sau khi xem xét các quyền lợi và nghĩa vụ, bạn có ủng hộ và tuân thủ chính sách mới hiện nay? - HUMAN-OUT1]]</f>
        <v>10</v>
      </c>
      <c r="BH395" t="str">
        <f t="shared" si="187"/>
        <v>Support</v>
      </c>
      <c r="BI395" s="31">
        <f t="shared" si="188"/>
        <v>3</v>
      </c>
    </row>
    <row r="396" spans="1:61" hidden="1" x14ac:dyDescent="0.45">
      <c r="A396" s="29">
        <f>step3_validation[[#This Row],[Persona_ID]]</f>
        <v>395</v>
      </c>
      <c r="B396" s="30">
        <f>step3_validation[[#This Row],[Used_Seed]]</f>
        <v>436</v>
      </c>
      <c r="C396" t="str">
        <f>step3_validation[[#This Row],[Gender]]</f>
        <v>Nam</v>
      </c>
      <c r="D396" t="str">
        <f>survey_responses[[#This Row],[Giới tính của bạn:]]</f>
        <v>Nam</v>
      </c>
      <c r="E396" t="str">
        <f>step3_validation[[#This Row],[Age_Group]]</f>
        <v>50 - 54</v>
      </c>
      <c r="F396" t="str">
        <f>survey_responses[[#This Row],[Độ tuổi của bạn:]]</f>
        <v>50 - 54</v>
      </c>
      <c r="G396" t="str">
        <f>step3_validation[[#This Row],[Region]]</f>
        <v>Thành thị</v>
      </c>
      <c r="H396" t="str">
        <f>survey_responses[[#This Row],[Khu vực bạn đang sinh sống:]]</f>
        <v>Thành thị</v>
      </c>
      <c r="I396" t="str">
        <f>step3_validation[[#This Row],[Education]]</f>
        <v>Đại học</v>
      </c>
      <c r="J396" t="str">
        <f>survey_responses[[#This Row],[Trình độ học vấn cao nhất:]]</f>
        <v>Đại học</v>
      </c>
      <c r="K396" t="str">
        <f>step3_validation[[#This Row],[Employment]]</f>
        <v>Chính thức</v>
      </c>
      <c r="L396" t="str">
        <f>survey_responses[[#This Row],[Tình trạng việc làm chính:]]</f>
        <v>Khu vực chính thức (Có Hợp đồng lao động, đóng BHXH)</v>
      </c>
      <c r="M396">
        <f>step3_validation[[#This Row],[Income_Mil]]</f>
        <v>34.081530347075777</v>
      </c>
      <c r="N396" t="str">
        <f>survey_responses[[#This Row],[Thu nhập bình quân tháng theo Hợp đồng lao động của bạn là bao nhiêu? (Vui lòng điền tổng thu nhập trước khi khấu trừ các loại Bảo hiểm (BHXH, BHYT, BHTN) và Thuế TNCN)]]</f>
        <v>Từ 32 - 48 triệu VNĐ</v>
      </c>
      <c r="O396">
        <f>step3_validation[[#This Row],[Dependents]]</f>
        <v>1</v>
      </c>
      <c r="P396" t="str">
        <f>survey_responses[[#This Row],[Số người phụ thuộc (con nhỏ, cha mẹ già...) đủ điều kiện giảm trừ gia cảnh:]]</f>
        <v>1 người</v>
      </c>
      <c r="Q396">
        <f>step3_validation[[#This Row],[AI_ENF1]]</f>
        <v>7</v>
      </c>
      <c r="R396" t="str">
        <f t="shared" si="162"/>
        <v>Neutral</v>
      </c>
      <c r="S396">
        <f>survey_responses[[#This Row],[Tôi tin rằng với các quy định quản lý thuế hiện nay, hành vi gian lận hoặc trốn thuế sẽ dễ dàng bị phát hiện và xử lý nghiêm. - HUMAN-ENF1]]</f>
        <v>7</v>
      </c>
      <c r="T396" t="str">
        <f t="shared" si="163"/>
        <v>Neutral</v>
      </c>
      <c r="U396" s="31">
        <f t="shared" si="164"/>
        <v>0</v>
      </c>
      <c r="V396">
        <f>step3_validation[[#This Row],[AI_ENF2]]</f>
        <v>9</v>
      </c>
      <c r="W396" t="str">
        <f t="shared" si="165"/>
        <v>Support</v>
      </c>
      <c r="X396">
        <f>survey_responses[[#This Row],[Tôi tin rằng Nhà nước, cơ quan thuế có đủ khả năng và công nghệ để phát hiện, xử lý nghiêm các hành vi trốn thuế. - HUMAN-ENF2]]</f>
        <v>7</v>
      </c>
      <c r="Y396" t="str">
        <f t="shared" si="166"/>
        <v>Neutral</v>
      </c>
      <c r="Z396" s="31">
        <f t="shared" si="167"/>
        <v>2</v>
      </c>
      <c r="AA396">
        <f>step3_validation[[#This Row],[AI_FAC1]]</f>
        <v>8</v>
      </c>
      <c r="AB396" t="str">
        <f t="shared" si="168"/>
        <v>Support</v>
      </c>
      <c r="AC396">
        <f>survey_responses[[#This Row],[Các thủ tục khai báo thuế VÀ/HOẶC quy trình làm việc với cơ quan thuế đơn giản, tiện lợi, nhanh chóng hơn so với trước đây. - HUMAN-FAC1]]</f>
        <v>5</v>
      </c>
      <c r="AD396" t="str">
        <f t="shared" si="169"/>
        <v>Neutral</v>
      </c>
      <c r="AE396" s="31">
        <f t="shared" si="170"/>
        <v>3</v>
      </c>
      <c r="AF396">
        <f>step3_validation[[#This Row],[AI_FAC2]]</f>
        <v>6</v>
      </c>
      <c r="AG396" t="str">
        <f t="shared" si="171"/>
        <v>Neutral</v>
      </c>
      <c r="AH396">
        <f>survey_responses[[#This Row],[So với trước đây, tôi thấy cách tính thuế và các bậc thuế trong phương án mới đơn giản, dễ hiểu và dễ thực hiện hơn. - HUMAN-FAC2]]</f>
        <v>7</v>
      </c>
      <c r="AI396" t="str">
        <f t="shared" si="172"/>
        <v>Neutral</v>
      </c>
      <c r="AJ396" s="31">
        <f t="shared" si="173"/>
        <v>1</v>
      </c>
      <c r="AK396">
        <f>step3_validation[[#This Row],[AI_TRU1]]</f>
        <v>8</v>
      </c>
      <c r="AL396" t="str">
        <f t="shared" si="174"/>
        <v>Support</v>
      </c>
      <c r="AM396">
        <f>survey_responses[[#This Row],[Tôi tin rằng Nhà nước, cơ quan thuế sẽ thực thi chính sách mới một cách khách quan, công tâm và đối xử bình đẳng với mọi người nộp thuế.  - HUMAN-TRU1]]</f>
        <v>5</v>
      </c>
      <c r="AN396" t="str">
        <f t="shared" si="175"/>
        <v>Neutral</v>
      </c>
      <c r="AO396" s="31">
        <f t="shared" si="176"/>
        <v>3</v>
      </c>
      <c r="AP396">
        <f>step3_validation[[#This Row],[AI_TRU2]]</f>
        <v>9</v>
      </c>
      <c r="AQ396" t="str">
        <f t="shared" si="177"/>
        <v>Support</v>
      </c>
      <c r="AR396">
        <f>survey_responses[[#This Row],[Tôi thấy mức thuế tôi phải đóng theo phương án mới là công bằng (người thu nhập như tôi đóng mức này là hợp lý). - HUMAN-TRU2]]</f>
        <v>6</v>
      </c>
      <c r="AS396" t="str">
        <f t="shared" si="178"/>
        <v>Neutral</v>
      </c>
      <c r="AT396" s="31">
        <f t="shared" si="179"/>
        <v>3</v>
      </c>
      <c r="AU396">
        <f>step3_validation[[#This Row],[AI_TRU3]]</f>
        <v>8</v>
      </c>
      <c r="AV396" t="str">
        <f t="shared" si="180"/>
        <v>Support</v>
      </c>
      <c r="AW396">
        <f>survey_responses[[#This Row],[Tôi tin tưởng số tiền thuế tôi đóng sẽ được Nhà nước sử dụng hiệu quả để cải thiện dịch vụ công (y tế, đường xá...). - HUMAN-TRU3]]</f>
        <v>5</v>
      </c>
      <c r="AX396" t="str">
        <f t="shared" si="181"/>
        <v>Neutral</v>
      </c>
      <c r="AY396" s="31">
        <f t="shared" si="182"/>
        <v>3</v>
      </c>
      <c r="AZ396">
        <f>step3_validation[[#This Row],[AI_TRU4]]</f>
        <v>9</v>
      </c>
      <c r="BA396" t="str">
        <f t="shared" si="183"/>
        <v>Support</v>
      </c>
      <c r="BB396">
        <f>survey_responses[[#This Row],[Tôi thấy Nhà nước đã giải thích rõ ràng, minh bạch về lý do và mục tiêu của việc sửa đổi thuế lần này. - HUMAN-TRU4]]</f>
        <v>6</v>
      </c>
      <c r="BC396" t="str">
        <f t="shared" si="184"/>
        <v>Neutral</v>
      </c>
      <c r="BD396" s="31">
        <f t="shared" si="185"/>
        <v>3</v>
      </c>
      <c r="BE396">
        <f>step3_validation[[#This Row],[AI_OUT1]]</f>
        <v>10</v>
      </c>
      <c r="BF396" t="str">
        <f t="shared" si="186"/>
        <v>Support</v>
      </c>
      <c r="BG396">
        <f>survey_responses[[#This Row],[Sau khi xem xét các quyền lợi và nghĩa vụ, bạn có ủng hộ và tuân thủ chính sách mới hiện nay? - HUMAN-OUT1]]</f>
        <v>6</v>
      </c>
      <c r="BH396" t="str">
        <f t="shared" si="187"/>
        <v>Neutral</v>
      </c>
      <c r="BI396" s="31">
        <f t="shared" si="188"/>
        <v>4</v>
      </c>
    </row>
    <row r="397" spans="1:61" hidden="1" x14ac:dyDescent="0.45">
      <c r="A397" s="29">
        <f>step3_validation[[#This Row],[Persona_ID]]</f>
        <v>396</v>
      </c>
      <c r="B397" s="30">
        <f>step3_validation[[#This Row],[Used_Seed]]</f>
        <v>437</v>
      </c>
      <c r="C397" t="str">
        <f>step3_validation[[#This Row],[Gender]]</f>
        <v>Nữ</v>
      </c>
      <c r="D397" t="str">
        <f>survey_responses[[#This Row],[Giới tính của bạn:]]</f>
        <v>Nữ</v>
      </c>
      <c r="E397" t="str">
        <f>step3_validation[[#This Row],[Age_Group]]</f>
        <v>30 - 39</v>
      </c>
      <c r="F397" t="str">
        <f>survey_responses[[#This Row],[Độ tuổi của bạn:]]</f>
        <v>30 - 39</v>
      </c>
      <c r="G397" t="str">
        <f>step3_validation[[#This Row],[Region]]</f>
        <v>Thành thị</v>
      </c>
      <c r="H397" t="str">
        <f>survey_responses[[#This Row],[Khu vực bạn đang sinh sống:]]</f>
        <v>Thành thị</v>
      </c>
      <c r="I397" t="str">
        <f>step3_validation[[#This Row],[Education]]</f>
        <v>Cao đẳng</v>
      </c>
      <c r="J397" t="str">
        <f>survey_responses[[#This Row],[Trình độ học vấn cao nhất:]]</f>
        <v>Cao đẳng</v>
      </c>
      <c r="K397" t="str">
        <f>step3_validation[[#This Row],[Employment]]</f>
        <v>Chính thức</v>
      </c>
      <c r="L397" t="str">
        <f>survey_responses[[#This Row],[Tình trạng việc làm chính:]]</f>
        <v>Khu vực chính thức (Có Hợp đồng lao động, đóng BHXH)</v>
      </c>
      <c r="M397">
        <f>step3_validation[[#This Row],[Income_Mil]]</f>
        <v>29.447497431690316</v>
      </c>
      <c r="N397" t="str">
        <f>survey_responses[[#This Row],[Thu nhập bình quân tháng theo Hợp đồng lao động của bạn là bao nhiêu? (Vui lòng điền tổng thu nhập trước khi khấu trừ các loại Bảo hiểm (BHXH, BHYT, BHTN) và Thuế TNCN)]]</f>
        <v>Từ 23 - 32 triệu VNĐ</v>
      </c>
      <c r="O397">
        <f>step3_validation[[#This Row],[Dependents]]</f>
        <v>1</v>
      </c>
      <c r="P397" t="str">
        <f>survey_responses[[#This Row],[Số người phụ thuộc (con nhỏ, cha mẹ già...) đủ điều kiện giảm trừ gia cảnh:]]</f>
        <v>1 người</v>
      </c>
      <c r="Q397">
        <f>step3_validation[[#This Row],[AI_ENF1]]</f>
        <v>8</v>
      </c>
      <c r="R397" t="str">
        <f t="shared" si="162"/>
        <v>Support</v>
      </c>
      <c r="S397">
        <f>survey_responses[[#This Row],[Tôi tin rằng với các quy định quản lý thuế hiện nay, hành vi gian lận hoặc trốn thuế sẽ dễ dàng bị phát hiện và xử lý nghiêm. - HUMAN-ENF1]]</f>
        <v>2</v>
      </c>
      <c r="T397" t="str">
        <f t="shared" si="163"/>
        <v>Oppose</v>
      </c>
      <c r="U397" s="31">
        <f t="shared" si="164"/>
        <v>6</v>
      </c>
      <c r="V397">
        <f>step3_validation[[#This Row],[AI_ENF2]]</f>
        <v>7</v>
      </c>
      <c r="W397" t="str">
        <f t="shared" si="165"/>
        <v>Neutral</v>
      </c>
      <c r="X397">
        <f>survey_responses[[#This Row],[Tôi tin rằng Nhà nước, cơ quan thuế có đủ khả năng và công nghệ để phát hiện, xử lý nghiêm các hành vi trốn thuế. - HUMAN-ENF2]]</f>
        <v>2</v>
      </c>
      <c r="Y397" t="str">
        <f t="shared" si="166"/>
        <v>Oppose</v>
      </c>
      <c r="Z397" s="31">
        <f t="shared" si="167"/>
        <v>5</v>
      </c>
      <c r="AA397">
        <f>step3_validation[[#This Row],[AI_FAC1]]</f>
        <v>9</v>
      </c>
      <c r="AB397" t="str">
        <f t="shared" si="168"/>
        <v>Support</v>
      </c>
      <c r="AC397">
        <f>survey_responses[[#This Row],[Các thủ tục khai báo thuế VÀ/HOẶC quy trình làm việc với cơ quan thuế đơn giản, tiện lợi, nhanh chóng hơn so với trước đây. - HUMAN-FAC1]]</f>
        <v>4</v>
      </c>
      <c r="AD397" t="str">
        <f t="shared" si="169"/>
        <v>Oppose</v>
      </c>
      <c r="AE397" s="31">
        <f t="shared" si="170"/>
        <v>5</v>
      </c>
      <c r="AF397">
        <f>step3_validation[[#This Row],[AI_FAC2]]</f>
        <v>8</v>
      </c>
      <c r="AG397" t="str">
        <f t="shared" si="171"/>
        <v>Support</v>
      </c>
      <c r="AH397">
        <f>survey_responses[[#This Row],[So với trước đây, tôi thấy cách tính thuế và các bậc thuế trong phương án mới đơn giản, dễ hiểu và dễ thực hiện hơn. - HUMAN-FAC2]]</f>
        <v>5</v>
      </c>
      <c r="AI397" t="str">
        <f t="shared" si="172"/>
        <v>Neutral</v>
      </c>
      <c r="AJ397" s="31">
        <f t="shared" si="173"/>
        <v>3</v>
      </c>
      <c r="AK397">
        <f>step3_validation[[#This Row],[AI_TRU1]]</f>
        <v>9</v>
      </c>
      <c r="AL397" t="str">
        <f t="shared" si="174"/>
        <v>Support</v>
      </c>
      <c r="AM397">
        <f>survey_responses[[#This Row],[Tôi tin rằng Nhà nước, cơ quan thuế sẽ thực thi chính sách mới một cách khách quan, công tâm và đối xử bình đẳng với mọi người nộp thuế.  - HUMAN-TRU1]]</f>
        <v>5</v>
      </c>
      <c r="AN397" t="str">
        <f t="shared" si="175"/>
        <v>Neutral</v>
      </c>
      <c r="AO397" s="31">
        <f t="shared" si="176"/>
        <v>4</v>
      </c>
      <c r="AP397">
        <f>step3_validation[[#This Row],[AI_TRU2]]</f>
        <v>8</v>
      </c>
      <c r="AQ397" t="str">
        <f t="shared" si="177"/>
        <v>Support</v>
      </c>
      <c r="AR397">
        <f>survey_responses[[#This Row],[Tôi thấy mức thuế tôi phải đóng theo phương án mới là công bằng (người thu nhập như tôi đóng mức này là hợp lý). - HUMAN-TRU2]]</f>
        <v>3</v>
      </c>
      <c r="AS397" t="str">
        <f t="shared" si="178"/>
        <v>Oppose</v>
      </c>
      <c r="AT397" s="31">
        <f t="shared" si="179"/>
        <v>5</v>
      </c>
      <c r="AU397">
        <f>step3_validation[[#This Row],[AI_TRU3]]</f>
        <v>9</v>
      </c>
      <c r="AV397" t="str">
        <f t="shared" si="180"/>
        <v>Support</v>
      </c>
      <c r="AW397">
        <f>survey_responses[[#This Row],[Tôi tin tưởng số tiền thuế tôi đóng sẽ được Nhà nước sử dụng hiệu quả để cải thiện dịch vụ công (y tế, đường xá...). - HUMAN-TRU3]]</f>
        <v>5</v>
      </c>
      <c r="AX397" t="str">
        <f t="shared" si="181"/>
        <v>Neutral</v>
      </c>
      <c r="AY397" s="31">
        <f t="shared" si="182"/>
        <v>4</v>
      </c>
      <c r="AZ397">
        <f>step3_validation[[#This Row],[AI_TRU4]]</f>
        <v>8</v>
      </c>
      <c r="BA397" t="str">
        <f t="shared" si="183"/>
        <v>Support</v>
      </c>
      <c r="BB397">
        <f>survey_responses[[#This Row],[Tôi thấy Nhà nước đã giải thích rõ ràng, minh bạch về lý do và mục tiêu của việc sửa đổi thuế lần này. - HUMAN-TRU4]]</f>
        <v>5</v>
      </c>
      <c r="BC397" t="str">
        <f t="shared" si="184"/>
        <v>Neutral</v>
      </c>
      <c r="BD397" s="31">
        <f t="shared" si="185"/>
        <v>3</v>
      </c>
      <c r="BE397">
        <f>step3_validation[[#This Row],[AI_OUT1]]</f>
        <v>9</v>
      </c>
      <c r="BF397" t="str">
        <f t="shared" si="186"/>
        <v>Support</v>
      </c>
      <c r="BG397">
        <f>survey_responses[[#This Row],[Sau khi xem xét các quyền lợi và nghĩa vụ, bạn có ủng hộ và tuân thủ chính sách mới hiện nay? - HUMAN-OUT1]]</f>
        <v>5</v>
      </c>
      <c r="BH397" t="str">
        <f t="shared" si="187"/>
        <v>Neutral</v>
      </c>
      <c r="BI397" s="31">
        <f t="shared" si="188"/>
        <v>4</v>
      </c>
    </row>
    <row r="398" spans="1:61" hidden="1" x14ac:dyDescent="0.45">
      <c r="A398" s="29">
        <f>step3_validation[[#This Row],[Persona_ID]]</f>
        <v>397</v>
      </c>
      <c r="B398" s="30">
        <f>step3_validation[[#This Row],[Used_Seed]]</f>
        <v>438</v>
      </c>
      <c r="C398" t="str">
        <f>step3_validation[[#This Row],[Gender]]</f>
        <v>Nữ</v>
      </c>
      <c r="D398" t="str">
        <f>survey_responses[[#This Row],[Giới tính của bạn:]]</f>
        <v>Nữ</v>
      </c>
      <c r="E398" t="str">
        <f>step3_validation[[#This Row],[Age_Group]]</f>
        <v>25 - 29</v>
      </c>
      <c r="F398" t="str">
        <f>survey_responses[[#This Row],[Độ tuổi của bạn:]]</f>
        <v>25 - 29</v>
      </c>
      <c r="G398" t="str">
        <f>step3_validation[[#This Row],[Region]]</f>
        <v>Thành thị</v>
      </c>
      <c r="H398" t="str">
        <f>survey_responses[[#This Row],[Khu vực bạn đang sinh sống:]]</f>
        <v>Thành thị</v>
      </c>
      <c r="I398" t="str">
        <f>step3_validation[[#This Row],[Education]]</f>
        <v>Đại học</v>
      </c>
      <c r="J398" t="str">
        <f>survey_responses[[#This Row],[Trình độ học vấn cao nhất:]]</f>
        <v>Đại học</v>
      </c>
      <c r="K398" t="str">
        <f>step3_validation[[#This Row],[Employment]]</f>
        <v>Chính thức</v>
      </c>
      <c r="L398" t="str">
        <f>survey_responses[[#This Row],[Tình trạng việc làm chính:]]</f>
        <v>Khu vực chính thức (Có Hợp đồng lao động, đóng BHXH)</v>
      </c>
      <c r="M398">
        <f>step3_validation[[#This Row],[Income_Mil]]</f>
        <v>28.524551732345792</v>
      </c>
      <c r="N398" t="str">
        <f>survey_responses[[#This Row],[Thu nhập bình quân tháng theo Hợp đồng lao động của bạn là bao nhiêu? (Vui lòng điền tổng thu nhập trước khi khấu trừ các loại Bảo hiểm (BHXH, BHYT, BHTN) và Thuế TNCN)]]</f>
        <v>Từ 23 - 32 triệu VNĐ</v>
      </c>
      <c r="O398">
        <f>step3_validation[[#This Row],[Dependents]]</f>
        <v>0</v>
      </c>
      <c r="P398" t="str">
        <f>survey_responses[[#This Row],[Số người phụ thuộc (con nhỏ, cha mẹ già...) đủ điều kiện giảm trừ gia cảnh:]]</f>
        <v>0 người</v>
      </c>
      <c r="Q398">
        <f>step3_validation[[#This Row],[AI_ENF1]]</f>
        <v>6</v>
      </c>
      <c r="R398" t="str">
        <f t="shared" si="162"/>
        <v>Neutral</v>
      </c>
      <c r="S398">
        <f>survey_responses[[#This Row],[Tôi tin rằng với các quy định quản lý thuế hiện nay, hành vi gian lận hoặc trốn thuế sẽ dễ dàng bị phát hiện và xử lý nghiêm. - HUMAN-ENF1]]</f>
        <v>8</v>
      </c>
      <c r="T398" t="str">
        <f t="shared" si="163"/>
        <v>Support</v>
      </c>
      <c r="U398" s="31">
        <f t="shared" si="164"/>
        <v>2</v>
      </c>
      <c r="V398">
        <f>step3_validation[[#This Row],[AI_ENF2]]</f>
        <v>7</v>
      </c>
      <c r="W398" t="str">
        <f t="shared" si="165"/>
        <v>Neutral</v>
      </c>
      <c r="X398">
        <f>survey_responses[[#This Row],[Tôi tin rằng Nhà nước, cơ quan thuế có đủ khả năng và công nghệ để phát hiện, xử lý nghiêm các hành vi trốn thuế. - HUMAN-ENF2]]</f>
        <v>8</v>
      </c>
      <c r="Y398" t="str">
        <f t="shared" si="166"/>
        <v>Support</v>
      </c>
      <c r="Z398" s="31">
        <f t="shared" si="167"/>
        <v>1</v>
      </c>
      <c r="AA398">
        <f>step3_validation[[#This Row],[AI_FAC1]]</f>
        <v>9</v>
      </c>
      <c r="AB398" t="str">
        <f t="shared" si="168"/>
        <v>Support</v>
      </c>
      <c r="AC398">
        <f>survey_responses[[#This Row],[Các thủ tục khai báo thuế VÀ/HOẶC quy trình làm việc với cơ quan thuế đơn giản, tiện lợi, nhanh chóng hơn so với trước đây. - HUMAN-FAC1]]</f>
        <v>7</v>
      </c>
      <c r="AD398" t="str">
        <f t="shared" si="169"/>
        <v>Neutral</v>
      </c>
      <c r="AE398" s="31">
        <f t="shared" si="170"/>
        <v>2</v>
      </c>
      <c r="AF398">
        <f>step3_validation[[#This Row],[AI_FAC2]]</f>
        <v>9</v>
      </c>
      <c r="AG398" t="str">
        <f t="shared" si="171"/>
        <v>Support</v>
      </c>
      <c r="AH398">
        <f>survey_responses[[#This Row],[So với trước đây, tôi thấy cách tính thuế và các bậc thuế trong phương án mới đơn giản, dễ hiểu và dễ thực hiện hơn. - HUMAN-FAC2]]</f>
        <v>7</v>
      </c>
      <c r="AI398" t="str">
        <f t="shared" si="172"/>
        <v>Neutral</v>
      </c>
      <c r="AJ398" s="31">
        <f t="shared" si="173"/>
        <v>2</v>
      </c>
      <c r="AK398">
        <f>step3_validation[[#This Row],[AI_TRU1]]</f>
        <v>8</v>
      </c>
      <c r="AL398" t="str">
        <f t="shared" si="174"/>
        <v>Support</v>
      </c>
      <c r="AM398">
        <f>survey_responses[[#This Row],[Tôi tin rằng Nhà nước, cơ quan thuế sẽ thực thi chính sách mới một cách khách quan, công tâm và đối xử bình đẳng với mọi người nộp thuế.  - HUMAN-TRU1]]</f>
        <v>7</v>
      </c>
      <c r="AN398" t="str">
        <f t="shared" si="175"/>
        <v>Neutral</v>
      </c>
      <c r="AO398" s="31">
        <f t="shared" si="176"/>
        <v>1</v>
      </c>
      <c r="AP398">
        <f>step3_validation[[#This Row],[AI_TRU2]]</f>
        <v>9</v>
      </c>
      <c r="AQ398" t="str">
        <f t="shared" si="177"/>
        <v>Support</v>
      </c>
      <c r="AR398">
        <f>survey_responses[[#This Row],[Tôi thấy mức thuế tôi phải đóng theo phương án mới là công bằng (người thu nhập như tôi đóng mức này là hợp lý). - HUMAN-TRU2]]</f>
        <v>8</v>
      </c>
      <c r="AS398" t="str">
        <f t="shared" si="178"/>
        <v>Support</v>
      </c>
      <c r="AT398" s="31">
        <f t="shared" si="179"/>
        <v>1</v>
      </c>
      <c r="AU398">
        <f>step3_validation[[#This Row],[AI_TRU3]]</f>
        <v>8</v>
      </c>
      <c r="AV398" t="str">
        <f t="shared" si="180"/>
        <v>Support</v>
      </c>
      <c r="AW398">
        <f>survey_responses[[#This Row],[Tôi tin tưởng số tiền thuế tôi đóng sẽ được Nhà nước sử dụng hiệu quả để cải thiện dịch vụ công (y tế, đường xá...). - HUMAN-TRU3]]</f>
        <v>7</v>
      </c>
      <c r="AX398" t="str">
        <f t="shared" si="181"/>
        <v>Neutral</v>
      </c>
      <c r="AY398" s="31">
        <f t="shared" si="182"/>
        <v>1</v>
      </c>
      <c r="AZ398">
        <f>step3_validation[[#This Row],[AI_TRU4]]</f>
        <v>7</v>
      </c>
      <c r="BA398" t="str">
        <f t="shared" si="183"/>
        <v>Neutral</v>
      </c>
      <c r="BB398">
        <f>survey_responses[[#This Row],[Tôi thấy Nhà nước đã giải thích rõ ràng, minh bạch về lý do và mục tiêu của việc sửa đổi thuế lần này. - HUMAN-TRU4]]</f>
        <v>8</v>
      </c>
      <c r="BC398" t="str">
        <f t="shared" si="184"/>
        <v>Support</v>
      </c>
      <c r="BD398" s="31">
        <f t="shared" si="185"/>
        <v>1</v>
      </c>
      <c r="BE398">
        <f>step3_validation[[#This Row],[AI_OUT1]]</f>
        <v>9</v>
      </c>
      <c r="BF398" t="str">
        <f t="shared" si="186"/>
        <v>Support</v>
      </c>
      <c r="BG398">
        <f>survey_responses[[#This Row],[Sau khi xem xét các quyền lợi và nghĩa vụ, bạn có ủng hộ và tuân thủ chính sách mới hiện nay? - HUMAN-OUT1]]</f>
        <v>8</v>
      </c>
      <c r="BH398" t="str">
        <f t="shared" si="187"/>
        <v>Support</v>
      </c>
      <c r="BI398" s="31">
        <f t="shared" si="188"/>
        <v>1</v>
      </c>
    </row>
    <row r="399" spans="1:61" x14ac:dyDescent="0.45">
      <c r="A399" s="29">
        <f>step3_validation[[#This Row],[Persona_ID]]</f>
        <v>398</v>
      </c>
      <c r="B399" s="30">
        <f>step3_validation[[#This Row],[Used_Seed]]</f>
        <v>439</v>
      </c>
      <c r="C399" t="str">
        <f>step3_validation[[#This Row],[Gender]]</f>
        <v>Nữ</v>
      </c>
      <c r="D399" t="str">
        <f>survey_responses[[#This Row],[Giới tính của bạn:]]</f>
        <v>Nữ</v>
      </c>
      <c r="E399" t="str">
        <f>step3_validation[[#This Row],[Age_Group]]</f>
        <v>18 - 24</v>
      </c>
      <c r="F399" t="str">
        <f>survey_responses[[#This Row],[Độ tuổi của bạn:]]</f>
        <v>18 - 24</v>
      </c>
      <c r="G399" t="str">
        <f>step3_validation[[#This Row],[Region]]</f>
        <v>Thành thị</v>
      </c>
      <c r="H399" t="str">
        <f>survey_responses[[#This Row],[Khu vực bạn đang sinh sống:]]</f>
        <v>Thành thị</v>
      </c>
      <c r="I399" t="str">
        <f>step3_validation[[#This Row],[Education]]</f>
        <v>Đại học</v>
      </c>
      <c r="J399" t="str">
        <f>survey_responses[[#This Row],[Trình độ học vấn cao nhất:]]</f>
        <v>Đại học</v>
      </c>
      <c r="K399" t="str">
        <f>step3_validation[[#This Row],[Employment]]</f>
        <v>Chính thức</v>
      </c>
      <c r="L399" t="str">
        <f>survey_responses[[#This Row],[Tình trạng việc làm chính:]]</f>
        <v>Khu vực chính thức (Có Hợp đồng lao động, đóng BHXH)</v>
      </c>
      <c r="M399">
        <f>step3_validation[[#This Row],[Income_Mil]]</f>
        <v>12</v>
      </c>
      <c r="N399" t="str">
        <f>survey_responses[[#This Row],[Thu nhập bình quân tháng theo Hợp đồng lao động của bạn là bao nhiêu? (Vui lòng điền tổng thu nhập trước khi khấu trừ các loại Bảo hiểm (BHXH, BHYT, BHTN) và Thuế TNCN)]]</f>
        <v>Dưới 12 triệu VNĐ</v>
      </c>
      <c r="O399">
        <f>step3_validation[[#This Row],[Dependents]]</f>
        <v>0</v>
      </c>
      <c r="P399" t="str">
        <f>survey_responses[[#This Row],[Số người phụ thuộc (con nhỏ, cha mẹ già...) đủ điều kiện giảm trừ gia cảnh:]]</f>
        <v>0 người</v>
      </c>
      <c r="Q399">
        <f>step3_validation[[#This Row],[AI_ENF1]]</f>
        <v>6</v>
      </c>
      <c r="R399" t="str">
        <f t="shared" si="162"/>
        <v>Neutral</v>
      </c>
      <c r="S399">
        <f>survey_responses[[#This Row],[Tôi tin rằng với các quy định quản lý thuế hiện nay, hành vi gian lận hoặc trốn thuế sẽ dễ dàng bị phát hiện và xử lý nghiêm. - HUMAN-ENF1]]</f>
        <v>9</v>
      </c>
      <c r="T399" t="str">
        <f t="shared" si="163"/>
        <v>Support</v>
      </c>
      <c r="U399" s="31">
        <f t="shared" si="164"/>
        <v>3</v>
      </c>
      <c r="V399">
        <f>step3_validation[[#This Row],[AI_ENF2]]</f>
        <v>7</v>
      </c>
      <c r="W399" t="str">
        <f t="shared" si="165"/>
        <v>Neutral</v>
      </c>
      <c r="X399">
        <f>survey_responses[[#This Row],[Tôi tin rằng Nhà nước, cơ quan thuế có đủ khả năng và công nghệ để phát hiện, xử lý nghiêm các hành vi trốn thuế. - HUMAN-ENF2]]</f>
        <v>9</v>
      </c>
      <c r="Y399" t="str">
        <f t="shared" si="166"/>
        <v>Support</v>
      </c>
      <c r="Z399" s="31">
        <f t="shared" si="167"/>
        <v>2</v>
      </c>
      <c r="AA399">
        <f>step3_validation[[#This Row],[AI_FAC1]]</f>
        <v>8</v>
      </c>
      <c r="AB399" t="str">
        <f t="shared" si="168"/>
        <v>Support</v>
      </c>
      <c r="AC399">
        <f>survey_responses[[#This Row],[Các thủ tục khai báo thuế VÀ/HOẶC quy trình làm việc với cơ quan thuế đơn giản, tiện lợi, nhanh chóng hơn so với trước đây. - HUMAN-FAC1]]</f>
        <v>8</v>
      </c>
      <c r="AD399" t="str">
        <f t="shared" si="169"/>
        <v>Support</v>
      </c>
      <c r="AE399" s="31">
        <f t="shared" si="170"/>
        <v>0</v>
      </c>
      <c r="AF399">
        <f>step3_validation[[#This Row],[AI_FAC2]]</f>
        <v>9</v>
      </c>
      <c r="AG399" t="str">
        <f t="shared" si="171"/>
        <v>Support</v>
      </c>
      <c r="AH399">
        <f>survey_responses[[#This Row],[So với trước đây, tôi thấy cách tính thuế và các bậc thuế trong phương án mới đơn giản, dễ hiểu và dễ thực hiện hơn. - HUMAN-FAC2]]</f>
        <v>9</v>
      </c>
      <c r="AI399" t="str">
        <f t="shared" si="172"/>
        <v>Support</v>
      </c>
      <c r="AJ399" s="31">
        <f t="shared" si="173"/>
        <v>0</v>
      </c>
      <c r="AK399">
        <f>step3_validation[[#This Row],[AI_TRU1]]</f>
        <v>7</v>
      </c>
      <c r="AL399" t="str">
        <f t="shared" si="174"/>
        <v>Neutral</v>
      </c>
      <c r="AM399">
        <f>survey_responses[[#This Row],[Tôi tin rằng Nhà nước, cơ quan thuế sẽ thực thi chính sách mới một cách khách quan, công tâm và đối xử bình đẳng với mọi người nộp thuế.  - HUMAN-TRU1]]</f>
        <v>7</v>
      </c>
      <c r="AN399" t="str">
        <f t="shared" si="175"/>
        <v>Neutral</v>
      </c>
      <c r="AO399" s="31">
        <f t="shared" si="176"/>
        <v>0</v>
      </c>
      <c r="AP399">
        <f>step3_validation[[#This Row],[AI_TRU2]]</f>
        <v>8</v>
      </c>
      <c r="AQ399" t="str">
        <f t="shared" si="177"/>
        <v>Support</v>
      </c>
      <c r="AR399">
        <f>survey_responses[[#This Row],[Tôi thấy mức thuế tôi phải đóng theo phương án mới là công bằng (người thu nhập như tôi đóng mức này là hợp lý). - HUMAN-TRU2]]</f>
        <v>9</v>
      </c>
      <c r="AS399" t="str">
        <f t="shared" si="178"/>
        <v>Support</v>
      </c>
      <c r="AT399" s="31">
        <f t="shared" si="179"/>
        <v>1</v>
      </c>
      <c r="AU399">
        <f>step3_validation[[#This Row],[AI_TRU3]]</f>
        <v>9</v>
      </c>
      <c r="AV399" t="str">
        <f t="shared" si="180"/>
        <v>Support</v>
      </c>
      <c r="AW399">
        <f>survey_responses[[#This Row],[Tôi tin tưởng số tiền thuế tôi đóng sẽ được Nhà nước sử dụng hiệu quả để cải thiện dịch vụ công (y tế, đường xá...). - HUMAN-TRU3]]</f>
        <v>8</v>
      </c>
      <c r="AX399" t="str">
        <f t="shared" si="181"/>
        <v>Support</v>
      </c>
      <c r="AY399" s="31">
        <f t="shared" si="182"/>
        <v>1</v>
      </c>
      <c r="AZ399">
        <f>step3_validation[[#This Row],[AI_TRU4]]</f>
        <v>7</v>
      </c>
      <c r="BA399" t="str">
        <f t="shared" si="183"/>
        <v>Neutral</v>
      </c>
      <c r="BB399">
        <f>survey_responses[[#This Row],[Tôi thấy Nhà nước đã giải thích rõ ràng, minh bạch về lý do và mục tiêu của việc sửa đổi thuế lần này. - HUMAN-TRU4]]</f>
        <v>8</v>
      </c>
      <c r="BC399" t="str">
        <f t="shared" si="184"/>
        <v>Support</v>
      </c>
      <c r="BD399" s="31">
        <f t="shared" si="185"/>
        <v>1</v>
      </c>
      <c r="BE399">
        <f>step3_validation[[#This Row],[AI_OUT1]]</f>
        <v>9</v>
      </c>
      <c r="BF399" t="str">
        <f t="shared" si="186"/>
        <v>Support</v>
      </c>
      <c r="BG399">
        <f>survey_responses[[#This Row],[Sau khi xem xét các quyền lợi và nghĩa vụ, bạn có ủng hộ và tuân thủ chính sách mới hiện nay? - HUMAN-OUT1]]</f>
        <v>8</v>
      </c>
      <c r="BH399" t="str">
        <f t="shared" si="187"/>
        <v>Support</v>
      </c>
      <c r="BI399" s="31">
        <f t="shared" si="188"/>
        <v>1</v>
      </c>
    </row>
    <row r="400" spans="1:61" hidden="1" x14ac:dyDescent="0.45">
      <c r="A400" s="29">
        <f>step3_validation[[#This Row],[Persona_ID]]</f>
        <v>399</v>
      </c>
      <c r="B400" s="30">
        <f>step3_validation[[#This Row],[Used_Seed]]</f>
        <v>440</v>
      </c>
      <c r="C400" t="str">
        <f>step3_validation[[#This Row],[Gender]]</f>
        <v>Nữ</v>
      </c>
      <c r="D400" t="str">
        <f>survey_responses[[#This Row],[Giới tính của bạn:]]</f>
        <v>Nữ</v>
      </c>
      <c r="E400" t="str">
        <f>step3_validation[[#This Row],[Age_Group]]</f>
        <v>25 - 29</v>
      </c>
      <c r="F400" t="str">
        <f>survey_responses[[#This Row],[Độ tuổi của bạn:]]</f>
        <v>25 - 29</v>
      </c>
      <c r="G400" t="str">
        <f>step3_validation[[#This Row],[Region]]</f>
        <v>Thành thị</v>
      </c>
      <c r="H400" t="str">
        <f>survey_responses[[#This Row],[Khu vực bạn đang sinh sống:]]</f>
        <v>Thành thị</v>
      </c>
      <c r="I400" t="str">
        <f>step3_validation[[#This Row],[Education]]</f>
        <v>Sau Đại học</v>
      </c>
      <c r="J400" t="str">
        <f>survey_responses[[#This Row],[Trình độ học vấn cao nhất:]]</f>
        <v>Sau Đại học</v>
      </c>
      <c r="K400" t="str">
        <f>step3_validation[[#This Row],[Employment]]</f>
        <v>Chính thức</v>
      </c>
      <c r="L400" t="str">
        <f>survey_responses[[#This Row],[Tình trạng việc làm chính:]]</f>
        <v>Khu vực chính thức (Có Hợp đồng lao động, đóng BHXH)</v>
      </c>
      <c r="M400">
        <f>step3_validation[[#This Row],[Income_Mil]]</f>
        <v>25.28387256684308</v>
      </c>
      <c r="N400" t="str">
        <f>survey_responses[[#This Row],[Thu nhập bình quân tháng theo Hợp đồng lao động của bạn là bao nhiêu? (Vui lòng điền tổng thu nhập trước khi khấu trừ các loại Bảo hiểm (BHXH, BHYT, BHTN) và Thuế TNCN)]]</f>
        <v>Từ 23 - 32 triệu VNĐ</v>
      </c>
      <c r="O400">
        <f>step3_validation[[#This Row],[Dependents]]</f>
        <v>0</v>
      </c>
      <c r="P400" t="str">
        <f>survey_responses[[#This Row],[Số người phụ thuộc (con nhỏ, cha mẹ già...) đủ điều kiện giảm trừ gia cảnh:]]</f>
        <v>0 người</v>
      </c>
      <c r="Q400">
        <f>step3_validation[[#This Row],[AI_ENF1]]</f>
        <v>7</v>
      </c>
      <c r="R400" t="str">
        <f t="shared" si="162"/>
        <v>Neutral</v>
      </c>
      <c r="S400">
        <f>survey_responses[[#This Row],[Tôi tin rằng với các quy định quản lý thuế hiện nay, hành vi gian lận hoặc trốn thuế sẽ dễ dàng bị phát hiện và xử lý nghiêm. - HUMAN-ENF1]]</f>
        <v>7</v>
      </c>
      <c r="T400" t="str">
        <f t="shared" si="163"/>
        <v>Neutral</v>
      </c>
      <c r="U400" s="31">
        <f t="shared" si="164"/>
        <v>0</v>
      </c>
      <c r="V400">
        <f>step3_validation[[#This Row],[AI_ENF2]]</f>
        <v>6</v>
      </c>
      <c r="W400" t="str">
        <f t="shared" si="165"/>
        <v>Neutral</v>
      </c>
      <c r="X400">
        <f>survey_responses[[#This Row],[Tôi tin rằng Nhà nước, cơ quan thuế có đủ khả năng và công nghệ để phát hiện, xử lý nghiêm các hành vi trốn thuế. - HUMAN-ENF2]]</f>
        <v>7</v>
      </c>
      <c r="Y400" t="str">
        <f t="shared" si="166"/>
        <v>Neutral</v>
      </c>
      <c r="Z400" s="31">
        <f t="shared" si="167"/>
        <v>1</v>
      </c>
      <c r="AA400">
        <f>step3_validation[[#This Row],[AI_FAC1]]</f>
        <v>7</v>
      </c>
      <c r="AB400" t="str">
        <f t="shared" si="168"/>
        <v>Neutral</v>
      </c>
      <c r="AC400">
        <f>survey_responses[[#This Row],[Các thủ tục khai báo thuế VÀ/HOẶC quy trình làm việc với cơ quan thuế đơn giản, tiện lợi, nhanh chóng hơn so với trước đây. - HUMAN-FAC1]]</f>
        <v>5</v>
      </c>
      <c r="AD400" t="str">
        <f t="shared" si="169"/>
        <v>Neutral</v>
      </c>
      <c r="AE400" s="31">
        <f t="shared" si="170"/>
        <v>2</v>
      </c>
      <c r="AF400">
        <f>step3_validation[[#This Row],[AI_FAC2]]</f>
        <v>9</v>
      </c>
      <c r="AG400" t="str">
        <f t="shared" si="171"/>
        <v>Support</v>
      </c>
      <c r="AH400">
        <f>survey_responses[[#This Row],[So với trước đây, tôi thấy cách tính thuế và các bậc thuế trong phương án mới đơn giản, dễ hiểu và dễ thực hiện hơn. - HUMAN-FAC2]]</f>
        <v>8</v>
      </c>
      <c r="AI400" t="str">
        <f t="shared" si="172"/>
        <v>Support</v>
      </c>
      <c r="AJ400" s="31">
        <f t="shared" si="173"/>
        <v>1</v>
      </c>
      <c r="AK400">
        <f>step3_validation[[#This Row],[AI_TRU1]]</f>
        <v>5</v>
      </c>
      <c r="AL400" t="str">
        <f t="shared" si="174"/>
        <v>Neutral</v>
      </c>
      <c r="AM400">
        <f>survey_responses[[#This Row],[Tôi tin rằng Nhà nước, cơ quan thuế sẽ thực thi chính sách mới một cách khách quan, công tâm và đối xử bình đẳng với mọi người nộp thuế.  - HUMAN-TRU1]]</f>
        <v>7</v>
      </c>
      <c r="AN400" t="str">
        <f t="shared" si="175"/>
        <v>Neutral</v>
      </c>
      <c r="AO400" s="31">
        <f t="shared" si="176"/>
        <v>2</v>
      </c>
      <c r="AP400">
        <f>step3_validation[[#This Row],[AI_TRU2]]</f>
        <v>9</v>
      </c>
      <c r="AQ400" t="str">
        <f t="shared" si="177"/>
        <v>Support</v>
      </c>
      <c r="AR400">
        <f>survey_responses[[#This Row],[Tôi thấy mức thuế tôi phải đóng theo phương án mới là công bằng (người thu nhập như tôi đóng mức này là hợp lý). - HUMAN-TRU2]]</f>
        <v>8</v>
      </c>
      <c r="AS400" t="str">
        <f t="shared" si="178"/>
        <v>Support</v>
      </c>
      <c r="AT400" s="31">
        <f t="shared" si="179"/>
        <v>1</v>
      </c>
      <c r="AU400">
        <f>step3_validation[[#This Row],[AI_TRU3]]</f>
        <v>6</v>
      </c>
      <c r="AV400" t="str">
        <f t="shared" si="180"/>
        <v>Neutral</v>
      </c>
      <c r="AW400">
        <f>survey_responses[[#This Row],[Tôi tin tưởng số tiền thuế tôi đóng sẽ được Nhà nước sử dụng hiệu quả để cải thiện dịch vụ công (y tế, đường xá...). - HUMAN-TRU3]]</f>
        <v>6</v>
      </c>
      <c r="AX400" t="str">
        <f t="shared" si="181"/>
        <v>Neutral</v>
      </c>
      <c r="AY400" s="31">
        <f t="shared" si="182"/>
        <v>0</v>
      </c>
      <c r="AZ400">
        <f>step3_validation[[#This Row],[AI_TRU4]]</f>
        <v>8</v>
      </c>
      <c r="BA400" t="str">
        <f t="shared" si="183"/>
        <v>Support</v>
      </c>
      <c r="BB400">
        <f>survey_responses[[#This Row],[Tôi thấy Nhà nước đã giải thích rõ ràng, minh bạch về lý do và mục tiêu của việc sửa đổi thuế lần này. - HUMAN-TRU4]]</f>
        <v>6</v>
      </c>
      <c r="BC400" t="str">
        <f t="shared" si="184"/>
        <v>Neutral</v>
      </c>
      <c r="BD400" s="31">
        <f t="shared" si="185"/>
        <v>2</v>
      </c>
      <c r="BE400">
        <f>step3_validation[[#This Row],[AI_OUT1]]</f>
        <v>9</v>
      </c>
      <c r="BF400" t="str">
        <f t="shared" si="186"/>
        <v>Support</v>
      </c>
      <c r="BG400">
        <f>survey_responses[[#This Row],[Sau khi xem xét các quyền lợi và nghĩa vụ, bạn có ủng hộ và tuân thủ chính sách mới hiện nay? - HUMAN-OUT1]]</f>
        <v>8</v>
      </c>
      <c r="BH400" t="str">
        <f t="shared" si="187"/>
        <v>Support</v>
      </c>
      <c r="BI400" s="31">
        <f t="shared" si="188"/>
        <v>1</v>
      </c>
    </row>
    <row r="401" spans="1:61" hidden="1" x14ac:dyDescent="0.45">
      <c r="A401" s="29">
        <f>step3_validation[[#This Row],[Persona_ID]]</f>
        <v>400</v>
      </c>
      <c r="B401" s="30">
        <f>step3_validation[[#This Row],[Used_Seed]]</f>
        <v>441</v>
      </c>
      <c r="C401" t="str">
        <f>step3_validation[[#This Row],[Gender]]</f>
        <v>Nữ</v>
      </c>
      <c r="D401" t="str">
        <f>survey_responses[[#This Row],[Giới tính của bạn:]]</f>
        <v>Nữ</v>
      </c>
      <c r="E401" t="str">
        <f>step3_validation[[#This Row],[Age_Group]]</f>
        <v>40 - 49</v>
      </c>
      <c r="F401" t="str">
        <f>survey_responses[[#This Row],[Độ tuổi của bạn:]]</f>
        <v>40 - 49</v>
      </c>
      <c r="G401" t="str">
        <f>step3_validation[[#This Row],[Region]]</f>
        <v>Thành thị</v>
      </c>
      <c r="H401" t="str">
        <f>survey_responses[[#This Row],[Khu vực bạn đang sinh sống:]]</f>
        <v>Thành thị</v>
      </c>
      <c r="I401" t="str">
        <f>step3_validation[[#This Row],[Education]]</f>
        <v>Đại học</v>
      </c>
      <c r="J401" t="str">
        <f>survey_responses[[#This Row],[Trình độ học vấn cao nhất:]]</f>
        <v>Đại học</v>
      </c>
      <c r="K401" t="str">
        <f>step3_validation[[#This Row],[Employment]]</f>
        <v>Chính thức</v>
      </c>
      <c r="L401" t="str">
        <f>survey_responses[[#This Row],[Tình trạng việc làm chính:]]</f>
        <v>Khu vực chính thức (Có Hợp đồng lao động, đóng BHXH)</v>
      </c>
      <c r="M401">
        <f>step3_validation[[#This Row],[Income_Mil]]</f>
        <v>44.616615906222172</v>
      </c>
      <c r="N401" t="str">
        <f>survey_responses[[#This Row],[Thu nhập bình quân tháng theo Hợp đồng lao động của bạn là bao nhiêu? (Vui lòng điền tổng thu nhập trước khi khấu trừ các loại Bảo hiểm (BHXH, BHYT, BHTN) và Thuế TNCN)]]</f>
        <v>Từ 32 - 48 triệu VNĐ</v>
      </c>
      <c r="O401">
        <f>step3_validation[[#This Row],[Dependents]]</f>
        <v>3</v>
      </c>
      <c r="P401" t="str">
        <f>survey_responses[[#This Row],[Số người phụ thuộc (con nhỏ, cha mẹ già...) đủ điều kiện giảm trừ gia cảnh:]]</f>
        <v>3 người</v>
      </c>
      <c r="Q401">
        <f>step3_validation[[#This Row],[AI_ENF1]]</f>
        <v>8</v>
      </c>
      <c r="R401" t="str">
        <f t="shared" si="162"/>
        <v>Support</v>
      </c>
      <c r="S401">
        <f>survey_responses[[#This Row],[Tôi tin rằng với các quy định quản lý thuế hiện nay, hành vi gian lận hoặc trốn thuế sẽ dễ dàng bị phát hiện và xử lý nghiêm. - HUMAN-ENF1]]</f>
        <v>8</v>
      </c>
      <c r="T401" t="str">
        <f t="shared" si="163"/>
        <v>Support</v>
      </c>
      <c r="U401" s="31">
        <f t="shared" si="164"/>
        <v>0</v>
      </c>
      <c r="V401">
        <f>step3_validation[[#This Row],[AI_ENF2]]</f>
        <v>9</v>
      </c>
      <c r="W401" t="str">
        <f t="shared" si="165"/>
        <v>Support</v>
      </c>
      <c r="X401">
        <f>survey_responses[[#This Row],[Tôi tin rằng Nhà nước, cơ quan thuế có đủ khả năng và công nghệ để phát hiện, xử lý nghiêm các hành vi trốn thuế. - HUMAN-ENF2]]</f>
        <v>9</v>
      </c>
      <c r="Y401" t="str">
        <f t="shared" si="166"/>
        <v>Support</v>
      </c>
      <c r="Z401" s="31">
        <f t="shared" si="167"/>
        <v>0</v>
      </c>
      <c r="AA401">
        <f>step3_validation[[#This Row],[AI_FAC1]]</f>
        <v>8</v>
      </c>
      <c r="AB401" t="str">
        <f t="shared" si="168"/>
        <v>Support</v>
      </c>
      <c r="AC401">
        <f>survey_responses[[#This Row],[Các thủ tục khai báo thuế VÀ/HOẶC quy trình làm việc với cơ quan thuế đơn giản, tiện lợi, nhanh chóng hơn so với trước đây. - HUMAN-FAC1]]</f>
        <v>8</v>
      </c>
      <c r="AD401" t="str">
        <f t="shared" si="169"/>
        <v>Support</v>
      </c>
      <c r="AE401" s="31">
        <f t="shared" si="170"/>
        <v>0</v>
      </c>
      <c r="AF401">
        <f>step3_validation[[#This Row],[AI_FAC2]]</f>
        <v>9</v>
      </c>
      <c r="AG401" t="str">
        <f t="shared" si="171"/>
        <v>Support</v>
      </c>
      <c r="AH401">
        <f>survey_responses[[#This Row],[So với trước đây, tôi thấy cách tính thuế và các bậc thuế trong phương án mới đơn giản, dễ hiểu và dễ thực hiện hơn. - HUMAN-FAC2]]</f>
        <v>8</v>
      </c>
      <c r="AI401" t="str">
        <f t="shared" si="172"/>
        <v>Support</v>
      </c>
      <c r="AJ401" s="31">
        <f t="shared" si="173"/>
        <v>1</v>
      </c>
      <c r="AK401">
        <f>step3_validation[[#This Row],[AI_TRU1]]</f>
        <v>8</v>
      </c>
      <c r="AL401" t="str">
        <f t="shared" si="174"/>
        <v>Support</v>
      </c>
      <c r="AM401">
        <f>survey_responses[[#This Row],[Tôi tin rằng Nhà nước, cơ quan thuế sẽ thực thi chính sách mới một cách khách quan, công tâm và đối xử bình đẳng với mọi người nộp thuế.  - HUMAN-TRU1]]</f>
        <v>7</v>
      </c>
      <c r="AN401" t="str">
        <f t="shared" si="175"/>
        <v>Neutral</v>
      </c>
      <c r="AO401" s="31">
        <f t="shared" si="176"/>
        <v>1</v>
      </c>
      <c r="AP401">
        <f>step3_validation[[#This Row],[AI_TRU2]]</f>
        <v>8</v>
      </c>
      <c r="AQ401" t="str">
        <f t="shared" si="177"/>
        <v>Support</v>
      </c>
      <c r="AR401">
        <f>survey_responses[[#This Row],[Tôi thấy mức thuế tôi phải đóng theo phương án mới là công bằng (người thu nhập như tôi đóng mức này là hợp lý). - HUMAN-TRU2]]</f>
        <v>7</v>
      </c>
      <c r="AS401" t="str">
        <f t="shared" si="178"/>
        <v>Neutral</v>
      </c>
      <c r="AT401" s="31">
        <f t="shared" si="179"/>
        <v>1</v>
      </c>
      <c r="AU401">
        <f>step3_validation[[#This Row],[AI_TRU3]]</f>
        <v>8</v>
      </c>
      <c r="AV401" t="str">
        <f t="shared" si="180"/>
        <v>Support</v>
      </c>
      <c r="AW401">
        <f>survey_responses[[#This Row],[Tôi tin tưởng số tiền thuế tôi đóng sẽ được Nhà nước sử dụng hiệu quả để cải thiện dịch vụ công (y tế, đường xá...). - HUMAN-TRU3]]</f>
        <v>7</v>
      </c>
      <c r="AX401" t="str">
        <f t="shared" si="181"/>
        <v>Neutral</v>
      </c>
      <c r="AY401" s="31">
        <f t="shared" si="182"/>
        <v>1</v>
      </c>
      <c r="AZ401">
        <f>step3_validation[[#This Row],[AI_TRU4]]</f>
        <v>9</v>
      </c>
      <c r="BA401" t="str">
        <f t="shared" si="183"/>
        <v>Support</v>
      </c>
      <c r="BB401">
        <f>survey_responses[[#This Row],[Tôi thấy Nhà nước đã giải thích rõ ràng, minh bạch về lý do và mục tiêu của việc sửa đổi thuế lần này. - HUMAN-TRU4]]</f>
        <v>7</v>
      </c>
      <c r="BC401" t="str">
        <f t="shared" si="184"/>
        <v>Neutral</v>
      </c>
      <c r="BD401" s="31">
        <f t="shared" si="185"/>
        <v>2</v>
      </c>
      <c r="BE401">
        <f>step3_validation[[#This Row],[AI_OUT1]]</f>
        <v>9</v>
      </c>
      <c r="BF401" t="str">
        <f t="shared" si="186"/>
        <v>Support</v>
      </c>
      <c r="BG401">
        <f>survey_responses[[#This Row],[Sau khi xem xét các quyền lợi và nghĩa vụ, bạn có ủng hộ và tuân thủ chính sách mới hiện nay? - HUMAN-OUT1]]</f>
        <v>8</v>
      </c>
      <c r="BH401" t="str">
        <f t="shared" si="187"/>
        <v>Support</v>
      </c>
      <c r="BI401" s="31">
        <f t="shared" si="188"/>
        <v>1</v>
      </c>
    </row>
    <row r="402" spans="1:61" hidden="1" x14ac:dyDescent="0.45">
      <c r="A402" s="29">
        <f>step3_validation[[#This Row],[Persona_ID]]</f>
        <v>401</v>
      </c>
      <c r="B402" s="30">
        <f>step3_validation[[#This Row],[Used_Seed]]</f>
        <v>442</v>
      </c>
      <c r="C402" t="str">
        <f>step3_validation[[#This Row],[Gender]]</f>
        <v>Nữ</v>
      </c>
      <c r="D402" t="str">
        <f>survey_responses[[#This Row],[Giới tính của bạn:]]</f>
        <v>Nữ</v>
      </c>
      <c r="E402" t="str">
        <f>step3_validation[[#This Row],[Age_Group]]</f>
        <v>25 - 29</v>
      </c>
      <c r="F402" t="str">
        <f>survey_responses[[#This Row],[Độ tuổi của bạn:]]</f>
        <v>25 - 29</v>
      </c>
      <c r="G402" t="str">
        <f>step3_validation[[#This Row],[Region]]</f>
        <v>Nông thôn</v>
      </c>
      <c r="H402" t="str">
        <f>survey_responses[[#This Row],[Khu vực bạn đang sinh sống:]]</f>
        <v>Nông thôn</v>
      </c>
      <c r="I402" t="str">
        <f>step3_validation[[#This Row],[Education]]</f>
        <v>Đại học</v>
      </c>
      <c r="J402" t="str">
        <f>survey_responses[[#This Row],[Trình độ học vấn cao nhất:]]</f>
        <v>Đại học</v>
      </c>
      <c r="K402" t="str">
        <f>step3_validation[[#This Row],[Employment]]</f>
        <v>Chính thức</v>
      </c>
      <c r="L402" t="str">
        <f>survey_responses[[#This Row],[Tình trạng việc làm chính:]]</f>
        <v>Khu vực chính thức (Có Hợp đồng lao động, đóng BHXH)</v>
      </c>
      <c r="M402">
        <f>step3_validation[[#This Row],[Income_Mil]]</f>
        <v>16.838207852079275</v>
      </c>
      <c r="N402" t="str">
        <f>survey_responses[[#This Row],[Thu nhập bình quân tháng theo Hợp đồng lao động của bạn là bao nhiêu? (Vui lòng điền tổng thu nhập trước khi khấu trừ các loại Bảo hiểm (BHXH, BHYT, BHTN) và Thuế TNCN)]]</f>
        <v>Từ 12 - 18 triệu VNĐ</v>
      </c>
      <c r="O402">
        <f>step3_validation[[#This Row],[Dependents]]</f>
        <v>0</v>
      </c>
      <c r="P402" t="str">
        <f>survey_responses[[#This Row],[Số người phụ thuộc (con nhỏ, cha mẹ già...) đủ điều kiện giảm trừ gia cảnh:]]</f>
        <v>0 người</v>
      </c>
      <c r="Q402">
        <f>step3_validation[[#This Row],[AI_ENF1]]</f>
        <v>6</v>
      </c>
      <c r="R402" t="str">
        <f t="shared" si="162"/>
        <v>Neutral</v>
      </c>
      <c r="S402">
        <f>survey_responses[[#This Row],[Tôi tin rằng với các quy định quản lý thuế hiện nay, hành vi gian lận hoặc trốn thuế sẽ dễ dàng bị phát hiện và xử lý nghiêm. - HUMAN-ENF1]]</f>
        <v>4</v>
      </c>
      <c r="T402" t="str">
        <f t="shared" si="163"/>
        <v>Oppose</v>
      </c>
      <c r="U402" s="31">
        <f t="shared" si="164"/>
        <v>2</v>
      </c>
      <c r="V402">
        <f>step3_validation[[#This Row],[AI_ENF2]]</f>
        <v>7</v>
      </c>
      <c r="W402" t="str">
        <f t="shared" si="165"/>
        <v>Neutral</v>
      </c>
      <c r="X402">
        <f>survey_responses[[#This Row],[Tôi tin rằng Nhà nước, cơ quan thuế có đủ khả năng và công nghệ để phát hiện, xử lý nghiêm các hành vi trốn thuế. - HUMAN-ENF2]]</f>
        <v>4</v>
      </c>
      <c r="Y402" t="str">
        <f t="shared" si="166"/>
        <v>Oppose</v>
      </c>
      <c r="Z402" s="31">
        <f t="shared" si="167"/>
        <v>3</v>
      </c>
      <c r="AA402">
        <f>step3_validation[[#This Row],[AI_FAC1]]</f>
        <v>8</v>
      </c>
      <c r="AB402" t="str">
        <f t="shared" si="168"/>
        <v>Support</v>
      </c>
      <c r="AC402">
        <f>survey_responses[[#This Row],[Các thủ tục khai báo thuế VÀ/HOẶC quy trình làm việc với cơ quan thuế đơn giản, tiện lợi, nhanh chóng hơn so với trước đây. - HUMAN-FAC1]]</f>
        <v>3</v>
      </c>
      <c r="AD402" t="str">
        <f t="shared" si="169"/>
        <v>Oppose</v>
      </c>
      <c r="AE402" s="31">
        <f t="shared" si="170"/>
        <v>5</v>
      </c>
      <c r="AF402">
        <f>step3_validation[[#This Row],[AI_FAC2]]</f>
        <v>9</v>
      </c>
      <c r="AG402" t="str">
        <f t="shared" si="171"/>
        <v>Support</v>
      </c>
      <c r="AH402">
        <f>survey_responses[[#This Row],[So với trước đây, tôi thấy cách tính thuế và các bậc thuế trong phương án mới đơn giản, dễ hiểu và dễ thực hiện hơn. - HUMAN-FAC2]]</f>
        <v>5</v>
      </c>
      <c r="AI402" t="str">
        <f t="shared" si="172"/>
        <v>Neutral</v>
      </c>
      <c r="AJ402" s="31">
        <f t="shared" si="173"/>
        <v>4</v>
      </c>
      <c r="AK402">
        <f>step3_validation[[#This Row],[AI_TRU1]]</f>
        <v>8</v>
      </c>
      <c r="AL402" t="str">
        <f t="shared" si="174"/>
        <v>Support</v>
      </c>
      <c r="AM402">
        <f>survey_responses[[#This Row],[Tôi tin rằng Nhà nước, cơ quan thuế sẽ thực thi chính sách mới một cách khách quan, công tâm và đối xử bình đẳng với mọi người nộp thuế.  - HUMAN-TRU1]]</f>
        <v>5</v>
      </c>
      <c r="AN402" t="str">
        <f t="shared" si="175"/>
        <v>Neutral</v>
      </c>
      <c r="AO402" s="31">
        <f t="shared" si="176"/>
        <v>3</v>
      </c>
      <c r="AP402">
        <f>step3_validation[[#This Row],[AI_TRU2]]</f>
        <v>9</v>
      </c>
      <c r="AQ402" t="str">
        <f t="shared" si="177"/>
        <v>Support</v>
      </c>
      <c r="AR402">
        <f>survey_responses[[#This Row],[Tôi thấy mức thuế tôi phải đóng theo phương án mới là công bằng (người thu nhập như tôi đóng mức này là hợp lý). - HUMAN-TRU2]]</f>
        <v>2</v>
      </c>
      <c r="AS402" t="str">
        <f t="shared" si="178"/>
        <v>Oppose</v>
      </c>
      <c r="AT402" s="31">
        <f t="shared" si="179"/>
        <v>7</v>
      </c>
      <c r="AU402">
        <f>step3_validation[[#This Row],[AI_TRU3]]</f>
        <v>7</v>
      </c>
      <c r="AV402" t="str">
        <f t="shared" si="180"/>
        <v>Neutral</v>
      </c>
      <c r="AW402">
        <f>survey_responses[[#This Row],[Tôi tin tưởng số tiền thuế tôi đóng sẽ được Nhà nước sử dụng hiệu quả để cải thiện dịch vụ công (y tế, đường xá...). - HUMAN-TRU3]]</f>
        <v>2</v>
      </c>
      <c r="AX402" t="str">
        <f t="shared" si="181"/>
        <v>Oppose</v>
      </c>
      <c r="AY402" s="31">
        <f t="shared" si="182"/>
        <v>5</v>
      </c>
      <c r="AZ402">
        <f>step3_validation[[#This Row],[AI_TRU4]]</f>
        <v>6</v>
      </c>
      <c r="BA402" t="str">
        <f t="shared" si="183"/>
        <v>Neutral</v>
      </c>
      <c r="BB402">
        <f>survey_responses[[#This Row],[Tôi thấy Nhà nước đã giải thích rõ ràng, minh bạch về lý do và mục tiêu của việc sửa đổi thuế lần này. - HUMAN-TRU4]]</f>
        <v>5</v>
      </c>
      <c r="BC402" t="str">
        <f t="shared" si="184"/>
        <v>Neutral</v>
      </c>
      <c r="BD402" s="31">
        <f t="shared" si="185"/>
        <v>1</v>
      </c>
      <c r="BE402">
        <f>step3_validation[[#This Row],[AI_OUT1]]</f>
        <v>9</v>
      </c>
      <c r="BF402" t="str">
        <f t="shared" si="186"/>
        <v>Support</v>
      </c>
      <c r="BG402">
        <f>survey_responses[[#This Row],[Sau khi xem xét các quyền lợi và nghĩa vụ, bạn có ủng hộ và tuân thủ chính sách mới hiện nay? - HUMAN-OUT1]]</f>
        <v>2</v>
      </c>
      <c r="BH402" t="str">
        <f t="shared" si="187"/>
        <v>Oppose</v>
      </c>
      <c r="BI402" s="31">
        <f t="shared" si="188"/>
        <v>7</v>
      </c>
    </row>
    <row r="403" spans="1:61" hidden="1" x14ac:dyDescent="0.45">
      <c r="A403" s="29">
        <f>step3_validation[[#This Row],[Persona_ID]]</f>
        <v>402</v>
      </c>
      <c r="B403" s="30">
        <f>step3_validation[[#This Row],[Used_Seed]]</f>
        <v>443</v>
      </c>
      <c r="C403" t="str">
        <f>step3_validation[[#This Row],[Gender]]</f>
        <v>Nam</v>
      </c>
      <c r="D403" t="str">
        <f>survey_responses[[#This Row],[Giới tính của bạn:]]</f>
        <v>Nam</v>
      </c>
      <c r="E403" t="str">
        <f>step3_validation[[#This Row],[Age_Group]]</f>
        <v>55 - 64</v>
      </c>
      <c r="F403" t="str">
        <f>survey_responses[[#This Row],[Độ tuổi của bạn:]]</f>
        <v>55 - 64</v>
      </c>
      <c r="G403" t="str">
        <f>step3_validation[[#This Row],[Region]]</f>
        <v>Thành thị</v>
      </c>
      <c r="H403" t="str">
        <f>survey_responses[[#This Row],[Khu vực bạn đang sinh sống:]]</f>
        <v>Thành thị</v>
      </c>
      <c r="I403" t="str">
        <f>step3_validation[[#This Row],[Education]]</f>
        <v>Sau Đại học</v>
      </c>
      <c r="J403" t="str">
        <f>survey_responses[[#This Row],[Trình độ học vấn cao nhất:]]</f>
        <v>Sau Đại học</v>
      </c>
      <c r="K403" t="str">
        <f>step3_validation[[#This Row],[Employment]]</f>
        <v>Chính thức</v>
      </c>
      <c r="L403" t="str">
        <f>survey_responses[[#This Row],[Tình trạng việc làm chính:]]</f>
        <v>Khu vực chính thức (Có Hợp đồng lao động, đóng BHXH)</v>
      </c>
      <c r="M403">
        <f>step3_validation[[#This Row],[Income_Mil]]</f>
        <v>153.82185160621316</v>
      </c>
      <c r="N403" t="str">
        <f>survey_responses[[#This Row],[Thu nhập bình quân tháng theo Hợp đồng lao động của bạn là bao nhiêu? (Vui lòng điền tổng thu nhập trước khi khấu trừ các loại Bảo hiểm (BHXH, BHYT, BHTN) và Thuế TNCN)]]</f>
        <v>Trên 102 triệu VNĐ</v>
      </c>
      <c r="O403">
        <f>step3_validation[[#This Row],[Dependents]]</f>
        <v>4</v>
      </c>
      <c r="P403" t="str">
        <f>survey_responses[[#This Row],[Số người phụ thuộc (con nhỏ, cha mẹ già...) đủ điều kiện giảm trừ gia cảnh:]]</f>
        <v>4 người trở lên</v>
      </c>
      <c r="Q403">
        <f>step3_validation[[#This Row],[AI_ENF1]]</f>
        <v>6</v>
      </c>
      <c r="R403" t="str">
        <f t="shared" si="162"/>
        <v>Neutral</v>
      </c>
      <c r="S403">
        <f>survey_responses[[#This Row],[Tôi tin rằng với các quy định quản lý thuế hiện nay, hành vi gian lận hoặc trốn thuế sẽ dễ dàng bị phát hiện và xử lý nghiêm. - HUMAN-ENF1]]</f>
        <v>7</v>
      </c>
      <c r="T403" t="str">
        <f t="shared" si="163"/>
        <v>Neutral</v>
      </c>
      <c r="U403" s="31">
        <f t="shared" si="164"/>
        <v>1</v>
      </c>
      <c r="V403">
        <f>step3_validation[[#This Row],[AI_ENF2]]</f>
        <v>7</v>
      </c>
      <c r="W403" t="str">
        <f t="shared" si="165"/>
        <v>Neutral</v>
      </c>
      <c r="X403">
        <f>survey_responses[[#This Row],[Tôi tin rằng Nhà nước, cơ quan thuế có đủ khả năng và công nghệ để phát hiện, xử lý nghiêm các hành vi trốn thuế. - HUMAN-ENF2]]</f>
        <v>7</v>
      </c>
      <c r="Y403" t="str">
        <f t="shared" si="166"/>
        <v>Neutral</v>
      </c>
      <c r="Z403" s="31">
        <f t="shared" si="167"/>
        <v>0</v>
      </c>
      <c r="AA403">
        <f>step3_validation[[#This Row],[AI_FAC1]]</f>
        <v>8</v>
      </c>
      <c r="AB403" t="str">
        <f t="shared" si="168"/>
        <v>Support</v>
      </c>
      <c r="AC403">
        <f>survey_responses[[#This Row],[Các thủ tục khai báo thuế VÀ/HOẶC quy trình làm việc với cơ quan thuế đơn giản, tiện lợi, nhanh chóng hơn so với trước đây. - HUMAN-FAC1]]</f>
        <v>4</v>
      </c>
      <c r="AD403" t="str">
        <f t="shared" si="169"/>
        <v>Oppose</v>
      </c>
      <c r="AE403" s="31">
        <f t="shared" si="170"/>
        <v>4</v>
      </c>
      <c r="AF403">
        <f>step3_validation[[#This Row],[AI_FAC2]]</f>
        <v>9</v>
      </c>
      <c r="AG403" t="str">
        <f t="shared" si="171"/>
        <v>Support</v>
      </c>
      <c r="AH403">
        <f>survey_responses[[#This Row],[So với trước đây, tôi thấy cách tính thuế và các bậc thuế trong phương án mới đơn giản, dễ hiểu và dễ thực hiện hơn. - HUMAN-FAC2]]</f>
        <v>6</v>
      </c>
      <c r="AI403" t="str">
        <f t="shared" si="172"/>
        <v>Neutral</v>
      </c>
      <c r="AJ403" s="31">
        <f t="shared" si="173"/>
        <v>3</v>
      </c>
      <c r="AK403">
        <f>step3_validation[[#This Row],[AI_TRU1]]</f>
        <v>7</v>
      </c>
      <c r="AL403" t="str">
        <f t="shared" si="174"/>
        <v>Neutral</v>
      </c>
      <c r="AM403">
        <f>survey_responses[[#This Row],[Tôi tin rằng Nhà nước, cơ quan thuế sẽ thực thi chính sách mới một cách khách quan, công tâm và đối xử bình đẳng với mọi người nộp thuế.  - HUMAN-TRU1]]</f>
        <v>5</v>
      </c>
      <c r="AN403" t="str">
        <f t="shared" si="175"/>
        <v>Neutral</v>
      </c>
      <c r="AO403" s="31">
        <f t="shared" si="176"/>
        <v>2</v>
      </c>
      <c r="AP403">
        <f>step3_validation[[#This Row],[AI_TRU2]]</f>
        <v>8</v>
      </c>
      <c r="AQ403" t="str">
        <f t="shared" si="177"/>
        <v>Support</v>
      </c>
      <c r="AR403">
        <f>survey_responses[[#This Row],[Tôi thấy mức thuế tôi phải đóng theo phương án mới là công bằng (người thu nhập như tôi đóng mức này là hợp lý). - HUMAN-TRU2]]</f>
        <v>4</v>
      </c>
      <c r="AS403" t="str">
        <f t="shared" si="178"/>
        <v>Oppose</v>
      </c>
      <c r="AT403" s="31">
        <f t="shared" si="179"/>
        <v>4</v>
      </c>
      <c r="AU403">
        <f>step3_validation[[#This Row],[AI_TRU3]]</f>
        <v>7</v>
      </c>
      <c r="AV403" t="str">
        <f t="shared" si="180"/>
        <v>Neutral</v>
      </c>
      <c r="AW403">
        <f>survey_responses[[#This Row],[Tôi tin tưởng số tiền thuế tôi đóng sẽ được Nhà nước sử dụng hiệu quả để cải thiện dịch vụ công (y tế, đường xá...). - HUMAN-TRU3]]</f>
        <v>5</v>
      </c>
      <c r="AX403" t="str">
        <f t="shared" si="181"/>
        <v>Neutral</v>
      </c>
      <c r="AY403" s="31">
        <f t="shared" si="182"/>
        <v>2</v>
      </c>
      <c r="AZ403">
        <f>step3_validation[[#This Row],[AI_TRU4]]</f>
        <v>6</v>
      </c>
      <c r="BA403" t="str">
        <f t="shared" si="183"/>
        <v>Neutral</v>
      </c>
      <c r="BB403">
        <f>survey_responses[[#This Row],[Tôi thấy Nhà nước đã giải thích rõ ràng, minh bạch về lý do và mục tiêu của việc sửa đổi thuế lần này. - HUMAN-TRU4]]</f>
        <v>5</v>
      </c>
      <c r="BC403" t="str">
        <f t="shared" si="184"/>
        <v>Neutral</v>
      </c>
      <c r="BD403" s="31">
        <f t="shared" si="185"/>
        <v>1</v>
      </c>
      <c r="BE403">
        <f>step3_validation[[#This Row],[AI_OUT1]]</f>
        <v>9</v>
      </c>
      <c r="BF403" t="str">
        <f t="shared" si="186"/>
        <v>Support</v>
      </c>
      <c r="BG403">
        <f>survey_responses[[#This Row],[Sau khi xem xét các quyền lợi và nghĩa vụ, bạn có ủng hộ và tuân thủ chính sách mới hiện nay? - HUMAN-OUT1]]</f>
        <v>5</v>
      </c>
      <c r="BH403" t="str">
        <f t="shared" si="187"/>
        <v>Neutral</v>
      </c>
      <c r="BI403" s="31">
        <f t="shared" si="188"/>
        <v>4</v>
      </c>
    </row>
    <row r="404" spans="1:61" hidden="1" x14ac:dyDescent="0.45">
      <c r="A404" s="29">
        <f>step3_validation[[#This Row],[Persona_ID]]</f>
        <v>403</v>
      </c>
      <c r="B404" s="30">
        <f>step3_validation[[#This Row],[Used_Seed]]</f>
        <v>444</v>
      </c>
      <c r="C404" t="str">
        <f>step3_validation[[#This Row],[Gender]]</f>
        <v>Nữ</v>
      </c>
      <c r="D404" t="str">
        <f>survey_responses[[#This Row],[Giới tính của bạn:]]</f>
        <v>Nữ</v>
      </c>
      <c r="E404" t="str">
        <f>step3_validation[[#This Row],[Age_Group]]</f>
        <v>25 - 29</v>
      </c>
      <c r="F404" t="str">
        <f>survey_responses[[#This Row],[Độ tuổi của bạn:]]</f>
        <v>25 - 29</v>
      </c>
      <c r="G404" t="str">
        <f>step3_validation[[#This Row],[Region]]</f>
        <v>Thành thị</v>
      </c>
      <c r="H404" t="str">
        <f>survey_responses[[#This Row],[Khu vực bạn đang sinh sống:]]</f>
        <v>Thành thị</v>
      </c>
      <c r="I404" t="str">
        <f>step3_validation[[#This Row],[Education]]</f>
        <v>Đại học</v>
      </c>
      <c r="J404" t="str">
        <f>survey_responses[[#This Row],[Trình độ học vấn cao nhất:]]</f>
        <v>Đại học</v>
      </c>
      <c r="K404" t="str">
        <f>step3_validation[[#This Row],[Employment]]</f>
        <v>Chính thức</v>
      </c>
      <c r="L404" t="str">
        <f>survey_responses[[#This Row],[Tình trạng việc làm chính:]]</f>
        <v>Khu vực chính thức (Có Hợp đồng lao động, đóng BHXH)</v>
      </c>
      <c r="M404">
        <f>step3_validation[[#This Row],[Income_Mil]]</f>
        <v>27.132060902957004</v>
      </c>
      <c r="N404" t="str">
        <f>survey_responses[[#This Row],[Thu nhập bình quân tháng theo Hợp đồng lao động của bạn là bao nhiêu? (Vui lòng điền tổng thu nhập trước khi khấu trừ các loại Bảo hiểm (BHXH, BHYT, BHTN) và Thuế TNCN)]]</f>
        <v>Từ 23 - 32 triệu VNĐ</v>
      </c>
      <c r="O404">
        <f>step3_validation[[#This Row],[Dependents]]</f>
        <v>0</v>
      </c>
      <c r="P404" t="str">
        <f>survey_responses[[#This Row],[Số người phụ thuộc (con nhỏ, cha mẹ già...) đủ điều kiện giảm trừ gia cảnh:]]</f>
        <v>0 người</v>
      </c>
      <c r="Q404">
        <f>step3_validation[[#This Row],[AI_ENF1]]</f>
        <v>7</v>
      </c>
      <c r="R404" t="str">
        <f t="shared" si="162"/>
        <v>Neutral</v>
      </c>
      <c r="S404">
        <f>survey_responses[[#This Row],[Tôi tin rằng với các quy định quản lý thuế hiện nay, hành vi gian lận hoặc trốn thuế sẽ dễ dàng bị phát hiện và xử lý nghiêm. - HUMAN-ENF1]]</f>
        <v>7</v>
      </c>
      <c r="T404" t="str">
        <f t="shared" si="163"/>
        <v>Neutral</v>
      </c>
      <c r="U404" s="31">
        <f t="shared" si="164"/>
        <v>0</v>
      </c>
      <c r="V404">
        <f>step3_validation[[#This Row],[AI_ENF2]]</f>
        <v>8</v>
      </c>
      <c r="W404" t="str">
        <f t="shared" si="165"/>
        <v>Support</v>
      </c>
      <c r="X404">
        <f>survey_responses[[#This Row],[Tôi tin rằng Nhà nước, cơ quan thuế có đủ khả năng và công nghệ để phát hiện, xử lý nghiêm các hành vi trốn thuế. - HUMAN-ENF2]]</f>
        <v>7</v>
      </c>
      <c r="Y404" t="str">
        <f t="shared" si="166"/>
        <v>Neutral</v>
      </c>
      <c r="Z404" s="31">
        <f t="shared" si="167"/>
        <v>1</v>
      </c>
      <c r="AA404">
        <f>step3_validation[[#This Row],[AI_FAC1]]</f>
        <v>6</v>
      </c>
      <c r="AB404" t="str">
        <f t="shared" si="168"/>
        <v>Neutral</v>
      </c>
      <c r="AC404">
        <f>survey_responses[[#This Row],[Các thủ tục khai báo thuế VÀ/HOẶC quy trình làm việc với cơ quan thuế đơn giản, tiện lợi, nhanh chóng hơn so với trước đây. - HUMAN-FAC1]]</f>
        <v>7</v>
      </c>
      <c r="AD404" t="str">
        <f t="shared" si="169"/>
        <v>Neutral</v>
      </c>
      <c r="AE404" s="31">
        <f t="shared" si="170"/>
        <v>1</v>
      </c>
      <c r="AF404">
        <f>step3_validation[[#This Row],[AI_FAC2]]</f>
        <v>9</v>
      </c>
      <c r="AG404" t="str">
        <f t="shared" si="171"/>
        <v>Support</v>
      </c>
      <c r="AH404">
        <f>survey_responses[[#This Row],[So với trước đây, tôi thấy cách tính thuế và các bậc thuế trong phương án mới đơn giản, dễ hiểu và dễ thực hiện hơn. - HUMAN-FAC2]]</f>
        <v>7</v>
      </c>
      <c r="AI404" t="str">
        <f t="shared" si="172"/>
        <v>Neutral</v>
      </c>
      <c r="AJ404" s="31">
        <f t="shared" si="173"/>
        <v>2</v>
      </c>
      <c r="AK404">
        <f>step3_validation[[#This Row],[AI_TRU1]]</f>
        <v>7</v>
      </c>
      <c r="AL404" t="str">
        <f t="shared" si="174"/>
        <v>Neutral</v>
      </c>
      <c r="AM404">
        <f>survey_responses[[#This Row],[Tôi tin rằng Nhà nước, cơ quan thuế sẽ thực thi chính sách mới một cách khách quan, công tâm và đối xử bình đẳng với mọi người nộp thuế.  - HUMAN-TRU1]]</f>
        <v>7</v>
      </c>
      <c r="AN404" t="str">
        <f t="shared" si="175"/>
        <v>Neutral</v>
      </c>
      <c r="AO404" s="31">
        <f t="shared" si="176"/>
        <v>0</v>
      </c>
      <c r="AP404">
        <f>step3_validation[[#This Row],[AI_TRU2]]</f>
        <v>8</v>
      </c>
      <c r="AQ404" t="str">
        <f t="shared" si="177"/>
        <v>Support</v>
      </c>
      <c r="AR404">
        <f>survey_responses[[#This Row],[Tôi thấy mức thuế tôi phải đóng theo phương án mới là công bằng (người thu nhập như tôi đóng mức này là hợp lý). - HUMAN-TRU2]]</f>
        <v>7</v>
      </c>
      <c r="AS404" t="str">
        <f t="shared" si="178"/>
        <v>Neutral</v>
      </c>
      <c r="AT404" s="31">
        <f t="shared" si="179"/>
        <v>1</v>
      </c>
      <c r="AU404">
        <f>step3_validation[[#This Row],[AI_TRU3]]</f>
        <v>6</v>
      </c>
      <c r="AV404" t="str">
        <f t="shared" si="180"/>
        <v>Neutral</v>
      </c>
      <c r="AW404">
        <f>survey_responses[[#This Row],[Tôi tin tưởng số tiền thuế tôi đóng sẽ được Nhà nước sử dụng hiệu quả để cải thiện dịch vụ công (y tế, đường xá...). - HUMAN-TRU3]]</f>
        <v>7</v>
      </c>
      <c r="AX404" t="str">
        <f t="shared" si="181"/>
        <v>Neutral</v>
      </c>
      <c r="AY404" s="31">
        <f t="shared" si="182"/>
        <v>1</v>
      </c>
      <c r="AZ404">
        <f>step3_validation[[#This Row],[AI_TRU4]]</f>
        <v>7</v>
      </c>
      <c r="BA404" t="str">
        <f t="shared" si="183"/>
        <v>Neutral</v>
      </c>
      <c r="BB404">
        <f>survey_responses[[#This Row],[Tôi thấy Nhà nước đã giải thích rõ ràng, minh bạch về lý do và mục tiêu của việc sửa đổi thuế lần này. - HUMAN-TRU4]]</f>
        <v>7</v>
      </c>
      <c r="BC404" t="str">
        <f t="shared" si="184"/>
        <v>Neutral</v>
      </c>
      <c r="BD404" s="31">
        <f t="shared" si="185"/>
        <v>0</v>
      </c>
      <c r="BE404">
        <f>step3_validation[[#This Row],[AI_OUT1]]</f>
        <v>9</v>
      </c>
      <c r="BF404" t="str">
        <f t="shared" si="186"/>
        <v>Support</v>
      </c>
      <c r="BG404">
        <f>survey_responses[[#This Row],[Sau khi xem xét các quyền lợi và nghĩa vụ, bạn có ủng hộ và tuân thủ chính sách mới hiện nay? - HUMAN-OUT1]]</f>
        <v>7</v>
      </c>
      <c r="BH404" t="str">
        <f t="shared" si="187"/>
        <v>Neutral</v>
      </c>
      <c r="BI404" s="31">
        <f t="shared" si="188"/>
        <v>2</v>
      </c>
    </row>
    <row r="405" spans="1:61" hidden="1" x14ac:dyDescent="0.45">
      <c r="U405">
        <f>AVERAGE(U2:U404)</f>
        <v>1.8957816377171215</v>
      </c>
      <c r="Z405">
        <f>AVERAGE(Z2:Z404)</f>
        <v>1.9727047146401986</v>
      </c>
      <c r="AE405">
        <f>AVERAGE(AE2:AE404)</f>
        <v>2.6104218362282881</v>
      </c>
      <c r="AJ405">
        <f>AVERAGE(AJ2:AJ404)</f>
        <v>1.8238213399503722</v>
      </c>
      <c r="AO405">
        <f>AVERAGE(AO2:AO404)</f>
        <v>2.1265508684863526</v>
      </c>
      <c r="AT405">
        <f>AVERAGE(AT2:AT404)</f>
        <v>2.501240694789082</v>
      </c>
      <c r="AY405">
        <f>AVERAGE(AY2:AY404)</f>
        <v>2.5260545905707197</v>
      </c>
      <c r="BD405">
        <f>AVERAGE(BD2:BD404)</f>
        <v>2.0347394540942929</v>
      </c>
      <c r="BI405">
        <f>AVERAGE(BI2:BI404)</f>
        <v>2.2928039702233249</v>
      </c>
    </row>
    <row r="406" spans="1:61" hidden="1" x14ac:dyDescent="0.45">
      <c r="Q406" t="s">
        <v>1</v>
      </c>
      <c r="R406">
        <f>COUNTIF($R$2:$R$404,"Oppose")</f>
        <v>4</v>
      </c>
      <c r="S406" t="s">
        <v>1</v>
      </c>
      <c r="T406">
        <f>COUNTIF($T$2:$T$404,"Oppose")</f>
        <v>55</v>
      </c>
      <c r="V406" t="s">
        <v>1</v>
      </c>
      <c r="W406">
        <f>COUNTIF($W$2:$W$404,"Oppose")</f>
        <v>3</v>
      </c>
      <c r="X406" t="s">
        <v>1</v>
      </c>
      <c r="Y406">
        <f>COUNTIF($Y$2:$Y$404,"Oppose")</f>
        <v>45</v>
      </c>
      <c r="AA406" t="s">
        <v>1</v>
      </c>
      <c r="AB406">
        <f>COUNTIF($AB$2:$AB$404,"Oppose")</f>
        <v>0</v>
      </c>
      <c r="AC406" t="s">
        <v>1</v>
      </c>
      <c r="AD406">
        <f>COUNTIF($AD$2:$AD$404,"Oppose")</f>
        <v>83</v>
      </c>
      <c r="AF406" t="s">
        <v>1</v>
      </c>
      <c r="AG406">
        <f>COUNTIF($AG$2:$AG$404,"Oppose")</f>
        <v>0</v>
      </c>
      <c r="AH406" t="s">
        <v>1</v>
      </c>
      <c r="AI406">
        <f>COUNTIF($AI$2:$AI$404,"Oppose")</f>
        <v>21</v>
      </c>
      <c r="AK406" t="s">
        <v>1</v>
      </c>
      <c r="AL406">
        <f>COUNTIF($AL$2:$AL$404,"Oppose")</f>
        <v>1</v>
      </c>
      <c r="AM406" t="s">
        <v>1</v>
      </c>
      <c r="AN406">
        <f>COUNTIF($AN$2:$AN$404,"Oppose")</f>
        <v>57</v>
      </c>
      <c r="AP406" t="s">
        <v>1</v>
      </c>
      <c r="AQ406">
        <f>COUNTIF($AQ$2:$AQ$404,"Oppose")</f>
        <v>0</v>
      </c>
      <c r="AR406" t="s">
        <v>1</v>
      </c>
      <c r="AS406">
        <f>COUNTIF($AS$2:$AS$404,"Oppose")</f>
        <v>70</v>
      </c>
      <c r="AU406" t="s">
        <v>1</v>
      </c>
      <c r="AV406">
        <f>COUNTIF($AV$2:$AV$404,"Oppose")</f>
        <v>0</v>
      </c>
      <c r="AW406" t="s">
        <v>1</v>
      </c>
      <c r="AX406">
        <f>COUNTIF($AX$2:$AX$404,"Oppose")</f>
        <v>72</v>
      </c>
      <c r="AZ406" t="s">
        <v>1</v>
      </c>
      <c r="BA406">
        <f>COUNTIF($BA$2:$BA$404,"Oppose")</f>
        <v>0</v>
      </c>
      <c r="BB406" t="s">
        <v>1</v>
      </c>
      <c r="BC406">
        <f>COUNTIF($BC$2:$BC$404,"Oppose")</f>
        <v>46</v>
      </c>
      <c r="BE406" t="s">
        <v>1</v>
      </c>
      <c r="BF406">
        <f>COUNTIF($BF$2:$BF$404,"Oppose")</f>
        <v>0</v>
      </c>
      <c r="BG406" t="s">
        <v>1</v>
      </c>
      <c r="BH406">
        <f>COUNTIF($BH$2:$BH$404,"Oppose")</f>
        <v>35</v>
      </c>
    </row>
    <row r="407" spans="1:61" hidden="1" x14ac:dyDescent="0.45">
      <c r="Q407" t="s">
        <v>2</v>
      </c>
      <c r="R407">
        <f>COUNTIF($R$2:$R$404,"Neutral")</f>
        <v>277</v>
      </c>
      <c r="S407" t="s">
        <v>2</v>
      </c>
      <c r="T407">
        <f>COUNTIF($T$2:$T$404,"Neutral")</f>
        <v>180</v>
      </c>
      <c r="V407" t="s">
        <v>2</v>
      </c>
      <c r="W407">
        <f>COUNTIF($W$2:$W$404,"Neutral")</f>
        <v>202</v>
      </c>
      <c r="X407" t="s">
        <v>2</v>
      </c>
      <c r="Y407">
        <f>COUNTIF($Y$2:$Y$404,"Neutral")</f>
        <v>166</v>
      </c>
      <c r="AA407" t="s">
        <v>2</v>
      </c>
      <c r="AB407">
        <f>COUNTIF($AB$2:$AB$404,"Neutral")</f>
        <v>83</v>
      </c>
      <c r="AC407" t="s">
        <v>2</v>
      </c>
      <c r="AD407">
        <f>COUNTIF($AD$2:$AD$404,"Neutral")</f>
        <v>177</v>
      </c>
      <c r="AF407" t="s">
        <v>2</v>
      </c>
      <c r="AG407">
        <f>COUNTIF($AG$2:$AG$404,"Neutral")</f>
        <v>11</v>
      </c>
      <c r="AH407" t="s">
        <v>2</v>
      </c>
      <c r="AI407">
        <f>COUNTIF($AI$2:$AI$404,"Neutral")</f>
        <v>185</v>
      </c>
      <c r="AK407" t="s">
        <v>2</v>
      </c>
      <c r="AL407">
        <f>COUNTIF($AL$2:$AL$404,"Neutral")</f>
        <v>174</v>
      </c>
      <c r="AM407" t="s">
        <v>2</v>
      </c>
      <c r="AN407">
        <f>COUNTIF($AN$2:$AN$404,"Neutral")</f>
        <v>218</v>
      </c>
      <c r="AP407" t="s">
        <v>2</v>
      </c>
      <c r="AQ407">
        <f>COUNTIF($AQ$2:$AQ$404,"Neutral")</f>
        <v>14</v>
      </c>
      <c r="AR407" t="s">
        <v>2</v>
      </c>
      <c r="AS407">
        <f>COUNTIF($AS$2:$AS$404,"Neutral")</f>
        <v>178</v>
      </c>
      <c r="AU407" t="s">
        <v>2</v>
      </c>
      <c r="AV407">
        <f>COUNTIF($AV$2:$AV$404,"Neutral")</f>
        <v>162</v>
      </c>
      <c r="AW407" t="s">
        <v>2</v>
      </c>
      <c r="AX407">
        <f>COUNTIF($AX$2:$AX$404,"Neutral")</f>
        <v>217</v>
      </c>
      <c r="AZ407" t="s">
        <v>2</v>
      </c>
      <c r="BA407">
        <f>COUNTIF($BA$2:$BA$404,"Neutral")</f>
        <v>176</v>
      </c>
      <c r="BB407" t="s">
        <v>2</v>
      </c>
      <c r="BC407">
        <f>COUNTIF($BC$2:$BC$404,"Neutral")</f>
        <v>235</v>
      </c>
      <c r="BE407" t="s">
        <v>2</v>
      </c>
      <c r="BF407">
        <f>COUNTIF($BF$2:$BF$404,"Neutral")</f>
        <v>18</v>
      </c>
      <c r="BG407" t="s">
        <v>2</v>
      </c>
      <c r="BH407">
        <f>COUNTIF($BH$2:$BH$404,"Neutral")</f>
        <v>194</v>
      </c>
    </row>
    <row r="408" spans="1:61" hidden="1" x14ac:dyDescent="0.45">
      <c r="Q408" t="s">
        <v>3</v>
      </c>
      <c r="R408">
        <f>COUNTIF($R$2:$R$404,"Support")</f>
        <v>122</v>
      </c>
      <c r="S408" t="s">
        <v>3</v>
      </c>
      <c r="T408">
        <f>COUNTIF($T$2:$T$404,"Support")</f>
        <v>168</v>
      </c>
      <c r="V408" t="s">
        <v>3</v>
      </c>
      <c r="W408">
        <f>COUNTIF($W$2:$W$404,"Support")</f>
        <v>198</v>
      </c>
      <c r="X408" t="s">
        <v>3</v>
      </c>
      <c r="Y408">
        <f>COUNTIF($Y$2:$Y$404,"Support")</f>
        <v>192</v>
      </c>
      <c r="AA408" t="s">
        <v>3</v>
      </c>
      <c r="AB408">
        <f>COUNTIF($AB$2:$AB$404,"Support")</f>
        <v>320</v>
      </c>
      <c r="AC408" t="s">
        <v>3</v>
      </c>
      <c r="AD408">
        <f>COUNTIF($AD$2:$AD$404,"Support")</f>
        <v>143</v>
      </c>
      <c r="AF408" t="s">
        <v>3</v>
      </c>
      <c r="AG408">
        <f>COUNTIF($AG$2:$AG$404,"Support")</f>
        <v>392</v>
      </c>
      <c r="AH408" t="s">
        <v>3</v>
      </c>
      <c r="AI408">
        <f>COUNTIF($AI$2:$AI$404,"Support")</f>
        <v>197</v>
      </c>
      <c r="AK408" t="s">
        <v>3</v>
      </c>
      <c r="AL408">
        <f>COUNTIF($AL$2:$AL$404,"Support")</f>
        <v>226</v>
      </c>
      <c r="AM408" t="s">
        <v>3</v>
      </c>
      <c r="AN408">
        <f>COUNTIF($AN$2:$AN$404,"Support")</f>
        <v>128</v>
      </c>
      <c r="AP408" t="s">
        <v>3</v>
      </c>
      <c r="AQ408">
        <f>COUNTIF($AQ$2:$AQ$404,"Support")</f>
        <v>386</v>
      </c>
      <c r="AR408" t="s">
        <v>3</v>
      </c>
      <c r="AS408">
        <f>COUNTIF($AS$2:$AS$404,"Support")</f>
        <v>155</v>
      </c>
      <c r="AU408" t="s">
        <v>3</v>
      </c>
      <c r="AV408">
        <f>COUNTIF($AV$2:$AV$404,"Support")</f>
        <v>238</v>
      </c>
      <c r="AW408" t="s">
        <v>3</v>
      </c>
      <c r="AX408">
        <f>COUNTIF($AX$2:$AX$404,"Support")</f>
        <v>114</v>
      </c>
      <c r="AZ408" t="s">
        <v>3</v>
      </c>
      <c r="BA408">
        <f>COUNTIF($BA$2:$BA$404,"Support")</f>
        <v>224</v>
      </c>
      <c r="BB408" t="s">
        <v>3</v>
      </c>
      <c r="BC408">
        <f>COUNTIF($BC$2:$BC$404,"Support")</f>
        <v>122</v>
      </c>
      <c r="BE408" t="s">
        <v>3</v>
      </c>
      <c r="BF408">
        <f>COUNTIF($BF$2:$BF$404,"Support")</f>
        <v>382</v>
      </c>
      <c r="BG408" t="s">
        <v>3</v>
      </c>
      <c r="BH408">
        <f>COUNTIF($BH$2:$BH$404,"Support")</f>
        <v>174</v>
      </c>
    </row>
    <row r="409" spans="1:61" hidden="1" x14ac:dyDescent="0.45">
      <c r="R409">
        <f>SUM(R406:R408)</f>
        <v>403</v>
      </c>
      <c r="T409">
        <f>SUM(T406:T408)</f>
        <v>403</v>
      </c>
      <c r="W409">
        <f>SUM(W406:W408)</f>
        <v>403</v>
      </c>
      <c r="Y409">
        <f>SUM(Y406:Y408)</f>
        <v>403</v>
      </c>
      <c r="AB409">
        <f>SUM(AB406:AB408)</f>
        <v>403</v>
      </c>
      <c r="AD409">
        <f>SUM(AD406:AD408)</f>
        <v>403</v>
      </c>
      <c r="AG409">
        <f>SUM(AG406:AG408)</f>
        <v>403</v>
      </c>
      <c r="AI409">
        <f>SUM(AI406:AI408)</f>
        <v>403</v>
      </c>
      <c r="AL409">
        <f>SUM(AL406:AL408)</f>
        <v>401</v>
      </c>
      <c r="AN409">
        <f>SUM(AN406:AN408)</f>
        <v>403</v>
      </c>
      <c r="AQ409">
        <f>SUM(AQ406:AQ408)</f>
        <v>400</v>
      </c>
      <c r="AS409">
        <f>SUM(AS406:AS408)</f>
        <v>403</v>
      </c>
      <c r="AV409">
        <f>SUM(AV406:AV408)</f>
        <v>400</v>
      </c>
      <c r="AX409">
        <f>SUM(AX406:AX408)</f>
        <v>403</v>
      </c>
      <c r="BA409">
        <f>SUM(BA406:BA408)</f>
        <v>400</v>
      </c>
      <c r="BC409">
        <f>SUM(BC406:BC408)</f>
        <v>403</v>
      </c>
      <c r="BF409">
        <f>SUM(BF406:BF408)</f>
        <v>400</v>
      </c>
      <c r="BH409">
        <f>SUM(BH406:BH408)</f>
        <v>403</v>
      </c>
    </row>
  </sheetData>
  <autoFilter ref="A1:BI409" xr:uid="{761E10F7-2B84-40C6-9388-EA08AD4F398E}">
    <filterColumn colId="13">
      <filters>
        <filter val="Dưới 12 triệu VNĐ"/>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53064-EEFD-4B01-8E00-F2C57957D59E}">
  <dimension ref="A2:K89"/>
  <sheetViews>
    <sheetView tabSelected="1" topLeftCell="A70" workbookViewId="0">
      <selection activeCell="H91" sqref="H91"/>
    </sheetView>
  </sheetViews>
  <sheetFormatPr defaultRowHeight="14.25" x14ac:dyDescent="0.45"/>
  <cols>
    <col min="2" max="5" width="9.06640625" customWidth="1"/>
  </cols>
  <sheetData>
    <row r="2" spans="1:11" x14ac:dyDescent="0.45">
      <c r="A2" t="s">
        <v>8</v>
      </c>
      <c r="B2" t="s">
        <v>1</v>
      </c>
      <c r="C2" t="s">
        <v>2</v>
      </c>
      <c r="D2" t="s">
        <v>3</v>
      </c>
      <c r="G2" t="s">
        <v>8</v>
      </c>
      <c r="H2" t="s">
        <v>1</v>
      </c>
      <c r="I2" t="s">
        <v>2</v>
      </c>
      <c r="J2" t="s">
        <v>3</v>
      </c>
    </row>
    <row r="3" spans="1:11" x14ac:dyDescent="0.45">
      <c r="A3" t="s">
        <v>71</v>
      </c>
      <c r="B3" s="4">
        <f>COUNTIFS(step3_combined_data!$T$2:$T$404,"Oppose", step3_combined_data!$L$2:$L$404,"Khu vực chính thức (Có Hợp đồng lao động, đóng BHXH)")</f>
        <v>52</v>
      </c>
      <c r="C3" s="4">
        <f>COUNTIFS(step3_combined_data!$T$2:$T$404,"Neutral", step3_combined_data!$L$2:$L$404,"Khu vực chính thức (Có Hợp đồng lao động, đóng BHXH)")</f>
        <v>167</v>
      </c>
      <c r="D3" s="4">
        <f>COUNTIFS(step3_combined_data!$T$2:$T$404,"Support", step3_combined_data!$L$2:$L$404,"Khu vực chính thức (Có Hợp đồng lao động, đóng BHXH)")</f>
        <v>158</v>
      </c>
      <c r="E3">
        <f>SUM(B3:D3)</f>
        <v>377</v>
      </c>
      <c r="G3" t="s">
        <v>71</v>
      </c>
      <c r="H3" s="35">
        <f>B3/E3</f>
        <v>0.13793103448275862</v>
      </c>
      <c r="I3" s="35">
        <f>C3/E3</f>
        <v>0.44297082228116713</v>
      </c>
      <c r="J3" s="35">
        <f>D3/E3</f>
        <v>0.41909814323607425</v>
      </c>
    </row>
    <row r="4" spans="1:11" x14ac:dyDescent="0.45">
      <c r="A4" t="s">
        <v>157</v>
      </c>
      <c r="B4" s="4">
        <f>COUNTIFS(step3_combined_data!$T$2:$T$404,"Oppose", step3_combined_data!$L$2:$L$404,"Khu vực phi chính thức (Lao động tự do, không có HĐLĐ)")</f>
        <v>2</v>
      </c>
      <c r="C4" s="4">
        <f>COUNTIFS(step3_combined_data!$T$2:$T$404,"Neutral", step3_combined_data!$L$2:$L$404,"Khu vực phi chính thức (Lao động tự do, không có HĐLĐ)")</f>
        <v>8</v>
      </c>
      <c r="D4" s="4">
        <f>COUNTIFS(step3_combined_data!$T$2:$T$404,"Support", step3_combined_data!$L$2:$L$404,"Khu vực phi chính thức (Lao động tự do, không có HĐLĐ)")</f>
        <v>7</v>
      </c>
      <c r="E4">
        <f>SUM(B4:D4)</f>
        <v>17</v>
      </c>
      <c r="G4" t="s">
        <v>157</v>
      </c>
      <c r="H4" s="35">
        <f>B4/E4</f>
        <v>0.11764705882352941</v>
      </c>
      <c r="I4" s="35">
        <f>C4/E4</f>
        <v>0.47058823529411764</v>
      </c>
      <c r="J4" s="35">
        <f>D4/E4</f>
        <v>0.41176470588235292</v>
      </c>
    </row>
    <row r="6" spans="1:11" x14ac:dyDescent="0.45">
      <c r="A6" t="s">
        <v>9</v>
      </c>
      <c r="B6" t="s">
        <v>1</v>
      </c>
      <c r="C6" t="s">
        <v>2</v>
      </c>
      <c r="D6" t="s">
        <v>3</v>
      </c>
      <c r="G6" t="s">
        <v>9</v>
      </c>
      <c r="H6" t="s">
        <v>1</v>
      </c>
      <c r="I6" t="s">
        <v>2</v>
      </c>
      <c r="J6" t="s">
        <v>3</v>
      </c>
    </row>
    <row r="7" spans="1:11" x14ac:dyDescent="0.45">
      <c r="A7" t="s">
        <v>71</v>
      </c>
      <c r="B7" s="4">
        <f>COUNTIFS(step3_combined_data!$Y$2:$Y$404,"Oppose", step3_combined_data!$L$2:$L$404,"Khu vực chính thức (Có Hợp đồng lao động, đóng BHXH)")</f>
        <v>40</v>
      </c>
      <c r="C7" s="4">
        <f>COUNTIFS(step3_combined_data!$Y$2:$Y$404,"Neutral", step3_combined_data!$L$2:$L$404,"Khu vực chính thức (Có Hợp đồng lao động, đóng BHXH)")</f>
        <v>157</v>
      </c>
      <c r="D7" s="4">
        <f>COUNTIFS(step3_combined_data!$Y$2:$Y$404,"Support", step3_combined_data!$L$2:$L$404,"Khu vực chính thức (Có Hợp đồng lao động, đóng BHXH)")</f>
        <v>180</v>
      </c>
      <c r="E7">
        <f>SUM(B7:D7)</f>
        <v>377</v>
      </c>
      <c r="G7" t="s">
        <v>71</v>
      </c>
      <c r="H7" s="35">
        <f>B7/E7</f>
        <v>0.10610079575596817</v>
      </c>
      <c r="I7" s="35">
        <f>C7/E7</f>
        <v>0.41644562334217505</v>
      </c>
      <c r="J7" s="35">
        <f>D7/E7</f>
        <v>0.47745358090185674</v>
      </c>
    </row>
    <row r="8" spans="1:11" x14ac:dyDescent="0.45">
      <c r="A8" t="s">
        <v>157</v>
      </c>
      <c r="B8" s="4">
        <f>COUNTIFS(step3_combined_data!$Y$2:$Y$404,"Oppose", step3_combined_data!$L$2:$L$404,"Khu vực phi chính thức (Lao động tự do, không có HĐLĐ)")</f>
        <v>3</v>
      </c>
      <c r="C8" s="4">
        <f>COUNTIFS(step3_combined_data!$Y$2:$Y$404,"Neutral", step3_combined_data!$L$2:$L$404,"Khu vực phi chính thức (Lao động tự do, không có HĐLĐ)")</f>
        <v>5</v>
      </c>
      <c r="D8" s="4">
        <f>COUNTIFS(step3_combined_data!$Y$2:$Y$404,"Support", step3_combined_data!$L$2:$L$404,"Khu vực phi chính thức (Lao động tự do, không có HĐLĐ)")</f>
        <v>9</v>
      </c>
      <c r="E8">
        <f>SUM(B8:D8)</f>
        <v>17</v>
      </c>
      <c r="G8" t="s">
        <v>157</v>
      </c>
      <c r="H8" s="35">
        <f>B8/E8</f>
        <v>0.17647058823529413</v>
      </c>
      <c r="I8" s="35">
        <f>C8/E8</f>
        <v>0.29411764705882354</v>
      </c>
      <c r="J8" s="35">
        <f>D8/E8</f>
        <v>0.52941176470588236</v>
      </c>
    </row>
    <row r="10" spans="1:11" x14ac:dyDescent="0.45">
      <c r="A10" t="s">
        <v>10</v>
      </c>
      <c r="B10" t="s">
        <v>1</v>
      </c>
      <c r="C10" t="s">
        <v>2</v>
      </c>
      <c r="D10" t="s">
        <v>3</v>
      </c>
      <c r="G10" t="s">
        <v>10</v>
      </c>
      <c r="H10" t="s">
        <v>1</v>
      </c>
      <c r="I10" t="s">
        <v>2</v>
      </c>
      <c r="J10" t="s">
        <v>3</v>
      </c>
    </row>
    <row r="11" spans="1:11" x14ac:dyDescent="0.45">
      <c r="A11" t="s">
        <v>71</v>
      </c>
      <c r="B11" s="4">
        <f>COUNTIFS(step3_combined_data!$AD$2:$AD$404,"Oppose", step3_combined_data!$L$2:$L$404,"Khu vực chính thức (Có Hợp đồng lao động, đóng BHXH)")</f>
        <v>73</v>
      </c>
      <c r="C11" s="4">
        <f>COUNTIFS(step3_combined_data!$AD$2:$AD$404,"Neutral", step3_combined_data!$L$2:$L$404,"Khu vực chính thức (Có Hợp đồng lao động, đóng BHXH)")</f>
        <v>166</v>
      </c>
      <c r="D11" s="4">
        <f>COUNTIFS(step3_combined_data!$AD$2:$AD$404,"Support", step3_combined_data!$L$2:$L$404,"Khu vực chính thức (Có Hợp đồng lao động, đóng BHXH)")</f>
        <v>138</v>
      </c>
      <c r="E11">
        <f>SUM(B11:D11)</f>
        <v>377</v>
      </c>
      <c r="G11" t="s">
        <v>71</v>
      </c>
      <c r="H11" s="35">
        <f>B11/E11</f>
        <v>0.19363395225464192</v>
      </c>
      <c r="I11" s="35">
        <f>C11/E11</f>
        <v>0.44031830238726788</v>
      </c>
      <c r="J11" s="35">
        <f>D11/E11</f>
        <v>0.3660477453580902</v>
      </c>
    </row>
    <row r="12" spans="1:11" x14ac:dyDescent="0.45">
      <c r="A12" t="s">
        <v>157</v>
      </c>
      <c r="B12" s="4">
        <f>COUNTIFS(step3_combined_data!$AD$2:$AD$404,"Oppose", step3_combined_data!$L$2:$L$404,"Khu vực phi chính thức (Lao động tự do, không có HĐLĐ)")</f>
        <v>7</v>
      </c>
      <c r="C12" s="4">
        <f>COUNTIFS(step3_combined_data!$AD$2:$AD$404,"Neutral", step3_combined_data!$L$2:$L$404,"Khu vực phi chính thức (Lao động tự do, không có HĐLĐ)")</f>
        <v>7</v>
      </c>
      <c r="D12" s="4">
        <f>COUNTIFS(step3_combined_data!$AD$2:$AD$404,"Support", step3_combined_data!$L$2:$L$404,"Khu vực phi chính thức (Lao động tự do, không có HĐLĐ)")</f>
        <v>3</v>
      </c>
      <c r="E12">
        <f>SUM(B12:D12)</f>
        <v>17</v>
      </c>
      <c r="G12" t="s">
        <v>157</v>
      </c>
      <c r="H12" s="35">
        <f>B12/E12</f>
        <v>0.41176470588235292</v>
      </c>
      <c r="I12" s="35">
        <f>C12/E12</f>
        <v>0.41176470588235292</v>
      </c>
      <c r="J12" s="35">
        <f>D12/E12</f>
        <v>0.17647058823529413</v>
      </c>
    </row>
    <row r="14" spans="1:11" x14ac:dyDescent="0.45">
      <c r="A14" t="s">
        <v>11</v>
      </c>
      <c r="B14" t="s">
        <v>1</v>
      </c>
      <c r="C14" t="s">
        <v>2</v>
      </c>
      <c r="D14" t="s">
        <v>3</v>
      </c>
      <c r="G14" t="s">
        <v>11</v>
      </c>
      <c r="H14" t="s">
        <v>1</v>
      </c>
      <c r="I14" t="s">
        <v>2</v>
      </c>
      <c r="J14" t="s">
        <v>3</v>
      </c>
    </row>
    <row r="15" spans="1:11" x14ac:dyDescent="0.45">
      <c r="A15" s="34" t="s">
        <v>184</v>
      </c>
      <c r="B15" s="4">
        <f>COUNTIFS(step3_combined_data!$AI$2:$AI$404,"Oppose", step3_combined_data!$E$2:$E$404,"18 - 24")</f>
        <v>1</v>
      </c>
      <c r="C15" s="4">
        <f>COUNTIFS(step3_combined_data!$AI$2:$AI$404,"Neutral", step3_combined_data!$E$2:$E$404,"18 - 24")</f>
        <v>17</v>
      </c>
      <c r="D15" s="4">
        <f>COUNTIFS(step3_combined_data!$AI$2:$AI$404,"Support", step3_combined_data!$E$2:$E$404,"18 - 24")</f>
        <v>37</v>
      </c>
      <c r="E15">
        <f>SUM(B15:D15)</f>
        <v>55</v>
      </c>
      <c r="G15" s="34" t="s">
        <v>184</v>
      </c>
      <c r="H15" s="36">
        <f t="shared" ref="H15:H20" si="0">B15/E15</f>
        <v>1.8181818181818181E-2</v>
      </c>
      <c r="I15" s="36">
        <f t="shared" ref="I15:I20" si="1">C15/E15</f>
        <v>0.30909090909090908</v>
      </c>
      <c r="J15" s="36">
        <f t="shared" ref="J15:J20" si="2">D15/E15</f>
        <v>0.67272727272727273</v>
      </c>
      <c r="K15">
        <f>SUM(H15:J15)</f>
        <v>1</v>
      </c>
    </row>
    <row r="16" spans="1:11" x14ac:dyDescent="0.45">
      <c r="A16" s="33" t="s">
        <v>76</v>
      </c>
      <c r="B16" s="4">
        <f>COUNTIFS(step3_combined_data!$AI$2:$AI$404,"Oppose", step3_combined_data!$E$2:$E$404,"25 - 29")</f>
        <v>1</v>
      </c>
      <c r="C16" s="4">
        <f>COUNTIFS(step3_combined_data!$AI$2:$AI$404,"Neutral", step3_combined_data!$E$2:$E$404,"25 - 29")</f>
        <v>36</v>
      </c>
      <c r="D16" s="4">
        <f>COUNTIFS(step3_combined_data!$AI$2:$AI$404,"Support", step3_combined_data!$E$2:$E$404,"25 - 29")</f>
        <v>42</v>
      </c>
      <c r="E16">
        <f t="shared" ref="E16:E20" si="3">SUM(B16:D16)</f>
        <v>79</v>
      </c>
      <c r="G16" s="33" t="s">
        <v>76</v>
      </c>
      <c r="H16" s="36">
        <f t="shared" si="0"/>
        <v>1.2658227848101266E-2</v>
      </c>
      <c r="I16" s="36">
        <f t="shared" si="1"/>
        <v>0.45569620253164556</v>
      </c>
      <c r="J16" s="36">
        <f t="shared" si="2"/>
        <v>0.53164556962025311</v>
      </c>
      <c r="K16">
        <f t="shared" ref="K16:K20" si="4">SUM(H16:J16)</f>
        <v>1</v>
      </c>
    </row>
    <row r="17" spans="1:11" x14ac:dyDescent="0.45">
      <c r="A17" s="33" t="s">
        <v>68</v>
      </c>
      <c r="B17" s="4">
        <f>COUNTIFS(step3_combined_data!$AI$2:$AI$404,"Oppose", step3_combined_data!$E$2:$E$404,"30 - 39")</f>
        <v>8</v>
      </c>
      <c r="C17" s="4">
        <f>COUNTIFS(step3_combined_data!$AI$2:$AI$404,"Neutral", step3_combined_data!$E$2:$E$404,"30 - 39")</f>
        <v>61</v>
      </c>
      <c r="D17" s="4">
        <f>COUNTIFS(step3_combined_data!$AI$2:$AI$404,"Support", step3_combined_data!$E$2:$E$404,"30 - 39")</f>
        <v>63</v>
      </c>
      <c r="E17">
        <f t="shared" si="3"/>
        <v>132</v>
      </c>
      <c r="G17" s="33" t="s">
        <v>68</v>
      </c>
      <c r="H17" s="36">
        <f t="shared" si="0"/>
        <v>6.0606060606060608E-2</v>
      </c>
      <c r="I17" s="36">
        <f t="shared" si="1"/>
        <v>0.4621212121212121</v>
      </c>
      <c r="J17" s="36">
        <f t="shared" si="2"/>
        <v>0.47727272727272729</v>
      </c>
      <c r="K17">
        <f t="shared" si="4"/>
        <v>1</v>
      </c>
    </row>
    <row r="18" spans="1:11" x14ac:dyDescent="0.45">
      <c r="A18" s="34" t="s">
        <v>74</v>
      </c>
      <c r="B18" s="4">
        <f>COUNTIFS(step3_combined_data!$AI$2:$AI$404,"Oppose", step3_combined_data!$E$2:$E$404,"40 - 49")</f>
        <v>6</v>
      </c>
      <c r="C18" s="4">
        <f>COUNTIFS(step3_combined_data!$AI$2:$AI$404,"Neutral", step3_combined_data!$E$2:$E$404,"40 - 49")</f>
        <v>39</v>
      </c>
      <c r="D18" s="4">
        <f>COUNTIFS(step3_combined_data!$AI$2:$AI$404,"Support", step3_combined_data!$E$2:$E$404,"40 - 49")</f>
        <v>34</v>
      </c>
      <c r="E18">
        <f t="shared" si="3"/>
        <v>79</v>
      </c>
      <c r="G18" s="34" t="s">
        <v>74</v>
      </c>
      <c r="H18" s="36">
        <f t="shared" si="0"/>
        <v>7.5949367088607597E-2</v>
      </c>
      <c r="I18" s="36">
        <f t="shared" si="1"/>
        <v>0.49367088607594939</v>
      </c>
      <c r="J18" s="36">
        <f t="shared" si="2"/>
        <v>0.43037974683544306</v>
      </c>
      <c r="K18">
        <f t="shared" si="4"/>
        <v>1</v>
      </c>
    </row>
    <row r="19" spans="1:11" x14ac:dyDescent="0.45">
      <c r="A19" s="33" t="s">
        <v>187</v>
      </c>
      <c r="B19" s="4">
        <f>COUNTIFS(step3_combined_data!$AI$2:$AI$404,"Oppose", step3_combined_data!$E$2:$E$404,"50 - 54")</f>
        <v>2</v>
      </c>
      <c r="C19" s="4">
        <f>COUNTIFS(step3_combined_data!$AI$2:$AI$404,"Neutral", step3_combined_data!$E$2:$E$404,"50 - 54")</f>
        <v>17</v>
      </c>
      <c r="D19" s="4">
        <f>COUNTIFS(step3_combined_data!$AI$2:$AI$404,"Support", step3_combined_data!$E$2:$E$404,"50 - 54")</f>
        <v>12</v>
      </c>
      <c r="E19">
        <f t="shared" si="3"/>
        <v>31</v>
      </c>
      <c r="G19" s="33" t="s">
        <v>187</v>
      </c>
      <c r="H19" s="36">
        <f t="shared" si="0"/>
        <v>6.4516129032258063E-2</v>
      </c>
      <c r="I19" s="36">
        <f t="shared" si="1"/>
        <v>0.54838709677419351</v>
      </c>
      <c r="J19" s="36">
        <f t="shared" si="2"/>
        <v>0.38709677419354838</v>
      </c>
      <c r="K19">
        <f t="shared" si="4"/>
        <v>0.99999999999999989</v>
      </c>
    </row>
    <row r="20" spans="1:11" x14ac:dyDescent="0.45">
      <c r="A20" s="33" t="s">
        <v>189</v>
      </c>
      <c r="B20" s="4">
        <f>COUNTIFS(step3_combined_data!$AI$2:$AI$404,"Oppose", step3_combined_data!$E$2:$E$404,"55 - 64")</f>
        <v>3</v>
      </c>
      <c r="C20" s="4">
        <f>COUNTIFS(step3_combined_data!$AI$2:$AI$404,"Neutral", step3_combined_data!$E$2:$E$404,"55 - 64")</f>
        <v>15</v>
      </c>
      <c r="D20" s="4">
        <f>COUNTIFS(step3_combined_data!$AI$2:$AI$404,"Support", step3_combined_data!$E$2:$E$404,"55 - 64")</f>
        <v>9</v>
      </c>
      <c r="E20">
        <f t="shared" si="3"/>
        <v>27</v>
      </c>
      <c r="G20" s="33" t="s">
        <v>189</v>
      </c>
      <c r="H20" s="36">
        <f t="shared" si="0"/>
        <v>0.1111111111111111</v>
      </c>
      <c r="I20" s="36">
        <f t="shared" si="1"/>
        <v>0.55555555555555558</v>
      </c>
      <c r="J20" s="36">
        <f t="shared" si="2"/>
        <v>0.33333333333333331</v>
      </c>
      <c r="K20">
        <f t="shared" si="4"/>
        <v>1</v>
      </c>
    </row>
    <row r="22" spans="1:11" x14ac:dyDescent="0.45">
      <c r="A22" t="s">
        <v>12</v>
      </c>
      <c r="B22" t="s">
        <v>1</v>
      </c>
      <c r="C22" t="s">
        <v>2</v>
      </c>
      <c r="D22" t="s">
        <v>3</v>
      </c>
      <c r="G22" t="s">
        <v>12</v>
      </c>
      <c r="H22" t="s">
        <v>1</v>
      </c>
      <c r="I22" t="s">
        <v>2</v>
      </c>
      <c r="J22" t="s">
        <v>3</v>
      </c>
    </row>
    <row r="23" spans="1:11" x14ac:dyDescent="0.45">
      <c r="A23" s="34" t="s">
        <v>184</v>
      </c>
      <c r="B23" s="4">
        <f>COUNTIFS(step3_combined_data!$AN$2:$AN$404,"Oppose", step3_combined_data!$E$2:$E$404,"18 - 24")</f>
        <v>3</v>
      </c>
      <c r="C23" s="4">
        <f>COUNTIFS(step3_combined_data!$AN$2:$AN$404,"Neutral", step3_combined_data!$E$2:$E$404,"18 - 24")</f>
        <v>29</v>
      </c>
      <c r="D23" s="4">
        <f>COUNTIFS(step3_combined_data!$AN$2:$AN$404,"Support", step3_combined_data!$E$2:$E$404,"18 - 24")</f>
        <v>23</v>
      </c>
      <c r="E23">
        <f>SUM(B23:D23)</f>
        <v>55</v>
      </c>
      <c r="G23" s="34" t="s">
        <v>184</v>
      </c>
      <c r="H23" s="36">
        <f t="shared" ref="H23:H28" si="5">B23/E23</f>
        <v>5.4545454545454543E-2</v>
      </c>
      <c r="I23" s="36">
        <f t="shared" ref="I23:I28" si="6">C23/E23</f>
        <v>0.52727272727272723</v>
      </c>
      <c r="J23" s="36">
        <f t="shared" ref="J23:J28" si="7">D23/E23</f>
        <v>0.41818181818181815</v>
      </c>
      <c r="K23">
        <f>SUM(H23:J23)</f>
        <v>1</v>
      </c>
    </row>
    <row r="24" spans="1:11" x14ac:dyDescent="0.45">
      <c r="A24" s="33" t="s">
        <v>76</v>
      </c>
      <c r="B24" s="4">
        <f>COUNTIFS(step3_combined_data!$AN$2:$AN$404,"Oppose", step3_combined_data!$E$2:$E$404,"25 - 29")</f>
        <v>4</v>
      </c>
      <c r="C24" s="4">
        <f>COUNTIFS(step3_combined_data!$AN$2:$AN$404,"Neutral", step3_combined_data!$E$2:$E$404,"25 - 29")</f>
        <v>45</v>
      </c>
      <c r="D24" s="4">
        <f>COUNTIFS(step3_combined_data!$AN$2:$AN$404,"Support", step3_combined_data!$E$2:$E$404,"25 - 29")</f>
        <v>30</v>
      </c>
      <c r="E24">
        <f t="shared" ref="E24:E28" si="8">SUM(B24:D24)</f>
        <v>79</v>
      </c>
      <c r="G24" s="33" t="s">
        <v>76</v>
      </c>
      <c r="H24" s="36">
        <f t="shared" si="5"/>
        <v>5.0632911392405063E-2</v>
      </c>
      <c r="I24" s="36">
        <f t="shared" si="6"/>
        <v>0.569620253164557</v>
      </c>
      <c r="J24" s="36">
        <f t="shared" si="7"/>
        <v>0.379746835443038</v>
      </c>
      <c r="K24">
        <f t="shared" ref="K24:K28" si="9">SUM(H24:J24)</f>
        <v>1</v>
      </c>
    </row>
    <row r="25" spans="1:11" x14ac:dyDescent="0.45">
      <c r="A25" s="33" t="s">
        <v>68</v>
      </c>
      <c r="B25" s="4">
        <f>COUNTIFS(step3_combined_data!$AN$2:$AN$404,"Oppose", step3_combined_data!$E$2:$E$404,"30 - 39")</f>
        <v>19</v>
      </c>
      <c r="C25" s="4">
        <f>COUNTIFS(step3_combined_data!$AN$2:$AN$404,"Neutral", step3_combined_data!$E$2:$E$404,"30 - 39")</f>
        <v>76</v>
      </c>
      <c r="D25" s="4">
        <f>COUNTIFS(step3_combined_data!$AN$2:$AN$404,"Support", step3_combined_data!$E$2:$E$404,"30 - 39")</f>
        <v>37</v>
      </c>
      <c r="E25">
        <f t="shared" si="8"/>
        <v>132</v>
      </c>
      <c r="G25" s="33" t="s">
        <v>68</v>
      </c>
      <c r="H25" s="36">
        <f t="shared" si="5"/>
        <v>0.14393939393939395</v>
      </c>
      <c r="I25" s="36">
        <f t="shared" si="6"/>
        <v>0.5757575757575758</v>
      </c>
      <c r="J25" s="36">
        <f t="shared" si="7"/>
        <v>0.28030303030303028</v>
      </c>
      <c r="K25">
        <f t="shared" si="9"/>
        <v>1</v>
      </c>
    </row>
    <row r="26" spans="1:11" x14ac:dyDescent="0.45">
      <c r="A26" s="34" t="s">
        <v>74</v>
      </c>
      <c r="B26" s="4">
        <f>COUNTIFS(step3_combined_data!$AN$2:$AN$404,"Oppose", step3_combined_data!$E$2:$E$404,"40 - 49")</f>
        <v>15</v>
      </c>
      <c r="C26" s="4">
        <f>COUNTIFS(step3_combined_data!$AN$2:$AN$404,"Neutral", step3_combined_data!$E$2:$E$404,"40 - 49")</f>
        <v>43</v>
      </c>
      <c r="D26" s="4">
        <f>COUNTIFS(step3_combined_data!$AN$2:$AN$404,"Support", step3_combined_data!$E$2:$E$404,"40 - 49")</f>
        <v>21</v>
      </c>
      <c r="E26">
        <f t="shared" si="8"/>
        <v>79</v>
      </c>
      <c r="G26" s="34" t="s">
        <v>74</v>
      </c>
      <c r="H26" s="36">
        <f t="shared" si="5"/>
        <v>0.189873417721519</v>
      </c>
      <c r="I26" s="36">
        <f t="shared" si="6"/>
        <v>0.54430379746835444</v>
      </c>
      <c r="J26" s="36">
        <f t="shared" si="7"/>
        <v>0.26582278481012656</v>
      </c>
      <c r="K26">
        <f t="shared" si="9"/>
        <v>1</v>
      </c>
    </row>
    <row r="27" spans="1:11" x14ac:dyDescent="0.45">
      <c r="A27" s="33" t="s">
        <v>187</v>
      </c>
      <c r="B27" s="4">
        <f>COUNTIFS(step3_combined_data!$AN$2:$AN$404,"Oppose", step3_combined_data!$E$2:$E$404,"50 - 54")</f>
        <v>9</v>
      </c>
      <c r="C27" s="4">
        <f>COUNTIFS(step3_combined_data!$AN$2:$AN$404,"Neutral", step3_combined_data!$E$2:$E$404,"50 - 54")</f>
        <v>11</v>
      </c>
      <c r="D27" s="4">
        <f>COUNTIFS(step3_combined_data!$AN$2:$AN$404,"Support", step3_combined_data!$E$2:$E$404,"50 - 54")</f>
        <v>11</v>
      </c>
      <c r="E27">
        <f t="shared" si="8"/>
        <v>31</v>
      </c>
      <c r="G27" s="33" t="s">
        <v>187</v>
      </c>
      <c r="H27" s="36">
        <f t="shared" si="5"/>
        <v>0.29032258064516131</v>
      </c>
      <c r="I27" s="36">
        <f t="shared" si="6"/>
        <v>0.35483870967741937</v>
      </c>
      <c r="J27" s="36">
        <f t="shared" si="7"/>
        <v>0.35483870967741937</v>
      </c>
      <c r="K27">
        <f t="shared" si="9"/>
        <v>1</v>
      </c>
    </row>
    <row r="28" spans="1:11" x14ac:dyDescent="0.45">
      <c r="A28" s="33" t="s">
        <v>189</v>
      </c>
      <c r="B28" s="4">
        <f>COUNTIFS(step3_combined_data!$AN$2:$AN$404,"Oppose", step3_combined_data!$E$2:$E$404,"55 - 64")</f>
        <v>7</v>
      </c>
      <c r="C28" s="4">
        <f>COUNTIFS(step3_combined_data!$AN$2:$AN$404,"Neutral", step3_combined_data!$E$2:$E$404,"55 - 64")</f>
        <v>14</v>
      </c>
      <c r="D28" s="4">
        <f>COUNTIFS(step3_combined_data!$AN$2:$AN$404,"Support", step3_combined_data!$E$2:$E$404,"55 - 64")</f>
        <v>6</v>
      </c>
      <c r="E28">
        <f t="shared" si="8"/>
        <v>27</v>
      </c>
      <c r="G28" s="33" t="s">
        <v>189</v>
      </c>
      <c r="H28" s="36">
        <f t="shared" si="5"/>
        <v>0.25925925925925924</v>
      </c>
      <c r="I28" s="36">
        <f t="shared" si="6"/>
        <v>0.51851851851851849</v>
      </c>
      <c r="J28" s="36">
        <f t="shared" si="7"/>
        <v>0.22222222222222221</v>
      </c>
      <c r="K28">
        <f t="shared" si="9"/>
        <v>0.99999999999999989</v>
      </c>
    </row>
    <row r="31" spans="1:11" x14ac:dyDescent="0.45">
      <c r="A31" t="s">
        <v>13</v>
      </c>
      <c r="B31" t="s">
        <v>1</v>
      </c>
      <c r="C31" t="s">
        <v>2</v>
      </c>
      <c r="D31" t="s">
        <v>3</v>
      </c>
      <c r="G31" t="s">
        <v>13</v>
      </c>
      <c r="H31" t="s">
        <v>1</v>
      </c>
      <c r="I31" t="s">
        <v>2</v>
      </c>
      <c r="J31" t="s">
        <v>3</v>
      </c>
    </row>
    <row r="32" spans="1:11" x14ac:dyDescent="0.45">
      <c r="A32" s="34" t="s">
        <v>184</v>
      </c>
      <c r="B32" s="4">
        <f>COUNTIFS(step3_combined_data!$AS$2:$AS$404,"Oppose", step3_combined_data!$E$2:$E$404,"18 - 24")</f>
        <v>1</v>
      </c>
      <c r="C32" s="4">
        <f>COUNTIFS(step3_combined_data!$AS$2:$AS$404,"Neutral", step3_combined_data!$E$2:$E$404,"18 - 24")</f>
        <v>14</v>
      </c>
      <c r="D32" s="4">
        <f>COUNTIFS(step3_combined_data!$AS$2:$AS$404,"Support", step3_combined_data!$E$2:$E$404,"18 - 24")</f>
        <v>40</v>
      </c>
      <c r="E32">
        <f>SUM(B32:D32)</f>
        <v>55</v>
      </c>
      <c r="G32" s="34" t="s">
        <v>184</v>
      </c>
      <c r="H32" s="36">
        <f t="shared" ref="H32:H37" si="10">B32/E32</f>
        <v>1.8181818181818181E-2</v>
      </c>
      <c r="I32" s="36">
        <f t="shared" ref="I32:I37" si="11">C32/E32</f>
        <v>0.25454545454545452</v>
      </c>
      <c r="J32" s="36">
        <f t="shared" ref="J32:J37" si="12">D32/E32</f>
        <v>0.72727272727272729</v>
      </c>
      <c r="K32">
        <f>SUM(H32:J32)</f>
        <v>1</v>
      </c>
    </row>
    <row r="33" spans="1:11" x14ac:dyDescent="0.45">
      <c r="A33" s="33" t="s">
        <v>76</v>
      </c>
      <c r="B33" s="4">
        <f>COUNTIFS(step3_combined_data!$AS$2:$AS$404,"Oppose", step3_combined_data!$E$2:$E$404,"25 - 29")</f>
        <v>5</v>
      </c>
      <c r="C33" s="4">
        <f>COUNTIFS(step3_combined_data!$AS$2:$AS$404,"Neutral", step3_combined_data!$E$2:$E$404,"25 - 29")</f>
        <v>33</v>
      </c>
      <c r="D33" s="4">
        <f>COUNTIFS(step3_combined_data!$AS$2:$AS$404,"Support", step3_combined_data!$E$2:$E$404,"25 - 29")</f>
        <v>41</v>
      </c>
      <c r="E33">
        <f t="shared" ref="E33:E37" si="13">SUM(B33:D33)</f>
        <v>79</v>
      </c>
      <c r="G33" s="33" t="s">
        <v>76</v>
      </c>
      <c r="H33" s="36">
        <f t="shared" si="10"/>
        <v>6.3291139240506333E-2</v>
      </c>
      <c r="I33" s="36">
        <f t="shared" si="11"/>
        <v>0.41772151898734178</v>
      </c>
      <c r="J33" s="36">
        <f t="shared" si="12"/>
        <v>0.51898734177215189</v>
      </c>
      <c r="K33">
        <f t="shared" ref="K33:K37" si="14">SUM(H33:J33)</f>
        <v>1</v>
      </c>
    </row>
    <row r="34" spans="1:11" x14ac:dyDescent="0.45">
      <c r="A34" s="33" t="s">
        <v>68</v>
      </c>
      <c r="B34" s="4">
        <f>COUNTIFS(step3_combined_data!$AS$2:$AS$404,"Oppose", step3_combined_data!$E$2:$E$404,"30 - 39")</f>
        <v>23</v>
      </c>
      <c r="C34" s="4">
        <f>COUNTIFS(step3_combined_data!$AS$2:$AS$404,"Neutral", step3_combined_data!$E$2:$E$404,"30 - 39")</f>
        <v>66</v>
      </c>
      <c r="D34" s="4">
        <f>COUNTIFS(step3_combined_data!$AS$2:$AS$404,"Support", step3_combined_data!$E$2:$E$404,"30 - 39")</f>
        <v>43</v>
      </c>
      <c r="E34">
        <f t="shared" si="13"/>
        <v>132</v>
      </c>
      <c r="G34" s="33" t="s">
        <v>68</v>
      </c>
      <c r="H34" s="36">
        <f t="shared" si="10"/>
        <v>0.17424242424242425</v>
      </c>
      <c r="I34" s="36">
        <f t="shared" si="11"/>
        <v>0.5</v>
      </c>
      <c r="J34" s="36">
        <f t="shared" si="12"/>
        <v>0.32575757575757575</v>
      </c>
      <c r="K34">
        <f t="shared" si="14"/>
        <v>1</v>
      </c>
    </row>
    <row r="35" spans="1:11" x14ac:dyDescent="0.45">
      <c r="A35" s="34" t="s">
        <v>74</v>
      </c>
      <c r="B35" s="4">
        <f>COUNTIFS(step3_combined_data!$AS$2:$AS$404,"Oppose", step3_combined_data!$E$2:$E$404,"40 - 49")</f>
        <v>23</v>
      </c>
      <c r="C35" s="4">
        <f>COUNTIFS(step3_combined_data!$AS$2:$AS$404,"Neutral", step3_combined_data!$E$2:$E$404,"40 - 49")</f>
        <v>35</v>
      </c>
      <c r="D35" s="4">
        <f>COUNTIFS(step3_combined_data!$AS$2:$AS$404,"Support", step3_combined_data!$E$2:$E$404,"40 - 49")</f>
        <v>21</v>
      </c>
      <c r="E35">
        <f t="shared" si="13"/>
        <v>79</v>
      </c>
      <c r="G35" s="34" t="s">
        <v>74</v>
      </c>
      <c r="H35" s="36">
        <f t="shared" si="10"/>
        <v>0.29113924050632911</v>
      </c>
      <c r="I35" s="36">
        <f t="shared" si="11"/>
        <v>0.44303797468354428</v>
      </c>
      <c r="J35" s="36">
        <f t="shared" si="12"/>
        <v>0.26582278481012656</v>
      </c>
      <c r="K35">
        <f t="shared" si="14"/>
        <v>0.99999999999999989</v>
      </c>
    </row>
    <row r="36" spans="1:11" x14ac:dyDescent="0.45">
      <c r="A36" s="33" t="s">
        <v>187</v>
      </c>
      <c r="B36" s="4">
        <f>COUNTIFS(step3_combined_data!$AS$2:$AS$404,"Oppose", step3_combined_data!$E$2:$E$404,"50 - 54")</f>
        <v>11</v>
      </c>
      <c r="C36" s="4">
        <f>COUNTIFS(step3_combined_data!$AS$2:$AS$404,"Neutral", step3_combined_data!$E$2:$E$404,"50 - 54")</f>
        <v>15</v>
      </c>
      <c r="D36" s="4">
        <f>COUNTIFS(step3_combined_data!$AS$2:$AS$404,"Support", step3_combined_data!$E$2:$E$404,"50 - 54")</f>
        <v>5</v>
      </c>
      <c r="E36">
        <f t="shared" si="13"/>
        <v>31</v>
      </c>
      <c r="G36" s="33" t="s">
        <v>187</v>
      </c>
      <c r="H36" s="36">
        <f t="shared" si="10"/>
        <v>0.35483870967741937</v>
      </c>
      <c r="I36" s="36">
        <f t="shared" si="11"/>
        <v>0.4838709677419355</v>
      </c>
      <c r="J36" s="36">
        <f t="shared" si="12"/>
        <v>0.16129032258064516</v>
      </c>
      <c r="K36">
        <f t="shared" si="14"/>
        <v>1</v>
      </c>
    </row>
    <row r="37" spans="1:11" x14ac:dyDescent="0.45">
      <c r="A37" s="33" t="s">
        <v>189</v>
      </c>
      <c r="B37" s="4">
        <f>COUNTIFS(step3_combined_data!$AS$2:$AS$404,"Oppose", step3_combined_data!$E$2:$E$404,"55 - 64")</f>
        <v>7</v>
      </c>
      <c r="C37" s="4">
        <f>COUNTIFS(step3_combined_data!$AS$2:$AS$404,"Neutral", step3_combined_data!$E$2:$E$404,"55 - 64")</f>
        <v>15</v>
      </c>
      <c r="D37" s="4">
        <f>COUNTIFS(step3_combined_data!$AS$2:$AS$404,"Support", step3_combined_data!$E$2:$E$404,"55 - 64")</f>
        <v>5</v>
      </c>
      <c r="E37">
        <f t="shared" si="13"/>
        <v>27</v>
      </c>
      <c r="G37" s="33" t="s">
        <v>189</v>
      </c>
      <c r="H37" s="36">
        <f t="shared" si="10"/>
        <v>0.25925925925925924</v>
      </c>
      <c r="I37" s="36">
        <f t="shared" si="11"/>
        <v>0.55555555555555558</v>
      </c>
      <c r="J37" s="36">
        <f t="shared" si="12"/>
        <v>0.18518518518518517</v>
      </c>
      <c r="K37">
        <f t="shared" si="14"/>
        <v>1</v>
      </c>
    </row>
    <row r="41" spans="1:11" x14ac:dyDescent="0.45">
      <c r="A41" t="s">
        <v>14</v>
      </c>
      <c r="B41" t="s">
        <v>1</v>
      </c>
      <c r="C41" t="s">
        <v>2</v>
      </c>
      <c r="D41" t="s">
        <v>3</v>
      </c>
      <c r="G41" t="s">
        <v>14</v>
      </c>
      <c r="H41" t="s">
        <v>1</v>
      </c>
      <c r="I41" t="s">
        <v>2</v>
      </c>
      <c r="J41" t="s">
        <v>3</v>
      </c>
    </row>
    <row r="42" spans="1:11" x14ac:dyDescent="0.45">
      <c r="A42" s="34" t="s">
        <v>184</v>
      </c>
      <c r="B42" s="4">
        <f>COUNTIFS(step3_combined_data!$AX$2:$AX$404,"Oppose", step3_combined_data!$E$2:$E$404,"18 - 24")</f>
        <v>3</v>
      </c>
      <c r="C42" s="4">
        <f>COUNTIFS(step3_combined_data!$AX$2:$AX$404,"Neutral", step3_combined_data!$E$2:$E$404,"18 - 24")</f>
        <v>28</v>
      </c>
      <c r="D42" s="4">
        <f>COUNTIFS(step3_combined_data!$AX$2:$AX$404,"Support", step3_combined_data!$E$2:$E$404,"18 - 24")</f>
        <v>24</v>
      </c>
      <c r="E42">
        <f>SUM(B42:D42)</f>
        <v>55</v>
      </c>
      <c r="G42" s="34" t="s">
        <v>184</v>
      </c>
      <c r="H42" s="36">
        <f t="shared" ref="H42:H47" si="15">B42/E42</f>
        <v>5.4545454545454543E-2</v>
      </c>
      <c r="I42" s="36">
        <f t="shared" ref="I42:I47" si="16">C42/E42</f>
        <v>0.50909090909090904</v>
      </c>
      <c r="J42" s="36">
        <f t="shared" ref="J42:J47" si="17">D42/E42</f>
        <v>0.43636363636363634</v>
      </c>
      <c r="K42">
        <f>SUM(H42:J42)</f>
        <v>1</v>
      </c>
    </row>
    <row r="43" spans="1:11" x14ac:dyDescent="0.45">
      <c r="A43" s="33" t="s">
        <v>76</v>
      </c>
      <c r="B43" s="4">
        <f>COUNTIFS(step3_combined_data!$AX$2:$AX$404,"Oppose", step3_combined_data!$E$2:$E$404,"25 - 29")</f>
        <v>10</v>
      </c>
      <c r="C43" s="4">
        <f>COUNTIFS(step3_combined_data!$AX$2:$AX$404,"Neutral", step3_combined_data!$E$2:$E$404,"25 - 29")</f>
        <v>46</v>
      </c>
      <c r="D43" s="4">
        <f>COUNTIFS(step3_combined_data!$AX$2:$AX$404,"Support", step3_combined_data!$E$2:$E$404,"25 - 29")</f>
        <v>23</v>
      </c>
      <c r="E43">
        <f t="shared" ref="E43:E47" si="18">SUM(B43:D43)</f>
        <v>79</v>
      </c>
      <c r="G43" s="33" t="s">
        <v>76</v>
      </c>
      <c r="H43" s="36">
        <f t="shared" si="15"/>
        <v>0.12658227848101267</v>
      </c>
      <c r="I43" s="36">
        <f t="shared" si="16"/>
        <v>0.58227848101265822</v>
      </c>
      <c r="J43" s="36">
        <f t="shared" si="17"/>
        <v>0.29113924050632911</v>
      </c>
      <c r="K43">
        <f t="shared" ref="K43:K47" si="19">SUM(H43:J43)</f>
        <v>1</v>
      </c>
    </row>
    <row r="44" spans="1:11" x14ac:dyDescent="0.45">
      <c r="A44" s="33" t="s">
        <v>68</v>
      </c>
      <c r="B44" s="4">
        <f>COUNTIFS(step3_combined_data!$AX$2:$AX$404,"Oppose", step3_combined_data!$E$2:$E$404,"30 - 39")</f>
        <v>26</v>
      </c>
      <c r="C44" s="4">
        <f>COUNTIFS(step3_combined_data!$AX$2:$AX$404,"Neutral", step3_combined_data!$E$2:$E$404,"30 - 39")</f>
        <v>71</v>
      </c>
      <c r="D44" s="4">
        <f>COUNTIFS(step3_combined_data!$AX$2:$AX$404,"Support", step3_combined_data!$E$2:$E$404,"30 - 39")</f>
        <v>35</v>
      </c>
      <c r="E44">
        <f t="shared" si="18"/>
        <v>132</v>
      </c>
      <c r="G44" s="33" t="s">
        <v>68</v>
      </c>
      <c r="H44" s="36">
        <f t="shared" si="15"/>
        <v>0.19696969696969696</v>
      </c>
      <c r="I44" s="36">
        <f t="shared" si="16"/>
        <v>0.53787878787878785</v>
      </c>
      <c r="J44" s="36">
        <f t="shared" si="17"/>
        <v>0.26515151515151514</v>
      </c>
      <c r="K44">
        <f t="shared" si="19"/>
        <v>1</v>
      </c>
    </row>
    <row r="45" spans="1:11" x14ac:dyDescent="0.45">
      <c r="A45" s="34" t="s">
        <v>74</v>
      </c>
      <c r="B45" s="4">
        <f>COUNTIFS(step3_combined_data!$AX$2:$AX$404,"Oppose", step3_combined_data!$E$2:$E$404,"40 - 49")</f>
        <v>16</v>
      </c>
      <c r="C45" s="4">
        <f>COUNTIFS(step3_combined_data!$AX$2:$AX$404,"Neutral", step3_combined_data!$E$2:$E$404,"40 - 49")</f>
        <v>45</v>
      </c>
      <c r="D45" s="4">
        <f>COUNTIFS(step3_combined_data!$AX$2:$AX$404,"Support", step3_combined_data!$E$2:$E$404,"40 - 49")</f>
        <v>18</v>
      </c>
      <c r="E45">
        <f t="shared" si="18"/>
        <v>79</v>
      </c>
      <c r="G45" s="34" t="s">
        <v>74</v>
      </c>
      <c r="H45" s="36">
        <f t="shared" si="15"/>
        <v>0.20253164556962025</v>
      </c>
      <c r="I45" s="36">
        <f t="shared" si="16"/>
        <v>0.569620253164557</v>
      </c>
      <c r="J45" s="36">
        <f t="shared" si="17"/>
        <v>0.22784810126582278</v>
      </c>
      <c r="K45">
        <f t="shared" si="19"/>
        <v>1</v>
      </c>
    </row>
    <row r="46" spans="1:11" x14ac:dyDescent="0.45">
      <c r="A46" s="33" t="s">
        <v>187</v>
      </c>
      <c r="B46" s="4">
        <f>COUNTIFS(step3_combined_data!$AX$2:$AX$404,"Oppose", step3_combined_data!$E$2:$E$404,"50 - 54")</f>
        <v>10</v>
      </c>
      <c r="C46" s="4">
        <f>COUNTIFS(step3_combined_data!$AX$2:$AX$404,"Neutral", step3_combined_data!$E$2:$E$404,"50 - 54")</f>
        <v>14</v>
      </c>
      <c r="D46" s="4">
        <f>COUNTIFS(step3_combined_data!$AX$2:$AX$404,"Support", step3_combined_data!$E$2:$E$404,"50 - 54")</f>
        <v>7</v>
      </c>
      <c r="E46">
        <f t="shared" si="18"/>
        <v>31</v>
      </c>
      <c r="G46" s="33" t="s">
        <v>187</v>
      </c>
      <c r="H46" s="36">
        <f t="shared" si="15"/>
        <v>0.32258064516129031</v>
      </c>
      <c r="I46" s="36">
        <f t="shared" si="16"/>
        <v>0.45161290322580644</v>
      </c>
      <c r="J46" s="36">
        <f t="shared" si="17"/>
        <v>0.22580645161290322</v>
      </c>
      <c r="K46">
        <f t="shared" si="19"/>
        <v>1</v>
      </c>
    </row>
    <row r="47" spans="1:11" x14ac:dyDescent="0.45">
      <c r="A47" s="33" t="s">
        <v>189</v>
      </c>
      <c r="B47" s="4">
        <f>COUNTIFS(step3_combined_data!$AX$2:$AX$404,"Oppose", step3_combined_data!$E$2:$E$404,"55 - 64")</f>
        <v>7</v>
      </c>
      <c r="C47" s="4">
        <f>COUNTIFS(step3_combined_data!$AX$2:$AX$404,"Neutral", step3_combined_data!$E$2:$E$404,"55 - 64")</f>
        <v>13</v>
      </c>
      <c r="D47" s="4">
        <f>COUNTIFS(step3_combined_data!$AX$2:$AX$404,"Support", step3_combined_data!$E$2:$E$404,"55 - 64")</f>
        <v>7</v>
      </c>
      <c r="E47">
        <f t="shared" si="18"/>
        <v>27</v>
      </c>
      <c r="G47" s="33" t="s">
        <v>189</v>
      </c>
      <c r="H47" s="36">
        <f t="shared" si="15"/>
        <v>0.25925925925925924</v>
      </c>
      <c r="I47" s="36">
        <f t="shared" si="16"/>
        <v>0.48148148148148145</v>
      </c>
      <c r="J47" s="36">
        <f t="shared" si="17"/>
        <v>0.25925925925925924</v>
      </c>
      <c r="K47">
        <f t="shared" si="19"/>
        <v>1</v>
      </c>
    </row>
    <row r="50" spans="1:11" x14ac:dyDescent="0.45">
      <c r="A50" t="s">
        <v>15</v>
      </c>
      <c r="B50" t="s">
        <v>1</v>
      </c>
      <c r="C50" t="s">
        <v>2</v>
      </c>
      <c r="D50" t="s">
        <v>3</v>
      </c>
      <c r="G50" t="s">
        <v>15</v>
      </c>
      <c r="H50" t="s">
        <v>1</v>
      </c>
      <c r="I50" t="s">
        <v>2</v>
      </c>
      <c r="J50" t="s">
        <v>3</v>
      </c>
    </row>
    <row r="51" spans="1:11" x14ac:dyDescent="0.45">
      <c r="A51" s="34" t="s">
        <v>184</v>
      </c>
      <c r="B51" s="4">
        <f>COUNTIFS(step3_combined_data!$BC$2:$BC$404,"Oppose", step3_combined_data!$E$2:$E$404,"18 - 24")</f>
        <v>1</v>
      </c>
      <c r="C51" s="4">
        <f>COUNTIFS(step3_combined_data!$BC$2:$BC$404,"Neutral", step3_combined_data!$E$2:$E$404,"18 - 24")</f>
        <v>31</v>
      </c>
      <c r="D51" s="4">
        <f>COUNTIFS(step3_combined_data!$BC$2:$BC$404,"Support", step3_combined_data!$E$2:$E$404,"18 - 24")</f>
        <v>23</v>
      </c>
      <c r="E51">
        <f>SUM(B51:D51)</f>
        <v>55</v>
      </c>
      <c r="G51" s="34" t="s">
        <v>184</v>
      </c>
      <c r="H51" s="36">
        <f t="shared" ref="H51:H56" si="20">B51/E51</f>
        <v>1.8181818181818181E-2</v>
      </c>
      <c r="I51" s="36">
        <f t="shared" ref="I51:I56" si="21">C51/E51</f>
        <v>0.5636363636363636</v>
      </c>
      <c r="J51" s="36">
        <f t="shared" ref="J51:J56" si="22">D51/E51</f>
        <v>0.41818181818181815</v>
      </c>
      <c r="K51">
        <f>SUM(H51:J51)</f>
        <v>1</v>
      </c>
    </row>
    <row r="52" spans="1:11" x14ac:dyDescent="0.45">
      <c r="A52" s="33" t="s">
        <v>76</v>
      </c>
      <c r="B52" s="4">
        <f>COUNTIFS(step3_combined_data!$BC$2:$BC$404,"Oppose", step3_combined_data!$E$2:$E$404,"25 - 29")</f>
        <v>4</v>
      </c>
      <c r="C52" s="4">
        <f>COUNTIFS(step3_combined_data!$BC$2:$BC$404,"Neutral", step3_combined_data!$E$2:$E$404,"25 - 29")</f>
        <v>49</v>
      </c>
      <c r="D52" s="4">
        <f>COUNTIFS(step3_combined_data!$BC$2:$BC$404,"Support", step3_combined_data!$E$2:$E$404,"25 - 29")</f>
        <v>26</v>
      </c>
      <c r="E52">
        <f t="shared" ref="E52:E56" si="23">SUM(B52:D52)</f>
        <v>79</v>
      </c>
      <c r="G52" s="33" t="s">
        <v>76</v>
      </c>
      <c r="H52" s="36">
        <f t="shared" si="20"/>
        <v>5.0632911392405063E-2</v>
      </c>
      <c r="I52" s="36">
        <f t="shared" si="21"/>
        <v>0.620253164556962</v>
      </c>
      <c r="J52" s="36">
        <f t="shared" si="22"/>
        <v>0.32911392405063289</v>
      </c>
      <c r="K52">
        <f t="shared" ref="K52:K56" si="24">SUM(H52:J52)</f>
        <v>1</v>
      </c>
    </row>
    <row r="53" spans="1:11" x14ac:dyDescent="0.45">
      <c r="A53" s="33" t="s">
        <v>68</v>
      </c>
      <c r="B53" s="4">
        <f>COUNTIFS(step3_combined_data!$BC$2:$BC$404,"Oppose", step3_combined_data!$E$2:$E$404,"30 - 39")</f>
        <v>18</v>
      </c>
      <c r="C53" s="4">
        <f>COUNTIFS(step3_combined_data!$BC$2:$BC$404,"Neutral", step3_combined_data!$E$2:$E$404,"30 - 39")</f>
        <v>75</v>
      </c>
      <c r="D53" s="4">
        <f>COUNTIFS(step3_combined_data!$BC$2:$BC$404,"Support", step3_combined_data!$E$2:$E$404,"30 - 39")</f>
        <v>39</v>
      </c>
      <c r="E53">
        <f t="shared" si="23"/>
        <v>132</v>
      </c>
      <c r="G53" s="33" t="s">
        <v>68</v>
      </c>
      <c r="H53" s="36">
        <f t="shared" si="20"/>
        <v>0.13636363636363635</v>
      </c>
      <c r="I53" s="36">
        <f t="shared" si="21"/>
        <v>0.56818181818181823</v>
      </c>
      <c r="J53" s="36">
        <f t="shared" si="22"/>
        <v>0.29545454545454547</v>
      </c>
      <c r="K53">
        <f t="shared" si="24"/>
        <v>1</v>
      </c>
    </row>
    <row r="54" spans="1:11" x14ac:dyDescent="0.45">
      <c r="A54" s="34" t="s">
        <v>74</v>
      </c>
      <c r="B54" s="4">
        <f>COUNTIFS(step3_combined_data!$BC$2:$BC$404,"Oppose", step3_combined_data!$E$2:$E$404,"40 - 49")</f>
        <v>12</v>
      </c>
      <c r="C54" s="4">
        <f>COUNTIFS(step3_combined_data!$BC$2:$BC$404,"Neutral", step3_combined_data!$E$2:$E$404,"40 - 49")</f>
        <v>46</v>
      </c>
      <c r="D54" s="4">
        <f>COUNTIFS(step3_combined_data!$BC$2:$BC$404,"Support", step3_combined_data!$E$2:$E$404,"40 - 49")</f>
        <v>21</v>
      </c>
      <c r="E54">
        <f t="shared" si="23"/>
        <v>79</v>
      </c>
      <c r="G54" s="34" t="s">
        <v>74</v>
      </c>
      <c r="H54" s="36">
        <f t="shared" si="20"/>
        <v>0.15189873417721519</v>
      </c>
      <c r="I54" s="36">
        <f t="shared" si="21"/>
        <v>0.58227848101265822</v>
      </c>
      <c r="J54" s="36">
        <f t="shared" si="22"/>
        <v>0.26582278481012656</v>
      </c>
      <c r="K54">
        <f t="shared" si="24"/>
        <v>1</v>
      </c>
    </row>
    <row r="55" spans="1:11" x14ac:dyDescent="0.45">
      <c r="A55" s="33" t="s">
        <v>187</v>
      </c>
      <c r="B55" s="4">
        <f>COUNTIFS(step3_combined_data!$BC$2:$BC$404,"Oppose", step3_combined_data!$E$2:$E$404,"50 - 54")</f>
        <v>7</v>
      </c>
      <c r="C55" s="4">
        <f>COUNTIFS(step3_combined_data!$BC$2:$BC$404,"Neutral", step3_combined_data!$E$2:$E$404,"50 - 54")</f>
        <v>16</v>
      </c>
      <c r="D55" s="4">
        <f>COUNTIFS(step3_combined_data!$BC$2:$BC$404,"Support", step3_combined_data!$E$2:$E$404,"50 - 54")</f>
        <v>8</v>
      </c>
      <c r="E55">
        <f t="shared" si="23"/>
        <v>31</v>
      </c>
      <c r="G55" s="33" t="s">
        <v>187</v>
      </c>
      <c r="H55" s="36">
        <f t="shared" si="20"/>
        <v>0.22580645161290322</v>
      </c>
      <c r="I55" s="36">
        <f t="shared" si="21"/>
        <v>0.5161290322580645</v>
      </c>
      <c r="J55" s="36">
        <f t="shared" si="22"/>
        <v>0.25806451612903225</v>
      </c>
      <c r="K55">
        <f t="shared" si="24"/>
        <v>1</v>
      </c>
    </row>
    <row r="56" spans="1:11" x14ac:dyDescent="0.45">
      <c r="A56" s="33" t="s">
        <v>189</v>
      </c>
      <c r="B56" s="4">
        <f>COUNTIFS(step3_combined_data!$BC$2:$BC$404,"Oppose", step3_combined_data!$E$2:$E$404,"55 - 64")</f>
        <v>4</v>
      </c>
      <c r="C56" s="4">
        <f>COUNTIFS(step3_combined_data!$BC$2:$BC$404,"Neutral", step3_combined_data!$E$2:$E$404,"55 - 64")</f>
        <v>18</v>
      </c>
      <c r="D56" s="4">
        <f>COUNTIFS(step3_combined_data!$BC$2:$BC$404,"Support", step3_combined_data!$E$2:$E$404,"55 - 64")</f>
        <v>5</v>
      </c>
      <c r="E56">
        <f t="shared" si="23"/>
        <v>27</v>
      </c>
      <c r="G56" s="33" t="s">
        <v>189</v>
      </c>
      <c r="H56" s="36">
        <f t="shared" si="20"/>
        <v>0.14814814814814814</v>
      </c>
      <c r="I56" s="36">
        <f t="shared" si="21"/>
        <v>0.66666666666666663</v>
      </c>
      <c r="J56" s="36">
        <f t="shared" si="22"/>
        <v>0.18518518518518517</v>
      </c>
      <c r="K56">
        <f t="shared" si="24"/>
        <v>1</v>
      </c>
    </row>
    <row r="60" spans="1:11" x14ac:dyDescent="0.45">
      <c r="A60" t="s">
        <v>13</v>
      </c>
      <c r="B60" t="s">
        <v>1</v>
      </c>
      <c r="C60" t="s">
        <v>2</v>
      </c>
      <c r="D60" t="s">
        <v>3</v>
      </c>
      <c r="G60" t="s">
        <v>13</v>
      </c>
      <c r="H60" t="s">
        <v>1</v>
      </c>
      <c r="I60" t="s">
        <v>2</v>
      </c>
      <c r="J60" t="s">
        <v>3</v>
      </c>
    </row>
    <row r="61" spans="1:11" x14ac:dyDescent="0.45">
      <c r="A61" s="34" t="s">
        <v>190</v>
      </c>
      <c r="B61" s="4">
        <f>COUNTIFS(step3_combined_data!$AS$2:$AS$404,"Oppose", step3_combined_data!$N$2:$N$404,"Dưới 12 triệu VNĐ")</f>
        <v>6</v>
      </c>
      <c r="C61" s="4">
        <f>COUNTIFS(step3_combined_data!$AS$2:$AS$404,"Neutral", step3_combined_data!$N$2:$N$404,"Dưới 12 triệu VNĐ")</f>
        <v>13</v>
      </c>
      <c r="D61" s="4">
        <f>COUNTIFS(step3_combined_data!$AS$2:$AS$404,"Support", step3_combined_data!$N$2:$N$404,"Dưới 12 triệu VNĐ")</f>
        <v>22</v>
      </c>
      <c r="E61">
        <f>SUM(B61:D61)</f>
        <v>41</v>
      </c>
      <c r="G61" s="34" t="s">
        <v>190</v>
      </c>
      <c r="H61" s="36">
        <f t="shared" ref="H61:H68" si="25">B61/E61</f>
        <v>0.14634146341463414</v>
      </c>
      <c r="I61" s="36">
        <f t="shared" ref="I61:I68" si="26">C61/E61</f>
        <v>0.31707317073170732</v>
      </c>
      <c r="J61" s="36">
        <f t="shared" ref="J61:J68" si="27">D61/E61</f>
        <v>0.53658536585365857</v>
      </c>
      <c r="K61">
        <f>SUM(H61:J61)</f>
        <v>1</v>
      </c>
    </row>
    <row r="62" spans="1:11" x14ac:dyDescent="0.45">
      <c r="A62" s="33" t="s">
        <v>99</v>
      </c>
      <c r="B62" s="4">
        <f>COUNTIFS(step3_combined_data!$AS$2:$AS$404,"Oppose", step3_combined_data!$N$2:$N$404,"Từ 12 - 18 triệu VNĐ")</f>
        <v>8</v>
      </c>
      <c r="C62" s="4">
        <f>COUNTIFS(step3_combined_data!$AS$2:$AS$404,"Neutral", step3_combined_data!$N$2:$N$404,"Từ 12 - 18 triệu VNĐ")</f>
        <v>22</v>
      </c>
      <c r="D62" s="4">
        <f>COUNTIFS(step3_combined_data!$AS$2:$AS$404,"Support", step3_combined_data!$N$2:$N$404,"Từ 12 - 18 triệu VNĐ")</f>
        <v>49</v>
      </c>
      <c r="E62">
        <f t="shared" ref="E62:E68" si="28">SUM(B62:D62)</f>
        <v>79</v>
      </c>
      <c r="G62" s="33" t="s">
        <v>99</v>
      </c>
      <c r="H62" s="36">
        <f t="shared" si="25"/>
        <v>0.10126582278481013</v>
      </c>
      <c r="I62" s="36">
        <f t="shared" si="26"/>
        <v>0.27848101265822783</v>
      </c>
      <c r="J62" s="36">
        <f t="shared" si="27"/>
        <v>0.620253164556962</v>
      </c>
      <c r="K62">
        <f t="shared" ref="K62:K68" si="29">SUM(H62:J62)</f>
        <v>1</v>
      </c>
    </row>
    <row r="63" spans="1:11" x14ac:dyDescent="0.45">
      <c r="A63" s="33" t="s">
        <v>192</v>
      </c>
      <c r="B63" s="4">
        <f>COUNTIFS(step3_combined_data!$AS$2:$AS$404,"Oppose", step3_combined_data!$N$2:$N$404,"Từ 18 - 23 triệu VNĐ")</f>
        <v>2</v>
      </c>
      <c r="C63" s="4">
        <f>COUNTIFS(step3_combined_data!$AS$2:$AS$404,"Neutral", step3_combined_data!$N$2:$N$404,"Từ 18 - 23 triệu VNĐ")</f>
        <v>16</v>
      </c>
      <c r="D63" s="4">
        <f>COUNTIFS(step3_combined_data!$AS$2:$AS$404,"Support", step3_combined_data!$N$2:$N$404,"Từ 18 - 23 triệu VNĐ")</f>
        <v>23</v>
      </c>
      <c r="E63">
        <f t="shared" si="28"/>
        <v>41</v>
      </c>
      <c r="G63" s="33" t="s">
        <v>192</v>
      </c>
      <c r="H63" s="36">
        <f t="shared" si="25"/>
        <v>4.878048780487805E-2</v>
      </c>
      <c r="I63" s="36">
        <f t="shared" si="26"/>
        <v>0.3902439024390244</v>
      </c>
      <c r="J63" s="36">
        <f t="shared" si="27"/>
        <v>0.56097560975609762</v>
      </c>
      <c r="K63">
        <f t="shared" si="29"/>
        <v>1</v>
      </c>
    </row>
    <row r="64" spans="1:11" x14ac:dyDescent="0.45">
      <c r="A64" s="34" t="s">
        <v>96</v>
      </c>
      <c r="B64" s="4">
        <f>COUNTIFS(step3_combined_data!$AS$2:$AS$404,"Oppose", step3_combined_data!$N$2:$N$404,"Từ 23 - 32 triệu VNĐ")</f>
        <v>4</v>
      </c>
      <c r="C64" s="4">
        <f>COUNTIFS(step3_combined_data!$AS$2:$AS$404,"Neutral", step3_combined_data!$N$2:$N$404,"Từ 23 - 32 triệu VNĐ")</f>
        <v>26</v>
      </c>
      <c r="D64" s="4">
        <f>COUNTIFS(step3_combined_data!$AS$2:$AS$404,"Support", step3_combined_data!$N$2:$N$404,"Từ 23 - 32 triệu VNĐ")</f>
        <v>23</v>
      </c>
      <c r="E64">
        <f t="shared" si="28"/>
        <v>53</v>
      </c>
      <c r="G64" s="34" t="s">
        <v>96</v>
      </c>
      <c r="H64" s="36">
        <f t="shared" si="25"/>
        <v>7.5471698113207544E-2</v>
      </c>
      <c r="I64" s="36">
        <f t="shared" si="26"/>
        <v>0.49056603773584906</v>
      </c>
      <c r="J64" s="36">
        <f t="shared" si="27"/>
        <v>0.43396226415094341</v>
      </c>
      <c r="K64">
        <f t="shared" si="29"/>
        <v>1</v>
      </c>
    </row>
    <row r="65" spans="1:11" x14ac:dyDescent="0.45">
      <c r="A65" s="33" t="s">
        <v>104</v>
      </c>
      <c r="B65" s="4">
        <f>COUNTIFS(step3_combined_data!$AS$2:$AS$404,"Oppose", step3_combined_data!$N$2:$N$404,"Từ 32 - 48 triệu VNĐ")</f>
        <v>6</v>
      </c>
      <c r="C65" s="4">
        <f>COUNTIFS(step3_combined_data!$AS$2:$AS$404,"Neutral", step3_combined_data!$N$2:$N$404,"Từ 32 - 48 triệu VNĐ")</f>
        <v>35</v>
      </c>
      <c r="D65" s="4">
        <f>COUNTIFS(step3_combined_data!$AS$2:$AS$404,"Support", step3_combined_data!$N$2:$N$404,"Từ 32 - 48 triệu VNĐ")</f>
        <v>12</v>
      </c>
      <c r="E65">
        <f t="shared" si="28"/>
        <v>53</v>
      </c>
      <c r="G65" s="33" t="s">
        <v>104</v>
      </c>
      <c r="H65" s="36">
        <f t="shared" si="25"/>
        <v>0.11320754716981132</v>
      </c>
      <c r="I65" s="36">
        <f t="shared" si="26"/>
        <v>0.660377358490566</v>
      </c>
      <c r="J65" s="36">
        <f t="shared" si="27"/>
        <v>0.22641509433962265</v>
      </c>
      <c r="K65">
        <f t="shared" si="29"/>
        <v>1</v>
      </c>
    </row>
    <row r="66" spans="1:11" x14ac:dyDescent="0.45">
      <c r="A66" s="34" t="s">
        <v>106</v>
      </c>
      <c r="B66" s="4">
        <f>COUNTIFS(step3_combined_data!$AS$2:$AS$404,"Oppose", step3_combined_data!$N$2:$N$404,"Từ 48 - 70 triệu VNĐ")</f>
        <v>11</v>
      </c>
      <c r="C66" s="4">
        <f>COUNTIFS(step3_combined_data!$AS$2:$AS$404,"Neutral", step3_combined_data!$N$2:$N$404,"Từ 48 - 70 triệu VNĐ")</f>
        <v>37</v>
      </c>
      <c r="D66" s="4">
        <f>COUNTIFS(step3_combined_data!$AS$2:$AS$404,"Support", step3_combined_data!$N$2:$N$404,"Từ 48 - 70 triệu VNĐ")</f>
        <v>14</v>
      </c>
      <c r="E66">
        <f t="shared" si="28"/>
        <v>62</v>
      </c>
      <c r="G66" s="34" t="s">
        <v>106</v>
      </c>
      <c r="H66" s="36">
        <f t="shared" si="25"/>
        <v>0.17741935483870969</v>
      </c>
      <c r="I66" s="36">
        <f t="shared" si="26"/>
        <v>0.59677419354838712</v>
      </c>
      <c r="J66" s="36">
        <f t="shared" si="27"/>
        <v>0.22580645161290322</v>
      </c>
      <c r="K66">
        <f t="shared" si="29"/>
        <v>1</v>
      </c>
    </row>
    <row r="67" spans="1:11" x14ac:dyDescent="0.45">
      <c r="A67" s="33" t="s">
        <v>102</v>
      </c>
      <c r="B67" s="4">
        <f>COUNTIFS(step3_combined_data!$AS$2:$AS$404,"Oppose", step3_combined_data!$N$2:$N$404,"Từ 70 - 102 triệu VNĐ")</f>
        <v>16</v>
      </c>
      <c r="C67" s="4">
        <f>COUNTIFS(step3_combined_data!$AS$2:$AS$404,"Neutral", step3_combined_data!$N$2:$N$404,"Từ 70 - 102 triệu VNĐ")</f>
        <v>18</v>
      </c>
      <c r="D67" s="4">
        <f>COUNTIFS(step3_combined_data!$AS$2:$AS$404,"Support", step3_combined_data!$N$2:$N$404,"Từ 70 - 102 triệu VNĐ")</f>
        <v>5</v>
      </c>
      <c r="E67">
        <f t="shared" si="28"/>
        <v>39</v>
      </c>
      <c r="G67" s="33" t="s">
        <v>102</v>
      </c>
      <c r="H67" s="36">
        <f t="shared" si="25"/>
        <v>0.41025641025641024</v>
      </c>
      <c r="I67" s="36">
        <f t="shared" si="26"/>
        <v>0.46153846153846156</v>
      </c>
      <c r="J67" s="36">
        <f t="shared" si="27"/>
        <v>0.12820512820512819</v>
      </c>
      <c r="K67">
        <f t="shared" si="29"/>
        <v>1</v>
      </c>
    </row>
    <row r="68" spans="1:11" x14ac:dyDescent="0.45">
      <c r="A68" s="34" t="s">
        <v>103</v>
      </c>
      <c r="B68" s="4">
        <f>COUNTIFS(step3_combined_data!$AS$2:$AS$404,"Oppose", step3_combined_data!$N$2:$N$404,"Trên 102 triệu VNĐ")</f>
        <v>17</v>
      </c>
      <c r="C68" s="4">
        <f>COUNTIFS(step3_combined_data!$AS$2:$AS$404,"Neutral", step3_combined_data!$N$2:$N$404,"Trên 102 triệu VNĐ")</f>
        <v>11</v>
      </c>
      <c r="D68" s="4">
        <f>COUNTIFS(step3_combined_data!$AS$2:$AS$404,"Support", step3_combined_data!$N$2:$N$404,"Trên 102 triệu VNĐ")</f>
        <v>7</v>
      </c>
      <c r="E68">
        <f t="shared" si="28"/>
        <v>35</v>
      </c>
      <c r="G68" s="34" t="s">
        <v>103</v>
      </c>
      <c r="H68" s="36">
        <f t="shared" si="25"/>
        <v>0.48571428571428571</v>
      </c>
      <c r="I68" s="36">
        <f t="shared" si="26"/>
        <v>0.31428571428571428</v>
      </c>
      <c r="J68" s="36">
        <f t="shared" si="27"/>
        <v>0.2</v>
      </c>
      <c r="K68">
        <f t="shared" si="29"/>
        <v>1</v>
      </c>
    </row>
    <row r="71" spans="1:11" x14ac:dyDescent="0.45">
      <c r="A71" t="s">
        <v>14</v>
      </c>
      <c r="B71" t="s">
        <v>1</v>
      </c>
      <c r="C71" t="s">
        <v>2</v>
      </c>
      <c r="D71" t="s">
        <v>3</v>
      </c>
      <c r="G71" t="s">
        <v>14</v>
      </c>
      <c r="H71" t="s">
        <v>1</v>
      </c>
      <c r="I71" t="s">
        <v>2</v>
      </c>
      <c r="J71" t="s">
        <v>3</v>
      </c>
    </row>
    <row r="72" spans="1:11" x14ac:dyDescent="0.45">
      <c r="A72" s="34" t="s">
        <v>190</v>
      </c>
      <c r="B72" s="4">
        <f>COUNTIFS(step3_combined_data!$AX$2:$AX$404,"Oppose", step3_combined_data!$N$2:$N$404,"Dưới 12 triệu VNĐ")</f>
        <v>4</v>
      </c>
      <c r="C72" s="4">
        <f>COUNTIFS(step3_combined_data!$AX$2:$AX$404,"Neutral", step3_combined_data!$N$2:$N$404,"Dưới 12 triệu VNĐ")</f>
        <v>17</v>
      </c>
      <c r="D72" s="4">
        <f>COUNTIFS(step3_combined_data!$AX$2:$AX$404,"Support", step3_combined_data!$N$2:$N$404,"Dưới 12 triệu VNĐ")</f>
        <v>20</v>
      </c>
      <c r="E72">
        <f>SUM(B72:D72)</f>
        <v>41</v>
      </c>
      <c r="G72" s="34" t="s">
        <v>190</v>
      </c>
      <c r="H72" s="36">
        <f t="shared" ref="H72:H79" si="30">B72/E72</f>
        <v>9.7560975609756101E-2</v>
      </c>
      <c r="I72" s="36">
        <f t="shared" ref="I72:I79" si="31">C72/E72</f>
        <v>0.41463414634146339</v>
      </c>
      <c r="J72" s="36">
        <f t="shared" ref="J72:J79" si="32">D72/E72</f>
        <v>0.48780487804878048</v>
      </c>
      <c r="K72">
        <f>SUM(H72:J72)</f>
        <v>1</v>
      </c>
    </row>
    <row r="73" spans="1:11" x14ac:dyDescent="0.45">
      <c r="A73" s="33" t="s">
        <v>99</v>
      </c>
      <c r="B73" s="4">
        <f>COUNTIFS(step3_combined_data!$AX$2:$AX$404,"Oppose", step3_combined_data!$N$2:$N$404,"Từ 12 - 18 triệu VNĐ")</f>
        <v>11</v>
      </c>
      <c r="C73" s="4">
        <f>COUNTIFS(step3_combined_data!$AX$2:$AX$404,"Neutral", step3_combined_data!$N$2:$N$404,"Từ 12 - 18 triệu VNĐ")</f>
        <v>31</v>
      </c>
      <c r="D73" s="4">
        <f>COUNTIFS(step3_combined_data!$AX$2:$AX$404,"Support", step3_combined_data!$N$2:$N$404,"Từ 12 - 18 triệu VNĐ")</f>
        <v>37</v>
      </c>
      <c r="E73">
        <f t="shared" ref="E73:E79" si="33">SUM(B73:D73)</f>
        <v>79</v>
      </c>
      <c r="G73" s="33" t="s">
        <v>99</v>
      </c>
      <c r="H73" s="36">
        <f t="shared" si="30"/>
        <v>0.13924050632911392</v>
      </c>
      <c r="I73" s="36">
        <f t="shared" si="31"/>
        <v>0.39240506329113922</v>
      </c>
      <c r="J73" s="36">
        <f t="shared" si="32"/>
        <v>0.46835443037974683</v>
      </c>
      <c r="K73">
        <f t="shared" ref="K73:K79" si="34">SUM(H73:J73)</f>
        <v>1</v>
      </c>
    </row>
    <row r="74" spans="1:11" x14ac:dyDescent="0.45">
      <c r="A74" s="33" t="s">
        <v>192</v>
      </c>
      <c r="B74" s="4">
        <f>COUNTIFS(step3_combined_data!$AX$2:$AX$404,"Oppose", step3_combined_data!$N$2:$N$404,"Từ 18 - 23 triệu VNĐ")</f>
        <v>5</v>
      </c>
      <c r="C74" s="4">
        <f>COUNTIFS(step3_combined_data!$AX$2:$AX$404,"Neutral", step3_combined_data!$N$2:$N$404,"Từ 18 - 23 triệu VNĐ")</f>
        <v>21</v>
      </c>
      <c r="D74" s="4">
        <f>COUNTIFS(step3_combined_data!$AX$2:$AX$404,"Support", step3_combined_data!$N$2:$N$404,"Từ 18 - 23 triệu VNĐ")</f>
        <v>15</v>
      </c>
      <c r="E74">
        <f t="shared" si="33"/>
        <v>41</v>
      </c>
      <c r="G74" s="33" t="s">
        <v>192</v>
      </c>
      <c r="H74" s="36">
        <f t="shared" si="30"/>
        <v>0.12195121951219512</v>
      </c>
      <c r="I74" s="36">
        <f t="shared" si="31"/>
        <v>0.51219512195121952</v>
      </c>
      <c r="J74" s="36">
        <f t="shared" si="32"/>
        <v>0.36585365853658536</v>
      </c>
      <c r="K74">
        <f t="shared" si="34"/>
        <v>1</v>
      </c>
    </row>
    <row r="75" spans="1:11" x14ac:dyDescent="0.45">
      <c r="A75" s="34" t="s">
        <v>96</v>
      </c>
      <c r="B75" s="4">
        <f>COUNTIFS(step3_combined_data!$AX$2:$AX$404,"Oppose", step3_combined_data!$N$2:$N$404,"Từ 23 - 32 triệu VNĐ")</f>
        <v>9</v>
      </c>
      <c r="C75" s="4">
        <f>COUNTIFS(step3_combined_data!$AX$2:$AX$404,"Neutral", step3_combined_data!$N$2:$N$404,"Từ 23 - 32 triệu VNĐ")</f>
        <v>35</v>
      </c>
      <c r="D75" s="4">
        <f>COUNTIFS(step3_combined_data!$AX$2:$AX$404,"Support", step3_combined_data!$N$2:$N$404,"Từ 23 - 32 triệu VNĐ")</f>
        <v>9</v>
      </c>
      <c r="E75">
        <f t="shared" si="33"/>
        <v>53</v>
      </c>
      <c r="G75" s="34" t="s">
        <v>96</v>
      </c>
      <c r="H75" s="36">
        <f t="shared" si="30"/>
        <v>0.16981132075471697</v>
      </c>
      <c r="I75" s="36">
        <f t="shared" si="31"/>
        <v>0.660377358490566</v>
      </c>
      <c r="J75" s="36">
        <f t="shared" si="32"/>
        <v>0.16981132075471697</v>
      </c>
      <c r="K75">
        <f t="shared" si="34"/>
        <v>0.99999999999999989</v>
      </c>
    </row>
    <row r="76" spans="1:11" x14ac:dyDescent="0.45">
      <c r="A76" s="33" t="s">
        <v>104</v>
      </c>
      <c r="B76" s="4">
        <f>COUNTIFS(step3_combined_data!$AX$2:$AX$404,"Oppose", step3_combined_data!$N$2:$N$404,"Từ 32 - 48 triệu VNĐ")</f>
        <v>9</v>
      </c>
      <c r="C76" s="4">
        <f>COUNTIFS(step3_combined_data!$AX$2:$AX$404,"Neutral", step3_combined_data!$N$2:$N$404,"Từ 32 - 48 triệu VNĐ")</f>
        <v>35</v>
      </c>
      <c r="D76" s="4">
        <f>COUNTIFS(step3_combined_data!$AX$2:$AX$404,"Support", step3_combined_data!$N$2:$N$404,"Từ 32 - 48 triệu VNĐ")</f>
        <v>9</v>
      </c>
      <c r="E76">
        <f t="shared" si="33"/>
        <v>53</v>
      </c>
      <c r="G76" s="33" t="s">
        <v>104</v>
      </c>
      <c r="H76" s="36">
        <f t="shared" si="30"/>
        <v>0.16981132075471697</v>
      </c>
      <c r="I76" s="36">
        <f t="shared" si="31"/>
        <v>0.660377358490566</v>
      </c>
      <c r="J76" s="36">
        <f t="shared" si="32"/>
        <v>0.16981132075471697</v>
      </c>
      <c r="K76">
        <f t="shared" si="34"/>
        <v>0.99999999999999989</v>
      </c>
    </row>
    <row r="77" spans="1:11" x14ac:dyDescent="0.45">
      <c r="A77" s="34" t="s">
        <v>106</v>
      </c>
      <c r="B77" s="4">
        <f>COUNTIFS(step3_combined_data!$AX$2:$AX$404,"Oppose", step3_combined_data!$N$2:$N$404,"Từ 48 - 70 triệu VNĐ")</f>
        <v>7</v>
      </c>
      <c r="C77" s="4">
        <f>COUNTIFS(step3_combined_data!$AX$2:$AX$404,"Neutral", step3_combined_data!$N$2:$N$404,"Từ 48 - 70 triệu VNĐ")</f>
        <v>41</v>
      </c>
      <c r="D77" s="4">
        <f>COUNTIFS(step3_combined_data!$AX$2:$AX$404,"Support", step3_combined_data!$N$2:$N$404,"Từ 48 - 70 triệu VNĐ")</f>
        <v>14</v>
      </c>
      <c r="E77">
        <f t="shared" si="33"/>
        <v>62</v>
      </c>
      <c r="G77" s="34" t="s">
        <v>106</v>
      </c>
      <c r="H77" s="36">
        <f t="shared" si="30"/>
        <v>0.11290322580645161</v>
      </c>
      <c r="I77" s="36">
        <f t="shared" si="31"/>
        <v>0.66129032258064513</v>
      </c>
      <c r="J77" s="36">
        <f t="shared" si="32"/>
        <v>0.22580645161290322</v>
      </c>
      <c r="K77">
        <f t="shared" si="34"/>
        <v>1</v>
      </c>
    </row>
    <row r="78" spans="1:11" x14ac:dyDescent="0.45">
      <c r="A78" s="33" t="s">
        <v>102</v>
      </c>
      <c r="B78" s="4">
        <f>COUNTIFS(step3_combined_data!$AX$2:$AX$404,"Oppose", step3_combined_data!$N$2:$N$404,"Từ 70 - 102 triệu VNĐ")</f>
        <v>14</v>
      </c>
      <c r="C78" s="4">
        <f>COUNTIFS(step3_combined_data!$AX$2:$AX$404,"Neutral", step3_combined_data!$N$2:$N$404,"Từ 70 - 102 triệu VNĐ")</f>
        <v>20</v>
      </c>
      <c r="D78" s="4">
        <f>COUNTIFS(step3_combined_data!$AX$2:$AX$404,"Support", step3_combined_data!$N$2:$N$404,"Từ 70 - 102 triệu VNĐ")</f>
        <v>5</v>
      </c>
      <c r="E78">
        <f t="shared" si="33"/>
        <v>39</v>
      </c>
      <c r="G78" s="33" t="s">
        <v>102</v>
      </c>
      <c r="H78" s="36">
        <f t="shared" si="30"/>
        <v>0.35897435897435898</v>
      </c>
      <c r="I78" s="36">
        <f t="shared" si="31"/>
        <v>0.51282051282051277</v>
      </c>
      <c r="J78" s="36">
        <f t="shared" si="32"/>
        <v>0.12820512820512819</v>
      </c>
      <c r="K78">
        <f t="shared" si="34"/>
        <v>1</v>
      </c>
    </row>
    <row r="79" spans="1:11" x14ac:dyDescent="0.45">
      <c r="A79" s="34" t="s">
        <v>103</v>
      </c>
      <c r="B79" s="4">
        <f>COUNTIFS(step3_combined_data!$AX$2:$AX$404,"Oppose", step3_combined_data!$N$2:$N$404,"Trên 102 triệu VNĐ")</f>
        <v>13</v>
      </c>
      <c r="C79" s="4">
        <f>COUNTIFS(step3_combined_data!$AX$2:$AX$404,"Neutral", step3_combined_data!$N$2:$N$404,"Trên 102 triệu VNĐ")</f>
        <v>17</v>
      </c>
      <c r="D79" s="4">
        <f>COUNTIFS(step3_combined_data!$AX$2:$AX$404,"Support", step3_combined_data!$N$2:$N$404,"Trên 102 triệu VNĐ")</f>
        <v>5</v>
      </c>
      <c r="E79">
        <f t="shared" si="33"/>
        <v>35</v>
      </c>
      <c r="G79" s="34" t="s">
        <v>103</v>
      </c>
      <c r="H79" s="36">
        <f t="shared" si="30"/>
        <v>0.37142857142857144</v>
      </c>
      <c r="I79" s="36">
        <f t="shared" si="31"/>
        <v>0.48571428571428571</v>
      </c>
      <c r="J79" s="36">
        <f t="shared" si="32"/>
        <v>0.14285714285714285</v>
      </c>
      <c r="K79">
        <f t="shared" si="34"/>
        <v>1</v>
      </c>
    </row>
    <row r="83" spans="1:11" x14ac:dyDescent="0.45">
      <c r="A83" t="s">
        <v>3765</v>
      </c>
      <c r="B83" t="s">
        <v>1</v>
      </c>
      <c r="C83" t="s">
        <v>2</v>
      </c>
      <c r="D83" t="s">
        <v>3</v>
      </c>
      <c r="G83" t="s">
        <v>3765</v>
      </c>
      <c r="H83" t="s">
        <v>1</v>
      </c>
      <c r="I83" t="s">
        <v>2</v>
      </c>
      <c r="J83" t="s">
        <v>3</v>
      </c>
    </row>
    <row r="84" spans="1:11" x14ac:dyDescent="0.45">
      <c r="A84" s="34" t="s">
        <v>184</v>
      </c>
      <c r="B84" s="4">
        <f>COUNTIFS(step3_combined_data!$BH$2:$BH404,"Oppose", step3_combined_data!$E$2:$E$404,"18 - 24")</f>
        <v>1</v>
      </c>
      <c r="C84" s="4">
        <f>COUNTIFS(step3_combined_data!$BH$2:$BH$404,"Neutral", step3_combined_data!$E$2:$E$404,"18 - 24")</f>
        <v>16</v>
      </c>
      <c r="D84" s="4">
        <f>COUNTIFS(step3_combined_data!$BH$2:$BH$404,"Support", step3_combined_data!$E$2:$E$404,"18 - 24")</f>
        <v>38</v>
      </c>
      <c r="E84">
        <f>SUM(B84:D84)</f>
        <v>55</v>
      </c>
      <c r="G84" s="34" t="s">
        <v>184</v>
      </c>
      <c r="H84" s="36">
        <f t="shared" ref="H84:H89" si="35">B84/E84</f>
        <v>1.8181818181818181E-2</v>
      </c>
      <c r="I84" s="36">
        <f t="shared" ref="I84:I89" si="36">C84/E84</f>
        <v>0.29090909090909089</v>
      </c>
      <c r="J84" s="36">
        <f t="shared" ref="J84:J89" si="37">D84/E84</f>
        <v>0.69090909090909092</v>
      </c>
      <c r="K84">
        <f>SUM(H84:J84)</f>
        <v>1</v>
      </c>
    </row>
    <row r="85" spans="1:11" x14ac:dyDescent="0.45">
      <c r="A85" s="33" t="s">
        <v>76</v>
      </c>
      <c r="B85" s="4">
        <f>COUNTIFS(step3_combined_data!$BH$2:$BH$404,"Oppose", step3_combined_data!$E$2:$E$404,"25 - 29")</f>
        <v>2</v>
      </c>
      <c r="C85" s="4">
        <f>COUNTIFS(step3_combined_data!$BH$2:$BH$404,"Neutral", step3_combined_data!$E$2:$E$404,"25 - 29")</f>
        <v>32</v>
      </c>
      <c r="D85" s="4">
        <f>COUNTIFS(step3_combined_data!$BH$2:$BH$404,"Support", step3_combined_data!$E$2:$E$404,"25 - 29")</f>
        <v>45</v>
      </c>
      <c r="E85">
        <f t="shared" ref="E85:E89" si="38">SUM(B85:D85)</f>
        <v>79</v>
      </c>
      <c r="G85" s="33" t="s">
        <v>76</v>
      </c>
      <c r="H85" s="36">
        <f t="shared" si="35"/>
        <v>2.5316455696202531E-2</v>
      </c>
      <c r="I85" s="36">
        <f t="shared" si="36"/>
        <v>0.4050632911392405</v>
      </c>
      <c r="J85" s="36">
        <f t="shared" si="37"/>
        <v>0.569620253164557</v>
      </c>
      <c r="K85">
        <f t="shared" ref="K85:K89" si="39">SUM(H85:J85)</f>
        <v>1</v>
      </c>
    </row>
    <row r="86" spans="1:11" x14ac:dyDescent="0.45">
      <c r="A86" s="33" t="s">
        <v>68</v>
      </c>
      <c r="B86" s="4">
        <f>COUNTIFS(step3_combined_data!$BH$2:$BH$404,"Oppose", step3_combined_data!$E$2:$E$404,"30 - 39")</f>
        <v>9</v>
      </c>
      <c r="C86" s="4">
        <f>COUNTIFS(step3_combined_data!$BH$2:$BH$404,"Neutral", step3_combined_data!$E$2:$E$404,"30 - 39")</f>
        <v>74</v>
      </c>
      <c r="D86" s="4">
        <f>COUNTIFS(step3_combined_data!$BH$2:$BH$404,"Support", step3_combined_data!$E$2:$E$404,"30 - 39")</f>
        <v>49</v>
      </c>
      <c r="E86">
        <f t="shared" si="38"/>
        <v>132</v>
      </c>
      <c r="G86" s="33" t="s">
        <v>68</v>
      </c>
      <c r="H86" s="36">
        <f t="shared" si="35"/>
        <v>6.8181818181818177E-2</v>
      </c>
      <c r="I86" s="36">
        <f t="shared" si="36"/>
        <v>0.56060606060606055</v>
      </c>
      <c r="J86" s="36">
        <f t="shared" si="37"/>
        <v>0.37121212121212122</v>
      </c>
      <c r="K86">
        <f t="shared" si="39"/>
        <v>0.99999999999999989</v>
      </c>
    </row>
    <row r="87" spans="1:11" x14ac:dyDescent="0.45">
      <c r="A87" s="34" t="s">
        <v>74</v>
      </c>
      <c r="B87" s="4">
        <f>COUNTIFS(step3_combined_data!$BH$2:$BH$404,"Oppose", step3_combined_data!$E$2:$E$404,"40 - 49")</f>
        <v>11</v>
      </c>
      <c r="C87" s="4">
        <f>COUNTIFS(step3_combined_data!$BH$2:$BH$404,"Neutral", step3_combined_data!$E$2:$E$404,"40 - 49")</f>
        <v>40</v>
      </c>
      <c r="D87" s="4">
        <f>COUNTIFS(step3_combined_data!$BH$2:$BH$404,"Support", step3_combined_data!$E$2:$E$404,"40 - 49")</f>
        <v>28</v>
      </c>
      <c r="E87">
        <f t="shared" si="38"/>
        <v>79</v>
      </c>
      <c r="G87" s="34" t="s">
        <v>74</v>
      </c>
      <c r="H87" s="36">
        <f t="shared" si="35"/>
        <v>0.13924050632911392</v>
      </c>
      <c r="I87" s="36">
        <f t="shared" si="36"/>
        <v>0.50632911392405067</v>
      </c>
      <c r="J87" s="36">
        <f t="shared" si="37"/>
        <v>0.35443037974683544</v>
      </c>
      <c r="K87">
        <f t="shared" si="39"/>
        <v>1</v>
      </c>
    </row>
    <row r="88" spans="1:11" x14ac:dyDescent="0.45">
      <c r="A88" s="33" t="s">
        <v>187</v>
      </c>
      <c r="B88" s="4">
        <f>COUNTIFS(step3_combined_data!$BH$2:$BH$404,"Oppose", step3_combined_data!$E$2:$E$404,"50 - 54")</f>
        <v>9</v>
      </c>
      <c r="C88" s="4">
        <f>COUNTIFS(step3_combined_data!$BH$2:$BH$404,"Neutral", step3_combined_data!$E$2:$E$404,"50 - 54")</f>
        <v>14</v>
      </c>
      <c r="D88" s="4">
        <f>COUNTIFS(step3_combined_data!$BH$2:$BH$404,"Support", step3_combined_data!$E$2:$E$404,"50 - 54")</f>
        <v>8</v>
      </c>
      <c r="E88">
        <f t="shared" si="38"/>
        <v>31</v>
      </c>
      <c r="G88" s="33" t="s">
        <v>187</v>
      </c>
      <c r="H88" s="36">
        <f t="shared" si="35"/>
        <v>0.29032258064516131</v>
      </c>
      <c r="I88" s="36">
        <f t="shared" si="36"/>
        <v>0.45161290322580644</v>
      </c>
      <c r="J88" s="36">
        <f t="shared" si="37"/>
        <v>0.25806451612903225</v>
      </c>
      <c r="K88">
        <f t="shared" si="39"/>
        <v>1</v>
      </c>
    </row>
    <row r="89" spans="1:11" x14ac:dyDescent="0.45">
      <c r="A89" s="33" t="s">
        <v>189</v>
      </c>
      <c r="B89" s="4">
        <f>COUNTIFS(step3_combined_data!$BH$2:$BH$404,"Oppose", step3_combined_data!$E$2:$E$404,"55 - 64")</f>
        <v>3</v>
      </c>
      <c r="C89" s="4">
        <f>COUNTIFS(step3_combined_data!$BH$2:$BH$404,"Neutral", step3_combined_data!$E$2:$E$404,"55 - 64")</f>
        <v>18</v>
      </c>
      <c r="D89" s="4">
        <f>COUNTIFS(step3_combined_data!$BH$2:$BH$404,"Support", step3_combined_data!$E$2:$E$404,"55 - 64")</f>
        <v>6</v>
      </c>
      <c r="E89">
        <f t="shared" si="38"/>
        <v>27</v>
      </c>
      <c r="G89" s="33" t="s">
        <v>189</v>
      </c>
      <c r="H89" s="36">
        <f t="shared" si="35"/>
        <v>0.1111111111111111</v>
      </c>
      <c r="I89" s="36">
        <f t="shared" si="36"/>
        <v>0.66666666666666663</v>
      </c>
      <c r="J89" s="36">
        <f t="shared" si="37"/>
        <v>0.22222222222222221</v>
      </c>
      <c r="K89">
        <f t="shared" si="39"/>
        <v>0.99999999999999989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76"/>
  <sheetViews>
    <sheetView topLeftCell="C37" workbookViewId="0">
      <selection activeCell="F50" sqref="F50"/>
      <pivotSelection pane="bottomRight" showHeader="1" extendable="1" activeRow="49" activeCol="5" previousRow="49" previousCol="5" click="1" r:id="rId5">
        <pivotArea dataOnly="0" outline="0" axis="axisValues" fieldPosition="0"/>
      </pivotSelection>
    </sheetView>
  </sheetViews>
  <sheetFormatPr defaultRowHeight="14.25" x14ac:dyDescent="0.45"/>
  <cols>
    <col min="1" max="1" width="8.9296875" bestFit="1" customWidth="1"/>
    <col min="2" max="2" width="17.06640625" bestFit="1" customWidth="1"/>
    <col min="3" max="3" width="16.73046875" bestFit="1" customWidth="1"/>
    <col min="4" max="4" width="17.265625" bestFit="1" customWidth="1"/>
    <col min="5" max="5" width="45.796875" bestFit="1" customWidth="1"/>
    <col min="6" max="6" width="45.33203125" customWidth="1"/>
    <col min="7" max="7" width="17.06640625" bestFit="1" customWidth="1"/>
    <col min="8" max="8" width="16.73046875" bestFit="1" customWidth="1"/>
    <col min="9" max="9" width="17.265625" bestFit="1" customWidth="1"/>
    <col min="10" max="10" width="12.86328125" bestFit="1" customWidth="1"/>
    <col min="11" max="11" width="12.53125" bestFit="1" customWidth="1"/>
    <col min="12" max="12" width="13.06640625" bestFit="1" customWidth="1"/>
  </cols>
  <sheetData>
    <row r="1" spans="1:7" x14ac:dyDescent="0.45">
      <c r="A1" s="1" t="s">
        <v>4</v>
      </c>
      <c r="B1" s="1" t="s">
        <v>5</v>
      </c>
      <c r="C1" s="1" t="s">
        <v>6</v>
      </c>
      <c r="D1" s="1" t="s">
        <v>7</v>
      </c>
    </row>
    <row r="2" spans="1:7" x14ac:dyDescent="0.45">
      <c r="A2" s="4" t="s">
        <v>8</v>
      </c>
      <c r="B2" s="15">
        <f>step3_combined_data!T406/step3_combined_data!T409</f>
        <v>0.13647642679900746</v>
      </c>
      <c r="C2" s="15">
        <f>step3_combined_data!T407/step3_combined_data!T409</f>
        <v>0.4466501240694789</v>
      </c>
      <c r="D2" s="15">
        <f>step3_combined_data!T408/step3_combined_data!T409</f>
        <v>0.41687344913151364</v>
      </c>
    </row>
    <row r="3" spans="1:7" x14ac:dyDescent="0.45">
      <c r="A3" s="4" t="s">
        <v>9</v>
      </c>
      <c r="B3" s="15">
        <f>step3_combined_data!Y406/step3_combined_data!Y409</f>
        <v>0.11166253101736973</v>
      </c>
      <c r="C3" s="15">
        <f>step3_combined_data!Y407/step3_combined_data!Y409</f>
        <v>0.41191066997518611</v>
      </c>
      <c r="D3" s="15">
        <f>step3_combined_data!Y408/step3_combined_data!Y409</f>
        <v>0.47642679900744417</v>
      </c>
    </row>
    <row r="4" spans="1:7" x14ac:dyDescent="0.45">
      <c r="A4" s="4" t="s">
        <v>10</v>
      </c>
      <c r="B4" s="15">
        <f>step3_combined_data!AD406/step3_combined_data!AD409</f>
        <v>0.20595533498759305</v>
      </c>
      <c r="C4" s="15">
        <f>step3_combined_data!AD407/step3_combined_data!AD409</f>
        <v>0.43920595533498757</v>
      </c>
      <c r="D4" s="15">
        <f>step3_combined_data!AD408/step3_combined_data!AD409</f>
        <v>0.35483870967741937</v>
      </c>
    </row>
    <row r="5" spans="1:7" x14ac:dyDescent="0.45">
      <c r="A5" s="4" t="s">
        <v>11</v>
      </c>
      <c r="B5" s="15">
        <f>step3_combined_data!AI406/step3_combined_data!AI409</f>
        <v>5.2109181141439205E-2</v>
      </c>
      <c r="C5" s="15">
        <f>step3_combined_data!AI407/step3_combined_data!AI409</f>
        <v>0.45905707196029777</v>
      </c>
      <c r="D5" s="15">
        <f>step3_combined_data!AI408/step3_combined_data!AI409</f>
        <v>0.48883374689826303</v>
      </c>
    </row>
    <row r="6" spans="1:7" x14ac:dyDescent="0.45">
      <c r="A6" s="4" t="s">
        <v>12</v>
      </c>
      <c r="B6" s="15">
        <f>step3_combined_data!AN406/step3_combined_data!AN409</f>
        <v>0.14143920595533499</v>
      </c>
      <c r="C6" s="15">
        <f>step3_combined_data!AN407/step3_combined_data!AN409</f>
        <v>0.54094292803970223</v>
      </c>
      <c r="D6" s="15">
        <f>step3_combined_data!AN408/step3_combined_data!AN409</f>
        <v>0.31761786600496278</v>
      </c>
    </row>
    <row r="7" spans="1:7" x14ac:dyDescent="0.45">
      <c r="A7" s="4" t="s">
        <v>13</v>
      </c>
      <c r="B7" s="15">
        <f>step3_combined_data!AS406/step3_combined_data!AS409</f>
        <v>0.17369727047146402</v>
      </c>
      <c r="C7" s="15">
        <f>step3_combined_data!AS407/step3_combined_data!AS409</f>
        <v>0.44168734491315137</v>
      </c>
      <c r="D7" s="15">
        <f>step3_combined_data!AS408/step3_combined_data!AS409</f>
        <v>0.38461538461538464</v>
      </c>
    </row>
    <row r="8" spans="1:7" x14ac:dyDescent="0.45">
      <c r="A8" s="4" t="s">
        <v>14</v>
      </c>
      <c r="B8" s="15">
        <f>step3_combined_data!AX406/step3_combined_data!AX409</f>
        <v>0.17866004962779156</v>
      </c>
      <c r="C8" s="15">
        <f>step3_combined_data!AX407/step3_combined_data!AX409</f>
        <v>0.53846153846153844</v>
      </c>
      <c r="D8" s="15">
        <f>step3_combined_data!AX408/step3_combined_data!AX409</f>
        <v>0.28287841191066998</v>
      </c>
    </row>
    <row r="9" spans="1:7" x14ac:dyDescent="0.45">
      <c r="A9" s="4" t="s">
        <v>15</v>
      </c>
      <c r="B9" s="15">
        <f>step3_combined_data!BC406/step3_combined_data!BC409</f>
        <v>0.11414392059553349</v>
      </c>
      <c r="C9" s="15">
        <f>step3_combined_data!BC407/step3_combined_data!BC409</f>
        <v>0.5831265508684863</v>
      </c>
      <c r="D9" s="15">
        <f>step3_combined_data!BC408/step3_combined_data!BC409</f>
        <v>0.30272952853598017</v>
      </c>
    </row>
    <row r="10" spans="1:7" x14ac:dyDescent="0.45">
      <c r="A10" s="4" t="s">
        <v>16</v>
      </c>
      <c r="B10" s="15">
        <f>step3_combined_data!BH406/step3_combined_data!BH409</f>
        <v>8.6848635235732011E-2</v>
      </c>
      <c r="C10" s="15">
        <f>step3_combined_data!BH407/step3_combined_data!BH409</f>
        <v>0.4813895781637717</v>
      </c>
      <c r="D10" s="15">
        <f>step3_combined_data!BH408/step3_combined_data!BH409</f>
        <v>0.4317617866004963</v>
      </c>
    </row>
    <row r="13" spans="1:7" x14ac:dyDescent="0.45">
      <c r="C13" s="28"/>
      <c r="E13" s="26" t="s">
        <v>33</v>
      </c>
      <c r="F13" t="s">
        <v>163</v>
      </c>
      <c r="G13" s="28" t="s">
        <v>164</v>
      </c>
    </row>
    <row r="14" spans="1:7" x14ac:dyDescent="0.45">
      <c r="C14" s="24"/>
      <c r="E14" s="27" t="s">
        <v>161</v>
      </c>
      <c r="F14">
        <v>159</v>
      </c>
      <c r="G14" s="24">
        <f>GETPIVOTDATA("Giới tính của bạn:",$E$13,"Giới tính của bạn:","Male")/GETPIVOTDATA("Giới tính của bạn:",$E$13)</f>
        <v>0.39454094292803971</v>
      </c>
    </row>
    <row r="15" spans="1:7" x14ac:dyDescent="0.45">
      <c r="C15" s="24"/>
      <c r="E15" s="27" t="s">
        <v>162</v>
      </c>
      <c r="F15">
        <v>244</v>
      </c>
      <c r="G15" s="24">
        <f>GETPIVOTDATA("Giới tính của bạn:",$E$13,"Giới tính của bạn:","Female")/GETPIVOTDATA("Giới tính của bạn:",$E$13)</f>
        <v>0.60545905707196035</v>
      </c>
    </row>
    <row r="16" spans="1:7" x14ac:dyDescent="0.45">
      <c r="C16" s="24"/>
      <c r="E16" s="27" t="s">
        <v>29</v>
      </c>
      <c r="F16">
        <v>403</v>
      </c>
      <c r="G16" s="24">
        <f>G14+G15</f>
        <v>1</v>
      </c>
    </row>
    <row r="19" spans="3:7" x14ac:dyDescent="0.45">
      <c r="C19" s="28"/>
      <c r="E19" s="26" t="s">
        <v>34</v>
      </c>
      <c r="F19" t="s">
        <v>200</v>
      </c>
    </row>
    <row r="20" spans="3:7" x14ac:dyDescent="0.45">
      <c r="C20" s="24"/>
      <c r="E20" s="27" t="s">
        <v>184</v>
      </c>
      <c r="F20">
        <v>55</v>
      </c>
      <c r="G20" s="32">
        <f>GETPIVOTDATA("Độ tuổi của bạn:",$E$19,"Độ tuổi của bạn:","18 - 24")/GETPIVOTDATA("Độ tuổi của bạn:",$E$19)</f>
        <v>0.13647642679900746</v>
      </c>
    </row>
    <row r="21" spans="3:7" x14ac:dyDescent="0.45">
      <c r="C21" s="24"/>
      <c r="E21" s="27" t="s">
        <v>76</v>
      </c>
      <c r="F21">
        <v>79</v>
      </c>
      <c r="G21" s="32">
        <f>GETPIVOTDATA("Độ tuổi của bạn:",$E$19,"Độ tuổi của bạn:","25 - 29")/GETPIVOTDATA("Độ tuổi của bạn:",$E$19)</f>
        <v>0.19602977667493796</v>
      </c>
    </row>
    <row r="22" spans="3:7" x14ac:dyDescent="0.45">
      <c r="C22" s="24"/>
      <c r="E22" s="27" t="s">
        <v>68</v>
      </c>
      <c r="F22">
        <v>132</v>
      </c>
      <c r="G22" s="32">
        <f>GETPIVOTDATA("Độ tuổi của bạn:",$E$19,"Độ tuổi của bạn:","30 - 39")/GETPIVOTDATA("Độ tuổi của bạn:",$E$19)</f>
        <v>0.32754342431761785</v>
      </c>
    </row>
    <row r="23" spans="3:7" x14ac:dyDescent="0.45">
      <c r="E23" s="27" t="s">
        <v>74</v>
      </c>
      <c r="F23">
        <v>79</v>
      </c>
      <c r="G23" s="32">
        <f>GETPIVOTDATA("Độ tuổi của bạn:",$E$19,"Độ tuổi của bạn:","40 - 49")/GETPIVOTDATA("Độ tuổi của bạn:",$E$19)</f>
        <v>0.19602977667493796</v>
      </c>
    </row>
    <row r="24" spans="3:7" x14ac:dyDescent="0.45">
      <c r="E24" s="27" t="s">
        <v>187</v>
      </c>
      <c r="F24">
        <v>31</v>
      </c>
      <c r="G24" s="32">
        <f>GETPIVOTDATA("Độ tuổi của bạn:",$E$19,"Độ tuổi của bạn:","50 - 54")/GETPIVOTDATA("Độ tuổi của bạn:",$E$19)</f>
        <v>7.6923076923076927E-2</v>
      </c>
    </row>
    <row r="25" spans="3:7" x14ac:dyDescent="0.45">
      <c r="C25" s="28"/>
      <c r="E25" s="27" t="s">
        <v>189</v>
      </c>
      <c r="F25">
        <v>27</v>
      </c>
      <c r="G25" s="32">
        <f>GETPIVOTDATA("Độ tuổi của bạn:",$E$19,"Độ tuổi của bạn:","55 - 64")/GETPIVOTDATA("Độ tuổi của bạn:",$E$19)</f>
        <v>6.699751861042183E-2</v>
      </c>
    </row>
    <row r="26" spans="3:7" x14ac:dyDescent="0.45">
      <c r="C26" s="24"/>
      <c r="E26" s="27" t="s">
        <v>29</v>
      </c>
      <c r="F26">
        <v>403</v>
      </c>
      <c r="G26" s="32">
        <f>SUM(G20:G25)</f>
        <v>0.99999999999999989</v>
      </c>
    </row>
    <row r="27" spans="3:7" x14ac:dyDescent="0.45">
      <c r="C27" s="24"/>
    </row>
    <row r="28" spans="3:7" x14ac:dyDescent="0.45">
      <c r="C28" s="24"/>
    </row>
    <row r="31" spans="3:7" x14ac:dyDescent="0.45">
      <c r="C31" s="28"/>
    </row>
    <row r="32" spans="3:7" x14ac:dyDescent="0.45">
      <c r="C32" s="24"/>
    </row>
    <row r="33" spans="3:7" x14ac:dyDescent="0.45">
      <c r="C33" s="24"/>
    </row>
    <row r="34" spans="3:7" x14ac:dyDescent="0.45">
      <c r="C34" s="24"/>
    </row>
    <row r="35" spans="3:7" x14ac:dyDescent="0.45">
      <c r="C35" s="24"/>
      <c r="E35" s="26" t="s">
        <v>36</v>
      </c>
      <c r="F35" t="s">
        <v>201</v>
      </c>
    </row>
    <row r="36" spans="3:7" x14ac:dyDescent="0.45">
      <c r="C36" s="24"/>
      <c r="E36" s="27" t="s">
        <v>186</v>
      </c>
      <c r="F36">
        <v>8</v>
      </c>
      <c r="G36" s="32">
        <f>GETPIVOTDATA("Trình độ học vấn cao nhất:",$E$35,"Trình độ học vấn cao nhất:","Cao đẳng")/GETPIVOTDATA("Trình độ học vấn cao nhất:",$E$35)</f>
        <v>1.9851116625310174E-2</v>
      </c>
    </row>
    <row r="37" spans="3:7" x14ac:dyDescent="0.45">
      <c r="C37" s="24"/>
      <c r="E37" s="27" t="s">
        <v>72</v>
      </c>
      <c r="F37">
        <v>274</v>
      </c>
      <c r="G37" s="32">
        <f>GETPIVOTDATA("Trình độ học vấn cao nhất:",$E$35,"Trình độ học vấn cao nhất:","Đại học")/GETPIVOTDATA("Trình độ học vấn cao nhất:",$E$35)</f>
        <v>0.67990074441687343</v>
      </c>
    </row>
    <row r="38" spans="3:7" x14ac:dyDescent="0.45">
      <c r="C38" s="24"/>
      <c r="E38" s="27" t="s">
        <v>70</v>
      </c>
      <c r="F38">
        <v>117</v>
      </c>
      <c r="G38" s="32">
        <f>GETPIVOTDATA("Trình độ học vấn cao nhất:",$E$35,"Trình độ học vấn cao nhất:","Sau Đại học")/GETPIVOTDATA("Trình độ học vấn cao nhất:",$E$35)</f>
        <v>0.29032258064516131</v>
      </c>
    </row>
    <row r="39" spans="3:7" x14ac:dyDescent="0.45">
      <c r="E39" s="27" t="s">
        <v>188</v>
      </c>
      <c r="F39">
        <v>4</v>
      </c>
      <c r="G39" s="32">
        <f>GETPIVOTDATA("Trình độ học vấn cao nhất:",$E$35,"Trình độ học vấn cao nhất:","Trung học phổ thông")/GETPIVOTDATA("Trình độ học vấn cao nhất:",$E$35)</f>
        <v>9.9255583126550868E-3</v>
      </c>
    </row>
    <row r="40" spans="3:7" x14ac:dyDescent="0.45">
      <c r="E40" s="27" t="s">
        <v>29</v>
      </c>
      <c r="F40">
        <v>403</v>
      </c>
      <c r="G40" s="24">
        <f>SUM(G36:G39)</f>
        <v>0.99999999999999989</v>
      </c>
    </row>
    <row r="41" spans="3:7" x14ac:dyDescent="0.45">
      <c r="C41" s="28"/>
    </row>
    <row r="42" spans="3:7" x14ac:dyDescent="0.45">
      <c r="C42" s="24"/>
    </row>
    <row r="43" spans="3:7" x14ac:dyDescent="0.45">
      <c r="C43" s="24"/>
      <c r="E43" s="26" t="s">
        <v>37</v>
      </c>
      <c r="F43" t="s">
        <v>202</v>
      </c>
    </row>
    <row r="44" spans="3:7" x14ac:dyDescent="0.45">
      <c r="C44" s="24"/>
      <c r="E44" s="27" t="s">
        <v>193</v>
      </c>
      <c r="F44">
        <v>9</v>
      </c>
      <c r="G44" s="32">
        <f>GETPIVOTDATA("Tình trạng việc làm chính:",$E$43,"Tình trạng việc làm chính:","Khác (Về hưu, nội trợ, sinh viên)")/GETPIVOTDATA("Tình trạng việc làm chính:",$E$43)</f>
        <v>2.2332506203473945E-2</v>
      </c>
    </row>
    <row r="45" spans="3:7" x14ac:dyDescent="0.45">
      <c r="C45" s="24"/>
      <c r="E45" s="27" t="s">
        <v>95</v>
      </c>
      <c r="F45">
        <v>377</v>
      </c>
      <c r="G45" s="32">
        <f>GETPIVOTDATA("Tình trạng việc làm chính:",$E$43,"Tình trạng việc làm chính:","Khu vực chính thức (Có Hợp đồng lao động, đóng BHXH)")/GETPIVOTDATA("Tình trạng việc làm chính:",$E$43)</f>
        <v>0.93548387096774188</v>
      </c>
    </row>
    <row r="46" spans="3:7" x14ac:dyDescent="0.45">
      <c r="C46" s="24"/>
      <c r="E46" s="27" t="s">
        <v>98</v>
      </c>
      <c r="F46">
        <v>17</v>
      </c>
      <c r="G46" s="32">
        <f>GETPIVOTDATA("Tình trạng việc làm chính:",$E$43,"Tình trạng việc làm chính:","Khu vực phi chính thức (Lao động tự do, không có HĐLĐ)")/GETPIVOTDATA("Tình trạng việc làm chính:",$E$43)</f>
        <v>4.2183622828784122E-2</v>
      </c>
    </row>
    <row r="47" spans="3:7" x14ac:dyDescent="0.45">
      <c r="E47" s="27" t="s">
        <v>29</v>
      </c>
      <c r="F47">
        <v>403</v>
      </c>
      <c r="G47" s="32">
        <f>SUM(G44:G46)</f>
        <v>0.99999999999999989</v>
      </c>
    </row>
    <row r="50" spans="5:7" x14ac:dyDescent="0.45">
      <c r="E50" s="26" t="s">
        <v>204</v>
      </c>
      <c r="F50" t="s">
        <v>203</v>
      </c>
    </row>
    <row r="51" spans="5:7" x14ac:dyDescent="0.45">
      <c r="E51" s="27" t="s">
        <v>190</v>
      </c>
      <c r="F51">
        <v>41</v>
      </c>
      <c r="G51" s="32">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TNCN)","Dưới 12 triệu VNĐ")/GETPIVOTDATA("Thu nhập bình quân tháng theo Hợp đồng lao động của bạn là bao nhiêu? (Vui lòng điền tổng thu nhập trước khi khấu trừ các loại Bảo hiểm (BHXH, BHYT, BHTN) và Thuế TNCN)",$E$50)</f>
        <v>0.10173697270471464</v>
      </c>
    </row>
    <row r="52" spans="5:7" x14ac:dyDescent="0.45">
      <c r="E52" s="27" t="s">
        <v>103</v>
      </c>
      <c r="F52">
        <v>35</v>
      </c>
      <c r="G52" s="32">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TNCN)","Trên 102 triệu VNĐ")/GETPIVOTDATA("Thu nhập bình quân tháng theo Hợp đồng lao động của bạn là bao nhiêu? (Vui lòng điền tổng thu nhập trước khi khấu trừ các loại Bảo hiểm (BHXH, BHYT, BHTN) và Thuế TNCN)",$E$50)</f>
        <v>8.6848635235732011E-2</v>
      </c>
    </row>
    <row r="53" spans="5:7" x14ac:dyDescent="0.45">
      <c r="E53" s="27" t="s">
        <v>99</v>
      </c>
      <c r="F53">
        <v>79</v>
      </c>
      <c r="G53" s="32">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12 - 18 triệu VNĐ")/GETPIVOTDATA("Thu nhập bình quân tháng theo Hợp đồng lao động của bạn là bao nhiêu? (Vui lòng điền tổng thu nhập trước khi khấu trừ các loại Bảo hiểm (BHXH, BHYT, BHTN) và Thuế TNCN)",$E$50)</f>
        <v>0.19602977667493796</v>
      </c>
    </row>
    <row r="54" spans="5:7" x14ac:dyDescent="0.45">
      <c r="E54" s="27" t="s">
        <v>192</v>
      </c>
      <c r="F54">
        <v>41</v>
      </c>
      <c r="G54" s="32">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18 - 23 triệu VNĐ")/GETPIVOTDATA("Thu nhập bình quân tháng theo Hợp đồng lao động của bạn là bao nhiêu? (Vui lòng điền tổng thu nhập trước khi khấu trừ các loại Bảo hiểm (BHXH, BHYT, BHTN) và Thuế TNCN)",$E$50)</f>
        <v>0.10173697270471464</v>
      </c>
    </row>
    <row r="55" spans="5:7" x14ac:dyDescent="0.45">
      <c r="E55" s="27" t="s">
        <v>96</v>
      </c>
      <c r="F55">
        <v>53</v>
      </c>
      <c r="G55" s="32">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23 - 32 triệu VNĐ")/GETPIVOTDATA("Thu nhập bình quân tháng theo Hợp đồng lao động của bạn là bao nhiêu? (Vui lòng điền tổng thu nhập trước khi khấu trừ các loại Bảo hiểm (BHXH, BHYT, BHTN) và Thuế TNCN)",$E$50)</f>
        <v>0.13151364764267989</v>
      </c>
    </row>
    <row r="56" spans="5:7" x14ac:dyDescent="0.45">
      <c r="E56" s="27" t="s">
        <v>104</v>
      </c>
      <c r="F56">
        <v>53</v>
      </c>
      <c r="G56" s="32">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32 - 48 triệu VNĐ")/GETPIVOTDATA("Thu nhập bình quân tháng theo Hợp đồng lao động của bạn là bao nhiêu? (Vui lòng điền tổng thu nhập trước khi khấu trừ các loại Bảo hiểm (BHXH, BHYT, BHTN) và Thuế TNCN)",$E$50)</f>
        <v>0.13151364764267989</v>
      </c>
    </row>
    <row r="57" spans="5:7" x14ac:dyDescent="0.45">
      <c r="E57" s="27" t="s">
        <v>106</v>
      </c>
      <c r="F57">
        <v>62</v>
      </c>
      <c r="G57" s="32">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48 - 70 triệu VNĐ")/GETPIVOTDATA("Thu nhập bình quân tháng theo Hợp đồng lao động của bạn là bao nhiêu? (Vui lòng điền tổng thu nhập trước khi khấu trừ các loại Bảo hiểm (BHXH, BHYT, BHTN) và Thuế TNCN)",$E$50)</f>
        <v>0.15384615384615385</v>
      </c>
    </row>
    <row r="58" spans="5:7" x14ac:dyDescent="0.45">
      <c r="E58" s="27" t="s">
        <v>102</v>
      </c>
      <c r="F58">
        <v>39</v>
      </c>
      <c r="G58" s="32">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70 - 102 triệu VNĐ")/GETPIVOTDATA("Thu nhập bình quân tháng theo Hợp đồng lao động của bạn là bao nhiêu? (Vui lòng điền tổng thu nhập trước khi khấu trừ các loại Bảo hiểm (BHXH, BHYT, BHTN) và Thuế TNCN)",$E$50)</f>
        <v>9.6774193548387094E-2</v>
      </c>
    </row>
    <row r="59" spans="5:7" x14ac:dyDescent="0.45">
      <c r="E59" s="27" t="s">
        <v>29</v>
      </c>
      <c r="F59">
        <v>403</v>
      </c>
      <c r="G59" s="32">
        <f>SUM(G51:G58)</f>
        <v>1</v>
      </c>
    </row>
    <row r="62" spans="5:7" x14ac:dyDescent="0.45">
      <c r="E62" s="26" t="s">
        <v>37</v>
      </c>
      <c r="F62" t="s">
        <v>205</v>
      </c>
    </row>
    <row r="63" spans="5:7" x14ac:dyDescent="0.45">
      <c r="E63" s="27" t="s">
        <v>105</v>
      </c>
      <c r="F63">
        <v>153</v>
      </c>
      <c r="G63" s="32">
        <f>GETPIVOTDATA("Số người phụ thuộc (con nhỏ, cha mẹ già...) đủ điều kiện giảm trừ gia cảnh:",$E$62,"Số người phụ thuộc (con nhỏ, cha mẹ già...) đủ điều kiện giảm trừ gia cảnh:","0 người")/GETPIVOTDATA("Số người phụ thuộc (con nhỏ, cha mẹ già...) đủ điều kiện giảm trừ gia cảnh:",$E$62)</f>
        <v>0.37965260545905705</v>
      </c>
    </row>
    <row r="64" spans="5:7" x14ac:dyDescent="0.45">
      <c r="E64" s="27" t="s">
        <v>97</v>
      </c>
      <c r="F64">
        <v>79</v>
      </c>
      <c r="G64" s="32">
        <f>GETPIVOTDATA("Số người phụ thuộc (con nhỏ, cha mẹ già...) đủ điều kiện giảm trừ gia cảnh:",$E$62,"Số người phụ thuộc (con nhỏ, cha mẹ già...) đủ điều kiện giảm trừ gia cảnh:","1 người")/GETPIVOTDATA("Số người phụ thuộc (con nhỏ, cha mẹ già...) đủ điều kiện giảm trừ gia cảnh:",$E$62)</f>
        <v>0.19602977667493796</v>
      </c>
    </row>
    <row r="65" spans="5:7" x14ac:dyDescent="0.45">
      <c r="E65" s="27" t="s">
        <v>100</v>
      </c>
      <c r="F65">
        <v>88</v>
      </c>
      <c r="G65" s="32">
        <f>GETPIVOTDATA("Số người phụ thuộc (con nhỏ, cha mẹ già...) đủ điều kiện giảm trừ gia cảnh:",$E$62,"Số người phụ thuộc (con nhỏ, cha mẹ già...) đủ điều kiện giảm trừ gia cảnh:","2 người")/GETPIVOTDATA("Số người phụ thuộc (con nhỏ, cha mẹ già...) đủ điều kiện giảm trừ gia cảnh:",$E$62)</f>
        <v>0.21836228287841192</v>
      </c>
    </row>
    <row r="66" spans="5:7" x14ac:dyDescent="0.45">
      <c r="E66" s="27" t="s">
        <v>101</v>
      </c>
      <c r="F66">
        <v>45</v>
      </c>
      <c r="G66" s="32">
        <f>GETPIVOTDATA("Số người phụ thuộc (con nhỏ, cha mẹ già...) đủ điều kiện giảm trừ gia cảnh:",$E$62,"Số người phụ thuộc (con nhỏ, cha mẹ già...) đủ điều kiện giảm trừ gia cảnh:","3 người")/GETPIVOTDATA("Số người phụ thuộc (con nhỏ, cha mẹ già...) đủ điều kiện giảm trừ gia cảnh:",$E$62)</f>
        <v>0.11166253101736973</v>
      </c>
    </row>
    <row r="67" spans="5:7" x14ac:dyDescent="0.45">
      <c r="E67" s="27" t="s">
        <v>191</v>
      </c>
      <c r="F67">
        <v>38</v>
      </c>
      <c r="G67" s="32">
        <f>GETPIVOTDATA("Số người phụ thuộc (con nhỏ, cha mẹ già...) đủ điều kiện giảm trừ gia cảnh:",$E$62,"Số người phụ thuộc (con nhỏ, cha mẹ già...) đủ điều kiện giảm trừ gia cảnh:","4 người trở lên")/GETPIVOTDATA("Số người phụ thuộc (con nhỏ, cha mẹ già...) đủ điều kiện giảm trừ gia cảnh:",$E$62)</f>
        <v>9.4292803970223327E-2</v>
      </c>
    </row>
    <row r="68" spans="5:7" x14ac:dyDescent="0.45">
      <c r="E68" s="27" t="s">
        <v>29</v>
      </c>
      <c r="F68">
        <v>403</v>
      </c>
      <c r="G68" s="32">
        <f>SUM(G63:G67)</f>
        <v>1</v>
      </c>
    </row>
    <row r="72" spans="5:7" x14ac:dyDescent="0.45">
      <c r="E72" s="26" t="s">
        <v>35</v>
      </c>
      <c r="F72" t="s">
        <v>3764</v>
      </c>
      <c r="G72" s="28" t="s">
        <v>164</v>
      </c>
    </row>
    <row r="73" spans="5:7" x14ac:dyDescent="0.45">
      <c r="E73" s="27" t="s">
        <v>193</v>
      </c>
      <c r="F73">
        <v>43</v>
      </c>
      <c r="G73" s="32" t="e">
        <f>GETPIVOTDATA("Khu vực bạn đang sinh sống:",$E$72,"Khu vực bạn đang sinh sống:","Nông thôn")/GETPIVOTDATA("Khu vực bạn đang sinh sống:",$E$72)</f>
        <v>#REF!</v>
      </c>
    </row>
    <row r="74" spans="5:7" x14ac:dyDescent="0.45">
      <c r="E74" s="27" t="s">
        <v>95</v>
      </c>
      <c r="F74">
        <v>2356</v>
      </c>
      <c r="G74" s="32" t="e">
        <f>GETPIVOTDATA("Khu vực bạn đang sinh sống:",$E$72,"Khu vực bạn đang sinh sống:","Thành thị")/GETPIVOTDATA("Khu vực bạn đang sinh sống:",$E$72)</f>
        <v>#REF!</v>
      </c>
    </row>
    <row r="75" spans="5:7" x14ac:dyDescent="0.45">
      <c r="E75" s="27" t="s">
        <v>98</v>
      </c>
      <c r="F75">
        <v>84</v>
      </c>
      <c r="G75" s="24" t="e">
        <f>G73+G74</f>
        <v>#REF!</v>
      </c>
    </row>
    <row r="76" spans="5:7" x14ac:dyDescent="0.45">
      <c r="E76" s="27" t="s">
        <v>29</v>
      </c>
      <c r="F76">
        <v>2483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BE655-95C4-471B-9EC9-F76FA853AAF6}">
  <dimension ref="A1:K86"/>
  <sheetViews>
    <sheetView workbookViewId="0">
      <selection activeCell="E86" sqref="E86"/>
    </sheetView>
  </sheetViews>
  <sheetFormatPr defaultRowHeight="14.25" x14ac:dyDescent="0.45"/>
  <cols>
    <col min="2" max="2" width="16.73046875" bestFit="1" customWidth="1"/>
  </cols>
  <sheetData>
    <row r="1" spans="1:11" x14ac:dyDescent="0.45">
      <c r="A1" s="38" t="s">
        <v>17</v>
      </c>
      <c r="B1" s="38"/>
      <c r="C1" s="37" t="s">
        <v>18</v>
      </c>
      <c r="D1" s="37"/>
      <c r="E1" s="37"/>
      <c r="F1" s="1" t="s">
        <v>29</v>
      </c>
    </row>
    <row r="2" spans="1:11" x14ac:dyDescent="0.45">
      <c r="A2" s="38"/>
      <c r="B2" s="38"/>
      <c r="C2" s="1" t="s">
        <v>1</v>
      </c>
      <c r="D2" s="1" t="s">
        <v>2</v>
      </c>
      <c r="E2" s="1" t="s">
        <v>3</v>
      </c>
      <c r="F2" s="4"/>
    </row>
    <row r="3" spans="1:11" x14ac:dyDescent="0.45">
      <c r="A3" s="37" t="s">
        <v>19</v>
      </c>
      <c r="B3" s="1" t="s">
        <v>1</v>
      </c>
      <c r="C3" s="3">
        <f>CM_ENF1!B2</f>
        <v>0</v>
      </c>
      <c r="D3" s="4">
        <f>CM_ENF1!C2</f>
        <v>1</v>
      </c>
      <c r="E3" s="4">
        <f>CM_ENF1!D2</f>
        <v>3</v>
      </c>
      <c r="F3" s="6">
        <f>SUM(C3:E3)</f>
        <v>4</v>
      </c>
    </row>
    <row r="4" spans="1:11" x14ac:dyDescent="0.45">
      <c r="A4" s="37"/>
      <c r="B4" s="1" t="s">
        <v>2</v>
      </c>
      <c r="C4" s="4">
        <f>CM_ENF1!B3</f>
        <v>35</v>
      </c>
      <c r="D4" s="3">
        <f>CM_ENF1!C3</f>
        <v>130</v>
      </c>
      <c r="E4" s="4">
        <f>CM_ENF1!D3</f>
        <v>112</v>
      </c>
      <c r="F4" s="6">
        <f t="shared" ref="F4:F5" si="0">SUM(C4:E4)</f>
        <v>277</v>
      </c>
    </row>
    <row r="5" spans="1:11" x14ac:dyDescent="0.45">
      <c r="A5" s="37"/>
      <c r="B5" s="1" t="s">
        <v>3</v>
      </c>
      <c r="C5" s="4">
        <f>CM_ENF1!B4</f>
        <v>20</v>
      </c>
      <c r="D5" s="4">
        <f>CM_ENF1!C4</f>
        <v>49</v>
      </c>
      <c r="E5" s="3">
        <f>CM_ENF1!D4</f>
        <v>53</v>
      </c>
      <c r="F5" s="6">
        <f t="shared" si="0"/>
        <v>122</v>
      </c>
      <c r="G5" s="25" t="s">
        <v>31</v>
      </c>
      <c r="H5" s="25" t="s">
        <v>160</v>
      </c>
      <c r="I5" s="25" t="s">
        <v>158</v>
      </c>
      <c r="J5" s="25" t="s">
        <v>159</v>
      </c>
    </row>
    <row r="6" spans="1:11" x14ac:dyDescent="0.45">
      <c r="A6" s="2"/>
      <c r="B6" s="1" t="s">
        <v>29</v>
      </c>
      <c r="C6" s="6">
        <f>SUM(C3:C5)</f>
        <v>55</v>
      </c>
      <c r="D6" s="6">
        <f>SUM(D3:D5)</f>
        <v>180</v>
      </c>
      <c r="E6" s="6">
        <f>SUM(E3:E5)</f>
        <v>168</v>
      </c>
      <c r="F6" s="6">
        <f>SUM(C6:E6)</f>
        <v>403</v>
      </c>
      <c r="G6" s="8">
        <f>C3+D4+E5</f>
        <v>183</v>
      </c>
      <c r="H6" s="8">
        <f>(C6*F3)+(D6*F4)+(E6*F5)</f>
        <v>70576</v>
      </c>
      <c r="I6" s="8">
        <f>(C6^2)+(D6^2)+(E6^2)</f>
        <v>63649</v>
      </c>
      <c r="J6" s="8">
        <f>(F3^2)+(F4^2)+(F5^2)</f>
        <v>91629</v>
      </c>
      <c r="K6" s="10"/>
    </row>
    <row r="7" spans="1:11" x14ac:dyDescent="0.45">
      <c r="A7" s="4"/>
      <c r="B7" s="5" t="s">
        <v>20</v>
      </c>
      <c r="C7" s="6"/>
      <c r="D7" s="6"/>
      <c r="E7" s="16">
        <f>(C3+D4+E5)/F6</f>
        <v>0.45409429280397023</v>
      </c>
      <c r="F7" s="4"/>
    </row>
    <row r="8" spans="1:11" x14ac:dyDescent="0.45">
      <c r="A8" s="4"/>
      <c r="B8" s="5" t="s">
        <v>30</v>
      </c>
      <c r="C8" s="4"/>
      <c r="D8" s="4"/>
      <c r="E8" s="9">
        <f>(G6*F6-H6)/SQRT((F6^2-I6)*(F6^2-J6))</f>
        <v>3.7951089865434634E-2</v>
      </c>
      <c r="F8" s="4"/>
    </row>
    <row r="10" spans="1:11" x14ac:dyDescent="0.45">
      <c r="A10" s="38" t="s">
        <v>21</v>
      </c>
      <c r="B10" s="38"/>
      <c r="C10" s="37" t="s">
        <v>18</v>
      </c>
      <c r="D10" s="37"/>
      <c r="E10" s="37"/>
      <c r="F10" s="1" t="s">
        <v>29</v>
      </c>
    </row>
    <row r="11" spans="1:11" x14ac:dyDescent="0.45">
      <c r="A11" s="38"/>
      <c r="B11" s="38"/>
      <c r="C11" s="1" t="s">
        <v>1</v>
      </c>
      <c r="D11" s="1" t="s">
        <v>2</v>
      </c>
      <c r="E11" s="1" t="s">
        <v>3</v>
      </c>
      <c r="F11" s="4"/>
    </row>
    <row r="12" spans="1:11" x14ac:dyDescent="0.45">
      <c r="A12" s="37" t="s">
        <v>19</v>
      </c>
      <c r="B12" s="1" t="s">
        <v>1</v>
      </c>
      <c r="C12" s="3">
        <f>CM_ENF2!B2</f>
        <v>0</v>
      </c>
      <c r="D12" s="4">
        <f>CM_ENF2!C2</f>
        <v>2</v>
      </c>
      <c r="E12" s="4">
        <f>CM_ENF2!D2</f>
        <v>1</v>
      </c>
      <c r="F12" s="6">
        <f>SUM(C12:E12)</f>
        <v>3</v>
      </c>
    </row>
    <row r="13" spans="1:11" x14ac:dyDescent="0.45">
      <c r="A13" s="37"/>
      <c r="B13" s="1" t="s">
        <v>2</v>
      </c>
      <c r="C13" s="4">
        <f>CM_ENF2!B3</f>
        <v>20</v>
      </c>
      <c r="D13" s="3">
        <f>CM_ENF2!C3</f>
        <v>76</v>
      </c>
      <c r="E13" s="4">
        <f>CM_ENF2!D3</f>
        <v>106</v>
      </c>
      <c r="F13" s="6">
        <f t="shared" ref="F13:F14" si="1">SUM(C13:E13)</f>
        <v>202</v>
      </c>
    </row>
    <row r="14" spans="1:11" x14ac:dyDescent="0.45">
      <c r="A14" s="37"/>
      <c r="B14" s="1" t="s">
        <v>3</v>
      </c>
      <c r="C14" s="4">
        <f>CM_ENF2!B4</f>
        <v>25</v>
      </c>
      <c r="D14" s="4">
        <f>CM_ENF2!C4</f>
        <v>88</v>
      </c>
      <c r="E14" s="3">
        <f>CM_ENF2!D4</f>
        <v>85</v>
      </c>
      <c r="F14" s="6">
        <f t="shared" si="1"/>
        <v>198</v>
      </c>
      <c r="G14" s="25" t="s">
        <v>31</v>
      </c>
      <c r="H14" s="25" t="s">
        <v>160</v>
      </c>
      <c r="I14" s="25" t="s">
        <v>158</v>
      </c>
      <c r="J14" s="25" t="s">
        <v>159</v>
      </c>
    </row>
    <row r="15" spans="1:11" x14ac:dyDescent="0.45">
      <c r="A15" s="2"/>
      <c r="B15" s="1" t="s">
        <v>29</v>
      </c>
      <c r="C15" s="6">
        <f>SUM(C12:C14)</f>
        <v>45</v>
      </c>
      <c r="D15" s="6">
        <f>SUM(D12:D14)</f>
        <v>166</v>
      </c>
      <c r="E15" s="6">
        <f>SUM(E12:E14)</f>
        <v>192</v>
      </c>
      <c r="F15" s="6">
        <f>SUM(C15:E15)</f>
        <v>403</v>
      </c>
      <c r="G15" s="8">
        <f>C12+D13+E14</f>
        <v>161</v>
      </c>
      <c r="H15" s="8">
        <f>(C15*F12)+(D15*F13)+(E15*F14)</f>
        <v>71683</v>
      </c>
      <c r="I15" s="8">
        <f>(C15^2)+(D15^2)+(E15^2)</f>
        <v>66445</v>
      </c>
      <c r="J15" s="8">
        <f>(F12^2)+(F13^2)+(F14^2)</f>
        <v>80017</v>
      </c>
      <c r="K15" s="10"/>
    </row>
    <row r="16" spans="1:11" x14ac:dyDescent="0.45">
      <c r="A16" s="4"/>
      <c r="B16" s="5" t="s">
        <v>20</v>
      </c>
      <c r="C16" s="6"/>
      <c r="D16" s="6"/>
      <c r="E16" s="16">
        <f>(C12+D13+E14)/F15</f>
        <v>0.39950372208436724</v>
      </c>
      <c r="F16" s="4"/>
    </row>
    <row r="17" spans="1:11" x14ac:dyDescent="0.45">
      <c r="A17" s="4"/>
      <c r="B17" s="5" t="s">
        <v>30</v>
      </c>
      <c r="C17" s="4"/>
      <c r="D17" s="4"/>
      <c r="E17" s="9">
        <f>(G15*F15-H15)/SQRT((F15^2-I15)*(F15^2-J15))</f>
        <v>-7.6473720442216259E-2</v>
      </c>
      <c r="F17" s="4"/>
    </row>
    <row r="20" spans="1:11" x14ac:dyDescent="0.45">
      <c r="A20" s="38" t="s">
        <v>22</v>
      </c>
      <c r="B20" s="38"/>
      <c r="C20" s="37" t="s">
        <v>18</v>
      </c>
      <c r="D20" s="37"/>
      <c r="E20" s="37"/>
      <c r="F20" s="1" t="s">
        <v>29</v>
      </c>
    </row>
    <row r="21" spans="1:11" x14ac:dyDescent="0.45">
      <c r="A21" s="38"/>
      <c r="B21" s="38"/>
      <c r="C21" s="1" t="s">
        <v>1</v>
      </c>
      <c r="D21" s="1" t="s">
        <v>2</v>
      </c>
      <c r="E21" s="1" t="s">
        <v>3</v>
      </c>
      <c r="F21" s="4"/>
    </row>
    <row r="22" spans="1:11" x14ac:dyDescent="0.45">
      <c r="A22" s="37" t="s">
        <v>19</v>
      </c>
      <c r="B22" s="1" t="s">
        <v>1</v>
      </c>
      <c r="C22" s="3">
        <f>CM_FAC1!B2</f>
        <v>0</v>
      </c>
      <c r="D22" s="4">
        <f>CM_FAC1!C2</f>
        <v>0</v>
      </c>
      <c r="E22" s="4">
        <f>CM_FAC1!D2</f>
        <v>0</v>
      </c>
      <c r="F22" s="6">
        <f>SUM(C22:E22)</f>
        <v>0</v>
      </c>
    </row>
    <row r="23" spans="1:11" x14ac:dyDescent="0.45">
      <c r="A23" s="37"/>
      <c r="B23" s="1" t="s">
        <v>2</v>
      </c>
      <c r="C23" s="4">
        <f>CM_FAC1!B3</f>
        <v>18</v>
      </c>
      <c r="D23" s="3">
        <f>CM_FAC1!C3</f>
        <v>40</v>
      </c>
      <c r="E23" s="4">
        <f>CM_FAC1!D3</f>
        <v>25</v>
      </c>
      <c r="F23" s="6">
        <f t="shared" ref="F23:F24" si="2">SUM(C23:E23)</f>
        <v>83</v>
      </c>
    </row>
    <row r="24" spans="1:11" x14ac:dyDescent="0.45">
      <c r="A24" s="37"/>
      <c r="B24" s="1" t="s">
        <v>3</v>
      </c>
      <c r="C24" s="4">
        <f>CM_FAC1!B4</f>
        <v>65</v>
      </c>
      <c r="D24" s="4">
        <f>CM_FAC1!C4</f>
        <v>137</v>
      </c>
      <c r="E24" s="3">
        <f>CM_FAC1!D4</f>
        <v>118</v>
      </c>
      <c r="F24" s="6">
        <f t="shared" si="2"/>
        <v>320</v>
      </c>
      <c r="G24" s="25" t="s">
        <v>31</v>
      </c>
      <c r="H24" s="25" t="s">
        <v>160</v>
      </c>
      <c r="I24" s="25" t="s">
        <v>158</v>
      </c>
      <c r="J24" s="25" t="s">
        <v>159</v>
      </c>
    </row>
    <row r="25" spans="1:11" x14ac:dyDescent="0.45">
      <c r="A25" s="2"/>
      <c r="B25" s="1" t="s">
        <v>29</v>
      </c>
      <c r="C25" s="6">
        <f>SUM(C22:C24)</f>
        <v>83</v>
      </c>
      <c r="D25" s="6">
        <f>SUM(D22:D24)</f>
        <v>177</v>
      </c>
      <c r="E25" s="6">
        <f>SUM(E22:E24)</f>
        <v>143</v>
      </c>
      <c r="F25" s="6">
        <f>SUM(C25:E25)</f>
        <v>403</v>
      </c>
      <c r="G25" s="8">
        <f>C22+D23+E24</f>
        <v>158</v>
      </c>
      <c r="H25" s="8">
        <f>(C25*F22)+(D25*F23)+(E25*F24)</f>
        <v>60451</v>
      </c>
      <c r="I25" s="8">
        <f>(C25^2)+(D25^2)+(E25^2)</f>
        <v>58667</v>
      </c>
      <c r="J25" s="8">
        <f>(F22^2)+(F23^2)+(F24^2)</f>
        <v>109289</v>
      </c>
      <c r="K25" s="10"/>
    </row>
    <row r="26" spans="1:11" x14ac:dyDescent="0.45">
      <c r="A26" s="4"/>
      <c r="B26" s="5" t="s">
        <v>20</v>
      </c>
      <c r="C26" s="6"/>
      <c r="D26" s="6"/>
      <c r="E26" s="16">
        <f>(C22+D23+E24)/F25</f>
        <v>0.39205955334987591</v>
      </c>
      <c r="F26" s="4"/>
    </row>
    <row r="27" spans="1:11" x14ac:dyDescent="0.45">
      <c r="A27" s="4"/>
      <c r="B27" s="5" t="s">
        <v>30</v>
      </c>
      <c r="C27" s="4"/>
      <c r="D27" s="4"/>
      <c r="E27" s="9">
        <f>(G25*F25-H25)/SQRT((F25^2-I25)*(F25^2-J25))</f>
        <v>4.3416415433115876E-2</v>
      </c>
      <c r="F27" s="4"/>
    </row>
    <row r="30" spans="1:11" x14ac:dyDescent="0.45">
      <c r="A30" s="38" t="s">
        <v>23</v>
      </c>
      <c r="B30" s="38"/>
      <c r="C30" s="37" t="s">
        <v>18</v>
      </c>
      <c r="D30" s="37"/>
      <c r="E30" s="37"/>
      <c r="F30" s="1" t="s">
        <v>29</v>
      </c>
    </row>
    <row r="31" spans="1:11" x14ac:dyDescent="0.45">
      <c r="A31" s="38"/>
      <c r="B31" s="38"/>
      <c r="C31" s="1" t="s">
        <v>1</v>
      </c>
      <c r="D31" s="1" t="s">
        <v>2</v>
      </c>
      <c r="E31" s="1" t="s">
        <v>3</v>
      </c>
      <c r="F31" s="4"/>
    </row>
    <row r="32" spans="1:11" x14ac:dyDescent="0.45">
      <c r="A32" s="37" t="s">
        <v>19</v>
      </c>
      <c r="B32" s="1" t="s">
        <v>1</v>
      </c>
      <c r="C32" s="3">
        <f>CM_FAC2!B2</f>
        <v>0</v>
      </c>
      <c r="D32" s="4">
        <f>CM_FAC2!C2</f>
        <v>0</v>
      </c>
      <c r="E32" s="4">
        <f>CM_FAC2!D2</f>
        <v>0</v>
      </c>
      <c r="F32" s="6">
        <f>SUM(C32:E32)</f>
        <v>0</v>
      </c>
    </row>
    <row r="33" spans="1:11" x14ac:dyDescent="0.45">
      <c r="A33" s="37"/>
      <c r="B33" s="1" t="s">
        <v>2</v>
      </c>
      <c r="C33" s="4">
        <f>CM_FAC2!B3</f>
        <v>0</v>
      </c>
      <c r="D33" s="3">
        <f>CM_FAC2!C3</f>
        <v>5</v>
      </c>
      <c r="E33" s="4">
        <f>CM_FAC2!D3</f>
        <v>6</v>
      </c>
      <c r="F33" s="6">
        <f t="shared" ref="F33:F34" si="3">SUM(C33:E33)</f>
        <v>11</v>
      </c>
    </row>
    <row r="34" spans="1:11" x14ac:dyDescent="0.45">
      <c r="A34" s="37"/>
      <c r="B34" s="1" t="s">
        <v>3</v>
      </c>
      <c r="C34" s="4">
        <f>CM_FAC2!B4</f>
        <v>21</v>
      </c>
      <c r="D34" s="4">
        <f>CM_FAC2!C4</f>
        <v>180</v>
      </c>
      <c r="E34" s="3">
        <f>CM_FAC2!D4</f>
        <v>191</v>
      </c>
      <c r="F34" s="6">
        <f t="shared" si="3"/>
        <v>392</v>
      </c>
      <c r="G34" s="25" t="s">
        <v>31</v>
      </c>
      <c r="H34" s="25" t="s">
        <v>160</v>
      </c>
      <c r="I34" s="25" t="s">
        <v>158</v>
      </c>
      <c r="J34" s="25" t="s">
        <v>159</v>
      </c>
    </row>
    <row r="35" spans="1:11" x14ac:dyDescent="0.45">
      <c r="A35" s="2"/>
      <c r="B35" s="1" t="s">
        <v>29</v>
      </c>
      <c r="C35" s="6">
        <f>SUM(C32:C34)</f>
        <v>21</v>
      </c>
      <c r="D35" s="6">
        <f>SUM(D32:D34)</f>
        <v>185</v>
      </c>
      <c r="E35" s="6">
        <f>SUM(E32:E34)</f>
        <v>197</v>
      </c>
      <c r="F35" s="6">
        <f>SUM(C35:E35)</f>
        <v>403</v>
      </c>
      <c r="G35" s="8">
        <f>C32+D33+E34</f>
        <v>196</v>
      </c>
      <c r="H35" s="8">
        <f>(C35*F32)+(D35*F33)+(E35*F34)</f>
        <v>79259</v>
      </c>
      <c r="I35" s="8">
        <f>(C35^2)+(D35^2)+(E35^2)</f>
        <v>73475</v>
      </c>
      <c r="J35" s="8">
        <f>(F32^2)+(F33^2)+(F34^2)</f>
        <v>153785</v>
      </c>
      <c r="K35" s="10"/>
    </row>
    <row r="36" spans="1:11" x14ac:dyDescent="0.45">
      <c r="A36" s="4"/>
      <c r="B36" s="5" t="s">
        <v>20</v>
      </c>
      <c r="C36" s="6"/>
      <c r="D36" s="6"/>
      <c r="E36" s="16">
        <f>(C32+D33+E34)/F35</f>
        <v>0.48635235732009924</v>
      </c>
      <c r="F36" s="4"/>
    </row>
    <row r="37" spans="1:11" x14ac:dyDescent="0.45">
      <c r="A37" s="4"/>
      <c r="B37" s="5" t="s">
        <v>30</v>
      </c>
      <c r="C37" s="4"/>
      <c r="D37" s="4"/>
      <c r="E37" s="9">
        <f>(G35*F35-H35)/SQRT((F35^2-I35)*(F35^2-J35))</f>
        <v>-9.7854545448427359E-3</v>
      </c>
      <c r="F37" s="4"/>
    </row>
    <row r="40" spans="1:11" x14ac:dyDescent="0.45">
      <c r="A40" s="38" t="s">
        <v>24</v>
      </c>
      <c r="B40" s="38"/>
      <c r="C40" s="37" t="s">
        <v>18</v>
      </c>
      <c r="D40" s="37"/>
      <c r="E40" s="37"/>
      <c r="F40" s="1" t="s">
        <v>29</v>
      </c>
    </row>
    <row r="41" spans="1:11" x14ac:dyDescent="0.45">
      <c r="A41" s="38"/>
      <c r="B41" s="38"/>
      <c r="C41" s="1" t="s">
        <v>1</v>
      </c>
      <c r="D41" s="1" t="s">
        <v>2</v>
      </c>
      <c r="E41" s="1" t="s">
        <v>3</v>
      </c>
      <c r="F41" s="4"/>
    </row>
    <row r="42" spans="1:11" x14ac:dyDescent="0.45">
      <c r="A42" s="37" t="s">
        <v>19</v>
      </c>
      <c r="B42" s="1" t="s">
        <v>1</v>
      </c>
      <c r="C42" s="3">
        <f>CM_TRU1!B2</f>
        <v>0</v>
      </c>
      <c r="D42" s="4">
        <f>CM_TRU1!C2</f>
        <v>0</v>
      </c>
      <c r="E42" s="4">
        <f>CM_TRU1!D2</f>
        <v>1</v>
      </c>
      <c r="F42" s="6">
        <f>SUM(C42:E42)</f>
        <v>1</v>
      </c>
    </row>
    <row r="43" spans="1:11" x14ac:dyDescent="0.45">
      <c r="A43" s="37"/>
      <c r="B43" s="1" t="s">
        <v>2</v>
      </c>
      <c r="C43" s="4">
        <f>CM_TRU1!B3</f>
        <v>22</v>
      </c>
      <c r="D43" s="3">
        <f>CM_TRU1!C3</f>
        <v>99</v>
      </c>
      <c r="E43" s="4">
        <f>CM_TRU1!D3</f>
        <v>53</v>
      </c>
      <c r="F43" s="6">
        <f t="shared" ref="F43:F44" si="4">SUM(C43:E43)</f>
        <v>174</v>
      </c>
    </row>
    <row r="44" spans="1:11" x14ac:dyDescent="0.45">
      <c r="A44" s="37"/>
      <c r="B44" s="1" t="s">
        <v>3</v>
      </c>
      <c r="C44" s="4">
        <f>CM_TRU1!B4</f>
        <v>35</v>
      </c>
      <c r="D44" s="4">
        <f>CM_TRU1!C4</f>
        <v>118</v>
      </c>
      <c r="E44" s="3">
        <f>CM_TRU1!D4</f>
        <v>73</v>
      </c>
      <c r="F44" s="6">
        <f t="shared" si="4"/>
        <v>226</v>
      </c>
      <c r="G44" s="25" t="s">
        <v>31</v>
      </c>
      <c r="H44" s="25" t="s">
        <v>160</v>
      </c>
      <c r="I44" s="25" t="s">
        <v>158</v>
      </c>
      <c r="J44" s="25" t="s">
        <v>159</v>
      </c>
    </row>
    <row r="45" spans="1:11" x14ac:dyDescent="0.45">
      <c r="A45" s="2"/>
      <c r="B45" s="1" t="s">
        <v>29</v>
      </c>
      <c r="C45" s="6">
        <f>SUM(C42:C44)</f>
        <v>57</v>
      </c>
      <c r="D45" s="6">
        <f>SUM(D42:D44)</f>
        <v>217</v>
      </c>
      <c r="E45" s="6">
        <f>SUM(E42:E44)</f>
        <v>127</v>
      </c>
      <c r="F45" s="6">
        <f>SUM(C45:E45)</f>
        <v>401</v>
      </c>
      <c r="G45" s="8">
        <f>C42+D43+E44</f>
        <v>172</v>
      </c>
      <c r="H45" s="8">
        <f>(C45*F42)+(D45*F43)+(E45*F44)</f>
        <v>66517</v>
      </c>
      <c r="I45" s="8">
        <f>(C45^2)+(D45^2)+(E45^2)</f>
        <v>66467</v>
      </c>
      <c r="J45" s="8">
        <f>(F42^2)+(F43^2)+(F44^2)</f>
        <v>81353</v>
      </c>
      <c r="K45" s="10"/>
    </row>
    <row r="46" spans="1:11" x14ac:dyDescent="0.45">
      <c r="A46" s="4"/>
      <c r="B46" s="5" t="s">
        <v>20</v>
      </c>
      <c r="C46" s="6"/>
      <c r="D46" s="6"/>
      <c r="E46" s="16">
        <f>(C42+D43+E44)/F45</f>
        <v>0.42892768079800497</v>
      </c>
      <c r="F46" s="4"/>
    </row>
    <row r="47" spans="1:11" x14ac:dyDescent="0.45">
      <c r="A47" s="4"/>
      <c r="B47" s="5" t="s">
        <v>30</v>
      </c>
      <c r="C47" s="4"/>
      <c r="D47" s="4"/>
      <c r="E47" s="9">
        <f>(G45*F45-H45)/SQRT((F45^2-I45)*(F45^2-J45))</f>
        <v>2.8358018860025702E-2</v>
      </c>
      <c r="F47" s="4"/>
    </row>
    <row r="50" spans="1:11" x14ac:dyDescent="0.45">
      <c r="A50" s="38" t="s">
        <v>25</v>
      </c>
      <c r="B50" s="38"/>
      <c r="C50" s="37" t="s">
        <v>18</v>
      </c>
      <c r="D50" s="37"/>
      <c r="E50" s="37"/>
      <c r="F50" s="1" t="s">
        <v>29</v>
      </c>
    </row>
    <row r="51" spans="1:11" x14ac:dyDescent="0.45">
      <c r="A51" s="38"/>
      <c r="B51" s="38"/>
      <c r="C51" s="1" t="s">
        <v>1</v>
      </c>
      <c r="D51" s="1" t="s">
        <v>2</v>
      </c>
      <c r="E51" s="1" t="s">
        <v>3</v>
      </c>
      <c r="F51" s="4"/>
    </row>
    <row r="52" spans="1:11" x14ac:dyDescent="0.45">
      <c r="A52" s="37" t="s">
        <v>19</v>
      </c>
      <c r="B52" s="1" t="s">
        <v>1</v>
      </c>
      <c r="C52" s="3">
        <f>CM_TRU2!B2</f>
        <v>0</v>
      </c>
      <c r="D52" s="4">
        <f>CM_TRU2!C2</f>
        <v>0</v>
      </c>
      <c r="E52" s="4">
        <f>CM_TRU2!D2</f>
        <v>0</v>
      </c>
      <c r="F52" s="6">
        <f>SUM(C52:E52)</f>
        <v>0</v>
      </c>
    </row>
    <row r="53" spans="1:11" x14ac:dyDescent="0.45">
      <c r="A53" s="37"/>
      <c r="B53" s="1" t="s">
        <v>2</v>
      </c>
      <c r="C53" s="4">
        <f>CM_TRU2!B3</f>
        <v>2</v>
      </c>
      <c r="D53" s="3">
        <f>CM_TRU2!C3</f>
        <v>7</v>
      </c>
      <c r="E53" s="4">
        <f>CM_TRU2!D3</f>
        <v>5</v>
      </c>
      <c r="F53" s="6">
        <f t="shared" ref="F53:F54" si="5">SUM(C53:E53)</f>
        <v>14</v>
      </c>
    </row>
    <row r="54" spans="1:11" x14ac:dyDescent="0.45">
      <c r="A54" s="37"/>
      <c r="B54" s="1" t="s">
        <v>3</v>
      </c>
      <c r="C54" s="4">
        <f>CM_TRU2!B4</f>
        <v>68</v>
      </c>
      <c r="D54" s="4">
        <f>CM_TRU2!C4</f>
        <v>170</v>
      </c>
      <c r="E54" s="3">
        <f>CM_TRU2!D4</f>
        <v>148</v>
      </c>
      <c r="F54" s="6">
        <f t="shared" si="5"/>
        <v>386</v>
      </c>
      <c r="G54" s="25" t="s">
        <v>31</v>
      </c>
      <c r="H54" s="25" t="s">
        <v>160</v>
      </c>
      <c r="I54" s="25" t="s">
        <v>158</v>
      </c>
      <c r="J54" s="25" t="s">
        <v>159</v>
      </c>
    </row>
    <row r="55" spans="1:11" x14ac:dyDescent="0.45">
      <c r="A55" s="2"/>
      <c r="B55" s="1" t="s">
        <v>29</v>
      </c>
      <c r="C55" s="6">
        <f>SUM(C52:C54)</f>
        <v>70</v>
      </c>
      <c r="D55" s="6">
        <f>SUM(D52:D54)</f>
        <v>177</v>
      </c>
      <c r="E55" s="6">
        <f>SUM(E52:E54)</f>
        <v>153</v>
      </c>
      <c r="F55" s="6">
        <f>SUM(C55:E55)</f>
        <v>400</v>
      </c>
      <c r="G55" s="8">
        <f>C52+D53+E54</f>
        <v>155</v>
      </c>
      <c r="H55" s="8">
        <f>(C55*F52)+(D55*F53)+(E55*F54)</f>
        <v>61536</v>
      </c>
      <c r="I55" s="8">
        <f>(C55^2)+(D55^2)+(E55^2)</f>
        <v>59638</v>
      </c>
      <c r="J55" s="8">
        <f>(F52^2)+(F53^2)+(F54^2)</f>
        <v>149192</v>
      </c>
      <c r="K55" s="10"/>
    </row>
    <row r="56" spans="1:11" x14ac:dyDescent="0.45">
      <c r="A56" s="4"/>
      <c r="B56" s="5" t="s">
        <v>20</v>
      </c>
      <c r="C56" s="6"/>
      <c r="D56" s="6"/>
      <c r="E56" s="16">
        <f>(C52+D53+E54)/F55</f>
        <v>0.38750000000000001</v>
      </c>
      <c r="F56" s="4"/>
    </row>
    <row r="57" spans="1:11" x14ac:dyDescent="0.45">
      <c r="A57" s="4"/>
      <c r="B57" s="5" t="s">
        <v>30</v>
      </c>
      <c r="C57" s="4"/>
      <c r="D57" s="4"/>
      <c r="E57" s="9">
        <f>(G55*F55-H55)/SQRT((F55^2-I55)*(F55^2-J55))</f>
        <v>1.4088367080645776E-2</v>
      </c>
      <c r="F57" s="4"/>
    </row>
    <row r="60" spans="1:11" x14ac:dyDescent="0.45">
      <c r="A60" s="38" t="s">
        <v>26</v>
      </c>
      <c r="B60" s="38"/>
      <c r="C60" s="37" t="s">
        <v>18</v>
      </c>
      <c r="D60" s="37"/>
      <c r="E60" s="37"/>
      <c r="F60" s="1" t="s">
        <v>29</v>
      </c>
    </row>
    <row r="61" spans="1:11" x14ac:dyDescent="0.45">
      <c r="A61" s="38"/>
      <c r="B61" s="38"/>
      <c r="C61" s="13" t="s">
        <v>1</v>
      </c>
      <c r="D61" s="1" t="s">
        <v>2</v>
      </c>
      <c r="E61" s="1" t="s">
        <v>3</v>
      </c>
      <c r="F61" s="4"/>
    </row>
    <row r="62" spans="1:11" x14ac:dyDescent="0.45">
      <c r="A62" s="37" t="s">
        <v>19</v>
      </c>
      <c r="B62" s="11" t="s">
        <v>1</v>
      </c>
      <c r="C62" s="3">
        <f>CM_TRU3!B2</f>
        <v>0</v>
      </c>
      <c r="D62">
        <f>CM_TRU3!C2</f>
        <v>0</v>
      </c>
      <c r="E62">
        <f>CM_TRU3!D2</f>
        <v>0</v>
      </c>
      <c r="F62" s="6">
        <f>SUM(C62:E62)</f>
        <v>0</v>
      </c>
    </row>
    <row r="63" spans="1:11" x14ac:dyDescent="0.45">
      <c r="A63" s="37"/>
      <c r="B63" s="1" t="s">
        <v>2</v>
      </c>
      <c r="C63">
        <f>CM_TRU3!B3</f>
        <v>23</v>
      </c>
      <c r="D63" s="3">
        <f>CM_TRU3!C3</f>
        <v>94</v>
      </c>
      <c r="E63">
        <f>CM_TRU3!D3</f>
        <v>45</v>
      </c>
      <c r="F63" s="6">
        <f t="shared" ref="F63:F64" si="6">SUM(C63:E63)</f>
        <v>162</v>
      </c>
    </row>
    <row r="64" spans="1:11" x14ac:dyDescent="0.45">
      <c r="A64" s="37"/>
      <c r="B64" s="1" t="s">
        <v>3</v>
      </c>
      <c r="C64">
        <f>CM_TRU3!B4</f>
        <v>49</v>
      </c>
      <c r="D64">
        <f>CM_TRU3!C4</f>
        <v>122</v>
      </c>
      <c r="E64" s="3">
        <f>CM_TRU3!D4</f>
        <v>67</v>
      </c>
      <c r="F64" s="12">
        <f t="shared" si="6"/>
        <v>238</v>
      </c>
      <c r="G64" s="25" t="s">
        <v>31</v>
      </c>
      <c r="H64" s="25" t="s">
        <v>160</v>
      </c>
      <c r="I64" s="25" t="s">
        <v>158</v>
      </c>
      <c r="J64" s="25" t="s">
        <v>159</v>
      </c>
    </row>
    <row r="65" spans="1:11" x14ac:dyDescent="0.45">
      <c r="A65" s="2"/>
      <c r="B65" s="1" t="s">
        <v>29</v>
      </c>
      <c r="C65" s="6">
        <f>SUM(C62:C64)</f>
        <v>72</v>
      </c>
      <c r="D65" s="6">
        <f>SUM(D62:D64)</f>
        <v>216</v>
      </c>
      <c r="E65" s="14">
        <f>SUM(E62:E64)</f>
        <v>112</v>
      </c>
      <c r="F65" s="6">
        <f>SUM(C65:E65)</f>
        <v>400</v>
      </c>
      <c r="G65" s="8">
        <f>C62+D63+E64</f>
        <v>161</v>
      </c>
      <c r="H65" s="8">
        <f>(C65*F62)+(D65*F63)+(E65*F64)</f>
        <v>61648</v>
      </c>
      <c r="I65" s="8">
        <f>(C65^2)+(D65^2)+(E65^2)</f>
        <v>64384</v>
      </c>
      <c r="J65" s="8">
        <f>(F62^2)+(F63^2)+(F64^2)</f>
        <v>82888</v>
      </c>
      <c r="K65" s="10"/>
    </row>
    <row r="66" spans="1:11" x14ac:dyDescent="0.45">
      <c r="A66" s="4"/>
      <c r="B66" s="5" t="s">
        <v>20</v>
      </c>
      <c r="C66" s="6"/>
      <c r="D66" s="6"/>
      <c r="E66" s="16">
        <f>(C62+D63+E64)/F65</f>
        <v>0.40250000000000002</v>
      </c>
      <c r="F66" s="4"/>
    </row>
    <row r="67" spans="1:11" x14ac:dyDescent="0.45">
      <c r="A67" s="4"/>
      <c r="B67" s="5" t="s">
        <v>30</v>
      </c>
      <c r="C67" s="4"/>
      <c r="D67" s="4"/>
      <c r="E67" s="9">
        <f>(G65*F65-H65)/SQRT((F65^2-I65)*(F65^2-J65))</f>
        <v>3.2049566539840056E-2</v>
      </c>
      <c r="F67" s="4"/>
    </row>
    <row r="69" spans="1:11" x14ac:dyDescent="0.45">
      <c r="A69" s="38" t="s">
        <v>27</v>
      </c>
      <c r="B69" s="38"/>
      <c r="C69" s="37" t="s">
        <v>18</v>
      </c>
      <c r="D69" s="37"/>
      <c r="E69" s="37"/>
      <c r="F69" s="1" t="s">
        <v>29</v>
      </c>
    </row>
    <row r="70" spans="1:11" x14ac:dyDescent="0.45">
      <c r="A70" s="38"/>
      <c r="B70" s="38"/>
      <c r="C70" s="1" t="s">
        <v>1</v>
      </c>
      <c r="D70" s="1" t="s">
        <v>2</v>
      </c>
      <c r="E70" s="1" t="s">
        <v>3</v>
      </c>
      <c r="F70" s="4"/>
    </row>
    <row r="71" spans="1:11" x14ac:dyDescent="0.45">
      <c r="A71" s="37" t="s">
        <v>19</v>
      </c>
      <c r="B71" s="1" t="s">
        <v>1</v>
      </c>
      <c r="C71" s="3">
        <f>CM_TRU4!B2</f>
        <v>0</v>
      </c>
      <c r="D71" s="4">
        <f>CM_TRU4!C2</f>
        <v>28</v>
      </c>
      <c r="E71" s="4">
        <f>CM_TRU4!D2</f>
        <v>18</v>
      </c>
      <c r="F71" s="6">
        <f>SUM(C71:E71)</f>
        <v>46</v>
      </c>
    </row>
    <row r="72" spans="1:11" x14ac:dyDescent="0.45">
      <c r="A72" s="37"/>
      <c r="B72" s="1" t="s">
        <v>2</v>
      </c>
      <c r="C72" s="4">
        <f>CM_TRU4!B3</f>
        <v>0</v>
      </c>
      <c r="D72" s="3">
        <f>CM_TRU4!C3</f>
        <v>98</v>
      </c>
      <c r="E72" s="4">
        <f>CM_TRU4!D3</f>
        <v>136</v>
      </c>
      <c r="F72" s="6">
        <f t="shared" ref="F72:F73" si="7">SUM(C72:E72)</f>
        <v>234</v>
      </c>
    </row>
    <row r="73" spans="1:11" x14ac:dyDescent="0.45">
      <c r="A73" s="37"/>
      <c r="B73" s="1" t="s">
        <v>3</v>
      </c>
      <c r="C73" s="4">
        <f>CM_TRU4!B4</f>
        <v>0</v>
      </c>
      <c r="D73" s="4">
        <f>CM_TRU4!C4</f>
        <v>50</v>
      </c>
      <c r="E73" s="3">
        <f>CM_TRU4!D4</f>
        <v>70</v>
      </c>
      <c r="F73" s="6">
        <f t="shared" si="7"/>
        <v>120</v>
      </c>
      <c r="G73" s="25" t="s">
        <v>31</v>
      </c>
      <c r="H73" s="25" t="s">
        <v>160</v>
      </c>
      <c r="I73" s="25" t="s">
        <v>158</v>
      </c>
      <c r="J73" s="25" t="s">
        <v>159</v>
      </c>
    </row>
    <row r="74" spans="1:11" x14ac:dyDescent="0.45">
      <c r="A74" s="2"/>
      <c r="B74" s="1" t="s">
        <v>29</v>
      </c>
      <c r="C74" s="6">
        <f>SUM(C71:C73)</f>
        <v>0</v>
      </c>
      <c r="D74" s="6">
        <f>SUM(D71:D73)</f>
        <v>176</v>
      </c>
      <c r="E74" s="6">
        <f>SUM(E71:E73)</f>
        <v>224</v>
      </c>
      <c r="F74" s="6">
        <f>SUM(C74:E74)</f>
        <v>400</v>
      </c>
      <c r="G74" s="8">
        <f>C71+D72+E73</f>
        <v>168</v>
      </c>
      <c r="H74" s="8">
        <f>(C74*F71)+(D74*F72)+(E74*F73)</f>
        <v>68064</v>
      </c>
      <c r="I74" s="8">
        <f>(C74^2)+(D74^2)+(E74^2)</f>
        <v>81152</v>
      </c>
      <c r="J74" s="8">
        <f>(F71^2)+(F72^2)+(F73^2)</f>
        <v>71272</v>
      </c>
      <c r="K74" s="10"/>
    </row>
    <row r="75" spans="1:11" x14ac:dyDescent="0.45">
      <c r="A75" s="4"/>
      <c r="B75" s="5" t="s">
        <v>20</v>
      </c>
      <c r="C75" s="6"/>
      <c r="D75" s="6"/>
      <c r="E75" s="16">
        <f>(C71+D72+E73)/F74</f>
        <v>0.42</v>
      </c>
      <c r="F75" s="4"/>
    </row>
    <row r="76" spans="1:11" x14ac:dyDescent="0.45">
      <c r="A76" s="4"/>
      <c r="B76" s="5" t="s">
        <v>30</v>
      </c>
      <c r="C76" s="4"/>
      <c r="D76" s="4"/>
      <c r="E76" s="9">
        <f>(G74*F74-H74)/SQRT((F74^2-I74)*(F74^2-J74))</f>
        <v>-1.0329708246552313E-2</v>
      </c>
      <c r="F76" s="4"/>
    </row>
    <row r="79" spans="1:11" x14ac:dyDescent="0.45">
      <c r="A79" s="38" t="s">
        <v>28</v>
      </c>
      <c r="B79" s="38"/>
      <c r="C79" s="37" t="s">
        <v>18</v>
      </c>
      <c r="D79" s="37"/>
      <c r="E79" s="37"/>
      <c r="F79" s="1" t="s">
        <v>29</v>
      </c>
    </row>
    <row r="80" spans="1:11" x14ac:dyDescent="0.45">
      <c r="A80" s="38"/>
      <c r="B80" s="38"/>
      <c r="C80" s="1" t="s">
        <v>1</v>
      </c>
      <c r="D80" s="1" t="s">
        <v>2</v>
      </c>
      <c r="E80" s="1" t="s">
        <v>3</v>
      </c>
      <c r="F80" s="4"/>
    </row>
    <row r="81" spans="1:11" x14ac:dyDescent="0.45">
      <c r="A81" s="37" t="s">
        <v>19</v>
      </c>
      <c r="B81" s="1" t="s">
        <v>1</v>
      </c>
      <c r="C81" s="7">
        <f>CM_OUT1!B2</f>
        <v>0</v>
      </c>
      <c r="D81">
        <f>CM_OUT1!C2</f>
        <v>0</v>
      </c>
      <c r="E81">
        <f>CM_OUT1!D2</f>
        <v>0</v>
      </c>
      <c r="F81" s="6">
        <f>SUM(C81:E81)</f>
        <v>0</v>
      </c>
    </row>
    <row r="82" spans="1:11" x14ac:dyDescent="0.45">
      <c r="A82" s="37"/>
      <c r="B82" s="1" t="s">
        <v>2</v>
      </c>
      <c r="C82">
        <f>CM_OUT1!B3</f>
        <v>0</v>
      </c>
      <c r="D82" s="7">
        <f>CM_OUT1!C3</f>
        <v>7</v>
      </c>
      <c r="E82">
        <f>CM_OUT1!D3</f>
        <v>11</v>
      </c>
      <c r="F82" s="6">
        <f t="shared" ref="F82:F83" si="8">SUM(C82:E82)</f>
        <v>18</v>
      </c>
    </row>
    <row r="83" spans="1:11" x14ac:dyDescent="0.45">
      <c r="A83" s="37"/>
      <c r="B83" s="1" t="s">
        <v>3</v>
      </c>
      <c r="C83">
        <f>CM_OUT1!B4</f>
        <v>35</v>
      </c>
      <c r="D83">
        <f>CM_OUT1!C4</f>
        <v>186</v>
      </c>
      <c r="E83" s="7">
        <f>CM_OUT1!D4</f>
        <v>161</v>
      </c>
      <c r="F83" s="6">
        <f t="shared" si="8"/>
        <v>382</v>
      </c>
      <c r="G83" s="25" t="s">
        <v>31</v>
      </c>
      <c r="H83" s="25" t="s">
        <v>160</v>
      </c>
      <c r="I83" s="25" t="s">
        <v>158</v>
      </c>
      <c r="J83" s="25" t="s">
        <v>159</v>
      </c>
    </row>
    <row r="84" spans="1:11" x14ac:dyDescent="0.45">
      <c r="A84" s="2"/>
      <c r="B84" s="1" t="s">
        <v>29</v>
      </c>
      <c r="C84" s="6">
        <f>SUM(C81:C83)</f>
        <v>35</v>
      </c>
      <c r="D84" s="6">
        <f>SUM(D81:D83)</f>
        <v>193</v>
      </c>
      <c r="E84" s="6">
        <f>SUM(E81:E83)</f>
        <v>172</v>
      </c>
      <c r="F84" s="6">
        <f>SUM(C84:E84)</f>
        <v>400</v>
      </c>
      <c r="G84" s="8">
        <f>C81+D82+E83</f>
        <v>168</v>
      </c>
      <c r="H84" s="8">
        <f>(C84*F81)+(D84*F82)+(E84*F83)</f>
        <v>69178</v>
      </c>
      <c r="I84" s="8">
        <f>(C84^2)+(D84^2)+(E84^2)</f>
        <v>68058</v>
      </c>
      <c r="J84" s="8">
        <f>(F81^2)+(F82^2)+(F83^2)</f>
        <v>146248</v>
      </c>
      <c r="K84" s="10"/>
    </row>
    <row r="85" spans="1:11" x14ac:dyDescent="0.45">
      <c r="A85" s="4"/>
      <c r="B85" s="5" t="s">
        <v>20</v>
      </c>
      <c r="C85" s="6"/>
      <c r="D85" s="6"/>
      <c r="E85" s="16">
        <f>(C81+D82+E83)/F84</f>
        <v>0.42</v>
      </c>
      <c r="F85" s="4"/>
    </row>
    <row r="86" spans="1:11" x14ac:dyDescent="0.45">
      <c r="A86" s="4"/>
      <c r="B86" s="5" t="s">
        <v>30</v>
      </c>
      <c r="C86" s="4"/>
      <c r="D86" s="4"/>
      <c r="E86" s="9">
        <f>(G84*F84-H84)/SQRT((F84^2-I84)*(F84^2-J84))</f>
        <v>-5.5627095206622908E-2</v>
      </c>
      <c r="F86" s="4"/>
    </row>
  </sheetData>
  <mergeCells count="27">
    <mergeCell ref="A71:A73"/>
    <mergeCell ref="A79:B80"/>
    <mergeCell ref="C79:E79"/>
    <mergeCell ref="A81:A83"/>
    <mergeCell ref="A12:A14"/>
    <mergeCell ref="A20:B21"/>
    <mergeCell ref="C20:E20"/>
    <mergeCell ref="A22:A24"/>
    <mergeCell ref="A30:B31"/>
    <mergeCell ref="C30:E30"/>
    <mergeCell ref="A32:A34"/>
    <mergeCell ref="A40:B41"/>
    <mergeCell ref="C40:E40"/>
    <mergeCell ref="A42:A44"/>
    <mergeCell ref="A50:B51"/>
    <mergeCell ref="C50:E50"/>
    <mergeCell ref="A1:B2"/>
    <mergeCell ref="C1:E1"/>
    <mergeCell ref="A3:A5"/>
    <mergeCell ref="A10:B11"/>
    <mergeCell ref="C10:E10"/>
    <mergeCell ref="A52:A54"/>
    <mergeCell ref="A60:B61"/>
    <mergeCell ref="C60:E60"/>
    <mergeCell ref="A62:A64"/>
    <mergeCell ref="A69:B70"/>
    <mergeCell ref="C69:E6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
  <sheetViews>
    <sheetView workbookViewId="0">
      <selection activeCell="B2" sqref="B2"/>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COUNTIFS(step3_combined_data!$T$2:$T$404,"Oppose", step3_combined_data!$R$2:$R$404,"Oppose")</f>
        <v>0</v>
      </c>
      <c r="C2" s="4">
        <f>COUNTIFS(step3_combined_data!$T$2:$T$404,"Neutral", step3_combined_data!$R$2:$R$404,"Oppose")</f>
        <v>1</v>
      </c>
      <c r="D2" s="4">
        <f>COUNTIFS(step3_combined_data!$T$2:$T$404,"Support", step3_combined_data!$R$2:$R$404,"Oppose")</f>
        <v>3</v>
      </c>
    </row>
    <row r="3" spans="1:4" x14ac:dyDescent="0.45">
      <c r="A3" s="1" t="s">
        <v>2</v>
      </c>
      <c r="B3" s="4">
        <f>COUNTIFS(step3_combined_data!$T$2:$T$404,"Oppose", step3_combined_data!$R$2:$R$404,"Neutral")</f>
        <v>35</v>
      </c>
      <c r="C3" s="4">
        <f>COUNTIFS(step3_combined_data!$T$2:$T$404,"Neutral", step3_combined_data!$R$2:$R$404,"Neutral")</f>
        <v>130</v>
      </c>
      <c r="D3" s="4">
        <f>COUNTIFS(step3_combined_data!$T$2:$T$404,"Support", step3_combined_data!$R$2:$R$404,"Neutral")</f>
        <v>112</v>
      </c>
    </row>
    <row r="4" spans="1:4" x14ac:dyDescent="0.45">
      <c r="A4" s="1" t="s">
        <v>3</v>
      </c>
      <c r="B4" s="4">
        <f>COUNTIFS(step3_combined_data!$T$2:$T$404,"Oppose", step3_combined_data!$R$2:$R$404,"Support")</f>
        <v>20</v>
      </c>
      <c r="C4" s="4">
        <f>COUNTIFS(step3_combined_data!$T$2:$T$404,"Neutral", step3_combined_data!$R$2:$R$404,"Support")</f>
        <v>49</v>
      </c>
      <c r="D4" s="4">
        <f>COUNTIFS(step3_combined_data!$T$2:$T$404,"Support", step3_combined_data!$R$2:$R$404,"Support")</f>
        <v>53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
  <sheetViews>
    <sheetView workbookViewId="0">
      <selection activeCell="E2" sqref="E2"/>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COUNTIFS(step3_combined_data!$Y$2:$Y$404,"Oppose", step3_combined_data!$W$2:$W$404,"Oppose")</f>
        <v>0</v>
      </c>
      <c r="C2" s="4">
        <f>COUNTIFS(step3_combined_data!$Y$2:$Y$404,"Neutral", step3_combined_data!$W$2:$W$404,"Oppose")</f>
        <v>2</v>
      </c>
      <c r="D2" s="4">
        <f>COUNTIFS(step3_combined_data!$Y$2:$Y$404,"Support", step3_combined_data!$W$2:$W$404,"Oppose")</f>
        <v>1</v>
      </c>
    </row>
    <row r="3" spans="1:4" x14ac:dyDescent="0.45">
      <c r="A3" s="1" t="s">
        <v>2</v>
      </c>
      <c r="B3" s="4">
        <f>COUNTIFS(step3_combined_data!$Y$2:$Y$404,"Oppose", step3_combined_data!$W$2:$W$404,"Neutral")</f>
        <v>20</v>
      </c>
      <c r="C3" s="4">
        <f>COUNTIFS(step3_combined_data!$Y$2:$Y$404,"Neutral", step3_combined_data!$W$2:$W$404,"Neutral")</f>
        <v>76</v>
      </c>
      <c r="D3" s="4">
        <f>COUNTIFS(step3_combined_data!$Y$2:$Y$404,"Support", step3_combined_data!$W$2:$W$404,"Neutral")</f>
        <v>106</v>
      </c>
    </row>
    <row r="4" spans="1:4" x14ac:dyDescent="0.45">
      <c r="A4" s="1" t="s">
        <v>3</v>
      </c>
      <c r="B4" s="4">
        <f>COUNTIFS(step3_combined_data!$Y$2:$Y$404,"Oppose", step3_combined_data!$W$2:$W$404,"Support")</f>
        <v>25</v>
      </c>
      <c r="C4" s="4">
        <f>COUNTIFS(step3_combined_data!$Y$2:$Y$404,"Neutral", step3_combined_data!$W$2:$W$404,"Support")</f>
        <v>88</v>
      </c>
      <c r="D4" s="4">
        <f>COUNTIFS(step3_combined_data!$Y$2:$Y$404,"Support", step3_combined_data!$W$2:$W$404,"Support")</f>
        <v>85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
  <sheetViews>
    <sheetView workbookViewId="0">
      <selection activeCell="B2" sqref="B2:D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COUNTIFS(step3_combined_data!$AD$2:$AD$404,"Oppose", step3_combined_data!$AB$2:$AB$404,"Oppose")</f>
        <v>0</v>
      </c>
      <c r="C2" s="4">
        <f>COUNTIFS(step3_combined_data!$AD$2:$AD$404,"Neutral", step3_combined_data!$AB$2:$AB$404,"Oppose")</f>
        <v>0</v>
      </c>
      <c r="D2" s="4">
        <f>COUNTIFS(step3_combined_data!$AD$2:$AD$404,"Support", step3_combined_data!$AB$2:$AB$404,"Oppose")</f>
        <v>0</v>
      </c>
    </row>
    <row r="3" spans="1:4" x14ac:dyDescent="0.45">
      <c r="A3" s="1" t="s">
        <v>2</v>
      </c>
      <c r="B3" s="4">
        <f>COUNTIFS(step3_combined_data!$AD$2:$AD$404,"Oppose", step3_combined_data!$AB$2:$AB$404,"Neutral")</f>
        <v>18</v>
      </c>
      <c r="C3" s="4">
        <f>COUNTIFS(step3_combined_data!$AD$2:$AD$404,"Neutral", step3_combined_data!$AB$2:$AB$404,"Neutral")</f>
        <v>40</v>
      </c>
      <c r="D3" s="4">
        <f>COUNTIFS(step3_combined_data!$AD$2:$AD$404,"Support", step3_combined_data!$AB$2:$AB$404,"Neutral")</f>
        <v>25</v>
      </c>
    </row>
    <row r="4" spans="1:4" x14ac:dyDescent="0.45">
      <c r="A4" s="1" t="s">
        <v>3</v>
      </c>
      <c r="B4" s="4">
        <f>COUNTIFS(step3_combined_data!$AD$2:$AD$404,"Oppose", step3_combined_data!$AB$2:$AB$404,"Support")</f>
        <v>65</v>
      </c>
      <c r="C4" s="4">
        <f>COUNTIFS(step3_combined_data!$AD$2:$AD$404,"Neutral", step3_combined_data!$AB$2:$AB$404,"Support")</f>
        <v>137</v>
      </c>
      <c r="D4" s="4">
        <f>COUNTIFS(step3_combined_data!$AD$2:$AD$404,"Support", step3_combined_data!$AB$2:$AB$404,"Support")</f>
        <v>118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
  <sheetViews>
    <sheetView workbookViewId="0">
      <selection activeCell="B2" sqref="B2:D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COUNTIFS(step3_combined_data!$AI$2:$AI$404,"Oppose", step3_combined_data!$AG$2:$AG$404,"Oppose")</f>
        <v>0</v>
      </c>
      <c r="C2" s="4">
        <f>COUNTIFS(step3_combined_data!$AI$2:$AI$404,"Neutral", step3_combined_data!$AG$2:$AG$404,"Oppose")</f>
        <v>0</v>
      </c>
      <c r="D2" s="4">
        <f>COUNTIFS(step3_combined_data!$AI$2:$AI$404,"Support", step3_combined_data!$AG$2:$AG$404,"Oppose")</f>
        <v>0</v>
      </c>
    </row>
    <row r="3" spans="1:4" x14ac:dyDescent="0.45">
      <c r="A3" s="1" t="s">
        <v>2</v>
      </c>
      <c r="B3" s="4">
        <f>COUNTIFS(step3_combined_data!$AI$2:$AI$404,"Oppose", step3_combined_data!$AG$2:$AG$404,"Neutral")</f>
        <v>0</v>
      </c>
      <c r="C3" s="4">
        <f>COUNTIFS(step3_combined_data!$AI$2:$AI$404,"Neutral", step3_combined_data!$AG$2:$AG$404,"Neutral")</f>
        <v>5</v>
      </c>
      <c r="D3" s="4">
        <f>COUNTIFS(step3_combined_data!$AI$2:$AI$404,"Support", step3_combined_data!$AG$2:$AG$404,"Neutral")</f>
        <v>6</v>
      </c>
    </row>
    <row r="4" spans="1:4" x14ac:dyDescent="0.45">
      <c r="A4" s="1" t="s">
        <v>3</v>
      </c>
      <c r="B4" s="4">
        <f>COUNTIFS(step3_combined_data!$AI$2:$AI$404,"Oppose", step3_combined_data!$AG$2:$AG$404,"Support")</f>
        <v>21</v>
      </c>
      <c r="C4" s="4">
        <f>COUNTIFS(step3_combined_data!$AI$2:$AI$404,"Neutral", step3_combined_data!$AG$2:$AG$404,"Support")</f>
        <v>180</v>
      </c>
      <c r="D4" s="4">
        <f>COUNTIFS(step3_combined_data!$AI$2:$AI$404,"Support", step3_combined_data!$AG$2:$AG$404,"Support")</f>
        <v>191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COUNTIFS(step3_combined_data!$AN$2:$AN$404,"Oppose", step3_combined_data!$AL$2:$AL$404,"Oppose")</f>
        <v>0</v>
      </c>
      <c r="C2" s="4">
        <f>COUNTIFS(step3_combined_data!$AN$2:$AN$404,"Neutral", step3_combined_data!$AL$2:$AL$404,"Oppose")</f>
        <v>0</v>
      </c>
      <c r="D2" s="4">
        <f>COUNTIFS(step3_combined_data!$AN$2:$AN$404,"Support", step3_combined_data!$AL$2:$AL$404,"Oppose")</f>
        <v>1</v>
      </c>
    </row>
    <row r="3" spans="1:4" x14ac:dyDescent="0.45">
      <c r="A3" s="1" t="s">
        <v>2</v>
      </c>
      <c r="B3" s="4">
        <f>COUNTIFS(step3_combined_data!$AN$2:$AN$404,"Oppose", step3_combined_data!$AL$2:$AL$404,"Neutral")</f>
        <v>22</v>
      </c>
      <c r="C3" s="4">
        <f>COUNTIFS(step3_combined_data!$AN$2:$AN$404,"Neutral", step3_combined_data!$AL$2:$AL$404,"Neutral")</f>
        <v>99</v>
      </c>
      <c r="D3" s="4">
        <f>COUNTIFS(step3_combined_data!$AN$2:$AN$404,"Support", step3_combined_data!$AL$2:$AL$404,"Neutral")</f>
        <v>53</v>
      </c>
    </row>
    <row r="4" spans="1:4" x14ac:dyDescent="0.45">
      <c r="A4" s="1" t="s">
        <v>3</v>
      </c>
      <c r="B4" s="4">
        <f>COUNTIFS(step3_combined_data!$AN$2:$AN$404,"Oppose", step3_combined_data!$AL$2:$AL$404,"Support")</f>
        <v>35</v>
      </c>
      <c r="C4" s="4">
        <f>COUNTIFS(step3_combined_data!$AN$2:$AN$404,"Neutral", step3_combined_data!$AL$2:$AL$404,"Support")</f>
        <v>118</v>
      </c>
      <c r="D4" s="4">
        <f>COUNTIFS(step3_combined_data!$AN$2:$AN$404,"Support", step3_combined_data!$AL$2:$AL$404,"Support")</f>
        <v>73</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COUNTIFS(step3_combined_data!$AS$2:$AS$404,"Oppose", step3_combined_data!$AQ$2:$AQ$404,"Oppose")</f>
        <v>0</v>
      </c>
      <c r="C2" s="4">
        <f>COUNTIFS(step3_combined_data!$AS$2:$AS$404,"Neutral", step3_combined_data!$AQ$2:$AQ$404,"Oppose")</f>
        <v>0</v>
      </c>
      <c r="D2" s="4">
        <f>COUNTIFS(step3_combined_data!$AS$2:$AS$404,"Support", step3_combined_data!$AQ$2:$AQ$404,"Oppose")</f>
        <v>0</v>
      </c>
    </row>
    <row r="3" spans="1:4" x14ac:dyDescent="0.45">
      <c r="A3" s="1" t="s">
        <v>2</v>
      </c>
      <c r="B3" s="4">
        <f>COUNTIFS(step3_combined_data!$AS$2:$AS$404,"Oppose", step3_combined_data!$AQ$2:$AQ$404,"Neutral")</f>
        <v>2</v>
      </c>
      <c r="C3" s="4">
        <f>COUNTIFS(step3_combined_data!$AS$2:$AS$404,"Neutral", step3_combined_data!$AQ$2:$AQ$404,"Neutral")</f>
        <v>7</v>
      </c>
      <c r="D3" s="4">
        <f>COUNTIFS(step3_combined_data!$AS$2:$AS$404,"Support", step3_combined_data!$AQ$2:$AQ$404,"Neutral")</f>
        <v>5</v>
      </c>
    </row>
    <row r="4" spans="1:4" x14ac:dyDescent="0.45">
      <c r="A4" s="1" t="s">
        <v>3</v>
      </c>
      <c r="B4" s="4">
        <f>COUNTIFS(step3_combined_data!$AS$2:$AS$404,"Oppose", step3_combined_data!$AQ$2:$AQ$404,"Support")</f>
        <v>68</v>
      </c>
      <c r="C4" s="4">
        <f>COUNTIFS(step3_combined_data!$AS$2:$AS$404,"Neutral", step3_combined_data!$AQ$2:$AQ$404,"Support")</f>
        <v>170</v>
      </c>
      <c r="D4" s="4">
        <f>COUNTIFS(step3_combined_data!$AS$2:$AS$404,"Support", step3_combined_data!$AQ$2:$AQ$404,"Support")</f>
        <v>148</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COUNTIFS(step3_combined_data!$AX$2:$AX$404,"Oppose", step3_combined_data!$AV$2:$AV$404,"Oppose")</f>
        <v>0</v>
      </c>
      <c r="C2" s="4">
        <f>COUNTIFS(step3_combined_data!$AX$2:$AX$404,"Neutral", step3_combined_data!$AV$2:$AV$404,"Oppose")</f>
        <v>0</v>
      </c>
      <c r="D2" s="4">
        <f>COUNTIFS(step3_combined_data!$AX$2:$AX$404,"Support", step3_combined_data!$AV$2:$AV$404,"Oppose")</f>
        <v>0</v>
      </c>
    </row>
    <row r="3" spans="1:4" x14ac:dyDescent="0.45">
      <c r="A3" s="1" t="s">
        <v>2</v>
      </c>
      <c r="B3" s="4">
        <f>COUNTIFS(step3_combined_data!$AX$2:$AX$404,"Oppose", step3_combined_data!$AV$2:$AV$404,"Neutral")</f>
        <v>23</v>
      </c>
      <c r="C3" s="4">
        <f>COUNTIFS(step3_combined_data!$AX$2:$AX$404,"Neutral", step3_combined_data!$AV$2:$AV$404,"Neutral")</f>
        <v>94</v>
      </c>
      <c r="D3" s="4">
        <f>COUNTIFS(step3_combined_data!$AX$2:$AX$404,"Support", step3_combined_data!$AV$2:$AV$404,"Neutral")</f>
        <v>45</v>
      </c>
    </row>
    <row r="4" spans="1:4" x14ac:dyDescent="0.45">
      <c r="A4" s="1" t="s">
        <v>3</v>
      </c>
      <c r="B4" s="4">
        <f>COUNTIFS(step3_combined_data!$AX$2:$AX$404,"Oppose", step3_combined_data!$AV$2:$AV$404,"Support")</f>
        <v>49</v>
      </c>
      <c r="C4" s="4">
        <f>COUNTIFS(step3_combined_data!$AX$2:$AX$404,"Neutral", step3_combined_data!$AV$2:$AV$404,"Support")</f>
        <v>122</v>
      </c>
      <c r="D4" s="4">
        <f>COUNTIFS(step3_combined_data!$AX$2:$AX$404,"Support", step3_combined_data!$AV$2:$AV$404,"Support")</f>
        <v>67</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COUNTIFS(step3_combined_data!$BA$2:$BA$404,"Oppose", step3_combined_data!$BC$2:$BC$404,"Oppose")</f>
        <v>0</v>
      </c>
      <c r="C2" s="4">
        <f>COUNTIFS(step3_combined_data!$BA$2:$BA$404,"Neutral", step3_combined_data!$BC$2:$BC$404,"Oppose")</f>
        <v>28</v>
      </c>
      <c r="D2" s="4">
        <f>COUNTIFS(step3_combined_data!$BA$2:$BA$404,"Support", step3_combined_data!$BC$2:$BC$404,"Oppose")</f>
        <v>18</v>
      </c>
    </row>
    <row r="3" spans="1:4" x14ac:dyDescent="0.45">
      <c r="A3" s="1" t="s">
        <v>2</v>
      </c>
      <c r="B3" s="4">
        <f>COUNTIFS(step3_combined_data!$BA$2:$BA$404,"Oppose", step3_combined_data!$BC$2:$BC$404,"Neutral")</f>
        <v>0</v>
      </c>
      <c r="C3" s="4">
        <f>COUNTIFS(step3_combined_data!$BA$2:$BA$404,"Neutral", step3_combined_data!$BC$2:$BC$404,"Neutral")</f>
        <v>98</v>
      </c>
      <c r="D3" s="4">
        <f>COUNTIFS(step3_combined_data!$BA$2:$BA$404,"Support", step3_combined_data!$BC$2:$BC$404,"Neutral")</f>
        <v>136</v>
      </c>
    </row>
    <row r="4" spans="1:4" x14ac:dyDescent="0.45">
      <c r="A4" s="1" t="s">
        <v>3</v>
      </c>
      <c r="B4" s="4">
        <f>COUNTIFS(step3_combined_data!$BA$2:$BA$404,"Oppose", step3_combined_data!$BC$2:$BC$404,"Support")</f>
        <v>0</v>
      </c>
      <c r="C4" s="4">
        <f>COUNTIFS(step3_combined_data!$BA$2:$BA$404,"Neutral", step3_combined_data!$BC$2:$BC$404,"Support")</f>
        <v>50</v>
      </c>
      <c r="D4" s="4">
        <f>COUNTIFS(step3_combined_data!$BA$2:$BA$404,"Support", step3_combined_data!$BC$2:$BC$404,"Support")</f>
        <v>70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COUNTIFS(step3_combined_data!$BH$2:$BH$404,"Oppose", step3_combined_data!$BF$2:$BF$404,"Oppose")</f>
        <v>0</v>
      </c>
      <c r="C2" s="4">
        <f>COUNTIFS(step3_combined_data!$BH$2:$BH$404,"Neutral", step3_combined_data!$BF$2:$BF$404,"Oppose")</f>
        <v>0</v>
      </c>
      <c r="D2" s="4">
        <f>COUNTIFS(step3_combined_data!$BH$2:$BH$404,"Support", step3_combined_data!$BF$2:$BF$404,"Oppose")</f>
        <v>0</v>
      </c>
    </row>
    <row r="3" spans="1:4" x14ac:dyDescent="0.45">
      <c r="A3" s="1" t="s">
        <v>2</v>
      </c>
      <c r="B3" s="4">
        <f>COUNTIFS(step3_combined_data!$BH$2:$BH$404,"Oppose", step3_combined_data!$BF$2:$BF$404,"Neutral")</f>
        <v>0</v>
      </c>
      <c r="C3" s="4">
        <f>COUNTIFS(step3_combined_data!$BH$2:$BH$404,"Neutral", step3_combined_data!$BF$2:$BF$404,"Neutral")</f>
        <v>7</v>
      </c>
      <c r="D3" s="4">
        <f>COUNTIFS(step3_combined_data!$BH$2:$BH$404,"Support", step3_combined_data!$BF$2:$BF$404,"Neutral")</f>
        <v>11</v>
      </c>
    </row>
    <row r="4" spans="1:4" x14ac:dyDescent="0.45">
      <c r="A4" s="1" t="s">
        <v>3</v>
      </c>
      <c r="B4" s="4">
        <f>COUNTIFS(step3_combined_data!$BH$2:$BH$404,"Oppose", step3_combined_data!$BF$2:$BF$404,"Support")</f>
        <v>35</v>
      </c>
      <c r="C4" s="4">
        <f>COUNTIFS(step3_combined_data!$BH$2:$BH$404,"Neutral", step3_combined_data!$BF$2:$BF$404,"Support")</f>
        <v>186</v>
      </c>
      <c r="D4" s="4">
        <f>COUNTIFS(step3_combined_data!$BH$2:$BH$404,"Support", step3_combined_data!$BF$2:$BF$404,"Support")</f>
        <v>161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81ACCC-8CB7-4DA7-B1DC-559BBAE4661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step3_validation</vt:lpstr>
      <vt:lpstr>survey_responses</vt:lpstr>
      <vt:lpstr>step3_combined_data</vt:lpstr>
      <vt:lpstr>Insights</vt:lpstr>
      <vt:lpstr>SUMMARY_REPORT</vt:lpstr>
      <vt:lpstr>CM_REPORT</vt:lpstr>
      <vt:lpstr>CM_ENF1</vt:lpstr>
      <vt:lpstr>CM_ENF2</vt:lpstr>
      <vt:lpstr>CM_FAC1</vt:lpstr>
      <vt:lpstr>CM_FAC2</vt:lpstr>
      <vt:lpstr>CM_TRU1</vt:lpstr>
      <vt:lpstr>CM_TRU2</vt:lpstr>
      <vt:lpstr>CM_TRU3</vt:lpstr>
      <vt:lpstr>CM_TRU4</vt:lpstr>
      <vt:lpstr>CM_OUT1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MPP26-170LM Pham Binh Phuong Duy</cp:lastModifiedBy>
  <dcterms:created xsi:type="dcterms:W3CDTF">2026-01-02T17:02:25Z</dcterms:created>
  <dcterms:modified xsi:type="dcterms:W3CDTF">2026-01-22T15:43:37Z</dcterms:modified>
</cp:coreProperties>
</file>