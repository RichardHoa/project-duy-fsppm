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uveduvn-my.sharepoint.com/personal/mpp26_duypham_student_fulbright_edu_vn/Documents/FSMPP/18. Thesis/Final Data/Layer 2 - Persona Simulator/data/"/>
    </mc:Choice>
  </mc:AlternateContent>
  <xr:revisionPtr revIDLastSave="2829" documentId="13_ncr:1_{8DA829A7-D392-410C-B92C-4D9E531A3674}" xr6:coauthVersionLast="47" xr6:coauthVersionMax="47" xr10:uidLastSave="{278457F2-198B-4CEC-86FD-BEF4C05FE47B}"/>
  <bookViews>
    <workbookView xWindow="-98" yWindow="-98" windowWidth="21795" windowHeight="13875" xr2:uid="{00000000-000D-0000-FFFF-FFFF00000000}"/>
  </bookViews>
  <sheets>
    <sheet name="Summary" sheetId="27" r:id="rId1"/>
    <sheet name="Human - Insights" sheetId="28" r:id="rId2"/>
    <sheet name="Validation - Summary" sheetId="25" r:id="rId3"/>
    <sheet name="Calibration - Summary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27" l="1"/>
  <c r="D583" i="25"/>
  <c r="C583" i="25"/>
  <c r="B583" i="25"/>
  <c r="D582" i="25"/>
  <c r="C582" i="25"/>
  <c r="B582" i="25"/>
  <c r="D581" i="25"/>
  <c r="C581" i="25"/>
  <c r="B581" i="25"/>
  <c r="D580" i="25"/>
  <c r="C580" i="25"/>
  <c r="B580" i="25"/>
  <c r="D579" i="25"/>
  <c r="C579" i="25"/>
  <c r="B579" i="25"/>
  <c r="D578" i="25"/>
  <c r="C578" i="25"/>
  <c r="B578" i="25"/>
  <c r="D575" i="25"/>
  <c r="C575" i="25"/>
  <c r="B575" i="25"/>
  <c r="D574" i="25"/>
  <c r="C574" i="25"/>
  <c r="B574" i="25"/>
  <c r="D573" i="25"/>
  <c r="C573" i="25"/>
  <c r="B573" i="25"/>
  <c r="D572" i="25"/>
  <c r="C572" i="25"/>
  <c r="B572" i="25"/>
  <c r="D571" i="25"/>
  <c r="C571" i="25"/>
  <c r="B571" i="25"/>
  <c r="D570" i="25"/>
  <c r="C570" i="25"/>
  <c r="B570" i="25"/>
  <c r="D569" i="25"/>
  <c r="C569" i="25"/>
  <c r="B569" i="25"/>
  <c r="D568" i="25"/>
  <c r="C568" i="25"/>
  <c r="B568" i="25"/>
  <c r="D565" i="25"/>
  <c r="C565" i="25"/>
  <c r="B565" i="25"/>
  <c r="D564" i="25"/>
  <c r="C564" i="25"/>
  <c r="B564" i="25"/>
  <c r="D563" i="25"/>
  <c r="C563" i="25"/>
  <c r="B563" i="25"/>
  <c r="D562" i="25"/>
  <c r="C562" i="25"/>
  <c r="B562" i="25"/>
  <c r="D561" i="25"/>
  <c r="C561" i="25"/>
  <c r="B561" i="25"/>
  <c r="D560" i="25"/>
  <c r="C560" i="25"/>
  <c r="B560" i="25"/>
  <c r="D559" i="25"/>
  <c r="C559" i="25"/>
  <c r="B559" i="25"/>
  <c r="D558" i="25"/>
  <c r="C558" i="25"/>
  <c r="B558" i="25"/>
  <c r="D555" i="25"/>
  <c r="C555" i="25"/>
  <c r="B555" i="25"/>
  <c r="D554" i="25"/>
  <c r="C554" i="25"/>
  <c r="B554" i="25"/>
  <c r="D553" i="25"/>
  <c r="C553" i="25"/>
  <c r="B553" i="25"/>
  <c r="D552" i="25"/>
  <c r="C552" i="25"/>
  <c r="B552" i="25"/>
  <c r="D551" i="25"/>
  <c r="C551" i="25"/>
  <c r="B551" i="25"/>
  <c r="D550" i="25"/>
  <c r="C550" i="25"/>
  <c r="B550" i="25"/>
  <c r="D547" i="25"/>
  <c r="C547" i="25"/>
  <c r="B547" i="25"/>
  <c r="D546" i="25"/>
  <c r="C546" i="25"/>
  <c r="B546" i="25"/>
  <c r="D545" i="25"/>
  <c r="C545" i="25"/>
  <c r="B545" i="25"/>
  <c r="D544" i="25"/>
  <c r="C544" i="25"/>
  <c r="B544" i="25"/>
  <c r="D543" i="25"/>
  <c r="C543" i="25"/>
  <c r="B543" i="25"/>
  <c r="D542" i="25"/>
  <c r="C542" i="25"/>
  <c r="B542" i="25"/>
  <c r="D539" i="25"/>
  <c r="C539" i="25"/>
  <c r="B539" i="25"/>
  <c r="D538" i="25"/>
  <c r="C538" i="25"/>
  <c r="B538" i="25"/>
  <c r="D537" i="25"/>
  <c r="C537" i="25"/>
  <c r="B537" i="25"/>
  <c r="D536" i="25"/>
  <c r="C536" i="25"/>
  <c r="B536" i="25"/>
  <c r="D535" i="25"/>
  <c r="C535" i="25"/>
  <c r="B535" i="25"/>
  <c r="D534" i="25"/>
  <c r="C534" i="25"/>
  <c r="B534" i="25"/>
  <c r="D531" i="25"/>
  <c r="C531" i="25"/>
  <c r="B531" i="25"/>
  <c r="D530" i="25"/>
  <c r="C530" i="25"/>
  <c r="B530" i="25"/>
  <c r="D529" i="25"/>
  <c r="C529" i="25"/>
  <c r="B529" i="25"/>
  <c r="D528" i="25"/>
  <c r="C528" i="25"/>
  <c r="B528" i="25"/>
  <c r="D527" i="25"/>
  <c r="C527" i="25"/>
  <c r="B527" i="25"/>
  <c r="D526" i="25"/>
  <c r="C526" i="25"/>
  <c r="B526" i="25"/>
  <c r="D523" i="25"/>
  <c r="C523" i="25"/>
  <c r="B523" i="25"/>
  <c r="D522" i="25"/>
  <c r="C522" i="25"/>
  <c r="B522" i="25"/>
  <c r="D521" i="25"/>
  <c r="C521" i="25"/>
  <c r="B521" i="25"/>
  <c r="D520" i="25"/>
  <c r="C520" i="25"/>
  <c r="B520" i="25"/>
  <c r="D519" i="25"/>
  <c r="C519" i="25"/>
  <c r="B519" i="25"/>
  <c r="D518" i="25"/>
  <c r="C518" i="25"/>
  <c r="B518" i="25"/>
  <c r="D515" i="25"/>
  <c r="C515" i="25"/>
  <c r="B515" i="25"/>
  <c r="D514" i="25"/>
  <c r="C514" i="25"/>
  <c r="B514" i="25"/>
  <c r="D511" i="25"/>
  <c r="C511" i="25"/>
  <c r="B511" i="25"/>
  <c r="D510" i="25"/>
  <c r="C510" i="25"/>
  <c r="B510" i="25"/>
  <c r="D507" i="25"/>
  <c r="C507" i="25"/>
  <c r="B507" i="25"/>
  <c r="D506" i="25"/>
  <c r="C506" i="25"/>
  <c r="B506" i="25"/>
  <c r="B507" i="26" l="1"/>
  <c r="C507" i="26"/>
  <c r="D507" i="26"/>
  <c r="B508" i="26"/>
  <c r="C508" i="26"/>
  <c r="D508" i="26"/>
  <c r="B511" i="26"/>
  <c r="C511" i="26"/>
  <c r="D511" i="26"/>
  <c r="B512" i="26"/>
  <c r="C512" i="26"/>
  <c r="D512" i="26"/>
  <c r="B515" i="26"/>
  <c r="C515" i="26"/>
  <c r="D515" i="26"/>
  <c r="B516" i="26"/>
  <c r="C516" i="26"/>
  <c r="D516" i="26"/>
  <c r="B519" i="26"/>
  <c r="C519" i="26"/>
  <c r="D519" i="26"/>
  <c r="B520" i="26"/>
  <c r="C520" i="26"/>
  <c r="D520" i="26"/>
  <c r="B521" i="26"/>
  <c r="C521" i="26"/>
  <c r="D521" i="26"/>
  <c r="B522" i="26"/>
  <c r="C522" i="26"/>
  <c r="D522" i="26"/>
  <c r="B523" i="26"/>
  <c r="C523" i="26"/>
  <c r="D523" i="26"/>
  <c r="B524" i="26"/>
  <c r="C524" i="26"/>
  <c r="D524" i="26"/>
  <c r="B527" i="26"/>
  <c r="C527" i="26"/>
  <c r="D527" i="26"/>
  <c r="B528" i="26"/>
  <c r="C528" i="26"/>
  <c r="D528" i="26"/>
  <c r="B529" i="26"/>
  <c r="C529" i="26"/>
  <c r="D529" i="26"/>
  <c r="B530" i="26"/>
  <c r="C530" i="26"/>
  <c r="D530" i="26"/>
  <c r="B531" i="26"/>
  <c r="C531" i="26"/>
  <c r="D531" i="26"/>
  <c r="B532" i="26"/>
  <c r="C532" i="26"/>
  <c r="D532" i="26"/>
  <c r="B535" i="26"/>
  <c r="C535" i="26"/>
  <c r="D535" i="26"/>
  <c r="B536" i="26"/>
  <c r="C536" i="26"/>
  <c r="D536" i="26"/>
  <c r="B537" i="26"/>
  <c r="C537" i="26"/>
  <c r="D537" i="26"/>
  <c r="B538" i="26"/>
  <c r="C538" i="26"/>
  <c r="D538" i="26"/>
  <c r="B539" i="26"/>
  <c r="C539" i="26"/>
  <c r="D539" i="26"/>
  <c r="B540" i="26"/>
  <c r="C540" i="26"/>
  <c r="D540" i="26"/>
  <c r="B543" i="26"/>
  <c r="C543" i="26"/>
  <c r="D543" i="26"/>
  <c r="B544" i="26"/>
  <c r="C544" i="26"/>
  <c r="D544" i="26"/>
  <c r="B545" i="26"/>
  <c r="C545" i="26"/>
  <c r="D545" i="26"/>
  <c r="B546" i="26"/>
  <c r="C546" i="26"/>
  <c r="D546" i="26"/>
  <c r="B547" i="26"/>
  <c r="C547" i="26"/>
  <c r="D547" i="26"/>
  <c r="B548" i="26"/>
  <c r="C548" i="26"/>
  <c r="D548" i="26"/>
  <c r="B551" i="26"/>
  <c r="C551" i="26"/>
  <c r="D551" i="26"/>
  <c r="B552" i="26"/>
  <c r="C552" i="26"/>
  <c r="D552" i="26"/>
  <c r="B553" i="26"/>
  <c r="C553" i="26"/>
  <c r="D553" i="26"/>
  <c r="B554" i="26"/>
  <c r="C554" i="26"/>
  <c r="D554" i="26"/>
  <c r="B555" i="26"/>
  <c r="C555" i="26"/>
  <c r="D555" i="26"/>
  <c r="B556" i="26"/>
  <c r="C556" i="26"/>
  <c r="D556" i="26"/>
  <c r="B559" i="26"/>
  <c r="C559" i="26"/>
  <c r="D559" i="26"/>
  <c r="B560" i="26"/>
  <c r="C560" i="26"/>
  <c r="D560" i="26"/>
  <c r="B561" i="26"/>
  <c r="C561" i="26"/>
  <c r="D561" i="26"/>
  <c r="B562" i="26"/>
  <c r="C562" i="26"/>
  <c r="D562" i="26"/>
  <c r="B563" i="26"/>
  <c r="C563" i="26"/>
  <c r="D563" i="26"/>
  <c r="B564" i="26"/>
  <c r="C564" i="26"/>
  <c r="D564" i="26"/>
  <c r="B565" i="26"/>
  <c r="C565" i="26"/>
  <c r="D565" i="26"/>
  <c r="B566" i="26"/>
  <c r="C566" i="26"/>
  <c r="D566" i="26"/>
  <c r="B569" i="26"/>
  <c r="C569" i="26"/>
  <c r="D569" i="26"/>
  <c r="B570" i="26"/>
  <c r="C570" i="26"/>
  <c r="D570" i="26"/>
  <c r="B571" i="26"/>
  <c r="C571" i="26"/>
  <c r="D571" i="26"/>
  <c r="B572" i="26"/>
  <c r="C572" i="26"/>
  <c r="D572" i="26"/>
  <c r="B573" i="26"/>
  <c r="C573" i="26"/>
  <c r="D573" i="26"/>
  <c r="B574" i="26"/>
  <c r="C574" i="26"/>
  <c r="D574" i="26"/>
  <c r="B575" i="26"/>
  <c r="C575" i="26"/>
  <c r="D575" i="26"/>
  <c r="B576" i="26"/>
  <c r="C576" i="26"/>
  <c r="D576" i="26"/>
  <c r="B579" i="26"/>
  <c r="C579" i="26"/>
  <c r="D579" i="26"/>
  <c r="B580" i="26"/>
  <c r="C580" i="26"/>
  <c r="D580" i="26"/>
  <c r="B581" i="26"/>
  <c r="C581" i="26"/>
  <c r="D581" i="26"/>
  <c r="B582" i="26"/>
  <c r="C582" i="26"/>
  <c r="D582" i="26"/>
  <c r="B583" i="26"/>
  <c r="C583" i="26"/>
  <c r="D583" i="26"/>
  <c r="B584" i="26"/>
  <c r="C584" i="26"/>
  <c r="D584" i="26"/>
  <c r="E76" i="28" l="1"/>
  <c r="E66" i="28"/>
  <c r="E56" i="28"/>
  <c r="E48" i="28"/>
  <c r="E40" i="28"/>
  <c r="E32" i="28"/>
  <c r="E23" i="28"/>
  <c r="E15" i="28"/>
  <c r="E11" i="28"/>
  <c r="E7" i="28"/>
  <c r="E3" i="28"/>
  <c r="C54" i="27" l="1"/>
  <c r="B13" i="26" l="1"/>
  <c r="D54" i="27" s="1"/>
  <c r="B12" i="26"/>
  <c r="D53" i="27" s="1"/>
  <c r="B13" i="25"/>
  <c r="B12" i="25"/>
  <c r="C53" i="27" s="1"/>
  <c r="L11" i="26" l="1"/>
  <c r="L37" i="27" s="1"/>
  <c r="K11" i="26"/>
  <c r="K37" i="27" s="1"/>
  <c r="J11" i="26"/>
  <c r="J37" i="27" s="1"/>
  <c r="I11" i="26"/>
  <c r="I37" i="27" s="1"/>
  <c r="H11" i="26"/>
  <c r="H37" i="27" s="1"/>
  <c r="G11" i="26"/>
  <c r="G37" i="27" s="1"/>
  <c r="F11" i="26"/>
  <c r="F37" i="27" s="1"/>
  <c r="E11" i="26"/>
  <c r="E37" i="27" s="1"/>
  <c r="D11" i="26"/>
  <c r="D37" i="27" s="1"/>
  <c r="C11" i="26"/>
  <c r="C37" i="27" s="1"/>
  <c r="B11" i="26"/>
  <c r="B37" i="27" s="1"/>
  <c r="L10" i="26"/>
  <c r="L36" i="27" s="1"/>
  <c r="K10" i="26"/>
  <c r="K36" i="27" s="1"/>
  <c r="J10" i="26"/>
  <c r="J36" i="27" s="1"/>
  <c r="I10" i="26"/>
  <c r="I36" i="27" s="1"/>
  <c r="H10" i="26"/>
  <c r="H36" i="27" s="1"/>
  <c r="G10" i="26"/>
  <c r="G36" i="27" s="1"/>
  <c r="F10" i="26"/>
  <c r="F36" i="27" s="1"/>
  <c r="E10" i="26"/>
  <c r="E36" i="27" s="1"/>
  <c r="D10" i="26"/>
  <c r="D36" i="27" s="1"/>
  <c r="C10" i="26"/>
  <c r="C36" i="27" s="1"/>
  <c r="B10" i="26"/>
  <c r="B36" i="27" s="1"/>
  <c r="L9" i="26"/>
  <c r="L35" i="27" s="1"/>
  <c r="K9" i="26"/>
  <c r="K35" i="27" s="1"/>
  <c r="J9" i="26"/>
  <c r="J35" i="27" s="1"/>
  <c r="I9" i="26"/>
  <c r="I35" i="27" s="1"/>
  <c r="H9" i="26"/>
  <c r="H35" i="27" s="1"/>
  <c r="G9" i="26"/>
  <c r="G35" i="27" s="1"/>
  <c r="F9" i="26"/>
  <c r="F35" i="27" s="1"/>
  <c r="E9" i="26"/>
  <c r="E35" i="27" s="1"/>
  <c r="D9" i="26"/>
  <c r="D35" i="27" s="1"/>
  <c r="C9" i="26"/>
  <c r="C35" i="27" s="1"/>
  <c r="B9" i="26"/>
  <c r="B35" i="27" s="1"/>
  <c r="L8" i="26"/>
  <c r="L34" i="27" s="1"/>
  <c r="K8" i="26"/>
  <c r="K34" i="27" s="1"/>
  <c r="J8" i="26"/>
  <c r="J34" i="27" s="1"/>
  <c r="I8" i="26"/>
  <c r="I34" i="27" s="1"/>
  <c r="H8" i="26"/>
  <c r="H34" i="27" s="1"/>
  <c r="G8" i="26"/>
  <c r="G34" i="27" s="1"/>
  <c r="F8" i="26"/>
  <c r="F34" i="27" s="1"/>
  <c r="E8" i="26"/>
  <c r="E34" i="27" s="1"/>
  <c r="D8" i="26"/>
  <c r="D34" i="27" s="1"/>
  <c r="C8" i="26"/>
  <c r="C34" i="27" s="1"/>
  <c r="B8" i="26"/>
  <c r="B34" i="27" s="1"/>
  <c r="L7" i="26"/>
  <c r="L33" i="27" s="1"/>
  <c r="K7" i="26"/>
  <c r="K33" i="27" s="1"/>
  <c r="J7" i="26"/>
  <c r="J33" i="27" s="1"/>
  <c r="I7" i="26"/>
  <c r="I33" i="27" s="1"/>
  <c r="H7" i="26"/>
  <c r="H33" i="27" s="1"/>
  <c r="G7" i="26"/>
  <c r="G33" i="27" s="1"/>
  <c r="F7" i="26"/>
  <c r="F33" i="27" s="1"/>
  <c r="E7" i="26"/>
  <c r="E33" i="27" s="1"/>
  <c r="D7" i="26"/>
  <c r="D33" i="27" s="1"/>
  <c r="C7" i="26"/>
  <c r="C33" i="27" s="1"/>
  <c r="B7" i="26"/>
  <c r="B33" i="27" s="1"/>
  <c r="L6" i="26"/>
  <c r="L32" i="27" s="1"/>
  <c r="K6" i="26"/>
  <c r="K32" i="27" s="1"/>
  <c r="J6" i="26"/>
  <c r="J32" i="27" s="1"/>
  <c r="I6" i="26"/>
  <c r="I32" i="27" s="1"/>
  <c r="H6" i="26"/>
  <c r="H32" i="27" s="1"/>
  <c r="G6" i="26"/>
  <c r="G32" i="27" s="1"/>
  <c r="F6" i="26"/>
  <c r="F32" i="27" s="1"/>
  <c r="E6" i="26"/>
  <c r="E32" i="27" s="1"/>
  <c r="D6" i="26"/>
  <c r="D32" i="27" s="1"/>
  <c r="C6" i="26"/>
  <c r="C32" i="27" s="1"/>
  <c r="B6" i="26"/>
  <c r="B32" i="27" s="1"/>
  <c r="L5" i="26"/>
  <c r="L31" i="27" s="1"/>
  <c r="K5" i="26"/>
  <c r="K31" i="27" s="1"/>
  <c r="J5" i="26"/>
  <c r="J31" i="27" s="1"/>
  <c r="I5" i="26"/>
  <c r="I31" i="27" s="1"/>
  <c r="H5" i="26"/>
  <c r="H31" i="27" s="1"/>
  <c r="G5" i="26"/>
  <c r="G31" i="27" s="1"/>
  <c r="F5" i="26"/>
  <c r="F31" i="27" s="1"/>
  <c r="E5" i="26"/>
  <c r="E31" i="27" s="1"/>
  <c r="D5" i="26"/>
  <c r="D31" i="27" s="1"/>
  <c r="C5" i="26"/>
  <c r="C31" i="27" s="1"/>
  <c r="B5" i="26"/>
  <c r="B31" i="27" s="1"/>
  <c r="L4" i="26"/>
  <c r="L30" i="27" s="1"/>
  <c r="K4" i="26"/>
  <c r="K30" i="27" s="1"/>
  <c r="J4" i="26"/>
  <c r="J30" i="27" s="1"/>
  <c r="I4" i="26"/>
  <c r="I30" i="27" s="1"/>
  <c r="H4" i="26"/>
  <c r="H30" i="27" s="1"/>
  <c r="G4" i="26"/>
  <c r="G30" i="27" s="1"/>
  <c r="F4" i="26"/>
  <c r="F30" i="27" s="1"/>
  <c r="E4" i="26"/>
  <c r="E30" i="27" s="1"/>
  <c r="D4" i="26"/>
  <c r="D30" i="27" s="1"/>
  <c r="C4" i="26"/>
  <c r="C30" i="27" s="1"/>
  <c r="B4" i="26"/>
  <c r="B30" i="27" s="1"/>
  <c r="L3" i="26"/>
  <c r="L29" i="27" s="1"/>
  <c r="K3" i="26"/>
  <c r="K29" i="27" s="1"/>
  <c r="J3" i="26"/>
  <c r="J29" i="27" s="1"/>
  <c r="I3" i="26"/>
  <c r="I29" i="27" s="1"/>
  <c r="H3" i="26"/>
  <c r="H29" i="27" s="1"/>
  <c r="G3" i="26"/>
  <c r="G29" i="27" s="1"/>
  <c r="F3" i="26"/>
  <c r="F29" i="27" s="1"/>
  <c r="E3" i="26"/>
  <c r="E29" i="27" s="1"/>
  <c r="D3" i="26"/>
  <c r="D29" i="27" s="1"/>
  <c r="C3" i="26"/>
  <c r="C29" i="27" s="1"/>
  <c r="B3" i="26"/>
  <c r="B29" i="27" s="1"/>
  <c r="L4" i="25"/>
  <c r="L17" i="27" s="1"/>
  <c r="L5" i="25"/>
  <c r="L18" i="27" s="1"/>
  <c r="L6" i="25"/>
  <c r="L19" i="27" s="1"/>
  <c r="L7" i="25"/>
  <c r="L20" i="27" s="1"/>
  <c r="L8" i="25"/>
  <c r="L21" i="27" s="1"/>
  <c r="L9" i="25"/>
  <c r="L22" i="27" s="1"/>
  <c r="L10" i="25"/>
  <c r="L23" i="27" s="1"/>
  <c r="L11" i="25"/>
  <c r="L24" i="27" s="1"/>
  <c r="L3" i="25"/>
  <c r="L16" i="27" s="1"/>
  <c r="K4" i="25"/>
  <c r="K17" i="27" s="1"/>
  <c r="K5" i="25"/>
  <c r="K18" i="27" s="1"/>
  <c r="K6" i="25"/>
  <c r="K19" i="27" s="1"/>
  <c r="K7" i="25"/>
  <c r="K20" i="27" s="1"/>
  <c r="K8" i="25"/>
  <c r="K21" i="27" s="1"/>
  <c r="K9" i="25"/>
  <c r="K22" i="27" s="1"/>
  <c r="K10" i="25"/>
  <c r="K23" i="27" s="1"/>
  <c r="K11" i="25"/>
  <c r="K24" i="27" s="1"/>
  <c r="K3" i="25"/>
  <c r="K16" i="27" s="1"/>
  <c r="J4" i="25"/>
  <c r="J17" i="27" s="1"/>
  <c r="J5" i="25"/>
  <c r="J18" i="27" s="1"/>
  <c r="J6" i="25"/>
  <c r="J19" i="27" s="1"/>
  <c r="J7" i="25"/>
  <c r="J20" i="27" s="1"/>
  <c r="J8" i="25"/>
  <c r="J21" i="27" s="1"/>
  <c r="J9" i="25"/>
  <c r="J22" i="27" s="1"/>
  <c r="J10" i="25"/>
  <c r="J23" i="27" s="1"/>
  <c r="J11" i="25"/>
  <c r="J24" i="27" s="1"/>
  <c r="J3" i="25"/>
  <c r="J16" i="27" s="1"/>
  <c r="I4" i="25"/>
  <c r="I17" i="27" s="1"/>
  <c r="I5" i="25"/>
  <c r="I18" i="27" s="1"/>
  <c r="I6" i="25"/>
  <c r="I19" i="27" s="1"/>
  <c r="I7" i="25"/>
  <c r="I20" i="27" s="1"/>
  <c r="I8" i="25"/>
  <c r="I21" i="27" s="1"/>
  <c r="I9" i="25"/>
  <c r="I22" i="27" s="1"/>
  <c r="I10" i="25"/>
  <c r="I23" i="27" s="1"/>
  <c r="I11" i="25"/>
  <c r="I24" i="27" s="1"/>
  <c r="I3" i="25"/>
  <c r="I16" i="27" s="1"/>
  <c r="H4" i="25"/>
  <c r="H17" i="27" s="1"/>
  <c r="H5" i="25"/>
  <c r="H18" i="27" s="1"/>
  <c r="H6" i="25"/>
  <c r="H19" i="27" s="1"/>
  <c r="H7" i="25"/>
  <c r="H20" i="27" s="1"/>
  <c r="H8" i="25"/>
  <c r="H21" i="27" s="1"/>
  <c r="H9" i="25"/>
  <c r="H22" i="27" s="1"/>
  <c r="H10" i="25"/>
  <c r="H23" i="27" s="1"/>
  <c r="H11" i="25"/>
  <c r="H24" i="27" s="1"/>
  <c r="H3" i="25"/>
  <c r="H16" i="27" s="1"/>
  <c r="G4" i="25"/>
  <c r="G17" i="27" s="1"/>
  <c r="G5" i="25"/>
  <c r="G18" i="27" s="1"/>
  <c r="G6" i="25"/>
  <c r="G19" i="27" s="1"/>
  <c r="G7" i="25"/>
  <c r="G20" i="27" s="1"/>
  <c r="G8" i="25"/>
  <c r="G21" i="27" s="1"/>
  <c r="G9" i="25"/>
  <c r="G22" i="27" s="1"/>
  <c r="G10" i="25"/>
  <c r="G23" i="27" s="1"/>
  <c r="G11" i="25"/>
  <c r="G24" i="27" s="1"/>
  <c r="G3" i="25"/>
  <c r="G16" i="27" s="1"/>
  <c r="F4" i="25"/>
  <c r="F17" i="27" s="1"/>
  <c r="F5" i="25"/>
  <c r="F18" i="27" s="1"/>
  <c r="F6" i="25"/>
  <c r="F19" i="27" s="1"/>
  <c r="F7" i="25"/>
  <c r="F20" i="27" s="1"/>
  <c r="F8" i="25"/>
  <c r="F21" i="27" s="1"/>
  <c r="F9" i="25"/>
  <c r="F22" i="27" s="1"/>
  <c r="F10" i="25"/>
  <c r="F23" i="27" s="1"/>
  <c r="F11" i="25"/>
  <c r="F24" i="27" s="1"/>
  <c r="F3" i="25"/>
  <c r="F16" i="27" s="1"/>
  <c r="E4" i="25"/>
  <c r="E17" i="27" s="1"/>
  <c r="E5" i="25"/>
  <c r="E18" i="27" s="1"/>
  <c r="E6" i="25"/>
  <c r="E19" i="27" s="1"/>
  <c r="E7" i="25"/>
  <c r="E20" i="27" s="1"/>
  <c r="E8" i="25"/>
  <c r="E21" i="27" s="1"/>
  <c r="E9" i="25"/>
  <c r="E22" i="27" s="1"/>
  <c r="E10" i="25"/>
  <c r="E23" i="27" s="1"/>
  <c r="E11" i="25"/>
  <c r="E24" i="27" s="1"/>
  <c r="E3" i="25"/>
  <c r="E16" i="27" s="1"/>
  <c r="D4" i="25"/>
  <c r="D17" i="27" s="1"/>
  <c r="D5" i="25"/>
  <c r="D18" i="27" s="1"/>
  <c r="D6" i="25"/>
  <c r="D19" i="27" s="1"/>
  <c r="D7" i="25"/>
  <c r="D20" i="27" s="1"/>
  <c r="D8" i="25"/>
  <c r="D21" i="27" s="1"/>
  <c r="D9" i="25"/>
  <c r="D22" i="27" s="1"/>
  <c r="D10" i="25"/>
  <c r="D23" i="27" s="1"/>
  <c r="D11" i="25"/>
  <c r="D24" i="27" s="1"/>
  <c r="D3" i="25"/>
  <c r="D16" i="27" s="1"/>
  <c r="C4" i="25"/>
  <c r="C17" i="27" s="1"/>
  <c r="C5" i="25"/>
  <c r="C18" i="27" s="1"/>
  <c r="C6" i="25"/>
  <c r="C19" i="27" s="1"/>
  <c r="C7" i="25"/>
  <c r="C20" i="27" s="1"/>
  <c r="C8" i="25"/>
  <c r="C21" i="27" s="1"/>
  <c r="C9" i="25"/>
  <c r="C22" i="27" s="1"/>
  <c r="C10" i="25"/>
  <c r="C23" i="27" s="1"/>
  <c r="C11" i="25"/>
  <c r="C24" i="27" s="1"/>
  <c r="C3" i="25"/>
  <c r="C16" i="27" s="1"/>
  <c r="B4" i="25"/>
  <c r="B17" i="27" s="1"/>
  <c r="B5" i="25"/>
  <c r="B18" i="27" s="1"/>
  <c r="B6" i="25"/>
  <c r="B19" i="27" s="1"/>
  <c r="B7" i="25"/>
  <c r="B20" i="27" s="1"/>
  <c r="B8" i="25"/>
  <c r="B21" i="27" s="1"/>
  <c r="B9" i="25"/>
  <c r="B22" i="27" s="1"/>
  <c r="B10" i="25"/>
  <c r="B23" i="27" s="1"/>
  <c r="B11" i="25"/>
  <c r="B24" i="27" s="1"/>
  <c r="B3" i="25"/>
  <c r="B16" i="27" s="1"/>
  <c r="E47" i="27" l="1"/>
  <c r="C45" i="27"/>
  <c r="B47" i="27"/>
  <c r="C44" i="27"/>
  <c r="E46" i="27"/>
  <c r="B50" i="27"/>
  <c r="C42" i="27"/>
  <c r="B45" i="27"/>
  <c r="D47" i="27"/>
  <c r="F49" i="27"/>
  <c r="C50" i="27"/>
  <c r="B48" i="27"/>
  <c r="D50" i="27"/>
  <c r="E44" i="27"/>
  <c r="B42" i="27"/>
  <c r="F46" i="27"/>
  <c r="C47" i="27"/>
  <c r="E49" i="27"/>
  <c r="C46" i="27"/>
  <c r="E48" i="27"/>
  <c r="C43" i="27"/>
  <c r="D44" i="27"/>
  <c r="E45" i="27"/>
  <c r="B49" i="27"/>
  <c r="D43" i="27"/>
  <c r="F45" i="27"/>
  <c r="F43" i="27"/>
  <c r="B44" i="27"/>
  <c r="D46" i="27"/>
  <c r="F48" i="27"/>
  <c r="B43" i="27"/>
  <c r="D45" i="27"/>
  <c r="F47" i="27"/>
  <c r="D42" i="27"/>
  <c r="C49" i="27"/>
  <c r="E42" i="27"/>
  <c r="E43" i="27"/>
  <c r="F44" i="27"/>
  <c r="C48" i="27"/>
  <c r="E50" i="27"/>
  <c r="F42" i="27"/>
  <c r="B46" i="27"/>
  <c r="D48" i="27"/>
  <c r="F50" i="2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D9B0B4-4D97-45AD-9987-311FC05C933D}" keepAlive="1" name="Query - interview_responses" description="Connection to the 'interview_responses' query in the workbook." type="5" refreshedVersion="8" background="1" saveData="1">
    <dbPr connection="Provider=Microsoft.Mashup.OleDb.1;Data Source=$Workbook$;Location=interview_responses;Extended Properties=&quot;&quot;" command="SELECT * FROM [interview_responses]"/>
  </connection>
  <connection id="2" xr16:uid="{D0345BBE-78E8-4375-9EB2-3905412D32D4}" keepAlive="1" name="Query - step2_raw_simulation" description="Connection to the 'step2_raw_simulation' query in the workbook." type="5" refreshedVersion="8" background="1" saveData="1">
    <dbPr connection="Provider=Microsoft.Mashup.OleDb.1;Data Source=$Workbook$;Location=step2_raw_simulation;Extended Properties=&quot;&quot;" command="SELECT * FROM [step2_raw_simulation]"/>
  </connection>
  <connection id="3" xr16:uid="{59800C96-21D8-47A3-B294-5457B01DAA7D}" keepAlive="1" name="Query - step2_raw_simulation (2)" description="Connection to the 'step2_raw_simulation (2)' query in the workbook." type="5" refreshedVersion="0" background="1" saveData="1">
    <dbPr connection="Provider=Microsoft.Mashup.OleDb.1;Data Source=$Workbook$;Location=&quot;step2_raw_simulation (2)&quot;;Extended Properties=&quot;&quot;" command="SELECT * FROM [step2_raw_simulation (2)]"/>
  </connection>
  <connection id="4" xr16:uid="{0C1F07DD-6E4D-4930-8DAD-525B8251743B}" keepAlive="1" name="Query - step3_calibration" description="Connection to the 'step3_calibration' query in the workbook." type="5" refreshedVersion="0" background="1" saveData="1">
    <dbPr connection="Provider=Microsoft.Mashup.OleDb.1;Data Source=$Workbook$;Location=step3_calibration;Extended Properties=&quot;&quot;" command="SELECT * FROM [step3_calibration]"/>
  </connection>
  <connection id="5" xr16:uid="{9149ED3D-A7CC-44A6-B3A1-4D9DE4DD6695}" keepAlive="1" name="Query - step3_calibration (2)" description="Connection to the 'step3_calibration (2)' query in the workbook." type="5" refreshedVersion="0" background="1" saveData="1">
    <dbPr connection="Provider=Microsoft.Mashup.OleDb.1;Data Source=$Workbook$;Location=&quot;step3_calibration (2)&quot;;Extended Properties=&quot;&quot;" command="SELECT * FROM [step3_calibration (2)]"/>
  </connection>
  <connection id="6" xr16:uid="{CD2CBEC7-DD68-4DE4-9807-64F4D1652185}" keepAlive="1" name="Query - step3_survey_simulation_results" description="Connection to the 'step3_survey_simulation_results' query in the workbook." type="5" refreshedVersion="8" background="1" saveData="1">
    <dbPr connection="Provider=Microsoft.Mashup.OleDb.1;Data Source=$Workbook$;Location=step3_survey_simulation_results;Extended Properties=&quot;&quot;" command="SELECT * FROM [step3_survey_simulation_results]"/>
  </connection>
  <connection id="7" xr16:uid="{68518907-6C44-4E2F-B44A-369417B2F34F}" keepAlive="1" name="Query - step3_validation" description="Connection to the 'step3_validation' query in the workbook." type="5" refreshedVersion="8" background="1" saveData="1">
    <dbPr connection="Provider=Microsoft.Mashup.OleDb.1;Data Source=$Workbook$;Location=step3_validation;Extended Properties=&quot;&quot;" command="SELECT * FROM [step3_validation]"/>
  </connection>
  <connection id="8" xr16:uid="{087CA380-0F42-4DAE-9364-8A6A73D4D6A8}" keepAlive="1" name="Query - step3_validation (2)" description="Connection to the 'step3_validation (2)' query in the workbook." type="5" refreshedVersion="8" background="1" saveData="1">
    <dbPr connection="Provider=Microsoft.Mashup.OleDb.1;Data Source=$Workbook$;Location=&quot;step3_validation (2)&quot;;Extended Properties=&quot;&quot;" command="SELECT * FROM [step3_validation (2)]"/>
  </connection>
  <connection id="9" xr16:uid="{76288996-789D-46B7-B1F3-F67C7AA1DC2E}" keepAlive="1" name="Query - step3_validation (3)" description="Connection to the 'step3_validation (3)' query in the workbook." type="5" refreshedVersion="0" background="1" saveData="1">
    <dbPr connection="Provider=Microsoft.Mashup.OleDb.1;Data Source=$Workbook$;Location=&quot;step3_validation (3)&quot;;Extended Properties=&quot;&quot;" command="SELECT * FROM [step3_validation (3)]"/>
  </connection>
  <connection id="10" xr16:uid="{F572EC63-C73E-4F9E-BAC2-A805F8AF7CF6}" keepAlive="1" name="Query - survey_responses" description="Connection to the 'survey_responses' query in the workbook." type="5" refreshedVersion="8" background="1" saveData="1">
    <dbPr connection="Provider=Microsoft.Mashup.OleDb.1;Data Source=$Workbook$;Location=survey_responses;Extended Properties=&quot;&quot;" command="SELECT * FROM [survey_responses]"/>
  </connection>
  <connection id="11" xr16:uid="{6ACD503F-7304-41B4-8BFB-2AC6A26B719C}" keepAlive="1" name="Query - survey_responses (2)" description="Connection to the 'survey_responses (2)' query in the workbook." type="5" refreshedVersion="0" background="1" saveData="1">
    <dbPr connection="Provider=Microsoft.Mashup.OleDb.1;Data Source=$Workbook$;Location=&quot;survey_responses (2)&quot;;Extended Properties=&quot;&quot;" command="SELECT * FROM [survey_responses (2)]"/>
  </connection>
</connections>
</file>

<file path=xl/sharedStrings.xml><?xml version="1.0" encoding="utf-8"?>
<sst xmlns="http://schemas.openxmlformats.org/spreadsheetml/2006/main" count="4486" uniqueCount="86">
  <si>
    <t>Metric</t>
  </si>
  <si>
    <t>MAE (Intensity)</t>
  </si>
  <si>
    <t>Agreement Rate (%)</t>
  </si>
  <si>
    <t>Human_Oppose (%)</t>
  </si>
  <si>
    <t>Human_Neutral (%)</t>
  </si>
  <si>
    <t>Human_Support (%)</t>
  </si>
  <si>
    <t>AI_Oppose (%)</t>
  </si>
  <si>
    <t>AI_Neutral (%)</t>
  </si>
  <si>
    <t>AI_Support (%)</t>
  </si>
  <si>
    <t>ENF1</t>
  </si>
  <si>
    <t>ENF2</t>
  </si>
  <si>
    <t>FAC1</t>
  </si>
  <si>
    <t>FAC2</t>
  </si>
  <si>
    <t>TRU1</t>
  </si>
  <si>
    <t>TRU2</t>
  </si>
  <si>
    <t>TRU3</t>
  </si>
  <si>
    <t>TRU4</t>
  </si>
  <si>
    <t>OUT1</t>
  </si>
  <si>
    <t>MCC</t>
  </si>
  <si>
    <t>EMD</t>
  </si>
  <si>
    <t>TVD</t>
  </si>
  <si>
    <t>Validation - Run 1</t>
  </si>
  <si>
    <t>Validation - Run 2</t>
  </si>
  <si>
    <t>Validation - Run 3</t>
  </si>
  <si>
    <t>Validation - Run 4</t>
  </si>
  <si>
    <t>Validation - Run 5</t>
  </si>
  <si>
    <t>Validation - Summary</t>
  </si>
  <si>
    <t>Calibration - Summary</t>
  </si>
  <si>
    <t>Calibration - Run 1</t>
  </si>
  <si>
    <t>Calibration - Run 2</t>
  </si>
  <si>
    <t>Calibration - Run 3</t>
  </si>
  <si>
    <t>Calibration - Run 4</t>
  </si>
  <si>
    <t>Calibration - Run 5</t>
  </si>
  <si>
    <t>%Improvement</t>
  </si>
  <si>
    <t>AIx</t>
  </si>
  <si>
    <t>OUT1 score</t>
  </si>
  <si>
    <t>OUT1 Score</t>
  </si>
  <si>
    <t>Validation</t>
  </si>
  <si>
    <t>Calibration</t>
  </si>
  <si>
    <t>VHLSS</t>
  </si>
  <si>
    <t>Personas_IPFP</t>
  </si>
  <si>
    <t>Demographic Analytics</t>
  </si>
  <si>
    <t>Oppose</t>
  </si>
  <si>
    <t>Neutral</t>
  </si>
  <si>
    <t>Support</t>
  </si>
  <si>
    <t>Chính thức</t>
  </si>
  <si>
    <t>Phi chính thức</t>
  </si>
  <si>
    <t>18 - 24</t>
  </si>
  <si>
    <t>25 - 29</t>
  </si>
  <si>
    <t>30 - 39</t>
  </si>
  <si>
    <t>40 - 49</t>
  </si>
  <si>
    <t>50 - 54</t>
  </si>
  <si>
    <t>55 - 64</t>
  </si>
  <si>
    <t>Dưới 12 triệu VNĐ</t>
  </si>
  <si>
    <t>Từ 12 - 18 triệu VNĐ</t>
  </si>
  <si>
    <t>Từ 18 - 23 triệu VNĐ</t>
  </si>
  <si>
    <t>Từ 23 - 32 triệu VNĐ</t>
  </si>
  <si>
    <t>Từ 32 - 48 triệu VNĐ</t>
  </si>
  <si>
    <t>Từ 48 - 70 triệu VNĐ</t>
  </si>
  <si>
    <t>Từ 70 - 102 triệu VNĐ</t>
  </si>
  <si>
    <t>Trên 102 triệu VNĐ</t>
  </si>
  <si>
    <t>OUT</t>
  </si>
  <si>
    <t>Human Survey</t>
  </si>
  <si>
    <t>IPFP_Personas</t>
  </si>
  <si>
    <t>Validation  - Run 2</t>
  </si>
  <si>
    <t>Validation  - Run 3</t>
  </si>
  <si>
    <t>Validation  - Run 4</t>
  </si>
  <si>
    <t>Validation  - Run 5</t>
  </si>
  <si>
    <t>Personas_IPFP_feedback</t>
  </si>
  <si>
    <t>IPFP_Personas_feedback</t>
  </si>
  <si>
    <t>Formal</t>
  </si>
  <si>
    <t>Informal</t>
  </si>
  <si>
    <t>ENF1-Formal</t>
  </si>
  <si>
    <t>ENF1-Informal</t>
  </si>
  <si>
    <t>ENF2-Formal</t>
  </si>
  <si>
    <t>ÈNF2-Informal</t>
  </si>
  <si>
    <t>Below 12 million VND</t>
  </si>
  <si>
    <t>From 12 - 18 million VND</t>
  </si>
  <si>
    <t>From 18 - 23 million VND</t>
  </si>
  <si>
    <t>From 23 - 32 million VND</t>
  </si>
  <si>
    <t>From 32 - 48 million VND</t>
  </si>
  <si>
    <t>From 48 - 70 million VND</t>
  </si>
  <si>
    <t>From 70 - 102 million VND</t>
  </si>
  <si>
    <t>Above 102 million VND</t>
  </si>
  <si>
    <t>Interview - Summary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</si>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</sst>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9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0" xfId="0" applyNumberFormat="1"/>
    <xf numFmtId="9" fontId="0" fillId="0" borderId="0" xfId="0" applyNumberFormat="1"/>
    <xf numFmtId="166" fontId="0" fillId="0" borderId="1" xfId="0" applyNumberFormat="1" applyBorder="1"/>
    <xf numFmtId="165" fontId="0" fillId="0" borderId="0" xfId="0" applyNumberFormat="1"/>
    <xf numFmtId="10" fontId="0" fillId="0" borderId="1" xfId="0" applyNumberFormat="1" applyBorder="1"/>
    <xf numFmtId="0" fontId="1" fillId="2" borderId="1" xfId="0" applyFont="1" applyFill="1" applyBorder="1"/>
    <xf numFmtId="0" fontId="2" fillId="0" borderId="3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Insights'!$H$3</c:f>
              <c:strCache>
                <c:ptCount val="1"/>
                <c:pt idx="0">
                  <c:v>Oppose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'Human - Insights'!$G$4:$G$9</c15:sqref>
                  </c15:fullRef>
                </c:ext>
              </c:extLst>
              <c:f>('Human - Insights'!$G$4:$G$5,'Human - Insights'!$G$8:$G$9)</c:f>
              <c:strCache>
                <c:ptCount val="4"/>
                <c:pt idx="0">
                  <c:v>ENF1-Formal</c:v>
                </c:pt>
                <c:pt idx="1">
                  <c:v>ENF1-Informal</c:v>
                </c:pt>
                <c:pt idx="2">
                  <c:v>ENF2-Formal</c:v>
                </c:pt>
                <c:pt idx="3">
                  <c:v>ÈNF2-Informal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'Human - Insights'!$H$4:$H$9</c15:sqref>
                  </c15:fullRef>
                </c:ext>
              </c:extLst>
              <c:f>('Human - Insights'!$H$4:$H$5,'Human - Insights'!$H$8:$H$9)</c:f>
              <c:numCache>
                <c:formatCode>0.0%</c:formatCode>
                <c:ptCount val="4"/>
                <c:pt idx="0">
                  <c:v>0.13793103448275862</c:v>
                </c:pt>
                <c:pt idx="1">
                  <c:v>0.11764705882352941</c:v>
                </c:pt>
                <c:pt idx="2">
                  <c:v>0.10610079575596817</c:v>
                </c:pt>
                <c:pt idx="3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3-420F-A7E7-66DF44CAD998}"/>
            </c:ext>
          </c:extLst>
        </c:ser>
        <c:ser>
          <c:idx val="1"/>
          <c:order val="1"/>
          <c:tx>
            <c:strRef>
              <c:f>'Human - Insights'!$I$3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'Human - Insights'!$G$4:$G$9</c15:sqref>
                  </c15:fullRef>
                </c:ext>
              </c:extLst>
              <c:f>('Human - Insights'!$G$4:$G$5,'Human - Insights'!$G$8:$G$9)</c:f>
              <c:strCache>
                <c:ptCount val="4"/>
                <c:pt idx="0">
                  <c:v>ENF1-Formal</c:v>
                </c:pt>
                <c:pt idx="1">
                  <c:v>ENF1-Informal</c:v>
                </c:pt>
                <c:pt idx="2">
                  <c:v>ENF2-Formal</c:v>
                </c:pt>
                <c:pt idx="3">
                  <c:v>ÈNF2-Informal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'Human - Insights'!$I$4:$I$9</c15:sqref>
                  </c15:fullRef>
                </c:ext>
              </c:extLst>
              <c:f>('Human - Insights'!$I$4:$I$5,'Human - Insights'!$I$8:$I$9)</c:f>
              <c:numCache>
                <c:formatCode>0.0%</c:formatCode>
                <c:ptCount val="4"/>
                <c:pt idx="0">
                  <c:v>0.44297082228116713</c:v>
                </c:pt>
                <c:pt idx="1">
                  <c:v>0.47058823529411764</c:v>
                </c:pt>
                <c:pt idx="2">
                  <c:v>0.41644562334217505</c:v>
                </c:pt>
                <c:pt idx="3">
                  <c:v>0.29411764705882354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3-420F-A7E7-66DF44CAD998}"/>
            </c:ext>
          </c:extLst>
        </c:ser>
        <c:ser>
          <c:idx val="2"/>
          <c:order val="2"/>
          <c:tx>
            <c:strRef>
              <c:f>'Human - Insights'!$J$3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'Human - Insights'!$G$4:$G$9</c15:sqref>
                  </c15:fullRef>
                </c:ext>
              </c:extLst>
              <c:f>('Human - Insights'!$G$4:$G$5,'Human - Insights'!$G$8:$G$9)</c:f>
              <c:strCache>
                <c:ptCount val="4"/>
                <c:pt idx="0">
                  <c:v>ENF1-Formal</c:v>
                </c:pt>
                <c:pt idx="1">
                  <c:v>ENF1-Informal</c:v>
                </c:pt>
                <c:pt idx="2">
                  <c:v>ENF2-Formal</c:v>
                </c:pt>
                <c:pt idx="3">
                  <c:v>ÈNF2-Informal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'Human - Insights'!$J$4:$J$9</c15:sqref>
                  </c15:fullRef>
                </c:ext>
              </c:extLst>
              <c:f>('Human - Insights'!$J$4:$J$5,'Human - Insights'!$J$8:$J$9)</c:f>
              <c:numCache>
                <c:formatCode>0.0%</c:formatCode>
                <c:ptCount val="4"/>
                <c:pt idx="0">
                  <c:v>0.41909814323607425</c:v>
                </c:pt>
                <c:pt idx="1">
                  <c:v>0.41176470588235292</c:v>
                </c:pt>
                <c:pt idx="2">
                  <c:v>0.47745358090185674</c:v>
                </c:pt>
                <c:pt idx="3">
                  <c:v>0.52941176470588236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3-420F-A7E7-66DF44CAD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321343"/>
        <c:axId val="773314623"/>
      </c:barChart>
      <c:catAx>
        <c:axId val="77332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314623"/>
        <c:crosses val="autoZero"/>
        <c:auto val="1"/>
        <c:lblAlgn val="ctr"/>
        <c:lblOffset val="100"/>
        <c:noMultiLvlLbl val="0"/>
      </c:catAx>
      <c:valAx>
        <c:axId val="77331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32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Insights'!$G$12</c:f>
              <c:strCache>
                <c:ptCount val="1"/>
                <c:pt idx="0">
                  <c:v>Formal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- Insights'!$H$11:$J$11</c:f>
              <c:strCache>
                <c:ptCount val="3"/>
                <c:pt idx="0">
                  <c:v>Oppose</c:v>
                </c:pt>
                <c:pt idx="1">
                  <c:v>Neutral</c:v>
                </c:pt>
                <c:pt idx="2">
                  <c:v>Support</c:v>
                </c:pt>
              </c:strCache>
            </c:strRef>
          </c:cat>
          <c:val>
            <c:numRef>
              <c:f>'Human - Insights'!$H$12:$J$12</c:f>
              <c:numCache>
                <c:formatCode>0.0%</c:formatCode>
                <c:ptCount val="3"/>
                <c:pt idx="0">
                  <c:v>0.19363395225464192</c:v>
                </c:pt>
                <c:pt idx="1">
                  <c:v>0.44031830238726788</c:v>
                </c:pt>
                <c:pt idx="2">
                  <c:v>0.3660477453580902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8-4EB4-A4F3-E7049B999BDC}"/>
            </c:ext>
          </c:extLst>
        </c:ser>
        <c:ser>
          <c:idx val="1"/>
          <c:order val="1"/>
          <c:tx>
            <c:strRef>
              <c:f>'Human - Insights'!$G$13</c:f>
              <c:strCache>
                <c:ptCount val="1"/>
                <c:pt idx="0">
                  <c:v>Informal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 - Insights'!$H$11:$J$11</c:f>
              <c:strCache>
                <c:ptCount val="3"/>
                <c:pt idx="0">
                  <c:v>Oppose</c:v>
                </c:pt>
                <c:pt idx="1">
                  <c:v>Neutral</c:v>
                </c:pt>
                <c:pt idx="2">
                  <c:v>Support</c:v>
                </c:pt>
              </c:strCache>
            </c:strRef>
          </c:cat>
          <c:val>
            <c:numRef>
              <c:f>'Human - Insights'!$H$13:$J$13</c:f>
              <c:numCache>
                <c:formatCode>0.0%</c:formatCode>
                <c:ptCount val="3"/>
                <c:pt idx="0">
                  <c:v>0.41176470588235292</c:v>
                </c:pt>
                <c:pt idx="1">
                  <c:v>0.41176470588235292</c:v>
                </c:pt>
                <c:pt idx="2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8-4EB4-A4F3-E7049B999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344383"/>
        <c:axId val="773344863"/>
      </c:barChart>
      <c:catAx>
        <c:axId val="7733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344863"/>
        <c:crosses val="autoZero"/>
        <c:auto val="1"/>
        <c:lblAlgn val="ctr"/>
        <c:lblOffset val="100"/>
        <c:noMultiLvlLbl val="0"/>
      </c:catAx>
      <c:valAx>
        <c:axId val="7733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34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Insights'!$H$15</c:f>
              <c:strCache>
                <c:ptCount val="1"/>
                <c:pt idx="0">
                  <c:v>Oppose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- Insights'!$G$16:$G$21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Insights'!$H$16:$H$21</c:f>
              <c:numCache>
                <c:formatCode>0.0%</c:formatCode>
                <c:ptCount val="6"/>
                <c:pt idx="0">
                  <c:v>1.8181818181818181E-2</c:v>
                </c:pt>
                <c:pt idx="1">
                  <c:v>1.2658227848101266E-2</c:v>
                </c:pt>
                <c:pt idx="2">
                  <c:v>6.0606060606060608E-2</c:v>
                </c:pt>
                <c:pt idx="3">
                  <c:v>7.5949367088607597E-2</c:v>
                </c:pt>
                <c:pt idx="4">
                  <c:v>6.4516129032258063E-2</c:v>
                </c:pt>
                <c:pt idx="5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1-484B-A3E2-A5B31D9EBC21}"/>
            </c:ext>
          </c:extLst>
        </c:ser>
        <c:ser>
          <c:idx val="1"/>
          <c:order val="1"/>
          <c:tx>
            <c:strRef>
              <c:f>'Human - Insights'!$I$15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 - Insights'!$G$16:$G$21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Insights'!$I$16:$I$21</c:f>
              <c:numCache>
                <c:formatCode>0.0%</c:formatCode>
                <c:ptCount val="6"/>
                <c:pt idx="0">
                  <c:v>0.30909090909090908</c:v>
                </c:pt>
                <c:pt idx="1">
                  <c:v>0.45569620253164556</c:v>
                </c:pt>
                <c:pt idx="2">
                  <c:v>0.4621212121212121</c:v>
                </c:pt>
                <c:pt idx="3">
                  <c:v>0.49367088607594939</c:v>
                </c:pt>
                <c:pt idx="4">
                  <c:v>0.54838709677419351</c:v>
                </c:pt>
                <c:pt idx="5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1-484B-A3E2-A5B31D9EBC21}"/>
            </c:ext>
          </c:extLst>
        </c:ser>
        <c:ser>
          <c:idx val="2"/>
          <c:order val="2"/>
          <c:tx>
            <c:strRef>
              <c:f>'Human - Insights'!$J$15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'Human - Insights'!$G$16:$G$21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Insights'!$J$16:$J$21</c:f>
              <c:numCache>
                <c:formatCode>0.0%</c:formatCode>
                <c:ptCount val="6"/>
                <c:pt idx="0">
                  <c:v>0.67272727272727273</c:v>
                </c:pt>
                <c:pt idx="1">
                  <c:v>0.53164556962025311</c:v>
                </c:pt>
                <c:pt idx="2">
                  <c:v>0.47727272727272729</c:v>
                </c:pt>
                <c:pt idx="3">
                  <c:v>0.43037974683544306</c:v>
                </c:pt>
                <c:pt idx="4">
                  <c:v>0.38709677419354838</c:v>
                </c:pt>
                <c:pt idx="5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1-484B-A3E2-A5B31D9EB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107631"/>
        <c:axId val="660109551"/>
      </c:barChart>
      <c:catAx>
        <c:axId val="66010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09551"/>
        <c:crosses val="autoZero"/>
        <c:auto val="1"/>
        <c:lblAlgn val="ctr"/>
        <c:lblOffset val="100"/>
        <c:noMultiLvlLbl val="0"/>
      </c:catAx>
      <c:valAx>
        <c:axId val="6601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0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Insights'!$H$23</c:f>
              <c:strCache>
                <c:ptCount val="1"/>
                <c:pt idx="0">
                  <c:v>Oppose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- Insights'!$G$24:$G$29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Insights'!$H$24:$H$29</c:f>
              <c:numCache>
                <c:formatCode>0.0%</c:formatCode>
                <c:ptCount val="6"/>
                <c:pt idx="0">
                  <c:v>5.4545454545454543E-2</c:v>
                </c:pt>
                <c:pt idx="1">
                  <c:v>5.0632911392405063E-2</c:v>
                </c:pt>
                <c:pt idx="2">
                  <c:v>0.14393939393939395</c:v>
                </c:pt>
                <c:pt idx="3">
                  <c:v>0.189873417721519</c:v>
                </c:pt>
                <c:pt idx="4">
                  <c:v>0.29032258064516131</c:v>
                </c:pt>
                <c:pt idx="5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0-4BF7-8BCF-04EFFD38BF52}"/>
            </c:ext>
          </c:extLst>
        </c:ser>
        <c:ser>
          <c:idx val="1"/>
          <c:order val="1"/>
          <c:tx>
            <c:strRef>
              <c:f>'Human - Insights'!$I$23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 - Insights'!$G$24:$G$29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Insights'!$I$24:$I$29</c:f>
              <c:numCache>
                <c:formatCode>0.0%</c:formatCode>
                <c:ptCount val="6"/>
                <c:pt idx="0">
                  <c:v>0.52727272727272723</c:v>
                </c:pt>
                <c:pt idx="1">
                  <c:v>0.569620253164557</c:v>
                </c:pt>
                <c:pt idx="2">
                  <c:v>0.5757575757575758</c:v>
                </c:pt>
                <c:pt idx="3">
                  <c:v>0.54430379746835444</c:v>
                </c:pt>
                <c:pt idx="4">
                  <c:v>0.35483870967741937</c:v>
                </c:pt>
                <c:pt idx="5">
                  <c:v>0.51851851851851849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0-4BF7-8BCF-04EFFD38BF52}"/>
            </c:ext>
          </c:extLst>
        </c:ser>
        <c:ser>
          <c:idx val="2"/>
          <c:order val="2"/>
          <c:tx>
            <c:strRef>
              <c:f>'Human - Insights'!$J$23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'Human - Insights'!$G$24:$G$29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Insights'!$J$24:$J$29</c:f>
              <c:numCache>
                <c:formatCode>0.0%</c:formatCode>
                <c:ptCount val="6"/>
                <c:pt idx="0">
                  <c:v>0.41818181818181815</c:v>
                </c:pt>
                <c:pt idx="1">
                  <c:v>0.379746835443038</c:v>
                </c:pt>
                <c:pt idx="2">
                  <c:v>0.28030303030303028</c:v>
                </c:pt>
                <c:pt idx="3">
                  <c:v>0.26582278481012656</c:v>
                </c:pt>
                <c:pt idx="4">
                  <c:v>0.35483870967741937</c:v>
                </c:pt>
                <c:pt idx="5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A0-4BF7-8BCF-04EFFD38B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545151"/>
        <c:axId val="444547071"/>
      </c:barChart>
      <c:catAx>
        <c:axId val="44454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47071"/>
        <c:crosses val="autoZero"/>
        <c:auto val="1"/>
        <c:lblAlgn val="ctr"/>
        <c:lblOffset val="100"/>
        <c:noMultiLvlLbl val="0"/>
      </c:catAx>
      <c:valAx>
        <c:axId val="4445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4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Insights'!$H$40</c:f>
              <c:strCache>
                <c:ptCount val="1"/>
                <c:pt idx="0">
                  <c:v>Oppose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- Insights'!$G$41:$G$46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Insights'!$H$41:$H$46</c:f>
              <c:numCache>
                <c:formatCode>0.0%</c:formatCode>
                <c:ptCount val="6"/>
                <c:pt idx="0">
                  <c:v>5.4545454545454543E-2</c:v>
                </c:pt>
                <c:pt idx="1">
                  <c:v>0.12658227848101267</c:v>
                </c:pt>
                <c:pt idx="2">
                  <c:v>0.19696969696969696</c:v>
                </c:pt>
                <c:pt idx="3">
                  <c:v>0.20253164556962025</c:v>
                </c:pt>
                <c:pt idx="4">
                  <c:v>0.32258064516129031</c:v>
                </c:pt>
                <c:pt idx="5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A-4567-B4EC-9466BE49982F}"/>
            </c:ext>
          </c:extLst>
        </c:ser>
        <c:ser>
          <c:idx val="1"/>
          <c:order val="1"/>
          <c:tx>
            <c:strRef>
              <c:f>'Human - Insights'!$I$40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 - Insights'!$G$41:$G$46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Insights'!$I$41:$I$46</c:f>
              <c:numCache>
                <c:formatCode>0.0%</c:formatCode>
                <c:ptCount val="6"/>
                <c:pt idx="0">
                  <c:v>0.50909090909090904</c:v>
                </c:pt>
                <c:pt idx="1">
                  <c:v>0.58227848101265822</c:v>
                </c:pt>
                <c:pt idx="2">
                  <c:v>0.53787878787878785</c:v>
                </c:pt>
                <c:pt idx="3">
                  <c:v>0.569620253164557</c:v>
                </c:pt>
                <c:pt idx="4">
                  <c:v>0.45161290322580644</c:v>
                </c:pt>
                <c:pt idx="5">
                  <c:v>0.48148148148148145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A-4567-B4EC-9466BE49982F}"/>
            </c:ext>
          </c:extLst>
        </c:ser>
        <c:ser>
          <c:idx val="2"/>
          <c:order val="2"/>
          <c:tx>
            <c:strRef>
              <c:f>'Human - Insights'!$J$40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'Human - Insights'!$G$41:$G$46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Insights'!$J$41:$J$46</c:f>
              <c:numCache>
                <c:formatCode>0.0%</c:formatCode>
                <c:ptCount val="6"/>
                <c:pt idx="0">
                  <c:v>0.43636363636363634</c:v>
                </c:pt>
                <c:pt idx="1">
                  <c:v>0.29113924050632911</c:v>
                </c:pt>
                <c:pt idx="2">
                  <c:v>0.26515151515151514</c:v>
                </c:pt>
                <c:pt idx="3">
                  <c:v>0.22784810126582278</c:v>
                </c:pt>
                <c:pt idx="4">
                  <c:v>0.22580645161290322</c:v>
                </c:pt>
                <c:pt idx="5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CA-4567-B4EC-9466BE49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618047"/>
        <c:axId val="1250625727"/>
      </c:barChart>
      <c:catAx>
        <c:axId val="125061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25727"/>
        <c:crosses val="autoZero"/>
        <c:auto val="1"/>
        <c:lblAlgn val="ctr"/>
        <c:lblOffset val="100"/>
        <c:noMultiLvlLbl val="0"/>
      </c:catAx>
      <c:valAx>
        <c:axId val="125062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1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Insights'!$H$48</c:f>
              <c:strCache>
                <c:ptCount val="1"/>
                <c:pt idx="0">
                  <c:v>Oppose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- Insights'!$G$49:$G$54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Insights'!$H$49:$H$54</c:f>
              <c:numCache>
                <c:formatCode>0.0%</c:formatCode>
                <c:ptCount val="6"/>
                <c:pt idx="0">
                  <c:v>1.8181818181818181E-2</c:v>
                </c:pt>
                <c:pt idx="1">
                  <c:v>5.0632911392405063E-2</c:v>
                </c:pt>
                <c:pt idx="2">
                  <c:v>0.13636363636363635</c:v>
                </c:pt>
                <c:pt idx="3">
                  <c:v>0.15189873417721519</c:v>
                </c:pt>
                <c:pt idx="4">
                  <c:v>0.22580645161290322</c:v>
                </c:pt>
                <c:pt idx="5">
                  <c:v>0.14814814814814814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2-42D2-9226-00BB3492CDC7}"/>
            </c:ext>
          </c:extLst>
        </c:ser>
        <c:ser>
          <c:idx val="1"/>
          <c:order val="1"/>
          <c:tx>
            <c:strRef>
              <c:f>'Human - Insights'!$I$48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 - Insights'!$G$49:$G$54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Insights'!$I$49:$I$54</c:f>
              <c:numCache>
                <c:formatCode>0.0%</c:formatCode>
                <c:ptCount val="6"/>
                <c:pt idx="0">
                  <c:v>0.5636363636363636</c:v>
                </c:pt>
                <c:pt idx="1">
                  <c:v>0.620253164556962</c:v>
                </c:pt>
                <c:pt idx="2">
                  <c:v>0.56818181818181823</c:v>
                </c:pt>
                <c:pt idx="3">
                  <c:v>0.58227848101265822</c:v>
                </c:pt>
                <c:pt idx="4">
                  <c:v>0.5161290322580645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2-42D2-9226-00BB3492CDC7}"/>
            </c:ext>
          </c:extLst>
        </c:ser>
        <c:ser>
          <c:idx val="2"/>
          <c:order val="2"/>
          <c:tx>
            <c:strRef>
              <c:f>'Human - Insights'!$J$48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'Human - Insights'!$G$49:$G$54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Insights'!$J$49:$J$54</c:f>
              <c:numCache>
                <c:formatCode>0.0%</c:formatCode>
                <c:ptCount val="6"/>
                <c:pt idx="0">
                  <c:v>0.41818181818181815</c:v>
                </c:pt>
                <c:pt idx="1">
                  <c:v>0.32911392405063289</c:v>
                </c:pt>
                <c:pt idx="2">
                  <c:v>0.29545454545454547</c:v>
                </c:pt>
                <c:pt idx="3">
                  <c:v>0.26582278481012656</c:v>
                </c:pt>
                <c:pt idx="4">
                  <c:v>0.25806451612903225</c:v>
                </c:pt>
                <c:pt idx="5">
                  <c:v>0.18518518518518517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2-42D2-9226-00BB3492C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623807"/>
        <c:axId val="1250624767"/>
      </c:barChart>
      <c:catAx>
        <c:axId val="125062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24767"/>
        <c:crosses val="autoZero"/>
        <c:auto val="1"/>
        <c:lblAlgn val="ctr"/>
        <c:lblOffset val="100"/>
        <c:noMultiLvlLbl val="0"/>
      </c:catAx>
      <c:valAx>
        <c:axId val="125062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2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Insights'!$H$32</c:f>
              <c:strCache>
                <c:ptCount val="1"/>
                <c:pt idx="0">
                  <c:v>Oppose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- Insights'!$G$33:$G$38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Insights'!$H$33:$H$38</c:f>
              <c:numCache>
                <c:formatCode>0.0%</c:formatCode>
                <c:ptCount val="6"/>
                <c:pt idx="0">
                  <c:v>1.8181818181818181E-2</c:v>
                </c:pt>
                <c:pt idx="1">
                  <c:v>6.3291139240506333E-2</c:v>
                </c:pt>
                <c:pt idx="2">
                  <c:v>0.17424242424242425</c:v>
                </c:pt>
                <c:pt idx="3">
                  <c:v>0.29113924050632911</c:v>
                </c:pt>
                <c:pt idx="4">
                  <c:v>0.35483870967741937</c:v>
                </c:pt>
                <c:pt idx="5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8-490B-9338-D017CCF6402B}"/>
            </c:ext>
          </c:extLst>
        </c:ser>
        <c:ser>
          <c:idx val="1"/>
          <c:order val="1"/>
          <c:tx>
            <c:strRef>
              <c:f>'Human - Insights'!$I$32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 - Insights'!$G$33:$G$38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Insights'!$I$33:$I$38</c:f>
              <c:numCache>
                <c:formatCode>0.0%</c:formatCode>
                <c:ptCount val="6"/>
                <c:pt idx="0">
                  <c:v>0.25454545454545452</c:v>
                </c:pt>
                <c:pt idx="1">
                  <c:v>0.41772151898734178</c:v>
                </c:pt>
                <c:pt idx="2">
                  <c:v>0.5</c:v>
                </c:pt>
                <c:pt idx="3">
                  <c:v>0.44303797468354428</c:v>
                </c:pt>
                <c:pt idx="4">
                  <c:v>0.4838709677419355</c:v>
                </c:pt>
                <c:pt idx="5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8-490B-9338-D017CCF6402B}"/>
            </c:ext>
          </c:extLst>
        </c:ser>
        <c:ser>
          <c:idx val="2"/>
          <c:order val="2"/>
          <c:tx>
            <c:strRef>
              <c:f>'Human - Insights'!$J$32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'Human - Insights'!$G$33:$G$38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Insights'!$J$33:$J$38</c:f>
              <c:numCache>
                <c:formatCode>0.0%</c:formatCode>
                <c:ptCount val="6"/>
                <c:pt idx="0">
                  <c:v>0.72727272727272729</c:v>
                </c:pt>
                <c:pt idx="1">
                  <c:v>0.51898734177215189</c:v>
                </c:pt>
                <c:pt idx="2">
                  <c:v>0.32575757575757575</c:v>
                </c:pt>
                <c:pt idx="3">
                  <c:v>0.26582278481012656</c:v>
                </c:pt>
                <c:pt idx="4">
                  <c:v>0.16129032258064516</c:v>
                </c:pt>
                <c:pt idx="5">
                  <c:v>0.18518518518518517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8-490B-9338-D017CCF64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718831"/>
        <c:axId val="673714511"/>
      </c:barChart>
      <c:catAx>
        <c:axId val="67371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14511"/>
        <c:crosses val="autoZero"/>
        <c:auto val="1"/>
        <c:lblAlgn val="ctr"/>
        <c:lblOffset val="100"/>
        <c:noMultiLvlLbl val="0"/>
      </c:catAx>
      <c:valAx>
        <c:axId val="67371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1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Insights'!$H$56</c:f>
              <c:strCache>
                <c:ptCount val="1"/>
                <c:pt idx="0">
                  <c:v>Oppose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- Insights'!$G$57:$G$64</c:f>
              <c:strCache>
                <c:ptCount val="8"/>
                <c:pt idx="0">
                  <c:v>Below 12 million VND</c:v>
                </c:pt>
                <c:pt idx="1">
                  <c:v>From 12 - 18 million VND</c:v>
                </c:pt>
                <c:pt idx="2">
                  <c:v>From 18 - 23 million VND</c:v>
                </c:pt>
                <c:pt idx="3">
                  <c:v>From 23 - 32 million VND</c:v>
                </c:pt>
                <c:pt idx="4">
                  <c:v>From 32 - 48 million VND</c:v>
                </c:pt>
                <c:pt idx="5">
                  <c:v>From 48 - 70 million VND</c:v>
                </c:pt>
                <c:pt idx="6">
                  <c:v>From 70 - 102 million VND</c:v>
                </c:pt>
                <c:pt idx="7">
                  <c:v>Above 102 million VND</c:v>
                </c:pt>
              </c:strCache>
            </c:strRef>
          </c:cat>
          <c:val>
            <c:numRef>
              <c:f>'Human - Insights'!$H$57:$H$64</c:f>
              <c:numCache>
                <c:formatCode>0.0%</c:formatCode>
                <c:ptCount val="8"/>
                <c:pt idx="0">
                  <c:v>0.14634146341463414</c:v>
                </c:pt>
                <c:pt idx="1">
                  <c:v>0.10126582278481013</c:v>
                </c:pt>
                <c:pt idx="2">
                  <c:v>4.878048780487805E-2</c:v>
                </c:pt>
                <c:pt idx="3">
                  <c:v>7.5471698113207544E-2</c:v>
                </c:pt>
                <c:pt idx="4">
                  <c:v>0.11320754716981132</c:v>
                </c:pt>
                <c:pt idx="5">
                  <c:v>0.17741935483870969</c:v>
                </c:pt>
                <c:pt idx="6">
                  <c:v>0.41025641025641024</c:v>
                </c:pt>
                <c:pt idx="7">
                  <c:v>0.48571428571428571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7-4F8A-8227-902382324678}"/>
            </c:ext>
          </c:extLst>
        </c:ser>
        <c:ser>
          <c:idx val="1"/>
          <c:order val="1"/>
          <c:tx>
            <c:strRef>
              <c:f>'Human - Insights'!$I$56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 - Insights'!$G$57:$G$64</c:f>
              <c:strCache>
                <c:ptCount val="8"/>
                <c:pt idx="0">
                  <c:v>Below 12 million VND</c:v>
                </c:pt>
                <c:pt idx="1">
                  <c:v>From 12 - 18 million VND</c:v>
                </c:pt>
                <c:pt idx="2">
                  <c:v>From 18 - 23 million VND</c:v>
                </c:pt>
                <c:pt idx="3">
                  <c:v>From 23 - 32 million VND</c:v>
                </c:pt>
                <c:pt idx="4">
                  <c:v>From 32 - 48 million VND</c:v>
                </c:pt>
                <c:pt idx="5">
                  <c:v>From 48 - 70 million VND</c:v>
                </c:pt>
                <c:pt idx="6">
                  <c:v>From 70 - 102 million VND</c:v>
                </c:pt>
                <c:pt idx="7">
                  <c:v>Above 102 million VND</c:v>
                </c:pt>
              </c:strCache>
            </c:strRef>
          </c:cat>
          <c:val>
            <c:numRef>
              <c:f>'Human - Insights'!$I$57:$I$64</c:f>
              <c:numCache>
                <c:formatCode>0.0%</c:formatCode>
                <c:ptCount val="8"/>
                <c:pt idx="0">
                  <c:v>0.31707317073170732</c:v>
                </c:pt>
                <c:pt idx="1">
                  <c:v>0.27848101265822783</c:v>
                </c:pt>
                <c:pt idx="2">
                  <c:v>0.3902439024390244</c:v>
                </c:pt>
                <c:pt idx="3">
                  <c:v>0.49056603773584906</c:v>
                </c:pt>
                <c:pt idx="4">
                  <c:v>0.660377358490566</c:v>
                </c:pt>
                <c:pt idx="5">
                  <c:v>0.59677419354838712</c:v>
                </c:pt>
                <c:pt idx="6">
                  <c:v>0.46153846153846156</c:v>
                </c:pt>
                <c:pt idx="7">
                  <c:v>0.31428571428571428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7-4F8A-8227-902382324678}"/>
            </c:ext>
          </c:extLst>
        </c:ser>
        <c:ser>
          <c:idx val="2"/>
          <c:order val="2"/>
          <c:tx>
            <c:strRef>
              <c:f>'Human - Insights'!$J$56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'Human - Insights'!$G$57:$G$64</c:f>
              <c:strCache>
                <c:ptCount val="8"/>
                <c:pt idx="0">
                  <c:v>Below 12 million VND</c:v>
                </c:pt>
                <c:pt idx="1">
                  <c:v>From 12 - 18 million VND</c:v>
                </c:pt>
                <c:pt idx="2">
                  <c:v>From 18 - 23 million VND</c:v>
                </c:pt>
                <c:pt idx="3">
                  <c:v>From 23 - 32 million VND</c:v>
                </c:pt>
                <c:pt idx="4">
                  <c:v>From 32 - 48 million VND</c:v>
                </c:pt>
                <c:pt idx="5">
                  <c:v>From 48 - 70 million VND</c:v>
                </c:pt>
                <c:pt idx="6">
                  <c:v>From 70 - 102 million VND</c:v>
                </c:pt>
                <c:pt idx="7">
                  <c:v>Above 102 million VND</c:v>
                </c:pt>
              </c:strCache>
            </c:strRef>
          </c:cat>
          <c:val>
            <c:numRef>
              <c:f>'Human - Insights'!$J$57:$J$64</c:f>
              <c:numCache>
                <c:formatCode>0.0%</c:formatCode>
                <c:ptCount val="8"/>
                <c:pt idx="0">
                  <c:v>0.53658536585365857</c:v>
                </c:pt>
                <c:pt idx="1">
                  <c:v>0.620253164556962</c:v>
                </c:pt>
                <c:pt idx="2">
                  <c:v>0.56097560975609762</c:v>
                </c:pt>
                <c:pt idx="3">
                  <c:v>0.43396226415094341</c:v>
                </c:pt>
                <c:pt idx="4">
                  <c:v>0.22641509433962265</c:v>
                </c:pt>
                <c:pt idx="5">
                  <c:v>0.22580645161290322</c:v>
                </c:pt>
                <c:pt idx="6">
                  <c:v>0.12820512820512819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C7-4F8A-8227-902382324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321823"/>
        <c:axId val="773324703"/>
      </c:barChart>
      <c:catAx>
        <c:axId val="7733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324703"/>
        <c:crosses val="autoZero"/>
        <c:auto val="1"/>
        <c:lblAlgn val="ctr"/>
        <c:lblOffset val="100"/>
        <c:noMultiLvlLbl val="0"/>
      </c:catAx>
      <c:valAx>
        <c:axId val="7733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3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 - Insights'!$H$76</c:f>
              <c:strCache>
                <c:ptCount val="1"/>
                <c:pt idx="0">
                  <c:v>Oppose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- Insights'!$G$77:$G$82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Insights'!$H$77:$H$82</c:f>
              <c:numCache>
                <c:formatCode>0.0%</c:formatCode>
                <c:ptCount val="6"/>
                <c:pt idx="0">
                  <c:v>1.8181818181818181E-2</c:v>
                </c:pt>
                <c:pt idx="1">
                  <c:v>2.5316455696202531E-2</c:v>
                </c:pt>
                <c:pt idx="2">
                  <c:v>6.8181818181818177E-2</c:v>
                </c:pt>
                <c:pt idx="3">
                  <c:v>0.13924050632911392</c:v>
                </c:pt>
                <c:pt idx="4">
                  <c:v>0.29032258064516131</c:v>
                </c:pt>
                <c:pt idx="5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7-4BB6-8C2A-A24E0FCEA536}"/>
            </c:ext>
          </c:extLst>
        </c:ser>
        <c:ser>
          <c:idx val="1"/>
          <c:order val="1"/>
          <c:tx>
            <c:strRef>
              <c:f>'Human - Insights'!$I$76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 - Insights'!$G$77:$G$82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Insights'!$I$77:$I$82</c:f>
              <c:numCache>
                <c:formatCode>0.0%</c:formatCode>
                <c:ptCount val="6"/>
                <c:pt idx="0">
                  <c:v>0.29090909090909089</c:v>
                </c:pt>
                <c:pt idx="1">
                  <c:v>0.4050632911392405</c:v>
                </c:pt>
                <c:pt idx="2">
                  <c:v>0.56060606060606055</c:v>
                </c:pt>
                <c:pt idx="3">
                  <c:v>0.50632911392405067</c:v>
                </c:pt>
                <c:pt idx="4">
                  <c:v>0.45161290322580644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7-4BB6-8C2A-A24E0FCEA536}"/>
            </c:ext>
          </c:extLst>
        </c:ser>
        <c:ser>
          <c:idx val="2"/>
          <c:order val="2"/>
          <c:tx>
            <c:strRef>
              <c:f>'Human - Insights'!$J$76</c:f>
              <c:strCache>
                <c:ptCount val="1"/>
                <c:pt idx="0">
                  <c:v>Support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'Human - Insights'!$G$77:$G$82</c:f>
              <c:strCache>
                <c:ptCount val="6"/>
                <c:pt idx="0">
                  <c:v>18 - 24</c:v>
                </c:pt>
                <c:pt idx="1">
                  <c:v>25 - 29</c:v>
                </c:pt>
                <c:pt idx="2">
                  <c:v>30 - 39</c:v>
                </c:pt>
                <c:pt idx="3">
                  <c:v>40 - 49</c:v>
                </c:pt>
                <c:pt idx="4">
                  <c:v>50 - 54</c:v>
                </c:pt>
                <c:pt idx="5">
                  <c:v>55 - 64</c:v>
                </c:pt>
              </c:strCache>
            </c:strRef>
          </c:cat>
          <c:val>
            <c:numRef>
              <c:f>'Human - Insights'!$J$77:$J$82</c:f>
              <c:numCache>
                <c:formatCode>0.0%</c:formatCode>
                <c:ptCount val="6"/>
                <c:pt idx="0">
                  <c:v>0.69090909090909092</c:v>
                </c:pt>
                <c:pt idx="1">
                  <c:v>0.569620253164557</c:v>
                </c:pt>
                <c:pt idx="2">
                  <c:v>0.37121212121212122</c:v>
                </c:pt>
                <c:pt idx="3">
                  <c:v>0.35443037974683544</c:v>
                </c:pt>
                <c:pt idx="4">
                  <c:v>0.25806451612903225</c:v>
                </c:pt>
                <c:pt idx="5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7-4BB6-8C2A-A24E0FCEA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237407"/>
        <c:axId val="439236927"/>
      </c:barChart>
      <c:catAx>
        <c:axId val="4392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6927"/>
        <c:crosses val="autoZero"/>
        <c:auto val="1"/>
        <c:lblAlgn val="ctr"/>
        <c:lblOffset val="100"/>
        <c:noMultiLvlLbl val="0"/>
      </c:catAx>
      <c:valAx>
        <c:axId val="4392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292893</xdr:colOff>
      <xdr:row>5</xdr:row>
      <xdr:rowOff>119062</xdr:rowOff>
    </xdr:from>
    <xdr:to>
      <xdr:col>17</xdr:col>
      <xdr:colOff>330993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81A4F-E2CB-7870-389E-C2AC4F6F4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169069</xdr:colOff>
      <xdr:row>42</xdr:row>
      <xdr:rowOff>33337</xdr:rowOff>
    </xdr:from>
    <xdr:to>
      <xdr:col>23</xdr:col>
      <xdr:colOff>207169</xdr:colOff>
      <xdr:row>57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24A5F8-C31A-FDDB-3135-1A1818765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211930</xdr:colOff>
      <xdr:row>43</xdr:row>
      <xdr:rowOff>28575</xdr:rowOff>
    </xdr:from>
    <xdr:to>
      <xdr:col>17</xdr:col>
      <xdr:colOff>250030</xdr:colOff>
      <xdr:row>58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D060FC-14E9-4B06-4033-844480B7C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264318</xdr:colOff>
      <xdr:row>23</xdr:row>
      <xdr:rowOff>119062</xdr:rowOff>
    </xdr:from>
    <xdr:to>
      <xdr:col>17</xdr:col>
      <xdr:colOff>302418</xdr:colOff>
      <xdr:row>38</xdr:row>
      <xdr:rowOff>147637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742195-D3F2-2DB4-4E1F-303FE0F0D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559593</xdr:colOff>
      <xdr:row>27</xdr:row>
      <xdr:rowOff>61912</xdr:rowOff>
    </xdr:from>
    <xdr:to>
      <xdr:col>19</xdr:col>
      <xdr:colOff>597693</xdr:colOff>
      <xdr:row>42</xdr:row>
      <xdr:rowOff>90487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1C15146-6EEA-CF16-D774-5BD3B52AC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40481</xdr:colOff>
      <xdr:row>37</xdr:row>
      <xdr:rowOff>176212</xdr:rowOff>
    </xdr:from>
    <xdr:to>
      <xdr:col>17</xdr:col>
      <xdr:colOff>78581</xdr:colOff>
      <xdr:row>53</xdr:row>
      <xdr:rowOff>23812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17C4B1-44E2-B44A-431C-A9E2CC9EF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645318</xdr:colOff>
      <xdr:row>29</xdr:row>
      <xdr:rowOff>176212</xdr:rowOff>
    </xdr:from>
    <xdr:to>
      <xdr:col>20</xdr:col>
      <xdr:colOff>35718</xdr:colOff>
      <xdr:row>45</xdr:row>
      <xdr:rowOff>23812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5232EB8-2BC5-47B1-4511-FD507F49B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264318</xdr:colOff>
      <xdr:row>61</xdr:row>
      <xdr:rowOff>133350</xdr:rowOff>
    </xdr:from>
    <xdr:to>
      <xdr:col>18</xdr:col>
      <xdr:colOff>302418</xdr:colOff>
      <xdr:row>76</xdr:row>
      <xdr:rowOff>161925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0D92766-3B34-CC91-F2D8-A7B441F01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340518</xdr:colOff>
      <xdr:row>73</xdr:row>
      <xdr:rowOff>128587</xdr:rowOff>
    </xdr:from>
    <xdr:to>
      <xdr:col>20</xdr:col>
      <xdr:colOff>378618</xdr:colOff>
      <xdr:row>88</xdr:row>
      <xdr:rowOff>157162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243EB4-2D28-C1AB-8693-8604EA12B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DC38-B549-462D-9995-98FCA3495802}">
  <dimension ref="A1:AC137"/>
  <sheetViews>
    <sheetView tabSelected="1" topLeftCell="A30" zoomScaleNormal="100" workbookViewId="0">
      <selection activeCell="D50" sqref="D50"/>
    </sheetView>
  </sheetViews>
  <sheetFormatPr defaultRowHeight="14.25" x14ac:dyDescent="0.45"/>
  <sheetData>
    <row r="1" spans="1:12" x14ac:dyDescent="0.45">
      <c r="A1" s="4" t="s">
        <v>84</v>
      </c>
    </row>
    <row r="2" spans="1:12" x14ac:dyDescent="0.45">
      <c r="A2" s="1" t="s">
        <v>0</v>
      </c>
      <c r="B2" s="1" t="s">
        <v>1</v>
      </c>
      <c r="C2" s="1" t="s">
        <v>2</v>
      </c>
      <c r="D2" s="1" t="s">
        <v>18</v>
      </c>
      <c r="E2" s="1" t="s">
        <v>20</v>
      </c>
      <c r="F2" s="1" t="s">
        <v>19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x14ac:dyDescent="0.45">
      <c r="A3" s="2" t="s">
        <v>9</v>
      </c>
      <c r="B3" s="6">
        <v>1.304</v>
      </c>
      <c r="C3" s="5">
        <v>0.56000000000000005</v>
      </c>
      <c r="D3" s="6">
        <v>0.36628778965160635</v>
      </c>
      <c r="E3" s="5">
        <v>0.32</v>
      </c>
      <c r="F3" s="6">
        <v>0.82399999999999995</v>
      </c>
      <c r="G3" s="5">
        <v>0.12</v>
      </c>
      <c r="H3" s="5">
        <v>0.44</v>
      </c>
      <c r="I3" s="5">
        <v>0.44</v>
      </c>
      <c r="J3" s="5">
        <v>0.28000000000000003</v>
      </c>
      <c r="K3" s="5">
        <v>0.6</v>
      </c>
      <c r="L3" s="5">
        <v>0.12</v>
      </c>
    </row>
    <row r="4" spans="1:12" x14ac:dyDescent="0.45">
      <c r="A4" s="2" t="s">
        <v>10</v>
      </c>
      <c r="B4" s="6">
        <v>1.3280000000000001</v>
      </c>
      <c r="C4" s="5">
        <v>0.56000000000000005</v>
      </c>
      <c r="D4" s="6">
        <v>0.22315184957216841</v>
      </c>
      <c r="E4" s="5">
        <v>0.24000000000000005</v>
      </c>
      <c r="F4" s="6">
        <v>0.91199999999999992</v>
      </c>
      <c r="G4" s="5">
        <v>0</v>
      </c>
      <c r="H4" s="5">
        <v>0.6</v>
      </c>
      <c r="I4" s="5">
        <v>0.4</v>
      </c>
      <c r="J4" s="5">
        <v>0.2</v>
      </c>
      <c r="K4" s="5">
        <v>0.64</v>
      </c>
      <c r="L4" s="5">
        <v>0.16</v>
      </c>
    </row>
    <row r="5" spans="1:12" x14ac:dyDescent="0.45">
      <c r="A5" s="2" t="s">
        <v>11</v>
      </c>
      <c r="B5" s="6">
        <v>1.7999999999999998</v>
      </c>
      <c r="C5" s="5">
        <v>0.6</v>
      </c>
      <c r="D5" s="6">
        <v>0.302541741159911</v>
      </c>
      <c r="E5" s="5">
        <v>0.16000000000000003</v>
      </c>
      <c r="F5" s="6">
        <v>1.5599999999999996</v>
      </c>
      <c r="G5" s="5">
        <v>0.2</v>
      </c>
      <c r="H5" s="5">
        <v>0.52</v>
      </c>
      <c r="I5" s="5">
        <v>0.28000000000000003</v>
      </c>
      <c r="J5" s="5">
        <v>0.04</v>
      </c>
      <c r="K5" s="5">
        <v>0.68</v>
      </c>
      <c r="L5" s="5">
        <v>0.28000000000000003</v>
      </c>
    </row>
    <row r="6" spans="1:12" x14ac:dyDescent="0.45">
      <c r="A6" s="2" t="s">
        <v>12</v>
      </c>
      <c r="B6" s="6">
        <v>1.5440000000000003</v>
      </c>
      <c r="C6" s="5">
        <v>0.56000000000000005</v>
      </c>
      <c r="D6" s="6">
        <v>0.15179083485654057</v>
      </c>
      <c r="E6" s="5">
        <v>3.9999999999999994E-2</v>
      </c>
      <c r="F6" s="6">
        <v>1.2079999999999997</v>
      </c>
      <c r="G6" s="5">
        <v>0.04</v>
      </c>
      <c r="H6" s="5">
        <v>0.52</v>
      </c>
      <c r="I6" s="5">
        <v>0.44</v>
      </c>
      <c r="J6" s="5">
        <v>0</v>
      </c>
      <c r="K6" s="5">
        <v>0.52</v>
      </c>
      <c r="L6" s="5">
        <v>0.48</v>
      </c>
    </row>
    <row r="7" spans="1:12" x14ac:dyDescent="0.45">
      <c r="A7" s="2" t="s">
        <v>13</v>
      </c>
      <c r="B7" s="6">
        <v>1.1840000000000002</v>
      </c>
      <c r="C7" s="5">
        <v>0.56000000000000005</v>
      </c>
      <c r="D7" s="6">
        <v>6.7299764156685704E-2</v>
      </c>
      <c r="E7" s="5">
        <v>0.12</v>
      </c>
      <c r="F7" s="6">
        <v>0.62399999999999989</v>
      </c>
      <c r="G7" s="5">
        <v>0.12</v>
      </c>
      <c r="H7" s="5">
        <v>0.64</v>
      </c>
      <c r="I7" s="5">
        <v>0.24</v>
      </c>
      <c r="J7" s="5">
        <v>0.12</v>
      </c>
      <c r="K7" s="5">
        <v>0.76</v>
      </c>
      <c r="L7" s="5">
        <v>0.12</v>
      </c>
    </row>
    <row r="8" spans="1:12" x14ac:dyDescent="0.45">
      <c r="A8" s="2" t="s">
        <v>14</v>
      </c>
      <c r="B8" s="6">
        <v>1.4880000000000004</v>
      </c>
      <c r="C8" s="5">
        <v>0.6</v>
      </c>
      <c r="D8" s="6">
        <v>0.30076400330123909</v>
      </c>
      <c r="E8" s="5">
        <v>0.11999999999999997</v>
      </c>
      <c r="F8" s="6">
        <v>1.3279999999999998</v>
      </c>
      <c r="G8" s="5">
        <v>0.16</v>
      </c>
      <c r="H8" s="5">
        <v>0.52</v>
      </c>
      <c r="I8" s="5">
        <v>0.32</v>
      </c>
      <c r="J8" s="5">
        <v>0.04</v>
      </c>
      <c r="K8" s="5">
        <v>0.6</v>
      </c>
      <c r="L8" s="5">
        <v>0.36</v>
      </c>
    </row>
    <row r="9" spans="1:12" x14ac:dyDescent="0.45">
      <c r="A9" s="2" t="s">
        <v>15</v>
      </c>
      <c r="B9" s="6">
        <v>1.4560000000000002</v>
      </c>
      <c r="C9" s="5">
        <v>0.72</v>
      </c>
      <c r="D9" s="6">
        <v>0.50390325986026885</v>
      </c>
      <c r="E9" s="5">
        <v>0.28000000000000003</v>
      </c>
      <c r="F9" s="6">
        <v>1.4079999999999999</v>
      </c>
      <c r="G9" s="5">
        <v>0.24</v>
      </c>
      <c r="H9" s="5">
        <v>0.6</v>
      </c>
      <c r="I9" s="5">
        <v>0.16</v>
      </c>
      <c r="J9" s="5">
        <v>0</v>
      </c>
      <c r="K9" s="5">
        <v>0.88</v>
      </c>
      <c r="L9" s="5">
        <v>0.12</v>
      </c>
    </row>
    <row r="10" spans="1:12" x14ac:dyDescent="0.45">
      <c r="A10" s="2" t="s">
        <v>16</v>
      </c>
      <c r="B10" s="6">
        <v>0.86399999999999988</v>
      </c>
      <c r="C10" s="5">
        <v>0.8</v>
      </c>
      <c r="D10" s="6">
        <v>0.56617647058823528</v>
      </c>
      <c r="E10" s="5">
        <v>0.11999999999999997</v>
      </c>
      <c r="F10" s="6">
        <v>0.46400000000000008</v>
      </c>
      <c r="G10" s="5">
        <v>0</v>
      </c>
      <c r="H10" s="5">
        <v>0.68</v>
      </c>
      <c r="I10" s="5">
        <v>0.32</v>
      </c>
      <c r="J10" s="5">
        <v>0.08</v>
      </c>
      <c r="K10" s="5">
        <v>0.72</v>
      </c>
      <c r="L10" s="5">
        <v>0.2</v>
      </c>
    </row>
    <row r="11" spans="1:12" x14ac:dyDescent="0.45">
      <c r="A11" s="2" t="s">
        <v>17</v>
      </c>
      <c r="B11" s="6">
        <v>1.04</v>
      </c>
      <c r="C11" s="5">
        <v>0.88</v>
      </c>
      <c r="D11" s="6">
        <v>0.7566444492037343</v>
      </c>
      <c r="E11" s="5">
        <v>3.9999999999999952E-2</v>
      </c>
      <c r="F11" s="6">
        <v>0.76800000000000002</v>
      </c>
      <c r="G11" s="5">
        <v>0</v>
      </c>
      <c r="H11" s="5">
        <v>0.44</v>
      </c>
      <c r="I11" s="5">
        <v>0.56000000000000005</v>
      </c>
      <c r="J11" s="5">
        <v>0</v>
      </c>
      <c r="K11" s="5">
        <v>0.4</v>
      </c>
      <c r="L11" s="5">
        <v>0.6</v>
      </c>
    </row>
    <row r="14" spans="1:12" x14ac:dyDescent="0.45">
      <c r="A14" s="4" t="s">
        <v>26</v>
      </c>
    </row>
    <row r="15" spans="1:12" x14ac:dyDescent="0.45">
      <c r="A15" s="1" t="s">
        <v>0</v>
      </c>
      <c r="B15" s="1" t="s">
        <v>1</v>
      </c>
      <c r="C15" s="1" t="s">
        <v>2</v>
      </c>
      <c r="D15" s="1" t="s">
        <v>18</v>
      </c>
      <c r="E15" s="1" t="s">
        <v>20</v>
      </c>
      <c r="F15" s="1" t="s">
        <v>19</v>
      </c>
      <c r="G15" s="1" t="s">
        <v>3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</row>
    <row r="16" spans="1:12" x14ac:dyDescent="0.45">
      <c r="A16" s="2" t="s">
        <v>9</v>
      </c>
      <c r="B16" s="6">
        <f>'Validation - Summary'!B3</f>
        <v>1.9151364764267993</v>
      </c>
      <c r="C16" s="5">
        <f>'Validation - Summary'!C3</f>
        <v>0.43424317617866004</v>
      </c>
      <c r="D16" s="6">
        <f>'Validation - Summary'!D3</f>
        <v>9.7789611446339126E-4</v>
      </c>
      <c r="E16" s="5">
        <f>'Validation - Summary'!E3</f>
        <v>0.24218362282878408</v>
      </c>
      <c r="F16" s="6">
        <f>'Validation - Summary'!F3</f>
        <v>0.95434243176178646</v>
      </c>
      <c r="G16" s="5">
        <f>'Validation - Summary'!G3</f>
        <v>0.13647642679900746</v>
      </c>
      <c r="H16" s="5">
        <f>'Validation - Summary'!H3</f>
        <v>0.44665012406947896</v>
      </c>
      <c r="I16" s="5">
        <f>'Validation - Summary'!I3</f>
        <v>0.4168734491315137</v>
      </c>
      <c r="J16" s="5">
        <f>'Validation - Summary'!J3</f>
        <v>1.2406947890818859E-2</v>
      </c>
      <c r="K16" s="5">
        <f>'Validation - Summary'!K3</f>
        <v>0.68883374689826282</v>
      </c>
      <c r="L16" s="5">
        <f>'Validation - Summary'!L3</f>
        <v>0.29875930521091815</v>
      </c>
    </row>
    <row r="17" spans="1:12" x14ac:dyDescent="0.45">
      <c r="A17" s="2" t="s">
        <v>10</v>
      </c>
      <c r="B17" s="6">
        <f>'Validation - Summary'!B4</f>
        <v>1.8982630272952854</v>
      </c>
      <c r="C17" s="5">
        <f>'Validation - Summary'!C4</f>
        <v>0.42452131402540638</v>
      </c>
      <c r="D17" s="6">
        <f>'Validation - Summary'!D4</f>
        <v>-2.7270301642591348E-2</v>
      </c>
      <c r="E17" s="5">
        <f>'Validation - Summary'!E4</f>
        <v>0.11092675579916793</v>
      </c>
      <c r="F17" s="6">
        <f>'Validation - Summary'!F4</f>
        <v>0.7364764267990076</v>
      </c>
      <c r="G17" s="5">
        <f>'Validation - Summary'!G4</f>
        <v>0.11166253101736974</v>
      </c>
      <c r="H17" s="5">
        <f>'Validation - Summary'!H4</f>
        <v>0.41191066997518611</v>
      </c>
      <c r="I17" s="5">
        <f>'Validation - Summary'!I4</f>
        <v>0.47642679900744411</v>
      </c>
      <c r="J17" s="5">
        <f>'Validation - Summary'!J4</f>
        <v>9.4342184857350957E-3</v>
      </c>
      <c r="K17" s="5">
        <f>'Validation - Summary'!K4</f>
        <v>0.51936348036492475</v>
      </c>
      <c r="L17" s="5">
        <f>'Validation - Summary'!L4</f>
        <v>0.4712023011493402</v>
      </c>
    </row>
    <row r="18" spans="1:12" x14ac:dyDescent="0.45">
      <c r="A18" s="2" t="s">
        <v>11</v>
      </c>
      <c r="B18" s="6">
        <f>'Validation - Summary'!B5</f>
        <v>2.5975186104218362</v>
      </c>
      <c r="C18" s="5">
        <f>'Validation - Summary'!C5</f>
        <v>0.38380430354431316</v>
      </c>
      <c r="D18" s="6">
        <f>'Validation - Summary'!D5</f>
        <v>2.6828823238897702E-2</v>
      </c>
      <c r="E18" s="5">
        <f>'Validation - Summary'!E5</f>
        <v>0.44158364505018327</v>
      </c>
      <c r="F18" s="6">
        <f>'Validation - Summary'!F5</f>
        <v>2.189081885856079</v>
      </c>
      <c r="G18" s="5">
        <f>'Validation - Summary'!G5</f>
        <v>0.20595533498759305</v>
      </c>
      <c r="H18" s="5">
        <f>'Validation - Summary'!H5</f>
        <v>0.43920595533498757</v>
      </c>
      <c r="I18" s="5">
        <f>'Validation - Summary'!I5</f>
        <v>0.35483870967741937</v>
      </c>
      <c r="J18" s="5">
        <f>'Validation - Summary'!J5</f>
        <v>9.9379035344369969E-4</v>
      </c>
      <c r="K18" s="5">
        <f>'Validation - Summary'!K5</f>
        <v>0.20258385491895364</v>
      </c>
      <c r="L18" s="5">
        <f>'Validation - Summary'!L5</f>
        <v>0.79642235472760281</v>
      </c>
    </row>
    <row r="19" spans="1:12" x14ac:dyDescent="0.45">
      <c r="A19" s="2" t="s">
        <v>12</v>
      </c>
      <c r="B19" s="6">
        <f>'Validation - Summary'!B6</f>
        <v>1.8843672456575682</v>
      </c>
      <c r="C19" s="5">
        <f>'Validation - Summary'!C6</f>
        <v>0.49254842413243949</v>
      </c>
      <c r="D19" s="6">
        <f>'Validation - Summary'!D6</f>
        <v>2.5662421520341684E-2</v>
      </c>
      <c r="E19" s="5">
        <f>'Validation - Summary'!E6</f>
        <v>0.47442934212313126</v>
      </c>
      <c r="F19" s="6">
        <f>'Validation - Summary'!F6</f>
        <v>1.5464019851116624</v>
      </c>
      <c r="G19" s="5">
        <f>'Validation - Summary'!G6</f>
        <v>5.2109181141439212E-2</v>
      </c>
      <c r="H19" s="5">
        <f>'Validation - Summary'!H6</f>
        <v>0.45905707196029777</v>
      </c>
      <c r="I19" s="5">
        <f>'Validation - Summary'!I6</f>
        <v>0.48883374689826303</v>
      </c>
      <c r="J19" s="5">
        <f>'Validation - Summary'!J6</f>
        <v>0</v>
      </c>
      <c r="K19" s="5">
        <f>'Validation - Summary'!K6</f>
        <v>3.6736910978605729E-2</v>
      </c>
      <c r="L19" s="5">
        <f>'Validation - Summary'!L6</f>
        <v>0.96326308902139424</v>
      </c>
    </row>
    <row r="20" spans="1:12" x14ac:dyDescent="0.45">
      <c r="A20" s="2" t="s">
        <v>13</v>
      </c>
      <c r="B20" s="6">
        <f>'Validation - Summary'!B7</f>
        <v>2.1002481389578165</v>
      </c>
      <c r="C20" s="5">
        <f>'Validation - Summary'!C7</f>
        <v>0.4354797086884778</v>
      </c>
      <c r="D20" s="6">
        <f>'Validation - Summary'!D7</f>
        <v>2.8032425576787846E-2</v>
      </c>
      <c r="E20" s="5">
        <f>'Validation - Summary'!E7</f>
        <v>0.21649709534787406</v>
      </c>
      <c r="F20" s="6">
        <f>'Validation - Summary'!F7</f>
        <v>1.4168734491315136</v>
      </c>
      <c r="G20" s="5">
        <f>'Validation - Summary'!G7</f>
        <v>0.14143920595533499</v>
      </c>
      <c r="H20" s="5">
        <f>'Validation - Summary'!H7</f>
        <v>0.54094292803970223</v>
      </c>
      <c r="I20" s="5">
        <f>'Validation - Summary'!I7</f>
        <v>0.31761786600496278</v>
      </c>
      <c r="J20" s="5">
        <f>'Validation - Summary'!J7</f>
        <v>3.4900311410528406E-3</v>
      </c>
      <c r="K20" s="5">
        <f>'Validation - Summary'!K7</f>
        <v>0.4623950075061104</v>
      </c>
      <c r="L20" s="5">
        <f>'Validation - Summary'!L7</f>
        <v>0.53411496135283676</v>
      </c>
    </row>
    <row r="21" spans="1:12" x14ac:dyDescent="0.45">
      <c r="A21" s="2" t="s">
        <v>14</v>
      </c>
      <c r="B21" s="6">
        <f>'Validation - Summary'!B8</f>
        <v>2.4625310173697268</v>
      </c>
      <c r="C21" s="5">
        <f>'Validation - Summary'!C8</f>
        <v>0.37866403642634705</v>
      </c>
      <c r="D21" s="6">
        <f>'Validation - Summary'!D8</f>
        <v>-2.7899708904009814E-2</v>
      </c>
      <c r="E21" s="5">
        <f>'Validation - Summary'!E8</f>
        <v>0.57053157385907605</v>
      </c>
      <c r="F21" s="6">
        <f>'Validation - Summary'!F8</f>
        <v>2.1697270471464019</v>
      </c>
      <c r="G21" s="5">
        <f>'Validation - Summary'!G8</f>
        <v>0.17369727047146402</v>
      </c>
      <c r="H21" s="5">
        <f>'Validation - Summary'!H8</f>
        <v>0.44168734491315143</v>
      </c>
      <c r="I21" s="5">
        <f>'Validation - Summary'!I8</f>
        <v>0.38461538461538464</v>
      </c>
      <c r="J21" s="5">
        <f>'Validation - Summary'!J8</f>
        <v>0</v>
      </c>
      <c r="K21" s="5">
        <f>'Validation - Summary'!K8</f>
        <v>4.4853041525539386E-2</v>
      </c>
      <c r="L21" s="5">
        <f>'Validation - Summary'!L8</f>
        <v>0.95514695847446074</v>
      </c>
    </row>
    <row r="22" spans="1:12" x14ac:dyDescent="0.45">
      <c r="A22" s="2" t="s">
        <v>15</v>
      </c>
      <c r="B22" s="6">
        <f>'Validation - Summary'!B9</f>
        <v>2.4625310173697272</v>
      </c>
      <c r="C22" s="5">
        <f>'Validation - Summary'!C9</f>
        <v>0.40009056959591077</v>
      </c>
      <c r="D22" s="6">
        <f>'Validation - Summary'!D9</f>
        <v>1.9436243589133338E-2</v>
      </c>
      <c r="E22" s="5">
        <f>'Validation - Summary'!E9</f>
        <v>0.29807840003955394</v>
      </c>
      <c r="F22" s="6">
        <f>'Validation - Summary'!F9</f>
        <v>1.8893300248138956</v>
      </c>
      <c r="G22" s="5">
        <f>'Validation - Summary'!G9</f>
        <v>0.17866004962779156</v>
      </c>
      <c r="H22" s="5">
        <f>'Validation - Summary'!H9</f>
        <v>0.53846153846153844</v>
      </c>
      <c r="I22" s="5">
        <f>'Validation - Summary'!I9</f>
        <v>0.28287841191066998</v>
      </c>
      <c r="J22" s="5">
        <f>'Validation - Summary'!J9</f>
        <v>9.9626555501792775E-4</v>
      </c>
      <c r="K22" s="5">
        <f>'Validation - Summary'!K9</f>
        <v>0.41804692249475811</v>
      </c>
      <c r="L22" s="5">
        <f>'Validation - Summary'!L9</f>
        <v>0.58095681195022397</v>
      </c>
    </row>
    <row r="23" spans="1:12" x14ac:dyDescent="0.45">
      <c r="A23" s="2" t="s">
        <v>16</v>
      </c>
      <c r="B23" s="6">
        <f>'Validation - Summary'!B10</f>
        <v>1.9776674937965262</v>
      </c>
      <c r="C23" s="5">
        <f>'Validation - Summary'!C10</f>
        <v>0.43646232677013935</v>
      </c>
      <c r="D23" s="6">
        <f>'Validation - Summary'!D10</f>
        <v>6.0542353683866459E-5</v>
      </c>
      <c r="E23" s="5">
        <f>'Validation - Summary'!E10</f>
        <v>0.22042527103226339</v>
      </c>
      <c r="F23" s="6">
        <f>'Validation - Summary'!F10</f>
        <v>1.2610421836228287</v>
      </c>
      <c r="G23" s="5">
        <f>'Validation - Summary'!G10</f>
        <v>0.11414392059553349</v>
      </c>
      <c r="H23" s="5">
        <f>'Validation - Summary'!H10</f>
        <v>0.5831265508684863</v>
      </c>
      <c r="I23" s="5">
        <f>'Validation - Summary'!I10</f>
        <v>0.30272952853598017</v>
      </c>
      <c r="J23" s="5">
        <f>'Validation - Summary'!J10</f>
        <v>0</v>
      </c>
      <c r="K23" s="5">
        <f>'Validation - Summary'!K10</f>
        <v>0.47684520043175638</v>
      </c>
      <c r="L23" s="5">
        <f>'Validation - Summary'!L10</f>
        <v>0.52315479956824362</v>
      </c>
    </row>
    <row r="24" spans="1:12" x14ac:dyDescent="0.45">
      <c r="A24" s="2" t="s">
        <v>17</v>
      </c>
      <c r="B24" s="6">
        <f>'Validation - Summary'!B11</f>
        <v>2.2486352357320101</v>
      </c>
      <c r="C24" s="5">
        <f>'Validation - Summary'!C11</f>
        <v>0.43669045669408568</v>
      </c>
      <c r="D24" s="6">
        <f>'Validation - Summary'!D11</f>
        <v>1.4769023174400018E-2</v>
      </c>
      <c r="E24" s="5">
        <f>'Validation - Summary'!E11</f>
        <v>0.52734777779696773</v>
      </c>
      <c r="F24" s="6">
        <f>'Validation - Summary'!F11</f>
        <v>1.9225806451612903</v>
      </c>
      <c r="G24" s="5">
        <f>'Validation - Summary'!G11</f>
        <v>8.6848635235732011E-2</v>
      </c>
      <c r="H24" s="5">
        <f>'Validation - Summary'!H11</f>
        <v>0.4813895781637717</v>
      </c>
      <c r="I24" s="5">
        <f>'Validation - Summary'!I11</f>
        <v>0.4317617866004963</v>
      </c>
      <c r="J24" s="5">
        <f>'Validation - Summary'!J11</f>
        <v>4.9875311720698251E-4</v>
      </c>
      <c r="K24" s="5">
        <f>'Validation - Summary'!K11</f>
        <v>4.0391682485328963E-2</v>
      </c>
      <c r="L24" s="5">
        <f>'Validation - Summary'!L11</f>
        <v>0.95910956439746398</v>
      </c>
    </row>
    <row r="25" spans="1:12" x14ac:dyDescent="0.45">
      <c r="B25" s="9"/>
      <c r="C25" s="10"/>
      <c r="D25" s="9"/>
      <c r="E25" s="10"/>
      <c r="F25" s="9"/>
      <c r="G25" s="10"/>
      <c r="H25" s="10"/>
      <c r="I25" s="10"/>
      <c r="J25" s="10"/>
      <c r="K25" s="10"/>
      <c r="L25" s="10"/>
    </row>
    <row r="27" spans="1:12" x14ac:dyDescent="0.45">
      <c r="A27" s="4" t="s">
        <v>27</v>
      </c>
    </row>
    <row r="28" spans="1:12" x14ac:dyDescent="0.45">
      <c r="A28" s="1" t="s">
        <v>0</v>
      </c>
      <c r="B28" s="1" t="s">
        <v>1</v>
      </c>
      <c r="C28" s="1" t="s">
        <v>2</v>
      </c>
      <c r="D28" s="1" t="s">
        <v>18</v>
      </c>
      <c r="E28" s="1" t="s">
        <v>20</v>
      </c>
      <c r="F28" s="1" t="s">
        <v>19</v>
      </c>
      <c r="G28" s="1" t="s">
        <v>3</v>
      </c>
      <c r="H28" s="1" t="s">
        <v>4</v>
      </c>
      <c r="I28" s="1" t="s">
        <v>5</v>
      </c>
      <c r="J28" s="1" t="s">
        <v>6</v>
      </c>
      <c r="K28" s="1" t="s">
        <v>7</v>
      </c>
      <c r="L28" s="1" t="s">
        <v>8</v>
      </c>
    </row>
    <row r="29" spans="1:12" x14ac:dyDescent="0.45">
      <c r="A29" s="2" t="s">
        <v>9</v>
      </c>
      <c r="B29" s="6">
        <f>'Calibration - Summary'!B3</f>
        <v>1.8471464019851116</v>
      </c>
      <c r="C29" s="5">
        <f>'Calibration - Summary'!C3</f>
        <v>0.43473945409429282</v>
      </c>
      <c r="D29" s="6">
        <f>'Calibration - Summary'!D3</f>
        <v>9.7132092111481823E-4</v>
      </c>
      <c r="E29" s="5">
        <f>'Calibration - Summary'!E3</f>
        <v>0.23970223325062037</v>
      </c>
      <c r="F29" s="6">
        <f>'Calibration - Summary'!F3</f>
        <v>1.4143920595533499</v>
      </c>
      <c r="G29" s="5">
        <f>'Calibration - Summary'!G3</f>
        <v>0.13647642679900746</v>
      </c>
      <c r="H29" s="5">
        <f>'Calibration - Summary'!H3</f>
        <v>0.44665012406947896</v>
      </c>
      <c r="I29" s="5">
        <f>'Calibration - Summary'!I3</f>
        <v>0.4168734491315137</v>
      </c>
      <c r="J29" s="5">
        <f>'Calibration - Summary'!J3</f>
        <v>1.1910669975186104E-2</v>
      </c>
      <c r="K29" s="5">
        <f>'Calibration - Summary'!K3</f>
        <v>0.68635235732009936</v>
      </c>
      <c r="L29" s="5">
        <f>'Calibration - Summary'!L3</f>
        <v>0.30173697270471467</v>
      </c>
    </row>
    <row r="30" spans="1:12" x14ac:dyDescent="0.45">
      <c r="A30" s="2" t="s">
        <v>10</v>
      </c>
      <c r="B30" s="6">
        <f>'Calibration - Summary'!B4</f>
        <v>1.8377171215880892</v>
      </c>
      <c r="C30" s="5">
        <f>'Calibration - Summary'!C4</f>
        <v>0.45856079404466499</v>
      </c>
      <c r="D30" s="6">
        <f>'Calibration - Summary'!D4</f>
        <v>3.3905286921252623E-2</v>
      </c>
      <c r="E30" s="5">
        <f>'Calibration - Summary'!E4</f>
        <v>0.14392059553349876</v>
      </c>
      <c r="F30" s="6">
        <f>'Calibration - Summary'!F4</f>
        <v>1.6401985111662534</v>
      </c>
      <c r="G30" s="5">
        <f>'Calibration - Summary'!G4</f>
        <v>0.11166253101736974</v>
      </c>
      <c r="H30" s="5">
        <f>'Calibration - Summary'!H4</f>
        <v>0.41191066997518611</v>
      </c>
      <c r="I30" s="5">
        <f>'Calibration - Summary'!I4</f>
        <v>0.47642679900744411</v>
      </c>
      <c r="J30" s="5">
        <f>'Calibration - Summary'!J4</f>
        <v>1.9851116625310174E-3</v>
      </c>
      <c r="K30" s="5">
        <f>'Calibration - Summary'!K4</f>
        <v>0.55037220843672463</v>
      </c>
      <c r="L30" s="5">
        <f>'Calibration - Summary'!L4</f>
        <v>0.44764267990074441</v>
      </c>
    </row>
    <row r="31" spans="1:12" x14ac:dyDescent="0.45">
      <c r="A31" s="2" t="s">
        <v>11</v>
      </c>
      <c r="B31" s="6">
        <f>'Calibration - Summary'!B5</f>
        <v>2.4456575682382131</v>
      </c>
      <c r="C31" s="5">
        <f>'Calibration - Summary'!C5</f>
        <v>0.3900744416873449</v>
      </c>
      <c r="D31" s="6">
        <f>'Calibration - Summary'!D5</f>
        <v>9.1640253241703964E-3</v>
      </c>
      <c r="E31" s="5">
        <f>'Calibration - Summary'!E5</f>
        <v>0.25756823821339947</v>
      </c>
      <c r="F31" s="6">
        <f>'Calibration - Summary'!F5</f>
        <v>1.9255583126550868</v>
      </c>
      <c r="G31" s="5">
        <f>'Calibration - Summary'!G5</f>
        <v>0.20595533498759305</v>
      </c>
      <c r="H31" s="5">
        <f>'Calibration - Summary'!H5</f>
        <v>0.43920595533498757</v>
      </c>
      <c r="I31" s="5">
        <f>'Calibration - Summary'!I5</f>
        <v>0.35483870967741937</v>
      </c>
      <c r="J31" s="5">
        <f>'Calibration - Summary'!J5</f>
        <v>1.0918114143920596E-2</v>
      </c>
      <c r="K31" s="5">
        <f>'Calibration - Summary'!K5</f>
        <v>0.3796526054590571</v>
      </c>
      <c r="L31" s="5">
        <f>'Calibration - Summary'!L5</f>
        <v>0.60942928039702227</v>
      </c>
    </row>
    <row r="32" spans="1:12" x14ac:dyDescent="0.45">
      <c r="A32" s="2" t="s">
        <v>12</v>
      </c>
      <c r="B32" s="6">
        <f>'Calibration - Summary'!B6</f>
        <v>1.6908188585607937</v>
      </c>
      <c r="C32" s="5">
        <f>'Calibration - Summary'!C6</f>
        <v>0.46423465797563052</v>
      </c>
      <c r="D32" s="6">
        <f>'Calibration - Summary'!D6</f>
        <v>-2.1171244749280487E-2</v>
      </c>
      <c r="E32" s="5">
        <f>'Calibration - Summary'!E6</f>
        <v>0.18943002111032919</v>
      </c>
      <c r="F32" s="6">
        <f>'Calibration - Summary'!F6</f>
        <v>0.75682382133995041</v>
      </c>
      <c r="G32" s="5">
        <f>'Calibration - Summary'!G6</f>
        <v>5.2109181141439212E-2</v>
      </c>
      <c r="H32" s="5">
        <f>'Calibration - Summary'!H6</f>
        <v>0.45905707196029777</v>
      </c>
      <c r="I32" s="5">
        <f>'Calibration - Summary'!I6</f>
        <v>0.48883374689826303</v>
      </c>
      <c r="J32" s="5">
        <f>'Calibration - Summary'!J6</f>
        <v>1.1418095626087922E-2</v>
      </c>
      <c r="K32" s="5">
        <f>'Calibration - Summary'!K6</f>
        <v>0.31031813636531985</v>
      </c>
      <c r="L32" s="5">
        <f>'Calibration - Summary'!L6</f>
        <v>0.67826376800859223</v>
      </c>
    </row>
    <row r="33" spans="1:12" x14ac:dyDescent="0.45">
      <c r="A33" s="2" t="s">
        <v>13</v>
      </c>
      <c r="B33" s="6">
        <f>'Calibration - Summary'!B7</f>
        <v>2.0099255583126547</v>
      </c>
      <c r="C33" s="5">
        <f>'Calibration - Summary'!C7</f>
        <v>0.45035739417058629</v>
      </c>
      <c r="D33" s="6">
        <f>'Calibration - Summary'!D7</f>
        <v>-1.875220175319665E-2</v>
      </c>
      <c r="E33" s="5">
        <f>'Calibration - Summary'!E7</f>
        <v>0.12108810784785748</v>
      </c>
      <c r="F33" s="6">
        <f>'Calibration - Summary'!F7</f>
        <v>0.88089330024813894</v>
      </c>
      <c r="G33" s="5">
        <f>'Calibration - Summary'!G7</f>
        <v>0.14143920595533499</v>
      </c>
      <c r="H33" s="5">
        <f>'Calibration - Summary'!H7</f>
        <v>0.54094292803970223</v>
      </c>
      <c r="I33" s="5">
        <f>'Calibration - Summary'!I7</f>
        <v>0.31761786600496278</v>
      </c>
      <c r="J33" s="5">
        <f>'Calibration - Summary'!J7</f>
        <v>2.3825043516906778E-2</v>
      </c>
      <c r="K33" s="5">
        <f>'Calibration - Summary'!K7</f>
        <v>0.65790032467933279</v>
      </c>
      <c r="L33" s="5">
        <f>'Calibration - Summary'!L7</f>
        <v>0.31827463180376031</v>
      </c>
    </row>
    <row r="34" spans="1:12" x14ac:dyDescent="0.45">
      <c r="A34" s="2" t="s">
        <v>14</v>
      </c>
      <c r="B34" s="6">
        <f>'Calibration - Summary'!B8</f>
        <v>2.0818858560794045</v>
      </c>
      <c r="C34" s="5">
        <f>'Calibration - Summary'!C8</f>
        <v>0.42800637013443954</v>
      </c>
      <c r="D34" s="6">
        <f>'Calibration - Summary'!D8</f>
        <v>1.6688063029550386E-2</v>
      </c>
      <c r="E34" s="5">
        <f>'Calibration - Summary'!E8</f>
        <v>0.22563732207449108</v>
      </c>
      <c r="F34" s="6">
        <f>'Calibration - Summary'!F8</f>
        <v>1.1017369727047146</v>
      </c>
      <c r="G34" s="5">
        <f>'Calibration - Summary'!G8</f>
        <v>0.17369727047146402</v>
      </c>
      <c r="H34" s="5">
        <f>'Calibration - Summary'!H8</f>
        <v>0.44168734491315143</v>
      </c>
      <c r="I34" s="5">
        <f>'Calibration - Summary'!I8</f>
        <v>0.38461538461538464</v>
      </c>
      <c r="J34" s="5">
        <f>'Calibration - Summary'!J8</f>
        <v>1.7374665135859165E-2</v>
      </c>
      <c r="K34" s="5">
        <f>'Calibration - Summary'!K8</f>
        <v>0.66732466698764248</v>
      </c>
      <c r="L34" s="5">
        <f>'Calibration - Summary'!L8</f>
        <v>0.31530066787649841</v>
      </c>
    </row>
    <row r="35" spans="1:12" x14ac:dyDescent="0.45">
      <c r="A35" s="2" t="s">
        <v>15</v>
      </c>
      <c r="B35" s="6">
        <f>'Calibration - Summary'!B9</f>
        <v>2.1756823821339952</v>
      </c>
      <c r="C35" s="5">
        <f>'Calibration - Summary'!C9</f>
        <v>0.47020973608224786</v>
      </c>
      <c r="D35" s="6">
        <f>'Calibration - Summary'!D9</f>
        <v>-2.8228238787250098E-2</v>
      </c>
      <c r="E35" s="5">
        <f>'Calibration - Summary'!E9</f>
        <v>0.25974420823612243</v>
      </c>
      <c r="F35" s="6">
        <f>'Calibration - Summary'!F9</f>
        <v>1.2382133995037221</v>
      </c>
      <c r="G35" s="5">
        <f>'Calibration - Summary'!G9</f>
        <v>0.17866004962779156</v>
      </c>
      <c r="H35" s="5">
        <f>'Calibration - Summary'!H9</f>
        <v>0.53846153846153844</v>
      </c>
      <c r="I35" s="5">
        <f>'Calibration - Summary'!I9</f>
        <v>0.28287841191066998</v>
      </c>
      <c r="J35" s="5">
        <f>'Calibration - Summary'!J9</f>
        <v>4.3736762558869553E-2</v>
      </c>
      <c r="K35" s="5">
        <f>'Calibration - Summary'!K9</f>
        <v>0.79820574669766087</v>
      </c>
      <c r="L35" s="5">
        <f>'Calibration - Summary'!L9</f>
        <v>0.15805749074346959</v>
      </c>
    </row>
    <row r="36" spans="1:12" x14ac:dyDescent="0.45">
      <c r="A36" s="2" t="s">
        <v>16</v>
      </c>
      <c r="B36" s="6">
        <f>'Calibration - Summary'!B10</f>
        <v>1.8764267990074441</v>
      </c>
      <c r="C36" s="5">
        <f>'Calibration - Summary'!C10</f>
        <v>0.54322689566344995</v>
      </c>
      <c r="D36" s="6">
        <f>'Calibration - Summary'!D10</f>
        <v>3.0646532279649492E-2</v>
      </c>
      <c r="E36" s="5">
        <f>'Calibration - Summary'!E10</f>
        <v>0.27372530736292738</v>
      </c>
      <c r="F36" s="6">
        <f>'Calibration - Summary'!F10</f>
        <v>0.794044665012407</v>
      </c>
      <c r="G36" s="5">
        <f>'Calibration - Summary'!G10</f>
        <v>0.11414392059553349</v>
      </c>
      <c r="H36" s="5">
        <f>'Calibration - Summary'!H10</f>
        <v>0.5831265508684863</v>
      </c>
      <c r="I36" s="5">
        <f>'Calibration - Summary'!I10</f>
        <v>0.30272952853598017</v>
      </c>
      <c r="J36" s="5">
        <f>'Calibration - Summary'!J10</f>
        <v>6.0641111688145045E-2</v>
      </c>
      <c r="K36" s="5">
        <f>'Calibration - Summary'!K10</f>
        <v>0.85685185823141374</v>
      </c>
      <c r="L36" s="5">
        <f>'Calibration - Summary'!L10</f>
        <v>8.2507030080441274E-2</v>
      </c>
    </row>
    <row r="37" spans="1:12" x14ac:dyDescent="0.45">
      <c r="A37" s="2" t="s">
        <v>17</v>
      </c>
      <c r="B37" s="6">
        <f>'Calibration - Summary'!B11</f>
        <v>1.898759305210918</v>
      </c>
      <c r="C37" s="5">
        <f>'Calibration - Summary'!C11</f>
        <v>0.45786017832387566</v>
      </c>
      <c r="D37" s="6">
        <f>'Calibration - Summary'!D11</f>
        <v>1.7808798718464095E-3</v>
      </c>
      <c r="E37" s="5">
        <f>'Calibration - Summary'!E11</f>
        <v>0.15515480690841113</v>
      </c>
      <c r="F37" s="6">
        <f>'Calibration - Summary'!F11</f>
        <v>0.66253101736972708</v>
      </c>
      <c r="G37" s="5">
        <f>'Calibration - Summary'!G11</f>
        <v>8.6848635235732011E-2</v>
      </c>
      <c r="H37" s="5">
        <f>'Calibration - Summary'!H11</f>
        <v>0.4813895781637717</v>
      </c>
      <c r="I37" s="5">
        <f>'Calibration - Summary'!I11</f>
        <v>0.4317617866004963</v>
      </c>
      <c r="J37" s="5">
        <f>'Calibration - Summary'!J11</f>
        <v>1.8966446198870831E-2</v>
      </c>
      <c r="K37" s="5">
        <f>'Calibration - Summary'!K11</f>
        <v>0.63654438507218281</v>
      </c>
      <c r="L37" s="5">
        <f>'Calibration - Summary'!L11</f>
        <v>0.3444891687289463</v>
      </c>
    </row>
    <row r="40" spans="1:12" x14ac:dyDescent="0.45">
      <c r="A40" s="4" t="s">
        <v>33</v>
      </c>
    </row>
    <row r="41" spans="1:12" x14ac:dyDescent="0.45">
      <c r="A41" s="1" t="s">
        <v>0</v>
      </c>
      <c r="B41" s="1" t="s">
        <v>1</v>
      </c>
      <c r="C41" s="1" t="s">
        <v>2</v>
      </c>
      <c r="D41" s="1" t="s">
        <v>18</v>
      </c>
      <c r="E41" s="1" t="s">
        <v>20</v>
      </c>
      <c r="F41" s="1" t="s">
        <v>19</v>
      </c>
      <c r="G41" s="1" t="s">
        <v>3</v>
      </c>
      <c r="H41" s="1" t="s">
        <v>4</v>
      </c>
      <c r="I41" s="1" t="s">
        <v>5</v>
      </c>
      <c r="J41" s="1" t="s">
        <v>6</v>
      </c>
      <c r="K41" s="1" t="s">
        <v>7</v>
      </c>
      <c r="L41" s="1" t="s">
        <v>8</v>
      </c>
    </row>
    <row r="42" spans="1:12" x14ac:dyDescent="0.45">
      <c r="A42" s="2" t="s">
        <v>9</v>
      </c>
      <c r="B42" s="8">
        <f t="shared" ref="B42:B50" si="0">((B16-B29)/B16)*100%</f>
        <v>3.5501425239699583E-2</v>
      </c>
      <c r="C42" s="5">
        <f t="shared" ref="C42:C50" si="1">((C29-C16)/C16)*100%</f>
        <v>1.1428571428572047E-3</v>
      </c>
      <c r="D42" s="5">
        <f t="shared" ref="D42:D50" si="2">ABS(((D29-D16)/D16)*100%)</f>
        <v>6.723815803461995E-3</v>
      </c>
      <c r="E42" s="8">
        <f t="shared" ref="E42:F50" si="3">((E16-E29)/E16)*100%</f>
        <v>1.0245901639344017E-2</v>
      </c>
      <c r="F42" s="8">
        <f t="shared" si="3"/>
        <v>-0.48205928237129508</v>
      </c>
      <c r="G42" s="5"/>
      <c r="H42" s="5"/>
      <c r="I42" s="5"/>
      <c r="J42" s="5"/>
      <c r="K42" s="5"/>
      <c r="L42" s="5"/>
    </row>
    <row r="43" spans="1:12" x14ac:dyDescent="0.45">
      <c r="A43" s="2" t="s">
        <v>10</v>
      </c>
      <c r="B43" s="8">
        <f t="shared" si="0"/>
        <v>3.1895424836601398E-2</v>
      </c>
      <c r="C43" s="5">
        <f t="shared" si="1"/>
        <v>8.0183206106870381E-2</v>
      </c>
      <c r="D43" s="5">
        <f t="shared" si="2"/>
        <v>2.2433044329916254</v>
      </c>
      <c r="E43" s="8">
        <f t="shared" si="3"/>
        <v>-0.297438066196274</v>
      </c>
      <c r="F43" s="8">
        <f t="shared" si="3"/>
        <v>-1.227088948787062</v>
      </c>
      <c r="G43" s="5"/>
      <c r="H43" s="5"/>
      <c r="I43" s="5"/>
      <c r="J43" s="5"/>
      <c r="K43" s="5"/>
      <c r="L43" s="5"/>
    </row>
    <row r="44" spans="1:12" x14ac:dyDescent="0.45">
      <c r="A44" s="2" t="s">
        <v>11</v>
      </c>
      <c r="B44" s="8">
        <f t="shared" si="0"/>
        <v>5.8463889950324893E-2</v>
      </c>
      <c r="C44" s="5">
        <f t="shared" si="1"/>
        <v>1.6336810413872284E-2</v>
      </c>
      <c r="D44" s="5">
        <f t="shared" si="2"/>
        <v>0.65842611721844146</v>
      </c>
      <c r="E44" s="8">
        <f t="shared" si="3"/>
        <v>0.41671698872785828</v>
      </c>
      <c r="F44" s="8">
        <f t="shared" si="3"/>
        <v>0.1203808660167761</v>
      </c>
      <c r="G44" s="5"/>
      <c r="H44" s="5"/>
      <c r="I44" s="5"/>
      <c r="J44" s="5"/>
      <c r="K44" s="5"/>
      <c r="L44" s="5"/>
    </row>
    <row r="45" spans="1:12" x14ac:dyDescent="0.45">
      <c r="A45" s="2" t="s">
        <v>12</v>
      </c>
      <c r="B45" s="8">
        <f t="shared" si="0"/>
        <v>0.10271266789570728</v>
      </c>
      <c r="C45" s="5">
        <f t="shared" si="1"/>
        <v>-5.74842284932289E-2</v>
      </c>
      <c r="D45" s="5">
        <f t="shared" si="2"/>
        <v>1.8249901410316558</v>
      </c>
      <c r="E45" s="8">
        <f t="shared" si="3"/>
        <v>0.60072026687344859</v>
      </c>
      <c r="F45" s="8">
        <f t="shared" si="3"/>
        <v>0.51059050064184841</v>
      </c>
      <c r="G45" s="5"/>
      <c r="H45" s="5"/>
      <c r="I45" s="5"/>
      <c r="J45" s="5"/>
      <c r="K45" s="5"/>
      <c r="L45" s="5"/>
    </row>
    <row r="46" spans="1:12" x14ac:dyDescent="0.45">
      <c r="A46" s="2" t="s">
        <v>13</v>
      </c>
      <c r="B46" s="8">
        <f t="shared" si="0"/>
        <v>4.3005671077504942E-2</v>
      </c>
      <c r="C46" s="5">
        <f t="shared" si="1"/>
        <v>3.4163900602660016E-2</v>
      </c>
      <c r="D46" s="5">
        <f t="shared" si="2"/>
        <v>1.6689468131050473</v>
      </c>
      <c r="E46" s="8">
        <f t="shared" si="3"/>
        <v>0.44069407650347708</v>
      </c>
      <c r="F46" s="8">
        <f t="shared" si="3"/>
        <v>0.37828371278458844</v>
      </c>
      <c r="G46" s="5"/>
      <c r="H46" s="5"/>
      <c r="I46" s="5"/>
      <c r="J46" s="5"/>
      <c r="K46" s="5"/>
      <c r="L46" s="5"/>
    </row>
    <row r="47" spans="1:12" x14ac:dyDescent="0.45">
      <c r="A47" s="2" t="s">
        <v>14</v>
      </c>
      <c r="B47" s="8">
        <f t="shared" si="0"/>
        <v>0.15457476823861338</v>
      </c>
      <c r="C47" s="5">
        <f t="shared" si="1"/>
        <v>0.13030636385161426</v>
      </c>
      <c r="D47" s="5">
        <f t="shared" si="2"/>
        <v>1.5981447006119816</v>
      </c>
      <c r="E47" s="8">
        <f t="shared" si="3"/>
        <v>0.60451387370504317</v>
      </c>
      <c r="F47" s="8">
        <f t="shared" si="3"/>
        <v>0.49222323879231472</v>
      </c>
      <c r="G47" s="5"/>
      <c r="H47" s="5"/>
      <c r="I47" s="5"/>
      <c r="J47" s="5"/>
      <c r="K47" s="5"/>
      <c r="L47" s="5"/>
    </row>
    <row r="48" spans="1:12" x14ac:dyDescent="0.45">
      <c r="A48" s="2" t="s">
        <v>15</v>
      </c>
      <c r="B48" s="8">
        <f t="shared" si="0"/>
        <v>0.11648528819024585</v>
      </c>
      <c r="C48" s="5">
        <f t="shared" si="1"/>
        <v>0.17525823354736167</v>
      </c>
      <c r="D48" s="5">
        <f t="shared" si="2"/>
        <v>2.4523505356267656</v>
      </c>
      <c r="E48" s="8">
        <f t="shared" si="3"/>
        <v>0.12860439333525911</v>
      </c>
      <c r="F48" s="8">
        <f t="shared" si="3"/>
        <v>0.34462831625952184</v>
      </c>
      <c r="G48" s="5"/>
      <c r="H48" s="5"/>
      <c r="I48" s="5"/>
      <c r="J48" s="5"/>
      <c r="K48" s="5"/>
      <c r="L48" s="5"/>
    </row>
    <row r="49" spans="1:29" x14ac:dyDescent="0.45">
      <c r="A49" s="2" t="s">
        <v>16</v>
      </c>
      <c r="B49" s="8">
        <f t="shared" si="0"/>
        <v>5.119196988707661E-2</v>
      </c>
      <c r="C49" s="5">
        <f t="shared" si="1"/>
        <v>0.24461348058004925</v>
      </c>
      <c r="D49" s="5">
        <f t="shared" si="2"/>
        <v>505.19988181622824</v>
      </c>
      <c r="E49" s="8">
        <f t="shared" si="3"/>
        <v>-0.24180547031226074</v>
      </c>
      <c r="F49" s="8">
        <f t="shared" si="3"/>
        <v>0.37032664305391572</v>
      </c>
      <c r="G49" s="5"/>
      <c r="H49" s="5"/>
      <c r="I49" s="5"/>
      <c r="J49" s="5"/>
      <c r="K49" s="5"/>
      <c r="L49" s="5"/>
    </row>
    <row r="50" spans="1:29" x14ac:dyDescent="0.45">
      <c r="A50" s="2" t="s">
        <v>17</v>
      </c>
      <c r="B50" s="8">
        <f t="shared" si="0"/>
        <v>0.15559479143676905</v>
      </c>
      <c r="C50" s="5">
        <f t="shared" si="1"/>
        <v>4.8477637432365453E-2</v>
      </c>
      <c r="D50" s="5">
        <f t="shared" si="2"/>
        <v>0.87941789712041962</v>
      </c>
      <c r="E50" s="8">
        <f t="shared" si="3"/>
        <v>0.70578276150782093</v>
      </c>
      <c r="F50" s="8">
        <f t="shared" si="3"/>
        <v>0.65539494062983994</v>
      </c>
      <c r="G50" s="5"/>
      <c r="H50" s="5"/>
      <c r="I50" s="5"/>
      <c r="J50" s="5"/>
      <c r="K50" s="5"/>
      <c r="L50" s="5"/>
    </row>
    <row r="52" spans="1:29" x14ac:dyDescent="0.45">
      <c r="A52" s="2"/>
      <c r="B52" s="16" t="s">
        <v>85</v>
      </c>
      <c r="C52" s="2" t="s">
        <v>37</v>
      </c>
      <c r="D52" s="2" t="s">
        <v>38</v>
      </c>
      <c r="E52" s="2" t="s">
        <v>39</v>
      </c>
      <c r="F52" s="2" t="s">
        <v>40</v>
      </c>
      <c r="G52" s="2" t="s">
        <v>68</v>
      </c>
    </row>
    <row r="53" spans="1:29" x14ac:dyDescent="0.45">
      <c r="A53" s="2" t="s">
        <v>34</v>
      </c>
      <c r="B53" s="11">
        <v>0.62937689550592735</v>
      </c>
      <c r="C53" s="11">
        <f>'Validation - Summary'!B12</f>
        <v>0.75494899365867174</v>
      </c>
      <c r="D53" s="11">
        <f>'Calibration - Summary'!B12</f>
        <v>0.68159636062861861</v>
      </c>
      <c r="E53" s="11">
        <v>0.68372566347982022</v>
      </c>
      <c r="F53" s="11">
        <v>0.68261851851853084</v>
      </c>
      <c r="G53" s="2">
        <v>0.73808703703704293</v>
      </c>
    </row>
    <row r="54" spans="1:29" x14ac:dyDescent="0.45">
      <c r="A54" s="2" t="s">
        <v>36</v>
      </c>
      <c r="B54" s="11">
        <v>0.65977391783843187</v>
      </c>
      <c r="C54" s="11">
        <f>'Validation - Summary'!B13</f>
        <v>0.8530465949820808</v>
      </c>
      <c r="D54" s="11">
        <f>'Calibration - Summary'!B13</f>
        <v>0.66594982078852738</v>
      </c>
      <c r="E54" s="11">
        <v>0.66634530408933856</v>
      </c>
      <c r="F54" s="11">
        <v>0.6655777777777816</v>
      </c>
      <c r="G54" s="2">
        <v>0.81113333333329851</v>
      </c>
    </row>
    <row r="57" spans="1:29" x14ac:dyDescent="0.45">
      <c r="A57" s="18" t="s">
        <v>85</v>
      </c>
      <c r="B57" s="18"/>
      <c r="C57" s="18"/>
      <c r="D57" s="18"/>
      <c r="F57" s="18" t="s">
        <v>37</v>
      </c>
      <c r="G57" s="18"/>
      <c r="H57" s="18"/>
      <c r="I57" s="18"/>
      <c r="K57" s="18" t="s">
        <v>38</v>
      </c>
      <c r="L57" s="18"/>
      <c r="M57" s="18"/>
      <c r="N57" s="18"/>
      <c r="P57" s="18" t="s">
        <v>39</v>
      </c>
      <c r="Q57" s="18"/>
      <c r="R57" s="18"/>
      <c r="S57" s="18"/>
      <c r="U57" s="18" t="s">
        <v>63</v>
      </c>
      <c r="V57" s="18"/>
      <c r="W57" s="18"/>
      <c r="X57" s="18"/>
      <c r="Z57" s="18" t="s">
        <v>69</v>
      </c>
      <c r="AA57" s="18"/>
      <c r="AB57" s="18"/>
      <c r="AC57" s="18"/>
    </row>
    <row r="58" spans="1:29" x14ac:dyDescent="0.45">
      <c r="A58" s="14" t="s">
        <v>9</v>
      </c>
      <c r="B58" s="14" t="s">
        <v>42</v>
      </c>
      <c r="C58" s="14" t="s">
        <v>43</v>
      </c>
      <c r="D58" s="14" t="s">
        <v>44</v>
      </c>
      <c r="F58" s="14" t="s">
        <v>9</v>
      </c>
      <c r="G58" s="14" t="s">
        <v>42</v>
      </c>
      <c r="H58" s="14" t="s">
        <v>43</v>
      </c>
      <c r="I58" s="14" t="s">
        <v>44</v>
      </c>
      <c r="K58" s="14" t="s">
        <v>9</v>
      </c>
      <c r="L58" s="14" t="s">
        <v>42</v>
      </c>
      <c r="M58" s="14" t="s">
        <v>43</v>
      </c>
      <c r="N58" s="14" t="s">
        <v>44</v>
      </c>
      <c r="P58" s="14" t="s">
        <v>9</v>
      </c>
      <c r="Q58" s="14" t="s">
        <v>42</v>
      </c>
      <c r="R58" s="14" t="s">
        <v>43</v>
      </c>
      <c r="S58" s="14" t="s">
        <v>44</v>
      </c>
      <c r="U58" s="14" t="s">
        <v>9</v>
      </c>
      <c r="V58" s="14" t="s">
        <v>42</v>
      </c>
      <c r="W58" s="14" t="s">
        <v>43</v>
      </c>
      <c r="X58" s="14" t="s">
        <v>44</v>
      </c>
      <c r="Z58" s="14" t="s">
        <v>9</v>
      </c>
      <c r="AA58" s="14" t="s">
        <v>42</v>
      </c>
      <c r="AB58" s="14" t="s">
        <v>43</v>
      </c>
      <c r="AC58" s="14" t="s">
        <v>44</v>
      </c>
    </row>
    <row r="59" spans="1:29" x14ac:dyDescent="0.45">
      <c r="A59" s="2" t="s">
        <v>70</v>
      </c>
      <c r="B59" s="8">
        <v>0.13793103448275862</v>
      </c>
      <c r="C59" s="8">
        <v>0.44297082228116713</v>
      </c>
      <c r="D59" s="8">
        <v>0.41909814323607425</v>
      </c>
      <c r="F59" s="2" t="s">
        <v>70</v>
      </c>
      <c r="G59" s="8">
        <v>1.1140583554376656E-2</v>
      </c>
      <c r="H59" s="8">
        <v>0.68647214854111405</v>
      </c>
      <c r="I59" s="8">
        <v>0.30238726790450932</v>
      </c>
      <c r="K59" s="2" t="s">
        <v>70</v>
      </c>
      <c r="L59" s="8">
        <v>1.220159151193634E-2</v>
      </c>
      <c r="M59" s="8">
        <v>0.68647214854111405</v>
      </c>
      <c r="N59" s="8">
        <v>0.30132625994694962</v>
      </c>
      <c r="P59" s="2" t="s">
        <v>70</v>
      </c>
      <c r="Q59" s="8">
        <v>1.2427506213753107E-2</v>
      </c>
      <c r="R59" s="8">
        <v>0.68765534382767191</v>
      </c>
      <c r="S59" s="8">
        <v>0.29991714995857499</v>
      </c>
      <c r="U59" s="2" t="s">
        <v>70</v>
      </c>
      <c r="V59" s="8">
        <v>1.3061411549037579E-2</v>
      </c>
      <c r="W59" s="8">
        <v>0.70279560036663613</v>
      </c>
      <c r="X59" s="8">
        <v>0.28414298808432631</v>
      </c>
      <c r="Z59" s="2" t="s">
        <v>70</v>
      </c>
      <c r="AA59" s="8">
        <v>9.3950504124656279E-3</v>
      </c>
      <c r="AB59" s="8">
        <v>0.63038496791934007</v>
      </c>
      <c r="AC59" s="8">
        <v>0.3602199816681943</v>
      </c>
    </row>
    <row r="60" spans="1:29" x14ac:dyDescent="0.45">
      <c r="A60" s="2" t="s">
        <v>71</v>
      </c>
      <c r="B60" s="8">
        <v>0.11764705882352941</v>
      </c>
      <c r="C60" s="8">
        <v>0.47058823529411764</v>
      </c>
      <c r="D60" s="8">
        <v>0.41176470588235292</v>
      </c>
      <c r="F60" s="2" t="s">
        <v>71</v>
      </c>
      <c r="G60" s="8">
        <v>3.0769230769230771E-2</v>
      </c>
      <c r="H60" s="8">
        <v>0.72307692307692306</v>
      </c>
      <c r="I60" s="8">
        <v>0.24615384615384617</v>
      </c>
      <c r="K60" s="2" t="s">
        <v>71</v>
      </c>
      <c r="L60" s="8">
        <v>7.6923076923076927E-3</v>
      </c>
      <c r="M60" s="8">
        <v>0.68461538461538463</v>
      </c>
      <c r="N60" s="8">
        <v>0.30769230769230765</v>
      </c>
      <c r="P60" s="2" t="s">
        <v>71</v>
      </c>
      <c r="Q60" s="8">
        <v>2.2727272727272728E-2</v>
      </c>
      <c r="R60" s="8">
        <v>0.72727272727272729</v>
      </c>
      <c r="S60" s="8">
        <v>0.25</v>
      </c>
      <c r="U60" s="2" t="s">
        <v>71</v>
      </c>
      <c r="V60" s="8">
        <v>7.8616352201257862E-3</v>
      </c>
      <c r="W60" s="8">
        <v>0.70754716981132071</v>
      </c>
      <c r="X60" s="8">
        <v>0.28459119496855345</v>
      </c>
      <c r="Z60" s="2" t="s">
        <v>71</v>
      </c>
      <c r="AA60" s="8">
        <v>2.8301886792452831E-2</v>
      </c>
      <c r="AB60" s="8">
        <v>0.69654088050314467</v>
      </c>
      <c r="AC60" s="8">
        <v>0.27515723270440251</v>
      </c>
    </row>
    <row r="62" spans="1:29" x14ac:dyDescent="0.45">
      <c r="A62" s="14" t="s">
        <v>10</v>
      </c>
      <c r="B62" s="14" t="s">
        <v>42</v>
      </c>
      <c r="C62" s="14" t="s">
        <v>43</v>
      </c>
      <c r="D62" s="14" t="s">
        <v>44</v>
      </c>
      <c r="F62" s="14" t="s">
        <v>10</v>
      </c>
      <c r="G62" s="14" t="s">
        <v>42</v>
      </c>
      <c r="H62" s="14" t="s">
        <v>43</v>
      </c>
      <c r="I62" s="14" t="s">
        <v>44</v>
      </c>
      <c r="K62" s="14" t="s">
        <v>10</v>
      </c>
      <c r="L62" s="14" t="s">
        <v>42</v>
      </c>
      <c r="M62" s="14" t="s">
        <v>43</v>
      </c>
      <c r="N62" s="14" t="s">
        <v>44</v>
      </c>
      <c r="P62" s="14" t="s">
        <v>10</v>
      </c>
      <c r="Q62" s="14" t="s">
        <v>42</v>
      </c>
      <c r="R62" s="14" t="s">
        <v>43</v>
      </c>
      <c r="S62" s="14" t="s">
        <v>44</v>
      </c>
      <c r="U62" s="14" t="s">
        <v>10</v>
      </c>
      <c r="V62" s="14" t="s">
        <v>42</v>
      </c>
      <c r="W62" s="14" t="s">
        <v>43</v>
      </c>
      <c r="X62" s="14" t="s">
        <v>44</v>
      </c>
      <c r="Z62" s="14" t="s">
        <v>10</v>
      </c>
      <c r="AA62" s="14" t="s">
        <v>42</v>
      </c>
      <c r="AB62" s="14" t="s">
        <v>43</v>
      </c>
      <c r="AC62" s="14" t="s">
        <v>44</v>
      </c>
    </row>
    <row r="63" spans="1:29" x14ac:dyDescent="0.45">
      <c r="A63" s="2" t="s">
        <v>70</v>
      </c>
      <c r="B63" s="8">
        <v>0.10610079575596817</v>
      </c>
      <c r="C63" s="8">
        <v>0.41644562334217505</v>
      </c>
      <c r="D63" s="8">
        <v>0.47745358090185674</v>
      </c>
      <c r="F63" s="2" t="s">
        <v>70</v>
      </c>
      <c r="G63" s="8">
        <v>9.0242112986060156E-3</v>
      </c>
      <c r="H63" s="8">
        <v>0.5095575371070602</v>
      </c>
      <c r="I63" s="8">
        <v>0.48141825159433377</v>
      </c>
      <c r="K63" s="2" t="s">
        <v>70</v>
      </c>
      <c r="L63" s="8">
        <v>2.1220159151193632E-3</v>
      </c>
      <c r="M63" s="8">
        <v>0.54854111405835548</v>
      </c>
      <c r="N63" s="8">
        <v>0.44933687002652523</v>
      </c>
      <c r="P63" s="2" t="s">
        <v>70</v>
      </c>
      <c r="Q63" s="8">
        <v>4.1425020712510356E-3</v>
      </c>
      <c r="R63" s="8">
        <v>0.53024026512013256</v>
      </c>
      <c r="S63" s="8">
        <v>0.46561723280861639</v>
      </c>
      <c r="U63" s="2" t="s">
        <v>70</v>
      </c>
      <c r="V63" s="8">
        <v>4.8120989917506875E-3</v>
      </c>
      <c r="W63" s="8">
        <v>0.53460128322639777</v>
      </c>
      <c r="X63" s="8">
        <v>0.4605866177818515</v>
      </c>
      <c r="Z63" s="2" t="s">
        <v>70</v>
      </c>
      <c r="AA63" s="8">
        <v>5.9578368469294226E-3</v>
      </c>
      <c r="AB63" s="8">
        <v>0.52039413382218147</v>
      </c>
      <c r="AC63" s="8">
        <v>0.47364802933088912</v>
      </c>
    </row>
    <row r="64" spans="1:29" x14ac:dyDescent="0.45">
      <c r="A64" s="2" t="s">
        <v>71</v>
      </c>
      <c r="B64" s="8">
        <v>0.17647058823529413</v>
      </c>
      <c r="C64" s="8">
        <v>0.29411764705882354</v>
      </c>
      <c r="D64" s="8">
        <v>0.52941176470588236</v>
      </c>
      <c r="F64" s="2" t="s">
        <v>71</v>
      </c>
      <c r="G64" s="8">
        <v>1.5384615384615385E-2</v>
      </c>
      <c r="H64" s="8">
        <v>0.66153846153846152</v>
      </c>
      <c r="I64" s="8">
        <v>0.32307692307692309</v>
      </c>
      <c r="K64" s="2" t="s">
        <v>71</v>
      </c>
      <c r="L64" s="8">
        <v>0</v>
      </c>
      <c r="M64" s="8">
        <v>0.57692307692307687</v>
      </c>
      <c r="N64" s="8">
        <v>0.42307692307692307</v>
      </c>
      <c r="P64" s="2" t="s">
        <v>71</v>
      </c>
      <c r="Q64" s="8">
        <v>5.681818181818182E-3</v>
      </c>
      <c r="R64" s="8">
        <v>0.53409090909090906</v>
      </c>
      <c r="S64" s="8">
        <v>0.46022727272727271</v>
      </c>
      <c r="U64" s="2" t="s">
        <v>71</v>
      </c>
      <c r="V64" s="8">
        <v>3.1446540880503146E-3</v>
      </c>
      <c r="W64" s="8">
        <v>0.49842767295597484</v>
      </c>
      <c r="X64" s="8">
        <v>0.49842767295597484</v>
      </c>
      <c r="Z64" s="2" t="s">
        <v>71</v>
      </c>
      <c r="AA64" s="8">
        <v>2.5157232704402517E-2</v>
      </c>
      <c r="AB64" s="8">
        <v>0.58333333333333337</v>
      </c>
      <c r="AC64" s="8">
        <v>0.39150943396226418</v>
      </c>
    </row>
    <row r="66" spans="1:29" x14ac:dyDescent="0.45">
      <c r="A66" s="14" t="s">
        <v>11</v>
      </c>
      <c r="B66" s="14" t="s">
        <v>42</v>
      </c>
      <c r="C66" s="14" t="s">
        <v>43</v>
      </c>
      <c r="D66" s="14" t="s">
        <v>44</v>
      </c>
      <c r="F66" s="14" t="s">
        <v>11</v>
      </c>
      <c r="G66" s="14" t="s">
        <v>42</v>
      </c>
      <c r="H66" s="14" t="s">
        <v>43</v>
      </c>
      <c r="I66" s="14" t="s">
        <v>44</v>
      </c>
      <c r="K66" s="14" t="s">
        <v>11</v>
      </c>
      <c r="L66" s="14" t="s">
        <v>42</v>
      </c>
      <c r="M66" s="14" t="s">
        <v>43</v>
      </c>
      <c r="N66" s="14" t="s">
        <v>44</v>
      </c>
      <c r="P66" s="14" t="s">
        <v>11</v>
      </c>
      <c r="Q66" s="14" t="s">
        <v>42</v>
      </c>
      <c r="R66" s="14" t="s">
        <v>43</v>
      </c>
      <c r="S66" s="14" t="s">
        <v>44</v>
      </c>
      <c r="U66" s="14" t="s">
        <v>11</v>
      </c>
      <c r="V66" s="14" t="s">
        <v>42</v>
      </c>
      <c r="W66" s="14" t="s">
        <v>43</v>
      </c>
      <c r="X66" s="14" t="s">
        <v>44</v>
      </c>
      <c r="Z66" s="14" t="s">
        <v>11</v>
      </c>
      <c r="AA66" s="14" t="s">
        <v>42</v>
      </c>
      <c r="AB66" s="14" t="s">
        <v>43</v>
      </c>
      <c r="AC66" s="14" t="s">
        <v>44</v>
      </c>
    </row>
    <row r="67" spans="1:29" x14ac:dyDescent="0.45">
      <c r="A67" s="2" t="s">
        <v>70</v>
      </c>
      <c r="B67" s="8">
        <v>0.19363395225464192</v>
      </c>
      <c r="C67" s="8">
        <v>0.44031830238726788</v>
      </c>
      <c r="D67" s="8">
        <v>0.3660477453580902</v>
      </c>
      <c r="F67" s="2" t="s">
        <v>70</v>
      </c>
      <c r="G67" s="8">
        <v>1.0624188723968621E-3</v>
      </c>
      <c r="H67" s="8">
        <v>0.1969213838252723</v>
      </c>
      <c r="I67" s="8">
        <v>0.80201619730233076</v>
      </c>
      <c r="K67" s="2" t="s">
        <v>70</v>
      </c>
      <c r="L67" s="8">
        <v>1.1140583554376656E-2</v>
      </c>
      <c r="M67" s="8">
        <v>0.38302387267904503</v>
      </c>
      <c r="N67" s="8">
        <v>0.60583554376657822</v>
      </c>
      <c r="P67" s="2" t="s">
        <v>70</v>
      </c>
      <c r="Q67" s="8">
        <v>5.7995028997514502E-3</v>
      </c>
      <c r="R67" s="8">
        <v>0.38442419221209612</v>
      </c>
      <c r="S67" s="8">
        <v>0.60977630488815249</v>
      </c>
      <c r="U67" s="2" t="s">
        <v>70</v>
      </c>
      <c r="V67" s="8">
        <v>8.0201649862511465E-3</v>
      </c>
      <c r="W67" s="8">
        <v>0.38657195233730524</v>
      </c>
      <c r="X67" s="8">
        <v>0.60540788267644363</v>
      </c>
      <c r="Z67" s="2" t="s">
        <v>70</v>
      </c>
      <c r="AA67" s="8">
        <v>8.0201649862511465E-3</v>
      </c>
      <c r="AB67" s="8">
        <v>0.38657195233730524</v>
      </c>
      <c r="AC67" s="8">
        <v>0.60540788267644363</v>
      </c>
    </row>
    <row r="68" spans="1:29" x14ac:dyDescent="0.45">
      <c r="A68" s="2" t="s">
        <v>71</v>
      </c>
      <c r="B68" s="8">
        <v>0.41176470588235292</v>
      </c>
      <c r="C68" s="8">
        <v>0.41176470588235292</v>
      </c>
      <c r="D68" s="8">
        <v>0.17647058823529413</v>
      </c>
      <c r="F68" s="2" t="s">
        <v>71</v>
      </c>
      <c r="G68" s="8">
        <v>0</v>
      </c>
      <c r="H68" s="8">
        <v>0.2846153846153846</v>
      </c>
      <c r="I68" s="8">
        <v>0.7153846153846154</v>
      </c>
      <c r="K68" s="2" t="s">
        <v>71</v>
      </c>
      <c r="L68" s="8">
        <v>7.6923076923076927E-3</v>
      </c>
      <c r="M68" s="8">
        <v>0.33076923076923076</v>
      </c>
      <c r="N68" s="8">
        <v>0.66153846153846152</v>
      </c>
      <c r="P68" s="2" t="s">
        <v>71</v>
      </c>
      <c r="Q68" s="8">
        <v>5.681818181818182E-3</v>
      </c>
      <c r="R68" s="8">
        <v>0.40909090909090912</v>
      </c>
      <c r="S68" s="8">
        <v>0.58522727272727271</v>
      </c>
      <c r="U68" s="2" t="s">
        <v>71</v>
      </c>
      <c r="V68" s="8">
        <v>6.2893081761006293E-3</v>
      </c>
      <c r="W68" s="8">
        <v>0.38522012578616355</v>
      </c>
      <c r="X68" s="8">
        <v>0.60849056603773588</v>
      </c>
      <c r="Z68" s="2" t="s">
        <v>71</v>
      </c>
      <c r="AA68" s="8">
        <v>6.2893081761006293E-3</v>
      </c>
      <c r="AB68" s="8">
        <v>0.38522012578616355</v>
      </c>
      <c r="AC68" s="8">
        <v>0.60849056603773588</v>
      </c>
    </row>
    <row r="70" spans="1:29" x14ac:dyDescent="0.45">
      <c r="A70" s="14" t="s">
        <v>12</v>
      </c>
      <c r="B70" s="14" t="s">
        <v>42</v>
      </c>
      <c r="C70" s="14" t="s">
        <v>43</v>
      </c>
      <c r="D70" s="14" t="s">
        <v>44</v>
      </c>
      <c r="F70" s="14" t="s">
        <v>12</v>
      </c>
      <c r="G70" s="14" t="s">
        <v>42</v>
      </c>
      <c r="H70" s="14" t="s">
        <v>43</v>
      </c>
      <c r="I70" s="14" t="s">
        <v>44</v>
      </c>
      <c r="K70" s="14" t="s">
        <v>12</v>
      </c>
      <c r="L70" s="14" t="s">
        <v>42</v>
      </c>
      <c r="M70" s="14" t="s">
        <v>43</v>
      </c>
      <c r="N70" s="14" t="s">
        <v>44</v>
      </c>
      <c r="P70" s="14" t="s">
        <v>12</v>
      </c>
      <c r="Q70" s="14" t="s">
        <v>42</v>
      </c>
      <c r="R70" s="14" t="s">
        <v>43</v>
      </c>
      <c r="S70" s="14" t="s">
        <v>44</v>
      </c>
      <c r="U70" s="14" t="s">
        <v>12</v>
      </c>
      <c r="V70" s="14" t="s">
        <v>42</v>
      </c>
      <c r="W70" s="14" t="s">
        <v>43</v>
      </c>
      <c r="X70" s="14" t="s">
        <v>44</v>
      </c>
      <c r="Z70" s="14" t="s">
        <v>12</v>
      </c>
      <c r="AA70" s="14" t="s">
        <v>42</v>
      </c>
      <c r="AB70" s="14" t="s">
        <v>43</v>
      </c>
      <c r="AC70" s="14" t="s">
        <v>44</v>
      </c>
    </row>
    <row r="71" spans="1:29" x14ac:dyDescent="0.45">
      <c r="A71" s="2" t="s">
        <v>47</v>
      </c>
      <c r="B71" s="8">
        <v>1.8181818181818181E-2</v>
      </c>
      <c r="C71" s="8">
        <v>0.30909090909090908</v>
      </c>
      <c r="D71" s="8">
        <v>0.67272727272727273</v>
      </c>
      <c r="F71" s="2" t="s">
        <v>47</v>
      </c>
      <c r="G71" s="8">
        <v>0</v>
      </c>
      <c r="H71" s="8">
        <v>3.272727272727273E-2</v>
      </c>
      <c r="I71" s="8">
        <v>0.96727272727272717</v>
      </c>
      <c r="K71" s="2" t="s">
        <v>47</v>
      </c>
      <c r="L71" s="8">
        <v>0</v>
      </c>
      <c r="M71" s="8">
        <v>0.30545454545454542</v>
      </c>
      <c r="N71" s="8">
        <v>0.69454545454545458</v>
      </c>
      <c r="P71" s="2" t="s">
        <v>47</v>
      </c>
      <c r="Q71" s="8">
        <v>0</v>
      </c>
      <c r="R71" s="8">
        <v>0.36734693877551022</v>
      </c>
      <c r="S71" s="8">
        <v>0.63265306122448983</v>
      </c>
      <c r="U71" s="2" t="s">
        <v>47</v>
      </c>
      <c r="V71" s="8">
        <v>1.098901098901099E-2</v>
      </c>
      <c r="W71" s="8">
        <v>0.2857142857142857</v>
      </c>
      <c r="X71" s="8">
        <v>0.70329670329670335</v>
      </c>
      <c r="Z71" s="2" t="s">
        <v>47</v>
      </c>
      <c r="AA71" s="8">
        <v>0</v>
      </c>
      <c r="AB71" s="8">
        <v>0.1043956043956044</v>
      </c>
      <c r="AC71" s="8">
        <v>0.89560439560439564</v>
      </c>
    </row>
    <row r="72" spans="1:29" x14ac:dyDescent="0.45">
      <c r="A72" s="2" t="s">
        <v>48</v>
      </c>
      <c r="B72" s="8">
        <v>1.2658227848101266E-2</v>
      </c>
      <c r="C72" s="8">
        <v>0.45569620253164556</v>
      </c>
      <c r="D72" s="8">
        <v>0.53164556962025311</v>
      </c>
      <c r="F72" s="2" t="s">
        <v>48</v>
      </c>
      <c r="G72" s="8">
        <v>0</v>
      </c>
      <c r="H72" s="8">
        <v>3.037974683544304E-2</v>
      </c>
      <c r="I72" s="8">
        <v>0.96962025316455702</v>
      </c>
      <c r="K72" s="2" t="s">
        <v>48</v>
      </c>
      <c r="L72" s="8">
        <v>1.5222330412203829E-2</v>
      </c>
      <c r="M72" s="8">
        <v>0.30467380720545278</v>
      </c>
      <c r="N72" s="8">
        <v>0.68010386238234344</v>
      </c>
      <c r="P72" s="2" t="s">
        <v>48</v>
      </c>
      <c r="Q72" s="8">
        <v>3.1847133757961783E-2</v>
      </c>
      <c r="R72" s="8">
        <v>0.27388535031847133</v>
      </c>
      <c r="S72" s="8">
        <v>0.69426751592356684</v>
      </c>
      <c r="U72" s="2" t="s">
        <v>48</v>
      </c>
      <c r="V72" s="8">
        <v>1.0398613518197574E-2</v>
      </c>
      <c r="W72" s="8">
        <v>0.34835355285961872</v>
      </c>
      <c r="X72" s="8">
        <v>0.64124783362218374</v>
      </c>
      <c r="Z72" s="2" t="s">
        <v>48</v>
      </c>
      <c r="AA72" s="8">
        <v>0</v>
      </c>
      <c r="AB72" s="8">
        <v>6.9204152249134954E-2</v>
      </c>
      <c r="AC72" s="8">
        <v>0.9307958477508651</v>
      </c>
    </row>
    <row r="73" spans="1:29" x14ac:dyDescent="0.45">
      <c r="A73" s="2" t="s">
        <v>49</v>
      </c>
      <c r="B73" s="8">
        <v>6.0606060606060608E-2</v>
      </c>
      <c r="C73" s="8">
        <v>0.4621212121212121</v>
      </c>
      <c r="D73" s="8">
        <v>0.47727272727272729</v>
      </c>
      <c r="F73" s="2" t="s">
        <v>49</v>
      </c>
      <c r="G73" s="8">
        <v>0</v>
      </c>
      <c r="H73" s="8">
        <v>4.0943789035392093E-2</v>
      </c>
      <c r="I73" s="8">
        <v>0.95905621096460791</v>
      </c>
      <c r="K73" s="2" t="s">
        <v>49</v>
      </c>
      <c r="L73" s="8">
        <v>6.0606060606060606E-3</v>
      </c>
      <c r="M73" s="8">
        <v>0.31515151515151513</v>
      </c>
      <c r="N73" s="8">
        <v>0.67878787878787872</v>
      </c>
      <c r="P73" s="2" t="s">
        <v>49</v>
      </c>
      <c r="Q73" s="8">
        <v>9.2936802973977699E-3</v>
      </c>
      <c r="R73" s="8">
        <v>0.31226765799256506</v>
      </c>
      <c r="S73" s="8">
        <v>0.67843866171003719</v>
      </c>
      <c r="U73" s="2" t="s">
        <v>49</v>
      </c>
      <c r="V73" s="8">
        <v>7.7599586135540608E-3</v>
      </c>
      <c r="W73" s="8">
        <v>0.30884635281945161</v>
      </c>
      <c r="X73" s="8">
        <v>0.68339368856699434</v>
      </c>
      <c r="Z73" s="2" t="s">
        <v>49</v>
      </c>
      <c r="AA73" s="8">
        <v>5.1733057423693739E-4</v>
      </c>
      <c r="AB73" s="8">
        <v>8.225556130367305E-2</v>
      </c>
      <c r="AC73" s="8">
        <v>0.91722710812208996</v>
      </c>
    </row>
    <row r="74" spans="1:29" x14ac:dyDescent="0.45">
      <c r="A74" s="2" t="s">
        <v>50</v>
      </c>
      <c r="B74" s="8">
        <v>7.5949367088607597E-2</v>
      </c>
      <c r="C74" s="8">
        <v>0.49367088607594939</v>
      </c>
      <c r="D74" s="8">
        <v>0.43037974683544306</v>
      </c>
      <c r="F74" s="2" t="s">
        <v>50</v>
      </c>
      <c r="G74" s="8">
        <v>0</v>
      </c>
      <c r="H74" s="8">
        <v>3.2911392405063293E-2</v>
      </c>
      <c r="I74" s="8">
        <v>0.96708860759493676</v>
      </c>
      <c r="K74" s="2" t="s">
        <v>50</v>
      </c>
      <c r="L74" s="8">
        <v>1.518987341772152E-2</v>
      </c>
      <c r="M74" s="8">
        <v>0.32405063291139247</v>
      </c>
      <c r="N74" s="8">
        <v>0.66075949367088604</v>
      </c>
      <c r="P74" s="2" t="s">
        <v>50</v>
      </c>
      <c r="Q74" s="8">
        <v>6.9124423963133645E-3</v>
      </c>
      <c r="R74" s="8">
        <v>0.28801843317972348</v>
      </c>
      <c r="S74" s="8">
        <v>0.70506912442396308</v>
      </c>
      <c r="U74" s="2" t="s">
        <v>50</v>
      </c>
      <c r="V74" s="8">
        <v>1.2434554973821989E-2</v>
      </c>
      <c r="W74" s="8">
        <v>0.30497382198952877</v>
      </c>
      <c r="X74" s="8">
        <v>0.68259162303664922</v>
      </c>
      <c r="Z74" s="2" t="s">
        <v>50</v>
      </c>
      <c r="AA74" s="8">
        <v>0</v>
      </c>
      <c r="AB74" s="8">
        <v>7.7930582842174204E-2</v>
      </c>
      <c r="AC74" s="8">
        <v>0.92206941715782575</v>
      </c>
    </row>
    <row r="75" spans="1:29" x14ac:dyDescent="0.45">
      <c r="A75" s="2" t="s">
        <v>51</v>
      </c>
      <c r="B75" s="8">
        <v>6.4516129032258063E-2</v>
      </c>
      <c r="C75" s="8">
        <v>0.54838709677419351</v>
      </c>
      <c r="D75" s="8">
        <v>0.38709677419354838</v>
      </c>
      <c r="F75" s="2" t="s">
        <v>51</v>
      </c>
      <c r="G75" s="8">
        <v>0</v>
      </c>
      <c r="H75" s="8">
        <v>2.5806451612903226E-2</v>
      </c>
      <c r="I75" s="8">
        <v>0.97419354838709682</v>
      </c>
      <c r="K75" s="2" t="s">
        <v>51</v>
      </c>
      <c r="L75" s="8">
        <v>3.870967741935484E-2</v>
      </c>
      <c r="M75" s="8">
        <v>0.27741935483870972</v>
      </c>
      <c r="N75" s="8">
        <v>0.68387096774193545</v>
      </c>
      <c r="P75" s="2" t="s">
        <v>51</v>
      </c>
      <c r="Q75" s="8">
        <v>0</v>
      </c>
      <c r="R75" s="8">
        <v>0.33070866141732286</v>
      </c>
      <c r="S75" s="8">
        <v>0.6692913385826772</v>
      </c>
      <c r="U75" s="2" t="s">
        <v>51</v>
      </c>
      <c r="V75" s="8">
        <v>1.2552301255230125E-2</v>
      </c>
      <c r="W75" s="8">
        <v>0.27615062761506276</v>
      </c>
      <c r="X75" s="8">
        <v>0.71129707112970708</v>
      </c>
      <c r="Z75" s="2" t="s">
        <v>51</v>
      </c>
      <c r="AA75" s="8">
        <v>0</v>
      </c>
      <c r="AB75" s="8">
        <v>8.1589958158995821E-2</v>
      </c>
      <c r="AC75" s="8">
        <v>0.91841004184100417</v>
      </c>
    </row>
    <row r="76" spans="1:29" x14ac:dyDescent="0.45">
      <c r="A76" s="2" t="s">
        <v>52</v>
      </c>
      <c r="B76" s="8">
        <v>0.1111111111111111</v>
      </c>
      <c r="C76" s="8">
        <v>0.55555555555555558</v>
      </c>
      <c r="D76" s="8">
        <v>0.33333333333333331</v>
      </c>
      <c r="F76" s="2" t="s">
        <v>52</v>
      </c>
      <c r="G76" s="8">
        <v>0</v>
      </c>
      <c r="H76" s="8">
        <v>6.6666666666666666E-2</v>
      </c>
      <c r="I76" s="8">
        <v>0.93333333333333324</v>
      </c>
      <c r="K76" s="2" t="s">
        <v>52</v>
      </c>
      <c r="L76" s="8">
        <v>7.4074074074074068E-3</v>
      </c>
      <c r="M76" s="8">
        <v>0.31111111111111106</v>
      </c>
      <c r="N76" s="8">
        <v>0.68148148148148147</v>
      </c>
      <c r="P76" s="2" t="s">
        <v>52</v>
      </c>
      <c r="Q76" s="8">
        <v>0</v>
      </c>
      <c r="R76" s="8">
        <v>0.32051282051282054</v>
      </c>
      <c r="S76" s="8">
        <v>0.67948717948717952</v>
      </c>
      <c r="U76" s="2" t="s">
        <v>52</v>
      </c>
      <c r="V76" s="8">
        <v>6.6445182724252493E-3</v>
      </c>
      <c r="W76" s="8">
        <v>0.32890365448504982</v>
      </c>
      <c r="X76" s="8">
        <v>0.66445182724252494</v>
      </c>
      <c r="Z76" s="2" t="s">
        <v>52</v>
      </c>
      <c r="AA76" s="8">
        <v>3.3222591362126247E-3</v>
      </c>
      <c r="AB76" s="8">
        <v>9.3023255813953487E-2</v>
      </c>
      <c r="AC76" s="8">
        <v>0.90365448504983392</v>
      </c>
    </row>
    <row r="78" spans="1:29" x14ac:dyDescent="0.45">
      <c r="A78" s="14" t="s">
        <v>13</v>
      </c>
      <c r="B78" s="14" t="s">
        <v>42</v>
      </c>
      <c r="C78" s="14" t="s">
        <v>43</v>
      </c>
      <c r="D78" s="14" t="s">
        <v>44</v>
      </c>
      <c r="F78" s="14" t="s">
        <v>13</v>
      </c>
      <c r="G78" s="14" t="s">
        <v>42</v>
      </c>
      <c r="H78" s="14" t="s">
        <v>43</v>
      </c>
      <c r="I78" s="14" t="s">
        <v>44</v>
      </c>
      <c r="K78" s="14" t="s">
        <v>13</v>
      </c>
      <c r="L78" s="14" t="s">
        <v>42</v>
      </c>
      <c r="M78" s="14" t="s">
        <v>43</v>
      </c>
      <c r="N78" s="14" t="s">
        <v>44</v>
      </c>
      <c r="P78" s="14" t="s">
        <v>13</v>
      </c>
      <c r="Q78" s="14" t="s">
        <v>42</v>
      </c>
      <c r="R78" s="14" t="s">
        <v>43</v>
      </c>
      <c r="S78" s="14" t="s">
        <v>44</v>
      </c>
      <c r="U78" s="14" t="s">
        <v>13</v>
      </c>
      <c r="V78" s="14" t="s">
        <v>42</v>
      </c>
      <c r="W78" s="14" t="s">
        <v>43</v>
      </c>
      <c r="X78" s="14" t="s">
        <v>44</v>
      </c>
      <c r="Z78" s="14" t="s">
        <v>13</v>
      </c>
      <c r="AA78" s="14" t="s">
        <v>42</v>
      </c>
      <c r="AB78" s="14" t="s">
        <v>43</v>
      </c>
      <c r="AC78" s="14" t="s">
        <v>44</v>
      </c>
    </row>
    <row r="79" spans="1:29" x14ac:dyDescent="0.45">
      <c r="A79" s="2" t="s">
        <v>47</v>
      </c>
      <c r="B79" s="8">
        <v>5.4545454545454543E-2</v>
      </c>
      <c r="C79" s="8">
        <v>0.52727272727272723</v>
      </c>
      <c r="D79" s="8">
        <v>0.41818181818181815</v>
      </c>
      <c r="F79" s="2" t="s">
        <v>47</v>
      </c>
      <c r="G79" s="8">
        <v>3.7037037037037034E-3</v>
      </c>
      <c r="H79" s="8">
        <v>0.42450543167524302</v>
      </c>
      <c r="I79" s="8">
        <v>0.57179086462105322</v>
      </c>
      <c r="K79" s="2" t="s">
        <v>47</v>
      </c>
      <c r="L79" s="8">
        <v>2.9090909090909091E-2</v>
      </c>
      <c r="M79" s="8">
        <v>0.68</v>
      </c>
      <c r="N79" s="8">
        <v>0.29090909090909089</v>
      </c>
      <c r="P79" s="2" t="s">
        <v>47</v>
      </c>
      <c r="Q79" s="8">
        <v>0</v>
      </c>
      <c r="R79" s="8">
        <v>0.69387755102040816</v>
      </c>
      <c r="S79" s="8">
        <v>0.30612244897959184</v>
      </c>
      <c r="U79" s="2" t="s">
        <v>47</v>
      </c>
      <c r="V79" s="8">
        <v>2.197802197802198E-2</v>
      </c>
      <c r="W79" s="8">
        <v>0.65934065934065933</v>
      </c>
      <c r="X79" s="8">
        <v>0.31868131868131866</v>
      </c>
      <c r="Z79" s="2" t="s">
        <v>47</v>
      </c>
      <c r="AA79" s="8">
        <v>5.4945054945054949E-3</v>
      </c>
      <c r="AB79" s="8">
        <v>0.58791208791208793</v>
      </c>
      <c r="AC79" s="8">
        <v>0.40659340659340659</v>
      </c>
    </row>
    <row r="80" spans="1:29" x14ac:dyDescent="0.45">
      <c r="A80" s="2" t="s">
        <v>48</v>
      </c>
      <c r="B80" s="8">
        <v>5.0632911392405063E-2</v>
      </c>
      <c r="C80" s="8">
        <v>0.569620253164557</v>
      </c>
      <c r="D80" s="8">
        <v>0.379746835443038</v>
      </c>
      <c r="F80" s="2" t="s">
        <v>48</v>
      </c>
      <c r="G80" s="8">
        <v>5.0632911392405064E-3</v>
      </c>
      <c r="H80" s="8">
        <v>0.52022070756247962</v>
      </c>
      <c r="I80" s="8">
        <v>0.47471600129827979</v>
      </c>
      <c r="K80" s="2" t="s">
        <v>48</v>
      </c>
      <c r="L80" s="8">
        <v>2.2784810126582278E-2</v>
      </c>
      <c r="M80" s="8">
        <v>0.63193768257059402</v>
      </c>
      <c r="N80" s="8">
        <v>0.34527750730282375</v>
      </c>
      <c r="P80" s="2" t="s">
        <v>48</v>
      </c>
      <c r="Q80" s="8">
        <v>1.2738853503184714E-2</v>
      </c>
      <c r="R80" s="8">
        <v>0.78343949044585992</v>
      </c>
      <c r="S80" s="8">
        <v>0.20382165605095542</v>
      </c>
      <c r="U80" s="2" t="s">
        <v>48</v>
      </c>
      <c r="V80" s="8">
        <v>1.5597920277296361E-2</v>
      </c>
      <c r="W80" s="8">
        <v>0.6707105719237435</v>
      </c>
      <c r="X80" s="8">
        <v>0.31369150779896016</v>
      </c>
      <c r="Z80" s="2" t="s">
        <v>48</v>
      </c>
      <c r="AA80" s="8">
        <v>5.1993067590987872E-3</v>
      </c>
      <c r="AB80" s="8">
        <v>0.53899480069324091</v>
      </c>
      <c r="AC80" s="8">
        <v>0.4558058925476603</v>
      </c>
    </row>
    <row r="81" spans="1:29" x14ac:dyDescent="0.45">
      <c r="A81" s="2" t="s">
        <v>49</v>
      </c>
      <c r="B81" s="8">
        <v>0.14393939393939395</v>
      </c>
      <c r="C81" s="8">
        <v>0.5757575757575758</v>
      </c>
      <c r="D81" s="8">
        <v>0.28030303030303028</v>
      </c>
      <c r="F81" s="2" t="s">
        <v>49</v>
      </c>
      <c r="G81" s="8">
        <v>4.5570205875549389E-3</v>
      </c>
      <c r="H81" s="8">
        <v>0.44230858200323853</v>
      </c>
      <c r="I81" s="8">
        <v>0.55313439740920667</v>
      </c>
      <c r="K81" s="2" t="s">
        <v>49</v>
      </c>
      <c r="L81" s="8">
        <v>2.1212121212121213E-2</v>
      </c>
      <c r="M81" s="8">
        <v>0.67272727272727262</v>
      </c>
      <c r="N81" s="8">
        <v>0.30606060606060603</v>
      </c>
      <c r="P81" s="2" t="s">
        <v>49</v>
      </c>
      <c r="Q81" s="8">
        <v>2.4163568773234202E-2</v>
      </c>
      <c r="R81" s="8">
        <v>0.65613382899628248</v>
      </c>
      <c r="S81" s="8">
        <v>0.31970260223048325</v>
      </c>
      <c r="U81" s="2" t="s">
        <v>49</v>
      </c>
      <c r="V81" s="8">
        <v>1.5002586652871184E-2</v>
      </c>
      <c r="W81" s="8">
        <v>0.69891360579410244</v>
      </c>
      <c r="X81" s="8">
        <v>0.28608380755302637</v>
      </c>
      <c r="Z81" s="2" t="s">
        <v>49</v>
      </c>
      <c r="AA81" s="8">
        <v>5.7142857142857143E-3</v>
      </c>
      <c r="AB81" s="8">
        <v>0.53246753246753242</v>
      </c>
      <c r="AC81" s="8">
        <v>0.46181818181818179</v>
      </c>
    </row>
    <row r="82" spans="1:29" x14ac:dyDescent="0.45">
      <c r="A82" s="2" t="s">
        <v>50</v>
      </c>
      <c r="B82" s="8">
        <v>0.189873417721519</v>
      </c>
      <c r="C82" s="8">
        <v>0.54430379746835444</v>
      </c>
      <c r="D82" s="8">
        <v>0.26582278481012656</v>
      </c>
      <c r="F82" s="2" t="s">
        <v>50</v>
      </c>
      <c r="G82" s="8">
        <v>2.5316455696202532E-3</v>
      </c>
      <c r="H82" s="8">
        <v>0.44148003894839338</v>
      </c>
      <c r="I82" s="8">
        <v>0.55598831548198635</v>
      </c>
      <c r="K82" s="2" t="s">
        <v>50</v>
      </c>
      <c r="L82" s="8">
        <v>2.7848101265822784E-2</v>
      </c>
      <c r="M82" s="8">
        <v>0.66835443037974696</v>
      </c>
      <c r="N82" s="8">
        <v>0.30379746835443039</v>
      </c>
      <c r="P82" s="2" t="s">
        <v>50</v>
      </c>
      <c r="Q82" s="8">
        <v>1.1520737327188941E-2</v>
      </c>
      <c r="R82" s="8">
        <v>0.66359447004608296</v>
      </c>
      <c r="S82" s="8">
        <v>0.32488479262672809</v>
      </c>
      <c r="U82" s="2" t="s">
        <v>50</v>
      </c>
      <c r="V82" s="8">
        <v>1.6361256544502618E-2</v>
      </c>
      <c r="W82" s="8">
        <v>0.68390052356020947</v>
      </c>
      <c r="X82" s="8">
        <v>0.29973821989528798</v>
      </c>
      <c r="Z82" s="2" t="s">
        <v>50</v>
      </c>
      <c r="AA82" s="8">
        <v>5.2596975673898753E-3</v>
      </c>
      <c r="AB82" s="8">
        <v>0.54437869822485208</v>
      </c>
      <c r="AC82" s="8">
        <v>0.45036160420775806</v>
      </c>
    </row>
    <row r="83" spans="1:29" x14ac:dyDescent="0.45">
      <c r="A83" s="2" t="s">
        <v>51</v>
      </c>
      <c r="B83" s="8">
        <v>0.29032258064516131</v>
      </c>
      <c r="C83" s="8">
        <v>0.35483870967741937</v>
      </c>
      <c r="D83" s="8">
        <v>0.35483870967741937</v>
      </c>
      <c r="F83" s="2" t="s">
        <v>51</v>
      </c>
      <c r="G83" s="8">
        <v>0</v>
      </c>
      <c r="H83" s="8">
        <v>0.49032258064516132</v>
      </c>
      <c r="I83" s="8">
        <v>0.50967741935483868</v>
      </c>
      <c r="K83" s="2" t="s">
        <v>51</v>
      </c>
      <c r="L83" s="8">
        <v>1.935483870967742E-2</v>
      </c>
      <c r="M83" s="8">
        <v>0.64516129032258063</v>
      </c>
      <c r="N83" s="8">
        <v>0.33548387096774196</v>
      </c>
      <c r="P83" s="2" t="s">
        <v>51</v>
      </c>
      <c r="Q83" s="8">
        <v>7.874015748031496E-3</v>
      </c>
      <c r="R83" s="8">
        <v>0.69291338582677164</v>
      </c>
      <c r="S83" s="8">
        <v>0.29921259842519687</v>
      </c>
      <c r="U83" s="2" t="s">
        <v>51</v>
      </c>
      <c r="V83" s="8">
        <v>8.368200836820083E-3</v>
      </c>
      <c r="W83" s="8">
        <v>0.69246861924686187</v>
      </c>
      <c r="X83" s="8">
        <v>0.29916317991631797</v>
      </c>
      <c r="Z83" s="2" t="s">
        <v>51</v>
      </c>
      <c r="AA83" s="8">
        <v>4.1928721174004195E-3</v>
      </c>
      <c r="AB83" s="8">
        <v>0.54507337526205446</v>
      </c>
      <c r="AC83" s="8">
        <v>0.45073375262054505</v>
      </c>
    </row>
    <row r="84" spans="1:29" x14ac:dyDescent="0.45">
      <c r="A84" s="2" t="s">
        <v>52</v>
      </c>
      <c r="B84" s="8">
        <v>0.25925925925925924</v>
      </c>
      <c r="C84" s="8">
        <v>0.51851851851851849</v>
      </c>
      <c r="D84" s="8">
        <v>0.22222222222222221</v>
      </c>
      <c r="F84" s="2" t="s">
        <v>52</v>
      </c>
      <c r="G84" s="8">
        <v>0</v>
      </c>
      <c r="H84" s="8">
        <v>0.49629629629629629</v>
      </c>
      <c r="I84" s="8">
        <v>0.50370370370370376</v>
      </c>
      <c r="K84" s="2" t="s">
        <v>52</v>
      </c>
      <c r="L84" s="8">
        <v>2.222222222222222E-2</v>
      </c>
      <c r="M84" s="8">
        <v>0.6</v>
      </c>
      <c r="N84" s="8">
        <v>0.37777777777777771</v>
      </c>
      <c r="P84" s="2" t="s">
        <v>52</v>
      </c>
      <c r="Q84" s="8">
        <v>3.8461538461538464E-2</v>
      </c>
      <c r="R84" s="8">
        <v>0.70512820512820518</v>
      </c>
      <c r="S84" s="8">
        <v>0.25641025641025639</v>
      </c>
      <c r="U84" s="2" t="s">
        <v>52</v>
      </c>
      <c r="V84" s="8">
        <v>1.3289036544850499E-2</v>
      </c>
      <c r="W84" s="8">
        <v>0.69767441860465118</v>
      </c>
      <c r="X84" s="8">
        <v>0.28903654485049834</v>
      </c>
      <c r="Z84" s="2" t="s">
        <v>52</v>
      </c>
      <c r="AA84" s="8">
        <v>0</v>
      </c>
      <c r="AB84" s="8">
        <v>0.56666666666666665</v>
      </c>
      <c r="AC84" s="8">
        <v>0.43333333333333335</v>
      </c>
    </row>
    <row r="86" spans="1:29" x14ac:dyDescent="0.45">
      <c r="A86" s="14" t="s">
        <v>14</v>
      </c>
      <c r="B86" s="14" t="s">
        <v>42</v>
      </c>
      <c r="C86" s="14" t="s">
        <v>43</v>
      </c>
      <c r="D86" s="14" t="s">
        <v>44</v>
      </c>
      <c r="F86" s="14" t="s">
        <v>14</v>
      </c>
      <c r="G86" s="14" t="s">
        <v>42</v>
      </c>
      <c r="H86" s="14" t="s">
        <v>43</v>
      </c>
      <c r="I86" s="14" t="s">
        <v>44</v>
      </c>
      <c r="K86" s="14" t="s">
        <v>14</v>
      </c>
      <c r="L86" s="14" t="s">
        <v>42</v>
      </c>
      <c r="M86" s="14" t="s">
        <v>43</v>
      </c>
      <c r="N86" s="14" t="s">
        <v>44</v>
      </c>
      <c r="P86" s="14" t="s">
        <v>14</v>
      </c>
      <c r="Q86" s="14" t="s">
        <v>42</v>
      </c>
      <c r="R86" s="14" t="s">
        <v>43</v>
      </c>
      <c r="S86" s="14" t="s">
        <v>44</v>
      </c>
      <c r="U86" s="14" t="s">
        <v>14</v>
      </c>
      <c r="V86" s="14" t="s">
        <v>42</v>
      </c>
      <c r="W86" s="14" t="s">
        <v>43</v>
      </c>
      <c r="X86" s="14" t="s">
        <v>44</v>
      </c>
      <c r="Z86" s="14" t="s">
        <v>14</v>
      </c>
      <c r="AA86" s="14" t="s">
        <v>42</v>
      </c>
      <c r="AB86" s="14" t="s">
        <v>43</v>
      </c>
      <c r="AC86" s="14" t="s">
        <v>44</v>
      </c>
    </row>
    <row r="87" spans="1:29" x14ac:dyDescent="0.45">
      <c r="A87" s="2" t="s">
        <v>47</v>
      </c>
      <c r="B87" s="8">
        <v>1.8181818181818181E-2</v>
      </c>
      <c r="C87" s="8">
        <v>0.25454545454545452</v>
      </c>
      <c r="D87" s="8">
        <v>0.72727272727272729</v>
      </c>
      <c r="F87" s="2" t="s">
        <v>47</v>
      </c>
      <c r="G87" s="8">
        <v>0</v>
      </c>
      <c r="H87" s="8">
        <v>4.4521949050250934E-2</v>
      </c>
      <c r="I87" s="8">
        <v>0.95547805094974925</v>
      </c>
      <c r="K87" s="2" t="s">
        <v>47</v>
      </c>
      <c r="L87" s="8">
        <v>1.8181818181818181E-2</v>
      </c>
      <c r="M87" s="8">
        <v>0.65090909090909088</v>
      </c>
      <c r="N87" s="8">
        <v>0.33090909090909087</v>
      </c>
      <c r="P87" s="2" t="s">
        <v>47</v>
      </c>
      <c r="Q87" s="8">
        <v>0</v>
      </c>
      <c r="R87" s="8">
        <v>0.77551020408163263</v>
      </c>
      <c r="S87" s="8">
        <v>0.22448979591836735</v>
      </c>
      <c r="U87" s="2" t="s">
        <v>47</v>
      </c>
      <c r="V87" s="8">
        <v>1.098901098901099E-2</v>
      </c>
      <c r="W87" s="8">
        <v>0.68131868131868134</v>
      </c>
      <c r="X87" s="8">
        <v>0.30769230769230771</v>
      </c>
      <c r="Z87" s="2" t="s">
        <v>47</v>
      </c>
      <c r="AA87" s="8">
        <v>5.4945054945054949E-3</v>
      </c>
      <c r="AB87" s="8">
        <v>0.15934065934065933</v>
      </c>
      <c r="AC87" s="8">
        <v>0.8351648351648352</v>
      </c>
    </row>
    <row r="88" spans="1:29" x14ac:dyDescent="0.45">
      <c r="A88" s="2" t="s">
        <v>48</v>
      </c>
      <c r="B88" s="8">
        <v>6.3291139240506333E-2</v>
      </c>
      <c r="C88" s="8">
        <v>0.41772151898734178</v>
      </c>
      <c r="D88" s="8">
        <v>0.51898734177215189</v>
      </c>
      <c r="F88" s="2" t="s">
        <v>48</v>
      </c>
      <c r="G88" s="8">
        <v>0</v>
      </c>
      <c r="H88" s="8">
        <v>5.0697825381369688E-2</v>
      </c>
      <c r="I88" s="8">
        <v>0.94930217461863031</v>
      </c>
      <c r="K88" s="2" t="s">
        <v>48</v>
      </c>
      <c r="L88" s="8">
        <v>1.7786432976306395E-2</v>
      </c>
      <c r="M88" s="8">
        <v>0.67250892567348264</v>
      </c>
      <c r="N88" s="8">
        <v>0.30970464135021103</v>
      </c>
      <c r="P88" s="2" t="s">
        <v>48</v>
      </c>
      <c r="Q88" s="8">
        <v>1.2738853503184714E-2</v>
      </c>
      <c r="R88" s="8">
        <v>0.57324840764331209</v>
      </c>
      <c r="S88" s="8">
        <v>0.4140127388535032</v>
      </c>
      <c r="U88" s="2" t="s">
        <v>48</v>
      </c>
      <c r="V88" s="8">
        <v>1.7301038062283738E-2</v>
      </c>
      <c r="W88" s="8">
        <v>0.67301038062283736</v>
      </c>
      <c r="X88" s="8">
        <v>0.30968858131487892</v>
      </c>
      <c r="Z88" s="2" t="s">
        <v>48</v>
      </c>
      <c r="AA88" s="8">
        <v>0</v>
      </c>
      <c r="AB88" s="8">
        <v>0.12695652173913044</v>
      </c>
      <c r="AC88" s="8">
        <v>0.87304347826086959</v>
      </c>
    </row>
    <row r="89" spans="1:29" x14ac:dyDescent="0.45">
      <c r="A89" s="2" t="s">
        <v>49</v>
      </c>
      <c r="B89" s="8">
        <v>0.17424242424242425</v>
      </c>
      <c r="C89" s="8">
        <v>0.5</v>
      </c>
      <c r="D89" s="8">
        <v>0.32575757575757575</v>
      </c>
      <c r="F89" s="2" t="s">
        <v>49</v>
      </c>
      <c r="G89" s="8">
        <v>0</v>
      </c>
      <c r="H89" s="8">
        <v>3.0337728429331485E-2</v>
      </c>
      <c r="I89" s="8">
        <v>0.96966227157066842</v>
      </c>
      <c r="K89" s="2" t="s">
        <v>49</v>
      </c>
      <c r="L89" s="8">
        <v>1.3636363636363636E-2</v>
      </c>
      <c r="M89" s="8">
        <v>0.68030303030303019</v>
      </c>
      <c r="N89" s="8">
        <v>0.30606060606060603</v>
      </c>
      <c r="P89" s="2" t="s">
        <v>49</v>
      </c>
      <c r="Q89" s="8">
        <v>1.11731843575419E-2</v>
      </c>
      <c r="R89" s="8">
        <v>0.63314711359404097</v>
      </c>
      <c r="S89" s="8">
        <v>0.35567970204841715</v>
      </c>
      <c r="U89" s="2" t="s">
        <v>49</v>
      </c>
      <c r="V89" s="8">
        <v>1.4500258933195235E-2</v>
      </c>
      <c r="W89" s="8">
        <v>0.65147591921284309</v>
      </c>
      <c r="X89" s="8">
        <v>0.33402382185396168</v>
      </c>
      <c r="Z89" s="2" t="s">
        <v>49</v>
      </c>
      <c r="AA89" s="8">
        <v>1.0405827263267431E-3</v>
      </c>
      <c r="AB89" s="8">
        <v>0.12955254942767949</v>
      </c>
      <c r="AC89" s="8">
        <v>0.86940686784599375</v>
      </c>
    </row>
    <row r="90" spans="1:29" x14ac:dyDescent="0.45">
      <c r="A90" s="2" t="s">
        <v>50</v>
      </c>
      <c r="B90" s="8">
        <v>0.29113924050632911</v>
      </c>
      <c r="C90" s="8">
        <v>0.44303797468354428</v>
      </c>
      <c r="D90" s="8">
        <v>0.26582278481012656</v>
      </c>
      <c r="F90" s="2" t="s">
        <v>50</v>
      </c>
      <c r="G90" s="8">
        <v>0</v>
      </c>
      <c r="H90" s="8">
        <v>5.57611165206102E-2</v>
      </c>
      <c r="I90" s="8">
        <v>0.94423888347938989</v>
      </c>
      <c r="K90" s="2" t="s">
        <v>50</v>
      </c>
      <c r="L90" s="8">
        <v>1.7721518987341773E-2</v>
      </c>
      <c r="M90" s="8">
        <v>0.65063291139240509</v>
      </c>
      <c r="N90" s="8">
        <v>0.33164556962025316</v>
      </c>
      <c r="P90" s="2" t="s">
        <v>50</v>
      </c>
      <c r="Q90" s="8">
        <v>3.4562211981566823E-2</v>
      </c>
      <c r="R90" s="8">
        <v>0.67972350230414746</v>
      </c>
      <c r="S90" s="8">
        <v>0.2857142857142857</v>
      </c>
      <c r="U90" s="2" t="s">
        <v>50</v>
      </c>
      <c r="V90" s="8">
        <v>1.3097576948264571E-2</v>
      </c>
      <c r="W90" s="8">
        <v>0.67714472822527827</v>
      </c>
      <c r="X90" s="8">
        <v>0.3097576948264571</v>
      </c>
      <c r="Z90" s="2" t="s">
        <v>50</v>
      </c>
      <c r="AA90" s="8">
        <v>1.9749835418038184E-3</v>
      </c>
      <c r="AB90" s="8">
        <v>0.14351547070441079</v>
      </c>
      <c r="AC90" s="8">
        <v>0.85450954575378535</v>
      </c>
    </row>
    <row r="91" spans="1:29" x14ac:dyDescent="0.45">
      <c r="A91" s="2" t="s">
        <v>51</v>
      </c>
      <c r="B91" s="8">
        <v>0.35483870967741937</v>
      </c>
      <c r="C91" s="8">
        <v>0.4838709677419355</v>
      </c>
      <c r="D91" s="8">
        <v>0.16129032258064516</v>
      </c>
      <c r="F91" s="2" t="s">
        <v>51</v>
      </c>
      <c r="G91" s="8">
        <v>0</v>
      </c>
      <c r="H91" s="8">
        <v>4.5161290322580643E-2</v>
      </c>
      <c r="I91" s="8">
        <v>0.95483870967741935</v>
      </c>
      <c r="K91" s="2" t="s">
        <v>51</v>
      </c>
      <c r="L91" s="8">
        <v>2.5806451612903226E-2</v>
      </c>
      <c r="M91" s="8">
        <v>0.68387096774193545</v>
      </c>
      <c r="N91" s="8">
        <v>0.29032258064516125</v>
      </c>
      <c r="P91" s="2" t="s">
        <v>51</v>
      </c>
      <c r="Q91" s="8">
        <v>7.874015748031496E-3</v>
      </c>
      <c r="R91" s="8">
        <v>0.72440944881889768</v>
      </c>
      <c r="S91" s="8">
        <v>0.26771653543307089</v>
      </c>
      <c r="U91" s="2" t="s">
        <v>51</v>
      </c>
      <c r="V91" s="8">
        <v>1.6736401673640166E-2</v>
      </c>
      <c r="W91" s="8">
        <v>0.64225941422594146</v>
      </c>
      <c r="X91" s="8">
        <v>0.34100418410041838</v>
      </c>
      <c r="Z91" s="2" t="s">
        <v>51</v>
      </c>
      <c r="AA91" s="8">
        <v>0</v>
      </c>
      <c r="AB91" s="8">
        <v>0.15303983228511531</v>
      </c>
      <c r="AC91" s="8">
        <v>0.84696016771488469</v>
      </c>
    </row>
    <row r="92" spans="1:29" x14ac:dyDescent="0.45">
      <c r="A92" s="2" t="s">
        <v>52</v>
      </c>
      <c r="B92" s="8">
        <v>0.25925925925925924</v>
      </c>
      <c r="C92" s="8">
        <v>0.55555555555555558</v>
      </c>
      <c r="D92" s="8">
        <v>0.18518518518518517</v>
      </c>
      <c r="F92" s="2" t="s">
        <v>52</v>
      </c>
      <c r="G92" s="8">
        <v>0</v>
      </c>
      <c r="H92" s="8">
        <v>6.6666666666666666E-2</v>
      </c>
      <c r="I92" s="8">
        <v>0.93333333333333324</v>
      </c>
      <c r="K92" s="2" t="s">
        <v>52</v>
      </c>
      <c r="L92" s="8">
        <v>2.222222222222222E-2</v>
      </c>
      <c r="M92" s="8">
        <v>0.65185185185185179</v>
      </c>
      <c r="N92" s="8">
        <v>0.3259259259259259</v>
      </c>
      <c r="P92" s="2" t="s">
        <v>52</v>
      </c>
      <c r="Q92" s="8">
        <v>2.564102564102564E-2</v>
      </c>
      <c r="R92" s="8">
        <v>0.69230769230769229</v>
      </c>
      <c r="S92" s="8">
        <v>0.28205128205128205</v>
      </c>
      <c r="U92" s="2" t="s">
        <v>52</v>
      </c>
      <c r="V92" s="8">
        <v>2.6578073089700997E-2</v>
      </c>
      <c r="W92" s="8">
        <v>0.61794019933554822</v>
      </c>
      <c r="X92" s="8">
        <v>0.35548172757475083</v>
      </c>
      <c r="Z92" s="2" t="s">
        <v>52</v>
      </c>
      <c r="AA92" s="8">
        <v>0</v>
      </c>
      <c r="AB92" s="8">
        <v>0.12374581939799331</v>
      </c>
      <c r="AC92" s="8">
        <v>0.87625418060200666</v>
      </c>
    </row>
    <row r="94" spans="1:29" x14ac:dyDescent="0.45">
      <c r="A94" s="14" t="s">
        <v>15</v>
      </c>
      <c r="B94" s="14" t="s">
        <v>42</v>
      </c>
      <c r="C94" s="14" t="s">
        <v>43</v>
      </c>
      <c r="D94" s="14" t="s">
        <v>44</v>
      </c>
      <c r="F94" s="14" t="s">
        <v>15</v>
      </c>
      <c r="G94" s="14" t="s">
        <v>42</v>
      </c>
      <c r="H94" s="14" t="s">
        <v>43</v>
      </c>
      <c r="I94" s="14" t="s">
        <v>44</v>
      </c>
      <c r="K94" s="14" t="s">
        <v>15</v>
      </c>
      <c r="L94" s="14" t="s">
        <v>42</v>
      </c>
      <c r="M94" s="14" t="s">
        <v>43</v>
      </c>
      <c r="N94" s="14" t="s">
        <v>44</v>
      </c>
      <c r="P94" s="14" t="s">
        <v>15</v>
      </c>
      <c r="Q94" s="14" t="s">
        <v>42</v>
      </c>
      <c r="R94" s="14" t="s">
        <v>43</v>
      </c>
      <c r="S94" s="14" t="s">
        <v>44</v>
      </c>
      <c r="U94" s="14" t="s">
        <v>15</v>
      </c>
      <c r="V94" s="14" t="s">
        <v>42</v>
      </c>
      <c r="W94" s="14" t="s">
        <v>43</v>
      </c>
      <c r="X94" s="14" t="s">
        <v>44</v>
      </c>
      <c r="Z94" s="14" t="s">
        <v>15</v>
      </c>
      <c r="AA94" s="14" t="s">
        <v>42</v>
      </c>
      <c r="AB94" s="14" t="s">
        <v>43</v>
      </c>
      <c r="AC94" s="14" t="s">
        <v>44</v>
      </c>
    </row>
    <row r="95" spans="1:29" x14ac:dyDescent="0.45">
      <c r="A95" s="2" t="s">
        <v>47</v>
      </c>
      <c r="B95" s="8">
        <v>5.4545454545454543E-2</v>
      </c>
      <c r="C95" s="8">
        <v>0.50909090909090904</v>
      </c>
      <c r="D95" s="8">
        <v>0.43636363636363634</v>
      </c>
      <c r="F95" s="2" t="s">
        <v>47</v>
      </c>
      <c r="G95" s="8">
        <v>0</v>
      </c>
      <c r="H95" s="8">
        <v>0.34705418969569912</v>
      </c>
      <c r="I95" s="8">
        <v>0.65294581030430088</v>
      </c>
      <c r="K95" s="2" t="s">
        <v>47</v>
      </c>
      <c r="L95" s="8">
        <v>5.8383838383838385E-2</v>
      </c>
      <c r="M95" s="8">
        <v>0.80255892255892258</v>
      </c>
      <c r="N95" s="8">
        <v>0.13905723905723905</v>
      </c>
      <c r="P95" s="2" t="s">
        <v>47</v>
      </c>
      <c r="Q95" s="8">
        <v>2.0408163265306121E-2</v>
      </c>
      <c r="R95" s="8">
        <v>0.81632653061224492</v>
      </c>
      <c r="S95" s="8">
        <v>0.16326530612244897</v>
      </c>
      <c r="U95" s="2" t="s">
        <v>47</v>
      </c>
      <c r="V95" s="8">
        <v>2.7472527472527472E-2</v>
      </c>
      <c r="W95" s="8">
        <v>0.7857142857142857</v>
      </c>
      <c r="X95" s="8">
        <v>0.18681318681318682</v>
      </c>
      <c r="Z95" s="2" t="s">
        <v>47</v>
      </c>
      <c r="AA95" s="8">
        <v>1.098901098901099E-2</v>
      </c>
      <c r="AB95" s="8">
        <v>0.60989010989010994</v>
      </c>
      <c r="AC95" s="8">
        <v>0.37912087912087911</v>
      </c>
    </row>
    <row r="96" spans="1:29" x14ac:dyDescent="0.45">
      <c r="A96" s="2" t="s">
        <v>48</v>
      </c>
      <c r="B96" s="8">
        <v>0.12658227848101267</v>
      </c>
      <c r="C96" s="8">
        <v>0.58227848101265822</v>
      </c>
      <c r="D96" s="8">
        <v>0.29113924050632911</v>
      </c>
      <c r="F96" s="2" t="s">
        <v>48</v>
      </c>
      <c r="G96" s="8">
        <v>0</v>
      </c>
      <c r="H96" s="8">
        <v>0.47205452775073031</v>
      </c>
      <c r="I96" s="8">
        <v>0.52794547224926969</v>
      </c>
      <c r="K96" s="2" t="s">
        <v>48</v>
      </c>
      <c r="L96" s="8">
        <v>3.816942551119766E-2</v>
      </c>
      <c r="M96" s="8">
        <v>0.78377150275884455</v>
      </c>
      <c r="N96" s="8">
        <v>0.1780590717299578</v>
      </c>
      <c r="P96" s="2" t="s">
        <v>48</v>
      </c>
      <c r="Q96" s="8">
        <v>3.1847133757961783E-2</v>
      </c>
      <c r="R96" s="8">
        <v>0.84076433121019112</v>
      </c>
      <c r="S96" s="8">
        <v>0.12738853503184713</v>
      </c>
      <c r="U96" s="2" t="s">
        <v>48</v>
      </c>
      <c r="V96" s="8">
        <v>2.9411764705882353E-2</v>
      </c>
      <c r="W96" s="8">
        <v>0.83391003460207613</v>
      </c>
      <c r="X96" s="8">
        <v>0.13667820069204153</v>
      </c>
      <c r="Z96" s="2" t="s">
        <v>48</v>
      </c>
      <c r="AA96" s="8">
        <v>1.2173913043478261E-2</v>
      </c>
      <c r="AB96" s="8">
        <v>0.55652173913043479</v>
      </c>
      <c r="AC96" s="8">
        <v>0.43130434782608695</v>
      </c>
    </row>
    <row r="97" spans="1:29" x14ac:dyDescent="0.45">
      <c r="A97" s="2" t="s">
        <v>49</v>
      </c>
      <c r="B97" s="8">
        <v>0.19696969696969696</v>
      </c>
      <c r="C97" s="8">
        <v>0.53787878787878785</v>
      </c>
      <c r="D97" s="8">
        <v>0.26515151515151514</v>
      </c>
      <c r="F97" s="2" t="s">
        <v>49</v>
      </c>
      <c r="G97" s="8">
        <v>0</v>
      </c>
      <c r="H97" s="8">
        <v>0.41945408281286145</v>
      </c>
      <c r="I97" s="8">
        <v>0.58054591718713844</v>
      </c>
      <c r="K97" s="2" t="s">
        <v>49</v>
      </c>
      <c r="L97" s="8">
        <v>3.787878787878788E-2</v>
      </c>
      <c r="M97" s="8">
        <v>0.81666666666666665</v>
      </c>
      <c r="N97" s="8">
        <v>0.14545454545454545</v>
      </c>
      <c r="P97" s="2" t="s">
        <v>49</v>
      </c>
      <c r="Q97" s="8">
        <v>4.0968342644320296E-2</v>
      </c>
      <c r="R97" s="8">
        <v>0.7988826815642458</v>
      </c>
      <c r="S97" s="8">
        <v>0.16014897579143389</v>
      </c>
      <c r="U97" s="2" t="s">
        <v>49</v>
      </c>
      <c r="V97" s="8">
        <v>4.1947177628171933E-2</v>
      </c>
      <c r="W97" s="8">
        <v>0.81667529777317449</v>
      </c>
      <c r="X97" s="8">
        <v>0.14137752459865355</v>
      </c>
      <c r="Z97" s="2" t="s">
        <v>49</v>
      </c>
      <c r="AA97" s="8">
        <v>2.6014568158168575E-3</v>
      </c>
      <c r="AB97" s="8">
        <v>0.55306971904266389</v>
      </c>
      <c r="AC97" s="8">
        <v>0.44432882414151925</v>
      </c>
    </row>
    <row r="98" spans="1:29" x14ac:dyDescent="0.45">
      <c r="A98" s="2" t="s">
        <v>50</v>
      </c>
      <c r="B98" s="8">
        <v>0.20253164556962025</v>
      </c>
      <c r="C98" s="8">
        <v>0.569620253164557</v>
      </c>
      <c r="D98" s="8">
        <v>0.22784810126582278</v>
      </c>
      <c r="F98" s="2" t="s">
        <v>50</v>
      </c>
      <c r="G98" s="8">
        <v>2.5316455696202532E-3</v>
      </c>
      <c r="H98" s="8">
        <v>0.40840636157091853</v>
      </c>
      <c r="I98" s="8">
        <v>0.58906199285946115</v>
      </c>
      <c r="K98" s="2" t="s">
        <v>50</v>
      </c>
      <c r="L98" s="8">
        <v>6.0759493670886081E-2</v>
      </c>
      <c r="M98" s="8">
        <v>0.76962025316455696</v>
      </c>
      <c r="N98" s="8">
        <v>0.16962025316455698</v>
      </c>
      <c r="P98" s="2" t="s">
        <v>50</v>
      </c>
      <c r="Q98" s="8">
        <v>2.9953917050691243E-2</v>
      </c>
      <c r="R98" s="8">
        <v>0.81105990783410142</v>
      </c>
      <c r="S98" s="8">
        <v>0.15898617511520738</v>
      </c>
      <c r="U98" s="2" t="s">
        <v>50</v>
      </c>
      <c r="V98" s="8">
        <v>3.2089063523248196E-2</v>
      </c>
      <c r="W98" s="8">
        <v>0.80812049770792405</v>
      </c>
      <c r="X98" s="8">
        <v>0.15979043876882776</v>
      </c>
      <c r="Z98" s="2" t="s">
        <v>50</v>
      </c>
      <c r="AA98" s="8">
        <v>1.9749835418038184E-3</v>
      </c>
      <c r="AB98" s="8">
        <v>0.56747860434496378</v>
      </c>
      <c r="AC98" s="8">
        <v>0.43054641211323241</v>
      </c>
    </row>
    <row r="99" spans="1:29" x14ac:dyDescent="0.45">
      <c r="A99" s="2" t="s">
        <v>51</v>
      </c>
      <c r="B99" s="8">
        <v>0.32258064516129031</v>
      </c>
      <c r="C99" s="8">
        <v>0.45161290322580644</v>
      </c>
      <c r="D99" s="8">
        <v>0.22580645161290322</v>
      </c>
      <c r="F99" s="2" t="s">
        <v>51</v>
      </c>
      <c r="G99" s="8">
        <v>6.4516129032258064E-3</v>
      </c>
      <c r="H99" s="8">
        <v>0.40645161290322579</v>
      </c>
      <c r="I99" s="8">
        <v>0.58709677419354844</v>
      </c>
      <c r="K99" s="2" t="s">
        <v>51</v>
      </c>
      <c r="L99" s="8">
        <v>1.935483870967742E-2</v>
      </c>
      <c r="M99" s="8">
        <v>0.83225806451612905</v>
      </c>
      <c r="N99" s="8">
        <v>0.14838709677419354</v>
      </c>
      <c r="P99" s="2" t="s">
        <v>51</v>
      </c>
      <c r="Q99" s="8">
        <v>3.937007874015748E-2</v>
      </c>
      <c r="R99" s="8">
        <v>0.8110236220472441</v>
      </c>
      <c r="S99" s="8">
        <v>0.14960629921259844</v>
      </c>
      <c r="U99" s="2" t="s">
        <v>51</v>
      </c>
      <c r="V99" s="8">
        <v>4.8117154811715482E-2</v>
      </c>
      <c r="W99" s="8">
        <v>0.78451882845188281</v>
      </c>
      <c r="X99" s="8">
        <v>0.16736401673640167</v>
      </c>
      <c r="Z99" s="2" t="s">
        <v>51</v>
      </c>
      <c r="AA99" s="8">
        <v>2.1008403361344537E-3</v>
      </c>
      <c r="AB99" s="8">
        <v>0.55252100840336138</v>
      </c>
      <c r="AC99" s="8">
        <v>0.44537815126050423</v>
      </c>
    </row>
    <row r="100" spans="1:29" x14ac:dyDescent="0.45">
      <c r="A100" s="2" t="s">
        <v>52</v>
      </c>
      <c r="B100" s="8">
        <v>0.25925925925925924</v>
      </c>
      <c r="C100" s="8">
        <v>0.48148148148148145</v>
      </c>
      <c r="D100" s="8">
        <v>0.25925925925925924</v>
      </c>
      <c r="F100" s="2" t="s">
        <v>52</v>
      </c>
      <c r="G100" s="8">
        <v>0</v>
      </c>
      <c r="H100" s="8">
        <v>0.437037037037037</v>
      </c>
      <c r="I100" s="8">
        <v>0.56296296296296289</v>
      </c>
      <c r="K100" s="2" t="s">
        <v>52</v>
      </c>
      <c r="L100" s="8">
        <v>3.7037037037037035E-2</v>
      </c>
      <c r="M100" s="8">
        <v>0.7851851851851851</v>
      </c>
      <c r="N100" s="8">
        <v>0.17777777777777776</v>
      </c>
      <c r="P100" s="2" t="s">
        <v>52</v>
      </c>
      <c r="Q100" s="8">
        <v>2.564102564102564E-2</v>
      </c>
      <c r="R100" s="8">
        <v>0.84615384615384615</v>
      </c>
      <c r="S100" s="8">
        <v>0.12820512820512819</v>
      </c>
      <c r="U100" s="2" t="s">
        <v>52</v>
      </c>
      <c r="V100" s="8">
        <v>5.9800664451827246E-2</v>
      </c>
      <c r="W100" s="8">
        <v>0.80730897009966773</v>
      </c>
      <c r="X100" s="8">
        <v>0.13289036544850499</v>
      </c>
      <c r="Z100" s="2" t="s">
        <v>52</v>
      </c>
      <c r="AA100" s="8">
        <v>0</v>
      </c>
      <c r="AB100" s="8">
        <v>0.56856187290969895</v>
      </c>
      <c r="AC100" s="8">
        <v>0.43143812709030099</v>
      </c>
    </row>
    <row r="102" spans="1:29" x14ac:dyDescent="0.45">
      <c r="A102" s="14" t="s">
        <v>16</v>
      </c>
      <c r="B102" s="14" t="s">
        <v>42</v>
      </c>
      <c r="C102" s="14" t="s">
        <v>43</v>
      </c>
      <c r="D102" s="14" t="s">
        <v>44</v>
      </c>
      <c r="F102" s="14" t="s">
        <v>16</v>
      </c>
      <c r="G102" s="14" t="s">
        <v>42</v>
      </c>
      <c r="H102" s="14" t="s">
        <v>43</v>
      </c>
      <c r="I102" s="14" t="s">
        <v>44</v>
      </c>
      <c r="K102" s="14" t="s">
        <v>16</v>
      </c>
      <c r="L102" s="14" t="s">
        <v>42</v>
      </c>
      <c r="M102" s="14" t="s">
        <v>43</v>
      </c>
      <c r="N102" s="14" t="s">
        <v>44</v>
      </c>
      <c r="P102" s="14" t="s">
        <v>16</v>
      </c>
      <c r="Q102" s="14" t="s">
        <v>42</v>
      </c>
      <c r="R102" s="14" t="s">
        <v>43</v>
      </c>
      <c r="S102" s="14" t="s">
        <v>44</v>
      </c>
      <c r="U102" s="14" t="s">
        <v>16</v>
      </c>
      <c r="V102" s="14" t="s">
        <v>42</v>
      </c>
      <c r="W102" s="14" t="s">
        <v>43</v>
      </c>
      <c r="X102" s="14" t="s">
        <v>44</v>
      </c>
      <c r="Z102" s="14" t="s">
        <v>16</v>
      </c>
      <c r="AA102" s="14" t="s">
        <v>42</v>
      </c>
      <c r="AB102" s="14" t="s">
        <v>43</v>
      </c>
      <c r="AC102" s="14" t="s">
        <v>44</v>
      </c>
    </row>
    <row r="103" spans="1:29" x14ac:dyDescent="0.45">
      <c r="A103" s="2" t="s">
        <v>47</v>
      </c>
      <c r="B103" s="8">
        <v>1.8181818181818181E-2</v>
      </c>
      <c r="C103" s="8">
        <v>0.5636363636363636</v>
      </c>
      <c r="D103" s="8">
        <v>0.41818181818181815</v>
      </c>
      <c r="F103" s="2" t="s">
        <v>47</v>
      </c>
      <c r="G103" s="8">
        <v>0</v>
      </c>
      <c r="H103" s="8">
        <v>0.43925544755733431</v>
      </c>
      <c r="I103" s="8">
        <v>0.56074455244266574</v>
      </c>
      <c r="K103" s="2" t="s">
        <v>47</v>
      </c>
      <c r="L103" s="8">
        <v>7.3063973063973053E-2</v>
      </c>
      <c r="M103" s="8">
        <v>0.86861952861952862</v>
      </c>
      <c r="N103" s="8">
        <v>5.8316498316498308E-2</v>
      </c>
      <c r="P103" s="2" t="s">
        <v>47</v>
      </c>
      <c r="Q103" s="8">
        <v>6.1224489795918366E-2</v>
      </c>
      <c r="R103" s="8">
        <v>0.91836734693877553</v>
      </c>
      <c r="S103" s="8">
        <v>2.0408163265306121E-2</v>
      </c>
      <c r="U103" s="2" t="s">
        <v>47</v>
      </c>
      <c r="V103" s="8">
        <v>6.5934065934065936E-2</v>
      </c>
      <c r="W103" s="8">
        <v>0.80769230769230771</v>
      </c>
      <c r="X103" s="8">
        <v>0.12637362637362637</v>
      </c>
      <c r="Z103" s="2" t="s">
        <v>47</v>
      </c>
      <c r="AA103" s="8">
        <v>5.4945054945054949E-3</v>
      </c>
      <c r="AB103" s="8">
        <v>0.57692307692307687</v>
      </c>
      <c r="AC103" s="8">
        <v>0.4175824175824176</v>
      </c>
    </row>
    <row r="104" spans="1:29" x14ac:dyDescent="0.45">
      <c r="A104" s="2" t="s">
        <v>48</v>
      </c>
      <c r="B104" s="8">
        <v>5.0632911392405063E-2</v>
      </c>
      <c r="C104" s="8">
        <v>0.620253164556962</v>
      </c>
      <c r="D104" s="8">
        <v>0.32911392405063289</v>
      </c>
      <c r="F104" s="2" t="s">
        <v>48</v>
      </c>
      <c r="G104" s="8">
        <v>0</v>
      </c>
      <c r="H104" s="8">
        <v>0.47971437844855574</v>
      </c>
      <c r="I104" s="8">
        <v>0.5202856215514442</v>
      </c>
      <c r="K104" s="2" t="s">
        <v>48</v>
      </c>
      <c r="L104" s="8">
        <v>4.8296007789678679E-2</v>
      </c>
      <c r="M104" s="8">
        <v>0.86510873093151575</v>
      </c>
      <c r="N104" s="8">
        <v>8.6595261278805596E-2</v>
      </c>
      <c r="P104" s="2" t="s">
        <v>48</v>
      </c>
      <c r="Q104" s="8">
        <v>7.6433121019108277E-2</v>
      </c>
      <c r="R104" s="8">
        <v>0.8152866242038217</v>
      </c>
      <c r="S104" s="8">
        <v>0.10828025477707007</v>
      </c>
      <c r="U104" s="2" t="s">
        <v>48</v>
      </c>
      <c r="V104" s="8">
        <v>6.228373702422145E-2</v>
      </c>
      <c r="W104" s="8">
        <v>0.84602076124567471</v>
      </c>
      <c r="X104" s="8">
        <v>9.1695501730103809E-2</v>
      </c>
      <c r="Z104" s="2" t="s">
        <v>48</v>
      </c>
      <c r="AA104" s="8">
        <v>0</v>
      </c>
      <c r="AB104" s="8">
        <v>0.50260869565217392</v>
      </c>
      <c r="AC104" s="8">
        <v>0.49739130434782608</v>
      </c>
    </row>
    <row r="105" spans="1:29" x14ac:dyDescent="0.45">
      <c r="A105" s="2" t="s">
        <v>49</v>
      </c>
      <c r="B105" s="8">
        <v>0.13636363636363635</v>
      </c>
      <c r="C105" s="8">
        <v>0.56818181818181823</v>
      </c>
      <c r="D105" s="8">
        <v>0.29545454545454547</v>
      </c>
      <c r="F105" s="2" t="s">
        <v>49</v>
      </c>
      <c r="G105" s="8">
        <v>0</v>
      </c>
      <c r="H105" s="8">
        <v>0.46498959056210964</v>
      </c>
      <c r="I105" s="8">
        <v>0.53501040943789036</v>
      </c>
      <c r="K105" s="2" t="s">
        <v>49</v>
      </c>
      <c r="L105" s="8">
        <v>0.05</v>
      </c>
      <c r="M105" s="8">
        <v>0.87121212121212133</v>
      </c>
      <c r="N105" s="8">
        <v>7.8787878787878796E-2</v>
      </c>
      <c r="P105" s="2" t="s">
        <v>49</v>
      </c>
      <c r="Q105" s="8">
        <v>4.8417132216014895E-2</v>
      </c>
      <c r="R105" s="8">
        <v>0.85288640595903165</v>
      </c>
      <c r="S105" s="8">
        <v>9.8696461824953452E-2</v>
      </c>
      <c r="U105" s="2" t="s">
        <v>49</v>
      </c>
      <c r="V105" s="8">
        <v>6.2143966856551013E-2</v>
      </c>
      <c r="W105" s="8">
        <v>0.84981874676333502</v>
      </c>
      <c r="X105" s="8">
        <v>8.8037286380113933E-2</v>
      </c>
      <c r="Z105" s="2" t="s">
        <v>49</v>
      </c>
      <c r="AA105" s="8">
        <v>5.2029136316337154E-4</v>
      </c>
      <c r="AB105" s="8">
        <v>0.53485952133194592</v>
      </c>
      <c r="AC105" s="8">
        <v>0.46462018730489074</v>
      </c>
    </row>
    <row r="106" spans="1:29" x14ac:dyDescent="0.45">
      <c r="A106" s="2" t="s">
        <v>50</v>
      </c>
      <c r="B106" s="8">
        <v>0.15189873417721519</v>
      </c>
      <c r="C106" s="8">
        <v>0.58227848101265822</v>
      </c>
      <c r="D106" s="8">
        <v>0.26582278481012656</v>
      </c>
      <c r="F106" s="2" t="s">
        <v>50</v>
      </c>
      <c r="G106" s="8">
        <v>0</v>
      </c>
      <c r="H106" s="8">
        <v>0.50266147354754942</v>
      </c>
      <c r="I106" s="8">
        <v>0.49733852645245041</v>
      </c>
      <c r="K106" s="2" t="s">
        <v>50</v>
      </c>
      <c r="L106" s="8">
        <v>6.0759493670886081E-2</v>
      </c>
      <c r="M106" s="8">
        <v>0.860759493670886</v>
      </c>
      <c r="N106" s="8">
        <v>7.848101265822785E-2</v>
      </c>
      <c r="P106" s="2" t="s">
        <v>50</v>
      </c>
      <c r="Q106" s="8">
        <v>4.377880184331797E-2</v>
      </c>
      <c r="R106" s="8">
        <v>0.87557603686635943</v>
      </c>
      <c r="S106" s="8">
        <v>8.0645161290322578E-2</v>
      </c>
      <c r="U106" s="2" t="s">
        <v>50</v>
      </c>
      <c r="V106" s="8">
        <v>5.304518664047151E-2</v>
      </c>
      <c r="W106" s="8">
        <v>0.85723641126391614</v>
      </c>
      <c r="X106" s="8">
        <v>8.9718402095612312E-2</v>
      </c>
      <c r="Z106" s="2" t="s">
        <v>50</v>
      </c>
      <c r="AA106" s="8">
        <v>0</v>
      </c>
      <c r="AB106" s="8">
        <v>0.56287030941408822</v>
      </c>
      <c r="AC106" s="8">
        <v>0.43712969058591178</v>
      </c>
    </row>
    <row r="107" spans="1:29" x14ac:dyDescent="0.45">
      <c r="A107" s="2" t="s">
        <v>51</v>
      </c>
      <c r="B107" s="8">
        <v>0.22580645161290322</v>
      </c>
      <c r="C107" s="8">
        <v>0.5161290322580645</v>
      </c>
      <c r="D107" s="8">
        <v>0.25806451612903225</v>
      </c>
      <c r="F107" s="2" t="s">
        <v>51</v>
      </c>
      <c r="G107" s="8">
        <v>0</v>
      </c>
      <c r="H107" s="8">
        <v>0.46451612903225808</v>
      </c>
      <c r="I107" s="8">
        <v>0.53548387096774197</v>
      </c>
      <c r="K107" s="2" t="s">
        <v>51</v>
      </c>
      <c r="L107" s="8">
        <v>0.10967741935483873</v>
      </c>
      <c r="M107" s="8">
        <v>0.77419354838709675</v>
      </c>
      <c r="N107" s="8">
        <v>0.11612903225806451</v>
      </c>
      <c r="P107" s="2" t="s">
        <v>51</v>
      </c>
      <c r="Q107" s="8">
        <v>7.0866141732283464E-2</v>
      </c>
      <c r="R107" s="8">
        <v>0.8582677165354331</v>
      </c>
      <c r="S107" s="8">
        <v>7.0866141732283464E-2</v>
      </c>
      <c r="U107" s="2" t="s">
        <v>51</v>
      </c>
      <c r="V107" s="8">
        <v>3.7656903765690378E-2</v>
      </c>
      <c r="W107" s="8">
        <v>0.86192468619246865</v>
      </c>
      <c r="X107" s="8">
        <v>0.100418410041841</v>
      </c>
      <c r="Z107" s="2" t="s">
        <v>51</v>
      </c>
      <c r="AA107" s="8">
        <v>0</v>
      </c>
      <c r="AB107" s="8">
        <v>0.5357142857142857</v>
      </c>
      <c r="AC107" s="8">
        <v>0.4642857142857143</v>
      </c>
    </row>
    <row r="108" spans="1:29" x14ac:dyDescent="0.45">
      <c r="A108" s="2" t="s">
        <v>52</v>
      </c>
      <c r="B108" s="8">
        <v>0.14814814814814814</v>
      </c>
      <c r="C108" s="8">
        <v>0.66666666666666663</v>
      </c>
      <c r="D108" s="8">
        <v>0.18518518518518517</v>
      </c>
      <c r="F108" s="2" t="s">
        <v>52</v>
      </c>
      <c r="G108" s="8">
        <v>0</v>
      </c>
      <c r="H108" s="8">
        <v>0.54074074074074086</v>
      </c>
      <c r="I108" s="8">
        <v>0.45925925925925914</v>
      </c>
      <c r="K108" s="2" t="s">
        <v>52</v>
      </c>
      <c r="L108" s="8">
        <v>6.6666666666666666E-2</v>
      </c>
      <c r="M108" s="8">
        <v>0.8222222222222223</v>
      </c>
      <c r="N108" s="8">
        <v>0.11111111111111112</v>
      </c>
      <c r="P108" s="2" t="s">
        <v>52</v>
      </c>
      <c r="Q108" s="8">
        <v>8.9743589743589744E-2</v>
      </c>
      <c r="R108" s="8">
        <v>0.82051282051282048</v>
      </c>
      <c r="S108" s="8">
        <v>8.9743589743589744E-2</v>
      </c>
      <c r="U108" s="2" t="s">
        <v>52</v>
      </c>
      <c r="V108" s="8">
        <v>2.9900332225913623E-2</v>
      </c>
      <c r="W108" s="8">
        <v>0.8870431893687708</v>
      </c>
      <c r="X108" s="8">
        <v>8.3056478405315617E-2</v>
      </c>
      <c r="Z108" s="2" t="s">
        <v>52</v>
      </c>
      <c r="AA108" s="8">
        <v>0</v>
      </c>
      <c r="AB108" s="8">
        <v>0.57190635451505012</v>
      </c>
      <c r="AC108" s="8">
        <v>0.42809364548494983</v>
      </c>
    </row>
    <row r="110" spans="1:29" x14ac:dyDescent="0.45">
      <c r="A110" s="14" t="s">
        <v>14</v>
      </c>
      <c r="B110" s="14" t="s">
        <v>42</v>
      </c>
      <c r="C110" s="14" t="s">
        <v>43</v>
      </c>
      <c r="D110" s="14" t="s">
        <v>44</v>
      </c>
      <c r="F110" s="14" t="s">
        <v>14</v>
      </c>
      <c r="G110" s="14" t="s">
        <v>42</v>
      </c>
      <c r="H110" s="14" t="s">
        <v>43</v>
      </c>
      <c r="I110" s="14" t="s">
        <v>44</v>
      </c>
      <c r="K110" s="14" t="s">
        <v>14</v>
      </c>
      <c r="L110" s="14" t="s">
        <v>42</v>
      </c>
      <c r="M110" s="14" t="s">
        <v>43</v>
      </c>
      <c r="N110" s="14" t="s">
        <v>44</v>
      </c>
      <c r="P110" s="14" t="s">
        <v>14</v>
      </c>
      <c r="Q110" s="14" t="s">
        <v>42</v>
      </c>
      <c r="R110" s="14" t="s">
        <v>43</v>
      </c>
      <c r="S110" s="14" t="s">
        <v>44</v>
      </c>
      <c r="U110" s="14" t="s">
        <v>14</v>
      </c>
      <c r="V110" s="14" t="s">
        <v>42</v>
      </c>
      <c r="W110" s="14" t="s">
        <v>43</v>
      </c>
      <c r="X110" s="14" t="s">
        <v>44</v>
      </c>
      <c r="Z110" s="14" t="s">
        <v>14</v>
      </c>
      <c r="AA110" s="14" t="s">
        <v>42</v>
      </c>
      <c r="AB110" s="14" t="s">
        <v>43</v>
      </c>
      <c r="AC110" s="14" t="s">
        <v>44</v>
      </c>
    </row>
    <row r="111" spans="1:29" x14ac:dyDescent="0.45">
      <c r="A111" s="17" t="s">
        <v>76</v>
      </c>
      <c r="B111" s="8">
        <v>0.14634146341463414</v>
      </c>
      <c r="C111" s="8">
        <v>0.31707317073170732</v>
      </c>
      <c r="D111" s="8">
        <v>0.53658536585365857</v>
      </c>
      <c r="F111" s="17" t="s">
        <v>76</v>
      </c>
      <c r="G111" s="8">
        <v>0</v>
      </c>
      <c r="H111" s="8">
        <v>4.4390243902439022E-2</v>
      </c>
      <c r="I111" s="8">
        <v>0.95560975609756083</v>
      </c>
      <c r="K111" s="17" t="s">
        <v>76</v>
      </c>
      <c r="L111" s="8">
        <v>9.7560975609756097E-3</v>
      </c>
      <c r="M111" s="8">
        <v>0.69756097560975605</v>
      </c>
      <c r="N111" s="8">
        <v>0.29268292682926833</v>
      </c>
      <c r="P111" s="17" t="s">
        <v>76</v>
      </c>
      <c r="Q111" s="8" t="e">
        <v>#DIV/0!</v>
      </c>
      <c r="R111" s="8" t="e">
        <v>#DIV/0!</v>
      </c>
      <c r="S111" s="8" t="e">
        <v>#DIV/0!</v>
      </c>
      <c r="U111" s="17" t="s">
        <v>76</v>
      </c>
      <c r="V111" s="8" t="e">
        <v>#DIV/0!</v>
      </c>
      <c r="W111" s="8" t="e">
        <v>#DIV/0!</v>
      </c>
      <c r="X111" s="8" t="e">
        <v>#DIV/0!</v>
      </c>
      <c r="Z111" s="17" t="s">
        <v>76</v>
      </c>
      <c r="AA111" s="8" t="e">
        <v>#DIV/0!</v>
      </c>
      <c r="AB111" s="8" t="e">
        <v>#DIV/0!</v>
      </c>
      <c r="AC111" s="8" t="e">
        <v>#DIV/0!</v>
      </c>
    </row>
    <row r="112" spans="1:29" x14ac:dyDescent="0.45">
      <c r="A112" s="17" t="s">
        <v>77</v>
      </c>
      <c r="B112" s="8">
        <v>0.10126582278481013</v>
      </c>
      <c r="C112" s="8">
        <v>0.27848101265822783</v>
      </c>
      <c r="D112" s="8">
        <v>0.620253164556962</v>
      </c>
      <c r="F112" s="17" t="s">
        <v>77</v>
      </c>
      <c r="G112" s="8">
        <v>0</v>
      </c>
      <c r="H112" s="8">
        <v>5.3294384939954552E-2</v>
      </c>
      <c r="I112" s="8">
        <v>0.94670561506004547</v>
      </c>
      <c r="K112" s="17" t="s">
        <v>77</v>
      </c>
      <c r="L112" s="8">
        <v>2.5316455696202535E-2</v>
      </c>
      <c r="M112" s="8">
        <v>0.62531645569620253</v>
      </c>
      <c r="N112" s="8">
        <v>0.34936708860759491</v>
      </c>
      <c r="P112" s="17" t="s">
        <v>77</v>
      </c>
      <c r="Q112" s="8">
        <v>1.9955654101995565E-2</v>
      </c>
      <c r="R112" s="8">
        <v>0.64079822616407978</v>
      </c>
      <c r="S112" s="8">
        <v>0.3392461197339246</v>
      </c>
      <c r="U112" s="17" t="s">
        <v>77</v>
      </c>
      <c r="V112" s="8">
        <v>1.7064846416382253E-2</v>
      </c>
      <c r="W112" s="8">
        <v>0.66087496121625811</v>
      </c>
      <c r="X112" s="8">
        <v>0.32206019236735961</v>
      </c>
      <c r="Z112" s="17" t="s">
        <v>77</v>
      </c>
      <c r="AA112" s="8">
        <v>1.2476606363069245E-3</v>
      </c>
      <c r="AB112" s="8">
        <v>0.13661883967560823</v>
      </c>
      <c r="AC112" s="8">
        <v>0.86213349968808484</v>
      </c>
    </row>
    <row r="113" spans="1:29" x14ac:dyDescent="0.45">
      <c r="A113" s="17" t="s">
        <v>78</v>
      </c>
      <c r="B113" s="8">
        <v>4.878048780487805E-2</v>
      </c>
      <c r="C113" s="8">
        <v>0.3902439024390244</v>
      </c>
      <c r="D113" s="8">
        <v>0.56097560975609762</v>
      </c>
      <c r="F113" s="17" t="s">
        <v>78</v>
      </c>
      <c r="G113" s="8">
        <v>0</v>
      </c>
      <c r="H113" s="8">
        <v>4.4999999999999998E-2</v>
      </c>
      <c r="I113" s="8">
        <v>0.95500000000000007</v>
      </c>
      <c r="K113" s="17" t="s">
        <v>78</v>
      </c>
      <c r="L113" s="8">
        <v>9.7560975609756097E-3</v>
      </c>
      <c r="M113" s="8">
        <v>0.7707317073170733</v>
      </c>
      <c r="N113" s="8">
        <v>0.21951219512195125</v>
      </c>
      <c r="P113" s="17" t="s">
        <v>78</v>
      </c>
      <c r="Q113" s="8">
        <v>3.3472803347280332E-2</v>
      </c>
      <c r="R113" s="8">
        <v>0.64435146443514646</v>
      </c>
      <c r="S113" s="8">
        <v>0.32217573221757323</v>
      </c>
      <c r="U113" s="17" t="s">
        <v>78</v>
      </c>
      <c r="V113" s="8">
        <v>1.3292433537832311E-2</v>
      </c>
      <c r="W113" s="8">
        <v>0.65541922290388543</v>
      </c>
      <c r="X113" s="8">
        <v>0.33128834355828218</v>
      </c>
      <c r="Z113" s="17" t="s">
        <v>78</v>
      </c>
      <c r="AA113" s="8">
        <v>0</v>
      </c>
      <c r="AB113" s="8">
        <v>0.13831967213114754</v>
      </c>
      <c r="AC113" s="8">
        <v>0.86168032786885251</v>
      </c>
    </row>
    <row r="114" spans="1:29" x14ac:dyDescent="0.45">
      <c r="A114" s="17" t="s">
        <v>79</v>
      </c>
      <c r="B114" s="8">
        <v>7.5471698113207544E-2</v>
      </c>
      <c r="C114" s="8">
        <v>0.49056603773584906</v>
      </c>
      <c r="D114" s="8">
        <v>0.43396226415094341</v>
      </c>
      <c r="F114" s="17" t="s">
        <v>79</v>
      </c>
      <c r="G114" s="8">
        <v>0</v>
      </c>
      <c r="H114" s="8">
        <v>3.3962264150943403E-2</v>
      </c>
      <c r="I114" s="8">
        <v>0.96603773584905672</v>
      </c>
      <c r="K114" s="17" t="s">
        <v>79</v>
      </c>
      <c r="L114" s="8">
        <v>1.8940493468795356E-2</v>
      </c>
      <c r="M114" s="8">
        <v>0.63265602322206094</v>
      </c>
      <c r="N114" s="8">
        <v>0.34840348330914367</v>
      </c>
      <c r="P114" s="17" t="s">
        <v>79</v>
      </c>
      <c r="Q114" s="8">
        <v>0</v>
      </c>
      <c r="R114" s="8">
        <v>0.71052631578947367</v>
      </c>
      <c r="S114" s="8">
        <v>0.28947368421052633</v>
      </c>
      <c r="U114" s="17" t="s">
        <v>79</v>
      </c>
      <c r="V114" s="8">
        <v>1.0330578512396695E-2</v>
      </c>
      <c r="W114" s="8">
        <v>0.65909090909090906</v>
      </c>
      <c r="X114" s="8">
        <v>0.33057851239669422</v>
      </c>
      <c r="Z114" s="17" t="s">
        <v>79</v>
      </c>
      <c r="AA114" s="8">
        <v>2.0790020790020791E-3</v>
      </c>
      <c r="AB114" s="8">
        <v>0.13305613305613306</v>
      </c>
      <c r="AC114" s="8">
        <v>0.86486486486486491</v>
      </c>
    </row>
    <row r="115" spans="1:29" x14ac:dyDescent="0.45">
      <c r="A115" s="17" t="s">
        <v>80</v>
      </c>
      <c r="B115" s="8">
        <v>0.11320754716981132</v>
      </c>
      <c r="C115" s="8">
        <v>0.660377358490566</v>
      </c>
      <c r="D115" s="8">
        <v>0.22641509433962265</v>
      </c>
      <c r="F115" s="17" t="s">
        <v>80</v>
      </c>
      <c r="G115" s="8">
        <v>0</v>
      </c>
      <c r="H115" s="8">
        <v>3.3962264150943403E-2</v>
      </c>
      <c r="I115" s="8">
        <v>0.96603773584905661</v>
      </c>
      <c r="K115" s="17" t="s">
        <v>80</v>
      </c>
      <c r="L115" s="8">
        <v>2.2641509433962266E-2</v>
      </c>
      <c r="M115" s="8">
        <v>0.71698113207547176</v>
      </c>
      <c r="N115" s="8">
        <v>0.26037735849056604</v>
      </c>
      <c r="P115" s="17" t="s">
        <v>80</v>
      </c>
      <c r="Q115" s="8">
        <v>0</v>
      </c>
      <c r="R115" s="8">
        <v>0.74137931034482762</v>
      </c>
      <c r="S115" s="8">
        <v>0.25862068965517243</v>
      </c>
      <c r="U115" s="17" t="s">
        <v>80</v>
      </c>
      <c r="V115" s="8">
        <v>1.0050251256281407E-2</v>
      </c>
      <c r="W115" s="8">
        <v>0.65829145728643212</v>
      </c>
      <c r="X115" s="8">
        <v>0.33165829145728642</v>
      </c>
      <c r="Z115" s="17" t="s">
        <v>80</v>
      </c>
      <c r="AA115" s="8">
        <v>5.0251256281407036E-3</v>
      </c>
      <c r="AB115" s="8">
        <v>0.11557788944723618</v>
      </c>
      <c r="AC115" s="8">
        <v>0.87939698492462315</v>
      </c>
    </row>
    <row r="116" spans="1:29" x14ac:dyDescent="0.45">
      <c r="A116" s="17" t="s">
        <v>81</v>
      </c>
      <c r="B116" s="8">
        <v>0.17741935483870969</v>
      </c>
      <c r="C116" s="8">
        <v>0.59677419354838712</v>
      </c>
      <c r="D116" s="8">
        <v>0.22580645161290322</v>
      </c>
      <c r="F116" s="17" t="s">
        <v>81</v>
      </c>
      <c r="G116" s="8">
        <v>0</v>
      </c>
      <c r="H116" s="8">
        <v>3.5589635113696463E-2</v>
      </c>
      <c r="I116" s="8">
        <v>0.96441036488630361</v>
      </c>
      <c r="K116" s="17" t="s">
        <v>81</v>
      </c>
      <c r="L116" s="8">
        <v>1.2903225806451613E-2</v>
      </c>
      <c r="M116" s="8">
        <v>0.64193548387096777</v>
      </c>
      <c r="N116" s="8">
        <v>0.34516129032258064</v>
      </c>
      <c r="P116" s="17" t="s">
        <v>81</v>
      </c>
      <c r="Q116" s="8">
        <v>0</v>
      </c>
      <c r="R116" s="8">
        <v>0.84210526315789469</v>
      </c>
      <c r="S116" s="8">
        <v>0.15789473684210525</v>
      </c>
      <c r="U116" s="17" t="s">
        <v>81</v>
      </c>
      <c r="V116" s="8">
        <v>1.4492753623188406E-2</v>
      </c>
      <c r="W116" s="8">
        <v>0.6376811594202898</v>
      </c>
      <c r="X116" s="8">
        <v>0.34782608695652173</v>
      </c>
      <c r="Z116" s="17" t="s">
        <v>81</v>
      </c>
      <c r="AA116" s="8">
        <v>0</v>
      </c>
      <c r="AB116" s="8">
        <v>0.10144927536231885</v>
      </c>
      <c r="AC116" s="8">
        <v>0.89855072463768115</v>
      </c>
    </row>
    <row r="117" spans="1:29" x14ac:dyDescent="0.45">
      <c r="A117" s="17" t="s">
        <v>82</v>
      </c>
      <c r="B117" s="8">
        <v>0.41025641025641024</v>
      </c>
      <c r="C117" s="8">
        <v>0.46153846153846156</v>
      </c>
      <c r="D117" s="8">
        <v>0.12820512820512819</v>
      </c>
      <c r="F117" s="17" t="s">
        <v>82</v>
      </c>
      <c r="G117" s="8">
        <v>0</v>
      </c>
      <c r="H117" s="8">
        <v>5.1686909581646415E-2</v>
      </c>
      <c r="I117" s="8">
        <v>0.94831309041835365</v>
      </c>
      <c r="K117" s="17" t="s">
        <v>82</v>
      </c>
      <c r="L117" s="8">
        <v>2.0512820512820513E-2</v>
      </c>
      <c r="M117" s="8">
        <v>0.67179487179487185</v>
      </c>
      <c r="N117" s="8">
        <v>0.30769230769230765</v>
      </c>
      <c r="P117" s="17" t="s">
        <v>82</v>
      </c>
      <c r="Q117" s="8">
        <v>0</v>
      </c>
      <c r="R117" s="8">
        <v>0.8</v>
      </c>
      <c r="S117" s="8">
        <v>0.2</v>
      </c>
      <c r="U117" s="17" t="s">
        <v>82</v>
      </c>
      <c r="V117" s="8">
        <v>0</v>
      </c>
      <c r="W117" s="8">
        <v>0.77777777777777779</v>
      </c>
      <c r="X117" s="8">
        <v>0.22222222222222221</v>
      </c>
      <c r="Z117" s="17" t="s">
        <v>82</v>
      </c>
      <c r="AA117" s="8">
        <v>0</v>
      </c>
      <c r="AB117" s="8">
        <v>0.3888888888888889</v>
      </c>
      <c r="AC117" s="8">
        <v>0.61111111111111116</v>
      </c>
    </row>
    <row r="118" spans="1:29" x14ac:dyDescent="0.45">
      <c r="A118" s="17" t="s">
        <v>83</v>
      </c>
      <c r="B118" s="8">
        <v>0.48571428571428571</v>
      </c>
      <c r="C118" s="8">
        <v>0.31428571428571428</v>
      </c>
      <c r="D118" s="8">
        <v>0.2</v>
      </c>
      <c r="F118" s="17" t="s">
        <v>83</v>
      </c>
      <c r="G118" s="8">
        <v>0</v>
      </c>
      <c r="H118" s="8">
        <v>6.8571428571428575E-2</v>
      </c>
      <c r="I118" s="8">
        <v>0.93142857142857127</v>
      </c>
      <c r="K118" s="17" t="s">
        <v>83</v>
      </c>
      <c r="L118" s="8">
        <v>1.1428571428571429E-2</v>
      </c>
      <c r="M118" s="8">
        <v>0.62285714285714278</v>
      </c>
      <c r="N118" s="8">
        <v>0.36571428571428571</v>
      </c>
      <c r="P118" s="17" t="s">
        <v>83</v>
      </c>
      <c r="Q118" s="8">
        <v>0</v>
      </c>
      <c r="R118" s="8">
        <v>0.8571428571428571</v>
      </c>
      <c r="S118" s="8">
        <v>0.14285714285714285</v>
      </c>
      <c r="U118" s="17" t="s">
        <v>83</v>
      </c>
      <c r="V118" s="8">
        <v>0</v>
      </c>
      <c r="W118" s="8">
        <v>0.73076923076923073</v>
      </c>
      <c r="X118" s="8">
        <v>0.26923076923076922</v>
      </c>
      <c r="Z118" s="17" t="s">
        <v>83</v>
      </c>
      <c r="AA118" s="8">
        <v>0</v>
      </c>
      <c r="AB118" s="8">
        <v>0.2</v>
      </c>
      <c r="AC118" s="8">
        <v>0.8</v>
      </c>
    </row>
    <row r="120" spans="1:29" x14ac:dyDescent="0.45">
      <c r="A120" s="14" t="s">
        <v>15</v>
      </c>
      <c r="B120" s="14" t="s">
        <v>42</v>
      </c>
      <c r="C120" s="14" t="s">
        <v>43</v>
      </c>
      <c r="D120" s="14" t="s">
        <v>44</v>
      </c>
      <c r="F120" s="14" t="s">
        <v>15</v>
      </c>
      <c r="G120" s="14" t="s">
        <v>42</v>
      </c>
      <c r="H120" s="14" t="s">
        <v>43</v>
      </c>
      <c r="I120" s="14" t="s">
        <v>44</v>
      </c>
      <c r="K120" s="14" t="s">
        <v>15</v>
      </c>
      <c r="L120" s="14" t="s">
        <v>42</v>
      </c>
      <c r="M120" s="14" t="s">
        <v>43</v>
      </c>
      <c r="N120" s="14" t="s">
        <v>44</v>
      </c>
      <c r="P120" s="14" t="s">
        <v>15</v>
      </c>
      <c r="Q120" s="14" t="s">
        <v>42</v>
      </c>
      <c r="R120" s="14" t="s">
        <v>43</v>
      </c>
      <c r="S120" s="14" t="s">
        <v>44</v>
      </c>
      <c r="U120" s="14" t="s">
        <v>15</v>
      </c>
      <c r="V120" s="14" t="s">
        <v>42</v>
      </c>
      <c r="W120" s="14" t="s">
        <v>43</v>
      </c>
      <c r="X120" s="14" t="s">
        <v>44</v>
      </c>
      <c r="Z120" s="14" t="s">
        <v>15</v>
      </c>
      <c r="AA120" s="14" t="s">
        <v>42</v>
      </c>
      <c r="AB120" s="14" t="s">
        <v>43</v>
      </c>
      <c r="AC120" s="14" t="s">
        <v>44</v>
      </c>
    </row>
    <row r="121" spans="1:29" x14ac:dyDescent="0.45">
      <c r="A121" s="17" t="s">
        <v>76</v>
      </c>
      <c r="B121" s="8">
        <v>9.7560975609756101E-2</v>
      </c>
      <c r="C121" s="8">
        <v>0.41463414634146339</v>
      </c>
      <c r="D121" s="8">
        <v>0.48780487804878048</v>
      </c>
      <c r="F121" s="17" t="s">
        <v>76</v>
      </c>
      <c r="G121" s="8">
        <v>0</v>
      </c>
      <c r="H121" s="8">
        <v>0.34365853658536588</v>
      </c>
      <c r="I121" s="8">
        <v>0.65634146341463417</v>
      </c>
      <c r="K121" s="17" t="s">
        <v>76</v>
      </c>
      <c r="L121" s="8">
        <v>3.9024390243902439E-2</v>
      </c>
      <c r="M121" s="8">
        <v>0.83902439024390252</v>
      </c>
      <c r="N121" s="8">
        <v>0.12195121951219512</v>
      </c>
      <c r="P121" s="17" t="s">
        <v>76</v>
      </c>
      <c r="Q121" s="8" t="e">
        <v>#DIV/0!</v>
      </c>
      <c r="R121" s="8" t="e">
        <v>#DIV/0!</v>
      </c>
      <c r="S121" s="8" t="e">
        <v>#DIV/0!</v>
      </c>
      <c r="U121" s="17" t="s">
        <v>76</v>
      </c>
      <c r="V121" s="8" t="e">
        <v>#DIV/0!</v>
      </c>
      <c r="W121" s="8" t="e">
        <v>#DIV/0!</v>
      </c>
      <c r="X121" s="8" t="e">
        <v>#DIV/0!</v>
      </c>
      <c r="Z121" s="17" t="s">
        <v>76</v>
      </c>
      <c r="AA121" s="8" t="e">
        <v>#DIV/0!</v>
      </c>
      <c r="AB121" s="8" t="e">
        <v>#DIV/0!</v>
      </c>
      <c r="AC121" s="8" t="e">
        <v>#DIV/0!</v>
      </c>
    </row>
    <row r="122" spans="1:29" x14ac:dyDescent="0.45">
      <c r="A122" s="17" t="s">
        <v>77</v>
      </c>
      <c r="B122" s="8">
        <v>0.13924050632911392</v>
      </c>
      <c r="C122" s="8">
        <v>0.39240506329113922</v>
      </c>
      <c r="D122" s="8">
        <v>0.46835443037974683</v>
      </c>
      <c r="F122" s="17" t="s">
        <v>77</v>
      </c>
      <c r="G122" s="8">
        <v>0</v>
      </c>
      <c r="H122" s="8">
        <v>0.36793248945147677</v>
      </c>
      <c r="I122" s="8">
        <v>0.63206751054852317</v>
      </c>
      <c r="K122" s="17" t="s">
        <v>77</v>
      </c>
      <c r="L122" s="8">
        <v>4.5731905225576117E-2</v>
      </c>
      <c r="M122" s="8">
        <v>0.82703667640376499</v>
      </c>
      <c r="N122" s="8">
        <v>0.12723141837065888</v>
      </c>
      <c r="P122" s="17" t="s">
        <v>77</v>
      </c>
      <c r="Q122" s="8">
        <v>3.2150776053215077E-2</v>
      </c>
      <c r="R122" s="8">
        <v>0.80820399113082042</v>
      </c>
      <c r="S122" s="8">
        <v>0.15964523281596452</v>
      </c>
      <c r="U122" s="17" t="s">
        <v>77</v>
      </c>
      <c r="V122" s="8">
        <v>3.7542662116040959E-2</v>
      </c>
      <c r="W122" s="8">
        <v>0.81756127831213155</v>
      </c>
      <c r="X122" s="8">
        <v>0.1448960595718275</v>
      </c>
      <c r="Z122" s="17" t="s">
        <v>77</v>
      </c>
      <c r="AA122" s="8">
        <v>3.7429819089207735E-3</v>
      </c>
      <c r="AB122" s="8">
        <v>0.56519026824703678</v>
      </c>
      <c r="AC122" s="8">
        <v>0.43106674984404242</v>
      </c>
    </row>
    <row r="123" spans="1:29" x14ac:dyDescent="0.45">
      <c r="A123" s="17" t="s">
        <v>78</v>
      </c>
      <c r="B123" s="8">
        <v>0.12195121951219512</v>
      </c>
      <c r="C123" s="8">
        <v>0.51219512195121952</v>
      </c>
      <c r="D123" s="8">
        <v>0.36585365853658536</v>
      </c>
      <c r="F123" s="17" t="s">
        <v>78</v>
      </c>
      <c r="G123" s="8">
        <v>0</v>
      </c>
      <c r="H123" s="8">
        <v>0.42609756097560975</v>
      </c>
      <c r="I123" s="8">
        <v>0.57390243902439031</v>
      </c>
      <c r="K123" s="17" t="s">
        <v>78</v>
      </c>
      <c r="L123" s="8">
        <v>4.3902439024390248E-2</v>
      </c>
      <c r="M123" s="8">
        <v>0.775609756097561</v>
      </c>
      <c r="N123" s="8">
        <v>0.1804878048780488</v>
      </c>
      <c r="P123" s="17" t="s">
        <v>78</v>
      </c>
      <c r="Q123" s="8">
        <v>2.9288702928870293E-2</v>
      </c>
      <c r="R123" s="8">
        <v>0.83682008368200833</v>
      </c>
      <c r="S123" s="8">
        <v>0.13389121338912133</v>
      </c>
      <c r="U123" s="17" t="s">
        <v>78</v>
      </c>
      <c r="V123" s="8">
        <v>3.0674846625766871E-2</v>
      </c>
      <c r="W123" s="8">
        <v>0.80674846625766872</v>
      </c>
      <c r="X123" s="8">
        <v>0.16257668711656442</v>
      </c>
      <c r="Z123" s="17" t="s">
        <v>78</v>
      </c>
      <c r="AA123" s="8">
        <v>3.0769230769230769E-3</v>
      </c>
      <c r="AB123" s="8">
        <v>0.5641025641025641</v>
      </c>
      <c r="AC123" s="8">
        <v>0.43282051282051281</v>
      </c>
    </row>
    <row r="124" spans="1:29" x14ac:dyDescent="0.45">
      <c r="A124" s="17" t="s">
        <v>79</v>
      </c>
      <c r="B124" s="8">
        <v>0.16981132075471697</v>
      </c>
      <c r="C124" s="8">
        <v>0.660377358490566</v>
      </c>
      <c r="D124" s="8">
        <v>0.16981132075471697</v>
      </c>
      <c r="F124" s="17" t="s">
        <v>79</v>
      </c>
      <c r="G124" s="8">
        <v>3.7735849056603774E-3</v>
      </c>
      <c r="H124" s="8">
        <v>0.48679245283018868</v>
      </c>
      <c r="I124" s="8">
        <v>0.50943396226415094</v>
      </c>
      <c r="K124" s="17" t="s">
        <v>79</v>
      </c>
      <c r="L124" s="8">
        <v>4.1654571843251095E-2</v>
      </c>
      <c r="M124" s="8">
        <v>0.80326560232220601</v>
      </c>
      <c r="N124" s="8">
        <v>0.15507982583454283</v>
      </c>
      <c r="P124" s="17" t="s">
        <v>79</v>
      </c>
      <c r="Q124" s="8">
        <v>5.921052631578947E-2</v>
      </c>
      <c r="R124" s="8">
        <v>0.80921052631578949</v>
      </c>
      <c r="S124" s="8">
        <v>0.13157894736842105</v>
      </c>
      <c r="U124" s="17" t="s">
        <v>79</v>
      </c>
      <c r="V124" s="8">
        <v>4.5454545454545456E-2</v>
      </c>
      <c r="W124" s="8">
        <v>0.78925619834710747</v>
      </c>
      <c r="X124" s="8">
        <v>0.16528925619834711</v>
      </c>
      <c r="Z124" s="17" t="s">
        <v>79</v>
      </c>
      <c r="AA124" s="8">
        <v>6.2370062370062374E-3</v>
      </c>
      <c r="AB124" s="8">
        <v>0.55925155925155923</v>
      </c>
      <c r="AC124" s="8">
        <v>0.43451143451143454</v>
      </c>
    </row>
    <row r="125" spans="1:29" x14ac:dyDescent="0.45">
      <c r="A125" s="17" t="s">
        <v>80</v>
      </c>
      <c r="B125" s="8">
        <v>0.16981132075471697</v>
      </c>
      <c r="C125" s="8">
        <v>0.660377358490566</v>
      </c>
      <c r="D125" s="8">
        <v>0.16981132075471697</v>
      </c>
      <c r="F125" s="17" t="s">
        <v>80</v>
      </c>
      <c r="G125" s="8">
        <v>0</v>
      </c>
      <c r="H125" s="8">
        <v>0.49056603773584906</v>
      </c>
      <c r="I125" s="8">
        <v>0.50943396226415094</v>
      </c>
      <c r="K125" s="17" t="s">
        <v>80</v>
      </c>
      <c r="L125" s="8">
        <v>4.5283018867924532E-2</v>
      </c>
      <c r="M125" s="8">
        <v>0.7886792452830188</v>
      </c>
      <c r="N125" s="8">
        <v>0.16603773584905662</v>
      </c>
      <c r="P125" s="17" t="s">
        <v>80</v>
      </c>
      <c r="Q125" s="8">
        <v>1.7241379310344827E-2</v>
      </c>
      <c r="R125" s="8">
        <v>0.82758620689655171</v>
      </c>
      <c r="S125" s="8">
        <v>0.15517241379310345</v>
      </c>
      <c r="U125" s="17" t="s">
        <v>80</v>
      </c>
      <c r="V125" s="8">
        <v>6.030150753768844E-2</v>
      </c>
      <c r="W125" s="8">
        <v>0.7839195979899497</v>
      </c>
      <c r="X125" s="8">
        <v>0.15577889447236182</v>
      </c>
      <c r="Z125" s="17" t="s">
        <v>80</v>
      </c>
      <c r="AA125" s="8">
        <v>0</v>
      </c>
      <c r="AB125" s="8">
        <v>0.47738693467336685</v>
      </c>
      <c r="AC125" s="8">
        <v>0.52261306532663321</v>
      </c>
    </row>
    <row r="126" spans="1:29" x14ac:dyDescent="0.45">
      <c r="A126" s="17" t="s">
        <v>81</v>
      </c>
      <c r="B126" s="8">
        <v>0.11290322580645161</v>
      </c>
      <c r="C126" s="8">
        <v>0.66129032258064513</v>
      </c>
      <c r="D126" s="8">
        <v>0.22580645161290322</v>
      </c>
      <c r="F126" s="17" t="s">
        <v>81</v>
      </c>
      <c r="G126" s="8">
        <v>0</v>
      </c>
      <c r="H126" s="8">
        <v>0.40756213643574829</v>
      </c>
      <c r="I126" s="8">
        <v>0.59243786356425165</v>
      </c>
      <c r="K126" s="17" t="s">
        <v>81</v>
      </c>
      <c r="L126" s="8">
        <v>3.870967741935484E-2</v>
      </c>
      <c r="M126" s="8">
        <v>0.78387096774193543</v>
      </c>
      <c r="N126" s="8">
        <v>0.17741935483870969</v>
      </c>
      <c r="P126" s="17" t="s">
        <v>81</v>
      </c>
      <c r="Q126" s="8">
        <v>0.10526315789473684</v>
      </c>
      <c r="R126" s="8">
        <v>0.63157894736842102</v>
      </c>
      <c r="S126" s="8">
        <v>0.26315789473684209</v>
      </c>
      <c r="U126" s="17" t="s">
        <v>81</v>
      </c>
      <c r="V126" s="8">
        <v>4.3478260869565216E-2</v>
      </c>
      <c r="W126" s="8">
        <v>0.81159420289855078</v>
      </c>
      <c r="X126" s="8">
        <v>0.14492753623188406</v>
      </c>
      <c r="Z126" s="17" t="s">
        <v>81</v>
      </c>
      <c r="AA126" s="8">
        <v>0</v>
      </c>
      <c r="AB126" s="8">
        <v>0.50724637681159424</v>
      </c>
      <c r="AC126" s="8">
        <v>0.49275362318840582</v>
      </c>
    </row>
    <row r="127" spans="1:29" x14ac:dyDescent="0.45">
      <c r="A127" s="17" t="s">
        <v>82</v>
      </c>
      <c r="B127" s="8">
        <v>0.35897435897435898</v>
      </c>
      <c r="C127" s="8">
        <v>0.51282051282051277</v>
      </c>
      <c r="D127" s="8">
        <v>0.12820512820512819</v>
      </c>
      <c r="F127" s="17" t="s">
        <v>82</v>
      </c>
      <c r="G127" s="8">
        <v>0</v>
      </c>
      <c r="H127" s="8">
        <v>0.39838056680161948</v>
      </c>
      <c r="I127" s="8">
        <v>0.60161943319838052</v>
      </c>
      <c r="K127" s="17" t="s">
        <v>82</v>
      </c>
      <c r="L127" s="8">
        <v>5.6410256410256411E-2</v>
      </c>
      <c r="M127" s="8">
        <v>0.74358974358974361</v>
      </c>
      <c r="N127" s="8">
        <v>0.2</v>
      </c>
      <c r="P127" s="17" t="s">
        <v>82</v>
      </c>
      <c r="Q127" s="8">
        <v>0</v>
      </c>
      <c r="R127" s="8">
        <v>0.8</v>
      </c>
      <c r="S127" s="8">
        <v>0.2</v>
      </c>
      <c r="U127" s="17" t="s">
        <v>82</v>
      </c>
      <c r="V127" s="8">
        <v>0.1111111111111111</v>
      </c>
      <c r="W127" s="8">
        <v>0.83333333333333337</v>
      </c>
      <c r="X127" s="8">
        <v>5.5555555555555552E-2</v>
      </c>
      <c r="Z127" s="17" t="s">
        <v>82</v>
      </c>
      <c r="AA127" s="8">
        <v>0</v>
      </c>
      <c r="AB127" s="8">
        <v>0.5</v>
      </c>
      <c r="AC127" s="8">
        <v>0.5</v>
      </c>
    </row>
    <row r="128" spans="1:29" x14ac:dyDescent="0.45">
      <c r="A128" s="17" t="s">
        <v>83</v>
      </c>
      <c r="B128" s="8">
        <v>0.37142857142857144</v>
      </c>
      <c r="C128" s="8">
        <v>0.48571428571428571</v>
      </c>
      <c r="D128" s="8">
        <v>0.14285714285714285</v>
      </c>
      <c r="F128" s="17" t="s">
        <v>83</v>
      </c>
      <c r="G128" s="8">
        <v>5.7142857142857143E-3</v>
      </c>
      <c r="H128" s="8">
        <v>0.43428571428571427</v>
      </c>
      <c r="I128" s="8">
        <v>0.55999999999999994</v>
      </c>
      <c r="K128" s="17" t="s">
        <v>83</v>
      </c>
      <c r="L128" s="8">
        <v>3.9999999999999994E-2</v>
      </c>
      <c r="M128" s="8">
        <v>0.80571428571428572</v>
      </c>
      <c r="N128" s="8">
        <v>0.1542857142857143</v>
      </c>
      <c r="P128" s="17" t="s">
        <v>83</v>
      </c>
      <c r="Q128" s="8">
        <v>0</v>
      </c>
      <c r="R128" s="8">
        <v>0.8571428571428571</v>
      </c>
      <c r="S128" s="8">
        <v>0.14285714285714285</v>
      </c>
      <c r="U128" s="17" t="s">
        <v>83</v>
      </c>
      <c r="V128" s="8">
        <v>0.11538461538461539</v>
      </c>
      <c r="W128" s="8">
        <v>0.80769230769230771</v>
      </c>
      <c r="X128" s="8">
        <v>7.6923076923076927E-2</v>
      </c>
      <c r="Z128" s="17" t="s">
        <v>83</v>
      </c>
      <c r="AA128" s="8">
        <v>0</v>
      </c>
      <c r="AB128" s="8">
        <v>0.76</v>
      </c>
      <c r="AC128" s="8">
        <v>0.24</v>
      </c>
    </row>
    <row r="130" spans="1:29" x14ac:dyDescent="0.45">
      <c r="A130" s="14" t="s">
        <v>61</v>
      </c>
      <c r="B130" s="14" t="s">
        <v>42</v>
      </c>
      <c r="C130" s="14" t="s">
        <v>43</v>
      </c>
      <c r="D130" s="14" t="s">
        <v>44</v>
      </c>
      <c r="F130" s="14" t="s">
        <v>61</v>
      </c>
      <c r="G130" s="14" t="s">
        <v>42</v>
      </c>
      <c r="H130" s="14" t="s">
        <v>43</v>
      </c>
      <c r="I130" s="14" t="s">
        <v>44</v>
      </c>
      <c r="K130" s="14" t="s">
        <v>61</v>
      </c>
      <c r="L130" s="14" t="s">
        <v>42</v>
      </c>
      <c r="M130" s="14" t="s">
        <v>43</v>
      </c>
      <c r="N130" s="14" t="s">
        <v>44</v>
      </c>
      <c r="P130" s="14" t="s">
        <v>61</v>
      </c>
      <c r="Q130" s="14" t="s">
        <v>42</v>
      </c>
      <c r="R130" s="14" t="s">
        <v>43</v>
      </c>
      <c r="S130" s="14" t="s">
        <v>44</v>
      </c>
      <c r="U130" s="14" t="s">
        <v>61</v>
      </c>
      <c r="V130" s="14" t="s">
        <v>42</v>
      </c>
      <c r="W130" s="14" t="s">
        <v>43</v>
      </c>
      <c r="X130" s="14" t="s">
        <v>44</v>
      </c>
      <c r="Z130" s="14" t="s">
        <v>61</v>
      </c>
      <c r="AA130" s="14" t="s">
        <v>42</v>
      </c>
      <c r="AB130" s="14" t="s">
        <v>43</v>
      </c>
      <c r="AC130" s="14" t="s">
        <v>44</v>
      </c>
    </row>
    <row r="131" spans="1:29" x14ac:dyDescent="0.45">
      <c r="A131" s="2" t="s">
        <v>47</v>
      </c>
      <c r="B131" s="8">
        <v>1.8181818181818181E-2</v>
      </c>
      <c r="C131" s="8">
        <v>0.29090909090909089</v>
      </c>
      <c r="D131" s="8">
        <v>0.69090909090909092</v>
      </c>
      <c r="F131" s="2" t="s">
        <v>47</v>
      </c>
      <c r="G131" s="8">
        <v>0</v>
      </c>
      <c r="H131" s="8">
        <v>2.2294644558795502E-2</v>
      </c>
      <c r="I131" s="8">
        <v>0.97770535544120452</v>
      </c>
      <c r="K131" s="2" t="s">
        <v>47</v>
      </c>
      <c r="L131" s="8">
        <v>2.5723905723905722E-2</v>
      </c>
      <c r="M131" s="8">
        <v>0.61171717171717177</v>
      </c>
      <c r="N131" s="8">
        <v>0.36255892255892253</v>
      </c>
      <c r="P131" s="2" t="s">
        <v>47</v>
      </c>
      <c r="Q131" s="8">
        <v>0</v>
      </c>
      <c r="R131" s="8">
        <v>0.73469387755102045</v>
      </c>
      <c r="S131" s="8">
        <v>0.26530612244897961</v>
      </c>
      <c r="U131" s="2" t="s">
        <v>47</v>
      </c>
      <c r="V131" s="8">
        <v>1.1111111111111112E-2</v>
      </c>
      <c r="W131" s="8">
        <v>0.62222222222222223</v>
      </c>
      <c r="X131" s="8">
        <v>0.36666666666666664</v>
      </c>
      <c r="Z131" s="2" t="s">
        <v>47</v>
      </c>
      <c r="AA131" s="8">
        <v>0</v>
      </c>
      <c r="AB131" s="8">
        <v>0.12637362637362637</v>
      </c>
      <c r="AC131" s="8">
        <v>0.87362637362637363</v>
      </c>
    </row>
    <row r="132" spans="1:29" x14ac:dyDescent="0.45">
      <c r="A132" s="2" t="s">
        <v>48</v>
      </c>
      <c r="B132" s="8">
        <v>2.5316455696202531E-2</v>
      </c>
      <c r="C132" s="8">
        <v>0.4050632911392405</v>
      </c>
      <c r="D132" s="8">
        <v>0.569620253164557</v>
      </c>
      <c r="F132" s="2" t="s">
        <v>48</v>
      </c>
      <c r="G132" s="8">
        <v>0</v>
      </c>
      <c r="H132" s="8">
        <v>4.3232716650438173E-2</v>
      </c>
      <c r="I132" s="8">
        <v>0.95676728334956196</v>
      </c>
      <c r="K132" s="2" t="s">
        <v>48</v>
      </c>
      <c r="L132" s="8">
        <v>1.2788898864848233E-2</v>
      </c>
      <c r="M132" s="8">
        <v>0.61779992159738994</v>
      </c>
      <c r="N132" s="8">
        <v>0.36941117953776181</v>
      </c>
      <c r="P132" s="2" t="s">
        <v>48</v>
      </c>
      <c r="Q132" s="8">
        <v>3.1847133757961783E-2</v>
      </c>
      <c r="R132" s="8">
        <v>0.57961783439490444</v>
      </c>
      <c r="S132" s="8">
        <v>0.38853503184713378</v>
      </c>
      <c r="U132" s="2" t="s">
        <v>48</v>
      </c>
      <c r="V132" s="8">
        <v>2.0761245674740483E-2</v>
      </c>
      <c r="W132" s="8">
        <v>0.63494809688581311</v>
      </c>
      <c r="X132" s="8">
        <v>0.34429065743944637</v>
      </c>
      <c r="Z132" s="2" t="s">
        <v>48</v>
      </c>
      <c r="AA132" s="8">
        <v>1.7391304347826088E-3</v>
      </c>
      <c r="AB132" s="8">
        <v>0.12695652173913044</v>
      </c>
      <c r="AC132" s="8">
        <v>0.87130434782608701</v>
      </c>
    </row>
    <row r="133" spans="1:29" x14ac:dyDescent="0.45">
      <c r="A133" s="2" t="s">
        <v>49</v>
      </c>
      <c r="B133" s="8">
        <v>6.8181818181818177E-2</v>
      </c>
      <c r="C133" s="8">
        <v>0.56060606060606055</v>
      </c>
      <c r="D133" s="8">
        <v>0.37121212121212122</v>
      </c>
      <c r="F133" s="2" t="s">
        <v>49</v>
      </c>
      <c r="G133" s="8">
        <v>0</v>
      </c>
      <c r="H133" s="8">
        <v>3.5010409437890355E-2</v>
      </c>
      <c r="I133" s="8">
        <v>0.96498959056210976</v>
      </c>
      <c r="K133" s="2" t="s">
        <v>49</v>
      </c>
      <c r="L133" s="8">
        <v>2.4358084663428176E-2</v>
      </c>
      <c r="M133" s="8">
        <v>0.64380060143418916</v>
      </c>
      <c r="N133" s="8">
        <v>0.33184131390238258</v>
      </c>
      <c r="P133" s="2" t="s">
        <v>49</v>
      </c>
      <c r="Q133" s="8">
        <v>2.0560747663551402E-2</v>
      </c>
      <c r="R133" s="8">
        <v>0.6224299065420561</v>
      </c>
      <c r="S133" s="8">
        <v>0.35700934579439253</v>
      </c>
      <c r="U133" s="2" t="s">
        <v>49</v>
      </c>
      <c r="V133" s="8">
        <v>1.7699115044247787E-2</v>
      </c>
      <c r="W133" s="8">
        <v>0.62519521082769391</v>
      </c>
      <c r="X133" s="8">
        <v>0.35710567412805833</v>
      </c>
      <c r="Z133" s="2" t="s">
        <v>49</v>
      </c>
      <c r="AA133" s="8">
        <v>0</v>
      </c>
      <c r="AB133" s="8">
        <v>0.14107235814679855</v>
      </c>
      <c r="AC133" s="8">
        <v>0.85892764185320147</v>
      </c>
    </row>
    <row r="134" spans="1:29" x14ac:dyDescent="0.45">
      <c r="A134" s="2" t="s">
        <v>50</v>
      </c>
      <c r="B134" s="8">
        <v>0.13924050632911392</v>
      </c>
      <c r="C134" s="8">
        <v>0.50632911392405067</v>
      </c>
      <c r="D134" s="8">
        <v>0.35443037974683544</v>
      </c>
      <c r="F134" s="2" t="s">
        <v>50</v>
      </c>
      <c r="G134" s="8">
        <v>2.5316455696202532E-3</v>
      </c>
      <c r="H134" s="8">
        <v>4.5666991236611484E-2</v>
      </c>
      <c r="I134" s="8">
        <v>0.9518013631937684</v>
      </c>
      <c r="K134" s="2" t="s">
        <v>50</v>
      </c>
      <c r="L134" s="8">
        <v>1.7883803959753326E-2</v>
      </c>
      <c r="M134" s="8">
        <v>0.6361246348588121</v>
      </c>
      <c r="N134" s="8">
        <v>0.34599156118143459</v>
      </c>
      <c r="P134" s="2" t="s">
        <v>50</v>
      </c>
      <c r="Q134" s="8">
        <v>1.8518518518518517E-2</v>
      </c>
      <c r="R134" s="8">
        <v>0.62037037037037035</v>
      </c>
      <c r="S134" s="8">
        <v>0.3611111111111111</v>
      </c>
      <c r="U134" s="2" t="s">
        <v>50</v>
      </c>
      <c r="V134" s="8">
        <v>2.0997375328083989E-2</v>
      </c>
      <c r="W134" s="8">
        <v>0.65616797900262469</v>
      </c>
      <c r="X134" s="8">
        <v>0.32283464566929132</v>
      </c>
      <c r="Z134" s="2" t="s">
        <v>50</v>
      </c>
      <c r="AA134" s="8">
        <v>0</v>
      </c>
      <c r="AB134" s="8">
        <v>0.1553653719552337</v>
      </c>
      <c r="AC134" s="8">
        <v>0.8446346280447663</v>
      </c>
    </row>
    <row r="135" spans="1:29" x14ac:dyDescent="0.45">
      <c r="A135" s="2" t="s">
        <v>51</v>
      </c>
      <c r="B135" s="8">
        <v>0.29032258064516131</v>
      </c>
      <c r="C135" s="8">
        <v>0.45161290322580644</v>
      </c>
      <c r="D135" s="8">
        <v>0.25806451612903225</v>
      </c>
      <c r="F135" s="2" t="s">
        <v>51</v>
      </c>
      <c r="G135" s="8">
        <v>0</v>
      </c>
      <c r="H135" s="8">
        <v>3.2258064516129031E-2</v>
      </c>
      <c r="I135" s="8">
        <v>0.967741935483871</v>
      </c>
      <c r="K135" s="2" t="s">
        <v>51</v>
      </c>
      <c r="L135" s="8">
        <v>6.4516129032258064E-3</v>
      </c>
      <c r="M135" s="8">
        <v>0.72903225806451599</v>
      </c>
      <c r="N135" s="8">
        <v>0.26451612903225807</v>
      </c>
      <c r="P135" s="2" t="s">
        <v>51</v>
      </c>
      <c r="Q135" s="8">
        <v>7.9365079365079361E-3</v>
      </c>
      <c r="R135" s="8">
        <v>0.65873015873015872</v>
      </c>
      <c r="S135" s="8">
        <v>0.33333333333333331</v>
      </c>
      <c r="U135" s="2" t="s">
        <v>51</v>
      </c>
      <c r="V135" s="8">
        <v>1.0482180293501049E-2</v>
      </c>
      <c r="W135" s="8">
        <v>0.62893081761006286</v>
      </c>
      <c r="X135" s="8">
        <v>0.36058700209643607</v>
      </c>
      <c r="Z135" s="2" t="s">
        <v>51</v>
      </c>
      <c r="AA135" s="8">
        <v>2.1052631578947368E-3</v>
      </c>
      <c r="AB135" s="8">
        <v>0.13473684210526315</v>
      </c>
      <c r="AC135" s="8">
        <v>0.86315789473684212</v>
      </c>
    </row>
    <row r="136" spans="1:29" x14ac:dyDescent="0.45">
      <c r="A136" s="2" t="s">
        <v>52</v>
      </c>
      <c r="B136" s="8">
        <v>0.1111111111111111</v>
      </c>
      <c r="C136" s="8">
        <v>0.66666666666666663</v>
      </c>
      <c r="D136" s="8">
        <v>0.22222222222222221</v>
      </c>
      <c r="F136" s="2" t="s">
        <v>52</v>
      </c>
      <c r="G136" s="8">
        <v>0</v>
      </c>
      <c r="H136" s="8">
        <v>8.8888888888888878E-2</v>
      </c>
      <c r="I136" s="8">
        <v>0.91111111111111109</v>
      </c>
      <c r="K136" s="2" t="s">
        <v>52</v>
      </c>
      <c r="L136" s="8">
        <v>1.4814814814814814E-2</v>
      </c>
      <c r="M136" s="8">
        <v>0.6</v>
      </c>
      <c r="N136" s="8">
        <v>0.38518518518518519</v>
      </c>
      <c r="P136" s="2" t="s">
        <v>52</v>
      </c>
      <c r="Q136" s="8">
        <v>1.282051282051282E-2</v>
      </c>
      <c r="R136" s="8">
        <v>0.65384615384615385</v>
      </c>
      <c r="S136" s="8">
        <v>0.33333333333333331</v>
      </c>
      <c r="U136" s="2" t="s">
        <v>52</v>
      </c>
      <c r="V136" s="8">
        <v>2.3411371237458192E-2</v>
      </c>
      <c r="W136" s="8">
        <v>0.58193979933110362</v>
      </c>
      <c r="X136" s="8">
        <v>0.39464882943143814</v>
      </c>
      <c r="Z136" s="2" t="s">
        <v>52</v>
      </c>
      <c r="AA136" s="8">
        <v>3.3444816053511705E-3</v>
      </c>
      <c r="AB136" s="8">
        <v>0.13712374581939799</v>
      </c>
      <c r="AC136" s="8">
        <v>0.85953177257525082</v>
      </c>
    </row>
    <row r="137" spans="1:29" x14ac:dyDescent="0.45">
      <c r="X137" s="12"/>
      <c r="AC137" s="12"/>
    </row>
  </sheetData>
  <mergeCells count="6">
    <mergeCell ref="Z57:AC57"/>
    <mergeCell ref="A57:D57"/>
    <mergeCell ref="K57:N57"/>
    <mergeCell ref="P57:S57"/>
    <mergeCell ref="U57:X57"/>
    <mergeCell ref="F57:I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2159-5E76-405A-827A-A2B5B89AD68B}">
  <dimension ref="A1:J82"/>
  <sheetViews>
    <sheetView topLeftCell="A52" workbookViewId="0">
      <selection activeCell="G57" sqref="G57:G64"/>
    </sheetView>
  </sheetViews>
  <sheetFormatPr defaultRowHeight="14.25" x14ac:dyDescent="0.45"/>
  <sheetData>
    <row r="1" spans="1:10" x14ac:dyDescent="0.45">
      <c r="A1" s="4" t="s">
        <v>41</v>
      </c>
    </row>
    <row r="2" spans="1:10" x14ac:dyDescent="0.45">
      <c r="A2" s="19" t="s">
        <v>62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45">
      <c r="A3" s="14" t="s">
        <v>9</v>
      </c>
      <c r="B3" s="14" t="s">
        <v>42</v>
      </c>
      <c r="C3" s="14" t="s">
        <v>43</v>
      </c>
      <c r="D3" s="14" t="s">
        <v>44</v>
      </c>
      <c r="E3" s="14">
        <f>SUM(E4:E5)</f>
        <v>394</v>
      </c>
      <c r="G3" s="14" t="s">
        <v>9</v>
      </c>
      <c r="H3" s="14" t="s">
        <v>42</v>
      </c>
      <c r="I3" s="14" t="s">
        <v>43</v>
      </c>
      <c r="J3" s="14" t="s">
        <v>44</v>
      </c>
    </row>
    <row r="4" spans="1:10" x14ac:dyDescent="0.45">
      <c r="A4" s="2" t="s">
        <v>45</v>
      </c>
      <c r="B4" s="2">
        <v>52</v>
      </c>
      <c r="C4" s="2">
        <v>167</v>
      </c>
      <c r="D4" s="2">
        <v>158</v>
      </c>
      <c r="E4" s="2">
        <v>377</v>
      </c>
      <c r="G4" s="2" t="s">
        <v>72</v>
      </c>
      <c r="H4" s="8">
        <v>0.13793103448275862</v>
      </c>
      <c r="I4" s="8">
        <v>0.44297082228116713</v>
      </c>
      <c r="J4" s="8">
        <v>0.41909814323607425</v>
      </c>
    </row>
    <row r="5" spans="1:10" x14ac:dyDescent="0.45">
      <c r="A5" s="2" t="s">
        <v>46</v>
      </c>
      <c r="B5" s="2">
        <v>2</v>
      </c>
      <c r="C5" s="2">
        <v>8</v>
      </c>
      <c r="D5" s="2">
        <v>7</v>
      </c>
      <c r="E5" s="2">
        <v>17</v>
      </c>
      <c r="G5" s="2" t="s">
        <v>73</v>
      </c>
      <c r="H5" s="8">
        <v>0.11764705882352941</v>
      </c>
      <c r="I5" s="8">
        <v>0.47058823529411764</v>
      </c>
      <c r="J5" s="8">
        <v>0.41176470588235292</v>
      </c>
    </row>
    <row r="7" spans="1:10" x14ac:dyDescent="0.45">
      <c r="A7" s="14" t="s">
        <v>10</v>
      </c>
      <c r="B7" s="14" t="s">
        <v>42</v>
      </c>
      <c r="C7" s="14" t="s">
        <v>43</v>
      </c>
      <c r="D7" s="14" t="s">
        <v>44</v>
      </c>
      <c r="E7" s="14">
        <f>SUM(E8:E9)</f>
        <v>394</v>
      </c>
      <c r="G7" s="14" t="s">
        <v>10</v>
      </c>
      <c r="H7" s="14" t="s">
        <v>42</v>
      </c>
      <c r="I7" s="14" t="s">
        <v>43</v>
      </c>
      <c r="J7" s="14" t="s">
        <v>44</v>
      </c>
    </row>
    <row r="8" spans="1:10" x14ac:dyDescent="0.45">
      <c r="A8" s="2" t="s">
        <v>45</v>
      </c>
      <c r="B8" s="2">
        <v>40</v>
      </c>
      <c r="C8" s="2">
        <v>157</v>
      </c>
      <c r="D8" s="2">
        <v>180</v>
      </c>
      <c r="E8" s="2">
        <v>377</v>
      </c>
      <c r="G8" s="2" t="s">
        <v>74</v>
      </c>
      <c r="H8" s="8">
        <v>0.10610079575596817</v>
      </c>
      <c r="I8" s="8">
        <v>0.41644562334217505</v>
      </c>
      <c r="J8" s="8">
        <v>0.47745358090185674</v>
      </c>
    </row>
    <row r="9" spans="1:10" x14ac:dyDescent="0.45">
      <c r="A9" s="2" t="s">
        <v>46</v>
      </c>
      <c r="B9" s="2">
        <v>3</v>
      </c>
      <c r="C9" s="2">
        <v>5</v>
      </c>
      <c r="D9" s="2">
        <v>9</v>
      </c>
      <c r="E9" s="2">
        <v>17</v>
      </c>
      <c r="G9" s="2" t="s">
        <v>75</v>
      </c>
      <c r="H9" s="8">
        <v>0.17647058823529413</v>
      </c>
      <c r="I9" s="8">
        <v>0.29411764705882354</v>
      </c>
      <c r="J9" s="8">
        <v>0.52941176470588236</v>
      </c>
    </row>
    <row r="11" spans="1:10" x14ac:dyDescent="0.45">
      <c r="A11" s="14" t="s">
        <v>11</v>
      </c>
      <c r="B11" s="14" t="s">
        <v>42</v>
      </c>
      <c r="C11" s="14" t="s">
        <v>43</v>
      </c>
      <c r="D11" s="14" t="s">
        <v>44</v>
      </c>
      <c r="E11" s="14">
        <f>SUM(E12:E13)</f>
        <v>394</v>
      </c>
      <c r="G11" s="14" t="s">
        <v>11</v>
      </c>
      <c r="H11" s="14" t="s">
        <v>42</v>
      </c>
      <c r="I11" s="14" t="s">
        <v>43</v>
      </c>
      <c r="J11" s="14" t="s">
        <v>44</v>
      </c>
    </row>
    <row r="12" spans="1:10" x14ac:dyDescent="0.45">
      <c r="A12" s="2" t="s">
        <v>45</v>
      </c>
      <c r="B12" s="2">
        <v>73</v>
      </c>
      <c r="C12" s="2">
        <v>166</v>
      </c>
      <c r="D12" s="2">
        <v>138</v>
      </c>
      <c r="E12" s="2">
        <v>377</v>
      </c>
      <c r="G12" s="2" t="s">
        <v>70</v>
      </c>
      <c r="H12" s="8">
        <v>0.19363395225464192</v>
      </c>
      <c r="I12" s="8">
        <v>0.44031830238726788</v>
      </c>
      <c r="J12" s="8">
        <v>0.3660477453580902</v>
      </c>
    </row>
    <row r="13" spans="1:10" x14ac:dyDescent="0.45">
      <c r="A13" s="2" t="s">
        <v>46</v>
      </c>
      <c r="B13" s="2">
        <v>7</v>
      </c>
      <c r="C13" s="2">
        <v>7</v>
      </c>
      <c r="D13" s="2">
        <v>3</v>
      </c>
      <c r="E13" s="2">
        <v>17</v>
      </c>
      <c r="G13" s="2" t="s">
        <v>71</v>
      </c>
      <c r="H13" s="8">
        <v>0.41176470588235292</v>
      </c>
      <c r="I13" s="8">
        <v>0.41176470588235292</v>
      </c>
      <c r="J13" s="8">
        <v>0.17647058823529413</v>
      </c>
    </row>
    <row r="15" spans="1:10" x14ac:dyDescent="0.45">
      <c r="A15" s="14" t="s">
        <v>12</v>
      </c>
      <c r="B15" s="14" t="s">
        <v>42</v>
      </c>
      <c r="C15" s="14" t="s">
        <v>43</v>
      </c>
      <c r="D15" s="14" t="s">
        <v>44</v>
      </c>
      <c r="E15" s="14">
        <f>SUM(E16:E21)</f>
        <v>403</v>
      </c>
      <c r="G15" s="14" t="s">
        <v>12</v>
      </c>
      <c r="H15" s="14" t="s">
        <v>42</v>
      </c>
      <c r="I15" s="14" t="s">
        <v>43</v>
      </c>
      <c r="J15" s="14" t="s">
        <v>44</v>
      </c>
    </row>
    <row r="16" spans="1:10" x14ac:dyDescent="0.45">
      <c r="A16" s="2" t="s">
        <v>47</v>
      </c>
      <c r="B16" s="2">
        <v>1</v>
      </c>
      <c r="C16" s="2">
        <v>17</v>
      </c>
      <c r="D16" s="2">
        <v>37</v>
      </c>
      <c r="E16" s="2">
        <v>55</v>
      </c>
      <c r="G16" s="2" t="s">
        <v>47</v>
      </c>
      <c r="H16" s="8">
        <v>1.8181818181818181E-2</v>
      </c>
      <c r="I16" s="8">
        <v>0.30909090909090908</v>
      </c>
      <c r="J16" s="8">
        <v>0.67272727272727273</v>
      </c>
    </row>
    <row r="17" spans="1:10" x14ac:dyDescent="0.45">
      <c r="A17" s="2" t="s">
        <v>48</v>
      </c>
      <c r="B17" s="2">
        <v>1</v>
      </c>
      <c r="C17" s="2">
        <v>36</v>
      </c>
      <c r="D17" s="2">
        <v>42</v>
      </c>
      <c r="E17" s="2">
        <v>79</v>
      </c>
      <c r="G17" s="2" t="s">
        <v>48</v>
      </c>
      <c r="H17" s="8">
        <v>1.2658227848101266E-2</v>
      </c>
      <c r="I17" s="8">
        <v>0.45569620253164556</v>
      </c>
      <c r="J17" s="8">
        <v>0.53164556962025311</v>
      </c>
    </row>
    <row r="18" spans="1:10" x14ac:dyDescent="0.45">
      <c r="A18" s="2" t="s">
        <v>49</v>
      </c>
      <c r="B18" s="2">
        <v>8</v>
      </c>
      <c r="C18" s="2">
        <v>61</v>
      </c>
      <c r="D18" s="2">
        <v>63</v>
      </c>
      <c r="E18" s="2">
        <v>132</v>
      </c>
      <c r="G18" s="2" t="s">
        <v>49</v>
      </c>
      <c r="H18" s="8">
        <v>6.0606060606060608E-2</v>
      </c>
      <c r="I18" s="8">
        <v>0.4621212121212121</v>
      </c>
      <c r="J18" s="8">
        <v>0.47727272727272729</v>
      </c>
    </row>
    <row r="19" spans="1:10" x14ac:dyDescent="0.45">
      <c r="A19" s="2" t="s">
        <v>50</v>
      </c>
      <c r="B19" s="2">
        <v>6</v>
      </c>
      <c r="C19" s="2">
        <v>39</v>
      </c>
      <c r="D19" s="2">
        <v>34</v>
      </c>
      <c r="E19" s="2">
        <v>79</v>
      </c>
      <c r="G19" s="2" t="s">
        <v>50</v>
      </c>
      <c r="H19" s="8">
        <v>7.5949367088607597E-2</v>
      </c>
      <c r="I19" s="8">
        <v>0.49367088607594939</v>
      </c>
      <c r="J19" s="8">
        <v>0.43037974683544306</v>
      </c>
    </row>
    <row r="20" spans="1:10" x14ac:dyDescent="0.45">
      <c r="A20" s="2" t="s">
        <v>51</v>
      </c>
      <c r="B20" s="2">
        <v>2</v>
      </c>
      <c r="C20" s="2">
        <v>17</v>
      </c>
      <c r="D20" s="2">
        <v>12</v>
      </c>
      <c r="E20" s="2">
        <v>31</v>
      </c>
      <c r="G20" s="2" t="s">
        <v>51</v>
      </c>
      <c r="H20" s="8">
        <v>6.4516129032258063E-2</v>
      </c>
      <c r="I20" s="8">
        <v>0.54838709677419351</v>
      </c>
      <c r="J20" s="8">
        <v>0.38709677419354838</v>
      </c>
    </row>
    <row r="21" spans="1:10" x14ac:dyDescent="0.45">
      <c r="A21" s="2" t="s">
        <v>52</v>
      </c>
      <c r="B21" s="2">
        <v>3</v>
      </c>
      <c r="C21" s="2">
        <v>15</v>
      </c>
      <c r="D21" s="2">
        <v>9</v>
      </c>
      <c r="E21" s="2">
        <v>27</v>
      </c>
      <c r="G21" s="2" t="s">
        <v>52</v>
      </c>
      <c r="H21" s="8">
        <v>0.1111111111111111</v>
      </c>
      <c r="I21" s="8">
        <v>0.55555555555555558</v>
      </c>
      <c r="J21" s="8">
        <v>0.33333333333333331</v>
      </c>
    </row>
    <row r="23" spans="1:10" x14ac:dyDescent="0.45">
      <c r="A23" s="14" t="s">
        <v>13</v>
      </c>
      <c r="B23" s="14" t="s">
        <v>42</v>
      </c>
      <c r="C23" s="14" t="s">
        <v>43</v>
      </c>
      <c r="D23" s="14" t="s">
        <v>44</v>
      </c>
      <c r="E23" s="14">
        <f>SUM(E24:E29)</f>
        <v>403</v>
      </c>
      <c r="G23" s="14" t="s">
        <v>13</v>
      </c>
      <c r="H23" s="14" t="s">
        <v>42</v>
      </c>
      <c r="I23" s="14" t="s">
        <v>43</v>
      </c>
      <c r="J23" s="14" t="s">
        <v>44</v>
      </c>
    </row>
    <row r="24" spans="1:10" x14ac:dyDescent="0.45">
      <c r="A24" s="2" t="s">
        <v>47</v>
      </c>
      <c r="B24" s="2">
        <v>3</v>
      </c>
      <c r="C24" s="2">
        <v>29</v>
      </c>
      <c r="D24" s="2">
        <v>23</v>
      </c>
      <c r="E24" s="2">
        <v>55</v>
      </c>
      <c r="G24" s="2" t="s">
        <v>47</v>
      </c>
      <c r="H24" s="8">
        <v>5.4545454545454543E-2</v>
      </c>
      <c r="I24" s="8">
        <v>0.52727272727272723</v>
      </c>
      <c r="J24" s="8">
        <v>0.41818181818181815</v>
      </c>
    </row>
    <row r="25" spans="1:10" x14ac:dyDescent="0.45">
      <c r="A25" s="2" t="s">
        <v>48</v>
      </c>
      <c r="B25" s="2">
        <v>4</v>
      </c>
      <c r="C25" s="2">
        <v>45</v>
      </c>
      <c r="D25" s="2">
        <v>30</v>
      </c>
      <c r="E25" s="2">
        <v>79</v>
      </c>
      <c r="G25" s="2" t="s">
        <v>48</v>
      </c>
      <c r="H25" s="8">
        <v>5.0632911392405063E-2</v>
      </c>
      <c r="I25" s="8">
        <v>0.569620253164557</v>
      </c>
      <c r="J25" s="8">
        <v>0.379746835443038</v>
      </c>
    </row>
    <row r="26" spans="1:10" x14ac:dyDescent="0.45">
      <c r="A26" s="2" t="s">
        <v>49</v>
      </c>
      <c r="B26" s="2">
        <v>19</v>
      </c>
      <c r="C26" s="2">
        <v>76</v>
      </c>
      <c r="D26" s="2">
        <v>37</v>
      </c>
      <c r="E26" s="2">
        <v>132</v>
      </c>
      <c r="G26" s="2" t="s">
        <v>49</v>
      </c>
      <c r="H26" s="8">
        <v>0.14393939393939395</v>
      </c>
      <c r="I26" s="8">
        <v>0.5757575757575758</v>
      </c>
      <c r="J26" s="8">
        <v>0.28030303030303028</v>
      </c>
    </row>
    <row r="27" spans="1:10" x14ac:dyDescent="0.45">
      <c r="A27" s="2" t="s">
        <v>50</v>
      </c>
      <c r="B27" s="2">
        <v>15</v>
      </c>
      <c r="C27" s="2">
        <v>43</v>
      </c>
      <c r="D27" s="2">
        <v>21</v>
      </c>
      <c r="E27" s="2">
        <v>79</v>
      </c>
      <c r="G27" s="2" t="s">
        <v>50</v>
      </c>
      <c r="H27" s="8">
        <v>0.189873417721519</v>
      </c>
      <c r="I27" s="8">
        <v>0.54430379746835444</v>
      </c>
      <c r="J27" s="8">
        <v>0.26582278481012656</v>
      </c>
    </row>
    <row r="28" spans="1:10" x14ac:dyDescent="0.45">
      <c r="A28" s="2" t="s">
        <v>51</v>
      </c>
      <c r="B28" s="2">
        <v>9</v>
      </c>
      <c r="C28" s="2">
        <v>11</v>
      </c>
      <c r="D28" s="2">
        <v>11</v>
      </c>
      <c r="E28" s="2">
        <v>31</v>
      </c>
      <c r="G28" s="2" t="s">
        <v>51</v>
      </c>
      <c r="H28" s="8">
        <v>0.29032258064516131</v>
      </c>
      <c r="I28" s="8">
        <v>0.35483870967741937</v>
      </c>
      <c r="J28" s="8">
        <v>0.35483870967741937</v>
      </c>
    </row>
    <row r="29" spans="1:10" x14ac:dyDescent="0.45">
      <c r="A29" s="2" t="s">
        <v>52</v>
      </c>
      <c r="B29" s="2">
        <v>7</v>
      </c>
      <c r="C29" s="2">
        <v>14</v>
      </c>
      <c r="D29" s="2">
        <v>6</v>
      </c>
      <c r="E29" s="2">
        <v>27</v>
      </c>
      <c r="G29" s="2" t="s">
        <v>52</v>
      </c>
      <c r="H29" s="8">
        <v>0.25925925925925924</v>
      </c>
      <c r="I29" s="8">
        <v>0.51851851851851849</v>
      </c>
      <c r="J29" s="8">
        <v>0.22222222222222221</v>
      </c>
    </row>
    <row r="32" spans="1:10" x14ac:dyDescent="0.45">
      <c r="A32" s="14" t="s">
        <v>14</v>
      </c>
      <c r="B32" s="14" t="s">
        <v>42</v>
      </c>
      <c r="C32" s="14" t="s">
        <v>43</v>
      </c>
      <c r="D32" s="14" t="s">
        <v>44</v>
      </c>
      <c r="E32" s="14">
        <f>SUM(E33:E38)</f>
        <v>403</v>
      </c>
      <c r="G32" s="14" t="s">
        <v>14</v>
      </c>
      <c r="H32" s="14" t="s">
        <v>42</v>
      </c>
      <c r="I32" s="14" t="s">
        <v>43</v>
      </c>
      <c r="J32" s="14" t="s">
        <v>44</v>
      </c>
    </row>
    <row r="33" spans="1:10" x14ac:dyDescent="0.45">
      <c r="A33" s="2" t="s">
        <v>47</v>
      </c>
      <c r="B33" s="2">
        <v>1</v>
      </c>
      <c r="C33" s="2">
        <v>14</v>
      </c>
      <c r="D33" s="2">
        <v>40</v>
      </c>
      <c r="E33" s="2">
        <v>55</v>
      </c>
      <c r="G33" s="2" t="s">
        <v>47</v>
      </c>
      <c r="H33" s="8">
        <v>1.8181818181818181E-2</v>
      </c>
      <c r="I33" s="8">
        <v>0.25454545454545452</v>
      </c>
      <c r="J33" s="8">
        <v>0.72727272727272729</v>
      </c>
    </row>
    <row r="34" spans="1:10" x14ac:dyDescent="0.45">
      <c r="A34" s="2" t="s">
        <v>48</v>
      </c>
      <c r="B34" s="2">
        <v>5</v>
      </c>
      <c r="C34" s="2">
        <v>33</v>
      </c>
      <c r="D34" s="2">
        <v>41</v>
      </c>
      <c r="E34" s="2">
        <v>79</v>
      </c>
      <c r="G34" s="2" t="s">
        <v>48</v>
      </c>
      <c r="H34" s="8">
        <v>6.3291139240506333E-2</v>
      </c>
      <c r="I34" s="8">
        <v>0.41772151898734178</v>
      </c>
      <c r="J34" s="8">
        <v>0.51898734177215189</v>
      </c>
    </row>
    <row r="35" spans="1:10" x14ac:dyDescent="0.45">
      <c r="A35" s="2" t="s">
        <v>49</v>
      </c>
      <c r="B35" s="2">
        <v>23</v>
      </c>
      <c r="C35" s="2">
        <v>66</v>
      </c>
      <c r="D35" s="2">
        <v>43</v>
      </c>
      <c r="E35" s="2">
        <v>132</v>
      </c>
      <c r="G35" s="2" t="s">
        <v>49</v>
      </c>
      <c r="H35" s="8">
        <v>0.17424242424242425</v>
      </c>
      <c r="I35" s="8">
        <v>0.5</v>
      </c>
      <c r="J35" s="8">
        <v>0.32575757575757575</v>
      </c>
    </row>
    <row r="36" spans="1:10" x14ac:dyDescent="0.45">
      <c r="A36" s="2" t="s">
        <v>50</v>
      </c>
      <c r="B36" s="2">
        <v>23</v>
      </c>
      <c r="C36" s="2">
        <v>35</v>
      </c>
      <c r="D36" s="2">
        <v>21</v>
      </c>
      <c r="E36" s="2">
        <v>79</v>
      </c>
      <c r="G36" s="2" t="s">
        <v>50</v>
      </c>
      <c r="H36" s="8">
        <v>0.29113924050632911</v>
      </c>
      <c r="I36" s="8">
        <v>0.44303797468354428</v>
      </c>
      <c r="J36" s="8">
        <v>0.26582278481012656</v>
      </c>
    </row>
    <row r="37" spans="1:10" x14ac:dyDescent="0.45">
      <c r="A37" s="2" t="s">
        <v>51</v>
      </c>
      <c r="B37" s="2">
        <v>11</v>
      </c>
      <c r="C37" s="2">
        <v>15</v>
      </c>
      <c r="D37" s="2">
        <v>5</v>
      </c>
      <c r="E37" s="2">
        <v>31</v>
      </c>
      <c r="G37" s="2" t="s">
        <v>51</v>
      </c>
      <c r="H37" s="8">
        <v>0.35483870967741937</v>
      </c>
      <c r="I37" s="8">
        <v>0.4838709677419355</v>
      </c>
      <c r="J37" s="8">
        <v>0.16129032258064516</v>
      </c>
    </row>
    <row r="38" spans="1:10" x14ac:dyDescent="0.45">
      <c r="A38" s="2" t="s">
        <v>52</v>
      </c>
      <c r="B38" s="2">
        <v>7</v>
      </c>
      <c r="C38" s="2">
        <v>15</v>
      </c>
      <c r="D38" s="2">
        <v>5</v>
      </c>
      <c r="E38" s="2">
        <v>27</v>
      </c>
      <c r="G38" s="2" t="s">
        <v>52</v>
      </c>
      <c r="H38" s="8">
        <v>0.25925925925925924</v>
      </c>
      <c r="I38" s="8">
        <v>0.55555555555555558</v>
      </c>
      <c r="J38" s="8">
        <v>0.18518518518518517</v>
      </c>
    </row>
    <row r="40" spans="1:10" x14ac:dyDescent="0.45">
      <c r="A40" s="14" t="s">
        <v>15</v>
      </c>
      <c r="B40" s="14" t="s">
        <v>42</v>
      </c>
      <c r="C40" s="14" t="s">
        <v>43</v>
      </c>
      <c r="D40" s="14" t="s">
        <v>44</v>
      </c>
      <c r="E40" s="14">
        <f>SUM(E41:E46)</f>
        <v>403</v>
      </c>
      <c r="G40" s="14" t="s">
        <v>15</v>
      </c>
      <c r="H40" s="14" t="s">
        <v>42</v>
      </c>
      <c r="I40" s="14" t="s">
        <v>43</v>
      </c>
      <c r="J40" s="14" t="s">
        <v>44</v>
      </c>
    </row>
    <row r="41" spans="1:10" x14ac:dyDescent="0.45">
      <c r="A41" s="2" t="s">
        <v>47</v>
      </c>
      <c r="B41" s="2">
        <v>3</v>
      </c>
      <c r="C41" s="2">
        <v>28</v>
      </c>
      <c r="D41" s="2">
        <v>24</v>
      </c>
      <c r="E41" s="2">
        <v>55</v>
      </c>
      <c r="G41" s="2" t="s">
        <v>47</v>
      </c>
      <c r="H41" s="8">
        <v>5.4545454545454543E-2</v>
      </c>
      <c r="I41" s="8">
        <v>0.50909090909090904</v>
      </c>
      <c r="J41" s="8">
        <v>0.43636363636363634</v>
      </c>
    </row>
    <row r="42" spans="1:10" x14ac:dyDescent="0.45">
      <c r="A42" s="2" t="s">
        <v>48</v>
      </c>
      <c r="B42" s="2">
        <v>10</v>
      </c>
      <c r="C42" s="2">
        <v>46</v>
      </c>
      <c r="D42" s="2">
        <v>23</v>
      </c>
      <c r="E42" s="2">
        <v>79</v>
      </c>
      <c r="G42" s="2" t="s">
        <v>48</v>
      </c>
      <c r="H42" s="8">
        <v>0.12658227848101267</v>
      </c>
      <c r="I42" s="8">
        <v>0.58227848101265822</v>
      </c>
      <c r="J42" s="8">
        <v>0.29113924050632911</v>
      </c>
    </row>
    <row r="43" spans="1:10" x14ac:dyDescent="0.45">
      <c r="A43" s="2" t="s">
        <v>49</v>
      </c>
      <c r="B43" s="2">
        <v>26</v>
      </c>
      <c r="C43" s="2">
        <v>71</v>
      </c>
      <c r="D43" s="2">
        <v>35</v>
      </c>
      <c r="E43" s="2">
        <v>132</v>
      </c>
      <c r="G43" s="2" t="s">
        <v>49</v>
      </c>
      <c r="H43" s="8">
        <v>0.19696969696969696</v>
      </c>
      <c r="I43" s="8">
        <v>0.53787878787878785</v>
      </c>
      <c r="J43" s="8">
        <v>0.26515151515151514</v>
      </c>
    </row>
    <row r="44" spans="1:10" x14ac:dyDescent="0.45">
      <c r="A44" s="2" t="s">
        <v>50</v>
      </c>
      <c r="B44" s="2">
        <v>16</v>
      </c>
      <c r="C44" s="2">
        <v>45</v>
      </c>
      <c r="D44" s="2">
        <v>18</v>
      </c>
      <c r="E44" s="2">
        <v>79</v>
      </c>
      <c r="G44" s="2" t="s">
        <v>50</v>
      </c>
      <c r="H44" s="8">
        <v>0.20253164556962025</v>
      </c>
      <c r="I44" s="8">
        <v>0.569620253164557</v>
      </c>
      <c r="J44" s="8">
        <v>0.22784810126582278</v>
      </c>
    </row>
    <row r="45" spans="1:10" x14ac:dyDescent="0.45">
      <c r="A45" s="2" t="s">
        <v>51</v>
      </c>
      <c r="B45" s="2">
        <v>10</v>
      </c>
      <c r="C45" s="2">
        <v>14</v>
      </c>
      <c r="D45" s="2">
        <v>7</v>
      </c>
      <c r="E45" s="2">
        <v>31</v>
      </c>
      <c r="G45" s="2" t="s">
        <v>51</v>
      </c>
      <c r="H45" s="8">
        <v>0.32258064516129031</v>
      </c>
      <c r="I45" s="8">
        <v>0.45161290322580644</v>
      </c>
      <c r="J45" s="8">
        <v>0.22580645161290322</v>
      </c>
    </row>
    <row r="46" spans="1:10" x14ac:dyDescent="0.45">
      <c r="A46" s="2" t="s">
        <v>52</v>
      </c>
      <c r="B46" s="2">
        <v>7</v>
      </c>
      <c r="C46" s="2">
        <v>13</v>
      </c>
      <c r="D46" s="2">
        <v>7</v>
      </c>
      <c r="E46" s="2">
        <v>27</v>
      </c>
      <c r="G46" s="2" t="s">
        <v>52</v>
      </c>
      <c r="H46" s="8">
        <v>0.25925925925925924</v>
      </c>
      <c r="I46" s="8">
        <v>0.48148148148148145</v>
      </c>
      <c r="J46" s="8">
        <v>0.25925925925925924</v>
      </c>
    </row>
    <row r="48" spans="1:10" x14ac:dyDescent="0.45">
      <c r="A48" s="14" t="s">
        <v>16</v>
      </c>
      <c r="B48" s="14" t="s">
        <v>42</v>
      </c>
      <c r="C48" s="14" t="s">
        <v>43</v>
      </c>
      <c r="D48" s="14" t="s">
        <v>44</v>
      </c>
      <c r="E48" s="14">
        <f>SUM(E49:E54)</f>
        <v>403</v>
      </c>
      <c r="G48" s="14" t="s">
        <v>16</v>
      </c>
      <c r="H48" s="14" t="s">
        <v>42</v>
      </c>
      <c r="I48" s="14" t="s">
        <v>43</v>
      </c>
      <c r="J48" s="14" t="s">
        <v>44</v>
      </c>
    </row>
    <row r="49" spans="1:10" x14ac:dyDescent="0.45">
      <c r="A49" s="2" t="s">
        <v>47</v>
      </c>
      <c r="B49" s="2">
        <v>1</v>
      </c>
      <c r="C49" s="2">
        <v>31</v>
      </c>
      <c r="D49" s="2">
        <v>23</v>
      </c>
      <c r="E49" s="2">
        <v>55</v>
      </c>
      <c r="G49" s="2" t="s">
        <v>47</v>
      </c>
      <c r="H49" s="8">
        <v>1.8181818181818181E-2</v>
      </c>
      <c r="I49" s="8">
        <v>0.5636363636363636</v>
      </c>
      <c r="J49" s="8">
        <v>0.41818181818181815</v>
      </c>
    </row>
    <row r="50" spans="1:10" x14ac:dyDescent="0.45">
      <c r="A50" s="2" t="s">
        <v>48</v>
      </c>
      <c r="B50" s="2">
        <v>4</v>
      </c>
      <c r="C50" s="2">
        <v>49</v>
      </c>
      <c r="D50" s="2">
        <v>26</v>
      </c>
      <c r="E50" s="2">
        <v>79</v>
      </c>
      <c r="G50" s="2" t="s">
        <v>48</v>
      </c>
      <c r="H50" s="8">
        <v>5.0632911392405063E-2</v>
      </c>
      <c r="I50" s="8">
        <v>0.620253164556962</v>
      </c>
      <c r="J50" s="8">
        <v>0.32911392405063289</v>
      </c>
    </row>
    <row r="51" spans="1:10" x14ac:dyDescent="0.45">
      <c r="A51" s="2" t="s">
        <v>49</v>
      </c>
      <c r="B51" s="2">
        <v>18</v>
      </c>
      <c r="C51" s="2">
        <v>75</v>
      </c>
      <c r="D51" s="2">
        <v>39</v>
      </c>
      <c r="E51" s="2">
        <v>132</v>
      </c>
      <c r="G51" s="2" t="s">
        <v>49</v>
      </c>
      <c r="H51" s="8">
        <v>0.13636363636363635</v>
      </c>
      <c r="I51" s="8">
        <v>0.56818181818181823</v>
      </c>
      <c r="J51" s="8">
        <v>0.29545454545454547</v>
      </c>
    </row>
    <row r="52" spans="1:10" x14ac:dyDescent="0.45">
      <c r="A52" s="2" t="s">
        <v>50</v>
      </c>
      <c r="B52" s="2">
        <v>12</v>
      </c>
      <c r="C52" s="2">
        <v>46</v>
      </c>
      <c r="D52" s="2">
        <v>21</v>
      </c>
      <c r="E52" s="2">
        <v>79</v>
      </c>
      <c r="G52" s="2" t="s">
        <v>50</v>
      </c>
      <c r="H52" s="8">
        <v>0.15189873417721519</v>
      </c>
      <c r="I52" s="8">
        <v>0.58227848101265822</v>
      </c>
      <c r="J52" s="8">
        <v>0.26582278481012656</v>
      </c>
    </row>
    <row r="53" spans="1:10" x14ac:dyDescent="0.45">
      <c r="A53" s="2" t="s">
        <v>51</v>
      </c>
      <c r="B53" s="2">
        <v>7</v>
      </c>
      <c r="C53" s="2">
        <v>16</v>
      </c>
      <c r="D53" s="2">
        <v>8</v>
      </c>
      <c r="E53" s="2">
        <v>31</v>
      </c>
      <c r="G53" s="2" t="s">
        <v>51</v>
      </c>
      <c r="H53" s="8">
        <v>0.22580645161290322</v>
      </c>
      <c r="I53" s="8">
        <v>0.5161290322580645</v>
      </c>
      <c r="J53" s="8">
        <v>0.25806451612903225</v>
      </c>
    </row>
    <row r="54" spans="1:10" x14ac:dyDescent="0.45">
      <c r="A54" s="2" t="s">
        <v>52</v>
      </c>
      <c r="B54" s="2">
        <v>4</v>
      </c>
      <c r="C54" s="2">
        <v>18</v>
      </c>
      <c r="D54" s="2">
        <v>5</v>
      </c>
      <c r="E54" s="2">
        <v>27</v>
      </c>
      <c r="G54" s="2" t="s">
        <v>52</v>
      </c>
      <c r="H54" s="8">
        <v>0.14814814814814814</v>
      </c>
      <c r="I54" s="8">
        <v>0.66666666666666663</v>
      </c>
      <c r="J54" s="8">
        <v>0.18518518518518517</v>
      </c>
    </row>
    <row r="56" spans="1:10" x14ac:dyDescent="0.45">
      <c r="A56" s="14" t="s">
        <v>14</v>
      </c>
      <c r="B56" s="14" t="s">
        <v>42</v>
      </c>
      <c r="C56" s="14" t="s">
        <v>43</v>
      </c>
      <c r="D56" s="14" t="s">
        <v>44</v>
      </c>
      <c r="E56" s="14">
        <f>SUM(E57:E62)</f>
        <v>329</v>
      </c>
      <c r="G56" s="14" t="s">
        <v>14</v>
      </c>
      <c r="H56" s="14" t="s">
        <v>42</v>
      </c>
      <c r="I56" s="14" t="s">
        <v>43</v>
      </c>
      <c r="J56" s="14" t="s">
        <v>44</v>
      </c>
    </row>
    <row r="57" spans="1:10" ht="14.65" thickBot="1" x14ac:dyDescent="0.5">
      <c r="A57" s="2" t="s">
        <v>53</v>
      </c>
      <c r="B57" s="2">
        <v>6</v>
      </c>
      <c r="C57" s="2">
        <v>13</v>
      </c>
      <c r="D57" s="2">
        <v>22</v>
      </c>
      <c r="E57" s="2">
        <v>41</v>
      </c>
      <c r="G57" s="15" t="s">
        <v>76</v>
      </c>
      <c r="H57" s="8">
        <v>0.14634146341463414</v>
      </c>
      <c r="I57" s="8">
        <v>0.31707317073170732</v>
      </c>
      <c r="J57" s="8">
        <v>0.53658536585365857</v>
      </c>
    </row>
    <row r="58" spans="1:10" ht="14.65" thickBot="1" x14ac:dyDescent="0.5">
      <c r="A58" s="2" t="s">
        <v>54</v>
      </c>
      <c r="B58" s="2">
        <v>8</v>
      </c>
      <c r="C58" s="2">
        <v>22</v>
      </c>
      <c r="D58" s="2">
        <v>49</v>
      </c>
      <c r="E58" s="2">
        <v>79</v>
      </c>
      <c r="G58" s="15" t="s">
        <v>77</v>
      </c>
      <c r="H58" s="8">
        <v>0.10126582278481013</v>
      </c>
      <c r="I58" s="8">
        <v>0.27848101265822783</v>
      </c>
      <c r="J58" s="8">
        <v>0.620253164556962</v>
      </c>
    </row>
    <row r="59" spans="1:10" ht="14.65" thickBot="1" x14ac:dyDescent="0.5">
      <c r="A59" s="2" t="s">
        <v>55</v>
      </c>
      <c r="B59" s="2">
        <v>2</v>
      </c>
      <c r="C59" s="2">
        <v>16</v>
      </c>
      <c r="D59" s="2">
        <v>23</v>
      </c>
      <c r="E59" s="2">
        <v>41</v>
      </c>
      <c r="G59" s="15" t="s">
        <v>78</v>
      </c>
      <c r="H59" s="8">
        <v>4.878048780487805E-2</v>
      </c>
      <c r="I59" s="8">
        <v>0.3902439024390244</v>
      </c>
      <c r="J59" s="8">
        <v>0.56097560975609762</v>
      </c>
    </row>
    <row r="60" spans="1:10" ht="14.65" thickBot="1" x14ac:dyDescent="0.5">
      <c r="A60" s="2" t="s">
        <v>56</v>
      </c>
      <c r="B60" s="2">
        <v>4</v>
      </c>
      <c r="C60" s="2">
        <v>26</v>
      </c>
      <c r="D60" s="2">
        <v>23</v>
      </c>
      <c r="E60" s="2">
        <v>53</v>
      </c>
      <c r="G60" s="15" t="s">
        <v>79</v>
      </c>
      <c r="H60" s="8">
        <v>7.5471698113207544E-2</v>
      </c>
      <c r="I60" s="8">
        <v>0.49056603773584906</v>
      </c>
      <c r="J60" s="8">
        <v>0.43396226415094341</v>
      </c>
    </row>
    <row r="61" spans="1:10" ht="14.65" thickBot="1" x14ac:dyDescent="0.5">
      <c r="A61" s="2" t="s">
        <v>57</v>
      </c>
      <c r="B61" s="2">
        <v>6</v>
      </c>
      <c r="C61" s="2">
        <v>35</v>
      </c>
      <c r="D61" s="2">
        <v>12</v>
      </c>
      <c r="E61" s="2">
        <v>53</v>
      </c>
      <c r="G61" s="15" t="s">
        <v>80</v>
      </c>
      <c r="H61" s="8">
        <v>0.11320754716981132</v>
      </c>
      <c r="I61" s="8">
        <v>0.660377358490566</v>
      </c>
      <c r="J61" s="8">
        <v>0.22641509433962265</v>
      </c>
    </row>
    <row r="62" spans="1:10" ht="14.65" thickBot="1" x14ac:dyDescent="0.5">
      <c r="A62" s="2" t="s">
        <v>58</v>
      </c>
      <c r="B62" s="2">
        <v>11</v>
      </c>
      <c r="C62" s="2">
        <v>37</v>
      </c>
      <c r="D62" s="2">
        <v>14</v>
      </c>
      <c r="E62" s="2">
        <v>62</v>
      </c>
      <c r="G62" s="15" t="s">
        <v>81</v>
      </c>
      <c r="H62" s="8">
        <v>0.17741935483870969</v>
      </c>
      <c r="I62" s="8">
        <v>0.59677419354838712</v>
      </c>
      <c r="J62" s="8">
        <v>0.22580645161290322</v>
      </c>
    </row>
    <row r="63" spans="1:10" ht="14.65" thickBot="1" x14ac:dyDescent="0.5">
      <c r="A63" s="2" t="s">
        <v>59</v>
      </c>
      <c r="B63" s="2">
        <v>16</v>
      </c>
      <c r="C63" s="2">
        <v>18</v>
      </c>
      <c r="D63" s="2">
        <v>5</v>
      </c>
      <c r="E63" s="2">
        <v>39</v>
      </c>
      <c r="G63" s="15" t="s">
        <v>82</v>
      </c>
      <c r="H63" s="8">
        <v>0.41025641025641024</v>
      </c>
      <c r="I63" s="8">
        <v>0.46153846153846156</v>
      </c>
      <c r="J63" s="8">
        <v>0.12820512820512819</v>
      </c>
    </row>
    <row r="64" spans="1:10" ht="14.65" thickBot="1" x14ac:dyDescent="0.5">
      <c r="A64" s="2" t="s">
        <v>60</v>
      </c>
      <c r="B64" s="2">
        <v>17</v>
      </c>
      <c r="C64" s="2">
        <v>11</v>
      </c>
      <c r="D64" s="2">
        <v>7</v>
      </c>
      <c r="E64" s="2">
        <v>35</v>
      </c>
      <c r="G64" s="15" t="s">
        <v>83</v>
      </c>
      <c r="H64" s="8">
        <v>0.48571428571428571</v>
      </c>
      <c r="I64" s="8">
        <v>0.31428571428571428</v>
      </c>
      <c r="J64" s="8">
        <v>0.2</v>
      </c>
    </row>
    <row r="66" spans="1:10" x14ac:dyDescent="0.45">
      <c r="A66" s="14" t="s">
        <v>15</v>
      </c>
      <c r="B66" s="14" t="s">
        <v>42</v>
      </c>
      <c r="C66" s="14" t="s">
        <v>43</v>
      </c>
      <c r="D66" s="14" t="s">
        <v>44</v>
      </c>
      <c r="E66" s="14">
        <f>SUM(E67:E72)</f>
        <v>329</v>
      </c>
      <c r="G66" s="14" t="s">
        <v>15</v>
      </c>
      <c r="H66" s="14" t="s">
        <v>42</v>
      </c>
      <c r="I66" s="14" t="s">
        <v>43</v>
      </c>
      <c r="J66" s="14" t="s">
        <v>44</v>
      </c>
    </row>
    <row r="67" spans="1:10" x14ac:dyDescent="0.45">
      <c r="A67" s="2" t="s">
        <v>53</v>
      </c>
      <c r="B67" s="2">
        <v>4</v>
      </c>
      <c r="C67" s="2">
        <v>17</v>
      </c>
      <c r="D67" s="2">
        <v>20</v>
      </c>
      <c r="E67" s="2">
        <v>41</v>
      </c>
      <c r="G67" s="2" t="s">
        <v>53</v>
      </c>
      <c r="H67" s="8">
        <v>9.7560975609756101E-2</v>
      </c>
      <c r="I67" s="8">
        <v>0.41463414634146339</v>
      </c>
      <c r="J67" s="8">
        <v>0.48780487804878048</v>
      </c>
    </row>
    <row r="68" spans="1:10" x14ac:dyDescent="0.45">
      <c r="A68" s="2" t="s">
        <v>54</v>
      </c>
      <c r="B68" s="2">
        <v>11</v>
      </c>
      <c r="C68" s="2">
        <v>31</v>
      </c>
      <c r="D68" s="2">
        <v>37</v>
      </c>
      <c r="E68" s="2">
        <v>79</v>
      </c>
      <c r="G68" s="2" t="s">
        <v>54</v>
      </c>
      <c r="H68" s="8">
        <v>0.13924050632911392</v>
      </c>
      <c r="I68" s="8">
        <v>0.39240506329113922</v>
      </c>
      <c r="J68" s="8">
        <v>0.46835443037974683</v>
      </c>
    </row>
    <row r="69" spans="1:10" x14ac:dyDescent="0.45">
      <c r="A69" s="2" t="s">
        <v>55</v>
      </c>
      <c r="B69" s="2">
        <v>5</v>
      </c>
      <c r="C69" s="2">
        <v>21</v>
      </c>
      <c r="D69" s="2">
        <v>15</v>
      </c>
      <c r="E69" s="2">
        <v>41</v>
      </c>
      <c r="G69" s="2" t="s">
        <v>55</v>
      </c>
      <c r="H69" s="8">
        <v>0.12195121951219512</v>
      </c>
      <c r="I69" s="8">
        <v>0.51219512195121952</v>
      </c>
      <c r="J69" s="8">
        <v>0.36585365853658536</v>
      </c>
    </row>
    <row r="70" spans="1:10" x14ac:dyDescent="0.45">
      <c r="A70" s="2" t="s">
        <v>56</v>
      </c>
      <c r="B70" s="2">
        <v>9</v>
      </c>
      <c r="C70" s="2">
        <v>35</v>
      </c>
      <c r="D70" s="2">
        <v>9</v>
      </c>
      <c r="E70" s="2">
        <v>53</v>
      </c>
      <c r="G70" s="2" t="s">
        <v>56</v>
      </c>
      <c r="H70" s="8">
        <v>0.16981132075471697</v>
      </c>
      <c r="I70" s="8">
        <v>0.660377358490566</v>
      </c>
      <c r="J70" s="8">
        <v>0.16981132075471697</v>
      </c>
    </row>
    <row r="71" spans="1:10" x14ac:dyDescent="0.45">
      <c r="A71" s="2" t="s">
        <v>57</v>
      </c>
      <c r="B71" s="2">
        <v>9</v>
      </c>
      <c r="C71" s="2">
        <v>35</v>
      </c>
      <c r="D71" s="2">
        <v>9</v>
      </c>
      <c r="E71" s="2">
        <v>53</v>
      </c>
      <c r="G71" s="2" t="s">
        <v>57</v>
      </c>
      <c r="H71" s="8">
        <v>0.16981132075471697</v>
      </c>
      <c r="I71" s="8">
        <v>0.660377358490566</v>
      </c>
      <c r="J71" s="8">
        <v>0.16981132075471697</v>
      </c>
    </row>
    <row r="72" spans="1:10" x14ac:dyDescent="0.45">
      <c r="A72" s="2" t="s">
        <v>58</v>
      </c>
      <c r="B72" s="2">
        <v>7</v>
      </c>
      <c r="C72" s="2">
        <v>41</v>
      </c>
      <c r="D72" s="2">
        <v>14</v>
      </c>
      <c r="E72" s="2">
        <v>62</v>
      </c>
      <c r="G72" s="2" t="s">
        <v>58</v>
      </c>
      <c r="H72" s="8">
        <v>0.11290322580645161</v>
      </c>
      <c r="I72" s="8">
        <v>0.66129032258064513</v>
      </c>
      <c r="J72" s="8">
        <v>0.22580645161290322</v>
      </c>
    </row>
    <row r="73" spans="1:10" x14ac:dyDescent="0.45">
      <c r="A73" s="2" t="s">
        <v>59</v>
      </c>
      <c r="B73" s="2">
        <v>14</v>
      </c>
      <c r="C73" s="2">
        <v>20</v>
      </c>
      <c r="D73" s="2">
        <v>5</v>
      </c>
      <c r="E73" s="2">
        <v>39</v>
      </c>
      <c r="G73" s="2" t="s">
        <v>59</v>
      </c>
      <c r="H73" s="8">
        <v>0.35897435897435898</v>
      </c>
      <c r="I73" s="8">
        <v>0.51282051282051277</v>
      </c>
      <c r="J73" s="8">
        <v>0.12820512820512819</v>
      </c>
    </row>
    <row r="74" spans="1:10" x14ac:dyDescent="0.45">
      <c r="A74" s="2" t="s">
        <v>60</v>
      </c>
      <c r="B74" s="2">
        <v>13</v>
      </c>
      <c r="C74" s="2">
        <v>17</v>
      </c>
      <c r="D74" s="2">
        <v>5</v>
      </c>
      <c r="E74" s="2">
        <v>35</v>
      </c>
      <c r="G74" s="2" t="s">
        <v>60</v>
      </c>
      <c r="H74" s="8">
        <v>0.37142857142857144</v>
      </c>
      <c r="I74" s="8">
        <v>0.48571428571428571</v>
      </c>
      <c r="J74" s="8">
        <v>0.14285714285714285</v>
      </c>
    </row>
    <row r="76" spans="1:10" x14ac:dyDescent="0.45">
      <c r="A76" s="14" t="s">
        <v>61</v>
      </c>
      <c r="B76" s="14" t="s">
        <v>42</v>
      </c>
      <c r="C76" s="14" t="s">
        <v>43</v>
      </c>
      <c r="D76" s="14" t="s">
        <v>44</v>
      </c>
      <c r="E76" s="14">
        <f>SUM(E77:E82)</f>
        <v>403</v>
      </c>
      <c r="G76" s="14" t="s">
        <v>61</v>
      </c>
      <c r="H76" s="14" t="s">
        <v>42</v>
      </c>
      <c r="I76" s="14" t="s">
        <v>43</v>
      </c>
      <c r="J76" s="14" t="s">
        <v>44</v>
      </c>
    </row>
    <row r="77" spans="1:10" x14ac:dyDescent="0.45">
      <c r="A77" s="2" t="s">
        <v>47</v>
      </c>
      <c r="B77" s="2">
        <v>1</v>
      </c>
      <c r="C77" s="2">
        <v>16</v>
      </c>
      <c r="D77" s="2">
        <v>38</v>
      </c>
      <c r="E77" s="2">
        <v>55</v>
      </c>
      <c r="G77" s="2" t="s">
        <v>47</v>
      </c>
      <c r="H77" s="8">
        <v>1.8181818181818181E-2</v>
      </c>
      <c r="I77" s="8">
        <v>0.29090909090909089</v>
      </c>
      <c r="J77" s="8">
        <v>0.69090909090909092</v>
      </c>
    </row>
    <row r="78" spans="1:10" x14ac:dyDescent="0.45">
      <c r="A78" s="2" t="s">
        <v>48</v>
      </c>
      <c r="B78" s="2">
        <v>2</v>
      </c>
      <c r="C78" s="2">
        <v>32</v>
      </c>
      <c r="D78" s="2">
        <v>45</v>
      </c>
      <c r="E78" s="2">
        <v>79</v>
      </c>
      <c r="G78" s="2" t="s">
        <v>48</v>
      </c>
      <c r="H78" s="8">
        <v>2.5316455696202531E-2</v>
      </c>
      <c r="I78" s="8">
        <v>0.4050632911392405</v>
      </c>
      <c r="J78" s="8">
        <v>0.569620253164557</v>
      </c>
    </row>
    <row r="79" spans="1:10" x14ac:dyDescent="0.45">
      <c r="A79" s="2" t="s">
        <v>49</v>
      </c>
      <c r="B79" s="2">
        <v>9</v>
      </c>
      <c r="C79" s="2">
        <v>74</v>
      </c>
      <c r="D79" s="2">
        <v>49</v>
      </c>
      <c r="E79" s="2">
        <v>132</v>
      </c>
      <c r="G79" s="2" t="s">
        <v>49</v>
      </c>
      <c r="H79" s="8">
        <v>6.8181818181818177E-2</v>
      </c>
      <c r="I79" s="8">
        <v>0.56060606060606055</v>
      </c>
      <c r="J79" s="8">
        <v>0.37121212121212122</v>
      </c>
    </row>
    <row r="80" spans="1:10" x14ac:dyDescent="0.45">
      <c r="A80" s="2" t="s">
        <v>50</v>
      </c>
      <c r="B80" s="2">
        <v>11</v>
      </c>
      <c r="C80" s="2">
        <v>40</v>
      </c>
      <c r="D80" s="2">
        <v>28</v>
      </c>
      <c r="E80" s="2">
        <v>79</v>
      </c>
      <c r="G80" s="2" t="s">
        <v>50</v>
      </c>
      <c r="H80" s="8">
        <v>0.13924050632911392</v>
      </c>
      <c r="I80" s="8">
        <v>0.50632911392405067</v>
      </c>
      <c r="J80" s="8">
        <v>0.35443037974683544</v>
      </c>
    </row>
    <row r="81" spans="1:10" x14ac:dyDescent="0.45">
      <c r="A81" s="2" t="s">
        <v>51</v>
      </c>
      <c r="B81" s="2">
        <v>9</v>
      </c>
      <c r="C81" s="2">
        <v>14</v>
      </c>
      <c r="D81" s="2">
        <v>8</v>
      </c>
      <c r="E81" s="2">
        <v>31</v>
      </c>
      <c r="G81" s="2" t="s">
        <v>51</v>
      </c>
      <c r="H81" s="8">
        <v>0.29032258064516131</v>
      </c>
      <c r="I81" s="8">
        <v>0.45161290322580644</v>
      </c>
      <c r="J81" s="8">
        <v>0.25806451612903225</v>
      </c>
    </row>
    <row r="82" spans="1:10" x14ac:dyDescent="0.45">
      <c r="A82" s="2" t="s">
        <v>52</v>
      </c>
      <c r="B82" s="2">
        <v>3</v>
      </c>
      <c r="C82" s="2">
        <v>18</v>
      </c>
      <c r="D82" s="2">
        <v>6</v>
      </c>
      <c r="E82" s="2">
        <v>27</v>
      </c>
      <c r="G82" s="2" t="s">
        <v>52</v>
      </c>
      <c r="H82" s="8">
        <v>0.1111111111111111</v>
      </c>
      <c r="I82" s="8">
        <v>0.66666666666666663</v>
      </c>
      <c r="J82" s="8">
        <v>0.22222222222222221</v>
      </c>
    </row>
  </sheetData>
  <mergeCells count="1">
    <mergeCell ref="A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85E2-09CA-4F8B-9AA4-DF6552F5EF24}">
  <dimension ref="A1:AC583"/>
  <sheetViews>
    <sheetView topLeftCell="A559" workbookViewId="0">
      <selection activeCell="A505" sqref="A505:D583"/>
    </sheetView>
  </sheetViews>
  <sheetFormatPr defaultRowHeight="14.25" x14ac:dyDescent="0.45"/>
  <sheetData>
    <row r="1" spans="1:12" x14ac:dyDescent="0.45">
      <c r="A1" s="4" t="s">
        <v>26</v>
      </c>
    </row>
    <row r="2" spans="1:12" x14ac:dyDescent="0.45">
      <c r="A2" s="1" t="s">
        <v>0</v>
      </c>
      <c r="B2" s="1" t="s">
        <v>1</v>
      </c>
      <c r="C2" s="1" t="s">
        <v>2</v>
      </c>
      <c r="D2" s="1" t="s">
        <v>18</v>
      </c>
      <c r="E2" s="1" t="s">
        <v>20</v>
      </c>
      <c r="F2" s="1" t="s">
        <v>19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x14ac:dyDescent="0.45">
      <c r="A3" s="2" t="s">
        <v>9</v>
      </c>
      <c r="B3" s="6">
        <f t="shared" ref="B3:L3" si="0">(B18+B32+B46+B60+B74)/5</f>
        <v>1.9151364764267993</v>
      </c>
      <c r="C3" s="5">
        <f t="shared" si="0"/>
        <v>0.43424317617866004</v>
      </c>
      <c r="D3" s="6">
        <f t="shared" si="0"/>
        <v>9.7789611446339126E-4</v>
      </c>
      <c r="E3" s="5">
        <f t="shared" si="0"/>
        <v>0.24218362282878408</v>
      </c>
      <c r="F3" s="6">
        <f t="shared" si="0"/>
        <v>0.95434243176178646</v>
      </c>
      <c r="G3" s="5">
        <f t="shared" si="0"/>
        <v>0.13647642679900746</v>
      </c>
      <c r="H3" s="5">
        <f t="shared" si="0"/>
        <v>0.44665012406947896</v>
      </c>
      <c r="I3" s="5">
        <f t="shared" si="0"/>
        <v>0.4168734491315137</v>
      </c>
      <c r="J3" s="5">
        <f t="shared" si="0"/>
        <v>1.2406947890818859E-2</v>
      </c>
      <c r="K3" s="5">
        <f t="shared" si="0"/>
        <v>0.68883374689826282</v>
      </c>
      <c r="L3" s="5">
        <f t="shared" si="0"/>
        <v>0.29875930521091815</v>
      </c>
    </row>
    <row r="4" spans="1:12" x14ac:dyDescent="0.45">
      <c r="A4" s="2" t="s">
        <v>10</v>
      </c>
      <c r="B4" s="6">
        <f t="shared" ref="B4:L4" si="1">(B19+B33+B47+B61+B75)/5</f>
        <v>1.8982630272952854</v>
      </c>
      <c r="C4" s="5">
        <f t="shared" si="1"/>
        <v>0.42452131402540638</v>
      </c>
      <c r="D4" s="6">
        <f t="shared" si="1"/>
        <v>-2.7270301642591348E-2</v>
      </c>
      <c r="E4" s="5">
        <f t="shared" si="1"/>
        <v>0.11092675579916793</v>
      </c>
      <c r="F4" s="6">
        <f t="shared" si="1"/>
        <v>0.7364764267990076</v>
      </c>
      <c r="G4" s="5">
        <f t="shared" si="1"/>
        <v>0.11166253101736974</v>
      </c>
      <c r="H4" s="5">
        <f t="shared" si="1"/>
        <v>0.41191066997518611</v>
      </c>
      <c r="I4" s="5">
        <f t="shared" si="1"/>
        <v>0.47642679900744411</v>
      </c>
      <c r="J4" s="5">
        <f t="shared" si="1"/>
        <v>9.4342184857350957E-3</v>
      </c>
      <c r="K4" s="5">
        <f t="shared" si="1"/>
        <v>0.51936348036492475</v>
      </c>
      <c r="L4" s="5">
        <f t="shared" si="1"/>
        <v>0.4712023011493402</v>
      </c>
    </row>
    <row r="5" spans="1:12" x14ac:dyDescent="0.45">
      <c r="A5" s="2" t="s">
        <v>11</v>
      </c>
      <c r="B5" s="6">
        <f t="shared" ref="B5:L5" si="2">(B20+B34+B48+B62+B76)/5</f>
        <v>2.5975186104218362</v>
      </c>
      <c r="C5" s="5">
        <f t="shared" si="2"/>
        <v>0.38380430354431316</v>
      </c>
      <c r="D5" s="6">
        <f t="shared" si="2"/>
        <v>2.6828823238897702E-2</v>
      </c>
      <c r="E5" s="5">
        <f t="shared" si="2"/>
        <v>0.44158364505018327</v>
      </c>
      <c r="F5" s="6">
        <f t="shared" si="2"/>
        <v>2.189081885856079</v>
      </c>
      <c r="G5" s="5">
        <f t="shared" si="2"/>
        <v>0.20595533498759305</v>
      </c>
      <c r="H5" s="5">
        <f t="shared" si="2"/>
        <v>0.43920595533498757</v>
      </c>
      <c r="I5" s="5">
        <f t="shared" si="2"/>
        <v>0.35483870967741937</v>
      </c>
      <c r="J5" s="5">
        <f t="shared" si="2"/>
        <v>9.9379035344369969E-4</v>
      </c>
      <c r="K5" s="5">
        <f t="shared" si="2"/>
        <v>0.20258385491895364</v>
      </c>
      <c r="L5" s="5">
        <f t="shared" si="2"/>
        <v>0.79642235472760281</v>
      </c>
    </row>
    <row r="6" spans="1:12" x14ac:dyDescent="0.45">
      <c r="A6" s="2" t="s">
        <v>12</v>
      </c>
      <c r="B6" s="6">
        <f t="shared" ref="B6:L6" si="3">(B21+B35+B49+B63+B77)/5</f>
        <v>1.8843672456575682</v>
      </c>
      <c r="C6" s="5">
        <f t="shared" si="3"/>
        <v>0.49254842413243949</v>
      </c>
      <c r="D6" s="6">
        <f t="shared" si="3"/>
        <v>2.5662421520341684E-2</v>
      </c>
      <c r="E6" s="5">
        <f t="shared" si="3"/>
        <v>0.47442934212313126</v>
      </c>
      <c r="F6" s="6">
        <f t="shared" si="3"/>
        <v>1.5464019851116624</v>
      </c>
      <c r="G6" s="5">
        <f t="shared" si="3"/>
        <v>5.2109181141439212E-2</v>
      </c>
      <c r="H6" s="5">
        <f t="shared" si="3"/>
        <v>0.45905707196029777</v>
      </c>
      <c r="I6" s="5">
        <f t="shared" si="3"/>
        <v>0.48883374689826303</v>
      </c>
      <c r="J6" s="5">
        <f t="shared" si="3"/>
        <v>0</v>
      </c>
      <c r="K6" s="5">
        <f t="shared" si="3"/>
        <v>3.6736910978605729E-2</v>
      </c>
      <c r="L6" s="5">
        <f t="shared" si="3"/>
        <v>0.96326308902139424</v>
      </c>
    </row>
    <row r="7" spans="1:12" x14ac:dyDescent="0.45">
      <c r="A7" s="2" t="s">
        <v>13</v>
      </c>
      <c r="B7" s="6">
        <f t="shared" ref="B7:L7" si="4">(B22+B36+B50+B64+B78)/5</f>
        <v>2.1002481389578165</v>
      </c>
      <c r="C7" s="5">
        <f t="shared" si="4"/>
        <v>0.4354797086884778</v>
      </c>
      <c r="D7" s="6">
        <f t="shared" si="4"/>
        <v>2.8032425576787846E-2</v>
      </c>
      <c r="E7" s="5">
        <f t="shared" si="4"/>
        <v>0.21649709534787406</v>
      </c>
      <c r="F7" s="6">
        <f t="shared" si="4"/>
        <v>1.4168734491315136</v>
      </c>
      <c r="G7" s="5">
        <f t="shared" si="4"/>
        <v>0.14143920595533499</v>
      </c>
      <c r="H7" s="5">
        <f t="shared" si="4"/>
        <v>0.54094292803970223</v>
      </c>
      <c r="I7" s="5">
        <f t="shared" si="4"/>
        <v>0.31761786600496278</v>
      </c>
      <c r="J7" s="5">
        <f t="shared" si="4"/>
        <v>3.4900311410528406E-3</v>
      </c>
      <c r="K7" s="5">
        <f t="shared" si="4"/>
        <v>0.4623950075061104</v>
      </c>
      <c r="L7" s="5">
        <f t="shared" si="4"/>
        <v>0.53411496135283676</v>
      </c>
    </row>
    <row r="8" spans="1:12" x14ac:dyDescent="0.45">
      <c r="A8" s="2" t="s">
        <v>14</v>
      </c>
      <c r="B8" s="6">
        <f t="shared" ref="B8:L8" si="5">(B23+B37+B51+B65+B79)/5</f>
        <v>2.4625310173697268</v>
      </c>
      <c r="C8" s="5">
        <f t="shared" si="5"/>
        <v>0.37866403642634705</v>
      </c>
      <c r="D8" s="6">
        <f t="shared" si="5"/>
        <v>-2.7899708904009814E-2</v>
      </c>
      <c r="E8" s="5">
        <f t="shared" si="5"/>
        <v>0.57053157385907605</v>
      </c>
      <c r="F8" s="6">
        <f t="shared" si="5"/>
        <v>2.1697270471464019</v>
      </c>
      <c r="G8" s="5">
        <f t="shared" si="5"/>
        <v>0.17369727047146402</v>
      </c>
      <c r="H8" s="5">
        <f t="shared" si="5"/>
        <v>0.44168734491315143</v>
      </c>
      <c r="I8" s="5">
        <f t="shared" si="5"/>
        <v>0.38461538461538464</v>
      </c>
      <c r="J8" s="5">
        <f t="shared" si="5"/>
        <v>0</v>
      </c>
      <c r="K8" s="5">
        <f t="shared" si="5"/>
        <v>4.4853041525539386E-2</v>
      </c>
      <c r="L8" s="5">
        <f t="shared" si="5"/>
        <v>0.95514695847446074</v>
      </c>
    </row>
    <row r="9" spans="1:12" x14ac:dyDescent="0.45">
      <c r="A9" s="2" t="s">
        <v>15</v>
      </c>
      <c r="B9" s="6">
        <f t="shared" ref="B9:L9" si="6">(B24+B38+B52+B66+B80)/5</f>
        <v>2.4625310173697272</v>
      </c>
      <c r="C9" s="5">
        <f t="shared" si="6"/>
        <v>0.40009056959591077</v>
      </c>
      <c r="D9" s="6">
        <f t="shared" si="6"/>
        <v>1.9436243589133338E-2</v>
      </c>
      <c r="E9" s="5">
        <f t="shared" si="6"/>
        <v>0.29807840003955394</v>
      </c>
      <c r="F9" s="6">
        <f t="shared" si="6"/>
        <v>1.8893300248138956</v>
      </c>
      <c r="G9" s="5">
        <f t="shared" si="6"/>
        <v>0.17866004962779156</v>
      </c>
      <c r="H9" s="5">
        <f t="shared" si="6"/>
        <v>0.53846153846153844</v>
      </c>
      <c r="I9" s="5">
        <f t="shared" si="6"/>
        <v>0.28287841191066998</v>
      </c>
      <c r="J9" s="5">
        <f t="shared" si="6"/>
        <v>9.9626555501792775E-4</v>
      </c>
      <c r="K9" s="5">
        <f t="shared" si="6"/>
        <v>0.41804692249475811</v>
      </c>
      <c r="L9" s="5">
        <f t="shared" si="6"/>
        <v>0.58095681195022397</v>
      </c>
    </row>
    <row r="10" spans="1:12" x14ac:dyDescent="0.45">
      <c r="A10" s="2" t="s">
        <v>16</v>
      </c>
      <c r="B10" s="6">
        <f t="shared" ref="B10:L10" si="7">(B25+B39+B53+B67+B81)/5</f>
        <v>1.9776674937965262</v>
      </c>
      <c r="C10" s="5">
        <f t="shared" si="7"/>
        <v>0.43646232677013935</v>
      </c>
      <c r="D10" s="6">
        <f t="shared" si="7"/>
        <v>6.0542353683866459E-5</v>
      </c>
      <c r="E10" s="5">
        <f t="shared" si="7"/>
        <v>0.22042527103226339</v>
      </c>
      <c r="F10" s="6">
        <f t="shared" si="7"/>
        <v>1.2610421836228287</v>
      </c>
      <c r="G10" s="5">
        <f t="shared" si="7"/>
        <v>0.11414392059553349</v>
      </c>
      <c r="H10" s="5">
        <f t="shared" si="7"/>
        <v>0.5831265508684863</v>
      </c>
      <c r="I10" s="5">
        <f t="shared" si="7"/>
        <v>0.30272952853598017</v>
      </c>
      <c r="J10" s="5">
        <f t="shared" si="7"/>
        <v>0</v>
      </c>
      <c r="K10" s="5">
        <f t="shared" si="7"/>
        <v>0.47684520043175638</v>
      </c>
      <c r="L10" s="5">
        <f t="shared" si="7"/>
        <v>0.52315479956824362</v>
      </c>
    </row>
    <row r="11" spans="1:12" x14ac:dyDescent="0.45">
      <c r="A11" s="2" t="s">
        <v>17</v>
      </c>
      <c r="B11" s="6">
        <f t="shared" ref="B11:L11" si="8">(B26+B40+B54+B68+B82)/5</f>
        <v>2.2486352357320101</v>
      </c>
      <c r="C11" s="5">
        <f t="shared" si="8"/>
        <v>0.43669045669408568</v>
      </c>
      <c r="D11" s="6">
        <f t="shared" si="8"/>
        <v>1.4769023174400018E-2</v>
      </c>
      <c r="E11" s="5">
        <f t="shared" si="8"/>
        <v>0.52734777779696773</v>
      </c>
      <c r="F11" s="6">
        <f t="shared" si="8"/>
        <v>1.9225806451612903</v>
      </c>
      <c r="G11" s="5">
        <f t="shared" si="8"/>
        <v>8.6848635235732011E-2</v>
      </c>
      <c r="H11" s="5">
        <f t="shared" si="8"/>
        <v>0.4813895781637717</v>
      </c>
      <c r="I11" s="5">
        <f t="shared" si="8"/>
        <v>0.4317617866004963</v>
      </c>
      <c r="J11" s="5">
        <f t="shared" si="8"/>
        <v>4.9875311720698251E-4</v>
      </c>
      <c r="K11" s="5">
        <f t="shared" si="8"/>
        <v>4.0391682485328963E-2</v>
      </c>
      <c r="L11" s="5">
        <f t="shared" si="8"/>
        <v>0.95910956439746398</v>
      </c>
    </row>
    <row r="12" spans="1:12" x14ac:dyDescent="0.45">
      <c r="A12" s="2" t="s">
        <v>34</v>
      </c>
      <c r="B12" s="6">
        <f>(B27+B41+B55+B69+B83)/5</f>
        <v>0.75494899365867174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45">
      <c r="A13" s="2" t="s">
        <v>35</v>
      </c>
      <c r="B13" s="6">
        <f>(B28+B42+B56+B70+B84)/5</f>
        <v>0.8530465949820808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6" spans="1:12" x14ac:dyDescent="0.45">
      <c r="A16" s="4" t="s">
        <v>21</v>
      </c>
    </row>
    <row r="17" spans="1:12" x14ac:dyDescent="0.45">
      <c r="A17" s="3" t="s">
        <v>0</v>
      </c>
      <c r="B17" s="3" t="s">
        <v>1</v>
      </c>
      <c r="C17" s="3" t="s">
        <v>2</v>
      </c>
      <c r="D17" s="3" t="s">
        <v>18</v>
      </c>
      <c r="E17" s="3" t="s">
        <v>20</v>
      </c>
      <c r="F17" s="3" t="s">
        <v>19</v>
      </c>
      <c r="G17" s="3" t="s">
        <v>3</v>
      </c>
      <c r="H17" s="3" t="s">
        <v>4</v>
      </c>
      <c r="I17" s="3" t="s">
        <v>5</v>
      </c>
      <c r="J17" s="3" t="s">
        <v>6</v>
      </c>
      <c r="K17" s="3" t="s">
        <v>7</v>
      </c>
      <c r="L17" s="3" t="s">
        <v>8</v>
      </c>
    </row>
    <row r="18" spans="1:12" x14ac:dyDescent="0.45">
      <c r="A18" s="2" t="s">
        <v>9</v>
      </c>
      <c r="B18" s="6">
        <v>1.9478908188585609</v>
      </c>
      <c r="C18" s="5">
        <v>0.42679900744416871</v>
      </c>
      <c r="D18" s="7">
        <v>-1.1988784114915907E-2</v>
      </c>
      <c r="E18" s="5">
        <v>0.23573200992555832</v>
      </c>
      <c r="F18" s="6">
        <v>0.96277915632754341</v>
      </c>
      <c r="G18" s="5">
        <v>0.13647642679900746</v>
      </c>
      <c r="H18" s="5">
        <v>0.4466501240694789</v>
      </c>
      <c r="I18" s="5">
        <v>0.41687344913151364</v>
      </c>
      <c r="J18" s="5">
        <v>1.488833746898263E-2</v>
      </c>
      <c r="K18" s="5">
        <v>0.68238213399503722</v>
      </c>
      <c r="L18" s="5">
        <v>0.30272952853598017</v>
      </c>
    </row>
    <row r="19" spans="1:12" x14ac:dyDescent="0.45">
      <c r="A19" s="2" t="s">
        <v>10</v>
      </c>
      <c r="B19" s="6">
        <v>1.945409429280397</v>
      </c>
      <c r="C19" s="5">
        <v>0.41044776119402987</v>
      </c>
      <c r="D19" s="7">
        <v>-5.2666490930465382E-2</v>
      </c>
      <c r="E19" s="5">
        <v>0.10550226534819696</v>
      </c>
      <c r="F19" s="6">
        <v>0.74193548387096775</v>
      </c>
      <c r="G19" s="5">
        <v>0.11166253101736973</v>
      </c>
      <c r="H19" s="5">
        <v>0.41191066997518611</v>
      </c>
      <c r="I19" s="5">
        <v>0.47642679900744417</v>
      </c>
      <c r="J19" s="5">
        <v>9.9502487562189053E-3</v>
      </c>
      <c r="K19" s="5">
        <v>0.51741293532338306</v>
      </c>
      <c r="L19" s="5">
        <v>0.47263681592039802</v>
      </c>
    </row>
    <row r="20" spans="1:12" x14ac:dyDescent="0.45">
      <c r="A20" s="2" t="s">
        <v>11</v>
      </c>
      <c r="B20" s="6">
        <v>2.6277915632754341</v>
      </c>
      <c r="C20" s="5">
        <v>0.36567164179104478</v>
      </c>
      <c r="D20" s="7">
        <v>-1.4395224874990158E-2</v>
      </c>
      <c r="E20" s="5">
        <v>0.43620606644198356</v>
      </c>
      <c r="F20" s="6">
        <v>2.1885856079404467</v>
      </c>
      <c r="G20" s="5">
        <v>0.20595533498759305</v>
      </c>
      <c r="H20" s="5">
        <v>0.43920595533498757</v>
      </c>
      <c r="I20" s="5">
        <v>0.35483870967741937</v>
      </c>
      <c r="J20" s="5">
        <v>2.4875621890547263E-3</v>
      </c>
      <c r="K20" s="5">
        <v>0.20646766169154229</v>
      </c>
      <c r="L20" s="5">
        <v>0.79104477611940294</v>
      </c>
    </row>
    <row r="21" spans="1:12" x14ac:dyDescent="0.45">
      <c r="A21" s="2" t="s">
        <v>12</v>
      </c>
      <c r="B21" s="6">
        <v>1.8808933002481389</v>
      </c>
      <c r="C21" s="5">
        <v>0.48507462686567165</v>
      </c>
      <c r="D21" s="7">
        <v>-1.1084068762473262E-2</v>
      </c>
      <c r="E21" s="5">
        <v>0.48629063121118971</v>
      </c>
      <c r="F21" s="6">
        <v>1.5558312655086848</v>
      </c>
      <c r="G21" s="5">
        <v>5.2109181141439205E-2</v>
      </c>
      <c r="H21" s="5">
        <v>0.45905707196029777</v>
      </c>
      <c r="I21" s="5">
        <v>0.48883374689826303</v>
      </c>
      <c r="J21" s="5">
        <v>0</v>
      </c>
      <c r="K21" s="5">
        <v>2.4875621890547265E-2</v>
      </c>
      <c r="L21" s="5">
        <v>0.97512437810945274</v>
      </c>
    </row>
    <row r="22" spans="1:12" x14ac:dyDescent="0.45">
      <c r="A22" s="2" t="s">
        <v>13</v>
      </c>
      <c r="B22" s="6">
        <v>2.1066997518610422</v>
      </c>
      <c r="C22" s="5">
        <v>0.44029850746268656</v>
      </c>
      <c r="D22" s="7">
        <v>3.7041030493304247E-2</v>
      </c>
      <c r="E22" s="5">
        <v>0.22218312901991286</v>
      </c>
      <c r="F22" s="6">
        <v>1.4069478908188586</v>
      </c>
      <c r="G22" s="5">
        <v>0.14143920595533499</v>
      </c>
      <c r="H22" s="5">
        <v>0.54094292803970223</v>
      </c>
      <c r="I22" s="5">
        <v>0.31761786600496278</v>
      </c>
      <c r="J22" s="5">
        <v>0</v>
      </c>
      <c r="K22" s="5">
        <v>0.46019900497512439</v>
      </c>
      <c r="L22" s="5">
        <v>0.53980099502487566</v>
      </c>
    </row>
    <row r="23" spans="1:12" x14ac:dyDescent="0.45">
      <c r="A23" s="2" t="s">
        <v>14</v>
      </c>
      <c r="B23" s="6">
        <v>2.4218362282878414</v>
      </c>
      <c r="C23" s="5">
        <v>0.40049751243781095</v>
      </c>
      <c r="D23" s="7">
        <v>7.3493365945826769E-2</v>
      </c>
      <c r="E23" s="5">
        <v>0.58802143130501339</v>
      </c>
      <c r="F23" s="6">
        <v>2.1687344913151363</v>
      </c>
      <c r="G23" s="5">
        <v>0.17369727047146402</v>
      </c>
      <c r="H23" s="5">
        <v>0.44168734491315137</v>
      </c>
      <c r="I23" s="5">
        <v>0.38461538461538464</v>
      </c>
      <c r="J23" s="5">
        <v>0</v>
      </c>
      <c r="K23" s="5">
        <v>2.736318407960199E-2</v>
      </c>
      <c r="L23" s="5">
        <v>0.97263681592039797</v>
      </c>
    </row>
    <row r="24" spans="1:12" x14ac:dyDescent="0.45">
      <c r="A24" s="2" t="s">
        <v>15</v>
      </c>
      <c r="B24" s="6">
        <v>2.4789081885856081</v>
      </c>
      <c r="C24" s="5">
        <v>0.4079601990049751</v>
      </c>
      <c r="D24" s="7">
        <v>3.613124132271929E-2</v>
      </c>
      <c r="E24" s="5">
        <v>0.30418626470624544</v>
      </c>
      <c r="F24" s="6">
        <v>1.8858560794044665</v>
      </c>
      <c r="G24" s="5">
        <v>0.17866004962779156</v>
      </c>
      <c r="H24" s="5">
        <v>0.53846153846153844</v>
      </c>
      <c r="I24" s="5">
        <v>0.28287841191066998</v>
      </c>
      <c r="J24" s="5">
        <v>2.4875621890547263E-3</v>
      </c>
      <c r="K24" s="5">
        <v>0.41044776119402987</v>
      </c>
      <c r="L24" s="5">
        <v>0.58706467661691542</v>
      </c>
    </row>
    <row r="25" spans="1:12" x14ac:dyDescent="0.45">
      <c r="A25" s="2" t="s">
        <v>16</v>
      </c>
      <c r="B25" s="6">
        <v>1.9727047146401986</v>
      </c>
      <c r="C25" s="5">
        <v>0.4228855721393035</v>
      </c>
      <c r="D25" s="7">
        <v>-1.5453521894237963E-2</v>
      </c>
      <c r="E25" s="5">
        <v>0.23955902867795015</v>
      </c>
      <c r="F25" s="6">
        <v>1.2605459057071959</v>
      </c>
      <c r="G25" s="5">
        <v>0.11414392059553349</v>
      </c>
      <c r="H25" s="5">
        <v>0.5831265508684863</v>
      </c>
      <c r="I25" s="5">
        <v>0.30272952853598017</v>
      </c>
      <c r="J25" s="5">
        <v>0</v>
      </c>
      <c r="K25" s="5">
        <v>0.45771144278606968</v>
      </c>
      <c r="L25" s="5">
        <v>0.54228855721393032</v>
      </c>
    </row>
    <row r="26" spans="1:12" x14ac:dyDescent="0.45">
      <c r="A26" s="2" t="s">
        <v>17</v>
      </c>
      <c r="B26" s="6">
        <v>2.2679900744416872</v>
      </c>
      <c r="C26" s="5">
        <v>0.44029850746268656</v>
      </c>
      <c r="D26" s="7">
        <v>3.1293693449258177E-2</v>
      </c>
      <c r="E26" s="5">
        <v>0.53589990494179229</v>
      </c>
      <c r="F26" s="6">
        <v>1.9106699751861043</v>
      </c>
      <c r="G26" s="5">
        <v>8.6848635235732011E-2</v>
      </c>
      <c r="H26" s="5">
        <v>0.4813895781637717</v>
      </c>
      <c r="I26" s="5">
        <v>0.4317617866004963</v>
      </c>
      <c r="J26" s="5">
        <v>0</v>
      </c>
      <c r="K26" s="5">
        <v>3.2338308457711441E-2</v>
      </c>
      <c r="L26" s="5">
        <v>0.96766169154228854</v>
      </c>
    </row>
    <row r="27" spans="1:12" x14ac:dyDescent="0.45">
      <c r="A27" s="2" t="s">
        <v>34</v>
      </c>
      <c r="B27" s="2">
        <v>0.75521551328003034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45">
      <c r="A28" s="2" t="s">
        <v>35</v>
      </c>
      <c r="B28" s="2">
        <v>0.85663082437276128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customHeight="1" x14ac:dyDescent="0.45"/>
    <row r="30" spans="1:12" x14ac:dyDescent="0.45">
      <c r="A30" s="4" t="s">
        <v>22</v>
      </c>
    </row>
    <row r="31" spans="1:12" x14ac:dyDescent="0.45">
      <c r="A31" s="3" t="s">
        <v>0</v>
      </c>
      <c r="B31" s="3" t="s">
        <v>1</v>
      </c>
      <c r="C31" s="3" t="s">
        <v>2</v>
      </c>
      <c r="D31" s="3" t="s">
        <v>18</v>
      </c>
      <c r="E31" s="3" t="s">
        <v>20</v>
      </c>
      <c r="F31" s="3" t="s">
        <v>19</v>
      </c>
      <c r="G31" s="3" t="s">
        <v>3</v>
      </c>
      <c r="H31" s="3" t="s">
        <v>4</v>
      </c>
      <c r="I31" s="3" t="s">
        <v>5</v>
      </c>
      <c r="J31" s="3" t="s">
        <v>6</v>
      </c>
      <c r="K31" s="3" t="s">
        <v>7</v>
      </c>
      <c r="L31" s="3" t="s">
        <v>8</v>
      </c>
    </row>
    <row r="32" spans="1:12" x14ac:dyDescent="0.45">
      <c r="A32" s="2" t="s">
        <v>9</v>
      </c>
      <c r="B32" s="6">
        <v>1.8585607940446651</v>
      </c>
      <c r="C32" s="5">
        <v>0.4640198511166253</v>
      </c>
      <c r="D32" s="7">
        <v>5.3237789086219262E-2</v>
      </c>
      <c r="E32" s="5">
        <v>0.27047146401985112</v>
      </c>
      <c r="F32" s="6">
        <v>0.92059553349875933</v>
      </c>
      <c r="G32" s="5">
        <v>0.13647642679900746</v>
      </c>
      <c r="H32" s="5">
        <v>0.4466501240694789</v>
      </c>
      <c r="I32" s="5">
        <v>0.41687344913151364</v>
      </c>
      <c r="J32" s="5">
        <v>2.4813895781637717E-3</v>
      </c>
      <c r="K32" s="5">
        <v>0.71712158808933002</v>
      </c>
      <c r="L32" s="5">
        <v>0.28039702233250619</v>
      </c>
    </row>
    <row r="33" spans="1:12" x14ac:dyDescent="0.45">
      <c r="A33" s="2" t="s">
        <v>10</v>
      </c>
      <c r="B33" s="6">
        <v>1.8883374689826302</v>
      </c>
      <c r="C33" s="5">
        <v>0.43920595533498757</v>
      </c>
      <c r="D33" s="7">
        <v>-2.7901254286529942E-3</v>
      </c>
      <c r="E33" s="5">
        <v>0.10421836228287842</v>
      </c>
      <c r="F33" s="6">
        <v>0.71464019851116622</v>
      </c>
      <c r="G33" s="5">
        <v>0.11166253101736973</v>
      </c>
      <c r="H33" s="5">
        <v>0.41191066997518611</v>
      </c>
      <c r="I33" s="5">
        <v>0.47642679900744417</v>
      </c>
      <c r="J33" s="5">
        <v>7.4441687344913151E-3</v>
      </c>
      <c r="K33" s="5">
        <v>0.51116625310173702</v>
      </c>
      <c r="L33" s="5">
        <v>0.4813895781637717</v>
      </c>
    </row>
    <row r="34" spans="1:12" x14ac:dyDescent="0.45">
      <c r="A34" s="2" t="s">
        <v>11</v>
      </c>
      <c r="B34" s="6">
        <v>2.5732009925558312</v>
      </c>
      <c r="C34" s="5">
        <v>0.38461538461538464</v>
      </c>
      <c r="D34" s="7">
        <v>2.1125567073383918E-2</v>
      </c>
      <c r="E34" s="5">
        <v>0.41191066997518611</v>
      </c>
      <c r="F34" s="6">
        <v>2.1910669975186106</v>
      </c>
      <c r="G34" s="5">
        <v>0.20595533498759305</v>
      </c>
      <c r="H34" s="5">
        <v>0.43920595533498757</v>
      </c>
      <c r="I34" s="5">
        <v>0.35483870967741937</v>
      </c>
      <c r="J34" s="5">
        <v>0</v>
      </c>
      <c r="K34" s="5">
        <v>0.23325062034739455</v>
      </c>
      <c r="L34" s="5">
        <v>0.76674937965260548</v>
      </c>
    </row>
    <row r="35" spans="1:12" x14ac:dyDescent="0.45">
      <c r="A35" s="2" t="s">
        <v>12</v>
      </c>
      <c r="B35" s="6">
        <v>1.9131513647642679</v>
      </c>
      <c r="C35" s="5">
        <v>0.48883374689826303</v>
      </c>
      <c r="D35" s="7">
        <v>5.7854459953361028E-3</v>
      </c>
      <c r="E35" s="5">
        <v>0.47146401985111663</v>
      </c>
      <c r="F35" s="6">
        <v>1.5086848635235732</v>
      </c>
      <c r="G35" s="5">
        <v>5.2109181141439205E-2</v>
      </c>
      <c r="H35" s="5">
        <v>0.45905707196029777</v>
      </c>
      <c r="I35" s="5">
        <v>0.48883374689826303</v>
      </c>
      <c r="J35" s="5">
        <v>0</v>
      </c>
      <c r="K35" s="5">
        <v>3.9702233250620347E-2</v>
      </c>
      <c r="L35" s="5">
        <v>0.96029776674937961</v>
      </c>
    </row>
    <row r="36" spans="1:12" x14ac:dyDescent="0.45">
      <c r="A36" s="2" t="s">
        <v>13</v>
      </c>
      <c r="B36" s="6">
        <v>2.0024813895781639</v>
      </c>
      <c r="C36" s="5">
        <v>0.43890274314214461</v>
      </c>
      <c r="D36" s="7">
        <v>1.5352541778144001E-2</v>
      </c>
      <c r="E36" s="5">
        <v>0.17614772002994991</v>
      </c>
      <c r="F36" s="6">
        <v>1.4565756823821341</v>
      </c>
      <c r="G36" s="5">
        <v>0.14143920595533499</v>
      </c>
      <c r="H36" s="5">
        <v>0.54094292803970223</v>
      </c>
      <c r="I36" s="5">
        <v>0.31761786600496278</v>
      </c>
      <c r="J36" s="5">
        <v>2.4937655860349127E-3</v>
      </c>
      <c r="K36" s="5">
        <v>0.50374064837905241</v>
      </c>
      <c r="L36" s="5">
        <v>0.49376558603491272</v>
      </c>
    </row>
    <row r="37" spans="1:12" x14ac:dyDescent="0.45">
      <c r="A37" s="2" t="s">
        <v>14</v>
      </c>
      <c r="B37" s="6">
        <v>2.4739454094292803</v>
      </c>
      <c r="C37" s="5">
        <v>0.37406483790523692</v>
      </c>
      <c r="D37" s="7">
        <v>-5.2597953764656577E-2</v>
      </c>
      <c r="E37" s="5">
        <v>0.56301553807788229</v>
      </c>
      <c r="F37" s="6">
        <v>2.1736972704714641</v>
      </c>
      <c r="G37" s="5">
        <v>0.17369727047146402</v>
      </c>
      <c r="H37" s="5">
        <v>0.44168734491315137</v>
      </c>
      <c r="I37" s="5">
        <v>0.38461538461538464</v>
      </c>
      <c r="J37" s="5">
        <v>0</v>
      </c>
      <c r="K37" s="5">
        <v>5.2369077306733167E-2</v>
      </c>
      <c r="L37" s="5">
        <v>0.94763092269326688</v>
      </c>
    </row>
    <row r="38" spans="1:12" x14ac:dyDescent="0.45">
      <c r="A38" s="2" t="s">
        <v>15</v>
      </c>
      <c r="B38" s="6">
        <v>2.4069478908188584</v>
      </c>
      <c r="C38" s="5">
        <v>0.37905236907730672</v>
      </c>
      <c r="D38" s="7">
        <v>-2.9957471925947478E-2</v>
      </c>
      <c r="E38" s="5">
        <v>0.28071261053322027</v>
      </c>
      <c r="F38" s="6">
        <v>1.903225806451613</v>
      </c>
      <c r="G38" s="5">
        <v>0.17866004962779156</v>
      </c>
      <c r="H38" s="5">
        <v>0.53846153846153844</v>
      </c>
      <c r="I38" s="5">
        <v>0.28287841191066998</v>
      </c>
      <c r="J38" s="5">
        <v>0</v>
      </c>
      <c r="K38" s="5">
        <v>0.43640897755610975</v>
      </c>
      <c r="L38" s="5">
        <v>0.56359102244389025</v>
      </c>
    </row>
    <row r="39" spans="1:12" x14ac:dyDescent="0.45">
      <c r="A39" s="2" t="s">
        <v>16</v>
      </c>
      <c r="B39" s="6">
        <v>1.9875930521091811</v>
      </c>
      <c r="C39" s="5">
        <v>0.4314214463840399</v>
      </c>
      <c r="D39" s="7">
        <v>-2.843779790704893E-2</v>
      </c>
      <c r="E39" s="5">
        <v>0.18854229191289762</v>
      </c>
      <c r="F39" s="6">
        <v>1.2630272952853598</v>
      </c>
      <c r="G39" s="5">
        <v>0.11414392059553349</v>
      </c>
      <c r="H39" s="5">
        <v>0.5831265508684863</v>
      </c>
      <c r="I39" s="5">
        <v>0.30272952853598017</v>
      </c>
      <c r="J39" s="5">
        <v>0</v>
      </c>
      <c r="K39" s="5">
        <v>0.50872817955112215</v>
      </c>
      <c r="L39" s="5">
        <v>0.49127182044887779</v>
      </c>
    </row>
    <row r="40" spans="1:12" x14ac:dyDescent="0.45">
      <c r="A40" s="2" t="s">
        <v>17</v>
      </c>
      <c r="B40" s="6">
        <v>2.2059553349875931</v>
      </c>
      <c r="C40" s="5">
        <v>0.43890274314214461</v>
      </c>
      <c r="D40" s="7">
        <v>2.4020844643995076E-2</v>
      </c>
      <c r="E40" s="5">
        <v>0.51586913609277052</v>
      </c>
      <c r="F40" s="6">
        <v>1.9702233250620347</v>
      </c>
      <c r="G40" s="5">
        <v>8.6848635235732011E-2</v>
      </c>
      <c r="H40" s="5">
        <v>0.4813895781637717</v>
      </c>
      <c r="I40" s="5">
        <v>0.4317617866004963</v>
      </c>
      <c r="J40" s="5">
        <v>2.4937655860349127E-3</v>
      </c>
      <c r="K40" s="5">
        <v>4.9875311720698257E-2</v>
      </c>
      <c r="L40" s="5">
        <v>0.94763092269326688</v>
      </c>
    </row>
    <row r="41" spans="1:12" x14ac:dyDescent="0.45">
      <c r="A41" s="2" t="s">
        <v>34</v>
      </c>
      <c r="B41" s="2">
        <v>0.75227460711331684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45">
      <c r="A42" s="2" t="s">
        <v>35</v>
      </c>
      <c r="B42" s="2">
        <v>0.84642955610697757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4" spans="1:12" x14ac:dyDescent="0.45">
      <c r="A44" s="4" t="s">
        <v>23</v>
      </c>
    </row>
    <row r="45" spans="1:12" x14ac:dyDescent="0.45">
      <c r="A45" s="3" t="s">
        <v>0</v>
      </c>
      <c r="B45" s="3" t="s">
        <v>1</v>
      </c>
      <c r="C45" s="3" t="s">
        <v>2</v>
      </c>
      <c r="D45" s="3" t="s">
        <v>18</v>
      </c>
      <c r="E45" s="3" t="s">
        <v>20</v>
      </c>
      <c r="F45" s="3" t="s">
        <v>19</v>
      </c>
      <c r="G45" s="3" t="s">
        <v>3</v>
      </c>
      <c r="H45" s="3" t="s">
        <v>4</v>
      </c>
      <c r="I45" s="3" t="s">
        <v>5</v>
      </c>
      <c r="J45" s="3" t="s">
        <v>6</v>
      </c>
      <c r="K45" s="3" t="s">
        <v>7</v>
      </c>
      <c r="L45" s="3" t="s">
        <v>8</v>
      </c>
    </row>
    <row r="46" spans="1:12" x14ac:dyDescent="0.45">
      <c r="A46" s="2" t="s">
        <v>9</v>
      </c>
      <c r="B46" s="6">
        <v>1.8808933002481389</v>
      </c>
      <c r="C46" s="5">
        <v>0.44168734491315137</v>
      </c>
      <c r="D46" s="7">
        <v>1.767904536434103E-2</v>
      </c>
      <c r="E46" s="5">
        <v>0.21339950372208438</v>
      </c>
      <c r="F46" s="6">
        <v>0.96277915632754341</v>
      </c>
      <c r="G46" s="5">
        <v>0.13647642679900746</v>
      </c>
      <c r="H46" s="5">
        <v>0.4466501240694789</v>
      </c>
      <c r="I46" s="5">
        <v>0.41687344913151364</v>
      </c>
      <c r="J46" s="5">
        <v>1.488833746898263E-2</v>
      </c>
      <c r="K46" s="5">
        <v>0.66004962779156329</v>
      </c>
      <c r="L46" s="5">
        <v>0.32506203473945411</v>
      </c>
    </row>
    <row r="47" spans="1:12" x14ac:dyDescent="0.45">
      <c r="A47" s="2" t="s">
        <v>10</v>
      </c>
      <c r="B47" s="6">
        <v>1.8734491315136477</v>
      </c>
      <c r="C47" s="5">
        <v>0.42431761786600497</v>
      </c>
      <c r="D47" s="7">
        <v>-2.4286577838750125E-2</v>
      </c>
      <c r="E47" s="5">
        <v>0.11910669975186106</v>
      </c>
      <c r="F47" s="6">
        <v>0.74193548387096775</v>
      </c>
      <c r="G47" s="5">
        <v>0.11166253101736973</v>
      </c>
      <c r="H47" s="5">
        <v>0.41191066997518611</v>
      </c>
      <c r="I47" s="5">
        <v>0.47642679900744417</v>
      </c>
      <c r="J47" s="5">
        <v>1.2406947890818859E-2</v>
      </c>
      <c r="K47" s="5">
        <v>0.53101736972704716</v>
      </c>
      <c r="L47" s="5">
        <v>0.45657568238213397</v>
      </c>
    </row>
    <row r="48" spans="1:12" x14ac:dyDescent="0.45">
      <c r="A48" s="2" t="s">
        <v>11</v>
      </c>
      <c r="B48" s="6">
        <v>2.5483870967741935</v>
      </c>
      <c r="C48" s="5">
        <v>0.40942928039702231</v>
      </c>
      <c r="D48" s="7">
        <v>8.9344456331111211E-2</v>
      </c>
      <c r="E48" s="5">
        <v>0.46153846153846156</v>
      </c>
      <c r="F48" s="6">
        <v>2.1885856079404467</v>
      </c>
      <c r="G48" s="5">
        <v>0.20595533498759305</v>
      </c>
      <c r="H48" s="5">
        <v>0.43920595533498757</v>
      </c>
      <c r="I48" s="5">
        <v>0.35483870967741937</v>
      </c>
      <c r="J48" s="5">
        <v>0</v>
      </c>
      <c r="K48" s="5">
        <v>0.18362282878411912</v>
      </c>
      <c r="L48" s="5">
        <v>0.81637717121588094</v>
      </c>
    </row>
    <row r="49" spans="1:12" x14ac:dyDescent="0.45">
      <c r="A49" s="2" t="s">
        <v>12</v>
      </c>
      <c r="B49" s="6">
        <v>1.9131513647642679</v>
      </c>
      <c r="C49" s="5">
        <v>0.49627791563275436</v>
      </c>
      <c r="D49" s="7">
        <v>4.1359486483067649E-2</v>
      </c>
      <c r="E49" s="5">
        <v>0.46898263027295284</v>
      </c>
      <c r="F49" s="6">
        <v>1.5558312655086848</v>
      </c>
      <c r="G49" s="5">
        <v>5.2109181141439205E-2</v>
      </c>
      <c r="H49" s="5">
        <v>0.45905707196029777</v>
      </c>
      <c r="I49" s="5">
        <v>0.48883374689826303</v>
      </c>
      <c r="J49" s="5">
        <v>0</v>
      </c>
      <c r="K49" s="5">
        <v>4.2183622828784122E-2</v>
      </c>
      <c r="L49" s="5">
        <v>0.95781637717121593</v>
      </c>
    </row>
    <row r="50" spans="1:12" x14ac:dyDescent="0.45">
      <c r="A50" s="2" t="s">
        <v>13</v>
      </c>
      <c r="B50" s="6">
        <v>2.1091811414392061</v>
      </c>
      <c r="C50" s="5">
        <v>0.4228855721393035</v>
      </c>
      <c r="D50" s="7">
        <v>1.4817806011850346E-2</v>
      </c>
      <c r="E50" s="5">
        <v>0.24208362653235063</v>
      </c>
      <c r="F50" s="6">
        <v>1.4069478908188586</v>
      </c>
      <c r="G50" s="5">
        <v>0.14143920595533499</v>
      </c>
      <c r="H50" s="5">
        <v>0.54094292803970223</v>
      </c>
      <c r="I50" s="5">
        <v>0.31761786600496278</v>
      </c>
      <c r="J50" s="5">
        <v>2.4875621890547263E-3</v>
      </c>
      <c r="K50" s="5">
        <v>0.43781094527363185</v>
      </c>
      <c r="L50" s="5">
        <v>0.55970149253731338</v>
      </c>
    </row>
    <row r="51" spans="1:12" x14ac:dyDescent="0.45">
      <c r="A51" s="2" t="s">
        <v>14</v>
      </c>
      <c r="B51" s="6">
        <v>2.4565756823821339</v>
      </c>
      <c r="C51" s="5">
        <v>0.37810945273631841</v>
      </c>
      <c r="D51" s="7">
        <v>-3.3282772743558939E-2</v>
      </c>
      <c r="E51" s="5">
        <v>0.57309605817068499</v>
      </c>
      <c r="F51" s="6">
        <v>2.1687344913151363</v>
      </c>
      <c r="G51" s="5">
        <v>0.17369727047146402</v>
      </c>
      <c r="H51" s="5">
        <v>0.44168734491315137</v>
      </c>
      <c r="I51" s="5">
        <v>0.38461538461538464</v>
      </c>
      <c r="J51" s="5">
        <v>0</v>
      </c>
      <c r="K51" s="5">
        <v>4.228855721393035E-2</v>
      </c>
      <c r="L51" s="5">
        <v>0.95771144278606968</v>
      </c>
    </row>
    <row r="52" spans="1:12" x14ac:dyDescent="0.45">
      <c r="A52" s="2" t="s">
        <v>15</v>
      </c>
      <c r="B52" s="6">
        <v>2.4516129032258065</v>
      </c>
      <c r="C52" s="5">
        <v>0.41044776119402987</v>
      </c>
      <c r="D52" s="7">
        <v>4.5562344057975775E-2</v>
      </c>
      <c r="E52" s="5">
        <v>0.31164895127340964</v>
      </c>
      <c r="F52" s="6">
        <v>1.8858560794044665</v>
      </c>
      <c r="G52" s="5">
        <v>0.17866004962779156</v>
      </c>
      <c r="H52" s="5">
        <v>0.53846153846153844</v>
      </c>
      <c r="I52" s="5">
        <v>0.28287841191066998</v>
      </c>
      <c r="J52" s="5">
        <v>0</v>
      </c>
      <c r="K52" s="5">
        <v>0.40547263681592038</v>
      </c>
      <c r="L52" s="5">
        <v>0.59452736318407962</v>
      </c>
    </row>
    <row r="53" spans="1:12" x14ac:dyDescent="0.45">
      <c r="A53" s="2" t="s">
        <v>16</v>
      </c>
      <c r="B53" s="6">
        <v>1.935483870967742</v>
      </c>
      <c r="C53" s="5">
        <v>0.47014925373134331</v>
      </c>
      <c r="D53" s="7">
        <v>6.9524555991641701E-2</v>
      </c>
      <c r="E53" s="5">
        <v>0.22960877992173129</v>
      </c>
      <c r="F53" s="6">
        <v>1.2605459057071959</v>
      </c>
      <c r="G53" s="5">
        <v>0.11414392059553349</v>
      </c>
      <c r="H53" s="5">
        <v>0.5831265508684863</v>
      </c>
      <c r="I53" s="5">
        <v>0.30272952853598017</v>
      </c>
      <c r="J53" s="5">
        <v>0</v>
      </c>
      <c r="K53" s="5">
        <v>0.46766169154228854</v>
      </c>
      <c r="L53" s="5">
        <v>0.53233830845771146</v>
      </c>
    </row>
    <row r="54" spans="1:12" x14ac:dyDescent="0.45">
      <c r="A54" s="2" t="s">
        <v>17</v>
      </c>
      <c r="B54" s="6">
        <v>2.2605459057071959</v>
      </c>
      <c r="C54" s="5">
        <v>0.43283582089552236</v>
      </c>
      <c r="D54" s="7">
        <v>4.2103819068303322E-3</v>
      </c>
      <c r="E54" s="5">
        <v>0.53589990494179229</v>
      </c>
      <c r="F54" s="6">
        <v>1.9106699751861043</v>
      </c>
      <c r="G54" s="5">
        <v>8.6848635235732011E-2</v>
      </c>
      <c r="H54" s="5">
        <v>0.4813895781637717</v>
      </c>
      <c r="I54" s="5">
        <v>0.4317617866004963</v>
      </c>
      <c r="J54" s="5">
        <v>0</v>
      </c>
      <c r="K54" s="5">
        <v>3.2338308457711441E-2</v>
      </c>
      <c r="L54" s="5">
        <v>0.96766169154228854</v>
      </c>
    </row>
    <row r="55" spans="1:12" x14ac:dyDescent="0.45">
      <c r="A55" s="2" t="s">
        <v>34</v>
      </c>
      <c r="B55" s="2">
        <v>0.75771987868762158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45">
      <c r="A56" s="2" t="s">
        <v>35</v>
      </c>
      <c r="B56" s="2">
        <v>0.86131789357596089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8" spans="1:12" x14ac:dyDescent="0.45">
      <c r="A58" s="4" t="s">
        <v>24</v>
      </c>
    </row>
    <row r="59" spans="1:12" x14ac:dyDescent="0.45">
      <c r="A59" s="3" t="s">
        <v>0</v>
      </c>
      <c r="B59" s="3" t="s">
        <v>1</v>
      </c>
      <c r="C59" s="3" t="s">
        <v>2</v>
      </c>
      <c r="D59" s="3" t="s">
        <v>18</v>
      </c>
      <c r="E59" s="3" t="s">
        <v>20</v>
      </c>
      <c r="F59" s="3" t="s">
        <v>19</v>
      </c>
      <c r="G59" s="3" t="s">
        <v>3</v>
      </c>
      <c r="H59" s="3" t="s">
        <v>4</v>
      </c>
      <c r="I59" s="3" t="s">
        <v>5</v>
      </c>
      <c r="J59" s="3" t="s">
        <v>6</v>
      </c>
      <c r="K59" s="3" t="s">
        <v>7</v>
      </c>
      <c r="L59" s="3" t="s">
        <v>8</v>
      </c>
    </row>
    <row r="60" spans="1:12" x14ac:dyDescent="0.45">
      <c r="A60" s="2" t="s">
        <v>9</v>
      </c>
      <c r="B60" s="6">
        <v>1.9602977667493797</v>
      </c>
      <c r="C60" s="5">
        <v>0.4143920595533499</v>
      </c>
      <c r="D60" s="7">
        <v>-3.4629913321421582E-2</v>
      </c>
      <c r="E60" s="5">
        <v>0.22084367245657568</v>
      </c>
      <c r="F60" s="6">
        <v>0.96277915632754341</v>
      </c>
      <c r="G60" s="5">
        <v>0.13647642679900746</v>
      </c>
      <c r="H60" s="5">
        <v>0.4466501240694789</v>
      </c>
      <c r="I60" s="5">
        <v>0.41687344913151364</v>
      </c>
      <c r="J60" s="5">
        <v>1.488833746898263E-2</v>
      </c>
      <c r="K60" s="5">
        <v>0.66749379652605456</v>
      </c>
      <c r="L60" s="5">
        <v>0.31761786600496278</v>
      </c>
    </row>
    <row r="61" spans="1:12" x14ac:dyDescent="0.45">
      <c r="A61" s="2" t="s">
        <v>10</v>
      </c>
      <c r="B61" s="6">
        <v>1.8808933002481389</v>
      </c>
      <c r="C61" s="5">
        <v>0.42183622828784118</v>
      </c>
      <c r="D61" s="7">
        <v>-3.684460626368391E-2</v>
      </c>
      <c r="E61" s="5">
        <v>0.10669975186104219</v>
      </c>
      <c r="F61" s="6">
        <v>0.74193548387096775</v>
      </c>
      <c r="G61" s="5">
        <v>0.11166253101736973</v>
      </c>
      <c r="H61" s="5">
        <v>0.41191066997518611</v>
      </c>
      <c r="I61" s="5">
        <v>0.47642679900744417</v>
      </c>
      <c r="J61" s="5">
        <v>4.9627791563275434E-3</v>
      </c>
      <c r="K61" s="5">
        <v>0.50620347394540943</v>
      </c>
      <c r="L61" s="5">
        <v>0.48883374689826303</v>
      </c>
    </row>
    <row r="62" spans="1:12" x14ac:dyDescent="0.45">
      <c r="A62" s="2" t="s">
        <v>11</v>
      </c>
      <c r="B62" s="6">
        <v>2.6923076923076925</v>
      </c>
      <c r="C62" s="5">
        <v>0.35732009925558311</v>
      </c>
      <c r="D62" s="7">
        <v>-3.1327631002539567E-2</v>
      </c>
      <c r="E62" s="5">
        <v>0.4491315136476427</v>
      </c>
      <c r="F62" s="6">
        <v>2.1885856079404467</v>
      </c>
      <c r="G62" s="5">
        <v>0.20595533498759305</v>
      </c>
      <c r="H62" s="5">
        <v>0.43920595533498757</v>
      </c>
      <c r="I62" s="5">
        <v>0.35483870967741937</v>
      </c>
      <c r="J62" s="5">
        <v>0</v>
      </c>
      <c r="K62" s="5">
        <v>0.19602977667493796</v>
      </c>
      <c r="L62" s="5">
        <v>0.80397022332506207</v>
      </c>
    </row>
    <row r="63" spans="1:12" x14ac:dyDescent="0.45">
      <c r="A63" s="2" t="s">
        <v>12</v>
      </c>
      <c r="B63" s="6">
        <v>1.8883374689826302</v>
      </c>
      <c r="C63" s="5">
        <v>0.49131513647642677</v>
      </c>
      <c r="D63" s="7">
        <v>1.7516124997030542E-2</v>
      </c>
      <c r="E63" s="5">
        <v>0.4640198511166253</v>
      </c>
      <c r="F63" s="6">
        <v>1.5558312655086848</v>
      </c>
      <c r="G63" s="5">
        <v>5.2109181141439205E-2</v>
      </c>
      <c r="H63" s="5">
        <v>0.45905707196029777</v>
      </c>
      <c r="I63" s="5">
        <v>0.48883374689826303</v>
      </c>
      <c r="J63" s="5">
        <v>0</v>
      </c>
      <c r="K63" s="5">
        <v>4.7146401985111663E-2</v>
      </c>
      <c r="L63" s="5">
        <v>0.95285359801488834</v>
      </c>
    </row>
    <row r="64" spans="1:12" x14ac:dyDescent="0.45">
      <c r="A64" s="2" t="s">
        <v>13</v>
      </c>
      <c r="B64" s="6">
        <v>2.1861042183622827</v>
      </c>
      <c r="C64" s="5">
        <v>0.41895261845386533</v>
      </c>
      <c r="D64" s="7">
        <v>1.0876869716755066E-2</v>
      </c>
      <c r="E64" s="5">
        <v>0.24846692202496243</v>
      </c>
      <c r="F64" s="6">
        <v>1.4069478908188586</v>
      </c>
      <c r="G64" s="5">
        <v>0.14143920595533499</v>
      </c>
      <c r="H64" s="5">
        <v>0.54094292803970223</v>
      </c>
      <c r="I64" s="5">
        <v>0.31761786600496278</v>
      </c>
      <c r="J64" s="5">
        <v>2.4937655860349127E-3</v>
      </c>
      <c r="K64" s="5">
        <v>0.4314214463840399</v>
      </c>
      <c r="L64" s="5">
        <v>0.56608478802992523</v>
      </c>
    </row>
    <row r="65" spans="1:12" x14ac:dyDescent="0.45">
      <c r="A65" s="2" t="s">
        <v>14</v>
      </c>
      <c r="B65" s="6">
        <v>2.4615384615384617</v>
      </c>
      <c r="C65" s="5">
        <v>0.38154613466334164</v>
      </c>
      <c r="D65" s="7">
        <v>-2.1815748385419175E-2</v>
      </c>
      <c r="E65" s="5">
        <v>0.57548436600805686</v>
      </c>
      <c r="F65" s="6">
        <v>2.1687344913151363</v>
      </c>
      <c r="G65" s="5">
        <v>0.17369727047146402</v>
      </c>
      <c r="H65" s="5">
        <v>0.44168734491315137</v>
      </c>
      <c r="I65" s="5">
        <v>0.38461538461538464</v>
      </c>
      <c r="J65" s="5">
        <v>0</v>
      </c>
      <c r="K65" s="5">
        <v>3.9900249376558602E-2</v>
      </c>
      <c r="L65" s="5">
        <v>0.96009975062344144</v>
      </c>
    </row>
    <row r="66" spans="1:12" x14ac:dyDescent="0.45">
      <c r="A66" s="2" t="s">
        <v>15</v>
      </c>
      <c r="B66" s="6">
        <v>2.5186104218362284</v>
      </c>
      <c r="C66" s="5">
        <v>0.40897755610972569</v>
      </c>
      <c r="D66" s="7">
        <v>4.2388845090714423E-2</v>
      </c>
      <c r="E66" s="5">
        <v>0.31063779756563925</v>
      </c>
      <c r="F66" s="6">
        <v>1.8858560794044665</v>
      </c>
      <c r="G66" s="5">
        <v>0.17866004962779156</v>
      </c>
      <c r="H66" s="5">
        <v>0.53846153846153844</v>
      </c>
      <c r="I66" s="5">
        <v>0.28287841191066998</v>
      </c>
      <c r="J66" s="5">
        <v>0</v>
      </c>
      <c r="K66" s="5">
        <v>0.40648379052369077</v>
      </c>
      <c r="L66" s="5">
        <v>0.59351620947630923</v>
      </c>
    </row>
    <row r="67" spans="1:12" x14ac:dyDescent="0.45">
      <c r="A67" s="2" t="s">
        <v>16</v>
      </c>
      <c r="B67" s="6">
        <v>1.9875930521091811</v>
      </c>
      <c r="C67" s="5">
        <v>0.42394014962593518</v>
      </c>
      <c r="D67" s="7">
        <v>-3.6162978154189312E-2</v>
      </c>
      <c r="E67" s="5">
        <v>0.19602358867100239</v>
      </c>
      <c r="F67" s="6">
        <v>1.2605459057071959</v>
      </c>
      <c r="G67" s="5">
        <v>0.11414392059553349</v>
      </c>
      <c r="H67" s="5">
        <v>0.5831265508684863</v>
      </c>
      <c r="I67" s="5">
        <v>0.30272952853598017</v>
      </c>
      <c r="J67" s="5">
        <v>0</v>
      </c>
      <c r="K67" s="5">
        <v>0.50124688279301743</v>
      </c>
      <c r="L67" s="5">
        <v>0.49875311720698257</v>
      </c>
    </row>
    <row r="68" spans="1:12" x14ac:dyDescent="0.45">
      <c r="A68" s="2" t="s">
        <v>17</v>
      </c>
      <c r="B68" s="6">
        <v>2.2431761786600495</v>
      </c>
      <c r="C68" s="5">
        <v>0.4375</v>
      </c>
      <c r="D68" s="7">
        <v>1.1232490817690528E-2</v>
      </c>
      <c r="E68" s="5">
        <v>0.5182382133995036</v>
      </c>
      <c r="F68" s="6">
        <v>1.9106699751861043</v>
      </c>
      <c r="G68" s="5">
        <v>8.6848635235732011E-2</v>
      </c>
      <c r="H68" s="5">
        <v>0.4813895781637717</v>
      </c>
      <c r="I68" s="5">
        <v>0.4317617866004963</v>
      </c>
      <c r="J68" s="5">
        <v>0</v>
      </c>
      <c r="K68" s="5">
        <v>0.05</v>
      </c>
      <c r="L68" s="5">
        <v>0.95</v>
      </c>
    </row>
    <row r="69" spans="1:12" x14ac:dyDescent="0.45">
      <c r="A69" s="2" t="s">
        <v>34</v>
      </c>
      <c r="B69" s="2">
        <v>0.7564102564102575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45">
      <c r="A70" s="2" t="s">
        <v>35</v>
      </c>
      <c r="B70" s="2">
        <v>0.84835952577888252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2" spans="1:12" x14ac:dyDescent="0.45">
      <c r="A72" s="4" t="s">
        <v>25</v>
      </c>
    </row>
    <row r="73" spans="1:12" x14ac:dyDescent="0.45">
      <c r="A73" s="3" t="s">
        <v>0</v>
      </c>
      <c r="B73" s="3" t="s">
        <v>1</v>
      </c>
      <c r="C73" s="3" t="s">
        <v>2</v>
      </c>
      <c r="D73" s="3" t="s">
        <v>18</v>
      </c>
      <c r="E73" s="3" t="s">
        <v>20</v>
      </c>
      <c r="F73" s="3" t="s">
        <v>19</v>
      </c>
      <c r="G73" s="3" t="s">
        <v>3</v>
      </c>
      <c r="H73" s="3" t="s">
        <v>4</v>
      </c>
      <c r="I73" s="3" t="s">
        <v>5</v>
      </c>
      <c r="J73" s="3" t="s">
        <v>6</v>
      </c>
      <c r="K73" s="3" t="s">
        <v>7</v>
      </c>
      <c r="L73" s="3" t="s">
        <v>8</v>
      </c>
    </row>
    <row r="74" spans="1:12" x14ac:dyDescent="0.45">
      <c r="A74" s="2" t="s">
        <v>9</v>
      </c>
      <c r="B74" s="6">
        <v>1.9280397022332507</v>
      </c>
      <c r="C74" s="5">
        <v>0.42431761786600497</v>
      </c>
      <c r="D74" s="7">
        <v>-1.9408656441905845E-2</v>
      </c>
      <c r="E74" s="5">
        <v>0.27047146401985112</v>
      </c>
      <c r="F74" s="6">
        <v>0.96277915632754341</v>
      </c>
      <c r="G74" s="5">
        <v>0.13647642679900746</v>
      </c>
      <c r="H74" s="5">
        <v>0.4466501240694789</v>
      </c>
      <c r="I74" s="5">
        <v>0.41687344913151364</v>
      </c>
      <c r="J74" s="5">
        <v>1.488833746898263E-2</v>
      </c>
      <c r="K74" s="5">
        <v>0.71712158808933002</v>
      </c>
      <c r="L74" s="5">
        <v>0.26799007444168732</v>
      </c>
    </row>
    <row r="75" spans="1:12" x14ac:dyDescent="0.45">
      <c r="A75" s="2" t="s">
        <v>10</v>
      </c>
      <c r="B75" s="6">
        <v>1.903225806451613</v>
      </c>
      <c r="C75" s="5">
        <v>0.42679900744416871</v>
      </c>
      <c r="D75" s="7">
        <v>-1.976370775140433E-2</v>
      </c>
      <c r="E75" s="5">
        <v>0.11910669975186106</v>
      </c>
      <c r="F75" s="6">
        <v>0.74193548387096775</v>
      </c>
      <c r="G75" s="5">
        <v>0.11166253101736973</v>
      </c>
      <c r="H75" s="5">
        <v>0.41191066997518611</v>
      </c>
      <c r="I75" s="5">
        <v>0.47642679900744417</v>
      </c>
      <c r="J75" s="5">
        <v>1.2406947890818859E-2</v>
      </c>
      <c r="K75" s="5">
        <v>0.53101736972704716</v>
      </c>
      <c r="L75" s="5">
        <v>0.45657568238213397</v>
      </c>
    </row>
    <row r="76" spans="1:12" x14ac:dyDescent="0.45">
      <c r="A76" s="2" t="s">
        <v>11</v>
      </c>
      <c r="B76" s="6">
        <v>2.5459057071960296</v>
      </c>
      <c r="C76" s="5">
        <v>0.40198511166253104</v>
      </c>
      <c r="D76" s="7">
        <v>6.939694866752312E-2</v>
      </c>
      <c r="E76" s="5">
        <v>0.4491315136476427</v>
      </c>
      <c r="F76" s="6">
        <v>2.1885856079404467</v>
      </c>
      <c r="G76" s="5">
        <v>0.20595533498759305</v>
      </c>
      <c r="H76" s="5">
        <v>0.43920595533498757</v>
      </c>
      <c r="I76" s="5">
        <v>0.35483870967741937</v>
      </c>
      <c r="J76" s="5">
        <v>2.4813895781637717E-3</v>
      </c>
      <c r="K76" s="5">
        <v>0.19354838709677419</v>
      </c>
      <c r="L76" s="5">
        <v>0.80397022332506207</v>
      </c>
    </row>
    <row r="77" spans="1:12" x14ac:dyDescent="0.45">
      <c r="A77" s="2" t="s">
        <v>12</v>
      </c>
      <c r="B77" s="6">
        <v>1.8263027295285359</v>
      </c>
      <c r="C77" s="5">
        <v>0.50124069478908184</v>
      </c>
      <c r="D77" s="7">
        <v>7.4735118888747371E-2</v>
      </c>
      <c r="E77" s="5">
        <v>0.4813895781637717</v>
      </c>
      <c r="F77" s="6">
        <v>1.5558312655086848</v>
      </c>
      <c r="G77" s="5">
        <v>5.2109181141439205E-2</v>
      </c>
      <c r="H77" s="5">
        <v>0.45905707196029777</v>
      </c>
      <c r="I77" s="5">
        <v>0.48883374689826303</v>
      </c>
      <c r="J77" s="5">
        <v>0</v>
      </c>
      <c r="K77" s="5">
        <v>2.9776674937965261E-2</v>
      </c>
      <c r="L77" s="5">
        <v>0.97022332506203479</v>
      </c>
    </row>
    <row r="78" spans="1:12" x14ac:dyDescent="0.45">
      <c r="A78" s="2" t="s">
        <v>13</v>
      </c>
      <c r="B78" s="6">
        <v>2.096774193548387</v>
      </c>
      <c r="C78" s="5">
        <v>0.45635910224438903</v>
      </c>
      <c r="D78" s="7">
        <v>6.2073879883885574E-2</v>
      </c>
      <c r="E78" s="5">
        <v>0.19360407913219435</v>
      </c>
      <c r="F78" s="6">
        <v>1.4069478908188586</v>
      </c>
      <c r="G78" s="5">
        <v>0.14143920595533499</v>
      </c>
      <c r="H78" s="5">
        <v>0.54094292803970223</v>
      </c>
      <c r="I78" s="5">
        <v>0.31761786600496278</v>
      </c>
      <c r="J78" s="5">
        <v>9.9750623441396506E-3</v>
      </c>
      <c r="K78" s="5">
        <v>0.47880299251870323</v>
      </c>
      <c r="L78" s="5">
        <v>0.51122194513715713</v>
      </c>
    </row>
    <row r="79" spans="1:12" x14ac:dyDescent="0.45">
      <c r="A79" s="2" t="s">
        <v>14</v>
      </c>
      <c r="B79" s="6">
        <v>2.498759305210918</v>
      </c>
      <c r="C79" s="5">
        <v>0.35910224438902744</v>
      </c>
      <c r="D79" s="7">
        <v>-0.10529543557224114</v>
      </c>
      <c r="E79" s="5">
        <v>0.5530404757337426</v>
      </c>
      <c r="F79" s="6">
        <v>2.1687344913151363</v>
      </c>
      <c r="G79" s="5">
        <v>0.17369727047146402</v>
      </c>
      <c r="H79" s="5">
        <v>0.44168734491315137</v>
      </c>
      <c r="I79" s="5">
        <v>0.38461538461538464</v>
      </c>
      <c r="J79" s="5">
        <v>0</v>
      </c>
      <c r="K79" s="5">
        <v>6.2344139650872821E-2</v>
      </c>
      <c r="L79" s="5">
        <v>0.93765586034912718</v>
      </c>
    </row>
    <row r="80" spans="1:12" x14ac:dyDescent="0.45">
      <c r="A80" s="2" t="s">
        <v>15</v>
      </c>
      <c r="B80" s="6">
        <v>2.4565756823821339</v>
      </c>
      <c r="C80" s="5">
        <v>0.3940149625935162</v>
      </c>
      <c r="D80" s="7">
        <v>3.0562594002046624E-3</v>
      </c>
      <c r="E80" s="5">
        <v>0.2832063761192552</v>
      </c>
      <c r="F80" s="6">
        <v>1.8858560794044665</v>
      </c>
      <c r="G80" s="5">
        <v>0.17866004962779156</v>
      </c>
      <c r="H80" s="5">
        <v>0.53846153846153844</v>
      </c>
      <c r="I80" s="5">
        <v>0.28287841191066998</v>
      </c>
      <c r="J80" s="5">
        <v>2.4937655860349127E-3</v>
      </c>
      <c r="K80" s="5">
        <v>0.4314214463840399</v>
      </c>
      <c r="L80" s="5">
        <v>0.56608478802992523</v>
      </c>
    </row>
    <row r="81" spans="1:12" x14ac:dyDescent="0.45">
      <c r="A81" s="2" t="s">
        <v>16</v>
      </c>
      <c r="B81" s="6">
        <v>2.0049627791563274</v>
      </c>
      <c r="C81" s="5">
        <v>0.43391521197007482</v>
      </c>
      <c r="D81" s="7">
        <v>1.083245373225384E-2</v>
      </c>
      <c r="E81" s="5">
        <v>0.24839266597773552</v>
      </c>
      <c r="F81" s="6">
        <v>1.2605459057071959</v>
      </c>
      <c r="G81" s="5">
        <v>0.11414392059553349</v>
      </c>
      <c r="H81" s="5">
        <v>0.5831265508684863</v>
      </c>
      <c r="I81" s="5">
        <v>0.30272952853598017</v>
      </c>
      <c r="J81" s="5">
        <v>0</v>
      </c>
      <c r="K81" s="5">
        <v>0.44887780548628431</v>
      </c>
      <c r="L81" s="5">
        <v>0.55112219451371569</v>
      </c>
    </row>
    <row r="82" spans="1:12" x14ac:dyDescent="0.45">
      <c r="A82" s="2" t="s">
        <v>17</v>
      </c>
      <c r="B82" s="6">
        <v>2.2655086848635237</v>
      </c>
      <c r="C82" s="5">
        <v>0.43391521197007482</v>
      </c>
      <c r="D82" s="7">
        <v>3.0877050542259814E-3</v>
      </c>
      <c r="E82" s="5">
        <v>0.53083172960897995</v>
      </c>
      <c r="F82" s="6">
        <v>1.9106699751861043</v>
      </c>
      <c r="G82" s="5">
        <v>8.6848635235732011E-2</v>
      </c>
      <c r="H82" s="5">
        <v>0.4813895781637717</v>
      </c>
      <c r="I82" s="5">
        <v>0.4317617866004963</v>
      </c>
      <c r="J82" s="5">
        <v>0</v>
      </c>
      <c r="K82" s="5">
        <v>3.7406483790523692E-2</v>
      </c>
      <c r="L82" s="5">
        <v>0.96259351620947631</v>
      </c>
    </row>
    <row r="83" spans="1:12" x14ac:dyDescent="0.45">
      <c r="A83" s="2" t="s">
        <v>34</v>
      </c>
      <c r="B83" s="2">
        <v>0.753124712802133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45">
      <c r="A84" s="2" t="s">
        <v>35</v>
      </c>
      <c r="B84" s="2">
        <v>0.85249517507582218</v>
      </c>
      <c r="C84" s="2"/>
      <c r="D84" s="2"/>
      <c r="E84" s="2"/>
      <c r="F84" s="2"/>
      <c r="G84" s="2"/>
      <c r="H84" s="2"/>
      <c r="I84" s="2"/>
      <c r="J84" s="2"/>
      <c r="K84" s="2"/>
      <c r="L84" s="2"/>
    </row>
    <row r="88" spans="1:12" x14ac:dyDescent="0.45">
      <c r="A88" s="4" t="s">
        <v>41</v>
      </c>
    </row>
    <row r="89" spans="1:12" x14ac:dyDescent="0.45">
      <c r="A89" s="19" t="s">
        <v>21</v>
      </c>
      <c r="B89" s="19"/>
      <c r="C89" s="19"/>
      <c r="D89" s="19"/>
      <c r="E89" s="19"/>
      <c r="F89" s="19"/>
      <c r="G89" s="19"/>
      <c r="H89" s="19"/>
      <c r="I89" s="19"/>
      <c r="J89" s="19"/>
    </row>
    <row r="90" spans="1:12" x14ac:dyDescent="0.45">
      <c r="A90" s="14" t="s">
        <v>9</v>
      </c>
      <c r="B90" s="14" t="s">
        <v>42</v>
      </c>
      <c r="C90" s="14" t="s">
        <v>43</v>
      </c>
      <c r="D90" s="14" t="s">
        <v>44</v>
      </c>
      <c r="E90" s="14">
        <v>403</v>
      </c>
      <c r="G90" s="14" t="s">
        <v>9</v>
      </c>
      <c r="H90" s="14" t="s">
        <v>42</v>
      </c>
      <c r="I90" s="14" t="s">
        <v>43</v>
      </c>
      <c r="J90" s="14" t="s">
        <v>44</v>
      </c>
    </row>
    <row r="91" spans="1:12" x14ac:dyDescent="0.45">
      <c r="A91" s="2" t="s">
        <v>45</v>
      </c>
      <c r="B91" s="2">
        <v>6</v>
      </c>
      <c r="C91" s="2">
        <v>256</v>
      </c>
      <c r="D91" s="2">
        <v>115</v>
      </c>
      <c r="E91" s="2">
        <v>377</v>
      </c>
      <c r="G91" s="2" t="s">
        <v>45</v>
      </c>
      <c r="H91" s="13">
        <v>1.5915119363395226E-2</v>
      </c>
      <c r="I91" s="13">
        <v>0.67904509283819625</v>
      </c>
      <c r="J91" s="13">
        <v>0.30503978779840851</v>
      </c>
    </row>
    <row r="92" spans="1:12" x14ac:dyDescent="0.45">
      <c r="A92" s="2" t="s">
        <v>46</v>
      </c>
      <c r="B92" s="2">
        <v>0</v>
      </c>
      <c r="C92" s="2">
        <v>19</v>
      </c>
      <c r="D92" s="2">
        <v>7</v>
      </c>
      <c r="E92" s="2">
        <v>26</v>
      </c>
      <c r="G92" s="2" t="s">
        <v>46</v>
      </c>
      <c r="H92" s="13">
        <v>0</v>
      </c>
      <c r="I92" s="13">
        <v>0.73076923076923073</v>
      </c>
      <c r="J92" s="13">
        <v>0.26923076923076922</v>
      </c>
    </row>
    <row r="94" spans="1:12" x14ac:dyDescent="0.45">
      <c r="A94" s="14" t="s">
        <v>10</v>
      </c>
      <c r="B94" s="14" t="s">
        <v>42</v>
      </c>
      <c r="C94" s="14" t="s">
        <v>43</v>
      </c>
      <c r="D94" s="14" t="s">
        <v>44</v>
      </c>
      <c r="E94" s="14">
        <v>402</v>
      </c>
      <c r="G94" s="14" t="s">
        <v>10</v>
      </c>
      <c r="H94" s="14" t="s">
        <v>42</v>
      </c>
      <c r="I94" s="14" t="s">
        <v>43</v>
      </c>
      <c r="J94" s="14" t="s">
        <v>44</v>
      </c>
    </row>
    <row r="95" spans="1:12" x14ac:dyDescent="0.45">
      <c r="A95" s="2" t="s">
        <v>45</v>
      </c>
      <c r="B95" s="2">
        <v>4</v>
      </c>
      <c r="C95" s="2">
        <v>194</v>
      </c>
      <c r="D95" s="2">
        <v>178</v>
      </c>
      <c r="E95" s="2">
        <v>376</v>
      </c>
      <c r="G95" s="2" t="s">
        <v>45</v>
      </c>
      <c r="H95" s="13">
        <v>1.0638297872340425E-2</v>
      </c>
      <c r="I95" s="13">
        <v>0.51595744680851063</v>
      </c>
      <c r="J95" s="13">
        <v>0.47340425531914893</v>
      </c>
    </row>
    <row r="96" spans="1:12" x14ac:dyDescent="0.45">
      <c r="A96" s="2" t="s">
        <v>46</v>
      </c>
      <c r="B96" s="2">
        <v>0</v>
      </c>
      <c r="C96" s="2">
        <v>14</v>
      </c>
      <c r="D96" s="2">
        <v>12</v>
      </c>
      <c r="E96" s="2">
        <v>26</v>
      </c>
      <c r="G96" s="2" t="s">
        <v>46</v>
      </c>
      <c r="H96" s="13">
        <v>0</v>
      </c>
      <c r="I96" s="13">
        <v>0.53846153846153844</v>
      </c>
      <c r="J96" s="13">
        <v>0.46153846153846156</v>
      </c>
    </row>
    <row r="98" spans="1:10" x14ac:dyDescent="0.45">
      <c r="A98" s="14" t="s">
        <v>11</v>
      </c>
      <c r="B98" s="14" t="s">
        <v>42</v>
      </c>
      <c r="C98" s="14" t="s">
        <v>43</v>
      </c>
      <c r="D98" s="14" t="s">
        <v>44</v>
      </c>
      <c r="E98" s="14">
        <v>402</v>
      </c>
      <c r="G98" s="14" t="s">
        <v>11</v>
      </c>
      <c r="H98" s="14" t="s">
        <v>42</v>
      </c>
      <c r="I98" s="14" t="s">
        <v>43</v>
      </c>
      <c r="J98" s="14" t="s">
        <v>44</v>
      </c>
    </row>
    <row r="99" spans="1:10" x14ac:dyDescent="0.45">
      <c r="A99" s="2" t="s">
        <v>45</v>
      </c>
      <c r="B99" s="2">
        <v>1</v>
      </c>
      <c r="C99" s="2">
        <v>74</v>
      </c>
      <c r="D99" s="2">
        <v>301</v>
      </c>
      <c r="E99" s="2">
        <v>376</v>
      </c>
      <c r="G99" s="2" t="s">
        <v>45</v>
      </c>
      <c r="H99" s="13">
        <v>2.6595744680851063E-3</v>
      </c>
      <c r="I99" s="13">
        <v>0.19680851063829788</v>
      </c>
      <c r="J99" s="13">
        <v>0.80053191489361697</v>
      </c>
    </row>
    <row r="100" spans="1:10" x14ac:dyDescent="0.45">
      <c r="A100" s="2" t="s">
        <v>46</v>
      </c>
      <c r="B100" s="2">
        <v>0</v>
      </c>
      <c r="C100" s="2">
        <v>9</v>
      </c>
      <c r="D100" s="2">
        <v>17</v>
      </c>
      <c r="E100" s="2">
        <v>26</v>
      </c>
      <c r="G100" s="2" t="s">
        <v>46</v>
      </c>
      <c r="H100" s="13">
        <v>0</v>
      </c>
      <c r="I100" s="13">
        <v>0.34615384615384615</v>
      </c>
      <c r="J100" s="13">
        <v>0.65384615384615385</v>
      </c>
    </row>
    <row r="102" spans="1:10" x14ac:dyDescent="0.45">
      <c r="A102" s="14" t="s">
        <v>12</v>
      </c>
      <c r="B102" s="14" t="s">
        <v>42</v>
      </c>
      <c r="C102" s="14" t="s">
        <v>43</v>
      </c>
      <c r="D102" s="14" t="s">
        <v>44</v>
      </c>
      <c r="E102" s="14">
        <v>402</v>
      </c>
      <c r="G102" s="14" t="s">
        <v>12</v>
      </c>
      <c r="H102" s="14" t="s">
        <v>42</v>
      </c>
      <c r="I102" s="14" t="s">
        <v>43</v>
      </c>
      <c r="J102" s="14" t="s">
        <v>44</v>
      </c>
    </row>
    <row r="103" spans="1:10" x14ac:dyDescent="0.45">
      <c r="A103" s="2" t="s">
        <v>47</v>
      </c>
      <c r="B103" s="2">
        <v>0</v>
      </c>
      <c r="C103" s="2">
        <v>2</v>
      </c>
      <c r="D103" s="2">
        <v>53</v>
      </c>
      <c r="E103" s="2">
        <v>55</v>
      </c>
      <c r="G103" s="2" t="s">
        <v>47</v>
      </c>
      <c r="H103" s="8">
        <v>0</v>
      </c>
      <c r="I103" s="8">
        <v>3.6363636363636362E-2</v>
      </c>
      <c r="J103" s="8">
        <v>0.96363636363636362</v>
      </c>
    </row>
    <row r="104" spans="1:10" x14ac:dyDescent="0.45">
      <c r="A104" s="2" t="s">
        <v>48</v>
      </c>
      <c r="B104" s="2">
        <v>0</v>
      </c>
      <c r="C104" s="2">
        <v>2</v>
      </c>
      <c r="D104" s="2">
        <v>77</v>
      </c>
      <c r="E104" s="2">
        <v>79</v>
      </c>
      <c r="G104" s="2" t="s">
        <v>48</v>
      </c>
      <c r="H104" s="8">
        <v>0</v>
      </c>
      <c r="I104" s="8">
        <v>2.5316455696202531E-2</v>
      </c>
      <c r="J104" s="8">
        <v>0.97468354430379744</v>
      </c>
    </row>
    <row r="105" spans="1:10" x14ac:dyDescent="0.45">
      <c r="A105" s="2" t="s">
        <v>49</v>
      </c>
      <c r="B105" s="2">
        <v>0</v>
      </c>
      <c r="C105" s="2">
        <v>3</v>
      </c>
      <c r="D105" s="2">
        <v>128</v>
      </c>
      <c r="E105" s="2">
        <v>131</v>
      </c>
      <c r="G105" s="2" t="s">
        <v>49</v>
      </c>
      <c r="H105" s="8">
        <v>0</v>
      </c>
      <c r="I105" s="8">
        <v>2.2900763358778626E-2</v>
      </c>
      <c r="J105" s="8">
        <v>0.97709923664122134</v>
      </c>
    </row>
    <row r="106" spans="1:10" x14ac:dyDescent="0.45">
      <c r="A106" s="2" t="s">
        <v>50</v>
      </c>
      <c r="B106" s="2">
        <v>0</v>
      </c>
      <c r="C106" s="2">
        <v>2</v>
      </c>
      <c r="D106" s="2">
        <v>77</v>
      </c>
      <c r="E106" s="2">
        <v>79</v>
      </c>
      <c r="G106" s="2" t="s">
        <v>50</v>
      </c>
      <c r="H106" s="8">
        <v>0</v>
      </c>
      <c r="I106" s="8">
        <v>2.5316455696202531E-2</v>
      </c>
      <c r="J106" s="8">
        <v>0.97468354430379744</v>
      </c>
    </row>
    <row r="107" spans="1:10" x14ac:dyDescent="0.45">
      <c r="A107" s="2" t="s">
        <v>51</v>
      </c>
      <c r="B107" s="2">
        <v>0</v>
      </c>
      <c r="C107" s="2">
        <v>0</v>
      </c>
      <c r="D107" s="2">
        <v>31</v>
      </c>
      <c r="E107" s="2">
        <v>31</v>
      </c>
      <c r="G107" s="2" t="s">
        <v>51</v>
      </c>
      <c r="H107" s="8">
        <v>0</v>
      </c>
      <c r="I107" s="8">
        <v>0</v>
      </c>
      <c r="J107" s="8">
        <v>1</v>
      </c>
    </row>
    <row r="108" spans="1:10" x14ac:dyDescent="0.45">
      <c r="A108" s="2" t="s">
        <v>52</v>
      </c>
      <c r="B108" s="2">
        <v>0</v>
      </c>
      <c r="C108" s="2">
        <v>1</v>
      </c>
      <c r="D108" s="2">
        <v>26</v>
      </c>
      <c r="E108" s="2">
        <v>27</v>
      </c>
      <c r="G108" s="2" t="s">
        <v>52</v>
      </c>
      <c r="H108" s="8">
        <v>0</v>
      </c>
      <c r="I108" s="8">
        <v>3.7037037037037035E-2</v>
      </c>
      <c r="J108" s="8">
        <v>0.96296296296296291</v>
      </c>
    </row>
    <row r="110" spans="1:10" x14ac:dyDescent="0.45">
      <c r="A110" s="14" t="s">
        <v>13</v>
      </c>
      <c r="B110" s="14" t="s">
        <v>42</v>
      </c>
      <c r="C110" s="14" t="s">
        <v>43</v>
      </c>
      <c r="D110" s="14" t="s">
        <v>44</v>
      </c>
      <c r="E110" s="14">
        <v>402</v>
      </c>
      <c r="G110" s="14" t="s">
        <v>13</v>
      </c>
      <c r="H110" s="14" t="s">
        <v>42</v>
      </c>
      <c r="I110" s="14" t="s">
        <v>43</v>
      </c>
      <c r="J110" s="14" t="s">
        <v>44</v>
      </c>
    </row>
    <row r="111" spans="1:10" x14ac:dyDescent="0.45">
      <c r="A111" s="2" t="s">
        <v>47</v>
      </c>
      <c r="B111" s="2">
        <v>0</v>
      </c>
      <c r="C111" s="2">
        <v>21</v>
      </c>
      <c r="D111" s="2">
        <v>34</v>
      </c>
      <c r="E111" s="2">
        <v>55</v>
      </c>
      <c r="G111" s="2" t="s">
        <v>47</v>
      </c>
      <c r="H111" s="8">
        <v>0</v>
      </c>
      <c r="I111" s="8">
        <v>0.38181818181818183</v>
      </c>
      <c r="J111" s="8">
        <v>0.61818181818181817</v>
      </c>
    </row>
    <row r="112" spans="1:10" x14ac:dyDescent="0.45">
      <c r="A112" s="2" t="s">
        <v>48</v>
      </c>
      <c r="B112" s="2">
        <v>0</v>
      </c>
      <c r="C112" s="2">
        <v>40</v>
      </c>
      <c r="D112" s="2">
        <v>39</v>
      </c>
      <c r="E112" s="2">
        <v>79</v>
      </c>
      <c r="G112" s="2" t="s">
        <v>48</v>
      </c>
      <c r="H112" s="8">
        <v>0</v>
      </c>
      <c r="I112" s="8">
        <v>0.50632911392405067</v>
      </c>
      <c r="J112" s="8">
        <v>0.49367088607594939</v>
      </c>
    </row>
    <row r="113" spans="1:10" x14ac:dyDescent="0.45">
      <c r="A113" s="2" t="s">
        <v>49</v>
      </c>
      <c r="B113" s="2">
        <v>0</v>
      </c>
      <c r="C113" s="2">
        <v>63</v>
      </c>
      <c r="D113" s="2">
        <v>68</v>
      </c>
      <c r="E113" s="2">
        <v>131</v>
      </c>
      <c r="G113" s="2" t="s">
        <v>49</v>
      </c>
      <c r="H113" s="8">
        <v>0</v>
      </c>
      <c r="I113" s="8">
        <v>0.48091603053435117</v>
      </c>
      <c r="J113" s="8">
        <v>0.51908396946564883</v>
      </c>
    </row>
    <row r="114" spans="1:10" x14ac:dyDescent="0.45">
      <c r="A114" s="2" t="s">
        <v>50</v>
      </c>
      <c r="B114" s="2">
        <v>0</v>
      </c>
      <c r="C114" s="2">
        <v>33</v>
      </c>
      <c r="D114" s="2">
        <v>46</v>
      </c>
      <c r="E114" s="2">
        <v>79</v>
      </c>
      <c r="G114" s="2" t="s">
        <v>50</v>
      </c>
      <c r="H114" s="8">
        <v>0</v>
      </c>
      <c r="I114" s="8">
        <v>0.41772151898734178</v>
      </c>
      <c r="J114" s="8">
        <v>0.58227848101265822</v>
      </c>
    </row>
    <row r="115" spans="1:10" x14ac:dyDescent="0.45">
      <c r="A115" s="2" t="s">
        <v>51</v>
      </c>
      <c r="B115" s="2">
        <v>0</v>
      </c>
      <c r="C115" s="2">
        <v>17</v>
      </c>
      <c r="D115" s="2">
        <v>14</v>
      </c>
      <c r="E115" s="2">
        <v>31</v>
      </c>
      <c r="G115" s="2" t="s">
        <v>51</v>
      </c>
      <c r="H115" s="8">
        <v>0</v>
      </c>
      <c r="I115" s="8">
        <v>0.54838709677419351</v>
      </c>
      <c r="J115" s="8">
        <v>0.45161290322580644</v>
      </c>
    </row>
    <row r="116" spans="1:10" x14ac:dyDescent="0.45">
      <c r="A116" s="2" t="s">
        <v>52</v>
      </c>
      <c r="B116" s="2">
        <v>0</v>
      </c>
      <c r="C116" s="2">
        <v>11</v>
      </c>
      <c r="D116" s="2">
        <v>16</v>
      </c>
      <c r="E116" s="2">
        <v>27</v>
      </c>
      <c r="G116" s="2" t="s">
        <v>52</v>
      </c>
      <c r="H116" s="8">
        <v>0</v>
      </c>
      <c r="I116" s="8">
        <v>0.40740740740740738</v>
      </c>
      <c r="J116" s="8">
        <v>0.59259259259259256</v>
      </c>
    </row>
    <row r="118" spans="1:10" x14ac:dyDescent="0.45">
      <c r="A118" s="14" t="s">
        <v>14</v>
      </c>
      <c r="B118" s="14" t="s">
        <v>42</v>
      </c>
      <c r="C118" s="14" t="s">
        <v>43</v>
      </c>
      <c r="D118" s="14" t="s">
        <v>44</v>
      </c>
      <c r="E118" s="14">
        <v>402</v>
      </c>
      <c r="G118" s="14" t="s">
        <v>14</v>
      </c>
      <c r="H118" s="14" t="s">
        <v>42</v>
      </c>
      <c r="I118" s="14" t="s">
        <v>43</v>
      </c>
      <c r="J118" s="14" t="s">
        <v>44</v>
      </c>
    </row>
    <row r="119" spans="1:10" x14ac:dyDescent="0.45">
      <c r="A119" s="2" t="s">
        <v>47</v>
      </c>
      <c r="B119" s="2">
        <v>0</v>
      </c>
      <c r="C119" s="2">
        <v>1</v>
      </c>
      <c r="D119" s="2">
        <v>54</v>
      </c>
      <c r="E119" s="2">
        <v>55</v>
      </c>
      <c r="G119" s="2" t="s">
        <v>47</v>
      </c>
      <c r="H119" s="8">
        <v>0</v>
      </c>
      <c r="I119" s="8">
        <v>1.8181818181818181E-2</v>
      </c>
      <c r="J119" s="8">
        <v>0.98181818181818181</v>
      </c>
    </row>
    <row r="120" spans="1:10" x14ac:dyDescent="0.45">
      <c r="A120" s="2" t="s">
        <v>48</v>
      </c>
      <c r="B120" s="2">
        <v>0</v>
      </c>
      <c r="C120" s="2">
        <v>2</v>
      </c>
      <c r="D120" s="2">
        <v>77</v>
      </c>
      <c r="E120" s="2">
        <v>79</v>
      </c>
      <c r="G120" s="2" t="s">
        <v>48</v>
      </c>
      <c r="H120" s="8">
        <v>0</v>
      </c>
      <c r="I120" s="8">
        <v>2.5316455696202531E-2</v>
      </c>
      <c r="J120" s="8">
        <v>0.97468354430379744</v>
      </c>
    </row>
    <row r="121" spans="1:10" x14ac:dyDescent="0.45">
      <c r="A121" s="2" t="s">
        <v>49</v>
      </c>
      <c r="B121" s="2">
        <v>0</v>
      </c>
      <c r="C121" s="2">
        <v>1</v>
      </c>
      <c r="D121" s="2">
        <v>130</v>
      </c>
      <c r="E121" s="2">
        <v>131</v>
      </c>
      <c r="G121" s="2" t="s">
        <v>49</v>
      </c>
      <c r="H121" s="8">
        <v>0</v>
      </c>
      <c r="I121" s="8">
        <v>7.6335877862595417E-3</v>
      </c>
      <c r="J121" s="8">
        <v>0.99236641221374045</v>
      </c>
    </row>
    <row r="122" spans="1:10" x14ac:dyDescent="0.45">
      <c r="A122" s="2" t="s">
        <v>50</v>
      </c>
      <c r="B122" s="2">
        <v>0</v>
      </c>
      <c r="C122" s="2">
        <v>2</v>
      </c>
      <c r="D122" s="2">
        <v>77</v>
      </c>
      <c r="E122" s="2">
        <v>79</v>
      </c>
      <c r="G122" s="2" t="s">
        <v>50</v>
      </c>
      <c r="H122" s="8">
        <v>0</v>
      </c>
      <c r="I122" s="8">
        <v>2.5316455696202531E-2</v>
      </c>
      <c r="J122" s="8">
        <v>0.97468354430379744</v>
      </c>
    </row>
    <row r="123" spans="1:10" x14ac:dyDescent="0.45">
      <c r="A123" s="2" t="s">
        <v>51</v>
      </c>
      <c r="B123" s="2">
        <v>0</v>
      </c>
      <c r="C123" s="2">
        <v>1</v>
      </c>
      <c r="D123" s="2">
        <v>30</v>
      </c>
      <c r="E123" s="2">
        <v>31</v>
      </c>
      <c r="G123" s="2" t="s">
        <v>51</v>
      </c>
      <c r="H123" s="8">
        <v>0</v>
      </c>
      <c r="I123" s="8">
        <v>3.2258064516129031E-2</v>
      </c>
      <c r="J123" s="8">
        <v>0.967741935483871</v>
      </c>
    </row>
    <row r="124" spans="1:10" x14ac:dyDescent="0.45">
      <c r="A124" s="2" t="s">
        <v>52</v>
      </c>
      <c r="B124" s="2">
        <v>0</v>
      </c>
      <c r="C124" s="2">
        <v>4</v>
      </c>
      <c r="D124" s="2">
        <v>23</v>
      </c>
      <c r="E124" s="2">
        <v>27</v>
      </c>
      <c r="G124" s="2" t="s">
        <v>52</v>
      </c>
      <c r="H124" s="8">
        <v>0</v>
      </c>
      <c r="I124" s="8">
        <v>0.14814814814814814</v>
      </c>
      <c r="J124" s="8">
        <v>0.85185185185185186</v>
      </c>
    </row>
    <row r="126" spans="1:10" x14ac:dyDescent="0.45">
      <c r="A126" s="14" t="s">
        <v>15</v>
      </c>
      <c r="B126" s="14" t="s">
        <v>42</v>
      </c>
      <c r="C126" s="14" t="s">
        <v>43</v>
      </c>
      <c r="D126" s="14" t="s">
        <v>44</v>
      </c>
      <c r="E126" s="14">
        <v>402</v>
      </c>
      <c r="G126" s="14" t="s">
        <v>15</v>
      </c>
      <c r="H126" s="14" t="s">
        <v>42</v>
      </c>
      <c r="I126" s="14" t="s">
        <v>43</v>
      </c>
      <c r="J126" s="14" t="s">
        <v>44</v>
      </c>
    </row>
    <row r="127" spans="1:10" x14ac:dyDescent="0.45">
      <c r="A127" s="2" t="s">
        <v>47</v>
      </c>
      <c r="B127" s="2">
        <v>0</v>
      </c>
      <c r="C127" s="2">
        <v>18</v>
      </c>
      <c r="D127" s="2">
        <v>37</v>
      </c>
      <c r="E127" s="2">
        <v>55</v>
      </c>
      <c r="G127" s="2" t="s">
        <v>47</v>
      </c>
      <c r="H127" s="8">
        <v>0</v>
      </c>
      <c r="I127" s="8">
        <v>0.32727272727272727</v>
      </c>
      <c r="J127" s="8">
        <v>0.67272727272727273</v>
      </c>
    </row>
    <row r="128" spans="1:10" x14ac:dyDescent="0.45">
      <c r="A128" s="2" t="s">
        <v>48</v>
      </c>
      <c r="B128" s="2">
        <v>0</v>
      </c>
      <c r="C128" s="2">
        <v>33</v>
      </c>
      <c r="D128" s="2">
        <v>46</v>
      </c>
      <c r="E128" s="2">
        <v>79</v>
      </c>
      <c r="G128" s="2" t="s">
        <v>48</v>
      </c>
      <c r="H128" s="8">
        <v>0</v>
      </c>
      <c r="I128" s="8">
        <v>0.41772151898734178</v>
      </c>
      <c r="J128" s="8">
        <v>0.58227848101265822</v>
      </c>
    </row>
    <row r="129" spans="1:10" x14ac:dyDescent="0.45">
      <c r="A129" s="2" t="s">
        <v>49</v>
      </c>
      <c r="B129" s="2">
        <v>0</v>
      </c>
      <c r="C129" s="2">
        <v>57</v>
      </c>
      <c r="D129" s="2">
        <v>74</v>
      </c>
      <c r="E129" s="2">
        <v>131</v>
      </c>
      <c r="G129" s="2" t="s">
        <v>49</v>
      </c>
      <c r="H129" s="8">
        <v>0</v>
      </c>
      <c r="I129" s="8">
        <v>0.4351145038167939</v>
      </c>
      <c r="J129" s="8">
        <v>0.56488549618320616</v>
      </c>
    </row>
    <row r="130" spans="1:10" x14ac:dyDescent="0.45">
      <c r="A130" s="2" t="s">
        <v>50</v>
      </c>
      <c r="B130" s="2">
        <v>0</v>
      </c>
      <c r="C130" s="2">
        <v>35</v>
      </c>
      <c r="D130" s="2">
        <v>44</v>
      </c>
      <c r="E130" s="2">
        <v>79</v>
      </c>
      <c r="G130" s="2" t="s">
        <v>50</v>
      </c>
      <c r="H130" s="8">
        <v>0</v>
      </c>
      <c r="I130" s="8">
        <v>0.44303797468354428</v>
      </c>
      <c r="J130" s="8">
        <v>0.55696202531645567</v>
      </c>
    </row>
    <row r="131" spans="1:10" x14ac:dyDescent="0.45">
      <c r="A131" s="2" t="s">
        <v>51</v>
      </c>
      <c r="B131" s="2">
        <v>1</v>
      </c>
      <c r="C131" s="2">
        <v>10</v>
      </c>
      <c r="D131" s="2">
        <v>20</v>
      </c>
      <c r="E131" s="2">
        <v>31</v>
      </c>
      <c r="G131" s="2" t="s">
        <v>51</v>
      </c>
      <c r="H131" s="8">
        <v>3.2258064516129031E-2</v>
      </c>
      <c r="I131" s="8">
        <v>0.32258064516129031</v>
      </c>
      <c r="J131" s="8">
        <v>0.64516129032258063</v>
      </c>
    </row>
    <row r="132" spans="1:10" x14ac:dyDescent="0.45">
      <c r="A132" s="2" t="s">
        <v>52</v>
      </c>
      <c r="B132" s="2">
        <v>0</v>
      </c>
      <c r="C132" s="2">
        <v>12</v>
      </c>
      <c r="D132" s="2">
        <v>15</v>
      </c>
      <c r="E132" s="2">
        <v>27</v>
      </c>
      <c r="G132" s="2" t="s">
        <v>52</v>
      </c>
      <c r="H132" s="8">
        <v>0</v>
      </c>
      <c r="I132" s="8">
        <v>0.44444444444444442</v>
      </c>
      <c r="J132" s="8">
        <v>0.55555555555555558</v>
      </c>
    </row>
    <row r="134" spans="1:10" x14ac:dyDescent="0.45">
      <c r="A134" s="14" t="s">
        <v>16</v>
      </c>
      <c r="B134" s="14" t="s">
        <v>42</v>
      </c>
      <c r="C134" s="14" t="s">
        <v>43</v>
      </c>
      <c r="D134" s="14" t="s">
        <v>44</v>
      </c>
      <c r="E134" s="14">
        <v>402</v>
      </c>
      <c r="G134" s="14" t="s">
        <v>16</v>
      </c>
      <c r="H134" s="14" t="s">
        <v>42</v>
      </c>
      <c r="I134" s="14" t="s">
        <v>43</v>
      </c>
      <c r="J134" s="14" t="s">
        <v>44</v>
      </c>
    </row>
    <row r="135" spans="1:10" x14ac:dyDescent="0.45">
      <c r="A135" s="2" t="s">
        <v>47</v>
      </c>
      <c r="B135" s="2">
        <v>0</v>
      </c>
      <c r="C135" s="2">
        <v>22</v>
      </c>
      <c r="D135" s="2">
        <v>33</v>
      </c>
      <c r="E135" s="2">
        <v>55</v>
      </c>
      <c r="G135" s="2" t="s">
        <v>47</v>
      </c>
      <c r="H135" s="8">
        <v>0</v>
      </c>
      <c r="I135" s="8">
        <v>0.4</v>
      </c>
      <c r="J135" s="8">
        <v>0.6</v>
      </c>
    </row>
    <row r="136" spans="1:10" x14ac:dyDescent="0.45">
      <c r="A136" s="2" t="s">
        <v>48</v>
      </c>
      <c r="B136" s="2">
        <v>0</v>
      </c>
      <c r="C136" s="2">
        <v>32</v>
      </c>
      <c r="D136" s="2">
        <v>47</v>
      </c>
      <c r="E136" s="2">
        <v>79</v>
      </c>
      <c r="G136" s="2" t="s">
        <v>48</v>
      </c>
      <c r="H136" s="8">
        <v>0</v>
      </c>
      <c r="I136" s="8">
        <v>0.4050632911392405</v>
      </c>
      <c r="J136" s="8">
        <v>0.59493670886075944</v>
      </c>
    </row>
    <row r="137" spans="1:10" x14ac:dyDescent="0.45">
      <c r="A137" s="2" t="s">
        <v>49</v>
      </c>
      <c r="B137" s="2">
        <v>0</v>
      </c>
      <c r="C137" s="2">
        <v>62</v>
      </c>
      <c r="D137" s="2">
        <v>69</v>
      </c>
      <c r="E137" s="2">
        <v>131</v>
      </c>
      <c r="G137" s="2" t="s">
        <v>49</v>
      </c>
      <c r="H137" s="8">
        <v>0</v>
      </c>
      <c r="I137" s="8">
        <v>0.47328244274809161</v>
      </c>
      <c r="J137" s="8">
        <v>0.52671755725190839</v>
      </c>
    </row>
    <row r="138" spans="1:10" x14ac:dyDescent="0.45">
      <c r="A138" s="2" t="s">
        <v>50</v>
      </c>
      <c r="B138" s="2">
        <v>0</v>
      </c>
      <c r="C138" s="2">
        <v>32</v>
      </c>
      <c r="D138" s="2">
        <v>47</v>
      </c>
      <c r="E138" s="2">
        <v>79</v>
      </c>
      <c r="G138" s="2" t="s">
        <v>50</v>
      </c>
      <c r="H138" s="8">
        <v>0</v>
      </c>
      <c r="I138" s="8">
        <v>0.4050632911392405</v>
      </c>
      <c r="J138" s="8">
        <v>0.59493670886075944</v>
      </c>
    </row>
    <row r="139" spans="1:10" x14ac:dyDescent="0.45">
      <c r="A139" s="2" t="s">
        <v>51</v>
      </c>
      <c r="B139" s="2">
        <v>0</v>
      </c>
      <c r="C139" s="2">
        <v>20</v>
      </c>
      <c r="D139" s="2">
        <v>11</v>
      </c>
      <c r="E139" s="2">
        <v>31</v>
      </c>
      <c r="G139" s="2" t="s">
        <v>51</v>
      </c>
      <c r="H139" s="8">
        <v>0</v>
      </c>
      <c r="I139" s="8">
        <v>0.64516129032258063</v>
      </c>
      <c r="J139" s="8">
        <v>0.35483870967741937</v>
      </c>
    </row>
    <row r="140" spans="1:10" x14ac:dyDescent="0.45">
      <c r="A140" s="2" t="s">
        <v>52</v>
      </c>
      <c r="B140" s="2">
        <v>0</v>
      </c>
      <c r="C140" s="2">
        <v>16</v>
      </c>
      <c r="D140" s="2">
        <v>11</v>
      </c>
      <c r="E140" s="2">
        <v>27</v>
      </c>
      <c r="G140" s="2" t="s">
        <v>52</v>
      </c>
      <c r="H140" s="8">
        <v>0</v>
      </c>
      <c r="I140" s="8">
        <v>0.59259259259259256</v>
      </c>
      <c r="J140" s="8">
        <v>0.40740740740740738</v>
      </c>
    </row>
    <row r="142" spans="1:10" x14ac:dyDescent="0.45">
      <c r="A142" s="14" t="s">
        <v>14</v>
      </c>
      <c r="B142" s="14" t="s">
        <v>42</v>
      </c>
      <c r="C142" s="14" t="s">
        <v>43</v>
      </c>
      <c r="D142" s="14" t="s">
        <v>44</v>
      </c>
      <c r="E142" s="14">
        <v>402</v>
      </c>
      <c r="G142" s="14" t="s">
        <v>14</v>
      </c>
      <c r="H142" s="14" t="s">
        <v>42</v>
      </c>
      <c r="I142" s="14" t="s">
        <v>43</v>
      </c>
      <c r="J142" s="14" t="s">
        <v>44</v>
      </c>
    </row>
    <row r="143" spans="1:10" x14ac:dyDescent="0.45">
      <c r="A143" s="2" t="s">
        <v>53</v>
      </c>
      <c r="B143" s="2">
        <v>0</v>
      </c>
      <c r="C143" s="2">
        <v>2</v>
      </c>
      <c r="D143" s="2">
        <v>39</v>
      </c>
      <c r="E143" s="2">
        <v>41</v>
      </c>
      <c r="G143" s="2" t="s">
        <v>53</v>
      </c>
      <c r="H143" s="8">
        <v>0</v>
      </c>
      <c r="I143" s="8">
        <v>4.878048780487805E-2</v>
      </c>
      <c r="J143" s="8">
        <v>0.95121951219512191</v>
      </c>
    </row>
    <row r="144" spans="1:10" x14ac:dyDescent="0.45">
      <c r="A144" s="2" t="s">
        <v>54</v>
      </c>
      <c r="B144" s="2">
        <v>0</v>
      </c>
      <c r="C144" s="2">
        <v>3</v>
      </c>
      <c r="D144" s="2">
        <v>76</v>
      </c>
      <c r="E144" s="2">
        <v>79</v>
      </c>
      <c r="G144" s="2" t="s">
        <v>54</v>
      </c>
      <c r="H144" s="8">
        <v>0</v>
      </c>
      <c r="I144" s="8">
        <v>3.7974683544303799E-2</v>
      </c>
      <c r="J144" s="8">
        <v>0.96202531645569622</v>
      </c>
    </row>
    <row r="145" spans="1:10" x14ac:dyDescent="0.45">
      <c r="A145" s="2" t="s">
        <v>55</v>
      </c>
      <c r="B145" s="2">
        <v>0</v>
      </c>
      <c r="C145" s="2">
        <v>0</v>
      </c>
      <c r="D145" s="2">
        <v>41</v>
      </c>
      <c r="E145" s="2">
        <v>41</v>
      </c>
      <c r="G145" s="2" t="s">
        <v>55</v>
      </c>
      <c r="H145" s="8">
        <v>0</v>
      </c>
      <c r="I145" s="8">
        <v>0</v>
      </c>
      <c r="J145" s="8">
        <v>1</v>
      </c>
    </row>
    <row r="146" spans="1:10" x14ac:dyDescent="0.45">
      <c r="A146" s="2" t="s">
        <v>56</v>
      </c>
      <c r="B146" s="2">
        <v>0</v>
      </c>
      <c r="C146" s="2">
        <v>0</v>
      </c>
      <c r="D146" s="2">
        <v>53</v>
      </c>
      <c r="E146" s="2">
        <v>53</v>
      </c>
      <c r="G146" s="2" t="s">
        <v>56</v>
      </c>
      <c r="H146" s="8">
        <v>0</v>
      </c>
      <c r="I146" s="8">
        <v>0</v>
      </c>
      <c r="J146" s="8">
        <v>1</v>
      </c>
    </row>
    <row r="147" spans="1:10" x14ac:dyDescent="0.45">
      <c r="A147" s="2" t="s">
        <v>57</v>
      </c>
      <c r="B147" s="2">
        <v>0</v>
      </c>
      <c r="C147" s="2">
        <v>1</v>
      </c>
      <c r="D147" s="2">
        <v>52</v>
      </c>
      <c r="E147" s="2">
        <v>53</v>
      </c>
      <c r="G147" s="2" t="s">
        <v>57</v>
      </c>
      <c r="H147" s="8">
        <v>0</v>
      </c>
      <c r="I147" s="8">
        <v>1.8867924528301886E-2</v>
      </c>
      <c r="J147" s="8">
        <v>0.98113207547169812</v>
      </c>
    </row>
    <row r="148" spans="1:10" x14ac:dyDescent="0.45">
      <c r="A148" s="2" t="s">
        <v>58</v>
      </c>
      <c r="B148" s="2">
        <v>0</v>
      </c>
      <c r="C148" s="2">
        <v>3</v>
      </c>
      <c r="D148" s="2">
        <v>59</v>
      </c>
      <c r="E148" s="2">
        <v>62</v>
      </c>
      <c r="G148" s="2" t="s">
        <v>58</v>
      </c>
      <c r="H148" s="8">
        <v>0</v>
      </c>
      <c r="I148" s="8">
        <v>4.8387096774193547E-2</v>
      </c>
      <c r="J148" s="8">
        <v>0.95161290322580649</v>
      </c>
    </row>
    <row r="149" spans="1:10" x14ac:dyDescent="0.45">
      <c r="A149" s="2" t="s">
        <v>59</v>
      </c>
      <c r="B149" s="2">
        <v>0</v>
      </c>
      <c r="C149" s="2">
        <v>1</v>
      </c>
      <c r="D149" s="2">
        <v>37</v>
      </c>
      <c r="E149" s="2">
        <v>38</v>
      </c>
      <c r="G149" s="2" t="s">
        <v>59</v>
      </c>
      <c r="H149" s="8">
        <v>0</v>
      </c>
      <c r="I149" s="8">
        <v>2.6315789473684209E-2</v>
      </c>
      <c r="J149" s="8">
        <v>0.97368421052631582</v>
      </c>
    </row>
    <row r="150" spans="1:10" x14ac:dyDescent="0.45">
      <c r="A150" s="2" t="s">
        <v>60</v>
      </c>
      <c r="B150" s="2">
        <v>0</v>
      </c>
      <c r="C150" s="2">
        <v>1</v>
      </c>
      <c r="D150" s="2">
        <v>34</v>
      </c>
      <c r="E150" s="2">
        <v>35</v>
      </c>
      <c r="G150" s="2" t="s">
        <v>60</v>
      </c>
      <c r="H150" s="8">
        <v>0</v>
      </c>
      <c r="I150" s="8">
        <v>2.8571428571428571E-2</v>
      </c>
      <c r="J150" s="8">
        <v>0.97142857142857142</v>
      </c>
    </row>
    <row r="152" spans="1:10" x14ac:dyDescent="0.45">
      <c r="A152" s="14" t="s">
        <v>15</v>
      </c>
      <c r="B152" s="14" t="s">
        <v>42</v>
      </c>
      <c r="C152" s="14" t="s">
        <v>43</v>
      </c>
      <c r="D152" s="14" t="s">
        <v>44</v>
      </c>
      <c r="E152" s="14">
        <v>402</v>
      </c>
      <c r="G152" s="14" t="s">
        <v>15</v>
      </c>
      <c r="H152" s="14" t="s">
        <v>42</v>
      </c>
      <c r="I152" s="14" t="s">
        <v>43</v>
      </c>
      <c r="J152" s="14" t="s">
        <v>44</v>
      </c>
    </row>
    <row r="153" spans="1:10" x14ac:dyDescent="0.45">
      <c r="A153" s="2" t="s">
        <v>53</v>
      </c>
      <c r="B153" s="2">
        <v>0</v>
      </c>
      <c r="C153" s="2">
        <v>12</v>
      </c>
      <c r="D153" s="2">
        <v>29</v>
      </c>
      <c r="E153" s="2">
        <v>41</v>
      </c>
      <c r="G153" s="2" t="s">
        <v>53</v>
      </c>
      <c r="H153" s="8">
        <v>0</v>
      </c>
      <c r="I153" s="8">
        <v>0.29268292682926828</v>
      </c>
      <c r="J153" s="8">
        <v>0.70731707317073167</v>
      </c>
    </row>
    <row r="154" spans="1:10" x14ac:dyDescent="0.45">
      <c r="A154" s="2" t="s">
        <v>54</v>
      </c>
      <c r="B154" s="2">
        <v>0</v>
      </c>
      <c r="C154" s="2">
        <v>26</v>
      </c>
      <c r="D154" s="2">
        <v>53</v>
      </c>
      <c r="E154" s="2">
        <v>79</v>
      </c>
      <c r="G154" s="2" t="s">
        <v>54</v>
      </c>
      <c r="H154" s="8">
        <v>0</v>
      </c>
      <c r="I154" s="8">
        <v>0.32911392405063289</v>
      </c>
      <c r="J154" s="8">
        <v>0.67088607594936711</v>
      </c>
    </row>
    <row r="155" spans="1:10" x14ac:dyDescent="0.45">
      <c r="A155" s="2" t="s">
        <v>55</v>
      </c>
      <c r="B155" s="2">
        <v>0</v>
      </c>
      <c r="C155" s="2">
        <v>16</v>
      </c>
      <c r="D155" s="2">
        <v>25</v>
      </c>
      <c r="E155" s="2">
        <v>41</v>
      </c>
      <c r="G155" s="2" t="s">
        <v>55</v>
      </c>
      <c r="H155" s="8">
        <v>0</v>
      </c>
      <c r="I155" s="8">
        <v>0.3902439024390244</v>
      </c>
      <c r="J155" s="8">
        <v>0.6097560975609756</v>
      </c>
    </row>
    <row r="156" spans="1:10" x14ac:dyDescent="0.45">
      <c r="A156" s="2" t="s">
        <v>56</v>
      </c>
      <c r="B156" s="2">
        <v>0</v>
      </c>
      <c r="C156" s="2">
        <v>24</v>
      </c>
      <c r="D156" s="2">
        <v>29</v>
      </c>
      <c r="E156" s="2">
        <v>53</v>
      </c>
      <c r="G156" s="2" t="s">
        <v>56</v>
      </c>
      <c r="H156" s="8">
        <v>0</v>
      </c>
      <c r="I156" s="8">
        <v>0.45283018867924529</v>
      </c>
      <c r="J156" s="8">
        <v>0.54716981132075471</v>
      </c>
    </row>
    <row r="157" spans="1:10" x14ac:dyDescent="0.45">
      <c r="A157" s="2" t="s">
        <v>57</v>
      </c>
      <c r="B157" s="2">
        <v>0</v>
      </c>
      <c r="C157" s="2">
        <v>24</v>
      </c>
      <c r="D157" s="2">
        <v>29</v>
      </c>
      <c r="E157" s="2">
        <v>53</v>
      </c>
      <c r="G157" s="2" t="s">
        <v>57</v>
      </c>
      <c r="H157" s="8">
        <v>0</v>
      </c>
      <c r="I157" s="8">
        <v>0.45283018867924529</v>
      </c>
      <c r="J157" s="8">
        <v>0.54716981132075471</v>
      </c>
    </row>
    <row r="158" spans="1:10" x14ac:dyDescent="0.45">
      <c r="A158" s="2" t="s">
        <v>58</v>
      </c>
      <c r="B158" s="2">
        <v>0</v>
      </c>
      <c r="C158" s="2">
        <v>33</v>
      </c>
      <c r="D158" s="2">
        <v>29</v>
      </c>
      <c r="E158" s="2">
        <v>62</v>
      </c>
      <c r="G158" s="2" t="s">
        <v>58</v>
      </c>
      <c r="H158" s="8">
        <v>0</v>
      </c>
      <c r="I158" s="8">
        <v>0.532258064516129</v>
      </c>
      <c r="J158" s="8">
        <v>0.46774193548387094</v>
      </c>
    </row>
    <row r="159" spans="1:10" x14ac:dyDescent="0.45">
      <c r="A159" s="2" t="s">
        <v>59</v>
      </c>
      <c r="B159" s="2">
        <v>0</v>
      </c>
      <c r="C159" s="2">
        <v>13</v>
      </c>
      <c r="D159" s="2">
        <v>25</v>
      </c>
      <c r="E159" s="2">
        <v>38</v>
      </c>
      <c r="G159" s="2" t="s">
        <v>59</v>
      </c>
      <c r="H159" s="8">
        <v>0</v>
      </c>
      <c r="I159" s="8">
        <v>0.34210526315789475</v>
      </c>
      <c r="J159" s="8">
        <v>0.65789473684210531</v>
      </c>
    </row>
    <row r="160" spans="1:10" x14ac:dyDescent="0.45">
      <c r="A160" s="2" t="s">
        <v>60</v>
      </c>
      <c r="B160" s="2">
        <v>1</v>
      </c>
      <c r="C160" s="2">
        <v>17</v>
      </c>
      <c r="D160" s="2">
        <v>17</v>
      </c>
      <c r="E160" s="2">
        <v>35</v>
      </c>
      <c r="G160" s="2" t="s">
        <v>60</v>
      </c>
      <c r="H160" s="8">
        <v>2.8571428571428571E-2</v>
      </c>
      <c r="I160" s="8">
        <v>0.48571428571428571</v>
      </c>
      <c r="J160" s="8">
        <v>0.48571428571428571</v>
      </c>
    </row>
    <row r="162" spans="1:10" x14ac:dyDescent="0.45">
      <c r="A162" s="14" t="s">
        <v>61</v>
      </c>
      <c r="B162" s="14" t="s">
        <v>42</v>
      </c>
      <c r="C162" s="14" t="s">
        <v>43</v>
      </c>
      <c r="D162" s="14" t="s">
        <v>44</v>
      </c>
      <c r="E162" s="14">
        <v>402</v>
      </c>
      <c r="G162" s="14" t="s">
        <v>61</v>
      </c>
      <c r="H162" s="14" t="s">
        <v>42</v>
      </c>
      <c r="I162" s="14" t="s">
        <v>43</v>
      </c>
      <c r="J162" s="14" t="s">
        <v>44</v>
      </c>
    </row>
    <row r="163" spans="1:10" x14ac:dyDescent="0.45">
      <c r="A163" s="2" t="s">
        <v>47</v>
      </c>
      <c r="B163" s="2">
        <v>0</v>
      </c>
      <c r="C163" s="2">
        <v>0</v>
      </c>
      <c r="D163" s="2">
        <v>55</v>
      </c>
      <c r="E163" s="2">
        <v>55</v>
      </c>
      <c r="G163" s="2" t="s">
        <v>47</v>
      </c>
      <c r="H163" s="8">
        <v>0</v>
      </c>
      <c r="I163" s="8">
        <v>0</v>
      </c>
      <c r="J163" s="8">
        <v>1</v>
      </c>
    </row>
    <row r="164" spans="1:10" x14ac:dyDescent="0.45">
      <c r="A164" s="2" t="s">
        <v>48</v>
      </c>
      <c r="B164" s="2">
        <v>0</v>
      </c>
      <c r="C164" s="2">
        <v>3</v>
      </c>
      <c r="D164" s="2">
        <v>76</v>
      </c>
      <c r="E164" s="2">
        <v>79</v>
      </c>
      <c r="G164" s="2" t="s">
        <v>48</v>
      </c>
      <c r="H164" s="8">
        <v>0</v>
      </c>
      <c r="I164" s="8">
        <v>3.7974683544303799E-2</v>
      </c>
      <c r="J164" s="8">
        <v>0.96202531645569622</v>
      </c>
    </row>
    <row r="165" spans="1:10" x14ac:dyDescent="0.45">
      <c r="A165" s="2" t="s">
        <v>49</v>
      </c>
      <c r="B165" s="2">
        <v>0</v>
      </c>
      <c r="C165" s="2">
        <v>5</v>
      </c>
      <c r="D165" s="2">
        <v>126</v>
      </c>
      <c r="E165" s="2">
        <v>131</v>
      </c>
      <c r="G165" s="2" t="s">
        <v>49</v>
      </c>
      <c r="H165" s="8">
        <v>0</v>
      </c>
      <c r="I165" s="8">
        <v>3.8167938931297711E-2</v>
      </c>
      <c r="J165" s="8">
        <v>0.96183206106870234</v>
      </c>
    </row>
    <row r="166" spans="1:10" x14ac:dyDescent="0.45">
      <c r="A166" s="2" t="s">
        <v>50</v>
      </c>
      <c r="B166" s="2">
        <v>0</v>
      </c>
      <c r="C166" s="2">
        <v>4</v>
      </c>
      <c r="D166" s="2">
        <v>75</v>
      </c>
      <c r="E166" s="2">
        <v>79</v>
      </c>
      <c r="G166" s="2" t="s">
        <v>50</v>
      </c>
      <c r="H166" s="8">
        <v>0</v>
      </c>
      <c r="I166" s="8">
        <v>5.0632911392405063E-2</v>
      </c>
      <c r="J166" s="8">
        <v>0.94936708860759489</v>
      </c>
    </row>
    <row r="167" spans="1:10" x14ac:dyDescent="0.45">
      <c r="A167" s="2" t="s">
        <v>51</v>
      </c>
      <c r="B167" s="2">
        <v>0</v>
      </c>
      <c r="C167" s="2">
        <v>0</v>
      </c>
      <c r="D167" s="2">
        <v>31</v>
      </c>
      <c r="E167" s="2">
        <v>31</v>
      </c>
      <c r="G167" s="2" t="s">
        <v>51</v>
      </c>
      <c r="H167" s="8">
        <v>0</v>
      </c>
      <c r="I167" s="8">
        <v>0</v>
      </c>
      <c r="J167" s="8">
        <v>1</v>
      </c>
    </row>
    <row r="168" spans="1:10" x14ac:dyDescent="0.45">
      <c r="A168" s="2" t="s">
        <v>52</v>
      </c>
      <c r="B168" s="2">
        <v>0</v>
      </c>
      <c r="C168" s="2">
        <v>1</v>
      </c>
      <c r="D168" s="2">
        <v>26</v>
      </c>
      <c r="E168" s="2">
        <v>27</v>
      </c>
      <c r="G168" s="2" t="s">
        <v>52</v>
      </c>
      <c r="H168" s="8">
        <v>0</v>
      </c>
      <c r="I168" s="8">
        <v>3.7037037037037035E-2</v>
      </c>
      <c r="J168" s="8">
        <v>0.96296296296296291</v>
      </c>
    </row>
    <row r="172" spans="1:10" x14ac:dyDescent="0.45">
      <c r="A172" s="19" t="s">
        <v>64</v>
      </c>
      <c r="B172" s="19"/>
      <c r="C172" s="19"/>
      <c r="D172" s="19"/>
      <c r="E172" s="19"/>
      <c r="F172" s="19"/>
      <c r="G172" s="19"/>
      <c r="H172" s="19"/>
      <c r="I172" s="19"/>
      <c r="J172" s="19"/>
    </row>
    <row r="173" spans="1:10" x14ac:dyDescent="0.45">
      <c r="A173" s="14" t="s">
        <v>9</v>
      </c>
      <c r="B173" s="14" t="s">
        <v>42</v>
      </c>
      <c r="C173" s="14" t="s">
        <v>43</v>
      </c>
      <c r="D173" s="14" t="s">
        <v>44</v>
      </c>
      <c r="E173" s="14">
        <v>403</v>
      </c>
      <c r="G173" s="14" t="s">
        <v>9</v>
      </c>
      <c r="H173" s="14" t="s">
        <v>42</v>
      </c>
      <c r="I173" s="14" t="s">
        <v>43</v>
      </c>
      <c r="J173" s="14" t="s">
        <v>44</v>
      </c>
    </row>
    <row r="174" spans="1:10" x14ac:dyDescent="0.45">
      <c r="A174" s="2" t="s">
        <v>45</v>
      </c>
      <c r="B174" s="2">
        <v>1</v>
      </c>
      <c r="C174" s="2">
        <v>269</v>
      </c>
      <c r="D174" s="2">
        <v>107</v>
      </c>
      <c r="E174" s="2">
        <v>377</v>
      </c>
      <c r="G174" s="2" t="s">
        <v>45</v>
      </c>
      <c r="H174" s="13">
        <v>2.6525198938992041E-3</v>
      </c>
      <c r="I174" s="13">
        <v>0.71352785145888598</v>
      </c>
      <c r="J174" s="13">
        <v>0.28381962864721483</v>
      </c>
    </row>
    <row r="175" spans="1:10" x14ac:dyDescent="0.45">
      <c r="A175" s="2" t="s">
        <v>46</v>
      </c>
      <c r="B175" s="2">
        <v>0</v>
      </c>
      <c r="C175" s="2">
        <v>20</v>
      </c>
      <c r="D175" s="2">
        <v>6</v>
      </c>
      <c r="E175" s="2">
        <v>26</v>
      </c>
      <c r="G175" s="2" t="s">
        <v>46</v>
      </c>
      <c r="H175" s="13">
        <v>0</v>
      </c>
      <c r="I175" s="13">
        <v>0.76923076923076927</v>
      </c>
      <c r="J175" s="13">
        <v>0.23076923076923078</v>
      </c>
    </row>
    <row r="177" spans="1:10" x14ac:dyDescent="0.45">
      <c r="A177" s="14" t="s">
        <v>10</v>
      </c>
      <c r="B177" s="14" t="s">
        <v>42</v>
      </c>
      <c r="C177" s="14" t="s">
        <v>43</v>
      </c>
      <c r="D177" s="14" t="s">
        <v>44</v>
      </c>
      <c r="E177" s="14">
        <v>403</v>
      </c>
      <c r="G177" s="14" t="s">
        <v>10</v>
      </c>
      <c r="H177" s="14" t="s">
        <v>42</v>
      </c>
      <c r="I177" s="14" t="s">
        <v>43</v>
      </c>
      <c r="J177" s="14" t="s">
        <v>44</v>
      </c>
    </row>
    <row r="178" spans="1:10" x14ac:dyDescent="0.45">
      <c r="A178" s="2" t="s">
        <v>45</v>
      </c>
      <c r="B178" s="2">
        <v>3</v>
      </c>
      <c r="C178" s="2">
        <v>190</v>
      </c>
      <c r="D178" s="2">
        <v>184</v>
      </c>
      <c r="E178" s="2">
        <v>377</v>
      </c>
      <c r="G178" s="2" t="s">
        <v>45</v>
      </c>
      <c r="H178" s="13">
        <v>7.9575596816976128E-3</v>
      </c>
      <c r="I178" s="13">
        <v>0.50397877984084882</v>
      </c>
      <c r="J178" s="13">
        <v>0.48806366047745359</v>
      </c>
    </row>
    <row r="179" spans="1:10" x14ac:dyDescent="0.45">
      <c r="A179" s="2" t="s">
        <v>46</v>
      </c>
      <c r="B179" s="2">
        <v>0</v>
      </c>
      <c r="C179" s="2">
        <v>16</v>
      </c>
      <c r="D179" s="2">
        <v>10</v>
      </c>
      <c r="E179" s="2">
        <v>26</v>
      </c>
      <c r="G179" s="2" t="s">
        <v>46</v>
      </c>
      <c r="H179" s="13">
        <v>0</v>
      </c>
      <c r="I179" s="13">
        <v>0.61538461538461542</v>
      </c>
      <c r="J179" s="13">
        <v>0.38461538461538464</v>
      </c>
    </row>
    <row r="181" spans="1:10" x14ac:dyDescent="0.45">
      <c r="A181" s="14" t="s">
        <v>11</v>
      </c>
      <c r="B181" s="14" t="s">
        <v>42</v>
      </c>
      <c r="C181" s="14" t="s">
        <v>43</v>
      </c>
      <c r="D181" s="14" t="s">
        <v>44</v>
      </c>
      <c r="E181" s="14">
        <v>403</v>
      </c>
      <c r="G181" s="14" t="s">
        <v>11</v>
      </c>
      <c r="H181" s="14" t="s">
        <v>42</v>
      </c>
      <c r="I181" s="14" t="s">
        <v>43</v>
      </c>
      <c r="J181" s="14" t="s">
        <v>44</v>
      </c>
    </row>
    <row r="182" spans="1:10" x14ac:dyDescent="0.45">
      <c r="A182" s="2" t="s">
        <v>45</v>
      </c>
      <c r="B182" s="2">
        <v>0</v>
      </c>
      <c r="C182" s="2">
        <v>81</v>
      </c>
      <c r="D182" s="2">
        <v>296</v>
      </c>
      <c r="E182" s="2">
        <v>377</v>
      </c>
      <c r="G182" s="2" t="s">
        <v>45</v>
      </c>
      <c r="H182" s="13">
        <v>0</v>
      </c>
      <c r="I182" s="13">
        <v>0.21485411140583555</v>
      </c>
      <c r="J182" s="13">
        <v>0.78514588859416445</v>
      </c>
    </row>
    <row r="183" spans="1:10" x14ac:dyDescent="0.45">
      <c r="A183" s="2" t="s">
        <v>46</v>
      </c>
      <c r="B183" s="2">
        <v>0</v>
      </c>
      <c r="C183" s="2">
        <v>13</v>
      </c>
      <c r="D183" s="2">
        <v>13</v>
      </c>
      <c r="E183" s="2">
        <v>26</v>
      </c>
      <c r="G183" s="2" t="s">
        <v>46</v>
      </c>
      <c r="H183" s="13">
        <v>0</v>
      </c>
      <c r="I183" s="13">
        <v>0.5</v>
      </c>
      <c r="J183" s="13">
        <v>0.5</v>
      </c>
    </row>
    <row r="185" spans="1:10" x14ac:dyDescent="0.45">
      <c r="A185" s="14" t="s">
        <v>12</v>
      </c>
      <c r="B185" s="14" t="s">
        <v>42</v>
      </c>
      <c r="C185" s="14" t="s">
        <v>43</v>
      </c>
      <c r="D185" s="14" t="s">
        <v>44</v>
      </c>
      <c r="E185" s="14">
        <v>403</v>
      </c>
      <c r="G185" s="14" t="s">
        <v>12</v>
      </c>
      <c r="H185" s="14" t="s">
        <v>42</v>
      </c>
      <c r="I185" s="14" t="s">
        <v>43</v>
      </c>
      <c r="J185" s="14" t="s">
        <v>44</v>
      </c>
    </row>
    <row r="186" spans="1:10" x14ac:dyDescent="0.45">
      <c r="A186" s="2" t="s">
        <v>47</v>
      </c>
      <c r="B186" s="2">
        <v>0</v>
      </c>
      <c r="C186" s="2">
        <v>2</v>
      </c>
      <c r="D186" s="2">
        <v>53</v>
      </c>
      <c r="E186" s="2">
        <v>55</v>
      </c>
      <c r="G186" s="2" t="s">
        <v>47</v>
      </c>
      <c r="H186" s="8">
        <v>0</v>
      </c>
      <c r="I186" s="8">
        <v>3.6363636363636362E-2</v>
      </c>
      <c r="J186" s="8">
        <v>0.96363636363636362</v>
      </c>
    </row>
    <row r="187" spans="1:10" x14ac:dyDescent="0.45">
      <c r="A187" s="2" t="s">
        <v>48</v>
      </c>
      <c r="B187" s="2">
        <v>0</v>
      </c>
      <c r="C187" s="2">
        <v>2</v>
      </c>
      <c r="D187" s="2">
        <v>77</v>
      </c>
      <c r="E187" s="2">
        <v>79</v>
      </c>
      <c r="G187" s="2" t="s">
        <v>48</v>
      </c>
      <c r="H187" s="8">
        <v>0</v>
      </c>
      <c r="I187" s="8">
        <v>2.5316455696202531E-2</v>
      </c>
      <c r="J187" s="8">
        <v>0.97468354430379744</v>
      </c>
    </row>
    <row r="188" spans="1:10" x14ac:dyDescent="0.45">
      <c r="A188" s="2" t="s">
        <v>49</v>
      </c>
      <c r="B188" s="2">
        <v>0</v>
      </c>
      <c r="C188" s="2">
        <v>6</v>
      </c>
      <c r="D188" s="2">
        <v>126</v>
      </c>
      <c r="E188" s="2">
        <v>132</v>
      </c>
      <c r="G188" s="2" t="s">
        <v>49</v>
      </c>
      <c r="H188" s="8">
        <v>0</v>
      </c>
      <c r="I188" s="8">
        <v>4.5454545454545456E-2</v>
      </c>
      <c r="J188" s="8">
        <v>0.95454545454545459</v>
      </c>
    </row>
    <row r="189" spans="1:10" x14ac:dyDescent="0.45">
      <c r="A189" s="2" t="s">
        <v>50</v>
      </c>
      <c r="B189" s="2">
        <v>0</v>
      </c>
      <c r="C189" s="2">
        <v>3</v>
      </c>
      <c r="D189" s="2">
        <v>76</v>
      </c>
      <c r="E189" s="2">
        <v>79</v>
      </c>
      <c r="G189" s="2" t="s">
        <v>50</v>
      </c>
      <c r="H189" s="8">
        <v>0</v>
      </c>
      <c r="I189" s="8">
        <v>3.7974683544303799E-2</v>
      </c>
      <c r="J189" s="8">
        <v>0.96202531645569622</v>
      </c>
    </row>
    <row r="190" spans="1:10" x14ac:dyDescent="0.45">
      <c r="A190" s="2" t="s">
        <v>51</v>
      </c>
      <c r="B190" s="2">
        <v>0</v>
      </c>
      <c r="C190" s="2">
        <v>1</v>
      </c>
      <c r="D190" s="2">
        <v>30</v>
      </c>
      <c r="E190" s="2">
        <v>31</v>
      </c>
      <c r="G190" s="2" t="s">
        <v>51</v>
      </c>
      <c r="H190" s="8">
        <v>0</v>
      </c>
      <c r="I190" s="8">
        <v>3.2258064516129031E-2</v>
      </c>
      <c r="J190" s="8">
        <v>0.967741935483871</v>
      </c>
    </row>
    <row r="191" spans="1:10" x14ac:dyDescent="0.45">
      <c r="A191" s="2" t="s">
        <v>52</v>
      </c>
      <c r="B191" s="2">
        <v>0</v>
      </c>
      <c r="C191" s="2">
        <v>2</v>
      </c>
      <c r="D191" s="2">
        <v>25</v>
      </c>
      <c r="E191" s="2">
        <v>27</v>
      </c>
      <c r="G191" s="2" t="s">
        <v>52</v>
      </c>
      <c r="H191" s="8">
        <v>0</v>
      </c>
      <c r="I191" s="8">
        <v>7.407407407407407E-2</v>
      </c>
      <c r="J191" s="8">
        <v>0.92592592592592593</v>
      </c>
    </row>
    <row r="193" spans="1:10" x14ac:dyDescent="0.45">
      <c r="A193" s="14" t="s">
        <v>13</v>
      </c>
      <c r="B193" s="14" t="s">
        <v>42</v>
      </c>
      <c r="C193" s="14" t="s">
        <v>43</v>
      </c>
      <c r="D193" s="14" t="s">
        <v>44</v>
      </c>
      <c r="E193" s="14">
        <v>401</v>
      </c>
      <c r="G193" s="14" t="s">
        <v>13</v>
      </c>
      <c r="H193" s="14" t="s">
        <v>42</v>
      </c>
      <c r="I193" s="14" t="s">
        <v>43</v>
      </c>
      <c r="J193" s="14" t="s">
        <v>44</v>
      </c>
    </row>
    <row r="194" spans="1:10" x14ac:dyDescent="0.45">
      <c r="A194" s="2" t="s">
        <v>47</v>
      </c>
      <c r="B194" s="2">
        <v>0</v>
      </c>
      <c r="C194" s="2">
        <v>24</v>
      </c>
      <c r="D194" s="2">
        <v>29</v>
      </c>
      <c r="E194" s="2">
        <v>53</v>
      </c>
      <c r="G194" s="2" t="s">
        <v>47</v>
      </c>
      <c r="H194" s="8">
        <v>0</v>
      </c>
      <c r="I194" s="8">
        <v>0.45283018867924529</v>
      </c>
      <c r="J194" s="8">
        <v>0.54716981132075471</v>
      </c>
    </row>
    <row r="195" spans="1:10" x14ac:dyDescent="0.45">
      <c r="A195" s="2" t="s">
        <v>48</v>
      </c>
      <c r="B195" s="2">
        <v>0</v>
      </c>
      <c r="C195" s="2">
        <v>46</v>
      </c>
      <c r="D195" s="2">
        <v>33</v>
      </c>
      <c r="E195" s="2">
        <v>79</v>
      </c>
      <c r="G195" s="2" t="s">
        <v>48</v>
      </c>
      <c r="H195" s="8">
        <v>0</v>
      </c>
      <c r="I195" s="8">
        <v>0.58227848101265822</v>
      </c>
      <c r="J195" s="8">
        <v>0.41772151898734178</v>
      </c>
    </row>
    <row r="196" spans="1:10" x14ac:dyDescent="0.45">
      <c r="A196" s="2" t="s">
        <v>49</v>
      </c>
      <c r="B196" s="2">
        <v>1</v>
      </c>
      <c r="C196" s="2">
        <v>63</v>
      </c>
      <c r="D196" s="2">
        <v>68</v>
      </c>
      <c r="E196" s="2">
        <v>132</v>
      </c>
      <c r="G196" s="2" t="s">
        <v>49</v>
      </c>
      <c r="H196" s="8">
        <v>7.575757575757576E-3</v>
      </c>
      <c r="I196" s="8">
        <v>0.47727272727272729</v>
      </c>
      <c r="J196" s="8">
        <v>0.51515151515151514</v>
      </c>
    </row>
    <row r="197" spans="1:10" x14ac:dyDescent="0.45">
      <c r="A197" s="2" t="s">
        <v>50</v>
      </c>
      <c r="B197" s="2">
        <v>0</v>
      </c>
      <c r="C197" s="2">
        <v>36</v>
      </c>
      <c r="D197" s="2">
        <v>43</v>
      </c>
      <c r="E197" s="2">
        <v>79</v>
      </c>
      <c r="G197" s="2" t="s">
        <v>50</v>
      </c>
      <c r="H197" s="8">
        <v>0</v>
      </c>
      <c r="I197" s="8">
        <v>0.45569620253164556</v>
      </c>
      <c r="J197" s="8">
        <v>0.54430379746835444</v>
      </c>
    </row>
    <row r="198" spans="1:10" x14ac:dyDescent="0.45">
      <c r="A198" s="2" t="s">
        <v>51</v>
      </c>
      <c r="B198" s="2">
        <v>0</v>
      </c>
      <c r="C198" s="2">
        <v>15</v>
      </c>
      <c r="D198" s="2">
        <v>16</v>
      </c>
      <c r="E198" s="2">
        <v>31</v>
      </c>
      <c r="G198" s="2" t="s">
        <v>51</v>
      </c>
      <c r="H198" s="8">
        <v>0</v>
      </c>
      <c r="I198" s="8">
        <v>0.4838709677419355</v>
      </c>
      <c r="J198" s="8">
        <v>0.5161290322580645</v>
      </c>
    </row>
    <row r="199" spans="1:10" x14ac:dyDescent="0.45">
      <c r="A199" s="2" t="s">
        <v>52</v>
      </c>
      <c r="B199" s="2">
        <v>0</v>
      </c>
      <c r="C199" s="2">
        <v>18</v>
      </c>
      <c r="D199" s="2">
        <v>9</v>
      </c>
      <c r="E199" s="2">
        <v>27</v>
      </c>
      <c r="G199" s="2" t="s">
        <v>52</v>
      </c>
      <c r="H199" s="8">
        <v>0</v>
      </c>
      <c r="I199" s="8">
        <v>0.66666666666666663</v>
      </c>
      <c r="J199" s="8">
        <v>0.33333333333333331</v>
      </c>
    </row>
    <row r="201" spans="1:10" x14ac:dyDescent="0.45">
      <c r="A201" s="14" t="s">
        <v>14</v>
      </c>
      <c r="B201" s="14" t="s">
        <v>42</v>
      </c>
      <c r="C201" s="14" t="s">
        <v>43</v>
      </c>
      <c r="D201" s="14" t="s">
        <v>44</v>
      </c>
      <c r="E201" s="14">
        <v>401</v>
      </c>
      <c r="G201" s="14" t="s">
        <v>14</v>
      </c>
      <c r="H201" s="14" t="s">
        <v>42</v>
      </c>
      <c r="I201" s="14" t="s">
        <v>43</v>
      </c>
      <c r="J201" s="14" t="s">
        <v>44</v>
      </c>
    </row>
    <row r="202" spans="1:10" x14ac:dyDescent="0.45">
      <c r="A202" s="2" t="s">
        <v>47</v>
      </c>
      <c r="B202" s="2">
        <v>0</v>
      </c>
      <c r="C202" s="2">
        <v>4</v>
      </c>
      <c r="D202" s="2">
        <v>49</v>
      </c>
      <c r="E202" s="2">
        <v>53</v>
      </c>
      <c r="G202" s="2" t="s">
        <v>47</v>
      </c>
      <c r="H202" s="8">
        <v>0</v>
      </c>
      <c r="I202" s="8">
        <v>7.5471698113207544E-2</v>
      </c>
      <c r="J202" s="8">
        <v>0.92452830188679247</v>
      </c>
    </row>
    <row r="203" spans="1:10" x14ac:dyDescent="0.45">
      <c r="A203" s="2" t="s">
        <v>48</v>
      </c>
      <c r="B203" s="2">
        <v>0</v>
      </c>
      <c r="C203" s="2">
        <v>5</v>
      </c>
      <c r="D203" s="2">
        <v>74</v>
      </c>
      <c r="E203" s="2">
        <v>79</v>
      </c>
      <c r="G203" s="2" t="s">
        <v>48</v>
      </c>
      <c r="H203" s="8">
        <v>0</v>
      </c>
      <c r="I203" s="8">
        <v>6.3291139240506333E-2</v>
      </c>
      <c r="J203" s="8">
        <v>0.93670886075949367</v>
      </c>
    </row>
    <row r="204" spans="1:10" x14ac:dyDescent="0.45">
      <c r="A204" s="2" t="s">
        <v>49</v>
      </c>
      <c r="B204" s="2">
        <v>0</v>
      </c>
      <c r="C204" s="2">
        <v>6</v>
      </c>
      <c r="D204" s="2">
        <v>126</v>
      </c>
      <c r="E204" s="2">
        <v>132</v>
      </c>
      <c r="G204" s="2" t="s">
        <v>49</v>
      </c>
      <c r="H204" s="8">
        <v>0</v>
      </c>
      <c r="I204" s="8">
        <v>4.5454545454545456E-2</v>
      </c>
      <c r="J204" s="8">
        <v>0.95454545454545459</v>
      </c>
    </row>
    <row r="205" spans="1:10" x14ac:dyDescent="0.45">
      <c r="A205" s="2" t="s">
        <v>50</v>
      </c>
      <c r="B205" s="2">
        <v>0</v>
      </c>
      <c r="C205" s="2">
        <v>3</v>
      </c>
      <c r="D205" s="2">
        <v>76</v>
      </c>
      <c r="E205" s="2">
        <v>79</v>
      </c>
      <c r="G205" s="2" t="s">
        <v>50</v>
      </c>
      <c r="H205" s="8">
        <v>0</v>
      </c>
      <c r="I205" s="8">
        <v>3.7974683544303799E-2</v>
      </c>
      <c r="J205" s="8">
        <v>0.96202531645569622</v>
      </c>
    </row>
    <row r="206" spans="1:10" x14ac:dyDescent="0.45">
      <c r="A206" s="2" t="s">
        <v>51</v>
      </c>
      <c r="B206" s="2">
        <v>0</v>
      </c>
      <c r="C206" s="2">
        <v>1</v>
      </c>
      <c r="D206" s="2">
        <v>30</v>
      </c>
      <c r="E206" s="2">
        <v>31</v>
      </c>
      <c r="G206" s="2" t="s">
        <v>51</v>
      </c>
      <c r="H206" s="8">
        <v>0</v>
      </c>
      <c r="I206" s="8">
        <v>3.2258064516129031E-2</v>
      </c>
      <c r="J206" s="8">
        <v>0.967741935483871</v>
      </c>
    </row>
    <row r="207" spans="1:10" x14ac:dyDescent="0.45">
      <c r="A207" s="2" t="s">
        <v>52</v>
      </c>
      <c r="B207" s="2">
        <v>0</v>
      </c>
      <c r="C207" s="2">
        <v>2</v>
      </c>
      <c r="D207" s="2">
        <v>25</v>
      </c>
      <c r="E207" s="2">
        <v>27</v>
      </c>
      <c r="G207" s="2" t="s">
        <v>52</v>
      </c>
      <c r="H207" s="8">
        <v>0</v>
      </c>
      <c r="I207" s="8">
        <v>7.407407407407407E-2</v>
      </c>
      <c r="J207" s="8">
        <v>0.92592592592592593</v>
      </c>
    </row>
    <row r="209" spans="1:10" x14ac:dyDescent="0.45">
      <c r="A209" s="14" t="s">
        <v>15</v>
      </c>
      <c r="B209" s="14" t="s">
        <v>42</v>
      </c>
      <c r="C209" s="14" t="s">
        <v>43</v>
      </c>
      <c r="D209" s="14" t="s">
        <v>44</v>
      </c>
      <c r="E209" s="14">
        <v>401</v>
      </c>
      <c r="G209" s="14" t="s">
        <v>15</v>
      </c>
      <c r="H209" s="14" t="s">
        <v>42</v>
      </c>
      <c r="I209" s="14" t="s">
        <v>43</v>
      </c>
      <c r="J209" s="14" t="s">
        <v>44</v>
      </c>
    </row>
    <row r="210" spans="1:10" x14ac:dyDescent="0.45">
      <c r="A210" s="2" t="s">
        <v>47</v>
      </c>
      <c r="B210" s="2">
        <v>0</v>
      </c>
      <c r="C210" s="2">
        <v>20</v>
      </c>
      <c r="D210" s="2">
        <v>33</v>
      </c>
      <c r="E210" s="2">
        <v>53</v>
      </c>
      <c r="G210" s="2" t="s">
        <v>47</v>
      </c>
      <c r="H210" s="8">
        <v>0</v>
      </c>
      <c r="I210" s="8">
        <v>0.37735849056603776</v>
      </c>
      <c r="J210" s="8">
        <v>0.62264150943396224</v>
      </c>
    </row>
    <row r="211" spans="1:10" x14ac:dyDescent="0.45">
      <c r="A211" s="2" t="s">
        <v>48</v>
      </c>
      <c r="B211" s="2">
        <v>0</v>
      </c>
      <c r="C211" s="2">
        <v>38</v>
      </c>
      <c r="D211" s="2">
        <v>41</v>
      </c>
      <c r="E211" s="2">
        <v>79</v>
      </c>
      <c r="G211" s="2" t="s">
        <v>48</v>
      </c>
      <c r="H211" s="8">
        <v>0</v>
      </c>
      <c r="I211" s="8">
        <v>0.48101265822784811</v>
      </c>
      <c r="J211" s="8">
        <v>0.51898734177215189</v>
      </c>
    </row>
    <row r="212" spans="1:10" x14ac:dyDescent="0.45">
      <c r="A212" s="2" t="s">
        <v>49</v>
      </c>
      <c r="B212" s="2">
        <v>0</v>
      </c>
      <c r="C212" s="2">
        <v>57</v>
      </c>
      <c r="D212" s="2">
        <v>75</v>
      </c>
      <c r="E212" s="2">
        <v>132</v>
      </c>
      <c r="G212" s="2" t="s">
        <v>49</v>
      </c>
      <c r="H212" s="8">
        <v>0</v>
      </c>
      <c r="I212" s="8">
        <v>0.43181818181818182</v>
      </c>
      <c r="J212" s="8">
        <v>0.56818181818181823</v>
      </c>
    </row>
    <row r="213" spans="1:10" x14ac:dyDescent="0.45">
      <c r="A213" s="2" t="s">
        <v>50</v>
      </c>
      <c r="B213" s="2">
        <v>0</v>
      </c>
      <c r="C213" s="2">
        <v>33</v>
      </c>
      <c r="D213" s="2">
        <v>46</v>
      </c>
      <c r="E213" s="2">
        <v>79</v>
      </c>
      <c r="G213" s="2" t="s">
        <v>50</v>
      </c>
      <c r="H213" s="8">
        <v>0</v>
      </c>
      <c r="I213" s="8">
        <v>0.41772151898734178</v>
      </c>
      <c r="J213" s="8">
        <v>0.58227848101265822</v>
      </c>
    </row>
    <row r="214" spans="1:10" x14ac:dyDescent="0.45">
      <c r="A214" s="2" t="s">
        <v>51</v>
      </c>
      <c r="B214" s="2">
        <v>0</v>
      </c>
      <c r="C214" s="2">
        <v>12</v>
      </c>
      <c r="D214" s="2">
        <v>19</v>
      </c>
      <c r="E214" s="2">
        <v>31</v>
      </c>
      <c r="G214" s="2" t="s">
        <v>51</v>
      </c>
      <c r="H214" s="8">
        <v>0</v>
      </c>
      <c r="I214" s="8">
        <v>0.38709677419354838</v>
      </c>
      <c r="J214" s="8">
        <v>0.61290322580645162</v>
      </c>
    </row>
    <row r="215" spans="1:10" x14ac:dyDescent="0.45">
      <c r="A215" s="2" t="s">
        <v>52</v>
      </c>
      <c r="B215" s="2">
        <v>0</v>
      </c>
      <c r="C215" s="2">
        <v>15</v>
      </c>
      <c r="D215" s="2">
        <v>12</v>
      </c>
      <c r="E215" s="2">
        <v>27</v>
      </c>
      <c r="G215" s="2" t="s">
        <v>52</v>
      </c>
      <c r="H215" s="8">
        <v>0</v>
      </c>
      <c r="I215" s="8">
        <v>0.55555555555555558</v>
      </c>
      <c r="J215" s="8">
        <v>0.44444444444444442</v>
      </c>
    </row>
    <row r="217" spans="1:10" x14ac:dyDescent="0.45">
      <c r="A217" s="14" t="s">
        <v>16</v>
      </c>
      <c r="B217" s="14" t="s">
        <v>42</v>
      </c>
      <c r="C217" s="14" t="s">
        <v>43</v>
      </c>
      <c r="D217" s="14" t="s">
        <v>44</v>
      </c>
      <c r="E217" s="14">
        <v>401</v>
      </c>
      <c r="G217" s="14" t="s">
        <v>16</v>
      </c>
      <c r="H217" s="14" t="s">
        <v>42</v>
      </c>
      <c r="I217" s="14" t="s">
        <v>43</v>
      </c>
      <c r="J217" s="14" t="s">
        <v>44</v>
      </c>
    </row>
    <row r="218" spans="1:10" x14ac:dyDescent="0.45">
      <c r="A218" s="2" t="s">
        <v>47</v>
      </c>
      <c r="B218" s="2">
        <v>0</v>
      </c>
      <c r="C218" s="2">
        <v>25</v>
      </c>
      <c r="D218" s="2">
        <v>28</v>
      </c>
      <c r="E218" s="2">
        <v>53</v>
      </c>
      <c r="G218" s="2" t="s">
        <v>47</v>
      </c>
      <c r="H218" s="8">
        <v>0</v>
      </c>
      <c r="I218" s="8">
        <v>0.47169811320754718</v>
      </c>
      <c r="J218" s="8">
        <v>0.52830188679245282</v>
      </c>
    </row>
    <row r="219" spans="1:10" x14ac:dyDescent="0.45">
      <c r="A219" s="2" t="s">
        <v>48</v>
      </c>
      <c r="B219" s="2">
        <v>0</v>
      </c>
      <c r="C219" s="2">
        <v>45</v>
      </c>
      <c r="D219" s="2">
        <v>34</v>
      </c>
      <c r="E219" s="2">
        <v>79</v>
      </c>
      <c r="G219" s="2" t="s">
        <v>48</v>
      </c>
      <c r="H219" s="8">
        <v>0</v>
      </c>
      <c r="I219" s="8">
        <v>0.569620253164557</v>
      </c>
      <c r="J219" s="8">
        <v>0.43037974683544306</v>
      </c>
    </row>
    <row r="220" spans="1:10" x14ac:dyDescent="0.45">
      <c r="A220" s="2" t="s">
        <v>49</v>
      </c>
      <c r="B220" s="2">
        <v>0</v>
      </c>
      <c r="C220" s="2">
        <v>64</v>
      </c>
      <c r="D220" s="2">
        <v>68</v>
      </c>
      <c r="E220" s="2">
        <v>132</v>
      </c>
      <c r="G220" s="2" t="s">
        <v>49</v>
      </c>
      <c r="H220" s="8">
        <v>0</v>
      </c>
      <c r="I220" s="8">
        <v>0.48484848484848486</v>
      </c>
      <c r="J220" s="8">
        <v>0.51515151515151514</v>
      </c>
    </row>
    <row r="221" spans="1:10" x14ac:dyDescent="0.45">
      <c r="A221" s="2" t="s">
        <v>50</v>
      </c>
      <c r="B221" s="2">
        <v>0</v>
      </c>
      <c r="C221" s="2">
        <v>43</v>
      </c>
      <c r="D221" s="2">
        <v>36</v>
      </c>
      <c r="E221" s="2">
        <v>79</v>
      </c>
      <c r="G221" s="2" t="s">
        <v>50</v>
      </c>
      <c r="H221" s="8">
        <v>0</v>
      </c>
      <c r="I221" s="8">
        <v>0.54430379746835444</v>
      </c>
      <c r="J221" s="8">
        <v>0.45569620253164556</v>
      </c>
    </row>
    <row r="222" spans="1:10" x14ac:dyDescent="0.45">
      <c r="A222" s="2" t="s">
        <v>51</v>
      </c>
      <c r="B222" s="2">
        <v>0</v>
      </c>
      <c r="C222" s="2">
        <v>13</v>
      </c>
      <c r="D222" s="2">
        <v>18</v>
      </c>
      <c r="E222" s="2">
        <v>31</v>
      </c>
      <c r="G222" s="2" t="s">
        <v>51</v>
      </c>
      <c r="H222" s="8">
        <v>0</v>
      </c>
      <c r="I222" s="8">
        <v>0.41935483870967744</v>
      </c>
      <c r="J222" s="8">
        <v>0.58064516129032262</v>
      </c>
    </row>
    <row r="223" spans="1:10" x14ac:dyDescent="0.45">
      <c r="A223" s="2" t="s">
        <v>52</v>
      </c>
      <c r="B223" s="2">
        <v>0</v>
      </c>
      <c r="C223" s="2">
        <v>14</v>
      </c>
      <c r="D223" s="2">
        <v>13</v>
      </c>
      <c r="E223" s="2">
        <v>27</v>
      </c>
      <c r="G223" s="2" t="s">
        <v>52</v>
      </c>
      <c r="H223" s="8">
        <v>0</v>
      </c>
      <c r="I223" s="8">
        <v>0.51851851851851849</v>
      </c>
      <c r="J223" s="8">
        <v>0.48148148148148145</v>
      </c>
    </row>
    <row r="225" spans="1:10" x14ac:dyDescent="0.45">
      <c r="A225" s="14" t="s">
        <v>14</v>
      </c>
      <c r="B225" s="14" t="s">
        <v>42</v>
      </c>
      <c r="C225" s="14" t="s">
        <v>43</v>
      </c>
      <c r="D225" s="14" t="s">
        <v>44</v>
      </c>
      <c r="E225" s="14">
        <v>401</v>
      </c>
      <c r="G225" s="14" t="s">
        <v>14</v>
      </c>
      <c r="H225" s="14" t="s">
        <v>42</v>
      </c>
      <c r="I225" s="14" t="s">
        <v>43</v>
      </c>
      <c r="J225" s="14" t="s">
        <v>44</v>
      </c>
    </row>
    <row r="226" spans="1:10" x14ac:dyDescent="0.45">
      <c r="A226" s="2" t="s">
        <v>53</v>
      </c>
      <c r="B226" s="2">
        <v>0</v>
      </c>
      <c r="C226" s="2">
        <v>4</v>
      </c>
      <c r="D226" s="2">
        <v>36</v>
      </c>
      <c r="E226" s="2">
        <v>40</v>
      </c>
      <c r="G226" s="2" t="s">
        <v>53</v>
      </c>
      <c r="H226" s="8">
        <v>0</v>
      </c>
      <c r="I226" s="8">
        <v>0.1</v>
      </c>
      <c r="J226" s="8">
        <v>0.9</v>
      </c>
    </row>
    <row r="227" spans="1:10" x14ac:dyDescent="0.45">
      <c r="A227" s="2" t="s">
        <v>54</v>
      </c>
      <c r="B227" s="2">
        <v>0</v>
      </c>
      <c r="C227" s="2">
        <v>3</v>
      </c>
      <c r="D227" s="2">
        <v>76</v>
      </c>
      <c r="E227" s="2">
        <v>79</v>
      </c>
      <c r="G227" s="2" t="s">
        <v>54</v>
      </c>
      <c r="H227" s="8">
        <v>0</v>
      </c>
      <c r="I227" s="8">
        <v>3.7974683544303799E-2</v>
      </c>
      <c r="J227" s="8">
        <v>0.96202531645569622</v>
      </c>
    </row>
    <row r="228" spans="1:10" x14ac:dyDescent="0.45">
      <c r="A228" s="2" t="s">
        <v>55</v>
      </c>
      <c r="B228" s="2">
        <v>0</v>
      </c>
      <c r="C228" s="2">
        <v>6</v>
      </c>
      <c r="D228" s="2">
        <v>34</v>
      </c>
      <c r="E228" s="2">
        <v>40</v>
      </c>
      <c r="G228" s="2" t="s">
        <v>55</v>
      </c>
      <c r="H228" s="8">
        <v>0</v>
      </c>
      <c r="I228" s="8">
        <v>0.15</v>
      </c>
      <c r="J228" s="8">
        <v>0.85</v>
      </c>
    </row>
    <row r="229" spans="1:10" x14ac:dyDescent="0.45">
      <c r="A229" s="2" t="s">
        <v>56</v>
      </c>
      <c r="B229" s="2">
        <v>0</v>
      </c>
      <c r="C229" s="2">
        <v>1</v>
      </c>
      <c r="D229" s="2">
        <v>52</v>
      </c>
      <c r="E229" s="2">
        <v>53</v>
      </c>
      <c r="G229" s="2" t="s">
        <v>56</v>
      </c>
      <c r="H229" s="8">
        <v>0</v>
      </c>
      <c r="I229" s="8">
        <v>1.8867924528301886E-2</v>
      </c>
      <c r="J229" s="8">
        <v>0.98113207547169812</v>
      </c>
    </row>
    <row r="230" spans="1:10" x14ac:dyDescent="0.45">
      <c r="A230" s="2" t="s">
        <v>57</v>
      </c>
      <c r="B230" s="2">
        <v>0</v>
      </c>
      <c r="C230" s="2">
        <v>1</v>
      </c>
      <c r="D230" s="2">
        <v>52</v>
      </c>
      <c r="E230" s="2">
        <v>53</v>
      </c>
      <c r="G230" s="2" t="s">
        <v>57</v>
      </c>
      <c r="H230" s="8">
        <v>0</v>
      </c>
      <c r="I230" s="8">
        <v>1.8867924528301886E-2</v>
      </c>
      <c r="J230" s="8">
        <v>0.98113207547169812</v>
      </c>
    </row>
    <row r="231" spans="1:10" x14ac:dyDescent="0.45">
      <c r="A231" s="2" t="s">
        <v>58</v>
      </c>
      <c r="B231" s="2">
        <v>0</v>
      </c>
      <c r="C231" s="2">
        <v>2</v>
      </c>
      <c r="D231" s="2">
        <v>60</v>
      </c>
      <c r="E231" s="2">
        <v>62</v>
      </c>
      <c r="G231" s="2" t="s">
        <v>58</v>
      </c>
      <c r="H231" s="8">
        <v>0</v>
      </c>
      <c r="I231" s="8">
        <v>3.2258064516129031E-2</v>
      </c>
      <c r="J231" s="8">
        <v>0.967741935483871</v>
      </c>
    </row>
    <row r="232" spans="1:10" x14ac:dyDescent="0.45">
      <c r="A232" s="2" t="s">
        <v>59</v>
      </c>
      <c r="B232" s="2">
        <v>0</v>
      </c>
      <c r="C232" s="2">
        <v>2</v>
      </c>
      <c r="D232" s="2">
        <v>37</v>
      </c>
      <c r="E232" s="2">
        <v>39</v>
      </c>
      <c r="G232" s="2" t="s">
        <v>59</v>
      </c>
      <c r="H232" s="8">
        <v>0</v>
      </c>
      <c r="I232" s="8">
        <v>5.128205128205128E-2</v>
      </c>
      <c r="J232" s="8">
        <v>0.94871794871794868</v>
      </c>
    </row>
    <row r="233" spans="1:10" x14ac:dyDescent="0.45">
      <c r="A233" s="2" t="s">
        <v>60</v>
      </c>
      <c r="B233" s="2">
        <v>0</v>
      </c>
      <c r="C233" s="2">
        <v>2</v>
      </c>
      <c r="D233" s="2">
        <v>33</v>
      </c>
      <c r="E233" s="2">
        <v>35</v>
      </c>
      <c r="G233" s="2" t="s">
        <v>60</v>
      </c>
      <c r="H233" s="8">
        <v>0</v>
      </c>
      <c r="I233" s="8">
        <v>5.7142857142857141E-2</v>
      </c>
      <c r="J233" s="8">
        <v>0.94285714285714284</v>
      </c>
    </row>
    <row r="235" spans="1:10" x14ac:dyDescent="0.45">
      <c r="A235" s="14" t="s">
        <v>15</v>
      </c>
      <c r="B235" s="14" t="s">
        <v>42</v>
      </c>
      <c r="C235" s="14" t="s">
        <v>43</v>
      </c>
      <c r="D235" s="14" t="s">
        <v>44</v>
      </c>
      <c r="E235" s="14">
        <v>401</v>
      </c>
      <c r="G235" s="14" t="s">
        <v>15</v>
      </c>
      <c r="H235" s="14" t="s">
        <v>42</v>
      </c>
      <c r="I235" s="14" t="s">
        <v>43</v>
      </c>
      <c r="J235" s="14" t="s">
        <v>44</v>
      </c>
    </row>
    <row r="236" spans="1:10" x14ac:dyDescent="0.45">
      <c r="A236" s="2" t="s">
        <v>53</v>
      </c>
      <c r="B236" s="2">
        <v>0</v>
      </c>
      <c r="C236" s="2">
        <v>18</v>
      </c>
      <c r="D236" s="2">
        <v>22</v>
      </c>
      <c r="E236" s="2">
        <v>40</v>
      </c>
      <c r="G236" s="2" t="s">
        <v>53</v>
      </c>
      <c r="H236" s="8">
        <v>0</v>
      </c>
      <c r="I236" s="8">
        <v>0.45</v>
      </c>
      <c r="J236" s="8">
        <v>0.55000000000000004</v>
      </c>
    </row>
    <row r="237" spans="1:10" x14ac:dyDescent="0.45">
      <c r="A237" s="2" t="s">
        <v>54</v>
      </c>
      <c r="B237" s="2">
        <v>0</v>
      </c>
      <c r="C237" s="2">
        <v>33</v>
      </c>
      <c r="D237" s="2">
        <v>46</v>
      </c>
      <c r="E237" s="2">
        <v>79</v>
      </c>
      <c r="G237" s="2" t="s">
        <v>54</v>
      </c>
      <c r="H237" s="8">
        <v>0</v>
      </c>
      <c r="I237" s="8">
        <v>0.41772151898734178</v>
      </c>
      <c r="J237" s="8">
        <v>0.58227848101265822</v>
      </c>
    </row>
    <row r="238" spans="1:10" x14ac:dyDescent="0.45">
      <c r="A238" s="2" t="s">
        <v>55</v>
      </c>
      <c r="B238" s="2">
        <v>0</v>
      </c>
      <c r="C238" s="2">
        <v>19</v>
      </c>
      <c r="D238" s="2">
        <v>21</v>
      </c>
      <c r="E238" s="2">
        <v>40</v>
      </c>
      <c r="G238" s="2" t="s">
        <v>55</v>
      </c>
      <c r="H238" s="8">
        <v>0</v>
      </c>
      <c r="I238" s="8">
        <v>0.47499999999999998</v>
      </c>
      <c r="J238" s="8">
        <v>0.52500000000000002</v>
      </c>
    </row>
    <row r="239" spans="1:10" x14ac:dyDescent="0.45">
      <c r="A239" s="2" t="s">
        <v>56</v>
      </c>
      <c r="B239" s="2">
        <v>0</v>
      </c>
      <c r="C239" s="2">
        <v>23</v>
      </c>
      <c r="D239" s="2">
        <v>30</v>
      </c>
      <c r="E239" s="2">
        <v>53</v>
      </c>
      <c r="G239" s="2" t="s">
        <v>56</v>
      </c>
      <c r="H239" s="8">
        <v>0</v>
      </c>
      <c r="I239" s="8">
        <v>0.43396226415094341</v>
      </c>
      <c r="J239" s="8">
        <v>0.56603773584905659</v>
      </c>
    </row>
    <row r="240" spans="1:10" x14ac:dyDescent="0.45">
      <c r="A240" s="2" t="s">
        <v>57</v>
      </c>
      <c r="B240" s="2">
        <v>0</v>
      </c>
      <c r="C240" s="2">
        <v>23</v>
      </c>
      <c r="D240" s="2">
        <v>30</v>
      </c>
      <c r="E240" s="2">
        <v>53</v>
      </c>
      <c r="G240" s="2" t="s">
        <v>57</v>
      </c>
      <c r="H240" s="8">
        <v>0</v>
      </c>
      <c r="I240" s="8">
        <v>0.43396226415094341</v>
      </c>
      <c r="J240" s="8">
        <v>0.56603773584905659</v>
      </c>
    </row>
    <row r="241" spans="1:10" x14ac:dyDescent="0.45">
      <c r="A241" s="2" t="s">
        <v>58</v>
      </c>
      <c r="B241" s="2">
        <v>0</v>
      </c>
      <c r="C241" s="2">
        <v>26</v>
      </c>
      <c r="D241" s="2">
        <v>36</v>
      </c>
      <c r="E241" s="2">
        <v>62</v>
      </c>
      <c r="G241" s="2" t="s">
        <v>58</v>
      </c>
      <c r="H241" s="8">
        <v>0</v>
      </c>
      <c r="I241" s="8">
        <v>0.41935483870967744</v>
      </c>
      <c r="J241" s="8">
        <v>0.58064516129032262</v>
      </c>
    </row>
    <row r="242" spans="1:10" x14ac:dyDescent="0.45">
      <c r="A242" s="2" t="s">
        <v>59</v>
      </c>
      <c r="B242" s="2">
        <v>0</v>
      </c>
      <c r="C242" s="2">
        <v>19</v>
      </c>
      <c r="D242" s="2">
        <v>20</v>
      </c>
      <c r="E242" s="2">
        <v>39</v>
      </c>
      <c r="G242" s="2" t="s">
        <v>59</v>
      </c>
      <c r="H242" s="8">
        <v>0</v>
      </c>
      <c r="I242" s="8">
        <v>0.48717948717948717</v>
      </c>
      <c r="J242" s="8">
        <v>0.51282051282051277</v>
      </c>
    </row>
    <row r="243" spans="1:10" x14ac:dyDescent="0.45">
      <c r="A243" s="2" t="s">
        <v>60</v>
      </c>
      <c r="B243" s="2">
        <v>0</v>
      </c>
      <c r="C243" s="2">
        <v>14</v>
      </c>
      <c r="D243" s="2">
        <v>21</v>
      </c>
      <c r="E243" s="2">
        <v>35</v>
      </c>
      <c r="G243" s="2" t="s">
        <v>60</v>
      </c>
      <c r="H243" s="8">
        <v>0</v>
      </c>
      <c r="I243" s="8">
        <v>0.4</v>
      </c>
      <c r="J243" s="8">
        <v>0.6</v>
      </c>
    </row>
    <row r="245" spans="1:10" x14ac:dyDescent="0.45">
      <c r="A245" s="14" t="s">
        <v>61</v>
      </c>
      <c r="B245" s="14" t="s">
        <v>42</v>
      </c>
      <c r="C245" s="14" t="s">
        <v>43</v>
      </c>
      <c r="D245" s="14" t="s">
        <v>44</v>
      </c>
      <c r="E245" s="14">
        <v>401</v>
      </c>
      <c r="G245" s="14" t="s">
        <v>61</v>
      </c>
      <c r="H245" s="14" t="s">
        <v>42</v>
      </c>
      <c r="I245" s="14" t="s">
        <v>43</v>
      </c>
      <c r="J245" s="14" t="s">
        <v>44</v>
      </c>
    </row>
    <row r="246" spans="1:10" x14ac:dyDescent="0.45">
      <c r="A246" s="2" t="s">
        <v>47</v>
      </c>
      <c r="B246" s="2">
        <v>0</v>
      </c>
      <c r="C246" s="2">
        <v>2</v>
      </c>
      <c r="D246" s="2">
        <v>51</v>
      </c>
      <c r="E246" s="2">
        <v>53</v>
      </c>
      <c r="G246" s="2" t="s">
        <v>47</v>
      </c>
      <c r="H246" s="8">
        <v>0</v>
      </c>
      <c r="I246" s="8">
        <v>3.7735849056603772E-2</v>
      </c>
      <c r="J246" s="8">
        <v>0.96226415094339623</v>
      </c>
    </row>
    <row r="247" spans="1:10" x14ac:dyDescent="0.45">
      <c r="A247" s="2" t="s">
        <v>48</v>
      </c>
      <c r="B247" s="2">
        <v>0</v>
      </c>
      <c r="C247" s="2">
        <v>3</v>
      </c>
      <c r="D247" s="2">
        <v>76</v>
      </c>
      <c r="E247" s="2">
        <v>79</v>
      </c>
      <c r="G247" s="2" t="s">
        <v>48</v>
      </c>
      <c r="H247" s="8">
        <v>0</v>
      </c>
      <c r="I247" s="8">
        <v>3.7974683544303799E-2</v>
      </c>
      <c r="J247" s="8">
        <v>0.96202531645569622</v>
      </c>
    </row>
    <row r="248" spans="1:10" x14ac:dyDescent="0.45">
      <c r="A248" s="2" t="s">
        <v>49</v>
      </c>
      <c r="B248" s="2">
        <v>0</v>
      </c>
      <c r="C248" s="2">
        <v>7</v>
      </c>
      <c r="D248" s="2">
        <v>125</v>
      </c>
      <c r="E248" s="2">
        <v>132</v>
      </c>
      <c r="G248" s="2" t="s">
        <v>49</v>
      </c>
      <c r="H248" s="8">
        <v>0</v>
      </c>
      <c r="I248" s="8">
        <v>5.3030303030303032E-2</v>
      </c>
      <c r="J248" s="8">
        <v>0.94696969696969702</v>
      </c>
    </row>
    <row r="249" spans="1:10" x14ac:dyDescent="0.45">
      <c r="A249" s="2" t="s">
        <v>50</v>
      </c>
      <c r="B249" s="2">
        <v>1</v>
      </c>
      <c r="C249" s="2">
        <v>1</v>
      </c>
      <c r="D249" s="2">
        <v>77</v>
      </c>
      <c r="E249" s="2">
        <v>79</v>
      </c>
      <c r="G249" s="2" t="s">
        <v>50</v>
      </c>
      <c r="H249" s="8">
        <v>1.2658227848101266E-2</v>
      </c>
      <c r="I249" s="8">
        <v>1.2658227848101266E-2</v>
      </c>
      <c r="J249" s="8">
        <v>0.97468354430379744</v>
      </c>
    </row>
    <row r="250" spans="1:10" x14ac:dyDescent="0.45">
      <c r="A250" s="2" t="s">
        <v>51</v>
      </c>
      <c r="B250" s="2">
        <v>0</v>
      </c>
      <c r="C250" s="2">
        <v>1</v>
      </c>
      <c r="D250" s="2">
        <v>30</v>
      </c>
      <c r="E250" s="2">
        <v>31</v>
      </c>
      <c r="G250" s="2" t="s">
        <v>51</v>
      </c>
      <c r="H250" s="8">
        <v>0</v>
      </c>
      <c r="I250" s="8">
        <v>3.2258064516129031E-2</v>
      </c>
      <c r="J250" s="8">
        <v>0.967741935483871</v>
      </c>
    </row>
    <row r="251" spans="1:10" x14ac:dyDescent="0.45">
      <c r="A251" s="2" t="s">
        <v>52</v>
      </c>
      <c r="B251" s="2">
        <v>0</v>
      </c>
      <c r="C251" s="2">
        <v>6</v>
      </c>
      <c r="D251" s="2">
        <v>21</v>
      </c>
      <c r="E251" s="2">
        <v>27</v>
      </c>
      <c r="G251" s="2" t="s">
        <v>52</v>
      </c>
      <c r="H251" s="8">
        <v>0</v>
      </c>
      <c r="I251" s="8">
        <v>0.22222222222222221</v>
      </c>
      <c r="J251" s="8">
        <v>0.77777777777777779</v>
      </c>
    </row>
    <row r="254" spans="1:10" x14ac:dyDescent="0.45">
      <c r="A254" s="19" t="s">
        <v>65</v>
      </c>
      <c r="B254" s="19"/>
      <c r="C254" s="19"/>
      <c r="D254" s="19"/>
      <c r="E254" s="19"/>
      <c r="F254" s="19"/>
      <c r="G254" s="19"/>
      <c r="H254" s="19"/>
      <c r="I254" s="19"/>
      <c r="J254" s="19"/>
    </row>
    <row r="255" spans="1:10" x14ac:dyDescent="0.45">
      <c r="A255" s="14" t="s">
        <v>9</v>
      </c>
      <c r="B255" s="14" t="s">
        <v>42</v>
      </c>
      <c r="C255" s="14" t="s">
        <v>43</v>
      </c>
      <c r="D255" s="14" t="s">
        <v>44</v>
      </c>
      <c r="E255" s="14">
        <v>403</v>
      </c>
      <c r="G255" s="14" t="s">
        <v>9</v>
      </c>
      <c r="H255" s="14" t="s">
        <v>42</v>
      </c>
      <c r="I255" s="14" t="s">
        <v>43</v>
      </c>
      <c r="J255" s="14" t="s">
        <v>44</v>
      </c>
    </row>
    <row r="256" spans="1:10" x14ac:dyDescent="0.45">
      <c r="A256" s="2" t="s">
        <v>45</v>
      </c>
      <c r="B256" s="2">
        <v>5</v>
      </c>
      <c r="C256" s="2">
        <v>246</v>
      </c>
      <c r="D256" s="2">
        <v>126</v>
      </c>
      <c r="E256" s="2">
        <v>377</v>
      </c>
      <c r="G256" s="2" t="s">
        <v>45</v>
      </c>
      <c r="H256" s="13">
        <v>1.3262599469496022E-2</v>
      </c>
      <c r="I256" s="13">
        <v>0.65251989389920428</v>
      </c>
      <c r="J256" s="13">
        <v>0.33421750663129973</v>
      </c>
    </row>
    <row r="257" spans="1:10" x14ac:dyDescent="0.45">
      <c r="A257" s="2" t="s">
        <v>46</v>
      </c>
      <c r="B257" s="2">
        <v>1</v>
      </c>
      <c r="C257" s="2">
        <v>20</v>
      </c>
      <c r="D257" s="2">
        <v>5</v>
      </c>
      <c r="E257" s="2">
        <v>26</v>
      </c>
      <c r="G257" s="2" t="s">
        <v>46</v>
      </c>
      <c r="H257" s="13">
        <v>3.8461538461538464E-2</v>
      </c>
      <c r="I257" s="13">
        <v>0.76923076923076927</v>
      </c>
      <c r="J257" s="13">
        <v>0.19230769230769232</v>
      </c>
    </row>
    <row r="259" spans="1:10" x14ac:dyDescent="0.45">
      <c r="A259" s="14" t="s">
        <v>10</v>
      </c>
      <c r="B259" s="14" t="s">
        <v>42</v>
      </c>
      <c r="C259" s="14" t="s">
        <v>43</v>
      </c>
      <c r="D259" s="14" t="s">
        <v>44</v>
      </c>
      <c r="E259" s="14">
        <v>403</v>
      </c>
      <c r="G259" s="14" t="s">
        <v>10</v>
      </c>
      <c r="H259" s="14" t="s">
        <v>42</v>
      </c>
      <c r="I259" s="14" t="s">
        <v>43</v>
      </c>
      <c r="J259" s="14" t="s">
        <v>44</v>
      </c>
    </row>
    <row r="260" spans="1:10" x14ac:dyDescent="0.45">
      <c r="A260" s="2" t="s">
        <v>45</v>
      </c>
      <c r="B260" s="2">
        <v>4</v>
      </c>
      <c r="C260" s="2">
        <v>194</v>
      </c>
      <c r="D260" s="2">
        <v>179</v>
      </c>
      <c r="E260" s="2">
        <v>377</v>
      </c>
      <c r="G260" s="2" t="s">
        <v>45</v>
      </c>
      <c r="H260" s="13">
        <v>1.0610079575596816E-2</v>
      </c>
      <c r="I260" s="13">
        <v>0.51458885941644561</v>
      </c>
      <c r="J260" s="13">
        <v>0.47480106100795755</v>
      </c>
    </row>
    <row r="261" spans="1:10" x14ac:dyDescent="0.45">
      <c r="A261" s="2" t="s">
        <v>46</v>
      </c>
      <c r="B261" s="2">
        <v>1</v>
      </c>
      <c r="C261" s="2">
        <v>20</v>
      </c>
      <c r="D261" s="2">
        <v>5</v>
      </c>
      <c r="E261" s="2">
        <v>26</v>
      </c>
      <c r="G261" s="2" t="s">
        <v>46</v>
      </c>
      <c r="H261" s="13">
        <v>3.8461538461538464E-2</v>
      </c>
      <c r="I261" s="13">
        <v>0.76923076923076927</v>
      </c>
      <c r="J261" s="13">
        <v>0.19230769230769232</v>
      </c>
    </row>
    <row r="263" spans="1:10" x14ac:dyDescent="0.45">
      <c r="A263" s="14" t="s">
        <v>11</v>
      </c>
      <c r="B263" s="14" t="s">
        <v>42</v>
      </c>
      <c r="C263" s="14" t="s">
        <v>43</v>
      </c>
      <c r="D263" s="14" t="s">
        <v>44</v>
      </c>
      <c r="E263" s="14">
        <v>403</v>
      </c>
      <c r="G263" s="14" t="s">
        <v>11</v>
      </c>
      <c r="H263" s="14" t="s">
        <v>42</v>
      </c>
      <c r="I263" s="14" t="s">
        <v>43</v>
      </c>
      <c r="J263" s="14" t="s">
        <v>44</v>
      </c>
    </row>
    <row r="264" spans="1:10" x14ac:dyDescent="0.45">
      <c r="A264" s="2" t="s">
        <v>45</v>
      </c>
      <c r="B264" s="2">
        <v>0</v>
      </c>
      <c r="C264" s="2">
        <v>68</v>
      </c>
      <c r="D264" s="2">
        <v>309</v>
      </c>
      <c r="E264" s="2">
        <v>377</v>
      </c>
      <c r="G264" s="2" t="s">
        <v>45</v>
      </c>
      <c r="H264" s="13">
        <v>0</v>
      </c>
      <c r="I264" s="13">
        <v>0.18037135278514588</v>
      </c>
      <c r="J264" s="13">
        <v>0.81962864721485407</v>
      </c>
    </row>
    <row r="265" spans="1:10" x14ac:dyDescent="0.45">
      <c r="A265" s="2" t="s">
        <v>46</v>
      </c>
      <c r="B265" s="2">
        <v>0</v>
      </c>
      <c r="C265" s="2">
        <v>6</v>
      </c>
      <c r="D265" s="2">
        <v>20</v>
      </c>
      <c r="E265" s="2">
        <v>26</v>
      </c>
      <c r="G265" s="2" t="s">
        <v>46</v>
      </c>
      <c r="H265" s="13">
        <v>0</v>
      </c>
      <c r="I265" s="13">
        <v>0.23076923076923078</v>
      </c>
      <c r="J265" s="13">
        <v>0.76923076923076927</v>
      </c>
    </row>
    <row r="267" spans="1:10" x14ac:dyDescent="0.45">
      <c r="A267" s="14" t="s">
        <v>12</v>
      </c>
      <c r="B267" s="14" t="s">
        <v>42</v>
      </c>
      <c r="C267" s="14" t="s">
        <v>43</v>
      </c>
      <c r="D267" s="14" t="s">
        <v>44</v>
      </c>
      <c r="E267" s="14">
        <v>403</v>
      </c>
      <c r="G267" s="14" t="s">
        <v>12</v>
      </c>
      <c r="H267" s="14" t="s">
        <v>42</v>
      </c>
      <c r="I267" s="14" t="s">
        <v>43</v>
      </c>
      <c r="J267" s="14" t="s">
        <v>44</v>
      </c>
    </row>
    <row r="268" spans="1:10" x14ac:dyDescent="0.45">
      <c r="A268" s="2" t="s">
        <v>47</v>
      </c>
      <c r="B268" s="2">
        <v>0</v>
      </c>
      <c r="C268" s="2">
        <v>3</v>
      </c>
      <c r="D268" s="2">
        <v>52</v>
      </c>
      <c r="E268" s="2">
        <v>55</v>
      </c>
      <c r="G268" s="2" t="s">
        <v>47</v>
      </c>
      <c r="H268" s="8">
        <v>0</v>
      </c>
      <c r="I268" s="8">
        <v>5.4545454545454543E-2</v>
      </c>
      <c r="J268" s="8">
        <v>0.94545454545454544</v>
      </c>
    </row>
    <row r="269" spans="1:10" x14ac:dyDescent="0.45">
      <c r="A269" s="2" t="s">
        <v>48</v>
      </c>
      <c r="B269" s="2">
        <v>0</v>
      </c>
      <c r="C269" s="2">
        <v>5</v>
      </c>
      <c r="D269" s="2">
        <v>74</v>
      </c>
      <c r="E269" s="2">
        <v>79</v>
      </c>
      <c r="G269" s="2" t="s">
        <v>48</v>
      </c>
      <c r="H269" s="8">
        <v>0</v>
      </c>
      <c r="I269" s="8">
        <v>6.3291139240506333E-2</v>
      </c>
      <c r="J269" s="8">
        <v>0.93670886075949367</v>
      </c>
    </row>
    <row r="270" spans="1:10" x14ac:dyDescent="0.45">
      <c r="A270" s="2" t="s">
        <v>49</v>
      </c>
      <c r="B270" s="2">
        <v>0</v>
      </c>
      <c r="C270" s="2">
        <v>4</v>
      </c>
      <c r="D270" s="2">
        <v>128</v>
      </c>
      <c r="E270" s="2">
        <v>132</v>
      </c>
      <c r="G270" s="2" t="s">
        <v>49</v>
      </c>
      <c r="H270" s="8">
        <v>0</v>
      </c>
      <c r="I270" s="8">
        <v>3.0303030303030304E-2</v>
      </c>
      <c r="J270" s="8">
        <v>0.96969696969696972</v>
      </c>
    </row>
    <row r="271" spans="1:10" x14ac:dyDescent="0.45">
      <c r="A271" s="2" t="s">
        <v>50</v>
      </c>
      <c r="B271" s="2">
        <v>0</v>
      </c>
      <c r="C271" s="2">
        <v>3</v>
      </c>
      <c r="D271" s="2">
        <v>76</v>
      </c>
      <c r="E271" s="2">
        <v>79</v>
      </c>
      <c r="G271" s="2" t="s">
        <v>50</v>
      </c>
      <c r="H271" s="8">
        <v>0</v>
      </c>
      <c r="I271" s="8">
        <v>3.7974683544303799E-2</v>
      </c>
      <c r="J271" s="8">
        <v>0.96202531645569622</v>
      </c>
    </row>
    <row r="272" spans="1:10" x14ac:dyDescent="0.45">
      <c r="A272" s="2" t="s">
        <v>51</v>
      </c>
      <c r="B272" s="2">
        <v>0</v>
      </c>
      <c r="C272" s="2">
        <v>1</v>
      </c>
      <c r="D272" s="2">
        <v>30</v>
      </c>
      <c r="E272" s="2">
        <v>31</v>
      </c>
      <c r="G272" s="2" t="s">
        <v>51</v>
      </c>
      <c r="H272" s="8">
        <v>0</v>
      </c>
      <c r="I272" s="8">
        <v>3.2258064516129031E-2</v>
      </c>
      <c r="J272" s="8">
        <v>0.967741935483871</v>
      </c>
    </row>
    <row r="273" spans="1:10" x14ac:dyDescent="0.45">
      <c r="A273" s="2" t="s">
        <v>52</v>
      </c>
      <c r="B273" s="2">
        <v>0</v>
      </c>
      <c r="C273" s="2">
        <v>1</v>
      </c>
      <c r="D273" s="2">
        <v>26</v>
      </c>
      <c r="E273" s="2">
        <v>27</v>
      </c>
      <c r="G273" s="2" t="s">
        <v>52</v>
      </c>
      <c r="H273" s="8">
        <v>0</v>
      </c>
      <c r="I273" s="8">
        <v>3.7037037037037035E-2</v>
      </c>
      <c r="J273" s="8">
        <v>0.96296296296296291</v>
      </c>
    </row>
    <row r="275" spans="1:10" x14ac:dyDescent="0.45">
      <c r="A275" s="14" t="s">
        <v>13</v>
      </c>
      <c r="B275" s="14" t="s">
        <v>42</v>
      </c>
      <c r="C275" s="14" t="s">
        <v>43</v>
      </c>
      <c r="D275" s="14" t="s">
        <v>44</v>
      </c>
      <c r="E275" s="14">
        <v>402</v>
      </c>
      <c r="G275" s="14" t="s">
        <v>13</v>
      </c>
      <c r="H275" s="14" t="s">
        <v>42</v>
      </c>
      <c r="I275" s="14" t="s">
        <v>43</v>
      </c>
      <c r="J275" s="14" t="s">
        <v>44</v>
      </c>
    </row>
    <row r="276" spans="1:10" x14ac:dyDescent="0.45">
      <c r="A276" s="2" t="s">
        <v>47</v>
      </c>
      <c r="B276" s="2">
        <v>1</v>
      </c>
      <c r="C276" s="2">
        <v>17</v>
      </c>
      <c r="D276" s="2">
        <v>36</v>
      </c>
      <c r="E276" s="2">
        <v>54</v>
      </c>
      <c r="G276" s="2" t="s">
        <v>47</v>
      </c>
      <c r="H276" s="8">
        <v>1.8518518518518517E-2</v>
      </c>
      <c r="I276" s="8">
        <v>0.31481481481481483</v>
      </c>
      <c r="J276" s="8">
        <v>0.66666666666666663</v>
      </c>
    </row>
    <row r="277" spans="1:10" x14ac:dyDescent="0.45">
      <c r="A277" s="2" t="s">
        <v>48</v>
      </c>
      <c r="B277" s="2">
        <v>0</v>
      </c>
      <c r="C277" s="2">
        <v>38</v>
      </c>
      <c r="D277" s="2">
        <v>41</v>
      </c>
      <c r="E277" s="2">
        <v>79</v>
      </c>
      <c r="G277" s="2" t="s">
        <v>48</v>
      </c>
      <c r="H277" s="8">
        <v>0</v>
      </c>
      <c r="I277" s="8">
        <v>0.48101265822784811</v>
      </c>
      <c r="J277" s="8">
        <v>0.51898734177215189</v>
      </c>
    </row>
    <row r="278" spans="1:10" x14ac:dyDescent="0.45">
      <c r="A278" s="2" t="s">
        <v>49</v>
      </c>
      <c r="B278" s="2">
        <v>0</v>
      </c>
      <c r="C278" s="2">
        <v>53</v>
      </c>
      <c r="D278" s="2">
        <v>79</v>
      </c>
      <c r="E278" s="2">
        <v>132</v>
      </c>
      <c r="G278" s="2" t="s">
        <v>49</v>
      </c>
      <c r="H278" s="8">
        <v>0</v>
      </c>
      <c r="I278" s="8">
        <v>0.40151515151515149</v>
      </c>
      <c r="J278" s="8">
        <v>0.59848484848484851</v>
      </c>
    </row>
    <row r="279" spans="1:10" x14ac:dyDescent="0.45">
      <c r="A279" s="2" t="s">
        <v>50</v>
      </c>
      <c r="B279" s="2">
        <v>0</v>
      </c>
      <c r="C279" s="2">
        <v>37</v>
      </c>
      <c r="D279" s="2">
        <v>42</v>
      </c>
      <c r="E279" s="2">
        <v>79</v>
      </c>
      <c r="G279" s="2" t="s">
        <v>50</v>
      </c>
      <c r="H279" s="8">
        <v>0</v>
      </c>
      <c r="I279" s="8">
        <v>0.46835443037974683</v>
      </c>
      <c r="J279" s="8">
        <v>0.53164556962025311</v>
      </c>
    </row>
    <row r="280" spans="1:10" x14ac:dyDescent="0.45">
      <c r="A280" s="2" t="s">
        <v>51</v>
      </c>
      <c r="B280" s="2">
        <v>0</v>
      </c>
      <c r="C280" s="2">
        <v>14</v>
      </c>
      <c r="D280" s="2">
        <v>17</v>
      </c>
      <c r="E280" s="2">
        <v>31</v>
      </c>
      <c r="G280" s="2" t="s">
        <v>51</v>
      </c>
      <c r="H280" s="8">
        <v>0</v>
      </c>
      <c r="I280" s="8">
        <v>0.45161290322580644</v>
      </c>
      <c r="J280" s="8">
        <v>0.54838709677419351</v>
      </c>
    </row>
    <row r="281" spans="1:10" x14ac:dyDescent="0.45">
      <c r="A281" s="2" t="s">
        <v>52</v>
      </c>
      <c r="B281" s="2">
        <v>0</v>
      </c>
      <c r="C281" s="2">
        <v>17</v>
      </c>
      <c r="D281" s="2">
        <v>10</v>
      </c>
      <c r="E281" s="2">
        <v>27</v>
      </c>
      <c r="G281" s="2" t="s">
        <v>52</v>
      </c>
      <c r="H281" s="8">
        <v>0</v>
      </c>
      <c r="I281" s="8">
        <v>0.62962962962962965</v>
      </c>
      <c r="J281" s="8">
        <v>0.37037037037037035</v>
      </c>
    </row>
    <row r="283" spans="1:10" x14ac:dyDescent="0.45">
      <c r="A283" s="14" t="s">
        <v>14</v>
      </c>
      <c r="B283" s="14" t="s">
        <v>42</v>
      </c>
      <c r="C283" s="14" t="s">
        <v>43</v>
      </c>
      <c r="D283" s="14" t="s">
        <v>44</v>
      </c>
      <c r="E283" s="14">
        <v>402</v>
      </c>
      <c r="G283" s="14" t="s">
        <v>14</v>
      </c>
      <c r="H283" s="14" t="s">
        <v>42</v>
      </c>
      <c r="I283" s="14" t="s">
        <v>43</v>
      </c>
      <c r="J283" s="14" t="s">
        <v>44</v>
      </c>
    </row>
    <row r="284" spans="1:10" x14ac:dyDescent="0.45">
      <c r="A284" s="2" t="s">
        <v>47</v>
      </c>
      <c r="B284" s="2">
        <v>0</v>
      </c>
      <c r="C284" s="2">
        <v>4</v>
      </c>
      <c r="D284" s="2">
        <v>50</v>
      </c>
      <c r="E284" s="2">
        <v>54</v>
      </c>
      <c r="G284" s="2" t="s">
        <v>47</v>
      </c>
      <c r="H284" s="8">
        <v>0</v>
      </c>
      <c r="I284" s="8">
        <v>7.407407407407407E-2</v>
      </c>
      <c r="J284" s="8">
        <v>0.92592592592592593</v>
      </c>
    </row>
    <row r="285" spans="1:10" x14ac:dyDescent="0.45">
      <c r="A285" s="2" t="s">
        <v>48</v>
      </c>
      <c r="B285" s="2">
        <v>0</v>
      </c>
      <c r="C285" s="2">
        <v>1</v>
      </c>
      <c r="D285" s="2">
        <v>78</v>
      </c>
      <c r="E285" s="2">
        <v>79</v>
      </c>
      <c r="G285" s="2" t="s">
        <v>48</v>
      </c>
      <c r="H285" s="8">
        <v>0</v>
      </c>
      <c r="I285" s="8">
        <v>1.2658227848101266E-2</v>
      </c>
      <c r="J285" s="8">
        <v>0.98734177215189878</v>
      </c>
    </row>
    <row r="286" spans="1:10" x14ac:dyDescent="0.45">
      <c r="A286" s="2" t="s">
        <v>49</v>
      </c>
      <c r="B286" s="2">
        <v>0</v>
      </c>
      <c r="C286" s="2">
        <v>5</v>
      </c>
      <c r="D286" s="2">
        <v>127</v>
      </c>
      <c r="E286" s="2">
        <v>132</v>
      </c>
      <c r="G286" s="2" t="s">
        <v>49</v>
      </c>
      <c r="H286" s="8">
        <v>0</v>
      </c>
      <c r="I286" s="8">
        <v>3.787878787878788E-2</v>
      </c>
      <c r="J286" s="8">
        <v>0.96212121212121215</v>
      </c>
    </row>
    <row r="287" spans="1:10" x14ac:dyDescent="0.45">
      <c r="A287" s="2" t="s">
        <v>50</v>
      </c>
      <c r="B287" s="2">
        <v>0</v>
      </c>
      <c r="C287" s="2">
        <v>5</v>
      </c>
      <c r="D287" s="2">
        <v>74</v>
      </c>
      <c r="E287" s="2">
        <v>79</v>
      </c>
      <c r="G287" s="2" t="s">
        <v>50</v>
      </c>
      <c r="H287" s="8">
        <v>0</v>
      </c>
      <c r="I287" s="8">
        <v>6.3291139240506333E-2</v>
      </c>
      <c r="J287" s="8">
        <v>0.93670886075949367</v>
      </c>
    </row>
    <row r="288" spans="1:10" x14ac:dyDescent="0.45">
      <c r="A288" s="2" t="s">
        <v>51</v>
      </c>
      <c r="B288" s="2">
        <v>0</v>
      </c>
      <c r="C288" s="2">
        <v>2</v>
      </c>
      <c r="D288" s="2">
        <v>29</v>
      </c>
      <c r="E288" s="2">
        <v>31</v>
      </c>
      <c r="G288" s="2" t="s">
        <v>51</v>
      </c>
      <c r="H288" s="8">
        <v>0</v>
      </c>
      <c r="I288" s="8">
        <v>6.4516129032258063E-2</v>
      </c>
      <c r="J288" s="8">
        <v>0.93548387096774188</v>
      </c>
    </row>
    <row r="289" spans="1:10" x14ac:dyDescent="0.45">
      <c r="A289" s="2" t="s">
        <v>52</v>
      </c>
      <c r="B289" s="2">
        <v>0</v>
      </c>
      <c r="C289" s="2">
        <v>0</v>
      </c>
      <c r="D289" s="2">
        <v>27</v>
      </c>
      <c r="E289" s="2">
        <v>27</v>
      </c>
      <c r="G289" s="2" t="s">
        <v>52</v>
      </c>
      <c r="H289" s="8">
        <v>0</v>
      </c>
      <c r="I289" s="8">
        <v>0</v>
      </c>
      <c r="J289" s="8">
        <v>1</v>
      </c>
    </row>
    <row r="291" spans="1:10" x14ac:dyDescent="0.45">
      <c r="A291" s="14" t="s">
        <v>15</v>
      </c>
      <c r="B291" s="14" t="s">
        <v>42</v>
      </c>
      <c r="C291" s="14" t="s">
        <v>43</v>
      </c>
      <c r="D291" s="14" t="s">
        <v>44</v>
      </c>
      <c r="E291" s="14">
        <v>402</v>
      </c>
      <c r="G291" s="14" t="s">
        <v>15</v>
      </c>
      <c r="H291" s="14" t="s">
        <v>42</v>
      </c>
      <c r="I291" s="14" t="s">
        <v>43</v>
      </c>
      <c r="J291" s="14" t="s">
        <v>44</v>
      </c>
    </row>
    <row r="292" spans="1:10" x14ac:dyDescent="0.45">
      <c r="A292" s="2" t="s">
        <v>47</v>
      </c>
      <c r="B292" s="2">
        <v>0</v>
      </c>
      <c r="C292" s="2">
        <v>15</v>
      </c>
      <c r="D292" s="2">
        <v>39</v>
      </c>
      <c r="E292" s="2">
        <v>54</v>
      </c>
      <c r="G292" s="2" t="s">
        <v>47</v>
      </c>
      <c r="H292" s="8">
        <v>0</v>
      </c>
      <c r="I292" s="8">
        <v>0.27777777777777779</v>
      </c>
      <c r="J292" s="8">
        <v>0.72222222222222221</v>
      </c>
    </row>
    <row r="293" spans="1:10" x14ac:dyDescent="0.45">
      <c r="A293" s="2" t="s">
        <v>48</v>
      </c>
      <c r="B293" s="2">
        <v>0</v>
      </c>
      <c r="C293" s="2">
        <v>35</v>
      </c>
      <c r="D293" s="2">
        <v>44</v>
      </c>
      <c r="E293" s="2">
        <v>79</v>
      </c>
      <c r="G293" s="2" t="s">
        <v>48</v>
      </c>
      <c r="H293" s="8">
        <v>0</v>
      </c>
      <c r="I293" s="8">
        <v>0.44303797468354428</v>
      </c>
      <c r="J293" s="8">
        <v>0.55696202531645567</v>
      </c>
    </row>
    <row r="294" spans="1:10" x14ac:dyDescent="0.45">
      <c r="A294" s="2" t="s">
        <v>49</v>
      </c>
      <c r="B294" s="2">
        <v>0</v>
      </c>
      <c r="C294" s="2">
        <v>48</v>
      </c>
      <c r="D294" s="2">
        <v>84</v>
      </c>
      <c r="E294" s="2">
        <v>132</v>
      </c>
      <c r="G294" s="2" t="s">
        <v>49</v>
      </c>
      <c r="H294" s="8">
        <v>0</v>
      </c>
      <c r="I294" s="8">
        <v>0.36363636363636365</v>
      </c>
      <c r="J294" s="8">
        <v>0.63636363636363635</v>
      </c>
    </row>
    <row r="295" spans="1:10" x14ac:dyDescent="0.45">
      <c r="A295" s="2" t="s">
        <v>50</v>
      </c>
      <c r="B295" s="2">
        <v>0</v>
      </c>
      <c r="C295" s="2">
        <v>37</v>
      </c>
      <c r="D295" s="2">
        <v>42</v>
      </c>
      <c r="E295" s="2">
        <v>79</v>
      </c>
      <c r="G295" s="2" t="s">
        <v>50</v>
      </c>
      <c r="H295" s="8">
        <v>0</v>
      </c>
      <c r="I295" s="8">
        <v>0.46835443037974683</v>
      </c>
      <c r="J295" s="8">
        <v>0.53164556962025311</v>
      </c>
    </row>
    <row r="296" spans="1:10" x14ac:dyDescent="0.45">
      <c r="A296" s="2" t="s">
        <v>51</v>
      </c>
      <c r="B296" s="2">
        <v>0</v>
      </c>
      <c r="C296" s="2">
        <v>14</v>
      </c>
      <c r="D296" s="2">
        <v>17</v>
      </c>
      <c r="E296" s="2">
        <v>31</v>
      </c>
      <c r="G296" s="2" t="s">
        <v>51</v>
      </c>
      <c r="H296" s="8">
        <v>0</v>
      </c>
      <c r="I296" s="8">
        <v>0.45161290322580644</v>
      </c>
      <c r="J296" s="8">
        <v>0.54838709677419351</v>
      </c>
    </row>
    <row r="297" spans="1:10" x14ac:dyDescent="0.45">
      <c r="A297" s="2" t="s">
        <v>52</v>
      </c>
      <c r="B297" s="2">
        <v>0</v>
      </c>
      <c r="C297" s="2">
        <v>14</v>
      </c>
      <c r="D297" s="2">
        <v>13</v>
      </c>
      <c r="E297" s="2">
        <v>27</v>
      </c>
      <c r="G297" s="2" t="s">
        <v>52</v>
      </c>
      <c r="H297" s="8">
        <v>0</v>
      </c>
      <c r="I297" s="8">
        <v>0.51851851851851849</v>
      </c>
      <c r="J297" s="8">
        <v>0.48148148148148145</v>
      </c>
    </row>
    <row r="299" spans="1:10" x14ac:dyDescent="0.45">
      <c r="A299" s="14" t="s">
        <v>16</v>
      </c>
      <c r="B299" s="14" t="s">
        <v>42</v>
      </c>
      <c r="C299" s="14" t="s">
        <v>43</v>
      </c>
      <c r="D299" s="14" t="s">
        <v>44</v>
      </c>
      <c r="E299" s="14">
        <v>402</v>
      </c>
      <c r="G299" s="14" t="s">
        <v>16</v>
      </c>
      <c r="H299" s="14" t="s">
        <v>42</v>
      </c>
      <c r="I299" s="14" t="s">
        <v>43</v>
      </c>
      <c r="J299" s="14" t="s">
        <v>44</v>
      </c>
    </row>
    <row r="300" spans="1:10" x14ac:dyDescent="0.45">
      <c r="A300" s="2" t="s">
        <v>47</v>
      </c>
      <c r="B300" s="2">
        <v>0</v>
      </c>
      <c r="C300" s="2">
        <v>20</v>
      </c>
      <c r="D300" s="2">
        <v>34</v>
      </c>
      <c r="E300" s="2">
        <v>54</v>
      </c>
      <c r="G300" s="2" t="s">
        <v>47</v>
      </c>
      <c r="H300" s="8">
        <v>0</v>
      </c>
      <c r="I300" s="8">
        <v>0.37037037037037035</v>
      </c>
      <c r="J300" s="8">
        <v>0.62962962962962965</v>
      </c>
    </row>
    <row r="301" spans="1:10" x14ac:dyDescent="0.45">
      <c r="A301" s="2" t="s">
        <v>48</v>
      </c>
      <c r="B301" s="2">
        <v>0</v>
      </c>
      <c r="C301" s="2">
        <v>38</v>
      </c>
      <c r="D301" s="2">
        <v>41</v>
      </c>
      <c r="E301" s="2">
        <v>79</v>
      </c>
      <c r="G301" s="2" t="s">
        <v>48</v>
      </c>
      <c r="H301" s="8">
        <v>0</v>
      </c>
      <c r="I301" s="8">
        <v>0.48101265822784811</v>
      </c>
      <c r="J301" s="8">
        <v>0.51898734177215189</v>
      </c>
    </row>
    <row r="302" spans="1:10" x14ac:dyDescent="0.45">
      <c r="A302" s="2" t="s">
        <v>49</v>
      </c>
      <c r="B302" s="2">
        <v>0</v>
      </c>
      <c r="C302" s="2">
        <v>59</v>
      </c>
      <c r="D302" s="2">
        <v>73</v>
      </c>
      <c r="E302" s="2">
        <v>132</v>
      </c>
      <c r="G302" s="2" t="s">
        <v>49</v>
      </c>
      <c r="H302" s="8">
        <v>0</v>
      </c>
      <c r="I302" s="8">
        <v>0.44696969696969696</v>
      </c>
      <c r="J302" s="8">
        <v>0.55303030303030298</v>
      </c>
    </row>
    <row r="303" spans="1:10" x14ac:dyDescent="0.45">
      <c r="A303" s="2" t="s">
        <v>50</v>
      </c>
      <c r="B303" s="2">
        <v>0</v>
      </c>
      <c r="C303" s="2">
        <v>41</v>
      </c>
      <c r="D303" s="2">
        <v>38</v>
      </c>
      <c r="E303" s="2">
        <v>79</v>
      </c>
      <c r="G303" s="2" t="s">
        <v>50</v>
      </c>
      <c r="H303" s="8">
        <v>0</v>
      </c>
      <c r="I303" s="8">
        <v>0.51898734177215189</v>
      </c>
      <c r="J303" s="8">
        <v>0.48101265822784811</v>
      </c>
    </row>
    <row r="304" spans="1:10" x14ac:dyDescent="0.45">
      <c r="A304" s="2" t="s">
        <v>51</v>
      </c>
      <c r="B304" s="2">
        <v>0</v>
      </c>
      <c r="C304" s="2">
        <v>15</v>
      </c>
      <c r="D304" s="2">
        <v>16</v>
      </c>
      <c r="E304" s="2">
        <v>31</v>
      </c>
      <c r="G304" s="2" t="s">
        <v>51</v>
      </c>
      <c r="H304" s="8">
        <v>0</v>
      </c>
      <c r="I304" s="8">
        <v>0.4838709677419355</v>
      </c>
      <c r="J304" s="8">
        <v>0.5161290322580645</v>
      </c>
    </row>
    <row r="305" spans="1:10" x14ac:dyDescent="0.45">
      <c r="A305" s="2" t="s">
        <v>52</v>
      </c>
      <c r="B305" s="2">
        <v>0</v>
      </c>
      <c r="C305" s="2">
        <v>15</v>
      </c>
      <c r="D305" s="2">
        <v>12</v>
      </c>
      <c r="E305" s="2">
        <v>27</v>
      </c>
      <c r="G305" s="2" t="s">
        <v>52</v>
      </c>
      <c r="H305" s="8">
        <v>0</v>
      </c>
      <c r="I305" s="8">
        <v>0.55555555555555558</v>
      </c>
      <c r="J305" s="8">
        <v>0.44444444444444442</v>
      </c>
    </row>
    <row r="307" spans="1:10" x14ac:dyDescent="0.45">
      <c r="A307" s="14" t="s">
        <v>14</v>
      </c>
      <c r="B307" s="14" t="s">
        <v>42</v>
      </c>
      <c r="C307" s="14" t="s">
        <v>43</v>
      </c>
      <c r="D307" s="14" t="s">
        <v>44</v>
      </c>
      <c r="E307" s="14">
        <v>402</v>
      </c>
      <c r="G307" s="14" t="s">
        <v>14</v>
      </c>
      <c r="H307" s="14" t="s">
        <v>42</v>
      </c>
      <c r="I307" s="14" t="s">
        <v>43</v>
      </c>
      <c r="J307" s="14" t="s">
        <v>44</v>
      </c>
    </row>
    <row r="308" spans="1:10" x14ac:dyDescent="0.45">
      <c r="A308" s="2" t="s">
        <v>53</v>
      </c>
      <c r="B308" s="2">
        <v>0</v>
      </c>
      <c r="C308" s="2">
        <v>2</v>
      </c>
      <c r="D308" s="2">
        <v>39</v>
      </c>
      <c r="E308" s="2">
        <v>41</v>
      </c>
      <c r="G308" s="2" t="s">
        <v>53</v>
      </c>
      <c r="H308" s="8">
        <v>0</v>
      </c>
      <c r="I308" s="8">
        <v>4.878048780487805E-2</v>
      </c>
      <c r="J308" s="8">
        <v>0.95121951219512191</v>
      </c>
    </row>
    <row r="309" spans="1:10" x14ac:dyDescent="0.45">
      <c r="A309" s="2" t="s">
        <v>54</v>
      </c>
      <c r="B309" s="2">
        <v>0</v>
      </c>
      <c r="C309" s="2">
        <v>2</v>
      </c>
      <c r="D309" s="2">
        <v>77</v>
      </c>
      <c r="E309" s="2">
        <v>79</v>
      </c>
      <c r="G309" s="2" t="s">
        <v>54</v>
      </c>
      <c r="H309" s="8">
        <v>0</v>
      </c>
      <c r="I309" s="8">
        <v>2.5316455696202531E-2</v>
      </c>
      <c r="J309" s="8">
        <v>0.97468354430379744</v>
      </c>
    </row>
    <row r="310" spans="1:10" x14ac:dyDescent="0.45">
      <c r="A310" s="2" t="s">
        <v>55</v>
      </c>
      <c r="B310" s="2">
        <v>0</v>
      </c>
      <c r="C310" s="2">
        <v>1</v>
      </c>
      <c r="D310" s="2">
        <v>39</v>
      </c>
      <c r="E310" s="2">
        <v>40</v>
      </c>
      <c r="G310" s="2" t="s">
        <v>55</v>
      </c>
      <c r="H310" s="8">
        <v>0</v>
      </c>
      <c r="I310" s="8">
        <v>2.5000000000000001E-2</v>
      </c>
      <c r="J310" s="8">
        <v>0.97499999999999998</v>
      </c>
    </row>
    <row r="311" spans="1:10" x14ac:dyDescent="0.45">
      <c r="A311" s="2" t="s">
        <v>56</v>
      </c>
      <c r="B311" s="2">
        <v>0</v>
      </c>
      <c r="C311" s="2">
        <v>2</v>
      </c>
      <c r="D311" s="2">
        <v>51</v>
      </c>
      <c r="E311" s="2">
        <v>53</v>
      </c>
      <c r="G311" s="2" t="s">
        <v>56</v>
      </c>
      <c r="H311" s="8">
        <v>0</v>
      </c>
      <c r="I311" s="8">
        <v>3.7735849056603772E-2</v>
      </c>
      <c r="J311" s="8">
        <v>0.96226415094339623</v>
      </c>
    </row>
    <row r="312" spans="1:10" x14ac:dyDescent="0.45">
      <c r="A312" s="2" t="s">
        <v>57</v>
      </c>
      <c r="B312" s="2">
        <v>0</v>
      </c>
      <c r="C312" s="2">
        <v>2</v>
      </c>
      <c r="D312" s="2">
        <v>51</v>
      </c>
      <c r="E312" s="2">
        <v>53</v>
      </c>
      <c r="G312" s="2" t="s">
        <v>57</v>
      </c>
      <c r="H312" s="8">
        <v>0</v>
      </c>
      <c r="I312" s="8">
        <v>3.7735849056603772E-2</v>
      </c>
      <c r="J312" s="8">
        <v>0.96226415094339623</v>
      </c>
    </row>
    <row r="313" spans="1:10" x14ac:dyDescent="0.45">
      <c r="A313" s="2" t="s">
        <v>58</v>
      </c>
      <c r="B313" s="2">
        <v>0</v>
      </c>
      <c r="C313" s="2">
        <v>1</v>
      </c>
      <c r="D313" s="2">
        <v>61</v>
      </c>
      <c r="E313" s="2">
        <v>62</v>
      </c>
      <c r="G313" s="2" t="s">
        <v>58</v>
      </c>
      <c r="H313" s="8">
        <v>0</v>
      </c>
      <c r="I313" s="8">
        <v>1.6129032258064516E-2</v>
      </c>
      <c r="J313" s="8">
        <v>0.9838709677419355</v>
      </c>
    </row>
    <row r="314" spans="1:10" x14ac:dyDescent="0.45">
      <c r="A314" s="2" t="s">
        <v>59</v>
      </c>
      <c r="B314" s="2">
        <v>0</v>
      </c>
      <c r="C314" s="2">
        <v>4</v>
      </c>
      <c r="D314" s="2">
        <v>35</v>
      </c>
      <c r="E314" s="2">
        <v>39</v>
      </c>
      <c r="G314" s="2" t="s">
        <v>59</v>
      </c>
      <c r="H314" s="8">
        <v>0</v>
      </c>
      <c r="I314" s="8">
        <v>0.10256410256410256</v>
      </c>
      <c r="J314" s="8">
        <v>0.89743589743589747</v>
      </c>
    </row>
    <row r="315" spans="1:10" x14ac:dyDescent="0.45">
      <c r="A315" s="2" t="s">
        <v>60</v>
      </c>
      <c r="B315" s="2">
        <v>0</v>
      </c>
      <c r="C315" s="2">
        <v>3</v>
      </c>
      <c r="D315" s="2">
        <v>32</v>
      </c>
      <c r="E315" s="2">
        <v>35</v>
      </c>
      <c r="G315" s="2" t="s">
        <v>60</v>
      </c>
      <c r="H315" s="8">
        <v>0</v>
      </c>
      <c r="I315" s="8">
        <v>8.5714285714285715E-2</v>
      </c>
      <c r="J315" s="8">
        <v>0.91428571428571426</v>
      </c>
    </row>
    <row r="317" spans="1:10" x14ac:dyDescent="0.45">
      <c r="A317" s="14" t="s">
        <v>15</v>
      </c>
      <c r="B317" s="14" t="s">
        <v>42</v>
      </c>
      <c r="C317" s="14" t="s">
        <v>43</v>
      </c>
      <c r="D317" s="14" t="s">
        <v>44</v>
      </c>
      <c r="E317" s="14">
        <v>402</v>
      </c>
      <c r="G317" s="14" t="s">
        <v>15</v>
      </c>
      <c r="H317" s="14" t="s">
        <v>42</v>
      </c>
      <c r="I317" s="14" t="s">
        <v>43</v>
      </c>
      <c r="J317" s="14" t="s">
        <v>44</v>
      </c>
    </row>
    <row r="318" spans="1:10" x14ac:dyDescent="0.45">
      <c r="A318" s="2" t="s">
        <v>53</v>
      </c>
      <c r="B318" s="2">
        <v>0</v>
      </c>
      <c r="C318" s="2">
        <v>12</v>
      </c>
      <c r="D318" s="2">
        <v>29</v>
      </c>
      <c r="E318" s="2">
        <v>41</v>
      </c>
      <c r="G318" s="2" t="s">
        <v>53</v>
      </c>
      <c r="H318" s="8">
        <v>0</v>
      </c>
      <c r="I318" s="8">
        <v>0.29268292682926828</v>
      </c>
      <c r="J318" s="8">
        <v>0.70731707317073167</v>
      </c>
    </row>
    <row r="319" spans="1:10" x14ac:dyDescent="0.45">
      <c r="A319" s="2" t="s">
        <v>54</v>
      </c>
      <c r="B319" s="2">
        <v>0</v>
      </c>
      <c r="C319" s="2">
        <v>26</v>
      </c>
      <c r="D319" s="2">
        <v>53</v>
      </c>
      <c r="E319" s="2">
        <v>79</v>
      </c>
      <c r="G319" s="2" t="s">
        <v>54</v>
      </c>
      <c r="H319" s="8">
        <v>0</v>
      </c>
      <c r="I319" s="8">
        <v>0.32911392405063289</v>
      </c>
      <c r="J319" s="8">
        <v>0.67088607594936711</v>
      </c>
    </row>
    <row r="320" spans="1:10" x14ac:dyDescent="0.45">
      <c r="A320" s="2" t="s">
        <v>55</v>
      </c>
      <c r="B320" s="2">
        <v>0</v>
      </c>
      <c r="C320" s="2">
        <v>15</v>
      </c>
      <c r="D320" s="2">
        <v>25</v>
      </c>
      <c r="E320" s="2">
        <v>40</v>
      </c>
      <c r="G320" s="2" t="s">
        <v>55</v>
      </c>
      <c r="H320" s="8">
        <v>0</v>
      </c>
      <c r="I320" s="8">
        <v>0.375</v>
      </c>
      <c r="J320" s="8">
        <v>0.625</v>
      </c>
    </row>
    <row r="321" spans="1:10" x14ac:dyDescent="0.45">
      <c r="A321" s="2" t="s">
        <v>56</v>
      </c>
      <c r="B321" s="2">
        <v>0</v>
      </c>
      <c r="C321" s="2">
        <v>29</v>
      </c>
      <c r="D321" s="2">
        <v>24</v>
      </c>
      <c r="E321" s="2">
        <v>53</v>
      </c>
      <c r="G321" s="2" t="s">
        <v>56</v>
      </c>
      <c r="H321" s="8">
        <v>0</v>
      </c>
      <c r="I321" s="8">
        <v>0.54716981132075471</v>
      </c>
      <c r="J321" s="8">
        <v>0.45283018867924529</v>
      </c>
    </row>
    <row r="322" spans="1:10" x14ac:dyDescent="0.45">
      <c r="A322" s="2" t="s">
        <v>57</v>
      </c>
      <c r="B322" s="2">
        <v>0</v>
      </c>
      <c r="C322" s="2">
        <v>26</v>
      </c>
      <c r="D322" s="2">
        <v>27</v>
      </c>
      <c r="E322" s="2">
        <v>53</v>
      </c>
      <c r="G322" s="2" t="s">
        <v>57</v>
      </c>
      <c r="H322" s="8">
        <v>0</v>
      </c>
      <c r="I322" s="8">
        <v>0.49056603773584906</v>
      </c>
      <c r="J322" s="8">
        <v>0.50943396226415094</v>
      </c>
    </row>
    <row r="323" spans="1:10" x14ac:dyDescent="0.45">
      <c r="A323" s="2" t="s">
        <v>58</v>
      </c>
      <c r="B323" s="2">
        <v>0</v>
      </c>
      <c r="C323" s="2">
        <v>24</v>
      </c>
      <c r="D323" s="2">
        <v>38</v>
      </c>
      <c r="E323" s="2">
        <v>62</v>
      </c>
      <c r="G323" s="2" t="s">
        <v>58</v>
      </c>
      <c r="H323" s="8">
        <v>0</v>
      </c>
      <c r="I323" s="8">
        <v>0.38709677419354838</v>
      </c>
      <c r="J323" s="8">
        <v>0.61290322580645162</v>
      </c>
    </row>
    <row r="324" spans="1:10" x14ac:dyDescent="0.45">
      <c r="A324" s="2" t="s">
        <v>59</v>
      </c>
      <c r="B324" s="2">
        <v>0</v>
      </c>
      <c r="C324" s="2">
        <v>18</v>
      </c>
      <c r="D324" s="2">
        <v>21</v>
      </c>
      <c r="E324" s="2">
        <v>39</v>
      </c>
      <c r="G324" s="2" t="s">
        <v>59</v>
      </c>
      <c r="H324" s="8">
        <v>0</v>
      </c>
      <c r="I324" s="8">
        <v>0.46153846153846156</v>
      </c>
      <c r="J324" s="8">
        <v>0.53846153846153844</v>
      </c>
    </row>
    <row r="325" spans="1:10" x14ac:dyDescent="0.45">
      <c r="A325" s="2" t="s">
        <v>60</v>
      </c>
      <c r="B325" s="2">
        <v>0</v>
      </c>
      <c r="C325" s="2">
        <v>13</v>
      </c>
      <c r="D325" s="2">
        <v>22</v>
      </c>
      <c r="E325" s="2">
        <v>35</v>
      </c>
      <c r="G325" s="2" t="s">
        <v>60</v>
      </c>
      <c r="H325" s="8">
        <v>0</v>
      </c>
      <c r="I325" s="8">
        <v>0.37142857142857144</v>
      </c>
      <c r="J325" s="8">
        <v>0.62857142857142856</v>
      </c>
    </row>
    <row r="327" spans="1:10" x14ac:dyDescent="0.45">
      <c r="A327" s="14" t="s">
        <v>61</v>
      </c>
      <c r="B327" s="14" t="s">
        <v>42</v>
      </c>
      <c r="C327" s="14" t="s">
        <v>43</v>
      </c>
      <c r="D327" s="14" t="s">
        <v>44</v>
      </c>
      <c r="E327" s="14">
        <v>402</v>
      </c>
      <c r="G327" s="14" t="s">
        <v>61</v>
      </c>
      <c r="H327" s="14" t="s">
        <v>42</v>
      </c>
      <c r="I327" s="14" t="s">
        <v>43</v>
      </c>
      <c r="J327" s="14" t="s">
        <v>44</v>
      </c>
    </row>
    <row r="328" spans="1:10" x14ac:dyDescent="0.45">
      <c r="A328" s="2" t="s">
        <v>47</v>
      </c>
      <c r="B328" s="2">
        <v>0</v>
      </c>
      <c r="C328" s="2">
        <v>2</v>
      </c>
      <c r="D328" s="2">
        <v>52</v>
      </c>
      <c r="E328" s="2">
        <v>54</v>
      </c>
      <c r="G328" s="2" t="s">
        <v>47</v>
      </c>
      <c r="H328" s="8">
        <v>0</v>
      </c>
      <c r="I328" s="8">
        <v>3.7037037037037035E-2</v>
      </c>
      <c r="J328" s="8">
        <v>0.96296296296296291</v>
      </c>
    </row>
    <row r="329" spans="1:10" x14ac:dyDescent="0.45">
      <c r="A329" s="2" t="s">
        <v>48</v>
      </c>
      <c r="B329" s="2">
        <v>0</v>
      </c>
      <c r="C329" s="2">
        <v>4</v>
      </c>
      <c r="D329" s="2">
        <v>75</v>
      </c>
      <c r="E329" s="2">
        <v>79</v>
      </c>
      <c r="G329" s="2" t="s">
        <v>48</v>
      </c>
      <c r="H329" s="8">
        <v>0</v>
      </c>
      <c r="I329" s="8">
        <v>5.0632911392405063E-2</v>
      </c>
      <c r="J329" s="8">
        <v>0.94936708860759489</v>
      </c>
    </row>
    <row r="330" spans="1:10" x14ac:dyDescent="0.45">
      <c r="A330" s="2" t="s">
        <v>49</v>
      </c>
      <c r="B330" s="2">
        <v>0</v>
      </c>
      <c r="C330" s="2">
        <v>2</v>
      </c>
      <c r="D330" s="2">
        <v>130</v>
      </c>
      <c r="E330" s="2">
        <v>132</v>
      </c>
      <c r="G330" s="2" t="s">
        <v>49</v>
      </c>
      <c r="H330" s="8">
        <v>0</v>
      </c>
      <c r="I330" s="8">
        <v>1.5151515151515152E-2</v>
      </c>
      <c r="J330" s="8">
        <v>0.98484848484848486</v>
      </c>
    </row>
    <row r="331" spans="1:10" x14ac:dyDescent="0.45">
      <c r="A331" s="2" t="s">
        <v>50</v>
      </c>
      <c r="B331" s="2">
        <v>0</v>
      </c>
      <c r="C331" s="2">
        <v>4</v>
      </c>
      <c r="D331" s="2">
        <v>75</v>
      </c>
      <c r="E331" s="2">
        <v>79</v>
      </c>
      <c r="G331" s="2" t="s">
        <v>50</v>
      </c>
      <c r="H331" s="8">
        <v>0</v>
      </c>
      <c r="I331" s="8">
        <v>5.0632911392405063E-2</v>
      </c>
      <c r="J331" s="8">
        <v>0.94936708860759489</v>
      </c>
    </row>
    <row r="332" spans="1:10" x14ac:dyDescent="0.45">
      <c r="A332" s="2" t="s">
        <v>51</v>
      </c>
      <c r="B332" s="2">
        <v>0</v>
      </c>
      <c r="C332" s="2">
        <v>1</v>
      </c>
      <c r="D332" s="2">
        <v>30</v>
      </c>
      <c r="E332" s="2">
        <v>31</v>
      </c>
      <c r="G332" s="2" t="s">
        <v>51</v>
      </c>
      <c r="H332" s="8">
        <v>0</v>
      </c>
      <c r="I332" s="8">
        <v>3.2258064516129031E-2</v>
      </c>
      <c r="J332" s="8">
        <v>0.967741935483871</v>
      </c>
    </row>
    <row r="333" spans="1:10" x14ac:dyDescent="0.45">
      <c r="A333" s="2" t="s">
        <v>52</v>
      </c>
      <c r="B333" s="2">
        <v>0</v>
      </c>
      <c r="C333" s="2">
        <v>0</v>
      </c>
      <c r="D333" s="2">
        <v>27</v>
      </c>
      <c r="E333" s="2">
        <v>27</v>
      </c>
      <c r="G333" s="2" t="s">
        <v>52</v>
      </c>
      <c r="H333" s="8">
        <v>0</v>
      </c>
      <c r="I333" s="8">
        <v>0</v>
      </c>
      <c r="J333" s="8">
        <v>1</v>
      </c>
    </row>
    <row r="336" spans="1:10" x14ac:dyDescent="0.45">
      <c r="A336" s="19" t="s">
        <v>66</v>
      </c>
      <c r="B336" s="19"/>
      <c r="C336" s="19"/>
      <c r="D336" s="19"/>
      <c r="E336" s="19"/>
      <c r="F336" s="19"/>
      <c r="G336" s="19"/>
      <c r="H336" s="19"/>
      <c r="I336" s="19"/>
      <c r="J336" s="19"/>
    </row>
    <row r="337" spans="1:10" x14ac:dyDescent="0.45">
      <c r="A337" s="14" t="s">
        <v>9</v>
      </c>
      <c r="B337" s="14" t="s">
        <v>42</v>
      </c>
      <c r="C337" s="14" t="s">
        <v>43</v>
      </c>
      <c r="D337" s="14" t="s">
        <v>44</v>
      </c>
      <c r="E337" s="14">
        <v>403</v>
      </c>
      <c r="G337" s="14" t="s">
        <v>9</v>
      </c>
      <c r="H337" s="14" t="s">
        <v>42</v>
      </c>
      <c r="I337" s="14" t="s">
        <v>43</v>
      </c>
      <c r="J337" s="14" t="s">
        <v>44</v>
      </c>
    </row>
    <row r="338" spans="1:10" x14ac:dyDescent="0.45">
      <c r="A338" s="2" t="s">
        <v>45</v>
      </c>
      <c r="B338" s="2">
        <v>4</v>
      </c>
      <c r="C338" s="2">
        <v>251</v>
      </c>
      <c r="D338" s="2">
        <v>122</v>
      </c>
      <c r="E338" s="2">
        <v>377</v>
      </c>
      <c r="G338" s="2" t="s">
        <v>45</v>
      </c>
      <c r="H338" s="13">
        <v>1.0610079575596816E-2</v>
      </c>
      <c r="I338" s="13">
        <v>0.66578249336870021</v>
      </c>
      <c r="J338" s="13">
        <v>0.32360742705570295</v>
      </c>
    </row>
    <row r="339" spans="1:10" x14ac:dyDescent="0.45">
      <c r="A339" s="2" t="s">
        <v>46</v>
      </c>
      <c r="B339" s="2">
        <v>2</v>
      </c>
      <c r="C339" s="2">
        <v>18</v>
      </c>
      <c r="D339" s="2">
        <v>6</v>
      </c>
      <c r="E339" s="2">
        <v>26</v>
      </c>
      <c r="G339" s="2" t="s">
        <v>46</v>
      </c>
      <c r="H339" s="13">
        <v>7.6923076923076927E-2</v>
      </c>
      <c r="I339" s="13">
        <v>0.69230769230769229</v>
      </c>
      <c r="J339" s="13">
        <v>0.23076923076923078</v>
      </c>
    </row>
    <row r="341" spans="1:10" x14ac:dyDescent="0.45">
      <c r="A341" s="14" t="s">
        <v>10</v>
      </c>
      <c r="B341" s="14" t="s">
        <v>42</v>
      </c>
      <c r="C341" s="14" t="s">
        <v>43</v>
      </c>
      <c r="D341" s="14" t="s">
        <v>44</v>
      </c>
      <c r="E341" s="14">
        <v>403</v>
      </c>
      <c r="G341" s="14" t="s">
        <v>10</v>
      </c>
      <c r="H341" s="14" t="s">
        <v>42</v>
      </c>
      <c r="I341" s="14" t="s">
        <v>43</v>
      </c>
      <c r="J341" s="14" t="s">
        <v>44</v>
      </c>
    </row>
    <row r="342" spans="1:10" x14ac:dyDescent="0.45">
      <c r="A342" s="2" t="s">
        <v>45</v>
      </c>
      <c r="B342" s="2">
        <v>2</v>
      </c>
      <c r="C342" s="2">
        <v>187</v>
      </c>
      <c r="D342" s="2">
        <v>188</v>
      </c>
      <c r="E342" s="2">
        <v>377</v>
      </c>
      <c r="G342" s="2" t="s">
        <v>45</v>
      </c>
      <c r="H342" s="13">
        <v>5.3050397877984082E-3</v>
      </c>
      <c r="I342" s="13">
        <v>0.49602122015915118</v>
      </c>
      <c r="J342" s="13">
        <v>0.49867374005305037</v>
      </c>
    </row>
    <row r="343" spans="1:10" x14ac:dyDescent="0.45">
      <c r="A343" s="2" t="s">
        <v>46</v>
      </c>
      <c r="B343" s="2">
        <v>0</v>
      </c>
      <c r="C343" s="2">
        <v>17</v>
      </c>
      <c r="D343" s="2">
        <v>9</v>
      </c>
      <c r="E343" s="2">
        <v>26</v>
      </c>
      <c r="G343" s="2" t="s">
        <v>46</v>
      </c>
      <c r="H343" s="13">
        <v>0</v>
      </c>
      <c r="I343" s="13">
        <v>0.65384615384615385</v>
      </c>
      <c r="J343" s="13">
        <v>0.34615384615384615</v>
      </c>
    </row>
    <row r="345" spans="1:10" x14ac:dyDescent="0.45">
      <c r="A345" s="14" t="s">
        <v>11</v>
      </c>
      <c r="B345" s="14" t="s">
        <v>42</v>
      </c>
      <c r="C345" s="14" t="s">
        <v>43</v>
      </c>
      <c r="D345" s="14" t="s">
        <v>44</v>
      </c>
      <c r="E345" s="14">
        <v>403</v>
      </c>
      <c r="G345" s="14" t="s">
        <v>11</v>
      </c>
      <c r="H345" s="14" t="s">
        <v>42</v>
      </c>
      <c r="I345" s="14" t="s">
        <v>43</v>
      </c>
      <c r="J345" s="14" t="s">
        <v>44</v>
      </c>
    </row>
    <row r="346" spans="1:10" x14ac:dyDescent="0.45">
      <c r="A346" s="2" t="s">
        <v>45</v>
      </c>
      <c r="B346" s="2">
        <v>0</v>
      </c>
      <c r="C346" s="2">
        <v>74</v>
      </c>
      <c r="D346" s="2">
        <v>303</v>
      </c>
      <c r="E346" s="2">
        <v>377</v>
      </c>
      <c r="G346" s="2" t="s">
        <v>45</v>
      </c>
      <c r="H346" s="13">
        <v>0</v>
      </c>
      <c r="I346" s="13">
        <v>0.19628647214854111</v>
      </c>
      <c r="J346" s="13">
        <v>0.80371352785145889</v>
      </c>
    </row>
    <row r="347" spans="1:10" x14ac:dyDescent="0.45">
      <c r="A347" s="2" t="s">
        <v>46</v>
      </c>
      <c r="B347" s="2">
        <v>0</v>
      </c>
      <c r="C347" s="2">
        <v>5</v>
      </c>
      <c r="D347" s="2">
        <v>21</v>
      </c>
      <c r="E347" s="2">
        <v>26</v>
      </c>
      <c r="G347" s="2" t="s">
        <v>46</v>
      </c>
      <c r="H347" s="13">
        <v>0</v>
      </c>
      <c r="I347" s="13">
        <v>0.19230769230769232</v>
      </c>
      <c r="J347" s="13">
        <v>0.80769230769230771</v>
      </c>
    </row>
    <row r="349" spans="1:10" x14ac:dyDescent="0.45">
      <c r="A349" s="14" t="s">
        <v>12</v>
      </c>
      <c r="B349" s="14" t="s">
        <v>42</v>
      </c>
      <c r="C349" s="14" t="s">
        <v>43</v>
      </c>
      <c r="D349" s="14" t="s">
        <v>44</v>
      </c>
      <c r="E349" s="14">
        <v>403</v>
      </c>
      <c r="G349" s="14" t="s">
        <v>12</v>
      </c>
      <c r="H349" s="14" t="s">
        <v>42</v>
      </c>
      <c r="I349" s="14" t="s">
        <v>43</v>
      </c>
      <c r="J349" s="14" t="s">
        <v>44</v>
      </c>
    </row>
    <row r="350" spans="1:10" x14ac:dyDescent="0.45">
      <c r="A350" s="2" t="s">
        <v>47</v>
      </c>
      <c r="B350" s="2">
        <v>0</v>
      </c>
      <c r="C350" s="2">
        <v>2</v>
      </c>
      <c r="D350" s="2">
        <v>53</v>
      </c>
      <c r="E350" s="2">
        <v>55</v>
      </c>
      <c r="G350" s="2" t="s">
        <v>47</v>
      </c>
      <c r="H350" s="8">
        <v>0</v>
      </c>
      <c r="I350" s="8">
        <v>3.6363636363636362E-2</v>
      </c>
      <c r="J350" s="8">
        <v>0.96363636363636362</v>
      </c>
    </row>
    <row r="351" spans="1:10" x14ac:dyDescent="0.45">
      <c r="A351" s="2" t="s">
        <v>48</v>
      </c>
      <c r="B351" s="2">
        <v>0</v>
      </c>
      <c r="C351" s="2">
        <v>1</v>
      </c>
      <c r="D351" s="2">
        <v>78</v>
      </c>
      <c r="E351" s="2">
        <v>79</v>
      </c>
      <c r="G351" s="2" t="s">
        <v>48</v>
      </c>
      <c r="H351" s="8">
        <v>0</v>
      </c>
      <c r="I351" s="8">
        <v>1.2658227848101266E-2</v>
      </c>
      <c r="J351" s="8">
        <v>0.98734177215189878</v>
      </c>
    </row>
    <row r="352" spans="1:10" x14ac:dyDescent="0.45">
      <c r="A352" s="2" t="s">
        <v>49</v>
      </c>
      <c r="B352" s="2">
        <v>0</v>
      </c>
      <c r="C352" s="2">
        <v>7</v>
      </c>
      <c r="D352" s="2">
        <v>125</v>
      </c>
      <c r="E352" s="2">
        <v>132</v>
      </c>
      <c r="G352" s="2" t="s">
        <v>49</v>
      </c>
      <c r="H352" s="8">
        <v>0</v>
      </c>
      <c r="I352" s="8">
        <v>5.3030303030303032E-2</v>
      </c>
      <c r="J352" s="8">
        <v>0.94696969696969702</v>
      </c>
    </row>
    <row r="353" spans="1:10" x14ac:dyDescent="0.45">
      <c r="A353" s="2" t="s">
        <v>50</v>
      </c>
      <c r="B353" s="2">
        <v>0</v>
      </c>
      <c r="C353" s="2">
        <v>4</v>
      </c>
      <c r="D353" s="2">
        <v>75</v>
      </c>
      <c r="E353" s="2">
        <v>79</v>
      </c>
      <c r="G353" s="2" t="s">
        <v>50</v>
      </c>
      <c r="H353" s="8">
        <v>0</v>
      </c>
      <c r="I353" s="8">
        <v>5.0632911392405063E-2</v>
      </c>
      <c r="J353" s="8">
        <v>0.94936708860759489</v>
      </c>
    </row>
    <row r="354" spans="1:10" x14ac:dyDescent="0.45">
      <c r="A354" s="2" t="s">
        <v>51</v>
      </c>
      <c r="B354" s="2">
        <v>0</v>
      </c>
      <c r="C354" s="2">
        <v>2</v>
      </c>
      <c r="D354" s="2">
        <v>29</v>
      </c>
      <c r="E354" s="2">
        <v>31</v>
      </c>
      <c r="G354" s="2" t="s">
        <v>51</v>
      </c>
      <c r="H354" s="8">
        <v>0</v>
      </c>
      <c r="I354" s="8">
        <v>6.4516129032258063E-2</v>
      </c>
      <c r="J354" s="8">
        <v>0.93548387096774188</v>
      </c>
    </row>
    <row r="355" spans="1:10" x14ac:dyDescent="0.45">
      <c r="A355" s="2" t="s">
        <v>52</v>
      </c>
      <c r="B355" s="2">
        <v>0</v>
      </c>
      <c r="C355" s="2">
        <v>3</v>
      </c>
      <c r="D355" s="2">
        <v>24</v>
      </c>
      <c r="E355" s="2">
        <v>27</v>
      </c>
      <c r="G355" s="2" t="s">
        <v>52</v>
      </c>
      <c r="H355" s="8">
        <v>0</v>
      </c>
      <c r="I355" s="8">
        <v>0.1111111111111111</v>
      </c>
      <c r="J355" s="8">
        <v>0.88888888888888884</v>
      </c>
    </row>
    <row r="357" spans="1:10" x14ac:dyDescent="0.45">
      <c r="A357" s="14" t="s">
        <v>13</v>
      </c>
      <c r="B357" s="14" t="s">
        <v>42</v>
      </c>
      <c r="C357" s="14" t="s">
        <v>43</v>
      </c>
      <c r="D357" s="14" t="s">
        <v>44</v>
      </c>
      <c r="E357" s="14">
        <v>401</v>
      </c>
      <c r="G357" s="14" t="s">
        <v>13</v>
      </c>
      <c r="H357" s="14" t="s">
        <v>42</v>
      </c>
      <c r="I357" s="14" t="s">
        <v>43</v>
      </c>
      <c r="J357" s="14" t="s">
        <v>44</v>
      </c>
    </row>
    <row r="358" spans="1:10" x14ac:dyDescent="0.45">
      <c r="A358" s="2" t="s">
        <v>47</v>
      </c>
      <c r="B358" s="2">
        <v>0</v>
      </c>
      <c r="C358" s="2">
        <v>25</v>
      </c>
      <c r="D358" s="2">
        <v>30</v>
      </c>
      <c r="E358" s="2">
        <v>55</v>
      </c>
      <c r="G358" s="2" t="s">
        <v>47</v>
      </c>
      <c r="H358" s="8">
        <v>0</v>
      </c>
      <c r="I358" s="8">
        <v>0.45454545454545453</v>
      </c>
      <c r="J358" s="8">
        <v>0.54545454545454541</v>
      </c>
    </row>
    <row r="359" spans="1:10" x14ac:dyDescent="0.45">
      <c r="A359" s="2" t="s">
        <v>48</v>
      </c>
      <c r="B359" s="2">
        <v>0</v>
      </c>
      <c r="C359" s="2">
        <v>38</v>
      </c>
      <c r="D359" s="2">
        <v>40</v>
      </c>
      <c r="E359" s="2">
        <v>78</v>
      </c>
      <c r="G359" s="2" t="s">
        <v>48</v>
      </c>
      <c r="H359" s="8">
        <v>0</v>
      </c>
      <c r="I359" s="8">
        <v>0.48717948717948717</v>
      </c>
      <c r="J359" s="8">
        <v>0.51282051282051277</v>
      </c>
    </row>
    <row r="360" spans="1:10" x14ac:dyDescent="0.45">
      <c r="A360" s="2" t="s">
        <v>49</v>
      </c>
      <c r="B360" s="2">
        <v>1</v>
      </c>
      <c r="C360" s="2">
        <v>54</v>
      </c>
      <c r="D360" s="2">
        <v>77</v>
      </c>
      <c r="E360" s="2">
        <v>132</v>
      </c>
      <c r="G360" s="2" t="s">
        <v>49</v>
      </c>
      <c r="H360" s="8">
        <v>7.575757575757576E-3</v>
      </c>
      <c r="I360" s="8">
        <v>0.40909090909090912</v>
      </c>
      <c r="J360" s="8">
        <v>0.58333333333333337</v>
      </c>
    </row>
    <row r="361" spans="1:10" x14ac:dyDescent="0.45">
      <c r="A361" s="2" t="s">
        <v>50</v>
      </c>
      <c r="B361" s="2">
        <v>0</v>
      </c>
      <c r="C361" s="2">
        <v>30</v>
      </c>
      <c r="D361" s="2">
        <v>48</v>
      </c>
      <c r="E361" s="2">
        <v>78</v>
      </c>
      <c r="G361" s="2" t="s">
        <v>50</v>
      </c>
      <c r="H361" s="8">
        <v>0</v>
      </c>
      <c r="I361" s="8">
        <v>0.38461538461538464</v>
      </c>
      <c r="J361" s="8">
        <v>0.61538461538461542</v>
      </c>
    </row>
    <row r="362" spans="1:10" x14ac:dyDescent="0.45">
      <c r="A362" s="2" t="s">
        <v>51</v>
      </c>
      <c r="B362" s="2">
        <v>0</v>
      </c>
      <c r="C362" s="2">
        <v>15</v>
      </c>
      <c r="D362" s="2">
        <v>16</v>
      </c>
      <c r="E362" s="2">
        <v>31</v>
      </c>
      <c r="G362" s="2" t="s">
        <v>51</v>
      </c>
      <c r="H362" s="8">
        <v>0</v>
      </c>
      <c r="I362" s="8">
        <v>0.4838709677419355</v>
      </c>
      <c r="J362" s="8">
        <v>0.5161290322580645</v>
      </c>
    </row>
    <row r="363" spans="1:10" x14ac:dyDescent="0.45">
      <c r="A363" s="2" t="s">
        <v>52</v>
      </c>
      <c r="B363" s="2">
        <v>0</v>
      </c>
      <c r="C363" s="2">
        <v>11</v>
      </c>
      <c r="D363" s="2">
        <v>16</v>
      </c>
      <c r="E363" s="2">
        <v>27</v>
      </c>
      <c r="G363" s="2" t="s">
        <v>52</v>
      </c>
      <c r="H363" s="8">
        <v>0</v>
      </c>
      <c r="I363" s="8">
        <v>0.40740740740740738</v>
      </c>
      <c r="J363" s="8">
        <v>0.59259259259259256</v>
      </c>
    </row>
    <row r="365" spans="1:10" x14ac:dyDescent="0.45">
      <c r="A365" s="14" t="s">
        <v>14</v>
      </c>
      <c r="B365" s="14" t="s">
        <v>42</v>
      </c>
      <c r="C365" s="14" t="s">
        <v>43</v>
      </c>
      <c r="D365" s="14" t="s">
        <v>44</v>
      </c>
      <c r="E365" s="14">
        <v>401</v>
      </c>
      <c r="G365" s="14" t="s">
        <v>14</v>
      </c>
      <c r="H365" s="14" t="s">
        <v>42</v>
      </c>
      <c r="I365" s="14" t="s">
        <v>43</v>
      </c>
      <c r="J365" s="14" t="s">
        <v>44</v>
      </c>
    </row>
    <row r="366" spans="1:10" x14ac:dyDescent="0.45">
      <c r="A366" s="2" t="s">
        <v>47</v>
      </c>
      <c r="B366" s="2">
        <v>0</v>
      </c>
      <c r="C366" s="2">
        <v>2</v>
      </c>
      <c r="D366" s="2">
        <v>53</v>
      </c>
      <c r="E366" s="2">
        <v>55</v>
      </c>
      <c r="G366" s="2" t="s">
        <v>47</v>
      </c>
      <c r="H366" s="8">
        <v>0</v>
      </c>
      <c r="I366" s="8">
        <v>3.6363636363636362E-2</v>
      </c>
      <c r="J366" s="8">
        <v>0.96363636363636362</v>
      </c>
    </row>
    <row r="367" spans="1:10" x14ac:dyDescent="0.45">
      <c r="A367" s="2" t="s">
        <v>48</v>
      </c>
      <c r="B367" s="2">
        <v>0</v>
      </c>
      <c r="C367" s="2">
        <v>2</v>
      </c>
      <c r="D367" s="2">
        <v>76</v>
      </c>
      <c r="E367" s="2">
        <v>78</v>
      </c>
      <c r="G367" s="2" t="s">
        <v>48</v>
      </c>
      <c r="H367" s="8">
        <v>0</v>
      </c>
      <c r="I367" s="8">
        <v>2.564102564102564E-2</v>
      </c>
      <c r="J367" s="8">
        <v>0.97435897435897434</v>
      </c>
    </row>
    <row r="368" spans="1:10" x14ac:dyDescent="0.45">
      <c r="A368" s="2" t="s">
        <v>49</v>
      </c>
      <c r="B368" s="2">
        <v>0</v>
      </c>
      <c r="C368" s="2">
        <v>6</v>
      </c>
      <c r="D368" s="2">
        <v>126</v>
      </c>
      <c r="E368" s="2">
        <v>132</v>
      </c>
      <c r="G368" s="2" t="s">
        <v>49</v>
      </c>
      <c r="H368" s="8">
        <v>0</v>
      </c>
      <c r="I368" s="8">
        <v>4.5454545454545456E-2</v>
      </c>
      <c r="J368" s="8">
        <v>0.95454545454545459</v>
      </c>
    </row>
    <row r="369" spans="1:10" x14ac:dyDescent="0.45">
      <c r="A369" s="2" t="s">
        <v>50</v>
      </c>
      <c r="B369" s="2">
        <v>0</v>
      </c>
      <c r="C369" s="2">
        <v>2</v>
      </c>
      <c r="D369" s="2">
        <v>76</v>
      </c>
      <c r="E369" s="2">
        <v>78</v>
      </c>
      <c r="G369" s="2" t="s">
        <v>50</v>
      </c>
      <c r="H369" s="8">
        <v>0</v>
      </c>
      <c r="I369" s="8">
        <v>2.564102564102564E-2</v>
      </c>
      <c r="J369" s="8">
        <v>0.97435897435897434</v>
      </c>
    </row>
    <row r="370" spans="1:10" x14ac:dyDescent="0.45">
      <c r="A370" s="2" t="s">
        <v>51</v>
      </c>
      <c r="B370" s="2">
        <v>0</v>
      </c>
      <c r="C370" s="2">
        <v>3</v>
      </c>
      <c r="D370" s="2">
        <v>28</v>
      </c>
      <c r="E370" s="2">
        <v>31</v>
      </c>
      <c r="G370" s="2" t="s">
        <v>51</v>
      </c>
      <c r="H370" s="8">
        <v>0</v>
      </c>
      <c r="I370" s="8">
        <v>9.6774193548387094E-2</v>
      </c>
      <c r="J370" s="8">
        <v>0.90322580645161288</v>
      </c>
    </row>
    <row r="371" spans="1:10" x14ac:dyDescent="0.45">
      <c r="A371" s="2" t="s">
        <v>52</v>
      </c>
      <c r="B371" s="2">
        <v>0</v>
      </c>
      <c r="C371" s="2">
        <v>1</v>
      </c>
      <c r="D371" s="2">
        <v>26</v>
      </c>
      <c r="E371" s="2">
        <v>27</v>
      </c>
      <c r="G371" s="2" t="s">
        <v>52</v>
      </c>
      <c r="H371" s="8">
        <v>0</v>
      </c>
      <c r="I371" s="8">
        <v>3.7037037037037035E-2</v>
      </c>
      <c r="J371" s="8">
        <v>0.96296296296296291</v>
      </c>
    </row>
    <row r="373" spans="1:10" x14ac:dyDescent="0.45">
      <c r="A373" s="14" t="s">
        <v>15</v>
      </c>
      <c r="B373" s="14" t="s">
        <v>42</v>
      </c>
      <c r="C373" s="14" t="s">
        <v>43</v>
      </c>
      <c r="D373" s="14" t="s">
        <v>44</v>
      </c>
      <c r="E373" s="14">
        <v>401</v>
      </c>
      <c r="G373" s="14" t="s">
        <v>15</v>
      </c>
      <c r="H373" s="14" t="s">
        <v>42</v>
      </c>
      <c r="I373" s="14" t="s">
        <v>43</v>
      </c>
      <c r="J373" s="14" t="s">
        <v>44</v>
      </c>
    </row>
    <row r="374" spans="1:10" x14ac:dyDescent="0.45">
      <c r="A374" s="2" t="s">
        <v>47</v>
      </c>
      <c r="B374" s="2">
        <v>0</v>
      </c>
      <c r="C374" s="2">
        <v>19</v>
      </c>
      <c r="D374" s="2">
        <v>36</v>
      </c>
      <c r="E374" s="2">
        <v>55</v>
      </c>
      <c r="G374" s="2" t="s">
        <v>47</v>
      </c>
      <c r="H374" s="8">
        <v>0</v>
      </c>
      <c r="I374" s="8">
        <v>0.34545454545454546</v>
      </c>
      <c r="J374" s="8">
        <v>0.65454545454545454</v>
      </c>
    </row>
    <row r="375" spans="1:10" x14ac:dyDescent="0.45">
      <c r="A375" s="2" t="s">
        <v>48</v>
      </c>
      <c r="B375" s="2">
        <v>0</v>
      </c>
      <c r="C375" s="2">
        <v>36</v>
      </c>
      <c r="D375" s="2">
        <v>42</v>
      </c>
      <c r="E375" s="2">
        <v>78</v>
      </c>
      <c r="G375" s="2" t="s">
        <v>48</v>
      </c>
      <c r="H375" s="8">
        <v>0</v>
      </c>
      <c r="I375" s="8">
        <v>0.46153846153846156</v>
      </c>
      <c r="J375" s="8">
        <v>0.53846153846153844</v>
      </c>
    </row>
    <row r="376" spans="1:10" x14ac:dyDescent="0.45">
      <c r="A376" s="2" t="s">
        <v>49</v>
      </c>
      <c r="B376" s="2">
        <v>0</v>
      </c>
      <c r="C376" s="2">
        <v>61</v>
      </c>
      <c r="D376" s="2">
        <v>71</v>
      </c>
      <c r="E376" s="2">
        <v>132</v>
      </c>
      <c r="G376" s="2" t="s">
        <v>49</v>
      </c>
      <c r="H376" s="8">
        <v>0</v>
      </c>
      <c r="I376" s="8">
        <v>0.4621212121212121</v>
      </c>
      <c r="J376" s="8">
        <v>0.53787878787878785</v>
      </c>
    </row>
    <row r="377" spans="1:10" x14ac:dyDescent="0.45">
      <c r="A377" s="2" t="s">
        <v>50</v>
      </c>
      <c r="B377" s="2">
        <v>0</v>
      </c>
      <c r="C377" s="2">
        <v>25</v>
      </c>
      <c r="D377" s="2">
        <v>53</v>
      </c>
      <c r="E377" s="2">
        <v>78</v>
      </c>
      <c r="G377" s="2" t="s">
        <v>50</v>
      </c>
      <c r="H377" s="8">
        <v>0</v>
      </c>
      <c r="I377" s="8">
        <v>0.32051282051282054</v>
      </c>
      <c r="J377" s="8">
        <v>0.67948717948717952</v>
      </c>
    </row>
    <row r="378" spans="1:10" x14ac:dyDescent="0.45">
      <c r="A378" s="2" t="s">
        <v>51</v>
      </c>
      <c r="B378" s="2">
        <v>0</v>
      </c>
      <c r="C378" s="2">
        <v>13</v>
      </c>
      <c r="D378" s="2">
        <v>18</v>
      </c>
      <c r="E378" s="2">
        <v>31</v>
      </c>
      <c r="G378" s="2" t="s">
        <v>51</v>
      </c>
      <c r="H378" s="8">
        <v>0</v>
      </c>
      <c r="I378" s="8">
        <v>0.41935483870967744</v>
      </c>
      <c r="J378" s="8">
        <v>0.58064516129032262</v>
      </c>
    </row>
    <row r="379" spans="1:10" x14ac:dyDescent="0.45">
      <c r="A379" s="2" t="s">
        <v>52</v>
      </c>
      <c r="B379" s="2">
        <v>0</v>
      </c>
      <c r="C379" s="2">
        <v>9</v>
      </c>
      <c r="D379" s="2">
        <v>18</v>
      </c>
      <c r="E379" s="2">
        <v>27</v>
      </c>
      <c r="G379" s="2" t="s">
        <v>52</v>
      </c>
      <c r="H379" s="8">
        <v>0</v>
      </c>
      <c r="I379" s="8">
        <v>0.33333333333333331</v>
      </c>
      <c r="J379" s="8">
        <v>0.66666666666666663</v>
      </c>
    </row>
    <row r="381" spans="1:10" x14ac:dyDescent="0.45">
      <c r="A381" s="14" t="s">
        <v>16</v>
      </c>
      <c r="B381" s="14" t="s">
        <v>42</v>
      </c>
      <c r="C381" s="14" t="s">
        <v>43</v>
      </c>
      <c r="D381" s="14" t="s">
        <v>44</v>
      </c>
      <c r="E381" s="14">
        <v>401</v>
      </c>
      <c r="G381" s="14" t="s">
        <v>16</v>
      </c>
      <c r="H381" s="14" t="s">
        <v>42</v>
      </c>
      <c r="I381" s="14" t="s">
        <v>43</v>
      </c>
      <c r="J381" s="14" t="s">
        <v>44</v>
      </c>
    </row>
    <row r="382" spans="1:10" x14ac:dyDescent="0.45">
      <c r="A382" s="2" t="s">
        <v>47</v>
      </c>
      <c r="B382" s="2">
        <v>0</v>
      </c>
      <c r="C382" s="2">
        <v>26</v>
      </c>
      <c r="D382" s="2">
        <v>29</v>
      </c>
      <c r="E382" s="2">
        <v>55</v>
      </c>
      <c r="G382" s="2" t="s">
        <v>47</v>
      </c>
      <c r="H382" s="8">
        <v>0</v>
      </c>
      <c r="I382" s="8">
        <v>0.47272727272727272</v>
      </c>
      <c r="J382" s="8">
        <v>0.52727272727272723</v>
      </c>
    </row>
    <row r="383" spans="1:10" x14ac:dyDescent="0.45">
      <c r="A383" s="2" t="s">
        <v>48</v>
      </c>
      <c r="B383" s="2">
        <v>0</v>
      </c>
      <c r="C383" s="2">
        <v>38</v>
      </c>
      <c r="D383" s="2">
        <v>40</v>
      </c>
      <c r="E383" s="2">
        <v>78</v>
      </c>
      <c r="G383" s="2" t="s">
        <v>48</v>
      </c>
      <c r="H383" s="8">
        <v>0</v>
      </c>
      <c r="I383" s="8">
        <v>0.48717948717948717</v>
      </c>
      <c r="J383" s="8">
        <v>0.51282051282051277</v>
      </c>
    </row>
    <row r="384" spans="1:10" x14ac:dyDescent="0.45">
      <c r="A384" s="2" t="s">
        <v>49</v>
      </c>
      <c r="B384" s="2">
        <v>0</v>
      </c>
      <c r="C384" s="2">
        <v>66</v>
      </c>
      <c r="D384" s="2">
        <v>66</v>
      </c>
      <c r="E384" s="2">
        <v>132</v>
      </c>
      <c r="G384" s="2" t="s">
        <v>49</v>
      </c>
      <c r="H384" s="8">
        <v>0</v>
      </c>
      <c r="I384" s="8">
        <v>0.5</v>
      </c>
      <c r="J384" s="8">
        <v>0.5</v>
      </c>
    </row>
    <row r="385" spans="1:10" x14ac:dyDescent="0.45">
      <c r="A385" s="2" t="s">
        <v>50</v>
      </c>
      <c r="B385" s="2">
        <v>0</v>
      </c>
      <c r="C385" s="2">
        <v>43</v>
      </c>
      <c r="D385" s="2">
        <v>35</v>
      </c>
      <c r="E385" s="2">
        <v>78</v>
      </c>
      <c r="G385" s="2" t="s">
        <v>50</v>
      </c>
      <c r="H385" s="8">
        <v>0</v>
      </c>
      <c r="I385" s="8">
        <v>0.55128205128205132</v>
      </c>
      <c r="J385" s="8">
        <v>0.44871794871794873</v>
      </c>
    </row>
    <row r="386" spans="1:10" x14ac:dyDescent="0.45">
      <c r="A386" s="2" t="s">
        <v>51</v>
      </c>
      <c r="B386" s="2">
        <v>0</v>
      </c>
      <c r="C386" s="2">
        <v>15</v>
      </c>
      <c r="D386" s="2">
        <v>16</v>
      </c>
      <c r="E386" s="2">
        <v>31</v>
      </c>
      <c r="G386" s="2" t="s">
        <v>51</v>
      </c>
      <c r="H386" s="8">
        <v>0</v>
      </c>
      <c r="I386" s="8">
        <v>0.4838709677419355</v>
      </c>
      <c r="J386" s="8">
        <v>0.5161290322580645</v>
      </c>
    </row>
    <row r="387" spans="1:10" x14ac:dyDescent="0.45">
      <c r="A387" s="2" t="s">
        <v>52</v>
      </c>
      <c r="B387" s="2">
        <v>0</v>
      </c>
      <c r="C387" s="2">
        <v>13</v>
      </c>
      <c r="D387" s="2">
        <v>14</v>
      </c>
      <c r="E387" s="2">
        <v>27</v>
      </c>
      <c r="G387" s="2" t="s">
        <v>52</v>
      </c>
      <c r="H387" s="8">
        <v>0</v>
      </c>
      <c r="I387" s="8">
        <v>0.48148148148148145</v>
      </c>
      <c r="J387" s="8">
        <v>0.51851851851851849</v>
      </c>
    </row>
    <row r="389" spans="1:10" x14ac:dyDescent="0.45">
      <c r="A389" s="14" t="s">
        <v>14</v>
      </c>
      <c r="B389" s="14" t="s">
        <v>42</v>
      </c>
      <c r="C389" s="14" t="s">
        <v>43</v>
      </c>
      <c r="D389" s="14" t="s">
        <v>44</v>
      </c>
      <c r="E389" s="14">
        <v>401</v>
      </c>
      <c r="G389" s="14" t="s">
        <v>14</v>
      </c>
      <c r="H389" s="14" t="s">
        <v>42</v>
      </c>
      <c r="I389" s="14" t="s">
        <v>43</v>
      </c>
      <c r="J389" s="14" t="s">
        <v>44</v>
      </c>
    </row>
    <row r="390" spans="1:10" x14ac:dyDescent="0.45">
      <c r="A390" s="2" t="s">
        <v>53</v>
      </c>
      <c r="B390" s="2">
        <v>0</v>
      </c>
      <c r="C390" s="2">
        <v>1</v>
      </c>
      <c r="D390" s="2">
        <v>40</v>
      </c>
      <c r="E390" s="2">
        <v>41</v>
      </c>
      <c r="G390" s="2" t="s">
        <v>53</v>
      </c>
      <c r="H390" s="8">
        <v>0</v>
      </c>
      <c r="I390" s="8">
        <v>2.4390243902439025E-2</v>
      </c>
      <c r="J390" s="8">
        <v>0.97560975609756095</v>
      </c>
    </row>
    <row r="391" spans="1:10" x14ac:dyDescent="0.45">
      <c r="A391" s="2" t="s">
        <v>54</v>
      </c>
      <c r="B391" s="2">
        <v>0</v>
      </c>
      <c r="C391" s="2">
        <v>4</v>
      </c>
      <c r="D391" s="2">
        <v>74</v>
      </c>
      <c r="E391" s="2">
        <v>78</v>
      </c>
      <c r="G391" s="2" t="s">
        <v>54</v>
      </c>
      <c r="H391" s="8">
        <v>0</v>
      </c>
      <c r="I391" s="8">
        <v>5.128205128205128E-2</v>
      </c>
      <c r="J391" s="8">
        <v>0.94871794871794868</v>
      </c>
    </row>
    <row r="392" spans="1:10" x14ac:dyDescent="0.45">
      <c r="A392" s="2" t="s">
        <v>55</v>
      </c>
      <c r="B392" s="2">
        <v>0</v>
      </c>
      <c r="C392" s="2">
        <v>0</v>
      </c>
      <c r="D392" s="2">
        <v>41</v>
      </c>
      <c r="E392" s="2">
        <v>41</v>
      </c>
      <c r="G392" s="2" t="s">
        <v>55</v>
      </c>
      <c r="H392" s="8">
        <v>0</v>
      </c>
      <c r="I392" s="8">
        <v>0</v>
      </c>
      <c r="J392" s="8">
        <v>1</v>
      </c>
    </row>
    <row r="393" spans="1:10" x14ac:dyDescent="0.45">
      <c r="A393" s="2" t="s">
        <v>56</v>
      </c>
      <c r="B393" s="2">
        <v>0</v>
      </c>
      <c r="C393" s="2">
        <v>3</v>
      </c>
      <c r="D393" s="2">
        <v>50</v>
      </c>
      <c r="E393" s="2">
        <v>53</v>
      </c>
      <c r="G393" s="2" t="s">
        <v>56</v>
      </c>
      <c r="H393" s="8">
        <v>0</v>
      </c>
      <c r="I393" s="8">
        <v>5.6603773584905662E-2</v>
      </c>
      <c r="J393" s="8">
        <v>0.94339622641509435</v>
      </c>
    </row>
    <row r="394" spans="1:10" x14ac:dyDescent="0.45">
      <c r="A394" s="2" t="s">
        <v>57</v>
      </c>
      <c r="B394" s="2">
        <v>0</v>
      </c>
      <c r="C394" s="2">
        <v>2</v>
      </c>
      <c r="D394" s="2">
        <v>51</v>
      </c>
      <c r="E394" s="2">
        <v>53</v>
      </c>
      <c r="G394" s="2" t="s">
        <v>57</v>
      </c>
      <c r="H394" s="8">
        <v>0</v>
      </c>
      <c r="I394" s="8">
        <v>3.7735849056603772E-2</v>
      </c>
      <c r="J394" s="8">
        <v>0.96226415094339623</v>
      </c>
    </row>
    <row r="395" spans="1:10" x14ac:dyDescent="0.45">
      <c r="A395" s="2" t="s">
        <v>58</v>
      </c>
      <c r="B395" s="2">
        <v>0</v>
      </c>
      <c r="C395" s="2">
        <v>2</v>
      </c>
      <c r="D395" s="2">
        <v>59</v>
      </c>
      <c r="E395" s="2">
        <v>61</v>
      </c>
      <c r="G395" s="2" t="s">
        <v>58</v>
      </c>
      <c r="H395" s="8">
        <v>0</v>
      </c>
      <c r="I395" s="8">
        <v>3.2786885245901641E-2</v>
      </c>
      <c r="J395" s="8">
        <v>0.96721311475409832</v>
      </c>
    </row>
    <row r="396" spans="1:10" x14ac:dyDescent="0.45">
      <c r="A396" s="2" t="s">
        <v>59</v>
      </c>
      <c r="B396" s="2">
        <v>0</v>
      </c>
      <c r="C396" s="2">
        <v>1</v>
      </c>
      <c r="D396" s="2">
        <v>38</v>
      </c>
      <c r="E396" s="2">
        <v>39</v>
      </c>
      <c r="G396" s="2" t="s">
        <v>59</v>
      </c>
      <c r="H396" s="8">
        <v>0</v>
      </c>
      <c r="I396" s="8">
        <v>2.564102564102564E-2</v>
      </c>
      <c r="J396" s="8">
        <v>0.97435897435897434</v>
      </c>
    </row>
    <row r="397" spans="1:10" x14ac:dyDescent="0.45">
      <c r="A397" s="2" t="s">
        <v>60</v>
      </c>
      <c r="B397" s="2">
        <v>0</v>
      </c>
      <c r="C397" s="2">
        <v>3</v>
      </c>
      <c r="D397" s="2">
        <v>32</v>
      </c>
      <c r="E397" s="2">
        <v>35</v>
      </c>
      <c r="G397" s="2" t="s">
        <v>60</v>
      </c>
      <c r="H397" s="8">
        <v>0</v>
      </c>
      <c r="I397" s="8">
        <v>8.5714285714285715E-2</v>
      </c>
      <c r="J397" s="8">
        <v>0.91428571428571426</v>
      </c>
    </row>
    <row r="399" spans="1:10" x14ac:dyDescent="0.45">
      <c r="A399" s="14" t="s">
        <v>15</v>
      </c>
      <c r="B399" s="14" t="s">
        <v>42</v>
      </c>
      <c r="C399" s="14" t="s">
        <v>43</v>
      </c>
      <c r="D399" s="14" t="s">
        <v>44</v>
      </c>
      <c r="E399" s="14">
        <v>401</v>
      </c>
      <c r="G399" s="14" t="s">
        <v>15</v>
      </c>
      <c r="H399" s="14" t="s">
        <v>42</v>
      </c>
      <c r="I399" s="14" t="s">
        <v>43</v>
      </c>
      <c r="J399" s="14" t="s">
        <v>44</v>
      </c>
    </row>
    <row r="400" spans="1:10" x14ac:dyDescent="0.45">
      <c r="A400" s="2" t="s">
        <v>53</v>
      </c>
      <c r="B400" s="2">
        <v>0</v>
      </c>
      <c r="C400" s="2">
        <v>14</v>
      </c>
      <c r="D400" s="2">
        <v>27</v>
      </c>
      <c r="E400" s="2">
        <v>41</v>
      </c>
      <c r="G400" s="2" t="s">
        <v>53</v>
      </c>
      <c r="H400" s="8">
        <v>0</v>
      </c>
      <c r="I400" s="8">
        <v>0.34146341463414637</v>
      </c>
      <c r="J400" s="8">
        <v>0.65853658536585369</v>
      </c>
    </row>
    <row r="401" spans="1:10" x14ac:dyDescent="0.45">
      <c r="A401" s="2" t="s">
        <v>54</v>
      </c>
      <c r="B401" s="2">
        <v>0</v>
      </c>
      <c r="C401" s="2">
        <v>26</v>
      </c>
      <c r="D401" s="2">
        <v>52</v>
      </c>
      <c r="E401" s="2">
        <v>78</v>
      </c>
      <c r="G401" s="2" t="s">
        <v>54</v>
      </c>
      <c r="H401" s="8">
        <v>0</v>
      </c>
      <c r="I401" s="8">
        <v>0.33333333333333331</v>
      </c>
      <c r="J401" s="8">
        <v>0.66666666666666663</v>
      </c>
    </row>
    <row r="402" spans="1:10" x14ac:dyDescent="0.45">
      <c r="A402" s="2" t="s">
        <v>55</v>
      </c>
      <c r="B402" s="2">
        <v>0</v>
      </c>
      <c r="C402" s="2">
        <v>16</v>
      </c>
      <c r="D402" s="2">
        <v>25</v>
      </c>
      <c r="E402" s="2">
        <v>41</v>
      </c>
      <c r="G402" s="2" t="s">
        <v>55</v>
      </c>
      <c r="H402" s="8">
        <v>0</v>
      </c>
      <c r="I402" s="8">
        <v>0.3902439024390244</v>
      </c>
      <c r="J402" s="8">
        <v>0.6097560975609756</v>
      </c>
    </row>
    <row r="403" spans="1:10" x14ac:dyDescent="0.45">
      <c r="A403" s="2" t="s">
        <v>56</v>
      </c>
      <c r="B403" s="2">
        <v>0</v>
      </c>
      <c r="C403" s="2">
        <v>28</v>
      </c>
      <c r="D403" s="2">
        <v>25</v>
      </c>
      <c r="E403" s="2">
        <v>53</v>
      </c>
      <c r="G403" s="2" t="s">
        <v>56</v>
      </c>
      <c r="H403" s="8">
        <v>0</v>
      </c>
      <c r="I403" s="8">
        <v>0.52830188679245282</v>
      </c>
      <c r="J403" s="8">
        <v>0.47169811320754718</v>
      </c>
    </row>
    <row r="404" spans="1:10" x14ac:dyDescent="0.45">
      <c r="A404" s="2" t="s">
        <v>57</v>
      </c>
      <c r="B404" s="2">
        <v>0</v>
      </c>
      <c r="C404" s="2">
        <v>27</v>
      </c>
      <c r="D404" s="2">
        <v>26</v>
      </c>
      <c r="E404" s="2">
        <v>53</v>
      </c>
      <c r="G404" s="2" t="s">
        <v>57</v>
      </c>
      <c r="H404" s="8">
        <v>0</v>
      </c>
      <c r="I404" s="8">
        <v>0.50943396226415094</v>
      </c>
      <c r="J404" s="8">
        <v>0.49056603773584906</v>
      </c>
    </row>
    <row r="405" spans="1:10" x14ac:dyDescent="0.45">
      <c r="A405" s="2" t="s">
        <v>58</v>
      </c>
      <c r="B405" s="2">
        <v>0</v>
      </c>
      <c r="C405" s="2">
        <v>21</v>
      </c>
      <c r="D405" s="2">
        <v>40</v>
      </c>
      <c r="E405" s="2">
        <v>61</v>
      </c>
      <c r="G405" s="2" t="s">
        <v>58</v>
      </c>
      <c r="H405" s="8">
        <v>0</v>
      </c>
      <c r="I405" s="8">
        <v>0.34426229508196721</v>
      </c>
      <c r="J405" s="8">
        <v>0.65573770491803274</v>
      </c>
    </row>
    <row r="406" spans="1:10" x14ac:dyDescent="0.45">
      <c r="A406" s="2" t="s">
        <v>59</v>
      </c>
      <c r="B406" s="2">
        <v>0</v>
      </c>
      <c r="C406" s="2">
        <v>14</v>
      </c>
      <c r="D406" s="2">
        <v>25</v>
      </c>
      <c r="E406" s="2">
        <v>39</v>
      </c>
      <c r="G406" s="2" t="s">
        <v>59</v>
      </c>
      <c r="H406" s="8">
        <v>0</v>
      </c>
      <c r="I406" s="8">
        <v>0.35897435897435898</v>
      </c>
      <c r="J406" s="8">
        <v>0.64102564102564108</v>
      </c>
    </row>
    <row r="407" spans="1:10" x14ac:dyDescent="0.45">
      <c r="A407" s="2" t="s">
        <v>60</v>
      </c>
      <c r="B407" s="2">
        <v>0</v>
      </c>
      <c r="C407" s="2">
        <v>17</v>
      </c>
      <c r="D407" s="2">
        <v>18</v>
      </c>
      <c r="E407" s="2">
        <v>35</v>
      </c>
      <c r="G407" s="2" t="s">
        <v>60</v>
      </c>
      <c r="H407" s="8">
        <v>0</v>
      </c>
      <c r="I407" s="8">
        <v>0.48571428571428571</v>
      </c>
      <c r="J407" s="8">
        <v>0.51428571428571423</v>
      </c>
    </row>
    <row r="409" spans="1:10" x14ac:dyDescent="0.45">
      <c r="A409" s="14" t="s">
        <v>61</v>
      </c>
      <c r="B409" s="14" t="s">
        <v>42</v>
      </c>
      <c r="C409" s="14" t="s">
        <v>43</v>
      </c>
      <c r="D409" s="14" t="s">
        <v>44</v>
      </c>
      <c r="E409" s="14">
        <v>400</v>
      </c>
      <c r="G409" s="14" t="s">
        <v>61</v>
      </c>
      <c r="H409" s="14" t="s">
        <v>42</v>
      </c>
      <c r="I409" s="14" t="s">
        <v>43</v>
      </c>
      <c r="J409" s="14" t="s">
        <v>44</v>
      </c>
    </row>
    <row r="410" spans="1:10" x14ac:dyDescent="0.45">
      <c r="A410" s="2" t="s">
        <v>47</v>
      </c>
      <c r="B410" s="2">
        <v>0</v>
      </c>
      <c r="C410" s="2">
        <v>1</v>
      </c>
      <c r="D410" s="2">
        <v>54</v>
      </c>
      <c r="E410" s="2">
        <v>55</v>
      </c>
      <c r="G410" s="2" t="s">
        <v>47</v>
      </c>
      <c r="H410" s="8">
        <v>0</v>
      </c>
      <c r="I410" s="8">
        <v>1.8181818181818181E-2</v>
      </c>
      <c r="J410" s="8">
        <v>0.98181818181818181</v>
      </c>
    </row>
    <row r="411" spans="1:10" x14ac:dyDescent="0.45">
      <c r="A411" s="2" t="s">
        <v>48</v>
      </c>
      <c r="B411" s="2">
        <v>0</v>
      </c>
      <c r="C411" s="2">
        <v>6</v>
      </c>
      <c r="D411" s="2">
        <v>72</v>
      </c>
      <c r="E411" s="2">
        <v>78</v>
      </c>
      <c r="G411" s="2" t="s">
        <v>48</v>
      </c>
      <c r="H411" s="8">
        <v>0</v>
      </c>
      <c r="I411" s="8">
        <v>7.6923076923076927E-2</v>
      </c>
      <c r="J411" s="8">
        <v>0.92307692307692313</v>
      </c>
    </row>
    <row r="412" spans="1:10" x14ac:dyDescent="0.45">
      <c r="A412" s="2" t="s">
        <v>49</v>
      </c>
      <c r="B412" s="2">
        <v>0</v>
      </c>
      <c r="C412" s="2">
        <v>5</v>
      </c>
      <c r="D412" s="2">
        <v>126</v>
      </c>
      <c r="E412" s="2">
        <v>131</v>
      </c>
      <c r="G412" s="2" t="s">
        <v>49</v>
      </c>
      <c r="H412" s="8">
        <v>0</v>
      </c>
      <c r="I412" s="8">
        <v>3.8167938931297711E-2</v>
      </c>
      <c r="J412" s="8">
        <v>0.96183206106870234</v>
      </c>
    </row>
    <row r="413" spans="1:10" x14ac:dyDescent="0.45">
      <c r="A413" s="2" t="s">
        <v>50</v>
      </c>
      <c r="B413" s="2">
        <v>0</v>
      </c>
      <c r="C413" s="2">
        <v>3</v>
      </c>
      <c r="D413" s="2">
        <v>75</v>
      </c>
      <c r="E413" s="2">
        <v>78</v>
      </c>
      <c r="G413" s="2" t="s">
        <v>50</v>
      </c>
      <c r="H413" s="8">
        <v>0</v>
      </c>
      <c r="I413" s="8">
        <v>3.8461538461538464E-2</v>
      </c>
      <c r="J413" s="8">
        <v>0.96153846153846156</v>
      </c>
    </row>
    <row r="414" spans="1:10" x14ac:dyDescent="0.45">
      <c r="A414" s="2" t="s">
        <v>51</v>
      </c>
      <c r="B414" s="2">
        <v>0</v>
      </c>
      <c r="C414" s="2">
        <v>3</v>
      </c>
      <c r="D414" s="2">
        <v>28</v>
      </c>
      <c r="E414" s="2">
        <v>31</v>
      </c>
      <c r="G414" s="2" t="s">
        <v>51</v>
      </c>
      <c r="H414" s="8">
        <v>0</v>
      </c>
      <c r="I414" s="8">
        <v>9.6774193548387094E-2</v>
      </c>
      <c r="J414" s="8">
        <v>0.90322580645161288</v>
      </c>
    </row>
    <row r="415" spans="1:10" x14ac:dyDescent="0.45">
      <c r="A415" s="2" t="s">
        <v>52</v>
      </c>
      <c r="B415" s="2">
        <v>0</v>
      </c>
      <c r="C415" s="2">
        <v>2</v>
      </c>
      <c r="D415" s="2">
        <v>25</v>
      </c>
      <c r="E415" s="2">
        <v>27</v>
      </c>
      <c r="G415" s="2" t="s">
        <v>52</v>
      </c>
      <c r="H415" s="8">
        <v>0</v>
      </c>
      <c r="I415" s="8">
        <v>7.407407407407407E-2</v>
      </c>
      <c r="J415" s="8">
        <v>0.92592592592592593</v>
      </c>
    </row>
    <row r="418" spans="1:10" x14ac:dyDescent="0.45">
      <c r="A418" s="19" t="s">
        <v>67</v>
      </c>
      <c r="B418" s="19"/>
      <c r="C418" s="19"/>
      <c r="D418" s="19"/>
      <c r="E418" s="19"/>
      <c r="F418" s="19"/>
      <c r="G418" s="19"/>
      <c r="H418" s="19"/>
      <c r="I418" s="19"/>
      <c r="J418" s="19"/>
    </row>
    <row r="419" spans="1:10" x14ac:dyDescent="0.45">
      <c r="A419" s="14" t="s">
        <v>9</v>
      </c>
      <c r="B419" s="14" t="s">
        <v>42</v>
      </c>
      <c r="C419" s="14" t="s">
        <v>43</v>
      </c>
      <c r="D419" s="14" t="s">
        <v>44</v>
      </c>
      <c r="E419" s="14">
        <v>403</v>
      </c>
      <c r="G419" s="14" t="s">
        <v>9</v>
      </c>
      <c r="H419" s="14" t="s">
        <v>42</v>
      </c>
      <c r="I419" s="14" t="s">
        <v>43</v>
      </c>
      <c r="J419" s="14" t="s">
        <v>44</v>
      </c>
    </row>
    <row r="420" spans="1:10" x14ac:dyDescent="0.45">
      <c r="A420" s="2" t="s">
        <v>45</v>
      </c>
      <c r="B420" s="2">
        <v>5</v>
      </c>
      <c r="C420" s="2">
        <v>272</v>
      </c>
      <c r="D420" s="2">
        <v>100</v>
      </c>
      <c r="E420" s="2">
        <v>377</v>
      </c>
      <c r="G420" s="2" t="s">
        <v>45</v>
      </c>
      <c r="H420" s="13">
        <v>1.3262599469496022E-2</v>
      </c>
      <c r="I420" s="13">
        <v>0.72148541114058351</v>
      </c>
      <c r="J420" s="13">
        <v>0.26525198938992045</v>
      </c>
    </row>
    <row r="421" spans="1:10" x14ac:dyDescent="0.45">
      <c r="A421" s="2" t="s">
        <v>46</v>
      </c>
      <c r="B421" s="2">
        <v>1</v>
      </c>
      <c r="C421" s="2">
        <v>17</v>
      </c>
      <c r="D421" s="2">
        <v>8</v>
      </c>
      <c r="E421" s="2">
        <v>26</v>
      </c>
      <c r="G421" s="2" t="s">
        <v>46</v>
      </c>
      <c r="H421" s="13">
        <v>3.8461538461538464E-2</v>
      </c>
      <c r="I421" s="13">
        <v>0.65384615384615385</v>
      </c>
      <c r="J421" s="13">
        <v>0.30769230769230771</v>
      </c>
    </row>
    <row r="423" spans="1:10" x14ac:dyDescent="0.45">
      <c r="A423" s="14" t="s">
        <v>10</v>
      </c>
      <c r="B423" s="14" t="s">
        <v>42</v>
      </c>
      <c r="C423" s="14" t="s">
        <v>43</v>
      </c>
      <c r="D423" s="14" t="s">
        <v>44</v>
      </c>
      <c r="E423" s="14">
        <v>403</v>
      </c>
      <c r="G423" s="14" t="s">
        <v>10</v>
      </c>
      <c r="H423" s="14" t="s">
        <v>42</v>
      </c>
      <c r="I423" s="14" t="s">
        <v>43</v>
      </c>
      <c r="J423" s="14" t="s">
        <v>44</v>
      </c>
    </row>
    <row r="424" spans="1:10" x14ac:dyDescent="0.45">
      <c r="A424" s="2" t="s">
        <v>45</v>
      </c>
      <c r="B424" s="2">
        <v>4</v>
      </c>
      <c r="C424" s="2">
        <v>195</v>
      </c>
      <c r="D424" s="2">
        <v>178</v>
      </c>
      <c r="E424" s="2">
        <v>377</v>
      </c>
      <c r="G424" s="2" t="s">
        <v>45</v>
      </c>
      <c r="H424" s="13">
        <v>1.0610079575596816E-2</v>
      </c>
      <c r="I424" s="13">
        <v>0.51724137931034486</v>
      </c>
      <c r="J424" s="13">
        <v>0.47214854111405835</v>
      </c>
    </row>
    <row r="425" spans="1:10" x14ac:dyDescent="0.45">
      <c r="A425" s="2" t="s">
        <v>46</v>
      </c>
      <c r="B425" s="2">
        <v>1</v>
      </c>
      <c r="C425" s="2">
        <v>19</v>
      </c>
      <c r="D425" s="2">
        <v>6</v>
      </c>
      <c r="E425" s="2">
        <v>26</v>
      </c>
      <c r="G425" s="2" t="s">
        <v>46</v>
      </c>
      <c r="H425" s="13">
        <v>3.8461538461538464E-2</v>
      </c>
      <c r="I425" s="13">
        <v>0.73076923076923073</v>
      </c>
      <c r="J425" s="13">
        <v>0.23076923076923078</v>
      </c>
    </row>
    <row r="427" spans="1:10" x14ac:dyDescent="0.45">
      <c r="A427" s="14" t="s">
        <v>11</v>
      </c>
      <c r="B427" s="14" t="s">
        <v>42</v>
      </c>
      <c r="C427" s="14" t="s">
        <v>43</v>
      </c>
      <c r="D427" s="14" t="s">
        <v>44</v>
      </c>
      <c r="E427" s="14">
        <v>403</v>
      </c>
      <c r="G427" s="14" t="s">
        <v>11</v>
      </c>
      <c r="H427" s="14" t="s">
        <v>42</v>
      </c>
      <c r="I427" s="14" t="s">
        <v>43</v>
      </c>
      <c r="J427" s="14" t="s">
        <v>44</v>
      </c>
    </row>
    <row r="428" spans="1:10" x14ac:dyDescent="0.45">
      <c r="A428" s="2" t="s">
        <v>45</v>
      </c>
      <c r="B428" s="2">
        <v>1</v>
      </c>
      <c r="C428" s="2">
        <v>74</v>
      </c>
      <c r="D428" s="2">
        <v>302</v>
      </c>
      <c r="E428" s="2">
        <v>377</v>
      </c>
      <c r="G428" s="2" t="s">
        <v>45</v>
      </c>
      <c r="H428" s="13">
        <v>2.6525198938992041E-3</v>
      </c>
      <c r="I428" s="13">
        <v>0.19628647214854111</v>
      </c>
      <c r="J428" s="13">
        <v>0.80106100795755963</v>
      </c>
    </row>
    <row r="429" spans="1:10" x14ac:dyDescent="0.45">
      <c r="A429" s="2" t="s">
        <v>46</v>
      </c>
      <c r="B429" s="2">
        <v>0</v>
      </c>
      <c r="C429" s="2">
        <v>4</v>
      </c>
      <c r="D429" s="2">
        <v>22</v>
      </c>
      <c r="E429" s="2">
        <v>26</v>
      </c>
      <c r="G429" s="2" t="s">
        <v>46</v>
      </c>
      <c r="H429" s="13">
        <v>0</v>
      </c>
      <c r="I429" s="13">
        <v>0.15384615384615385</v>
      </c>
      <c r="J429" s="13">
        <v>0.84615384615384615</v>
      </c>
    </row>
    <row r="431" spans="1:10" x14ac:dyDescent="0.45">
      <c r="A431" s="14" t="s">
        <v>12</v>
      </c>
      <c r="B431" s="14" t="s">
        <v>42</v>
      </c>
      <c r="C431" s="14" t="s">
        <v>43</v>
      </c>
      <c r="D431" s="14" t="s">
        <v>44</v>
      </c>
      <c r="E431" s="14">
        <v>403</v>
      </c>
      <c r="G431" s="14" t="s">
        <v>12</v>
      </c>
      <c r="H431" s="14" t="s">
        <v>42</v>
      </c>
      <c r="I431" s="14" t="s">
        <v>43</v>
      </c>
      <c r="J431" s="14" t="s">
        <v>44</v>
      </c>
    </row>
    <row r="432" spans="1:10" x14ac:dyDescent="0.45">
      <c r="A432" s="2" t="s">
        <v>47</v>
      </c>
      <c r="B432" s="2">
        <v>0</v>
      </c>
      <c r="C432" s="2">
        <v>0</v>
      </c>
      <c r="D432" s="2">
        <v>55</v>
      </c>
      <c r="E432" s="2">
        <v>55</v>
      </c>
      <c r="G432" s="2" t="s">
        <v>47</v>
      </c>
      <c r="H432" s="8">
        <v>0</v>
      </c>
      <c r="I432" s="8">
        <v>0</v>
      </c>
      <c r="J432" s="8">
        <v>1</v>
      </c>
    </row>
    <row r="433" spans="1:10" x14ac:dyDescent="0.45">
      <c r="A433" s="2" t="s">
        <v>48</v>
      </c>
      <c r="B433" s="2">
        <v>0</v>
      </c>
      <c r="C433" s="2">
        <v>2</v>
      </c>
      <c r="D433" s="2">
        <v>77</v>
      </c>
      <c r="E433" s="2">
        <v>79</v>
      </c>
      <c r="G433" s="2" t="s">
        <v>48</v>
      </c>
      <c r="H433" s="8">
        <v>0</v>
      </c>
      <c r="I433" s="8">
        <v>2.5316455696202531E-2</v>
      </c>
      <c r="J433" s="8">
        <v>0.97468354430379744</v>
      </c>
    </row>
    <row r="434" spans="1:10" x14ac:dyDescent="0.45">
      <c r="A434" s="2" t="s">
        <v>49</v>
      </c>
      <c r="B434" s="2">
        <v>0</v>
      </c>
      <c r="C434" s="2">
        <v>7</v>
      </c>
      <c r="D434" s="2">
        <v>125</v>
      </c>
      <c r="E434" s="2">
        <v>132</v>
      </c>
      <c r="G434" s="2" t="s">
        <v>49</v>
      </c>
      <c r="H434" s="8">
        <v>0</v>
      </c>
      <c r="I434" s="8">
        <v>5.3030303030303032E-2</v>
      </c>
      <c r="J434" s="8">
        <v>0.94696969696969702</v>
      </c>
    </row>
    <row r="435" spans="1:10" x14ac:dyDescent="0.45">
      <c r="A435" s="2" t="s">
        <v>50</v>
      </c>
      <c r="B435" s="2">
        <v>0</v>
      </c>
      <c r="C435" s="2">
        <v>1</v>
      </c>
      <c r="D435" s="2">
        <v>78</v>
      </c>
      <c r="E435" s="2">
        <v>79</v>
      </c>
      <c r="G435" s="2" t="s">
        <v>50</v>
      </c>
      <c r="H435" s="8">
        <v>0</v>
      </c>
      <c r="I435" s="8">
        <v>1.2658227848101266E-2</v>
      </c>
      <c r="J435" s="8">
        <v>0.98734177215189878</v>
      </c>
    </row>
    <row r="436" spans="1:10" x14ac:dyDescent="0.45">
      <c r="A436" s="2" t="s">
        <v>51</v>
      </c>
      <c r="B436" s="2">
        <v>0</v>
      </c>
      <c r="C436" s="2">
        <v>0</v>
      </c>
      <c r="D436" s="2">
        <v>31</v>
      </c>
      <c r="E436" s="2">
        <v>31</v>
      </c>
      <c r="G436" s="2" t="s">
        <v>51</v>
      </c>
      <c r="H436" s="8">
        <v>0</v>
      </c>
      <c r="I436" s="8">
        <v>0</v>
      </c>
      <c r="J436" s="8">
        <v>1</v>
      </c>
    </row>
    <row r="437" spans="1:10" x14ac:dyDescent="0.45">
      <c r="A437" s="2" t="s">
        <v>52</v>
      </c>
      <c r="B437" s="2">
        <v>0</v>
      </c>
      <c r="C437" s="2">
        <v>2</v>
      </c>
      <c r="D437" s="2">
        <v>25</v>
      </c>
      <c r="E437" s="2">
        <v>27</v>
      </c>
      <c r="G437" s="2" t="s">
        <v>52</v>
      </c>
      <c r="H437" s="8">
        <v>0</v>
      </c>
      <c r="I437" s="8">
        <v>7.407407407407407E-2</v>
      </c>
      <c r="J437" s="8">
        <v>0.92592592592592593</v>
      </c>
    </row>
    <row r="439" spans="1:10" x14ac:dyDescent="0.45">
      <c r="A439" s="14" t="s">
        <v>13</v>
      </c>
      <c r="B439" s="14" t="s">
        <v>42</v>
      </c>
      <c r="C439" s="14" t="s">
        <v>43</v>
      </c>
      <c r="D439" s="14" t="s">
        <v>44</v>
      </c>
      <c r="E439" s="14">
        <v>401</v>
      </c>
      <c r="G439" s="14" t="s">
        <v>13</v>
      </c>
      <c r="H439" s="14" t="s">
        <v>42</v>
      </c>
      <c r="I439" s="14" t="s">
        <v>43</v>
      </c>
      <c r="J439" s="14" t="s">
        <v>44</v>
      </c>
    </row>
    <row r="440" spans="1:10" x14ac:dyDescent="0.45">
      <c r="A440" s="2" t="s">
        <v>47</v>
      </c>
      <c r="B440" s="2">
        <v>0</v>
      </c>
      <c r="C440" s="2">
        <v>28</v>
      </c>
      <c r="D440" s="2">
        <v>26</v>
      </c>
      <c r="E440" s="2">
        <v>54</v>
      </c>
      <c r="G440" s="2" t="s">
        <v>47</v>
      </c>
      <c r="H440" s="8">
        <v>0</v>
      </c>
      <c r="I440" s="8">
        <v>0.51851851851851849</v>
      </c>
      <c r="J440" s="8">
        <v>0.48148148148148145</v>
      </c>
    </row>
    <row r="441" spans="1:10" x14ac:dyDescent="0.45">
      <c r="A441" s="2" t="s">
        <v>48</v>
      </c>
      <c r="B441" s="2">
        <v>2</v>
      </c>
      <c r="C441" s="2">
        <v>43</v>
      </c>
      <c r="D441" s="2">
        <v>34</v>
      </c>
      <c r="E441" s="2">
        <v>79</v>
      </c>
      <c r="G441" s="2" t="s">
        <v>48</v>
      </c>
      <c r="H441" s="8">
        <v>2.5316455696202531E-2</v>
      </c>
      <c r="I441" s="8">
        <v>0.54430379746835444</v>
      </c>
      <c r="J441" s="8">
        <v>0.43037974683544306</v>
      </c>
    </row>
    <row r="442" spans="1:10" x14ac:dyDescent="0.45">
      <c r="A442" s="2" t="s">
        <v>49</v>
      </c>
      <c r="B442" s="2">
        <v>1</v>
      </c>
      <c r="C442" s="2">
        <v>58</v>
      </c>
      <c r="D442" s="2">
        <v>72</v>
      </c>
      <c r="E442" s="2">
        <v>131</v>
      </c>
      <c r="G442" s="2" t="s">
        <v>49</v>
      </c>
      <c r="H442" s="8">
        <v>7.6335877862595417E-3</v>
      </c>
      <c r="I442" s="8">
        <v>0.44274809160305345</v>
      </c>
      <c r="J442" s="8">
        <v>0.54961832061068705</v>
      </c>
    </row>
    <row r="443" spans="1:10" x14ac:dyDescent="0.45">
      <c r="A443" s="2" t="s">
        <v>50</v>
      </c>
      <c r="B443" s="2">
        <v>1</v>
      </c>
      <c r="C443" s="2">
        <v>38</v>
      </c>
      <c r="D443" s="2">
        <v>40</v>
      </c>
      <c r="E443" s="2">
        <v>79</v>
      </c>
      <c r="G443" s="2" t="s">
        <v>50</v>
      </c>
      <c r="H443" s="8">
        <v>1.2658227848101266E-2</v>
      </c>
      <c r="I443" s="8">
        <v>0.48101265822784811</v>
      </c>
      <c r="J443" s="8">
        <v>0.50632911392405067</v>
      </c>
    </row>
    <row r="444" spans="1:10" x14ac:dyDescent="0.45">
      <c r="A444" s="2" t="s">
        <v>51</v>
      </c>
      <c r="B444" s="2">
        <v>0</v>
      </c>
      <c r="C444" s="2">
        <v>15</v>
      </c>
      <c r="D444" s="2">
        <v>16</v>
      </c>
      <c r="E444" s="2">
        <v>31</v>
      </c>
      <c r="G444" s="2" t="s">
        <v>51</v>
      </c>
      <c r="H444" s="8">
        <v>0</v>
      </c>
      <c r="I444" s="8">
        <v>0.4838709677419355</v>
      </c>
      <c r="J444" s="8">
        <v>0.5161290322580645</v>
      </c>
    </row>
    <row r="445" spans="1:10" x14ac:dyDescent="0.45">
      <c r="A445" s="2" t="s">
        <v>52</v>
      </c>
      <c r="B445" s="2">
        <v>0</v>
      </c>
      <c r="C445" s="2">
        <v>10</v>
      </c>
      <c r="D445" s="2">
        <v>17</v>
      </c>
      <c r="E445" s="2">
        <v>27</v>
      </c>
      <c r="G445" s="2" t="s">
        <v>52</v>
      </c>
      <c r="H445" s="8">
        <v>0</v>
      </c>
      <c r="I445" s="8">
        <v>0.37037037037037035</v>
      </c>
      <c r="J445" s="8">
        <v>0.62962962962962965</v>
      </c>
    </row>
    <row r="447" spans="1:10" x14ac:dyDescent="0.45">
      <c r="A447" s="14" t="s">
        <v>14</v>
      </c>
      <c r="B447" s="14" t="s">
        <v>42</v>
      </c>
      <c r="C447" s="14" t="s">
        <v>43</v>
      </c>
      <c r="D447" s="14" t="s">
        <v>44</v>
      </c>
      <c r="E447" s="14">
        <v>401</v>
      </c>
      <c r="G447" s="14" t="s">
        <v>14</v>
      </c>
      <c r="H447" s="14" t="s">
        <v>42</v>
      </c>
      <c r="I447" s="14" t="s">
        <v>43</v>
      </c>
      <c r="J447" s="14" t="s">
        <v>44</v>
      </c>
    </row>
    <row r="448" spans="1:10" x14ac:dyDescent="0.45">
      <c r="A448" s="2" t="s">
        <v>47</v>
      </c>
      <c r="B448" s="2">
        <v>0</v>
      </c>
      <c r="C448" s="2">
        <v>1</v>
      </c>
      <c r="D448" s="2">
        <v>53</v>
      </c>
      <c r="E448" s="2">
        <v>54</v>
      </c>
      <c r="G448" s="2" t="s">
        <v>47</v>
      </c>
      <c r="H448" s="8">
        <v>0</v>
      </c>
      <c r="I448" s="8">
        <v>1.8518518518518517E-2</v>
      </c>
      <c r="J448" s="8">
        <v>0.98148148148148151</v>
      </c>
    </row>
    <row r="449" spans="1:10" x14ac:dyDescent="0.45">
      <c r="A449" s="2" t="s">
        <v>48</v>
      </c>
      <c r="B449" s="2">
        <v>0</v>
      </c>
      <c r="C449" s="2">
        <v>10</v>
      </c>
      <c r="D449" s="2">
        <v>69</v>
      </c>
      <c r="E449" s="2">
        <v>79</v>
      </c>
      <c r="G449" s="2" t="s">
        <v>48</v>
      </c>
      <c r="H449" s="8">
        <v>0</v>
      </c>
      <c r="I449" s="8">
        <v>0.12658227848101267</v>
      </c>
      <c r="J449" s="8">
        <v>0.87341772151898733</v>
      </c>
    </row>
    <row r="450" spans="1:10" x14ac:dyDescent="0.45">
      <c r="A450" s="2" t="s">
        <v>49</v>
      </c>
      <c r="B450" s="2">
        <v>0</v>
      </c>
      <c r="C450" s="2">
        <v>2</v>
      </c>
      <c r="D450" s="2">
        <v>129</v>
      </c>
      <c r="E450" s="2">
        <v>131</v>
      </c>
      <c r="G450" s="2" t="s">
        <v>49</v>
      </c>
      <c r="H450" s="8">
        <v>0</v>
      </c>
      <c r="I450" s="8">
        <v>1.5267175572519083E-2</v>
      </c>
      <c r="J450" s="8">
        <v>0.98473282442748089</v>
      </c>
    </row>
    <row r="451" spans="1:10" x14ac:dyDescent="0.45">
      <c r="A451" s="2" t="s">
        <v>50</v>
      </c>
      <c r="B451" s="2">
        <v>0</v>
      </c>
      <c r="C451" s="2">
        <v>10</v>
      </c>
      <c r="D451" s="2">
        <v>69</v>
      </c>
      <c r="E451" s="2">
        <v>79</v>
      </c>
      <c r="G451" s="2" t="s">
        <v>50</v>
      </c>
      <c r="H451" s="8">
        <v>0</v>
      </c>
      <c r="I451" s="8">
        <v>0.12658227848101267</v>
      </c>
      <c r="J451" s="8">
        <v>0.87341772151898733</v>
      </c>
    </row>
    <row r="452" spans="1:10" x14ac:dyDescent="0.45">
      <c r="A452" s="2" t="s">
        <v>51</v>
      </c>
      <c r="B452" s="2">
        <v>0</v>
      </c>
      <c r="C452" s="2">
        <v>0</v>
      </c>
      <c r="D452" s="2">
        <v>31</v>
      </c>
      <c r="E452" s="2">
        <v>31</v>
      </c>
      <c r="G452" s="2" t="s">
        <v>51</v>
      </c>
      <c r="H452" s="8">
        <v>0</v>
      </c>
      <c r="I452" s="8">
        <v>0</v>
      </c>
      <c r="J452" s="8">
        <v>1</v>
      </c>
    </row>
    <row r="453" spans="1:10" x14ac:dyDescent="0.45">
      <c r="A453" s="2" t="s">
        <v>52</v>
      </c>
      <c r="B453" s="2">
        <v>0</v>
      </c>
      <c r="C453" s="2">
        <v>2</v>
      </c>
      <c r="D453" s="2">
        <v>25</v>
      </c>
      <c r="E453" s="2">
        <v>27</v>
      </c>
      <c r="G453" s="2" t="s">
        <v>52</v>
      </c>
      <c r="H453" s="8">
        <v>0</v>
      </c>
      <c r="I453" s="8">
        <v>7.407407407407407E-2</v>
      </c>
      <c r="J453" s="8">
        <v>0.92592592592592593</v>
      </c>
    </row>
    <row r="455" spans="1:10" x14ac:dyDescent="0.45">
      <c r="A455" s="14" t="s">
        <v>15</v>
      </c>
      <c r="B455" s="14" t="s">
        <v>42</v>
      </c>
      <c r="C455" s="14" t="s">
        <v>43</v>
      </c>
      <c r="D455" s="14" t="s">
        <v>44</v>
      </c>
      <c r="E455" s="14">
        <v>401</v>
      </c>
      <c r="G455" s="14" t="s">
        <v>15</v>
      </c>
      <c r="H455" s="14" t="s">
        <v>42</v>
      </c>
      <c r="I455" s="14" t="s">
        <v>43</v>
      </c>
      <c r="J455" s="14" t="s">
        <v>44</v>
      </c>
    </row>
    <row r="456" spans="1:10" x14ac:dyDescent="0.45">
      <c r="A456" s="2" t="s">
        <v>47</v>
      </c>
      <c r="B456" s="2">
        <v>0</v>
      </c>
      <c r="C456" s="2">
        <v>22</v>
      </c>
      <c r="D456" s="2">
        <v>32</v>
      </c>
      <c r="E456" s="2">
        <v>54</v>
      </c>
      <c r="G456" s="2" t="s">
        <v>47</v>
      </c>
      <c r="H456" s="8">
        <v>0</v>
      </c>
      <c r="I456" s="8">
        <v>0.40740740740740738</v>
      </c>
      <c r="J456" s="8">
        <v>0.59259259259259256</v>
      </c>
    </row>
    <row r="457" spans="1:10" x14ac:dyDescent="0.45">
      <c r="A457" s="2" t="s">
        <v>48</v>
      </c>
      <c r="B457" s="2">
        <v>0</v>
      </c>
      <c r="C457" s="2">
        <v>44</v>
      </c>
      <c r="D457" s="2">
        <v>35</v>
      </c>
      <c r="E457" s="2">
        <v>79</v>
      </c>
      <c r="G457" s="2" t="s">
        <v>48</v>
      </c>
      <c r="H457" s="8">
        <v>0</v>
      </c>
      <c r="I457" s="8">
        <v>0.55696202531645567</v>
      </c>
      <c r="J457" s="8">
        <v>0.44303797468354428</v>
      </c>
    </row>
    <row r="458" spans="1:10" x14ac:dyDescent="0.45">
      <c r="A458" s="2" t="s">
        <v>49</v>
      </c>
      <c r="B458" s="2">
        <v>0</v>
      </c>
      <c r="C458" s="2">
        <v>53</v>
      </c>
      <c r="D458" s="2">
        <v>78</v>
      </c>
      <c r="E458" s="2">
        <v>131</v>
      </c>
      <c r="G458" s="2" t="s">
        <v>49</v>
      </c>
      <c r="H458" s="8">
        <v>0</v>
      </c>
      <c r="I458" s="8">
        <v>0.40458015267175573</v>
      </c>
      <c r="J458" s="8">
        <v>0.59541984732824427</v>
      </c>
    </row>
    <row r="459" spans="1:10" x14ac:dyDescent="0.45">
      <c r="A459" s="2" t="s">
        <v>50</v>
      </c>
      <c r="B459" s="2">
        <v>1</v>
      </c>
      <c r="C459" s="2">
        <v>31</v>
      </c>
      <c r="D459" s="2">
        <v>47</v>
      </c>
      <c r="E459" s="2">
        <v>79</v>
      </c>
      <c r="G459" s="2" t="s">
        <v>50</v>
      </c>
      <c r="H459" s="8">
        <v>1.2658227848101266E-2</v>
      </c>
      <c r="I459" s="8">
        <v>0.39240506329113922</v>
      </c>
      <c r="J459" s="8">
        <v>0.59493670886075944</v>
      </c>
    </row>
    <row r="460" spans="1:10" x14ac:dyDescent="0.45">
      <c r="A460" s="2" t="s">
        <v>51</v>
      </c>
      <c r="B460" s="2">
        <v>0</v>
      </c>
      <c r="C460" s="2">
        <v>14</v>
      </c>
      <c r="D460" s="2">
        <v>17</v>
      </c>
      <c r="E460" s="2">
        <v>31</v>
      </c>
      <c r="G460" s="2" t="s">
        <v>51</v>
      </c>
      <c r="H460" s="8">
        <v>0</v>
      </c>
      <c r="I460" s="8">
        <v>0.45161290322580644</v>
      </c>
      <c r="J460" s="8">
        <v>0.54838709677419351</v>
      </c>
    </row>
    <row r="461" spans="1:10" x14ac:dyDescent="0.45">
      <c r="A461" s="2" t="s">
        <v>52</v>
      </c>
      <c r="B461" s="2">
        <v>0</v>
      </c>
      <c r="C461" s="2">
        <v>9</v>
      </c>
      <c r="D461" s="2">
        <v>18</v>
      </c>
      <c r="E461" s="2">
        <v>27</v>
      </c>
      <c r="G461" s="2" t="s">
        <v>52</v>
      </c>
      <c r="H461" s="8">
        <v>0</v>
      </c>
      <c r="I461" s="8">
        <v>0.33333333333333331</v>
      </c>
      <c r="J461" s="8">
        <v>0.66666666666666663</v>
      </c>
    </row>
    <row r="463" spans="1:10" x14ac:dyDescent="0.45">
      <c r="A463" s="14" t="s">
        <v>16</v>
      </c>
      <c r="B463" s="14" t="s">
        <v>42</v>
      </c>
      <c r="C463" s="14" t="s">
        <v>43</v>
      </c>
      <c r="D463" s="14" t="s">
        <v>44</v>
      </c>
      <c r="E463" s="14">
        <v>401</v>
      </c>
      <c r="G463" s="14" t="s">
        <v>16</v>
      </c>
      <c r="H463" s="14" t="s">
        <v>42</v>
      </c>
      <c r="I463" s="14" t="s">
        <v>43</v>
      </c>
      <c r="J463" s="14" t="s">
        <v>44</v>
      </c>
    </row>
    <row r="464" spans="1:10" x14ac:dyDescent="0.45">
      <c r="A464" s="2" t="s">
        <v>47</v>
      </c>
      <c r="B464" s="2">
        <v>0</v>
      </c>
      <c r="C464" s="2">
        <v>26</v>
      </c>
      <c r="D464" s="2">
        <v>28</v>
      </c>
      <c r="E464" s="2">
        <v>54</v>
      </c>
      <c r="G464" s="2" t="s">
        <v>47</v>
      </c>
      <c r="H464" s="8">
        <v>0</v>
      </c>
      <c r="I464" s="8">
        <v>0.48148148148148145</v>
      </c>
      <c r="J464" s="8">
        <v>0.51851851851851849</v>
      </c>
    </row>
    <row r="465" spans="1:10" x14ac:dyDescent="0.45">
      <c r="A465" s="2" t="s">
        <v>48</v>
      </c>
      <c r="B465" s="2">
        <v>0</v>
      </c>
      <c r="C465" s="2">
        <v>36</v>
      </c>
      <c r="D465" s="2">
        <v>43</v>
      </c>
      <c r="E465" s="2">
        <v>79</v>
      </c>
      <c r="G465" s="2" t="s">
        <v>48</v>
      </c>
      <c r="H465" s="8">
        <v>0</v>
      </c>
      <c r="I465" s="8">
        <v>0.45569620253164556</v>
      </c>
      <c r="J465" s="8">
        <v>0.54430379746835444</v>
      </c>
    </row>
    <row r="466" spans="1:10" x14ac:dyDescent="0.45">
      <c r="A466" s="2" t="s">
        <v>49</v>
      </c>
      <c r="B466" s="2">
        <v>0</v>
      </c>
      <c r="C466" s="2">
        <v>55</v>
      </c>
      <c r="D466" s="2">
        <v>76</v>
      </c>
      <c r="E466" s="2">
        <v>131</v>
      </c>
      <c r="G466" s="2" t="s">
        <v>49</v>
      </c>
      <c r="H466" s="8">
        <v>0</v>
      </c>
      <c r="I466" s="8">
        <v>0.41984732824427479</v>
      </c>
      <c r="J466" s="8">
        <v>0.58015267175572516</v>
      </c>
    </row>
    <row r="467" spans="1:10" x14ac:dyDescent="0.45">
      <c r="A467" s="2" t="s">
        <v>50</v>
      </c>
      <c r="B467" s="2">
        <v>0</v>
      </c>
      <c r="C467" s="2">
        <v>39</v>
      </c>
      <c r="D467" s="2">
        <v>40</v>
      </c>
      <c r="E467" s="2">
        <v>79</v>
      </c>
      <c r="G467" s="2" t="s">
        <v>50</v>
      </c>
      <c r="H467" s="8">
        <v>0</v>
      </c>
      <c r="I467" s="8">
        <v>0.49367088607594939</v>
      </c>
      <c r="J467" s="8">
        <v>0.50632911392405067</v>
      </c>
    </row>
    <row r="468" spans="1:10" x14ac:dyDescent="0.45">
      <c r="A468" s="2" t="s">
        <v>51</v>
      </c>
      <c r="B468" s="2">
        <v>0</v>
      </c>
      <c r="C468" s="2">
        <v>9</v>
      </c>
      <c r="D468" s="2">
        <v>22</v>
      </c>
      <c r="E468" s="2">
        <v>31</v>
      </c>
      <c r="G468" s="2" t="s">
        <v>51</v>
      </c>
      <c r="H468" s="8">
        <v>0</v>
      </c>
      <c r="I468" s="8">
        <v>0.29032258064516131</v>
      </c>
      <c r="J468" s="8">
        <v>0.70967741935483875</v>
      </c>
    </row>
    <row r="469" spans="1:10" x14ac:dyDescent="0.45">
      <c r="A469" s="2" t="s">
        <v>52</v>
      </c>
      <c r="B469" s="2">
        <v>0</v>
      </c>
      <c r="C469" s="2">
        <v>15</v>
      </c>
      <c r="D469" s="2">
        <v>12</v>
      </c>
      <c r="E469" s="2">
        <v>27</v>
      </c>
      <c r="G469" s="2" t="s">
        <v>52</v>
      </c>
      <c r="H469" s="8">
        <v>0</v>
      </c>
      <c r="I469" s="8">
        <v>0.55555555555555558</v>
      </c>
      <c r="J469" s="8">
        <v>0.44444444444444442</v>
      </c>
    </row>
    <row r="471" spans="1:10" x14ac:dyDescent="0.45">
      <c r="A471" s="14" t="s">
        <v>14</v>
      </c>
      <c r="B471" s="14" t="s">
        <v>42</v>
      </c>
      <c r="C471" s="14" t="s">
        <v>43</v>
      </c>
      <c r="D471" s="14" t="s">
        <v>44</v>
      </c>
      <c r="E471" s="14">
        <v>401</v>
      </c>
      <c r="G471" s="14" t="s">
        <v>14</v>
      </c>
      <c r="H471" s="14" t="s">
        <v>42</v>
      </c>
      <c r="I471" s="14" t="s">
        <v>43</v>
      </c>
      <c r="J471" s="14" t="s">
        <v>44</v>
      </c>
    </row>
    <row r="472" spans="1:10" x14ac:dyDescent="0.45">
      <c r="A472" s="2" t="s">
        <v>53</v>
      </c>
      <c r="B472" s="2">
        <v>0</v>
      </c>
      <c r="C472" s="2">
        <v>0</v>
      </c>
      <c r="D472" s="2">
        <v>41</v>
      </c>
      <c r="E472" s="2">
        <v>41</v>
      </c>
      <c r="G472" s="2" t="s">
        <v>53</v>
      </c>
      <c r="H472" s="8">
        <v>0</v>
      </c>
      <c r="I472" s="8">
        <v>0</v>
      </c>
      <c r="J472" s="8">
        <v>1</v>
      </c>
    </row>
    <row r="473" spans="1:10" x14ac:dyDescent="0.45">
      <c r="A473" s="2" t="s">
        <v>54</v>
      </c>
      <c r="B473" s="2">
        <v>0</v>
      </c>
      <c r="C473" s="2">
        <v>9</v>
      </c>
      <c r="D473" s="2">
        <v>70</v>
      </c>
      <c r="E473" s="2">
        <v>79</v>
      </c>
      <c r="G473" s="2" t="s">
        <v>54</v>
      </c>
      <c r="H473" s="8">
        <v>0</v>
      </c>
      <c r="I473" s="8">
        <v>0.11392405063291139</v>
      </c>
      <c r="J473" s="8">
        <v>0.88607594936708856</v>
      </c>
    </row>
    <row r="474" spans="1:10" x14ac:dyDescent="0.45">
      <c r="A474" s="2" t="s">
        <v>55</v>
      </c>
      <c r="B474" s="2">
        <v>0</v>
      </c>
      <c r="C474" s="2">
        <v>2</v>
      </c>
      <c r="D474" s="2">
        <v>38</v>
      </c>
      <c r="E474" s="2">
        <v>40</v>
      </c>
      <c r="G474" s="2" t="s">
        <v>55</v>
      </c>
      <c r="H474" s="8">
        <v>0</v>
      </c>
      <c r="I474" s="8">
        <v>0.05</v>
      </c>
      <c r="J474" s="8">
        <v>0.95</v>
      </c>
    </row>
    <row r="475" spans="1:10" x14ac:dyDescent="0.45">
      <c r="A475" s="2" t="s">
        <v>56</v>
      </c>
      <c r="B475" s="2">
        <v>0</v>
      </c>
      <c r="C475" s="2">
        <v>3</v>
      </c>
      <c r="D475" s="2">
        <v>50</v>
      </c>
      <c r="E475" s="2">
        <v>53</v>
      </c>
      <c r="G475" s="2" t="s">
        <v>56</v>
      </c>
      <c r="H475" s="8">
        <v>0</v>
      </c>
      <c r="I475" s="8">
        <v>5.6603773584905662E-2</v>
      </c>
      <c r="J475" s="8">
        <v>0.94339622641509435</v>
      </c>
    </row>
    <row r="476" spans="1:10" x14ac:dyDescent="0.45">
      <c r="A476" s="2" t="s">
        <v>57</v>
      </c>
      <c r="B476" s="2">
        <v>0</v>
      </c>
      <c r="C476" s="2">
        <v>3</v>
      </c>
      <c r="D476" s="2">
        <v>50</v>
      </c>
      <c r="E476" s="2">
        <v>53</v>
      </c>
      <c r="G476" s="2" t="s">
        <v>57</v>
      </c>
      <c r="H476" s="8">
        <v>0</v>
      </c>
      <c r="I476" s="8">
        <v>5.6603773584905662E-2</v>
      </c>
      <c r="J476" s="8">
        <v>0.94339622641509435</v>
      </c>
    </row>
    <row r="477" spans="1:10" x14ac:dyDescent="0.45">
      <c r="A477" s="2" t="s">
        <v>58</v>
      </c>
      <c r="B477" s="2">
        <v>0</v>
      </c>
      <c r="C477" s="2">
        <v>3</v>
      </c>
      <c r="D477" s="2">
        <v>59</v>
      </c>
      <c r="E477" s="2">
        <v>62</v>
      </c>
      <c r="G477" s="2" t="s">
        <v>58</v>
      </c>
      <c r="H477" s="8">
        <v>0</v>
      </c>
      <c r="I477" s="8">
        <v>4.8387096774193547E-2</v>
      </c>
      <c r="J477" s="8">
        <v>0.95161290322580649</v>
      </c>
    </row>
    <row r="478" spans="1:10" x14ac:dyDescent="0.45">
      <c r="A478" s="2" t="s">
        <v>59</v>
      </c>
      <c r="B478" s="2">
        <v>0</v>
      </c>
      <c r="C478" s="2">
        <v>2</v>
      </c>
      <c r="D478" s="2">
        <v>36</v>
      </c>
      <c r="E478" s="2">
        <v>38</v>
      </c>
      <c r="G478" s="2" t="s">
        <v>59</v>
      </c>
      <c r="H478" s="8">
        <v>0</v>
      </c>
      <c r="I478" s="8">
        <v>5.2631578947368418E-2</v>
      </c>
      <c r="J478" s="8">
        <v>0.94736842105263153</v>
      </c>
    </row>
    <row r="479" spans="1:10" x14ac:dyDescent="0.45">
      <c r="A479" s="2" t="s">
        <v>60</v>
      </c>
      <c r="B479" s="2">
        <v>0</v>
      </c>
      <c r="C479" s="2">
        <v>3</v>
      </c>
      <c r="D479" s="2">
        <v>32</v>
      </c>
      <c r="E479" s="2">
        <v>35</v>
      </c>
      <c r="G479" s="2" t="s">
        <v>60</v>
      </c>
      <c r="H479" s="8">
        <v>0</v>
      </c>
      <c r="I479" s="8">
        <v>8.5714285714285715E-2</v>
      </c>
      <c r="J479" s="8">
        <v>0.91428571428571426</v>
      </c>
    </row>
    <row r="481" spans="1:10" x14ac:dyDescent="0.45">
      <c r="A481" s="14" t="s">
        <v>15</v>
      </c>
      <c r="B481" s="14" t="s">
        <v>42</v>
      </c>
      <c r="C481" s="14" t="s">
        <v>43</v>
      </c>
      <c r="D481" s="14" t="s">
        <v>44</v>
      </c>
      <c r="E481" s="14">
        <v>401</v>
      </c>
      <c r="G481" s="14" t="s">
        <v>15</v>
      </c>
      <c r="H481" s="14" t="s">
        <v>42</v>
      </c>
      <c r="I481" s="14" t="s">
        <v>43</v>
      </c>
      <c r="J481" s="14" t="s">
        <v>44</v>
      </c>
    </row>
    <row r="482" spans="1:10" x14ac:dyDescent="0.45">
      <c r="A482" s="2" t="s">
        <v>53</v>
      </c>
      <c r="B482" s="2">
        <v>0</v>
      </c>
      <c r="C482" s="2">
        <v>14</v>
      </c>
      <c r="D482" s="2">
        <v>27</v>
      </c>
      <c r="E482" s="2">
        <v>41</v>
      </c>
      <c r="G482" s="2" t="s">
        <v>53</v>
      </c>
      <c r="H482" s="8">
        <v>0</v>
      </c>
      <c r="I482" s="8">
        <v>0.34146341463414637</v>
      </c>
      <c r="J482" s="8">
        <v>0.65853658536585369</v>
      </c>
    </row>
    <row r="483" spans="1:10" x14ac:dyDescent="0.45">
      <c r="A483" s="2" t="s">
        <v>54</v>
      </c>
      <c r="B483" s="2">
        <v>0</v>
      </c>
      <c r="C483" s="2">
        <v>34</v>
      </c>
      <c r="D483" s="2">
        <v>45</v>
      </c>
      <c r="E483" s="2">
        <v>79</v>
      </c>
      <c r="G483" s="2" t="s">
        <v>54</v>
      </c>
      <c r="H483" s="8">
        <v>0</v>
      </c>
      <c r="I483" s="8">
        <v>0.43037974683544306</v>
      </c>
      <c r="J483" s="8">
        <v>0.569620253164557</v>
      </c>
    </row>
    <row r="484" spans="1:10" x14ac:dyDescent="0.45">
      <c r="A484" s="2" t="s">
        <v>55</v>
      </c>
      <c r="B484" s="2">
        <v>0</v>
      </c>
      <c r="C484" s="2">
        <v>20</v>
      </c>
      <c r="D484" s="2">
        <v>20</v>
      </c>
      <c r="E484" s="2">
        <v>40</v>
      </c>
      <c r="G484" s="2" t="s">
        <v>55</v>
      </c>
      <c r="H484" s="8">
        <v>0</v>
      </c>
      <c r="I484" s="8">
        <v>0.5</v>
      </c>
      <c r="J484" s="8">
        <v>0.5</v>
      </c>
    </row>
    <row r="485" spans="1:10" x14ac:dyDescent="0.45">
      <c r="A485" s="2" t="s">
        <v>56</v>
      </c>
      <c r="B485" s="2">
        <v>1</v>
      </c>
      <c r="C485" s="2">
        <v>25</v>
      </c>
      <c r="D485" s="2">
        <v>27</v>
      </c>
      <c r="E485" s="2">
        <v>53</v>
      </c>
      <c r="G485" s="2" t="s">
        <v>56</v>
      </c>
      <c r="H485" s="8">
        <v>1.8867924528301886E-2</v>
      </c>
      <c r="I485" s="8">
        <v>0.47169811320754718</v>
      </c>
      <c r="J485" s="8">
        <v>0.50943396226415094</v>
      </c>
    </row>
    <row r="486" spans="1:10" x14ac:dyDescent="0.45">
      <c r="A486" s="2" t="s">
        <v>57</v>
      </c>
      <c r="B486" s="2">
        <v>0</v>
      </c>
      <c r="C486" s="2">
        <v>30</v>
      </c>
      <c r="D486" s="2">
        <v>23</v>
      </c>
      <c r="E486" s="2">
        <v>53</v>
      </c>
      <c r="G486" s="2" t="s">
        <v>57</v>
      </c>
      <c r="H486" s="8">
        <v>0</v>
      </c>
      <c r="I486" s="8">
        <v>0.56603773584905659</v>
      </c>
      <c r="J486" s="8">
        <v>0.43396226415094341</v>
      </c>
    </row>
    <row r="487" spans="1:10" x14ac:dyDescent="0.45">
      <c r="A487" s="2" t="s">
        <v>58</v>
      </c>
      <c r="B487" s="2">
        <v>0</v>
      </c>
      <c r="C487" s="2">
        <v>22</v>
      </c>
      <c r="D487" s="2">
        <v>40</v>
      </c>
      <c r="E487" s="2">
        <v>62</v>
      </c>
      <c r="G487" s="2" t="s">
        <v>58</v>
      </c>
      <c r="H487" s="8">
        <v>0</v>
      </c>
      <c r="I487" s="8">
        <v>0.35483870967741937</v>
      </c>
      <c r="J487" s="8">
        <v>0.64516129032258063</v>
      </c>
    </row>
    <row r="488" spans="1:10" x14ac:dyDescent="0.45">
      <c r="A488" s="2" t="s">
        <v>59</v>
      </c>
      <c r="B488" s="2">
        <v>0</v>
      </c>
      <c r="C488" s="2">
        <v>13</v>
      </c>
      <c r="D488" s="2">
        <v>25</v>
      </c>
      <c r="E488" s="2">
        <v>38</v>
      </c>
      <c r="G488" s="2" t="s">
        <v>59</v>
      </c>
      <c r="H488" s="8">
        <v>0</v>
      </c>
      <c r="I488" s="8">
        <v>0.34210526315789475</v>
      </c>
      <c r="J488" s="8">
        <v>0.65789473684210531</v>
      </c>
    </row>
    <row r="489" spans="1:10" x14ac:dyDescent="0.45">
      <c r="A489" s="2" t="s">
        <v>60</v>
      </c>
      <c r="B489" s="2">
        <v>0</v>
      </c>
      <c r="C489" s="2">
        <v>15</v>
      </c>
      <c r="D489" s="2">
        <v>20</v>
      </c>
      <c r="E489" s="2">
        <v>35</v>
      </c>
      <c r="G489" s="2" t="s">
        <v>60</v>
      </c>
      <c r="H489" s="8">
        <v>0</v>
      </c>
      <c r="I489" s="8">
        <v>0.42857142857142855</v>
      </c>
      <c r="J489" s="8">
        <v>0.5714285714285714</v>
      </c>
    </row>
    <row r="491" spans="1:10" x14ac:dyDescent="0.45">
      <c r="A491" s="14" t="s">
        <v>61</v>
      </c>
      <c r="B491" s="14" t="s">
        <v>42</v>
      </c>
      <c r="C491" s="14" t="s">
        <v>43</v>
      </c>
      <c r="D491" s="14" t="s">
        <v>44</v>
      </c>
      <c r="E491" s="14">
        <v>401</v>
      </c>
      <c r="G491" s="14" t="s">
        <v>61</v>
      </c>
      <c r="H491" s="14" t="s">
        <v>42</v>
      </c>
      <c r="I491" s="14" t="s">
        <v>43</v>
      </c>
      <c r="J491" s="14" t="s">
        <v>44</v>
      </c>
    </row>
    <row r="492" spans="1:10" x14ac:dyDescent="0.45">
      <c r="A492" s="2" t="s">
        <v>47</v>
      </c>
      <c r="B492" s="2">
        <v>0</v>
      </c>
      <c r="C492" s="2">
        <v>1</v>
      </c>
      <c r="D492" s="2">
        <v>53</v>
      </c>
      <c r="E492" s="2">
        <v>54</v>
      </c>
      <c r="G492" s="2" t="s">
        <v>47</v>
      </c>
      <c r="H492" s="8">
        <v>0</v>
      </c>
      <c r="I492" s="8">
        <v>1.8518518518518517E-2</v>
      </c>
      <c r="J492" s="8">
        <v>0.98148148148148151</v>
      </c>
    </row>
    <row r="493" spans="1:10" x14ac:dyDescent="0.45">
      <c r="A493" s="2" t="s">
        <v>48</v>
      </c>
      <c r="B493" s="2">
        <v>0</v>
      </c>
      <c r="C493" s="2">
        <v>1</v>
      </c>
      <c r="D493" s="2">
        <v>78</v>
      </c>
      <c r="E493" s="2">
        <v>79</v>
      </c>
      <c r="G493" s="2" t="s">
        <v>48</v>
      </c>
      <c r="H493" s="8">
        <v>0</v>
      </c>
      <c r="I493" s="8">
        <v>1.2658227848101266E-2</v>
      </c>
      <c r="J493" s="8">
        <v>0.98734177215189878</v>
      </c>
    </row>
    <row r="494" spans="1:10" x14ac:dyDescent="0.45">
      <c r="A494" s="2" t="s">
        <v>49</v>
      </c>
      <c r="B494" s="2">
        <v>0</v>
      </c>
      <c r="C494" s="2">
        <v>4</v>
      </c>
      <c r="D494" s="2">
        <v>127</v>
      </c>
      <c r="E494" s="2">
        <v>131</v>
      </c>
      <c r="G494" s="2" t="s">
        <v>49</v>
      </c>
      <c r="H494" s="8">
        <v>0</v>
      </c>
      <c r="I494" s="8">
        <v>3.0534351145038167E-2</v>
      </c>
      <c r="J494" s="8">
        <v>0.96946564885496178</v>
      </c>
    </row>
    <row r="495" spans="1:10" x14ac:dyDescent="0.45">
      <c r="A495" s="2" t="s">
        <v>50</v>
      </c>
      <c r="B495" s="2">
        <v>0</v>
      </c>
      <c r="C495" s="2">
        <v>6</v>
      </c>
      <c r="D495" s="2">
        <v>73</v>
      </c>
      <c r="E495" s="2">
        <v>79</v>
      </c>
      <c r="G495" s="2" t="s">
        <v>50</v>
      </c>
      <c r="H495" s="8">
        <v>0</v>
      </c>
      <c r="I495" s="8">
        <v>7.5949367088607597E-2</v>
      </c>
      <c r="J495" s="8">
        <v>0.92405063291139244</v>
      </c>
    </row>
    <row r="496" spans="1:10" x14ac:dyDescent="0.45">
      <c r="A496" s="2" t="s">
        <v>51</v>
      </c>
      <c r="B496" s="2">
        <v>0</v>
      </c>
      <c r="C496" s="2">
        <v>0</v>
      </c>
      <c r="D496" s="2">
        <v>31</v>
      </c>
      <c r="E496" s="2">
        <v>31</v>
      </c>
      <c r="G496" s="2" t="s">
        <v>51</v>
      </c>
      <c r="H496" s="8">
        <v>0</v>
      </c>
      <c r="I496" s="8">
        <v>0</v>
      </c>
      <c r="J496" s="8">
        <v>1</v>
      </c>
    </row>
    <row r="497" spans="1:29" x14ac:dyDescent="0.45">
      <c r="A497" s="2" t="s">
        <v>52</v>
      </c>
      <c r="B497" s="2">
        <v>0</v>
      </c>
      <c r="C497" s="2">
        <v>3</v>
      </c>
      <c r="D497" s="2">
        <v>24</v>
      </c>
      <c r="E497" s="2">
        <v>27</v>
      </c>
      <c r="G497" s="2" t="s">
        <v>52</v>
      </c>
      <c r="H497" s="8">
        <v>0</v>
      </c>
      <c r="I497" s="8">
        <v>0.1111111111111111</v>
      </c>
      <c r="J497" s="8">
        <v>0.88888888888888884</v>
      </c>
    </row>
    <row r="504" spans="1:29" x14ac:dyDescent="0.45">
      <c r="A504" s="18" t="s">
        <v>37</v>
      </c>
      <c r="B504" s="18"/>
      <c r="C504" s="18"/>
      <c r="D504" s="18"/>
    </row>
    <row r="505" spans="1:29" x14ac:dyDescent="0.45">
      <c r="A505" s="14" t="s">
        <v>9</v>
      </c>
      <c r="B505" s="14" t="s">
        <v>42</v>
      </c>
      <c r="C505" s="14" t="s">
        <v>43</v>
      </c>
      <c r="D505" s="14" t="s">
        <v>44</v>
      </c>
      <c r="F505" s="14" t="s">
        <v>9</v>
      </c>
      <c r="G505" s="14" t="s">
        <v>42</v>
      </c>
      <c r="H505" s="14" t="s">
        <v>43</v>
      </c>
      <c r="I505" s="14" t="s">
        <v>44</v>
      </c>
      <c r="K505" s="14" t="s">
        <v>9</v>
      </c>
      <c r="L505" s="14" t="s">
        <v>42</v>
      </c>
      <c r="M505" s="14" t="s">
        <v>43</v>
      </c>
      <c r="N505" s="14" t="s">
        <v>44</v>
      </c>
      <c r="P505" s="14" t="s">
        <v>9</v>
      </c>
      <c r="Q505" s="14" t="s">
        <v>42</v>
      </c>
      <c r="R505" s="14" t="s">
        <v>43</v>
      </c>
      <c r="S505" s="14" t="s">
        <v>44</v>
      </c>
      <c r="U505" s="14" t="s">
        <v>9</v>
      </c>
      <c r="V505" s="14" t="s">
        <v>42</v>
      </c>
      <c r="W505" s="14" t="s">
        <v>43</v>
      </c>
      <c r="X505" s="14" t="s">
        <v>44</v>
      </c>
      <c r="Z505" s="14" t="s">
        <v>9</v>
      </c>
      <c r="AA505" s="14" t="s">
        <v>42</v>
      </c>
      <c r="AB505" s="14" t="s">
        <v>43</v>
      </c>
      <c r="AC505" s="14" t="s">
        <v>44</v>
      </c>
    </row>
    <row r="506" spans="1:29" x14ac:dyDescent="0.45">
      <c r="A506" s="2" t="s">
        <v>45</v>
      </c>
      <c r="B506" s="8">
        <f t="shared" ref="B506:D507" si="9">(G506+L506+Q506+V506+AA506)/5</f>
        <v>1.1140583554376656E-2</v>
      </c>
      <c r="C506" s="8">
        <f t="shared" si="9"/>
        <v>0.68647214854111405</v>
      </c>
      <c r="D506" s="8">
        <f t="shared" si="9"/>
        <v>0.30238726790450932</v>
      </c>
      <c r="E506" s="12"/>
      <c r="F506" s="2" t="s">
        <v>45</v>
      </c>
      <c r="G506" s="13">
        <v>1.5915119363395226E-2</v>
      </c>
      <c r="H506" s="13">
        <v>0.67904509283819625</v>
      </c>
      <c r="I506" s="13">
        <v>0.30503978779840851</v>
      </c>
      <c r="K506" s="2" t="s">
        <v>45</v>
      </c>
      <c r="L506" s="13">
        <v>2.6525198938992041E-3</v>
      </c>
      <c r="M506" s="13">
        <v>0.71352785145888598</v>
      </c>
      <c r="N506" s="13">
        <v>0.28381962864721483</v>
      </c>
      <c r="P506" s="2" t="s">
        <v>45</v>
      </c>
      <c r="Q506" s="13">
        <v>1.3262599469496022E-2</v>
      </c>
      <c r="R506" s="13">
        <v>0.65251989389920428</v>
      </c>
      <c r="S506" s="13">
        <v>0.33421750663129973</v>
      </c>
      <c r="U506" s="2" t="s">
        <v>45</v>
      </c>
      <c r="V506" s="13">
        <v>1.0610079575596816E-2</v>
      </c>
      <c r="W506" s="13">
        <v>0.66578249336870021</v>
      </c>
      <c r="X506" s="13">
        <v>0.32360742705570295</v>
      </c>
      <c r="Z506" s="2" t="s">
        <v>45</v>
      </c>
      <c r="AA506" s="13">
        <v>1.3262599469496022E-2</v>
      </c>
      <c r="AB506" s="13">
        <v>0.72148541114058351</v>
      </c>
      <c r="AC506" s="13">
        <v>0.26525198938992045</v>
      </c>
    </row>
    <row r="507" spans="1:29" x14ac:dyDescent="0.45">
      <c r="A507" s="2" t="s">
        <v>46</v>
      </c>
      <c r="B507" s="8">
        <f t="shared" si="9"/>
        <v>3.0769230769230771E-2</v>
      </c>
      <c r="C507" s="8">
        <f t="shared" si="9"/>
        <v>0.72307692307692306</v>
      </c>
      <c r="D507" s="8">
        <f t="shared" si="9"/>
        <v>0.24615384615384617</v>
      </c>
      <c r="E507" s="12"/>
      <c r="F507" s="2" t="s">
        <v>46</v>
      </c>
      <c r="G507" s="13">
        <v>0</v>
      </c>
      <c r="H507" s="13">
        <v>0.73076923076923073</v>
      </c>
      <c r="I507" s="13">
        <v>0.26923076923076922</v>
      </c>
      <c r="K507" s="2" t="s">
        <v>46</v>
      </c>
      <c r="L507" s="13">
        <v>0</v>
      </c>
      <c r="M507" s="13">
        <v>0.76923076923076927</v>
      </c>
      <c r="N507" s="13">
        <v>0.23076923076923078</v>
      </c>
      <c r="P507" s="2" t="s">
        <v>46</v>
      </c>
      <c r="Q507" s="13">
        <v>3.8461538461538464E-2</v>
      </c>
      <c r="R507" s="13">
        <v>0.76923076923076927</v>
      </c>
      <c r="S507" s="13">
        <v>0.19230769230769232</v>
      </c>
      <c r="U507" s="2" t="s">
        <v>46</v>
      </c>
      <c r="V507" s="13">
        <v>7.6923076923076927E-2</v>
      </c>
      <c r="W507" s="13">
        <v>0.69230769230769229</v>
      </c>
      <c r="X507" s="13">
        <v>0.23076923076923078</v>
      </c>
      <c r="Z507" s="2" t="s">
        <v>46</v>
      </c>
      <c r="AA507" s="13">
        <v>3.8461538461538464E-2</v>
      </c>
      <c r="AB507" s="13">
        <v>0.65384615384615385</v>
      </c>
      <c r="AC507" s="13">
        <v>0.30769230769230771</v>
      </c>
    </row>
    <row r="509" spans="1:29" x14ac:dyDescent="0.45">
      <c r="A509" s="14" t="s">
        <v>10</v>
      </c>
      <c r="B509" s="14" t="s">
        <v>42</v>
      </c>
      <c r="C509" s="14" t="s">
        <v>43</v>
      </c>
      <c r="D509" s="14" t="s">
        <v>44</v>
      </c>
      <c r="F509" s="14" t="s">
        <v>10</v>
      </c>
      <c r="G509" s="14" t="s">
        <v>42</v>
      </c>
      <c r="H509" s="14" t="s">
        <v>43</v>
      </c>
      <c r="I509" s="14" t="s">
        <v>44</v>
      </c>
      <c r="K509" s="14" t="s">
        <v>10</v>
      </c>
      <c r="L509" s="14" t="s">
        <v>42</v>
      </c>
      <c r="M509" s="14" t="s">
        <v>43</v>
      </c>
      <c r="N509" s="14" t="s">
        <v>44</v>
      </c>
      <c r="P509" s="14" t="s">
        <v>10</v>
      </c>
      <c r="Q509" s="14" t="s">
        <v>42</v>
      </c>
      <c r="R509" s="14" t="s">
        <v>43</v>
      </c>
      <c r="S509" s="14" t="s">
        <v>44</v>
      </c>
      <c r="U509" s="14" t="s">
        <v>10</v>
      </c>
      <c r="V509" s="14" t="s">
        <v>42</v>
      </c>
      <c r="W509" s="14" t="s">
        <v>43</v>
      </c>
      <c r="X509" s="14" t="s">
        <v>44</v>
      </c>
      <c r="Z509" s="14" t="s">
        <v>10</v>
      </c>
      <c r="AA509" s="14" t="s">
        <v>42</v>
      </c>
      <c r="AB509" s="14" t="s">
        <v>43</v>
      </c>
      <c r="AC509" s="14" t="s">
        <v>44</v>
      </c>
    </row>
    <row r="510" spans="1:29" x14ac:dyDescent="0.45">
      <c r="A510" s="2" t="s">
        <v>45</v>
      </c>
      <c r="B510" s="8">
        <f t="shared" ref="B510:D511" si="10">(G510+L510+Q510+V510+AA510)/5</f>
        <v>9.0242112986060156E-3</v>
      </c>
      <c r="C510" s="8">
        <f t="shared" si="10"/>
        <v>0.5095575371070602</v>
      </c>
      <c r="D510" s="8">
        <f t="shared" si="10"/>
        <v>0.48141825159433377</v>
      </c>
      <c r="E510" s="12"/>
      <c r="F510" s="2" t="s">
        <v>45</v>
      </c>
      <c r="G510" s="13">
        <v>1.0638297872340425E-2</v>
      </c>
      <c r="H510" s="13">
        <v>0.51595744680851063</v>
      </c>
      <c r="I510" s="13">
        <v>0.47340425531914893</v>
      </c>
      <c r="K510" s="2" t="s">
        <v>45</v>
      </c>
      <c r="L510" s="13">
        <v>7.9575596816976128E-3</v>
      </c>
      <c r="M510" s="13">
        <v>0.50397877984084882</v>
      </c>
      <c r="N510" s="13">
        <v>0.48806366047745359</v>
      </c>
      <c r="P510" s="2" t="s">
        <v>45</v>
      </c>
      <c r="Q510" s="13">
        <v>1.0610079575596816E-2</v>
      </c>
      <c r="R510" s="13">
        <v>0.51458885941644561</v>
      </c>
      <c r="S510" s="13">
        <v>0.47480106100795755</v>
      </c>
      <c r="U510" s="2" t="s">
        <v>45</v>
      </c>
      <c r="V510" s="13">
        <v>5.3050397877984082E-3</v>
      </c>
      <c r="W510" s="13">
        <v>0.49602122015915118</v>
      </c>
      <c r="X510" s="13">
        <v>0.49867374005305037</v>
      </c>
      <c r="Z510" s="2" t="s">
        <v>45</v>
      </c>
      <c r="AA510" s="13">
        <v>1.0610079575596816E-2</v>
      </c>
      <c r="AB510" s="13">
        <v>0.51724137931034486</v>
      </c>
      <c r="AC510" s="13">
        <v>0.47214854111405835</v>
      </c>
    </row>
    <row r="511" spans="1:29" x14ac:dyDescent="0.45">
      <c r="A511" s="2" t="s">
        <v>46</v>
      </c>
      <c r="B511" s="8">
        <f t="shared" si="10"/>
        <v>1.5384615384615385E-2</v>
      </c>
      <c r="C511" s="8">
        <f t="shared" si="10"/>
        <v>0.66153846153846152</v>
      </c>
      <c r="D511" s="8">
        <f t="shared" si="10"/>
        <v>0.32307692307692309</v>
      </c>
      <c r="E511" s="12"/>
      <c r="F511" s="2" t="s">
        <v>46</v>
      </c>
      <c r="G511" s="13">
        <v>0</v>
      </c>
      <c r="H511" s="13">
        <v>0.53846153846153844</v>
      </c>
      <c r="I511" s="13">
        <v>0.46153846153846156</v>
      </c>
      <c r="K511" s="2" t="s">
        <v>46</v>
      </c>
      <c r="L511" s="13">
        <v>0</v>
      </c>
      <c r="M511" s="13">
        <v>0.61538461538461542</v>
      </c>
      <c r="N511" s="13">
        <v>0.38461538461538464</v>
      </c>
      <c r="P511" s="2" t="s">
        <v>46</v>
      </c>
      <c r="Q511" s="13">
        <v>3.8461538461538464E-2</v>
      </c>
      <c r="R511" s="13">
        <v>0.76923076923076927</v>
      </c>
      <c r="S511" s="13">
        <v>0.19230769230769232</v>
      </c>
      <c r="U511" s="2" t="s">
        <v>46</v>
      </c>
      <c r="V511" s="13">
        <v>0</v>
      </c>
      <c r="W511" s="13">
        <v>0.65384615384615385</v>
      </c>
      <c r="X511" s="13">
        <v>0.34615384615384615</v>
      </c>
      <c r="Z511" s="2" t="s">
        <v>46</v>
      </c>
      <c r="AA511" s="13">
        <v>3.8461538461538464E-2</v>
      </c>
      <c r="AB511" s="13">
        <v>0.73076923076923073</v>
      </c>
      <c r="AC511" s="13">
        <v>0.23076923076923078</v>
      </c>
    </row>
    <row r="513" spans="1:29" x14ac:dyDescent="0.45">
      <c r="A513" s="14" t="s">
        <v>11</v>
      </c>
      <c r="B513" s="14" t="s">
        <v>42</v>
      </c>
      <c r="C513" s="14" t="s">
        <v>43</v>
      </c>
      <c r="D513" s="14" t="s">
        <v>44</v>
      </c>
      <c r="F513" s="14" t="s">
        <v>11</v>
      </c>
      <c r="G513" s="14" t="s">
        <v>42</v>
      </c>
      <c r="H513" s="14" t="s">
        <v>43</v>
      </c>
      <c r="I513" s="14" t="s">
        <v>44</v>
      </c>
      <c r="K513" s="14" t="s">
        <v>11</v>
      </c>
      <c r="L513" s="14" t="s">
        <v>42</v>
      </c>
      <c r="M513" s="14" t="s">
        <v>43</v>
      </c>
      <c r="N513" s="14" t="s">
        <v>44</v>
      </c>
      <c r="P513" s="14" t="s">
        <v>11</v>
      </c>
      <c r="Q513" s="14" t="s">
        <v>42</v>
      </c>
      <c r="R513" s="14" t="s">
        <v>43</v>
      </c>
      <c r="S513" s="14" t="s">
        <v>44</v>
      </c>
      <c r="U513" s="14" t="s">
        <v>11</v>
      </c>
      <c r="V513" s="14" t="s">
        <v>42</v>
      </c>
      <c r="W513" s="14" t="s">
        <v>43</v>
      </c>
      <c r="X513" s="14" t="s">
        <v>44</v>
      </c>
      <c r="Z513" s="14" t="s">
        <v>11</v>
      </c>
      <c r="AA513" s="14" t="s">
        <v>42</v>
      </c>
      <c r="AB513" s="14" t="s">
        <v>43</v>
      </c>
      <c r="AC513" s="14" t="s">
        <v>44</v>
      </c>
    </row>
    <row r="514" spans="1:29" x14ac:dyDescent="0.45">
      <c r="A514" s="2" t="s">
        <v>45</v>
      </c>
      <c r="B514" s="8">
        <f t="shared" ref="B514:D515" si="11">(G514+L514+Q514+V514+AA514)/5</f>
        <v>1.0624188723968621E-3</v>
      </c>
      <c r="C514" s="8">
        <f t="shared" si="11"/>
        <v>0.1969213838252723</v>
      </c>
      <c r="D514" s="8">
        <f t="shared" si="11"/>
        <v>0.80201619730233076</v>
      </c>
      <c r="E514" s="12"/>
      <c r="F514" s="2" t="s">
        <v>45</v>
      </c>
      <c r="G514" s="13">
        <v>2.6595744680851063E-3</v>
      </c>
      <c r="H514" s="13">
        <v>0.19680851063829788</v>
      </c>
      <c r="I514" s="13">
        <v>0.80053191489361697</v>
      </c>
      <c r="K514" s="2" t="s">
        <v>45</v>
      </c>
      <c r="L514" s="13">
        <v>0</v>
      </c>
      <c r="M514" s="13">
        <v>0.21485411140583555</v>
      </c>
      <c r="N514" s="13">
        <v>0.78514588859416445</v>
      </c>
      <c r="P514" s="2" t="s">
        <v>45</v>
      </c>
      <c r="Q514" s="13">
        <v>0</v>
      </c>
      <c r="R514" s="13">
        <v>0.18037135278514588</v>
      </c>
      <c r="S514" s="13">
        <v>0.81962864721485407</v>
      </c>
      <c r="U514" s="2" t="s">
        <v>45</v>
      </c>
      <c r="V514" s="13">
        <v>0</v>
      </c>
      <c r="W514" s="13">
        <v>0.19628647214854111</v>
      </c>
      <c r="X514" s="13">
        <v>0.80371352785145889</v>
      </c>
      <c r="Z514" s="2" t="s">
        <v>45</v>
      </c>
      <c r="AA514" s="13">
        <v>2.6525198938992041E-3</v>
      </c>
      <c r="AB514" s="13">
        <v>0.19628647214854111</v>
      </c>
      <c r="AC514" s="13">
        <v>0.80106100795755963</v>
      </c>
    </row>
    <row r="515" spans="1:29" x14ac:dyDescent="0.45">
      <c r="A515" s="2" t="s">
        <v>46</v>
      </c>
      <c r="B515" s="8">
        <f t="shared" si="11"/>
        <v>0</v>
      </c>
      <c r="C515" s="8">
        <f t="shared" si="11"/>
        <v>0.2846153846153846</v>
      </c>
      <c r="D515" s="8">
        <f t="shared" si="11"/>
        <v>0.7153846153846154</v>
      </c>
      <c r="E515" s="12"/>
      <c r="F515" s="2" t="s">
        <v>46</v>
      </c>
      <c r="G515" s="13">
        <v>0</v>
      </c>
      <c r="H515" s="13">
        <v>0.34615384615384615</v>
      </c>
      <c r="I515" s="13">
        <v>0.65384615384615385</v>
      </c>
      <c r="K515" s="2" t="s">
        <v>46</v>
      </c>
      <c r="L515" s="13">
        <v>0</v>
      </c>
      <c r="M515" s="13">
        <v>0.5</v>
      </c>
      <c r="N515" s="13">
        <v>0.5</v>
      </c>
      <c r="P515" s="2" t="s">
        <v>46</v>
      </c>
      <c r="Q515" s="13">
        <v>0</v>
      </c>
      <c r="R515" s="13">
        <v>0.23076923076923078</v>
      </c>
      <c r="S515" s="13">
        <v>0.76923076923076927</v>
      </c>
      <c r="U515" s="2" t="s">
        <v>46</v>
      </c>
      <c r="V515" s="13">
        <v>0</v>
      </c>
      <c r="W515" s="13">
        <v>0.19230769230769232</v>
      </c>
      <c r="X515" s="13">
        <v>0.80769230769230771</v>
      </c>
      <c r="Z515" s="2" t="s">
        <v>46</v>
      </c>
      <c r="AA515" s="13">
        <v>0</v>
      </c>
      <c r="AB515" s="13">
        <v>0.15384615384615385</v>
      </c>
      <c r="AC515" s="13">
        <v>0.84615384615384615</v>
      </c>
    </row>
    <row r="517" spans="1:29" x14ac:dyDescent="0.45">
      <c r="A517" s="14" t="s">
        <v>12</v>
      </c>
      <c r="B517" s="14" t="s">
        <v>42</v>
      </c>
      <c r="C517" s="14" t="s">
        <v>43</v>
      </c>
      <c r="D517" s="14" t="s">
        <v>44</v>
      </c>
      <c r="F517" s="14" t="s">
        <v>12</v>
      </c>
      <c r="G517" s="14" t="s">
        <v>42</v>
      </c>
      <c r="H517" s="14" t="s">
        <v>43</v>
      </c>
      <c r="I517" s="14" t="s">
        <v>44</v>
      </c>
      <c r="K517" s="14" t="s">
        <v>12</v>
      </c>
      <c r="L517" s="14" t="s">
        <v>42</v>
      </c>
      <c r="M517" s="14" t="s">
        <v>43</v>
      </c>
      <c r="N517" s="14" t="s">
        <v>44</v>
      </c>
      <c r="P517" s="14" t="s">
        <v>12</v>
      </c>
      <c r="Q517" s="14" t="s">
        <v>42</v>
      </c>
      <c r="R517" s="14" t="s">
        <v>43</v>
      </c>
      <c r="S517" s="14" t="s">
        <v>44</v>
      </c>
      <c r="U517" s="14" t="s">
        <v>12</v>
      </c>
      <c r="V517" s="14" t="s">
        <v>42</v>
      </c>
      <c r="W517" s="14" t="s">
        <v>43</v>
      </c>
      <c r="X517" s="14" t="s">
        <v>44</v>
      </c>
      <c r="Z517" s="14" t="s">
        <v>12</v>
      </c>
      <c r="AA517" s="14" t="s">
        <v>42</v>
      </c>
      <c r="AB517" s="14" t="s">
        <v>43</v>
      </c>
      <c r="AC517" s="14" t="s">
        <v>44</v>
      </c>
    </row>
    <row r="518" spans="1:29" x14ac:dyDescent="0.45">
      <c r="A518" s="2" t="s">
        <v>47</v>
      </c>
      <c r="B518" s="8">
        <f t="shared" ref="B518:D523" si="12">(G518+L518+Q518+V518+AA518)/5</f>
        <v>0</v>
      </c>
      <c r="C518" s="8">
        <f t="shared" si="12"/>
        <v>3.272727272727273E-2</v>
      </c>
      <c r="D518" s="8">
        <f t="shared" si="12"/>
        <v>0.96727272727272717</v>
      </c>
      <c r="E518" s="12"/>
      <c r="F518" s="2" t="s">
        <v>47</v>
      </c>
      <c r="G518" s="8">
        <v>0</v>
      </c>
      <c r="H518" s="8">
        <v>3.6363636363636362E-2</v>
      </c>
      <c r="I518" s="8">
        <v>0.96363636363636362</v>
      </c>
      <c r="K518" s="2" t="s">
        <v>47</v>
      </c>
      <c r="L518" s="8">
        <v>0</v>
      </c>
      <c r="M518" s="8">
        <v>3.6363636363636362E-2</v>
      </c>
      <c r="N518" s="8">
        <v>0.96363636363636362</v>
      </c>
      <c r="P518" s="2" t="s">
        <v>47</v>
      </c>
      <c r="Q518" s="8">
        <v>0</v>
      </c>
      <c r="R518" s="8">
        <v>5.4545454545454543E-2</v>
      </c>
      <c r="S518" s="8">
        <v>0.94545454545454544</v>
      </c>
      <c r="U518" s="2" t="s">
        <v>47</v>
      </c>
      <c r="V518" s="8">
        <v>0</v>
      </c>
      <c r="W518" s="8">
        <v>3.6363636363636362E-2</v>
      </c>
      <c r="X518" s="8">
        <v>0.96363636363636362</v>
      </c>
      <c r="Z518" s="2" t="s">
        <v>47</v>
      </c>
      <c r="AA518" s="8">
        <v>0</v>
      </c>
      <c r="AB518" s="8">
        <v>0</v>
      </c>
      <c r="AC518" s="8">
        <v>1</v>
      </c>
    </row>
    <row r="519" spans="1:29" x14ac:dyDescent="0.45">
      <c r="A519" s="2" t="s">
        <v>48</v>
      </c>
      <c r="B519" s="8">
        <f t="shared" si="12"/>
        <v>0</v>
      </c>
      <c r="C519" s="8">
        <f t="shared" si="12"/>
        <v>3.037974683544304E-2</v>
      </c>
      <c r="D519" s="8">
        <f t="shared" si="12"/>
        <v>0.96962025316455702</v>
      </c>
      <c r="E519" s="12"/>
      <c r="F519" s="2" t="s">
        <v>48</v>
      </c>
      <c r="G519" s="8">
        <v>0</v>
      </c>
      <c r="H519" s="8">
        <v>2.5316455696202531E-2</v>
      </c>
      <c r="I519" s="8">
        <v>0.97468354430379744</v>
      </c>
      <c r="K519" s="2" t="s">
        <v>48</v>
      </c>
      <c r="L519" s="8">
        <v>0</v>
      </c>
      <c r="M519" s="8">
        <v>2.5316455696202531E-2</v>
      </c>
      <c r="N519" s="8">
        <v>0.97468354430379744</v>
      </c>
      <c r="P519" s="2" t="s">
        <v>48</v>
      </c>
      <c r="Q519" s="8">
        <v>0</v>
      </c>
      <c r="R519" s="8">
        <v>6.3291139240506333E-2</v>
      </c>
      <c r="S519" s="8">
        <v>0.93670886075949367</v>
      </c>
      <c r="U519" s="2" t="s">
        <v>48</v>
      </c>
      <c r="V519" s="8">
        <v>0</v>
      </c>
      <c r="W519" s="8">
        <v>1.2658227848101266E-2</v>
      </c>
      <c r="X519" s="8">
        <v>0.98734177215189878</v>
      </c>
      <c r="Z519" s="2" t="s">
        <v>48</v>
      </c>
      <c r="AA519" s="8">
        <v>0</v>
      </c>
      <c r="AB519" s="8">
        <v>2.5316455696202531E-2</v>
      </c>
      <c r="AC519" s="8">
        <v>0.97468354430379744</v>
      </c>
    </row>
    <row r="520" spans="1:29" x14ac:dyDescent="0.45">
      <c r="A520" s="2" t="s">
        <v>49</v>
      </c>
      <c r="B520" s="8">
        <f t="shared" si="12"/>
        <v>0</v>
      </c>
      <c r="C520" s="8">
        <f t="shared" si="12"/>
        <v>4.0943789035392093E-2</v>
      </c>
      <c r="D520" s="8">
        <f t="shared" si="12"/>
        <v>0.95905621096460791</v>
      </c>
      <c r="E520" s="12"/>
      <c r="F520" s="2" t="s">
        <v>49</v>
      </c>
      <c r="G520" s="8">
        <v>0</v>
      </c>
      <c r="H520" s="8">
        <v>2.2900763358778626E-2</v>
      </c>
      <c r="I520" s="8">
        <v>0.97709923664122134</v>
      </c>
      <c r="K520" s="2" t="s">
        <v>49</v>
      </c>
      <c r="L520" s="8">
        <v>0</v>
      </c>
      <c r="M520" s="8">
        <v>4.5454545454545456E-2</v>
      </c>
      <c r="N520" s="8">
        <v>0.95454545454545459</v>
      </c>
      <c r="P520" s="2" t="s">
        <v>49</v>
      </c>
      <c r="Q520" s="8">
        <v>0</v>
      </c>
      <c r="R520" s="8">
        <v>3.0303030303030304E-2</v>
      </c>
      <c r="S520" s="8">
        <v>0.96969696969696972</v>
      </c>
      <c r="U520" s="2" t="s">
        <v>49</v>
      </c>
      <c r="V520" s="8">
        <v>0</v>
      </c>
      <c r="W520" s="8">
        <v>5.3030303030303032E-2</v>
      </c>
      <c r="X520" s="8">
        <v>0.94696969696969702</v>
      </c>
      <c r="Z520" s="2" t="s">
        <v>49</v>
      </c>
      <c r="AA520" s="8">
        <v>0</v>
      </c>
      <c r="AB520" s="8">
        <v>5.3030303030303032E-2</v>
      </c>
      <c r="AC520" s="8">
        <v>0.94696969696969702</v>
      </c>
    </row>
    <row r="521" spans="1:29" x14ac:dyDescent="0.45">
      <c r="A521" s="2" t="s">
        <v>50</v>
      </c>
      <c r="B521" s="8">
        <f t="shared" si="12"/>
        <v>0</v>
      </c>
      <c r="C521" s="8">
        <f t="shared" si="12"/>
        <v>3.2911392405063293E-2</v>
      </c>
      <c r="D521" s="8">
        <f t="shared" si="12"/>
        <v>0.96708860759493676</v>
      </c>
      <c r="E521" s="12"/>
      <c r="F521" s="2" t="s">
        <v>50</v>
      </c>
      <c r="G521" s="8">
        <v>0</v>
      </c>
      <c r="H521" s="8">
        <v>2.5316455696202531E-2</v>
      </c>
      <c r="I521" s="8">
        <v>0.97468354430379744</v>
      </c>
      <c r="K521" s="2" t="s">
        <v>50</v>
      </c>
      <c r="L521" s="8">
        <v>0</v>
      </c>
      <c r="M521" s="8">
        <v>3.7974683544303799E-2</v>
      </c>
      <c r="N521" s="8">
        <v>0.96202531645569622</v>
      </c>
      <c r="P521" s="2" t="s">
        <v>50</v>
      </c>
      <c r="Q521" s="8">
        <v>0</v>
      </c>
      <c r="R521" s="8">
        <v>3.7974683544303799E-2</v>
      </c>
      <c r="S521" s="8">
        <v>0.96202531645569622</v>
      </c>
      <c r="U521" s="2" t="s">
        <v>50</v>
      </c>
      <c r="V521" s="8">
        <v>0</v>
      </c>
      <c r="W521" s="8">
        <v>5.0632911392405063E-2</v>
      </c>
      <c r="X521" s="8">
        <v>0.94936708860759489</v>
      </c>
      <c r="Z521" s="2" t="s">
        <v>50</v>
      </c>
      <c r="AA521" s="8">
        <v>0</v>
      </c>
      <c r="AB521" s="8">
        <v>1.2658227848101266E-2</v>
      </c>
      <c r="AC521" s="8">
        <v>0.98734177215189878</v>
      </c>
    </row>
    <row r="522" spans="1:29" x14ac:dyDescent="0.45">
      <c r="A522" s="2" t="s">
        <v>51</v>
      </c>
      <c r="B522" s="8">
        <f t="shared" si="12"/>
        <v>0</v>
      </c>
      <c r="C522" s="8">
        <f t="shared" si="12"/>
        <v>2.5806451612903226E-2</v>
      </c>
      <c r="D522" s="8">
        <f t="shared" si="12"/>
        <v>0.97419354838709682</v>
      </c>
      <c r="E522" s="12"/>
      <c r="F522" s="2" t="s">
        <v>51</v>
      </c>
      <c r="G522" s="8">
        <v>0</v>
      </c>
      <c r="H522" s="8">
        <v>0</v>
      </c>
      <c r="I522" s="8">
        <v>1</v>
      </c>
      <c r="K522" s="2" t="s">
        <v>51</v>
      </c>
      <c r="L522" s="8">
        <v>0</v>
      </c>
      <c r="M522" s="8">
        <v>3.2258064516129031E-2</v>
      </c>
      <c r="N522" s="8">
        <v>0.967741935483871</v>
      </c>
      <c r="P522" s="2" t="s">
        <v>51</v>
      </c>
      <c r="Q522" s="8">
        <v>0</v>
      </c>
      <c r="R522" s="8">
        <v>3.2258064516129031E-2</v>
      </c>
      <c r="S522" s="8">
        <v>0.967741935483871</v>
      </c>
      <c r="U522" s="2" t="s">
        <v>51</v>
      </c>
      <c r="V522" s="8">
        <v>0</v>
      </c>
      <c r="W522" s="8">
        <v>6.4516129032258063E-2</v>
      </c>
      <c r="X522" s="8">
        <v>0.93548387096774188</v>
      </c>
      <c r="Z522" s="2" t="s">
        <v>51</v>
      </c>
      <c r="AA522" s="8">
        <v>0</v>
      </c>
      <c r="AB522" s="8">
        <v>0</v>
      </c>
      <c r="AC522" s="8">
        <v>1</v>
      </c>
    </row>
    <row r="523" spans="1:29" x14ac:dyDescent="0.45">
      <c r="A523" s="2" t="s">
        <v>52</v>
      </c>
      <c r="B523" s="8">
        <f t="shared" si="12"/>
        <v>0</v>
      </c>
      <c r="C523" s="8">
        <f t="shared" si="12"/>
        <v>6.6666666666666666E-2</v>
      </c>
      <c r="D523" s="8">
        <f t="shared" si="12"/>
        <v>0.93333333333333324</v>
      </c>
      <c r="E523" s="12"/>
      <c r="F523" s="2" t="s">
        <v>52</v>
      </c>
      <c r="G523" s="8">
        <v>0</v>
      </c>
      <c r="H523" s="8">
        <v>3.7037037037037035E-2</v>
      </c>
      <c r="I523" s="8">
        <v>0.96296296296296291</v>
      </c>
      <c r="K523" s="2" t="s">
        <v>52</v>
      </c>
      <c r="L523" s="8">
        <v>0</v>
      </c>
      <c r="M523" s="8">
        <v>7.407407407407407E-2</v>
      </c>
      <c r="N523" s="8">
        <v>0.92592592592592593</v>
      </c>
      <c r="P523" s="2" t="s">
        <v>52</v>
      </c>
      <c r="Q523" s="8">
        <v>0</v>
      </c>
      <c r="R523" s="8">
        <v>3.7037037037037035E-2</v>
      </c>
      <c r="S523" s="8">
        <v>0.96296296296296291</v>
      </c>
      <c r="U523" s="2" t="s">
        <v>52</v>
      </c>
      <c r="V523" s="8">
        <v>0</v>
      </c>
      <c r="W523" s="8">
        <v>0.1111111111111111</v>
      </c>
      <c r="X523" s="8">
        <v>0.88888888888888884</v>
      </c>
      <c r="Z523" s="2" t="s">
        <v>52</v>
      </c>
      <c r="AA523" s="8">
        <v>0</v>
      </c>
      <c r="AB523" s="8">
        <v>7.407407407407407E-2</v>
      </c>
      <c r="AC523" s="8">
        <v>0.92592592592592593</v>
      </c>
    </row>
    <row r="525" spans="1:29" x14ac:dyDescent="0.45">
      <c r="A525" s="14" t="s">
        <v>13</v>
      </c>
      <c r="B525" s="14" t="s">
        <v>42</v>
      </c>
      <c r="C525" s="14" t="s">
        <v>43</v>
      </c>
      <c r="D525" s="14" t="s">
        <v>44</v>
      </c>
      <c r="F525" s="14" t="s">
        <v>13</v>
      </c>
      <c r="G525" s="14" t="s">
        <v>42</v>
      </c>
      <c r="H525" s="14" t="s">
        <v>43</v>
      </c>
      <c r="I525" s="14" t="s">
        <v>44</v>
      </c>
      <c r="K525" s="14" t="s">
        <v>13</v>
      </c>
      <c r="L525" s="14" t="s">
        <v>42</v>
      </c>
      <c r="M525" s="14" t="s">
        <v>43</v>
      </c>
      <c r="N525" s="14" t="s">
        <v>44</v>
      </c>
      <c r="P525" s="14" t="s">
        <v>13</v>
      </c>
      <c r="Q525" s="14" t="s">
        <v>42</v>
      </c>
      <c r="R525" s="14" t="s">
        <v>43</v>
      </c>
      <c r="S525" s="14" t="s">
        <v>44</v>
      </c>
      <c r="U525" s="14" t="s">
        <v>13</v>
      </c>
      <c r="V525" s="14" t="s">
        <v>42</v>
      </c>
      <c r="W525" s="14" t="s">
        <v>43</v>
      </c>
      <c r="X525" s="14" t="s">
        <v>44</v>
      </c>
      <c r="Z525" s="14" t="s">
        <v>13</v>
      </c>
      <c r="AA525" s="14" t="s">
        <v>42</v>
      </c>
      <c r="AB525" s="14" t="s">
        <v>43</v>
      </c>
      <c r="AC525" s="14" t="s">
        <v>44</v>
      </c>
    </row>
    <row r="526" spans="1:29" x14ac:dyDescent="0.45">
      <c r="A526" s="2" t="s">
        <v>47</v>
      </c>
      <c r="B526" s="8">
        <f t="shared" ref="B526:D531" si="13">(G526+L526+Q526+V526+AA526)/5</f>
        <v>3.7037037037037034E-3</v>
      </c>
      <c r="C526" s="8">
        <f t="shared" si="13"/>
        <v>0.42450543167524302</v>
      </c>
      <c r="D526" s="8">
        <f t="shared" si="13"/>
        <v>0.57179086462105322</v>
      </c>
      <c r="E526" s="12"/>
      <c r="F526" s="2" t="s">
        <v>47</v>
      </c>
      <c r="G526" s="8">
        <v>0</v>
      </c>
      <c r="H526" s="8">
        <v>0.38181818181818183</v>
      </c>
      <c r="I526" s="8">
        <v>0.61818181818181817</v>
      </c>
      <c r="K526" s="2" t="s">
        <v>47</v>
      </c>
      <c r="L526" s="8">
        <v>0</v>
      </c>
      <c r="M526" s="8">
        <v>0.45283018867924529</v>
      </c>
      <c r="N526" s="8">
        <v>0.54716981132075471</v>
      </c>
      <c r="P526" s="2" t="s">
        <v>47</v>
      </c>
      <c r="Q526" s="8">
        <v>1.8518518518518517E-2</v>
      </c>
      <c r="R526" s="8">
        <v>0.31481481481481483</v>
      </c>
      <c r="S526" s="8">
        <v>0.66666666666666663</v>
      </c>
      <c r="U526" s="2" t="s">
        <v>47</v>
      </c>
      <c r="V526" s="8">
        <v>0</v>
      </c>
      <c r="W526" s="8">
        <v>0.45454545454545453</v>
      </c>
      <c r="X526" s="8">
        <v>0.54545454545454541</v>
      </c>
      <c r="Z526" s="2" t="s">
        <v>47</v>
      </c>
      <c r="AA526" s="8">
        <v>0</v>
      </c>
      <c r="AB526" s="8">
        <v>0.51851851851851849</v>
      </c>
      <c r="AC526" s="8">
        <v>0.48148148148148145</v>
      </c>
    </row>
    <row r="527" spans="1:29" x14ac:dyDescent="0.45">
      <c r="A527" s="2" t="s">
        <v>48</v>
      </c>
      <c r="B527" s="8">
        <f t="shared" si="13"/>
        <v>5.0632911392405064E-3</v>
      </c>
      <c r="C527" s="8">
        <f t="shared" si="13"/>
        <v>0.52022070756247962</v>
      </c>
      <c r="D527" s="8">
        <f t="shared" si="13"/>
        <v>0.47471600129827979</v>
      </c>
      <c r="E527" s="12"/>
      <c r="F527" s="2" t="s">
        <v>48</v>
      </c>
      <c r="G527" s="8">
        <v>0</v>
      </c>
      <c r="H527" s="8">
        <v>0.50632911392405067</v>
      </c>
      <c r="I527" s="8">
        <v>0.49367088607594939</v>
      </c>
      <c r="K527" s="2" t="s">
        <v>48</v>
      </c>
      <c r="L527" s="8">
        <v>0</v>
      </c>
      <c r="M527" s="8">
        <v>0.58227848101265822</v>
      </c>
      <c r="N527" s="8">
        <v>0.41772151898734178</v>
      </c>
      <c r="P527" s="2" t="s">
        <v>48</v>
      </c>
      <c r="Q527" s="8">
        <v>0</v>
      </c>
      <c r="R527" s="8">
        <v>0.48101265822784811</v>
      </c>
      <c r="S527" s="8">
        <v>0.51898734177215189</v>
      </c>
      <c r="U527" s="2" t="s">
        <v>48</v>
      </c>
      <c r="V527" s="8">
        <v>0</v>
      </c>
      <c r="W527" s="8">
        <v>0.48717948717948717</v>
      </c>
      <c r="X527" s="8">
        <v>0.51282051282051277</v>
      </c>
      <c r="Z527" s="2" t="s">
        <v>48</v>
      </c>
      <c r="AA527" s="8">
        <v>2.5316455696202531E-2</v>
      </c>
      <c r="AB527" s="8">
        <v>0.54430379746835444</v>
      </c>
      <c r="AC527" s="8">
        <v>0.43037974683544306</v>
      </c>
    </row>
    <row r="528" spans="1:29" x14ac:dyDescent="0.45">
      <c r="A528" s="2" t="s">
        <v>49</v>
      </c>
      <c r="B528" s="8">
        <f t="shared" si="13"/>
        <v>4.5570205875549389E-3</v>
      </c>
      <c r="C528" s="8">
        <f t="shared" si="13"/>
        <v>0.44230858200323853</v>
      </c>
      <c r="D528" s="8">
        <f t="shared" si="13"/>
        <v>0.55313439740920667</v>
      </c>
      <c r="E528" s="12"/>
      <c r="F528" s="2" t="s">
        <v>49</v>
      </c>
      <c r="G528" s="8">
        <v>0</v>
      </c>
      <c r="H528" s="8">
        <v>0.48091603053435117</v>
      </c>
      <c r="I528" s="8">
        <v>0.51908396946564883</v>
      </c>
      <c r="K528" s="2" t="s">
        <v>49</v>
      </c>
      <c r="L528" s="8">
        <v>7.575757575757576E-3</v>
      </c>
      <c r="M528" s="8">
        <v>0.47727272727272729</v>
      </c>
      <c r="N528" s="8">
        <v>0.51515151515151514</v>
      </c>
      <c r="P528" s="2" t="s">
        <v>49</v>
      </c>
      <c r="Q528" s="8">
        <v>0</v>
      </c>
      <c r="R528" s="8">
        <v>0.40151515151515149</v>
      </c>
      <c r="S528" s="8">
        <v>0.59848484848484851</v>
      </c>
      <c r="U528" s="2" t="s">
        <v>49</v>
      </c>
      <c r="V528" s="8">
        <v>7.575757575757576E-3</v>
      </c>
      <c r="W528" s="8">
        <v>0.40909090909090912</v>
      </c>
      <c r="X528" s="8">
        <v>0.58333333333333337</v>
      </c>
      <c r="Z528" s="2" t="s">
        <v>49</v>
      </c>
      <c r="AA528" s="8">
        <v>7.6335877862595417E-3</v>
      </c>
      <c r="AB528" s="8">
        <v>0.44274809160305345</v>
      </c>
      <c r="AC528" s="8">
        <v>0.54961832061068705</v>
      </c>
    </row>
    <row r="529" spans="1:29" x14ac:dyDescent="0.45">
      <c r="A529" s="2" t="s">
        <v>50</v>
      </c>
      <c r="B529" s="8">
        <f t="shared" si="13"/>
        <v>2.5316455696202532E-3</v>
      </c>
      <c r="C529" s="8">
        <f t="shared" si="13"/>
        <v>0.44148003894839338</v>
      </c>
      <c r="D529" s="8">
        <f t="shared" si="13"/>
        <v>0.55598831548198635</v>
      </c>
      <c r="E529" s="12"/>
      <c r="F529" s="2" t="s">
        <v>50</v>
      </c>
      <c r="G529" s="8">
        <v>0</v>
      </c>
      <c r="H529" s="8">
        <v>0.41772151898734178</v>
      </c>
      <c r="I529" s="8">
        <v>0.58227848101265822</v>
      </c>
      <c r="K529" s="2" t="s">
        <v>50</v>
      </c>
      <c r="L529" s="8">
        <v>0</v>
      </c>
      <c r="M529" s="8">
        <v>0.45569620253164556</v>
      </c>
      <c r="N529" s="8">
        <v>0.54430379746835444</v>
      </c>
      <c r="P529" s="2" t="s">
        <v>50</v>
      </c>
      <c r="Q529" s="8">
        <v>0</v>
      </c>
      <c r="R529" s="8">
        <v>0.46835443037974683</v>
      </c>
      <c r="S529" s="8">
        <v>0.53164556962025311</v>
      </c>
      <c r="U529" s="2" t="s">
        <v>50</v>
      </c>
      <c r="V529" s="8">
        <v>0</v>
      </c>
      <c r="W529" s="8">
        <v>0.38461538461538464</v>
      </c>
      <c r="X529" s="8">
        <v>0.61538461538461542</v>
      </c>
      <c r="Z529" s="2" t="s">
        <v>50</v>
      </c>
      <c r="AA529" s="8">
        <v>1.2658227848101266E-2</v>
      </c>
      <c r="AB529" s="8">
        <v>0.48101265822784811</v>
      </c>
      <c r="AC529" s="8">
        <v>0.50632911392405067</v>
      </c>
    </row>
    <row r="530" spans="1:29" x14ac:dyDescent="0.45">
      <c r="A530" s="2" t="s">
        <v>51</v>
      </c>
      <c r="B530" s="8">
        <f t="shared" si="13"/>
        <v>0</v>
      </c>
      <c r="C530" s="8">
        <f t="shared" si="13"/>
        <v>0.49032258064516132</v>
      </c>
      <c r="D530" s="8">
        <f t="shared" si="13"/>
        <v>0.50967741935483868</v>
      </c>
      <c r="E530" s="12"/>
      <c r="F530" s="2" t="s">
        <v>51</v>
      </c>
      <c r="G530" s="8">
        <v>0</v>
      </c>
      <c r="H530" s="8">
        <v>0.54838709677419351</v>
      </c>
      <c r="I530" s="8">
        <v>0.45161290322580644</v>
      </c>
      <c r="K530" s="2" t="s">
        <v>51</v>
      </c>
      <c r="L530" s="8">
        <v>0</v>
      </c>
      <c r="M530" s="8">
        <v>0.4838709677419355</v>
      </c>
      <c r="N530" s="8">
        <v>0.5161290322580645</v>
      </c>
      <c r="P530" s="2" t="s">
        <v>51</v>
      </c>
      <c r="Q530" s="8">
        <v>0</v>
      </c>
      <c r="R530" s="8">
        <v>0.45161290322580644</v>
      </c>
      <c r="S530" s="8">
        <v>0.54838709677419351</v>
      </c>
      <c r="U530" s="2" t="s">
        <v>51</v>
      </c>
      <c r="V530" s="8">
        <v>0</v>
      </c>
      <c r="W530" s="8">
        <v>0.4838709677419355</v>
      </c>
      <c r="X530" s="8">
        <v>0.5161290322580645</v>
      </c>
      <c r="Z530" s="2" t="s">
        <v>51</v>
      </c>
      <c r="AA530" s="8">
        <v>0</v>
      </c>
      <c r="AB530" s="8">
        <v>0.4838709677419355</v>
      </c>
      <c r="AC530" s="8">
        <v>0.5161290322580645</v>
      </c>
    </row>
    <row r="531" spans="1:29" x14ac:dyDescent="0.45">
      <c r="A531" s="2" t="s">
        <v>52</v>
      </c>
      <c r="B531" s="8">
        <f t="shared" si="13"/>
        <v>0</v>
      </c>
      <c r="C531" s="8">
        <f t="shared" si="13"/>
        <v>0.49629629629629629</v>
      </c>
      <c r="D531" s="8">
        <f t="shared" si="13"/>
        <v>0.50370370370370376</v>
      </c>
      <c r="E531" s="12"/>
      <c r="F531" s="2" t="s">
        <v>52</v>
      </c>
      <c r="G531" s="8">
        <v>0</v>
      </c>
      <c r="H531" s="8">
        <v>0.40740740740740738</v>
      </c>
      <c r="I531" s="8">
        <v>0.59259259259259256</v>
      </c>
      <c r="K531" s="2" t="s">
        <v>52</v>
      </c>
      <c r="L531" s="8">
        <v>0</v>
      </c>
      <c r="M531" s="8">
        <v>0.66666666666666663</v>
      </c>
      <c r="N531" s="8">
        <v>0.33333333333333331</v>
      </c>
      <c r="P531" s="2" t="s">
        <v>52</v>
      </c>
      <c r="Q531" s="8">
        <v>0</v>
      </c>
      <c r="R531" s="8">
        <v>0.62962962962962965</v>
      </c>
      <c r="S531" s="8">
        <v>0.37037037037037035</v>
      </c>
      <c r="U531" s="2" t="s">
        <v>52</v>
      </c>
      <c r="V531" s="8">
        <v>0</v>
      </c>
      <c r="W531" s="8">
        <v>0.40740740740740738</v>
      </c>
      <c r="X531" s="8">
        <v>0.59259259259259256</v>
      </c>
      <c r="Z531" s="2" t="s">
        <v>52</v>
      </c>
      <c r="AA531" s="8">
        <v>0</v>
      </c>
      <c r="AB531" s="8">
        <v>0.37037037037037035</v>
      </c>
      <c r="AC531" s="8">
        <v>0.62962962962962965</v>
      </c>
    </row>
    <row r="533" spans="1:29" x14ac:dyDescent="0.45">
      <c r="A533" s="14" t="s">
        <v>14</v>
      </c>
      <c r="B533" s="14" t="s">
        <v>42</v>
      </c>
      <c r="C533" s="14" t="s">
        <v>43</v>
      </c>
      <c r="D533" s="14" t="s">
        <v>44</v>
      </c>
      <c r="F533" s="14" t="s">
        <v>14</v>
      </c>
      <c r="G533" s="14" t="s">
        <v>42</v>
      </c>
      <c r="H533" s="14" t="s">
        <v>43</v>
      </c>
      <c r="I533" s="14" t="s">
        <v>44</v>
      </c>
      <c r="K533" s="14" t="s">
        <v>14</v>
      </c>
      <c r="L533" s="14" t="s">
        <v>42</v>
      </c>
      <c r="M533" s="14" t="s">
        <v>43</v>
      </c>
      <c r="N533" s="14" t="s">
        <v>44</v>
      </c>
      <c r="P533" s="14" t="s">
        <v>14</v>
      </c>
      <c r="Q533" s="14" t="s">
        <v>42</v>
      </c>
      <c r="R533" s="14" t="s">
        <v>43</v>
      </c>
      <c r="S533" s="14" t="s">
        <v>44</v>
      </c>
      <c r="U533" s="14" t="s">
        <v>14</v>
      </c>
      <c r="V533" s="14" t="s">
        <v>42</v>
      </c>
      <c r="W533" s="14" t="s">
        <v>43</v>
      </c>
      <c r="X533" s="14" t="s">
        <v>44</v>
      </c>
      <c r="Z533" s="14" t="s">
        <v>14</v>
      </c>
      <c r="AA533" s="14" t="s">
        <v>42</v>
      </c>
      <c r="AB533" s="14" t="s">
        <v>43</v>
      </c>
      <c r="AC533" s="14" t="s">
        <v>44</v>
      </c>
    </row>
    <row r="534" spans="1:29" x14ac:dyDescent="0.45">
      <c r="A534" s="2" t="s">
        <v>47</v>
      </c>
      <c r="B534" s="8">
        <f t="shared" ref="B534:D539" si="14">(G534+L534+Q534+V534+AA534)/5</f>
        <v>0</v>
      </c>
      <c r="C534" s="8">
        <f t="shared" si="14"/>
        <v>4.4521949050250934E-2</v>
      </c>
      <c r="D534" s="8">
        <f t="shared" si="14"/>
        <v>0.95547805094974925</v>
      </c>
      <c r="E534" s="12"/>
      <c r="F534" s="2" t="s">
        <v>47</v>
      </c>
      <c r="G534" s="8">
        <v>0</v>
      </c>
      <c r="H534" s="8">
        <v>1.8181818181818181E-2</v>
      </c>
      <c r="I534" s="8">
        <v>0.98181818181818181</v>
      </c>
      <c r="K534" s="2" t="s">
        <v>47</v>
      </c>
      <c r="L534" s="8">
        <v>0</v>
      </c>
      <c r="M534" s="8">
        <v>7.5471698113207544E-2</v>
      </c>
      <c r="N534" s="8">
        <v>0.92452830188679247</v>
      </c>
      <c r="P534" s="2" t="s">
        <v>47</v>
      </c>
      <c r="Q534" s="8">
        <v>0</v>
      </c>
      <c r="R534" s="8">
        <v>7.407407407407407E-2</v>
      </c>
      <c r="S534" s="8">
        <v>0.92592592592592593</v>
      </c>
      <c r="U534" s="2" t="s">
        <v>47</v>
      </c>
      <c r="V534" s="8">
        <v>0</v>
      </c>
      <c r="W534" s="8">
        <v>3.6363636363636362E-2</v>
      </c>
      <c r="X534" s="8">
        <v>0.96363636363636362</v>
      </c>
      <c r="Z534" s="2" t="s">
        <v>47</v>
      </c>
      <c r="AA534" s="8">
        <v>0</v>
      </c>
      <c r="AB534" s="8">
        <v>1.8518518518518517E-2</v>
      </c>
      <c r="AC534" s="8">
        <v>0.98148148148148151</v>
      </c>
    </row>
    <row r="535" spans="1:29" x14ac:dyDescent="0.45">
      <c r="A535" s="2" t="s">
        <v>48</v>
      </c>
      <c r="B535" s="8">
        <f t="shared" si="14"/>
        <v>0</v>
      </c>
      <c r="C535" s="8">
        <f t="shared" si="14"/>
        <v>5.0697825381369688E-2</v>
      </c>
      <c r="D535" s="8">
        <f t="shared" si="14"/>
        <v>0.94930217461863031</v>
      </c>
      <c r="E535" s="12"/>
      <c r="F535" s="2" t="s">
        <v>48</v>
      </c>
      <c r="G535" s="8">
        <v>0</v>
      </c>
      <c r="H535" s="8">
        <v>2.5316455696202531E-2</v>
      </c>
      <c r="I535" s="8">
        <v>0.97468354430379744</v>
      </c>
      <c r="K535" s="2" t="s">
        <v>48</v>
      </c>
      <c r="L535" s="8">
        <v>0</v>
      </c>
      <c r="M535" s="8">
        <v>6.3291139240506333E-2</v>
      </c>
      <c r="N535" s="8">
        <v>0.93670886075949367</v>
      </c>
      <c r="P535" s="2" t="s">
        <v>48</v>
      </c>
      <c r="Q535" s="8">
        <v>0</v>
      </c>
      <c r="R535" s="8">
        <v>1.2658227848101266E-2</v>
      </c>
      <c r="S535" s="8">
        <v>0.98734177215189878</v>
      </c>
      <c r="U535" s="2" t="s">
        <v>48</v>
      </c>
      <c r="V535" s="8">
        <v>0</v>
      </c>
      <c r="W535" s="8">
        <v>2.564102564102564E-2</v>
      </c>
      <c r="X535" s="8">
        <v>0.97435897435897434</v>
      </c>
      <c r="Z535" s="2" t="s">
        <v>48</v>
      </c>
      <c r="AA535" s="8">
        <v>0</v>
      </c>
      <c r="AB535" s="8">
        <v>0.12658227848101267</v>
      </c>
      <c r="AC535" s="8">
        <v>0.87341772151898733</v>
      </c>
    </row>
    <row r="536" spans="1:29" x14ac:dyDescent="0.45">
      <c r="A536" s="2" t="s">
        <v>49</v>
      </c>
      <c r="B536" s="8">
        <f t="shared" si="14"/>
        <v>0</v>
      </c>
      <c r="C536" s="8">
        <f t="shared" si="14"/>
        <v>3.0337728429331485E-2</v>
      </c>
      <c r="D536" s="8">
        <f t="shared" si="14"/>
        <v>0.96966227157066842</v>
      </c>
      <c r="E536" s="12"/>
      <c r="F536" s="2" t="s">
        <v>49</v>
      </c>
      <c r="G536" s="8">
        <v>0</v>
      </c>
      <c r="H536" s="8">
        <v>7.6335877862595417E-3</v>
      </c>
      <c r="I536" s="8">
        <v>0.99236641221374045</v>
      </c>
      <c r="K536" s="2" t="s">
        <v>49</v>
      </c>
      <c r="L536" s="8">
        <v>0</v>
      </c>
      <c r="M536" s="8">
        <v>4.5454545454545456E-2</v>
      </c>
      <c r="N536" s="8">
        <v>0.95454545454545459</v>
      </c>
      <c r="P536" s="2" t="s">
        <v>49</v>
      </c>
      <c r="Q536" s="8">
        <v>0</v>
      </c>
      <c r="R536" s="8">
        <v>3.787878787878788E-2</v>
      </c>
      <c r="S536" s="8">
        <v>0.96212121212121215</v>
      </c>
      <c r="U536" s="2" t="s">
        <v>49</v>
      </c>
      <c r="V536" s="8">
        <v>0</v>
      </c>
      <c r="W536" s="8">
        <v>4.5454545454545456E-2</v>
      </c>
      <c r="X536" s="8">
        <v>0.95454545454545459</v>
      </c>
      <c r="Z536" s="2" t="s">
        <v>49</v>
      </c>
      <c r="AA536" s="8">
        <v>0</v>
      </c>
      <c r="AB536" s="8">
        <v>1.5267175572519083E-2</v>
      </c>
      <c r="AC536" s="8">
        <v>0.98473282442748089</v>
      </c>
    </row>
    <row r="537" spans="1:29" x14ac:dyDescent="0.45">
      <c r="A537" s="2" t="s">
        <v>50</v>
      </c>
      <c r="B537" s="8">
        <f t="shared" si="14"/>
        <v>0</v>
      </c>
      <c r="C537" s="8">
        <f t="shared" si="14"/>
        <v>5.57611165206102E-2</v>
      </c>
      <c r="D537" s="8">
        <f t="shared" si="14"/>
        <v>0.94423888347938989</v>
      </c>
      <c r="E537" s="12"/>
      <c r="F537" s="2" t="s">
        <v>50</v>
      </c>
      <c r="G537" s="8">
        <v>0</v>
      </c>
      <c r="H537" s="8">
        <v>2.5316455696202531E-2</v>
      </c>
      <c r="I537" s="8">
        <v>0.97468354430379744</v>
      </c>
      <c r="K537" s="2" t="s">
        <v>50</v>
      </c>
      <c r="L537" s="8">
        <v>0</v>
      </c>
      <c r="M537" s="8">
        <v>3.7974683544303799E-2</v>
      </c>
      <c r="N537" s="8">
        <v>0.96202531645569622</v>
      </c>
      <c r="P537" s="2" t="s">
        <v>50</v>
      </c>
      <c r="Q537" s="8">
        <v>0</v>
      </c>
      <c r="R537" s="8">
        <v>6.3291139240506333E-2</v>
      </c>
      <c r="S537" s="8">
        <v>0.93670886075949367</v>
      </c>
      <c r="U537" s="2" t="s">
        <v>50</v>
      </c>
      <c r="V537" s="8">
        <v>0</v>
      </c>
      <c r="W537" s="8">
        <v>2.564102564102564E-2</v>
      </c>
      <c r="X537" s="8">
        <v>0.97435897435897434</v>
      </c>
      <c r="Z537" s="2" t="s">
        <v>50</v>
      </c>
      <c r="AA537" s="8">
        <v>0</v>
      </c>
      <c r="AB537" s="8">
        <v>0.12658227848101267</v>
      </c>
      <c r="AC537" s="8">
        <v>0.87341772151898733</v>
      </c>
    </row>
    <row r="538" spans="1:29" x14ac:dyDescent="0.45">
      <c r="A538" s="2" t="s">
        <v>51</v>
      </c>
      <c r="B538" s="8">
        <f t="shared" si="14"/>
        <v>0</v>
      </c>
      <c r="C538" s="8">
        <f t="shared" si="14"/>
        <v>4.5161290322580643E-2</v>
      </c>
      <c r="D538" s="8">
        <f t="shared" si="14"/>
        <v>0.95483870967741935</v>
      </c>
      <c r="E538" s="12"/>
      <c r="F538" s="2" t="s">
        <v>51</v>
      </c>
      <c r="G538" s="8">
        <v>0</v>
      </c>
      <c r="H538" s="8">
        <v>3.2258064516129031E-2</v>
      </c>
      <c r="I538" s="8">
        <v>0.967741935483871</v>
      </c>
      <c r="K538" s="2" t="s">
        <v>51</v>
      </c>
      <c r="L538" s="8">
        <v>0</v>
      </c>
      <c r="M538" s="8">
        <v>3.2258064516129031E-2</v>
      </c>
      <c r="N538" s="8">
        <v>0.967741935483871</v>
      </c>
      <c r="P538" s="2" t="s">
        <v>51</v>
      </c>
      <c r="Q538" s="8">
        <v>0</v>
      </c>
      <c r="R538" s="8">
        <v>6.4516129032258063E-2</v>
      </c>
      <c r="S538" s="8">
        <v>0.93548387096774188</v>
      </c>
      <c r="U538" s="2" t="s">
        <v>51</v>
      </c>
      <c r="V538" s="8">
        <v>0</v>
      </c>
      <c r="W538" s="8">
        <v>9.6774193548387094E-2</v>
      </c>
      <c r="X538" s="8">
        <v>0.90322580645161288</v>
      </c>
      <c r="Z538" s="2" t="s">
        <v>51</v>
      </c>
      <c r="AA538" s="8">
        <v>0</v>
      </c>
      <c r="AB538" s="8">
        <v>0</v>
      </c>
      <c r="AC538" s="8">
        <v>1</v>
      </c>
    </row>
    <row r="539" spans="1:29" x14ac:dyDescent="0.45">
      <c r="A539" s="2" t="s">
        <v>52</v>
      </c>
      <c r="B539" s="8">
        <f t="shared" si="14"/>
        <v>0</v>
      </c>
      <c r="C539" s="8">
        <f t="shared" si="14"/>
        <v>6.6666666666666666E-2</v>
      </c>
      <c r="D539" s="8">
        <f t="shared" si="14"/>
        <v>0.93333333333333324</v>
      </c>
      <c r="E539" s="12"/>
      <c r="F539" s="2" t="s">
        <v>52</v>
      </c>
      <c r="G539" s="8">
        <v>0</v>
      </c>
      <c r="H539" s="8">
        <v>0.14814814814814814</v>
      </c>
      <c r="I539" s="8">
        <v>0.85185185185185186</v>
      </c>
      <c r="K539" s="2" t="s">
        <v>52</v>
      </c>
      <c r="L539" s="8">
        <v>0</v>
      </c>
      <c r="M539" s="8">
        <v>7.407407407407407E-2</v>
      </c>
      <c r="N539" s="8">
        <v>0.92592592592592593</v>
      </c>
      <c r="P539" s="2" t="s">
        <v>52</v>
      </c>
      <c r="Q539" s="8">
        <v>0</v>
      </c>
      <c r="R539" s="8">
        <v>0</v>
      </c>
      <c r="S539" s="8">
        <v>1</v>
      </c>
      <c r="U539" s="2" t="s">
        <v>52</v>
      </c>
      <c r="V539" s="8">
        <v>0</v>
      </c>
      <c r="W539" s="8">
        <v>3.7037037037037035E-2</v>
      </c>
      <c r="X539" s="8">
        <v>0.96296296296296291</v>
      </c>
      <c r="Z539" s="2" t="s">
        <v>52</v>
      </c>
      <c r="AA539" s="8">
        <v>0</v>
      </c>
      <c r="AB539" s="8">
        <v>7.407407407407407E-2</v>
      </c>
      <c r="AC539" s="8">
        <v>0.92592592592592593</v>
      </c>
    </row>
    <row r="541" spans="1:29" x14ac:dyDescent="0.45">
      <c r="A541" s="14" t="s">
        <v>15</v>
      </c>
      <c r="B541" s="14" t="s">
        <v>42</v>
      </c>
      <c r="C541" s="14" t="s">
        <v>43</v>
      </c>
      <c r="D541" s="14" t="s">
        <v>44</v>
      </c>
      <c r="F541" s="14" t="s">
        <v>15</v>
      </c>
      <c r="G541" s="14" t="s">
        <v>42</v>
      </c>
      <c r="H541" s="14" t="s">
        <v>43</v>
      </c>
      <c r="I541" s="14" t="s">
        <v>44</v>
      </c>
      <c r="K541" s="14" t="s">
        <v>15</v>
      </c>
      <c r="L541" s="14" t="s">
        <v>42</v>
      </c>
      <c r="M541" s="14" t="s">
        <v>43</v>
      </c>
      <c r="N541" s="14" t="s">
        <v>44</v>
      </c>
      <c r="P541" s="14" t="s">
        <v>15</v>
      </c>
      <c r="Q541" s="14" t="s">
        <v>42</v>
      </c>
      <c r="R541" s="14" t="s">
        <v>43</v>
      </c>
      <c r="S541" s="14" t="s">
        <v>44</v>
      </c>
      <c r="U541" s="14" t="s">
        <v>15</v>
      </c>
      <c r="V541" s="14" t="s">
        <v>42</v>
      </c>
      <c r="W541" s="14" t="s">
        <v>43</v>
      </c>
      <c r="X541" s="14" t="s">
        <v>44</v>
      </c>
      <c r="Z541" s="14" t="s">
        <v>15</v>
      </c>
      <c r="AA541" s="14" t="s">
        <v>42</v>
      </c>
      <c r="AB541" s="14" t="s">
        <v>43</v>
      </c>
      <c r="AC541" s="14" t="s">
        <v>44</v>
      </c>
    </row>
    <row r="542" spans="1:29" x14ac:dyDescent="0.45">
      <c r="A542" s="2" t="s">
        <v>47</v>
      </c>
      <c r="B542" s="8">
        <f t="shared" ref="B542:D547" si="15">(G542+L542+Q542+V542+AA542)/5</f>
        <v>0</v>
      </c>
      <c r="C542" s="8">
        <f t="shared" si="15"/>
        <v>0.34705418969569912</v>
      </c>
      <c r="D542" s="8">
        <f t="shared" si="15"/>
        <v>0.65294581030430088</v>
      </c>
      <c r="E542" s="12"/>
      <c r="F542" s="2" t="s">
        <v>47</v>
      </c>
      <c r="G542" s="8">
        <v>0</v>
      </c>
      <c r="H542" s="8">
        <v>0.32727272727272727</v>
      </c>
      <c r="I542" s="8">
        <v>0.67272727272727273</v>
      </c>
      <c r="K542" s="2" t="s">
        <v>47</v>
      </c>
      <c r="L542" s="8">
        <v>0</v>
      </c>
      <c r="M542" s="8">
        <v>0.37735849056603776</v>
      </c>
      <c r="N542" s="8">
        <v>0.62264150943396224</v>
      </c>
      <c r="P542" s="2" t="s">
        <v>47</v>
      </c>
      <c r="Q542" s="8">
        <v>0</v>
      </c>
      <c r="R542" s="8">
        <v>0.27777777777777779</v>
      </c>
      <c r="S542" s="8">
        <v>0.72222222222222221</v>
      </c>
      <c r="U542" s="2" t="s">
        <v>47</v>
      </c>
      <c r="V542" s="8">
        <v>0</v>
      </c>
      <c r="W542" s="8">
        <v>0.34545454545454546</v>
      </c>
      <c r="X542" s="8">
        <v>0.65454545454545454</v>
      </c>
      <c r="Z542" s="2" t="s">
        <v>47</v>
      </c>
      <c r="AA542" s="8">
        <v>0</v>
      </c>
      <c r="AB542" s="8">
        <v>0.40740740740740738</v>
      </c>
      <c r="AC542" s="8">
        <v>0.59259259259259256</v>
      </c>
    </row>
    <row r="543" spans="1:29" x14ac:dyDescent="0.45">
      <c r="A543" s="2" t="s">
        <v>48</v>
      </c>
      <c r="B543" s="8">
        <f t="shared" si="15"/>
        <v>0</v>
      </c>
      <c r="C543" s="8">
        <f t="shared" si="15"/>
        <v>0.47205452775073031</v>
      </c>
      <c r="D543" s="8">
        <f t="shared" si="15"/>
        <v>0.52794547224926969</v>
      </c>
      <c r="E543" s="12"/>
      <c r="F543" s="2" t="s">
        <v>48</v>
      </c>
      <c r="G543" s="8">
        <v>0</v>
      </c>
      <c r="H543" s="8">
        <v>0.41772151898734178</v>
      </c>
      <c r="I543" s="8">
        <v>0.58227848101265822</v>
      </c>
      <c r="K543" s="2" t="s">
        <v>48</v>
      </c>
      <c r="L543" s="8">
        <v>0</v>
      </c>
      <c r="M543" s="8">
        <v>0.48101265822784811</v>
      </c>
      <c r="N543" s="8">
        <v>0.51898734177215189</v>
      </c>
      <c r="P543" s="2" t="s">
        <v>48</v>
      </c>
      <c r="Q543" s="8">
        <v>0</v>
      </c>
      <c r="R543" s="8">
        <v>0.44303797468354428</v>
      </c>
      <c r="S543" s="8">
        <v>0.55696202531645567</v>
      </c>
      <c r="U543" s="2" t="s">
        <v>48</v>
      </c>
      <c r="V543" s="8">
        <v>0</v>
      </c>
      <c r="W543" s="8">
        <v>0.46153846153846156</v>
      </c>
      <c r="X543" s="8">
        <v>0.53846153846153844</v>
      </c>
      <c r="Z543" s="2" t="s">
        <v>48</v>
      </c>
      <c r="AA543" s="8">
        <v>0</v>
      </c>
      <c r="AB543" s="8">
        <v>0.55696202531645567</v>
      </c>
      <c r="AC543" s="8">
        <v>0.44303797468354428</v>
      </c>
    </row>
    <row r="544" spans="1:29" x14ac:dyDescent="0.45">
      <c r="A544" s="2" t="s">
        <v>49</v>
      </c>
      <c r="B544" s="8">
        <f t="shared" si="15"/>
        <v>0</v>
      </c>
      <c r="C544" s="8">
        <f t="shared" si="15"/>
        <v>0.41945408281286145</v>
      </c>
      <c r="D544" s="8">
        <f t="shared" si="15"/>
        <v>0.58054591718713844</v>
      </c>
      <c r="E544" s="12"/>
      <c r="F544" s="2" t="s">
        <v>49</v>
      </c>
      <c r="G544" s="8">
        <v>0</v>
      </c>
      <c r="H544" s="8">
        <v>0.4351145038167939</v>
      </c>
      <c r="I544" s="8">
        <v>0.56488549618320616</v>
      </c>
      <c r="K544" s="2" t="s">
        <v>49</v>
      </c>
      <c r="L544" s="8">
        <v>0</v>
      </c>
      <c r="M544" s="8">
        <v>0.43181818181818182</v>
      </c>
      <c r="N544" s="8">
        <v>0.56818181818181823</v>
      </c>
      <c r="P544" s="2" t="s">
        <v>49</v>
      </c>
      <c r="Q544" s="8">
        <v>0</v>
      </c>
      <c r="R544" s="8">
        <v>0.36363636363636365</v>
      </c>
      <c r="S544" s="8">
        <v>0.63636363636363635</v>
      </c>
      <c r="U544" s="2" t="s">
        <v>49</v>
      </c>
      <c r="V544" s="8">
        <v>0</v>
      </c>
      <c r="W544" s="8">
        <v>0.4621212121212121</v>
      </c>
      <c r="X544" s="8">
        <v>0.53787878787878785</v>
      </c>
      <c r="Z544" s="2" t="s">
        <v>49</v>
      </c>
      <c r="AA544" s="8">
        <v>0</v>
      </c>
      <c r="AB544" s="8">
        <v>0.40458015267175573</v>
      </c>
      <c r="AC544" s="8">
        <v>0.59541984732824427</v>
      </c>
    </row>
    <row r="545" spans="1:29" x14ac:dyDescent="0.45">
      <c r="A545" s="2" t="s">
        <v>50</v>
      </c>
      <c r="B545" s="8">
        <f t="shared" si="15"/>
        <v>2.5316455696202532E-3</v>
      </c>
      <c r="C545" s="8">
        <f t="shared" si="15"/>
        <v>0.40840636157091853</v>
      </c>
      <c r="D545" s="8">
        <f t="shared" si="15"/>
        <v>0.58906199285946115</v>
      </c>
      <c r="E545" s="12"/>
      <c r="F545" s="2" t="s">
        <v>50</v>
      </c>
      <c r="G545" s="8">
        <v>0</v>
      </c>
      <c r="H545" s="8">
        <v>0.44303797468354428</v>
      </c>
      <c r="I545" s="8">
        <v>0.55696202531645567</v>
      </c>
      <c r="K545" s="2" t="s">
        <v>50</v>
      </c>
      <c r="L545" s="8">
        <v>0</v>
      </c>
      <c r="M545" s="8">
        <v>0.41772151898734178</v>
      </c>
      <c r="N545" s="8">
        <v>0.58227848101265822</v>
      </c>
      <c r="P545" s="2" t="s">
        <v>50</v>
      </c>
      <c r="Q545" s="8">
        <v>0</v>
      </c>
      <c r="R545" s="8">
        <v>0.46835443037974683</v>
      </c>
      <c r="S545" s="8">
        <v>0.53164556962025311</v>
      </c>
      <c r="U545" s="2" t="s">
        <v>50</v>
      </c>
      <c r="V545" s="8">
        <v>0</v>
      </c>
      <c r="W545" s="8">
        <v>0.32051282051282054</v>
      </c>
      <c r="X545" s="8">
        <v>0.67948717948717952</v>
      </c>
      <c r="Z545" s="2" t="s">
        <v>50</v>
      </c>
      <c r="AA545" s="8">
        <v>1.2658227848101266E-2</v>
      </c>
      <c r="AB545" s="8">
        <v>0.39240506329113922</v>
      </c>
      <c r="AC545" s="8">
        <v>0.59493670886075944</v>
      </c>
    </row>
    <row r="546" spans="1:29" x14ac:dyDescent="0.45">
      <c r="A546" s="2" t="s">
        <v>51</v>
      </c>
      <c r="B546" s="8">
        <f t="shared" si="15"/>
        <v>6.4516129032258064E-3</v>
      </c>
      <c r="C546" s="8">
        <f t="shared" si="15"/>
        <v>0.40645161290322579</v>
      </c>
      <c r="D546" s="8">
        <f t="shared" si="15"/>
        <v>0.58709677419354844</v>
      </c>
      <c r="E546" s="12"/>
      <c r="F546" s="2" t="s">
        <v>51</v>
      </c>
      <c r="G546" s="8">
        <v>3.2258064516129031E-2</v>
      </c>
      <c r="H546" s="8">
        <v>0.32258064516129031</v>
      </c>
      <c r="I546" s="8">
        <v>0.64516129032258063</v>
      </c>
      <c r="K546" s="2" t="s">
        <v>51</v>
      </c>
      <c r="L546" s="8">
        <v>0</v>
      </c>
      <c r="M546" s="8">
        <v>0.38709677419354838</v>
      </c>
      <c r="N546" s="8">
        <v>0.61290322580645162</v>
      </c>
      <c r="P546" s="2" t="s">
        <v>51</v>
      </c>
      <c r="Q546" s="8">
        <v>0</v>
      </c>
      <c r="R546" s="8">
        <v>0.45161290322580644</v>
      </c>
      <c r="S546" s="8">
        <v>0.54838709677419351</v>
      </c>
      <c r="U546" s="2" t="s">
        <v>51</v>
      </c>
      <c r="V546" s="8">
        <v>0</v>
      </c>
      <c r="W546" s="8">
        <v>0.41935483870967744</v>
      </c>
      <c r="X546" s="8">
        <v>0.58064516129032262</v>
      </c>
      <c r="Z546" s="2" t="s">
        <v>51</v>
      </c>
      <c r="AA546" s="8">
        <v>0</v>
      </c>
      <c r="AB546" s="8">
        <v>0.45161290322580644</v>
      </c>
      <c r="AC546" s="8">
        <v>0.54838709677419351</v>
      </c>
    </row>
    <row r="547" spans="1:29" x14ac:dyDescent="0.45">
      <c r="A547" s="2" t="s">
        <v>52</v>
      </c>
      <c r="B547" s="8">
        <f t="shared" si="15"/>
        <v>0</v>
      </c>
      <c r="C547" s="8">
        <f t="shared" si="15"/>
        <v>0.437037037037037</v>
      </c>
      <c r="D547" s="8">
        <f t="shared" si="15"/>
        <v>0.56296296296296289</v>
      </c>
      <c r="E547" s="12"/>
      <c r="F547" s="2" t="s">
        <v>52</v>
      </c>
      <c r="G547" s="8">
        <v>0</v>
      </c>
      <c r="H547" s="8">
        <v>0.44444444444444442</v>
      </c>
      <c r="I547" s="8">
        <v>0.55555555555555558</v>
      </c>
      <c r="K547" s="2" t="s">
        <v>52</v>
      </c>
      <c r="L547" s="8">
        <v>0</v>
      </c>
      <c r="M547" s="8">
        <v>0.55555555555555558</v>
      </c>
      <c r="N547" s="8">
        <v>0.44444444444444442</v>
      </c>
      <c r="P547" s="2" t="s">
        <v>52</v>
      </c>
      <c r="Q547" s="8">
        <v>0</v>
      </c>
      <c r="R547" s="8">
        <v>0.51851851851851849</v>
      </c>
      <c r="S547" s="8">
        <v>0.48148148148148145</v>
      </c>
      <c r="U547" s="2" t="s">
        <v>52</v>
      </c>
      <c r="V547" s="8">
        <v>0</v>
      </c>
      <c r="W547" s="8">
        <v>0.33333333333333331</v>
      </c>
      <c r="X547" s="8">
        <v>0.66666666666666663</v>
      </c>
      <c r="Z547" s="2" t="s">
        <v>52</v>
      </c>
      <c r="AA547" s="8">
        <v>0</v>
      </c>
      <c r="AB547" s="8">
        <v>0.33333333333333331</v>
      </c>
      <c r="AC547" s="8">
        <v>0.66666666666666663</v>
      </c>
    </row>
    <row r="549" spans="1:29" x14ac:dyDescent="0.45">
      <c r="A549" s="14" t="s">
        <v>16</v>
      </c>
      <c r="B549" s="14" t="s">
        <v>42</v>
      </c>
      <c r="C549" s="14" t="s">
        <v>43</v>
      </c>
      <c r="D549" s="14" t="s">
        <v>44</v>
      </c>
      <c r="F549" s="14" t="s">
        <v>16</v>
      </c>
      <c r="G549" s="14" t="s">
        <v>42</v>
      </c>
      <c r="H549" s="14" t="s">
        <v>43</v>
      </c>
      <c r="I549" s="14" t="s">
        <v>44</v>
      </c>
      <c r="K549" s="14" t="s">
        <v>16</v>
      </c>
      <c r="L549" s="14" t="s">
        <v>42</v>
      </c>
      <c r="M549" s="14" t="s">
        <v>43</v>
      </c>
      <c r="N549" s="14" t="s">
        <v>44</v>
      </c>
      <c r="P549" s="14" t="s">
        <v>16</v>
      </c>
      <c r="Q549" s="14" t="s">
        <v>42</v>
      </c>
      <c r="R549" s="14" t="s">
        <v>43</v>
      </c>
      <c r="S549" s="14" t="s">
        <v>44</v>
      </c>
      <c r="U549" s="14" t="s">
        <v>16</v>
      </c>
      <c r="V549" s="14" t="s">
        <v>42</v>
      </c>
      <c r="W549" s="14" t="s">
        <v>43</v>
      </c>
      <c r="X549" s="14" t="s">
        <v>44</v>
      </c>
      <c r="Z549" s="14" t="s">
        <v>16</v>
      </c>
      <c r="AA549" s="14" t="s">
        <v>42</v>
      </c>
      <c r="AB549" s="14" t="s">
        <v>43</v>
      </c>
      <c r="AC549" s="14" t="s">
        <v>44</v>
      </c>
    </row>
    <row r="550" spans="1:29" x14ac:dyDescent="0.45">
      <c r="A550" s="2" t="s">
        <v>47</v>
      </c>
      <c r="B550" s="8">
        <f t="shared" ref="B550:D555" si="16">(G550+L550+Q550+V550+AA550)/5</f>
        <v>0</v>
      </c>
      <c r="C550" s="8">
        <f t="shared" si="16"/>
        <v>0.43925544755733431</v>
      </c>
      <c r="D550" s="8">
        <f t="shared" si="16"/>
        <v>0.56074455244266574</v>
      </c>
      <c r="E550" s="12"/>
      <c r="F550" s="2" t="s">
        <v>47</v>
      </c>
      <c r="G550" s="8">
        <v>0</v>
      </c>
      <c r="H550" s="8">
        <v>0.4</v>
      </c>
      <c r="I550" s="8">
        <v>0.6</v>
      </c>
      <c r="K550" s="2" t="s">
        <v>47</v>
      </c>
      <c r="L550" s="8">
        <v>0</v>
      </c>
      <c r="M550" s="8">
        <v>0.47169811320754718</v>
      </c>
      <c r="N550" s="8">
        <v>0.52830188679245282</v>
      </c>
      <c r="P550" s="2" t="s">
        <v>47</v>
      </c>
      <c r="Q550" s="8">
        <v>0</v>
      </c>
      <c r="R550" s="8">
        <v>0.37037037037037035</v>
      </c>
      <c r="S550" s="8">
        <v>0.62962962962962965</v>
      </c>
      <c r="U550" s="2" t="s">
        <v>47</v>
      </c>
      <c r="V550" s="8">
        <v>0</v>
      </c>
      <c r="W550" s="8">
        <v>0.47272727272727272</v>
      </c>
      <c r="X550" s="8">
        <v>0.52727272727272723</v>
      </c>
      <c r="Z550" s="2" t="s">
        <v>47</v>
      </c>
      <c r="AA550" s="8">
        <v>0</v>
      </c>
      <c r="AB550" s="8">
        <v>0.48148148148148145</v>
      </c>
      <c r="AC550" s="8">
        <v>0.51851851851851849</v>
      </c>
    </row>
    <row r="551" spans="1:29" x14ac:dyDescent="0.45">
      <c r="A551" s="2" t="s">
        <v>48</v>
      </c>
      <c r="B551" s="8">
        <f t="shared" si="16"/>
        <v>0</v>
      </c>
      <c r="C551" s="8">
        <f t="shared" si="16"/>
        <v>0.47971437844855574</v>
      </c>
      <c r="D551" s="8">
        <f t="shared" si="16"/>
        <v>0.5202856215514442</v>
      </c>
      <c r="E551" s="12"/>
      <c r="F551" s="2" t="s">
        <v>48</v>
      </c>
      <c r="G551" s="8">
        <v>0</v>
      </c>
      <c r="H551" s="8">
        <v>0.4050632911392405</v>
      </c>
      <c r="I551" s="8">
        <v>0.59493670886075944</v>
      </c>
      <c r="K551" s="2" t="s">
        <v>48</v>
      </c>
      <c r="L551" s="8">
        <v>0</v>
      </c>
      <c r="M551" s="8">
        <v>0.569620253164557</v>
      </c>
      <c r="N551" s="8">
        <v>0.43037974683544306</v>
      </c>
      <c r="P551" s="2" t="s">
        <v>48</v>
      </c>
      <c r="Q551" s="8">
        <v>0</v>
      </c>
      <c r="R551" s="8">
        <v>0.48101265822784811</v>
      </c>
      <c r="S551" s="8">
        <v>0.51898734177215189</v>
      </c>
      <c r="U551" s="2" t="s">
        <v>48</v>
      </c>
      <c r="V551" s="8">
        <v>0</v>
      </c>
      <c r="W551" s="8">
        <v>0.48717948717948717</v>
      </c>
      <c r="X551" s="8">
        <v>0.51282051282051277</v>
      </c>
      <c r="Z551" s="2" t="s">
        <v>48</v>
      </c>
      <c r="AA551" s="8">
        <v>0</v>
      </c>
      <c r="AB551" s="8">
        <v>0.45569620253164556</v>
      </c>
      <c r="AC551" s="8">
        <v>0.54430379746835444</v>
      </c>
    </row>
    <row r="552" spans="1:29" x14ac:dyDescent="0.45">
      <c r="A552" s="2" t="s">
        <v>49</v>
      </c>
      <c r="B552" s="8">
        <f t="shared" si="16"/>
        <v>0</v>
      </c>
      <c r="C552" s="8">
        <f t="shared" si="16"/>
        <v>0.46498959056210964</v>
      </c>
      <c r="D552" s="8">
        <f t="shared" si="16"/>
        <v>0.53501040943789036</v>
      </c>
      <c r="E552" s="12"/>
      <c r="F552" s="2" t="s">
        <v>49</v>
      </c>
      <c r="G552" s="8">
        <v>0</v>
      </c>
      <c r="H552" s="8">
        <v>0.47328244274809161</v>
      </c>
      <c r="I552" s="8">
        <v>0.52671755725190839</v>
      </c>
      <c r="K552" s="2" t="s">
        <v>49</v>
      </c>
      <c r="L552" s="8">
        <v>0</v>
      </c>
      <c r="M552" s="8">
        <v>0.48484848484848486</v>
      </c>
      <c r="N552" s="8">
        <v>0.51515151515151514</v>
      </c>
      <c r="P552" s="2" t="s">
        <v>49</v>
      </c>
      <c r="Q552" s="8">
        <v>0</v>
      </c>
      <c r="R552" s="8">
        <v>0.44696969696969696</v>
      </c>
      <c r="S552" s="8">
        <v>0.55303030303030298</v>
      </c>
      <c r="U552" s="2" t="s">
        <v>49</v>
      </c>
      <c r="V552" s="8">
        <v>0</v>
      </c>
      <c r="W552" s="8">
        <v>0.5</v>
      </c>
      <c r="X552" s="8">
        <v>0.5</v>
      </c>
      <c r="Z552" s="2" t="s">
        <v>49</v>
      </c>
      <c r="AA552" s="8">
        <v>0</v>
      </c>
      <c r="AB552" s="8">
        <v>0.41984732824427479</v>
      </c>
      <c r="AC552" s="8">
        <v>0.58015267175572516</v>
      </c>
    </row>
    <row r="553" spans="1:29" x14ac:dyDescent="0.45">
      <c r="A553" s="2" t="s">
        <v>50</v>
      </c>
      <c r="B553" s="8">
        <f t="shared" si="16"/>
        <v>0</v>
      </c>
      <c r="C553" s="8">
        <f t="shared" si="16"/>
        <v>0.50266147354754942</v>
      </c>
      <c r="D553" s="8">
        <f t="shared" si="16"/>
        <v>0.49733852645245041</v>
      </c>
      <c r="E553" s="12"/>
      <c r="F553" s="2" t="s">
        <v>50</v>
      </c>
      <c r="G553" s="8">
        <v>0</v>
      </c>
      <c r="H553" s="8">
        <v>0.4050632911392405</v>
      </c>
      <c r="I553" s="8">
        <v>0.59493670886075944</v>
      </c>
      <c r="K553" s="2" t="s">
        <v>50</v>
      </c>
      <c r="L553" s="8">
        <v>0</v>
      </c>
      <c r="M553" s="8">
        <v>0.54430379746835444</v>
      </c>
      <c r="N553" s="8">
        <v>0.45569620253164556</v>
      </c>
      <c r="P553" s="2" t="s">
        <v>50</v>
      </c>
      <c r="Q553" s="8">
        <v>0</v>
      </c>
      <c r="R553" s="8">
        <v>0.51898734177215189</v>
      </c>
      <c r="S553" s="8">
        <v>0.48101265822784811</v>
      </c>
      <c r="U553" s="2" t="s">
        <v>50</v>
      </c>
      <c r="V553" s="8">
        <v>0</v>
      </c>
      <c r="W553" s="8">
        <v>0.55128205128205132</v>
      </c>
      <c r="X553" s="8">
        <v>0.44871794871794873</v>
      </c>
      <c r="Z553" s="2" t="s">
        <v>50</v>
      </c>
      <c r="AA553" s="8">
        <v>0</v>
      </c>
      <c r="AB553" s="8">
        <v>0.49367088607594939</v>
      </c>
      <c r="AC553" s="8">
        <v>0.50632911392405067</v>
      </c>
    </row>
    <row r="554" spans="1:29" x14ac:dyDescent="0.45">
      <c r="A554" s="2" t="s">
        <v>51</v>
      </c>
      <c r="B554" s="8">
        <f t="shared" si="16"/>
        <v>0</v>
      </c>
      <c r="C554" s="8">
        <f t="shared" si="16"/>
        <v>0.46451612903225808</v>
      </c>
      <c r="D554" s="8">
        <f t="shared" si="16"/>
        <v>0.53548387096774197</v>
      </c>
      <c r="E554" s="12"/>
      <c r="F554" s="2" t="s">
        <v>51</v>
      </c>
      <c r="G554" s="8">
        <v>0</v>
      </c>
      <c r="H554" s="8">
        <v>0.64516129032258063</v>
      </c>
      <c r="I554" s="8">
        <v>0.35483870967741937</v>
      </c>
      <c r="K554" s="2" t="s">
        <v>51</v>
      </c>
      <c r="L554" s="8">
        <v>0</v>
      </c>
      <c r="M554" s="8">
        <v>0.41935483870967744</v>
      </c>
      <c r="N554" s="8">
        <v>0.58064516129032262</v>
      </c>
      <c r="P554" s="2" t="s">
        <v>51</v>
      </c>
      <c r="Q554" s="8">
        <v>0</v>
      </c>
      <c r="R554" s="8">
        <v>0.4838709677419355</v>
      </c>
      <c r="S554" s="8">
        <v>0.5161290322580645</v>
      </c>
      <c r="U554" s="2" t="s">
        <v>51</v>
      </c>
      <c r="V554" s="8">
        <v>0</v>
      </c>
      <c r="W554" s="8">
        <v>0.4838709677419355</v>
      </c>
      <c r="X554" s="8">
        <v>0.5161290322580645</v>
      </c>
      <c r="Z554" s="2" t="s">
        <v>51</v>
      </c>
      <c r="AA554" s="8">
        <v>0</v>
      </c>
      <c r="AB554" s="8">
        <v>0.29032258064516131</v>
      </c>
      <c r="AC554" s="8">
        <v>0.70967741935483875</v>
      </c>
    </row>
    <row r="555" spans="1:29" x14ac:dyDescent="0.45">
      <c r="A555" s="2" t="s">
        <v>52</v>
      </c>
      <c r="B555" s="8">
        <f t="shared" si="16"/>
        <v>0</v>
      </c>
      <c r="C555" s="8">
        <f t="shared" si="16"/>
        <v>0.54074074074074086</v>
      </c>
      <c r="D555" s="8">
        <f t="shared" si="16"/>
        <v>0.45925925925925914</v>
      </c>
      <c r="E555" s="12"/>
      <c r="F555" s="2" t="s">
        <v>52</v>
      </c>
      <c r="G555" s="8">
        <v>0</v>
      </c>
      <c r="H555" s="8">
        <v>0.59259259259259256</v>
      </c>
      <c r="I555" s="8">
        <v>0.40740740740740738</v>
      </c>
      <c r="K555" s="2" t="s">
        <v>52</v>
      </c>
      <c r="L555" s="8">
        <v>0</v>
      </c>
      <c r="M555" s="8">
        <v>0.51851851851851849</v>
      </c>
      <c r="N555" s="8">
        <v>0.48148148148148145</v>
      </c>
      <c r="P555" s="2" t="s">
        <v>52</v>
      </c>
      <c r="Q555" s="8">
        <v>0</v>
      </c>
      <c r="R555" s="8">
        <v>0.55555555555555558</v>
      </c>
      <c r="S555" s="8">
        <v>0.44444444444444442</v>
      </c>
      <c r="U555" s="2" t="s">
        <v>52</v>
      </c>
      <c r="V555" s="8">
        <v>0</v>
      </c>
      <c r="W555" s="8">
        <v>0.48148148148148145</v>
      </c>
      <c r="X555" s="8">
        <v>0.51851851851851849</v>
      </c>
      <c r="Z555" s="2" t="s">
        <v>52</v>
      </c>
      <c r="AA555" s="8">
        <v>0</v>
      </c>
      <c r="AB555" s="8">
        <v>0.55555555555555558</v>
      </c>
      <c r="AC555" s="8">
        <v>0.44444444444444442</v>
      </c>
    </row>
    <row r="557" spans="1:29" x14ac:dyDescent="0.45">
      <c r="A557" s="14" t="s">
        <v>14</v>
      </c>
      <c r="B557" s="14" t="s">
        <v>42</v>
      </c>
      <c r="C557" s="14" t="s">
        <v>43</v>
      </c>
      <c r="D557" s="14" t="s">
        <v>44</v>
      </c>
      <c r="F557" s="14" t="s">
        <v>14</v>
      </c>
      <c r="G557" s="14" t="s">
        <v>42</v>
      </c>
      <c r="H557" s="14" t="s">
        <v>43</v>
      </c>
      <c r="I557" s="14" t="s">
        <v>44</v>
      </c>
      <c r="K557" s="14" t="s">
        <v>14</v>
      </c>
      <c r="L557" s="14" t="s">
        <v>42</v>
      </c>
      <c r="M557" s="14" t="s">
        <v>43</v>
      </c>
      <c r="N557" s="14" t="s">
        <v>44</v>
      </c>
      <c r="P557" s="14" t="s">
        <v>14</v>
      </c>
      <c r="Q557" s="14" t="s">
        <v>42</v>
      </c>
      <c r="R557" s="14" t="s">
        <v>43</v>
      </c>
      <c r="S557" s="14" t="s">
        <v>44</v>
      </c>
      <c r="U557" s="14" t="s">
        <v>14</v>
      </c>
      <c r="V557" s="14" t="s">
        <v>42</v>
      </c>
      <c r="W557" s="14" t="s">
        <v>43</v>
      </c>
      <c r="X557" s="14" t="s">
        <v>44</v>
      </c>
      <c r="Z557" s="14" t="s">
        <v>14</v>
      </c>
      <c r="AA557" s="14" t="s">
        <v>42</v>
      </c>
      <c r="AB557" s="14" t="s">
        <v>43</v>
      </c>
      <c r="AC557" s="14" t="s">
        <v>44</v>
      </c>
    </row>
    <row r="558" spans="1:29" x14ac:dyDescent="0.45">
      <c r="A558" s="2" t="s">
        <v>53</v>
      </c>
      <c r="B558" s="8">
        <f t="shared" ref="B558:D565" si="17">(G558+L558+Q558+V558+AA558)/5</f>
        <v>0</v>
      </c>
      <c r="C558" s="8">
        <f t="shared" si="17"/>
        <v>4.4390243902439022E-2</v>
      </c>
      <c r="D558" s="8">
        <f t="shared" si="17"/>
        <v>0.95560975609756083</v>
      </c>
      <c r="E558" s="12"/>
      <c r="F558" s="2" t="s">
        <v>53</v>
      </c>
      <c r="G558" s="8">
        <v>0</v>
      </c>
      <c r="H558" s="8">
        <v>4.878048780487805E-2</v>
      </c>
      <c r="I558" s="8">
        <v>0.95121951219512191</v>
      </c>
      <c r="K558" s="2" t="s">
        <v>53</v>
      </c>
      <c r="L558" s="8">
        <v>0</v>
      </c>
      <c r="M558" s="8">
        <v>0.1</v>
      </c>
      <c r="N558" s="8">
        <v>0.9</v>
      </c>
      <c r="P558" s="2" t="s">
        <v>53</v>
      </c>
      <c r="Q558" s="8">
        <v>0</v>
      </c>
      <c r="R558" s="8">
        <v>4.878048780487805E-2</v>
      </c>
      <c r="S558" s="8">
        <v>0.95121951219512191</v>
      </c>
      <c r="U558" s="2" t="s">
        <v>53</v>
      </c>
      <c r="V558" s="8">
        <v>0</v>
      </c>
      <c r="W558" s="8">
        <v>2.4390243902439025E-2</v>
      </c>
      <c r="X558" s="8">
        <v>0.97560975609756095</v>
      </c>
      <c r="Z558" s="2" t="s">
        <v>53</v>
      </c>
      <c r="AA558" s="8">
        <v>0</v>
      </c>
      <c r="AB558" s="8">
        <v>0</v>
      </c>
      <c r="AC558" s="8">
        <v>1</v>
      </c>
    </row>
    <row r="559" spans="1:29" x14ac:dyDescent="0.45">
      <c r="A559" s="2" t="s">
        <v>54</v>
      </c>
      <c r="B559" s="8">
        <f t="shared" si="17"/>
        <v>0</v>
      </c>
      <c r="C559" s="8">
        <f t="shared" si="17"/>
        <v>5.3294384939954552E-2</v>
      </c>
      <c r="D559" s="8">
        <f t="shared" si="17"/>
        <v>0.94670561506004547</v>
      </c>
      <c r="E559" s="12"/>
      <c r="F559" s="2" t="s">
        <v>54</v>
      </c>
      <c r="G559" s="8">
        <v>0</v>
      </c>
      <c r="H559" s="8">
        <v>3.7974683544303799E-2</v>
      </c>
      <c r="I559" s="8">
        <v>0.96202531645569622</v>
      </c>
      <c r="K559" s="2" t="s">
        <v>54</v>
      </c>
      <c r="L559" s="8">
        <v>0</v>
      </c>
      <c r="M559" s="8">
        <v>3.7974683544303799E-2</v>
      </c>
      <c r="N559" s="8">
        <v>0.96202531645569622</v>
      </c>
      <c r="P559" s="2" t="s">
        <v>54</v>
      </c>
      <c r="Q559" s="8">
        <v>0</v>
      </c>
      <c r="R559" s="8">
        <v>2.5316455696202531E-2</v>
      </c>
      <c r="S559" s="8">
        <v>0.97468354430379744</v>
      </c>
      <c r="U559" s="2" t="s">
        <v>54</v>
      </c>
      <c r="V559" s="8">
        <v>0</v>
      </c>
      <c r="W559" s="8">
        <v>5.128205128205128E-2</v>
      </c>
      <c r="X559" s="8">
        <v>0.94871794871794868</v>
      </c>
      <c r="Z559" s="2" t="s">
        <v>54</v>
      </c>
      <c r="AA559" s="8">
        <v>0</v>
      </c>
      <c r="AB559" s="8">
        <v>0.11392405063291139</v>
      </c>
      <c r="AC559" s="8">
        <v>0.88607594936708856</v>
      </c>
    </row>
    <row r="560" spans="1:29" x14ac:dyDescent="0.45">
      <c r="A560" s="2" t="s">
        <v>55</v>
      </c>
      <c r="B560" s="8">
        <f t="shared" si="17"/>
        <v>0</v>
      </c>
      <c r="C560" s="8">
        <f t="shared" si="17"/>
        <v>4.4999999999999998E-2</v>
      </c>
      <c r="D560" s="8">
        <f t="shared" si="17"/>
        <v>0.95500000000000007</v>
      </c>
      <c r="E560" s="12"/>
      <c r="F560" s="2" t="s">
        <v>55</v>
      </c>
      <c r="G560" s="8">
        <v>0</v>
      </c>
      <c r="H560" s="8">
        <v>0</v>
      </c>
      <c r="I560" s="8">
        <v>1</v>
      </c>
      <c r="K560" s="2" t="s">
        <v>55</v>
      </c>
      <c r="L560" s="8">
        <v>0</v>
      </c>
      <c r="M560" s="8">
        <v>0.15</v>
      </c>
      <c r="N560" s="8">
        <v>0.85</v>
      </c>
      <c r="P560" s="2" t="s">
        <v>55</v>
      </c>
      <c r="Q560" s="8">
        <v>0</v>
      </c>
      <c r="R560" s="8">
        <v>2.5000000000000001E-2</v>
      </c>
      <c r="S560" s="8">
        <v>0.97499999999999998</v>
      </c>
      <c r="U560" s="2" t="s">
        <v>55</v>
      </c>
      <c r="V560" s="8">
        <v>0</v>
      </c>
      <c r="W560" s="8">
        <v>0</v>
      </c>
      <c r="X560" s="8">
        <v>1</v>
      </c>
      <c r="Z560" s="2" t="s">
        <v>55</v>
      </c>
      <c r="AA560" s="8">
        <v>0</v>
      </c>
      <c r="AB560" s="8">
        <v>0.05</v>
      </c>
      <c r="AC560" s="8">
        <v>0.95</v>
      </c>
    </row>
    <row r="561" spans="1:29" x14ac:dyDescent="0.45">
      <c r="A561" s="2" t="s">
        <v>56</v>
      </c>
      <c r="B561" s="8">
        <f t="shared" si="17"/>
        <v>0</v>
      </c>
      <c r="C561" s="8">
        <f t="shared" si="17"/>
        <v>3.3962264150943403E-2</v>
      </c>
      <c r="D561" s="8">
        <f t="shared" si="17"/>
        <v>0.96603773584905672</v>
      </c>
      <c r="E561" s="12"/>
      <c r="F561" s="2" t="s">
        <v>56</v>
      </c>
      <c r="G561" s="8">
        <v>0</v>
      </c>
      <c r="H561" s="8">
        <v>0</v>
      </c>
      <c r="I561" s="8">
        <v>1</v>
      </c>
      <c r="K561" s="2" t="s">
        <v>56</v>
      </c>
      <c r="L561" s="8">
        <v>0</v>
      </c>
      <c r="M561" s="8">
        <v>1.8867924528301886E-2</v>
      </c>
      <c r="N561" s="8">
        <v>0.98113207547169812</v>
      </c>
      <c r="P561" s="2" t="s">
        <v>56</v>
      </c>
      <c r="Q561" s="8">
        <v>0</v>
      </c>
      <c r="R561" s="8">
        <v>3.7735849056603772E-2</v>
      </c>
      <c r="S561" s="8">
        <v>0.96226415094339623</v>
      </c>
      <c r="U561" s="2" t="s">
        <v>56</v>
      </c>
      <c r="V561" s="8">
        <v>0</v>
      </c>
      <c r="W561" s="8">
        <v>5.6603773584905662E-2</v>
      </c>
      <c r="X561" s="8">
        <v>0.94339622641509435</v>
      </c>
      <c r="Z561" s="2" t="s">
        <v>56</v>
      </c>
      <c r="AA561" s="8">
        <v>0</v>
      </c>
      <c r="AB561" s="8">
        <v>5.6603773584905662E-2</v>
      </c>
      <c r="AC561" s="8">
        <v>0.94339622641509435</v>
      </c>
    </row>
    <row r="562" spans="1:29" x14ac:dyDescent="0.45">
      <c r="A562" s="2" t="s">
        <v>57</v>
      </c>
      <c r="B562" s="8">
        <f t="shared" si="17"/>
        <v>0</v>
      </c>
      <c r="C562" s="8">
        <f t="shared" si="17"/>
        <v>3.3962264150943403E-2</v>
      </c>
      <c r="D562" s="8">
        <f t="shared" si="17"/>
        <v>0.96603773584905661</v>
      </c>
      <c r="E562" s="12"/>
      <c r="F562" s="2" t="s">
        <v>57</v>
      </c>
      <c r="G562" s="8">
        <v>0</v>
      </c>
      <c r="H562" s="8">
        <v>1.8867924528301886E-2</v>
      </c>
      <c r="I562" s="8">
        <v>0.98113207547169812</v>
      </c>
      <c r="K562" s="2" t="s">
        <v>57</v>
      </c>
      <c r="L562" s="8">
        <v>0</v>
      </c>
      <c r="M562" s="8">
        <v>1.8867924528301886E-2</v>
      </c>
      <c r="N562" s="8">
        <v>0.98113207547169812</v>
      </c>
      <c r="P562" s="2" t="s">
        <v>57</v>
      </c>
      <c r="Q562" s="8">
        <v>0</v>
      </c>
      <c r="R562" s="8">
        <v>3.7735849056603772E-2</v>
      </c>
      <c r="S562" s="8">
        <v>0.96226415094339623</v>
      </c>
      <c r="U562" s="2" t="s">
        <v>57</v>
      </c>
      <c r="V562" s="8">
        <v>0</v>
      </c>
      <c r="W562" s="8">
        <v>3.7735849056603772E-2</v>
      </c>
      <c r="X562" s="8">
        <v>0.96226415094339623</v>
      </c>
      <c r="Z562" s="2" t="s">
        <v>57</v>
      </c>
      <c r="AA562" s="8">
        <v>0</v>
      </c>
      <c r="AB562" s="8">
        <v>5.6603773584905662E-2</v>
      </c>
      <c r="AC562" s="8">
        <v>0.94339622641509435</v>
      </c>
    </row>
    <row r="563" spans="1:29" x14ac:dyDescent="0.45">
      <c r="A563" s="2" t="s">
        <v>58</v>
      </c>
      <c r="B563" s="8">
        <f t="shared" si="17"/>
        <v>0</v>
      </c>
      <c r="C563" s="8">
        <f t="shared" si="17"/>
        <v>3.5589635113696463E-2</v>
      </c>
      <c r="D563" s="8">
        <f t="shared" si="17"/>
        <v>0.96441036488630361</v>
      </c>
      <c r="E563" s="12"/>
      <c r="F563" s="2" t="s">
        <v>58</v>
      </c>
      <c r="G563" s="8">
        <v>0</v>
      </c>
      <c r="H563" s="8">
        <v>4.8387096774193547E-2</v>
      </c>
      <c r="I563" s="8">
        <v>0.95161290322580649</v>
      </c>
      <c r="K563" s="2" t="s">
        <v>58</v>
      </c>
      <c r="L563" s="8">
        <v>0</v>
      </c>
      <c r="M563" s="8">
        <v>3.2258064516129031E-2</v>
      </c>
      <c r="N563" s="8">
        <v>0.967741935483871</v>
      </c>
      <c r="P563" s="2" t="s">
        <v>58</v>
      </c>
      <c r="Q563" s="8">
        <v>0</v>
      </c>
      <c r="R563" s="8">
        <v>1.6129032258064516E-2</v>
      </c>
      <c r="S563" s="8">
        <v>0.9838709677419355</v>
      </c>
      <c r="U563" s="2" t="s">
        <v>58</v>
      </c>
      <c r="V563" s="8">
        <v>0</v>
      </c>
      <c r="W563" s="8">
        <v>3.2786885245901641E-2</v>
      </c>
      <c r="X563" s="8">
        <v>0.96721311475409832</v>
      </c>
      <c r="Z563" s="2" t="s">
        <v>58</v>
      </c>
      <c r="AA563" s="8">
        <v>0</v>
      </c>
      <c r="AB563" s="8">
        <v>4.8387096774193547E-2</v>
      </c>
      <c r="AC563" s="8">
        <v>0.95161290322580649</v>
      </c>
    </row>
    <row r="564" spans="1:29" x14ac:dyDescent="0.45">
      <c r="A564" s="2" t="s">
        <v>59</v>
      </c>
      <c r="B564" s="8">
        <f t="shared" si="17"/>
        <v>0</v>
      </c>
      <c r="C564" s="8">
        <f t="shared" si="17"/>
        <v>5.1686909581646415E-2</v>
      </c>
      <c r="D564" s="8">
        <f t="shared" si="17"/>
        <v>0.94831309041835365</v>
      </c>
      <c r="E564" s="12"/>
      <c r="F564" s="2" t="s">
        <v>59</v>
      </c>
      <c r="G564" s="8">
        <v>0</v>
      </c>
      <c r="H564" s="8">
        <v>2.6315789473684209E-2</v>
      </c>
      <c r="I564" s="8">
        <v>0.97368421052631582</v>
      </c>
      <c r="K564" s="2" t="s">
        <v>59</v>
      </c>
      <c r="L564" s="8">
        <v>0</v>
      </c>
      <c r="M564" s="8">
        <v>5.128205128205128E-2</v>
      </c>
      <c r="N564" s="8">
        <v>0.94871794871794868</v>
      </c>
      <c r="P564" s="2" t="s">
        <v>59</v>
      </c>
      <c r="Q564" s="8">
        <v>0</v>
      </c>
      <c r="R564" s="8">
        <v>0.10256410256410256</v>
      </c>
      <c r="S564" s="8">
        <v>0.89743589743589747</v>
      </c>
      <c r="U564" s="2" t="s">
        <v>59</v>
      </c>
      <c r="V564" s="8">
        <v>0</v>
      </c>
      <c r="W564" s="8">
        <v>2.564102564102564E-2</v>
      </c>
      <c r="X564" s="8">
        <v>0.97435897435897434</v>
      </c>
      <c r="Z564" s="2" t="s">
        <v>59</v>
      </c>
      <c r="AA564" s="8">
        <v>0</v>
      </c>
      <c r="AB564" s="8">
        <v>5.2631578947368418E-2</v>
      </c>
      <c r="AC564" s="8">
        <v>0.94736842105263153</v>
      </c>
    </row>
    <row r="565" spans="1:29" x14ac:dyDescent="0.45">
      <c r="A565" s="2" t="s">
        <v>60</v>
      </c>
      <c r="B565" s="8">
        <f t="shared" si="17"/>
        <v>0</v>
      </c>
      <c r="C565" s="8">
        <f t="shared" si="17"/>
        <v>6.8571428571428575E-2</v>
      </c>
      <c r="D565" s="8">
        <f t="shared" si="17"/>
        <v>0.93142857142857127</v>
      </c>
      <c r="E565" s="12"/>
      <c r="F565" s="2" t="s">
        <v>60</v>
      </c>
      <c r="G565" s="8">
        <v>0</v>
      </c>
      <c r="H565" s="8">
        <v>2.8571428571428571E-2</v>
      </c>
      <c r="I565" s="8">
        <v>0.97142857142857142</v>
      </c>
      <c r="K565" s="2" t="s">
        <v>60</v>
      </c>
      <c r="L565" s="8">
        <v>0</v>
      </c>
      <c r="M565" s="8">
        <v>5.7142857142857141E-2</v>
      </c>
      <c r="N565" s="8">
        <v>0.94285714285714284</v>
      </c>
      <c r="P565" s="2" t="s">
        <v>60</v>
      </c>
      <c r="Q565" s="8">
        <v>0</v>
      </c>
      <c r="R565" s="8">
        <v>8.5714285714285715E-2</v>
      </c>
      <c r="S565" s="8">
        <v>0.91428571428571426</v>
      </c>
      <c r="U565" s="2" t="s">
        <v>60</v>
      </c>
      <c r="V565" s="8">
        <v>0</v>
      </c>
      <c r="W565" s="8">
        <v>8.5714285714285715E-2</v>
      </c>
      <c r="X565" s="8">
        <v>0.91428571428571426</v>
      </c>
      <c r="Z565" s="2" t="s">
        <v>60</v>
      </c>
      <c r="AA565" s="8">
        <v>0</v>
      </c>
      <c r="AB565" s="8">
        <v>8.5714285714285715E-2</v>
      </c>
      <c r="AC565" s="8">
        <v>0.91428571428571426</v>
      </c>
    </row>
    <row r="567" spans="1:29" x14ac:dyDescent="0.45">
      <c r="A567" s="14" t="s">
        <v>15</v>
      </c>
      <c r="B567" s="14" t="s">
        <v>42</v>
      </c>
      <c r="C567" s="14" t="s">
        <v>43</v>
      </c>
      <c r="D567" s="14" t="s">
        <v>44</v>
      </c>
      <c r="F567" s="14" t="s">
        <v>15</v>
      </c>
      <c r="G567" s="14" t="s">
        <v>42</v>
      </c>
      <c r="H567" s="14" t="s">
        <v>43</v>
      </c>
      <c r="I567" s="14" t="s">
        <v>44</v>
      </c>
      <c r="K567" s="14" t="s">
        <v>15</v>
      </c>
      <c r="L567" s="14" t="s">
        <v>42</v>
      </c>
      <c r="M567" s="14" t="s">
        <v>43</v>
      </c>
      <c r="N567" s="14" t="s">
        <v>44</v>
      </c>
      <c r="P567" s="14" t="s">
        <v>15</v>
      </c>
      <c r="Q567" s="14" t="s">
        <v>42</v>
      </c>
      <c r="R567" s="14" t="s">
        <v>43</v>
      </c>
      <c r="S567" s="14" t="s">
        <v>44</v>
      </c>
      <c r="U567" s="14" t="s">
        <v>15</v>
      </c>
      <c r="V567" s="14" t="s">
        <v>42</v>
      </c>
      <c r="W567" s="14" t="s">
        <v>43</v>
      </c>
      <c r="X567" s="14" t="s">
        <v>44</v>
      </c>
      <c r="Z567" s="14" t="s">
        <v>15</v>
      </c>
      <c r="AA567" s="14" t="s">
        <v>42</v>
      </c>
      <c r="AB567" s="14" t="s">
        <v>43</v>
      </c>
      <c r="AC567" s="14" t="s">
        <v>44</v>
      </c>
    </row>
    <row r="568" spans="1:29" x14ac:dyDescent="0.45">
      <c r="A568" s="2" t="s">
        <v>53</v>
      </c>
      <c r="B568" s="8">
        <f t="shared" ref="B568:D575" si="18">(G568+L568+Q568+V568+AA568)/5</f>
        <v>0</v>
      </c>
      <c r="C568" s="8">
        <f t="shared" si="18"/>
        <v>0.34365853658536588</v>
      </c>
      <c r="D568" s="8">
        <f t="shared" si="18"/>
        <v>0.65634146341463417</v>
      </c>
      <c r="E568" s="12"/>
      <c r="F568" s="2" t="s">
        <v>53</v>
      </c>
      <c r="G568" s="8">
        <v>0</v>
      </c>
      <c r="H568" s="8">
        <v>0.29268292682926828</v>
      </c>
      <c r="I568" s="8">
        <v>0.70731707317073167</v>
      </c>
      <c r="K568" s="2" t="s">
        <v>53</v>
      </c>
      <c r="L568" s="8">
        <v>0</v>
      </c>
      <c r="M568" s="8">
        <v>0.45</v>
      </c>
      <c r="N568" s="8">
        <v>0.55000000000000004</v>
      </c>
      <c r="P568" s="2" t="s">
        <v>53</v>
      </c>
      <c r="Q568" s="8">
        <v>0</v>
      </c>
      <c r="R568" s="8">
        <v>0.29268292682926828</v>
      </c>
      <c r="S568" s="8">
        <v>0.70731707317073167</v>
      </c>
      <c r="U568" s="2" t="s">
        <v>53</v>
      </c>
      <c r="V568" s="8">
        <v>0</v>
      </c>
      <c r="W568" s="8">
        <v>0.34146341463414637</v>
      </c>
      <c r="X568" s="8">
        <v>0.65853658536585369</v>
      </c>
      <c r="Z568" s="2" t="s">
        <v>53</v>
      </c>
      <c r="AA568" s="8">
        <v>0</v>
      </c>
      <c r="AB568" s="8">
        <v>0.34146341463414637</v>
      </c>
      <c r="AC568" s="8">
        <v>0.65853658536585369</v>
      </c>
    </row>
    <row r="569" spans="1:29" x14ac:dyDescent="0.45">
      <c r="A569" s="2" t="s">
        <v>54</v>
      </c>
      <c r="B569" s="8">
        <f t="shared" si="18"/>
        <v>0</v>
      </c>
      <c r="C569" s="8">
        <f t="shared" si="18"/>
        <v>0.36793248945147677</v>
      </c>
      <c r="D569" s="8">
        <f t="shared" si="18"/>
        <v>0.63206751054852317</v>
      </c>
      <c r="E569" s="12"/>
      <c r="F569" s="2" t="s">
        <v>54</v>
      </c>
      <c r="G569" s="8">
        <v>0</v>
      </c>
      <c r="H569" s="8">
        <v>0.32911392405063289</v>
      </c>
      <c r="I569" s="8">
        <v>0.67088607594936711</v>
      </c>
      <c r="K569" s="2" t="s">
        <v>54</v>
      </c>
      <c r="L569" s="8">
        <v>0</v>
      </c>
      <c r="M569" s="8">
        <v>0.41772151898734178</v>
      </c>
      <c r="N569" s="8">
        <v>0.58227848101265822</v>
      </c>
      <c r="P569" s="2" t="s">
        <v>54</v>
      </c>
      <c r="Q569" s="8">
        <v>0</v>
      </c>
      <c r="R569" s="8">
        <v>0.32911392405063289</v>
      </c>
      <c r="S569" s="8">
        <v>0.67088607594936711</v>
      </c>
      <c r="U569" s="2" t="s">
        <v>54</v>
      </c>
      <c r="V569" s="8">
        <v>0</v>
      </c>
      <c r="W569" s="8">
        <v>0.33333333333333331</v>
      </c>
      <c r="X569" s="8">
        <v>0.66666666666666663</v>
      </c>
      <c r="Z569" s="2" t="s">
        <v>54</v>
      </c>
      <c r="AA569" s="8">
        <v>0</v>
      </c>
      <c r="AB569" s="8">
        <v>0.43037974683544306</v>
      </c>
      <c r="AC569" s="8">
        <v>0.569620253164557</v>
      </c>
    </row>
    <row r="570" spans="1:29" x14ac:dyDescent="0.45">
      <c r="A570" s="2" t="s">
        <v>55</v>
      </c>
      <c r="B570" s="8">
        <f t="shared" si="18"/>
        <v>0</v>
      </c>
      <c r="C570" s="8">
        <f t="shared" si="18"/>
        <v>0.42609756097560975</v>
      </c>
      <c r="D570" s="8">
        <f t="shared" si="18"/>
        <v>0.57390243902439031</v>
      </c>
      <c r="E570" s="12"/>
      <c r="F570" s="2" t="s">
        <v>55</v>
      </c>
      <c r="G570" s="8">
        <v>0</v>
      </c>
      <c r="H570" s="8">
        <v>0.3902439024390244</v>
      </c>
      <c r="I570" s="8">
        <v>0.6097560975609756</v>
      </c>
      <c r="K570" s="2" t="s">
        <v>55</v>
      </c>
      <c r="L570" s="8">
        <v>0</v>
      </c>
      <c r="M570" s="8">
        <v>0.47499999999999998</v>
      </c>
      <c r="N570" s="8">
        <v>0.52500000000000002</v>
      </c>
      <c r="P570" s="2" t="s">
        <v>55</v>
      </c>
      <c r="Q570" s="8">
        <v>0</v>
      </c>
      <c r="R570" s="8">
        <v>0.375</v>
      </c>
      <c r="S570" s="8">
        <v>0.625</v>
      </c>
      <c r="U570" s="2" t="s">
        <v>55</v>
      </c>
      <c r="V570" s="8">
        <v>0</v>
      </c>
      <c r="W570" s="8">
        <v>0.3902439024390244</v>
      </c>
      <c r="X570" s="8">
        <v>0.6097560975609756</v>
      </c>
      <c r="Z570" s="2" t="s">
        <v>55</v>
      </c>
      <c r="AA570" s="8">
        <v>0</v>
      </c>
      <c r="AB570" s="8">
        <v>0.5</v>
      </c>
      <c r="AC570" s="8">
        <v>0.5</v>
      </c>
    </row>
    <row r="571" spans="1:29" x14ac:dyDescent="0.45">
      <c r="A571" s="2" t="s">
        <v>56</v>
      </c>
      <c r="B571" s="8">
        <f t="shared" si="18"/>
        <v>3.7735849056603774E-3</v>
      </c>
      <c r="C571" s="8">
        <f t="shared" si="18"/>
        <v>0.48679245283018868</v>
      </c>
      <c r="D571" s="8">
        <f t="shared" si="18"/>
        <v>0.50943396226415094</v>
      </c>
      <c r="E571" s="12"/>
      <c r="F571" s="2" t="s">
        <v>56</v>
      </c>
      <c r="G571" s="8">
        <v>0</v>
      </c>
      <c r="H571" s="8">
        <v>0.45283018867924529</v>
      </c>
      <c r="I571" s="8">
        <v>0.54716981132075471</v>
      </c>
      <c r="K571" s="2" t="s">
        <v>56</v>
      </c>
      <c r="L571" s="8">
        <v>0</v>
      </c>
      <c r="M571" s="8">
        <v>0.43396226415094341</v>
      </c>
      <c r="N571" s="8">
        <v>0.56603773584905659</v>
      </c>
      <c r="P571" s="2" t="s">
        <v>56</v>
      </c>
      <c r="Q571" s="8">
        <v>0</v>
      </c>
      <c r="R571" s="8">
        <v>0.54716981132075471</v>
      </c>
      <c r="S571" s="8">
        <v>0.45283018867924529</v>
      </c>
      <c r="U571" s="2" t="s">
        <v>56</v>
      </c>
      <c r="V571" s="8">
        <v>0</v>
      </c>
      <c r="W571" s="8">
        <v>0.52830188679245282</v>
      </c>
      <c r="X571" s="8">
        <v>0.47169811320754718</v>
      </c>
      <c r="Z571" s="2" t="s">
        <v>56</v>
      </c>
      <c r="AA571" s="8">
        <v>1.8867924528301886E-2</v>
      </c>
      <c r="AB571" s="8">
        <v>0.47169811320754718</v>
      </c>
      <c r="AC571" s="8">
        <v>0.50943396226415094</v>
      </c>
    </row>
    <row r="572" spans="1:29" x14ac:dyDescent="0.45">
      <c r="A572" s="2" t="s">
        <v>57</v>
      </c>
      <c r="B572" s="8">
        <f t="shared" si="18"/>
        <v>0</v>
      </c>
      <c r="C572" s="8">
        <f t="shared" si="18"/>
        <v>0.49056603773584906</v>
      </c>
      <c r="D572" s="8">
        <f t="shared" si="18"/>
        <v>0.50943396226415094</v>
      </c>
      <c r="E572" s="12"/>
      <c r="F572" s="2" t="s">
        <v>57</v>
      </c>
      <c r="G572" s="8">
        <v>0</v>
      </c>
      <c r="H572" s="8">
        <v>0.45283018867924529</v>
      </c>
      <c r="I572" s="8">
        <v>0.54716981132075471</v>
      </c>
      <c r="K572" s="2" t="s">
        <v>57</v>
      </c>
      <c r="L572" s="8">
        <v>0</v>
      </c>
      <c r="M572" s="8">
        <v>0.43396226415094341</v>
      </c>
      <c r="N572" s="8">
        <v>0.56603773584905659</v>
      </c>
      <c r="P572" s="2" t="s">
        <v>57</v>
      </c>
      <c r="Q572" s="8">
        <v>0</v>
      </c>
      <c r="R572" s="8">
        <v>0.49056603773584906</v>
      </c>
      <c r="S572" s="8">
        <v>0.50943396226415094</v>
      </c>
      <c r="U572" s="2" t="s">
        <v>57</v>
      </c>
      <c r="V572" s="8">
        <v>0</v>
      </c>
      <c r="W572" s="8">
        <v>0.50943396226415094</v>
      </c>
      <c r="X572" s="8">
        <v>0.49056603773584906</v>
      </c>
      <c r="Z572" s="2" t="s">
        <v>57</v>
      </c>
      <c r="AA572" s="8">
        <v>0</v>
      </c>
      <c r="AB572" s="8">
        <v>0.56603773584905659</v>
      </c>
      <c r="AC572" s="8">
        <v>0.43396226415094341</v>
      </c>
    </row>
    <row r="573" spans="1:29" x14ac:dyDescent="0.45">
      <c r="A573" s="2" t="s">
        <v>58</v>
      </c>
      <c r="B573" s="8">
        <f t="shared" si="18"/>
        <v>0</v>
      </c>
      <c r="C573" s="8">
        <f t="shared" si="18"/>
        <v>0.40756213643574829</v>
      </c>
      <c r="D573" s="8">
        <f t="shared" si="18"/>
        <v>0.59243786356425165</v>
      </c>
      <c r="E573" s="12"/>
      <c r="F573" s="2" t="s">
        <v>58</v>
      </c>
      <c r="G573" s="8">
        <v>0</v>
      </c>
      <c r="H573" s="8">
        <v>0.532258064516129</v>
      </c>
      <c r="I573" s="8">
        <v>0.46774193548387094</v>
      </c>
      <c r="K573" s="2" t="s">
        <v>58</v>
      </c>
      <c r="L573" s="8">
        <v>0</v>
      </c>
      <c r="M573" s="8">
        <v>0.41935483870967744</v>
      </c>
      <c r="N573" s="8">
        <v>0.58064516129032262</v>
      </c>
      <c r="P573" s="2" t="s">
        <v>58</v>
      </c>
      <c r="Q573" s="8">
        <v>0</v>
      </c>
      <c r="R573" s="8">
        <v>0.38709677419354838</v>
      </c>
      <c r="S573" s="8">
        <v>0.61290322580645162</v>
      </c>
      <c r="U573" s="2" t="s">
        <v>58</v>
      </c>
      <c r="V573" s="8">
        <v>0</v>
      </c>
      <c r="W573" s="8">
        <v>0.34426229508196721</v>
      </c>
      <c r="X573" s="8">
        <v>0.65573770491803274</v>
      </c>
      <c r="Z573" s="2" t="s">
        <v>58</v>
      </c>
      <c r="AA573" s="8">
        <v>0</v>
      </c>
      <c r="AB573" s="8">
        <v>0.35483870967741937</v>
      </c>
      <c r="AC573" s="8">
        <v>0.64516129032258063</v>
      </c>
    </row>
    <row r="574" spans="1:29" x14ac:dyDescent="0.45">
      <c r="A574" s="2" t="s">
        <v>59</v>
      </c>
      <c r="B574" s="8">
        <f t="shared" si="18"/>
        <v>0</v>
      </c>
      <c r="C574" s="8">
        <f t="shared" si="18"/>
        <v>0.39838056680161948</v>
      </c>
      <c r="D574" s="8">
        <f t="shared" si="18"/>
        <v>0.60161943319838052</v>
      </c>
      <c r="E574" s="12"/>
      <c r="F574" s="2" t="s">
        <v>59</v>
      </c>
      <c r="G574" s="8">
        <v>0</v>
      </c>
      <c r="H574" s="8">
        <v>0.34210526315789475</v>
      </c>
      <c r="I574" s="8">
        <v>0.65789473684210531</v>
      </c>
      <c r="K574" s="2" t="s">
        <v>59</v>
      </c>
      <c r="L574" s="8">
        <v>0</v>
      </c>
      <c r="M574" s="8">
        <v>0.48717948717948717</v>
      </c>
      <c r="N574" s="8">
        <v>0.51282051282051277</v>
      </c>
      <c r="P574" s="2" t="s">
        <v>59</v>
      </c>
      <c r="Q574" s="8">
        <v>0</v>
      </c>
      <c r="R574" s="8">
        <v>0.46153846153846156</v>
      </c>
      <c r="S574" s="8">
        <v>0.53846153846153844</v>
      </c>
      <c r="U574" s="2" t="s">
        <v>59</v>
      </c>
      <c r="V574" s="8">
        <v>0</v>
      </c>
      <c r="W574" s="8">
        <v>0.35897435897435898</v>
      </c>
      <c r="X574" s="8">
        <v>0.64102564102564108</v>
      </c>
      <c r="Z574" s="2" t="s">
        <v>59</v>
      </c>
      <c r="AA574" s="8">
        <v>0</v>
      </c>
      <c r="AB574" s="8">
        <v>0.34210526315789475</v>
      </c>
      <c r="AC574" s="8">
        <v>0.65789473684210531</v>
      </c>
    </row>
    <row r="575" spans="1:29" x14ac:dyDescent="0.45">
      <c r="A575" s="2" t="s">
        <v>60</v>
      </c>
      <c r="B575" s="8">
        <f t="shared" si="18"/>
        <v>5.7142857142857143E-3</v>
      </c>
      <c r="C575" s="8">
        <f t="shared" si="18"/>
        <v>0.43428571428571427</v>
      </c>
      <c r="D575" s="8">
        <f t="shared" si="18"/>
        <v>0.55999999999999994</v>
      </c>
      <c r="E575" s="12"/>
      <c r="F575" s="2" t="s">
        <v>60</v>
      </c>
      <c r="G575" s="8">
        <v>2.8571428571428571E-2</v>
      </c>
      <c r="H575" s="8">
        <v>0.48571428571428571</v>
      </c>
      <c r="I575" s="8">
        <v>0.48571428571428571</v>
      </c>
      <c r="K575" s="2" t="s">
        <v>60</v>
      </c>
      <c r="L575" s="8">
        <v>0</v>
      </c>
      <c r="M575" s="8">
        <v>0.4</v>
      </c>
      <c r="N575" s="8">
        <v>0.6</v>
      </c>
      <c r="P575" s="2" t="s">
        <v>60</v>
      </c>
      <c r="Q575" s="8">
        <v>0</v>
      </c>
      <c r="R575" s="8">
        <v>0.37142857142857144</v>
      </c>
      <c r="S575" s="8">
        <v>0.62857142857142856</v>
      </c>
      <c r="U575" s="2" t="s">
        <v>60</v>
      </c>
      <c r="V575" s="8">
        <v>0</v>
      </c>
      <c r="W575" s="8">
        <v>0.48571428571428571</v>
      </c>
      <c r="X575" s="8">
        <v>0.51428571428571423</v>
      </c>
      <c r="Z575" s="2" t="s">
        <v>60</v>
      </c>
      <c r="AA575" s="8">
        <v>0</v>
      </c>
      <c r="AB575" s="8">
        <v>0.42857142857142855</v>
      </c>
      <c r="AC575" s="8">
        <v>0.5714285714285714</v>
      </c>
    </row>
    <row r="577" spans="1:29" x14ac:dyDescent="0.45">
      <c r="A577" s="14" t="s">
        <v>61</v>
      </c>
      <c r="B577" s="14" t="s">
        <v>42</v>
      </c>
      <c r="C577" s="14" t="s">
        <v>43</v>
      </c>
      <c r="D577" s="14" t="s">
        <v>44</v>
      </c>
      <c r="F577" s="14" t="s">
        <v>61</v>
      </c>
      <c r="G577" s="14" t="s">
        <v>42</v>
      </c>
      <c r="H577" s="14" t="s">
        <v>43</v>
      </c>
      <c r="I577" s="14" t="s">
        <v>44</v>
      </c>
      <c r="K577" s="14" t="s">
        <v>61</v>
      </c>
      <c r="L577" s="14" t="s">
        <v>42</v>
      </c>
      <c r="M577" s="14" t="s">
        <v>43</v>
      </c>
      <c r="N577" s="14" t="s">
        <v>44</v>
      </c>
      <c r="P577" s="14" t="s">
        <v>61</v>
      </c>
      <c r="Q577" s="14" t="s">
        <v>42</v>
      </c>
      <c r="R577" s="14" t="s">
        <v>43</v>
      </c>
      <c r="S577" s="14" t="s">
        <v>44</v>
      </c>
      <c r="U577" s="14" t="s">
        <v>61</v>
      </c>
      <c r="V577" s="14" t="s">
        <v>42</v>
      </c>
      <c r="W577" s="14" t="s">
        <v>43</v>
      </c>
      <c r="X577" s="14" t="s">
        <v>44</v>
      </c>
      <c r="Z577" s="14" t="s">
        <v>61</v>
      </c>
      <c r="AA577" s="14" t="s">
        <v>42</v>
      </c>
      <c r="AB577" s="14" t="s">
        <v>43</v>
      </c>
      <c r="AC577" s="14" t="s">
        <v>44</v>
      </c>
    </row>
    <row r="578" spans="1:29" x14ac:dyDescent="0.45">
      <c r="A578" s="2" t="s">
        <v>47</v>
      </c>
      <c r="B578" s="8">
        <f t="shared" ref="B578:D583" si="19">(G578+L578+Q578+V578+AA578)/5</f>
        <v>0</v>
      </c>
      <c r="C578" s="8">
        <f t="shared" si="19"/>
        <v>2.2294644558795502E-2</v>
      </c>
      <c r="D578" s="8">
        <f t="shared" si="19"/>
        <v>0.97770535544120452</v>
      </c>
      <c r="E578" s="12"/>
      <c r="F578" s="2" t="s">
        <v>47</v>
      </c>
      <c r="G578" s="8">
        <v>0</v>
      </c>
      <c r="H578" s="8">
        <v>0</v>
      </c>
      <c r="I578" s="8">
        <v>1</v>
      </c>
      <c r="K578" s="2" t="s">
        <v>47</v>
      </c>
      <c r="L578" s="8">
        <v>0</v>
      </c>
      <c r="M578" s="8">
        <v>3.7735849056603772E-2</v>
      </c>
      <c r="N578" s="8">
        <v>0.96226415094339623</v>
      </c>
      <c r="P578" s="2" t="s">
        <v>47</v>
      </c>
      <c r="Q578" s="8">
        <v>0</v>
      </c>
      <c r="R578" s="8">
        <v>3.7037037037037035E-2</v>
      </c>
      <c r="S578" s="8">
        <v>0.96296296296296291</v>
      </c>
      <c r="U578" s="2" t="s">
        <v>47</v>
      </c>
      <c r="V578" s="8">
        <v>0</v>
      </c>
      <c r="W578" s="8">
        <v>1.8181818181818181E-2</v>
      </c>
      <c r="X578" s="8">
        <v>0.98181818181818181</v>
      </c>
      <c r="Z578" s="2" t="s">
        <v>47</v>
      </c>
      <c r="AA578" s="8">
        <v>0</v>
      </c>
      <c r="AB578" s="8">
        <v>1.8518518518518517E-2</v>
      </c>
      <c r="AC578" s="8">
        <v>0.98148148148148151</v>
      </c>
    </row>
    <row r="579" spans="1:29" x14ac:dyDescent="0.45">
      <c r="A579" s="2" t="s">
        <v>48</v>
      </c>
      <c r="B579" s="8">
        <f t="shared" si="19"/>
        <v>0</v>
      </c>
      <c r="C579" s="8">
        <f t="shared" si="19"/>
        <v>4.3232716650438173E-2</v>
      </c>
      <c r="D579" s="8">
        <f t="shared" si="19"/>
        <v>0.95676728334956196</v>
      </c>
      <c r="E579" s="12"/>
      <c r="F579" s="2" t="s">
        <v>48</v>
      </c>
      <c r="G579" s="8">
        <v>0</v>
      </c>
      <c r="H579" s="8">
        <v>3.7974683544303799E-2</v>
      </c>
      <c r="I579" s="8">
        <v>0.96202531645569622</v>
      </c>
      <c r="K579" s="2" t="s">
        <v>48</v>
      </c>
      <c r="L579" s="8">
        <v>0</v>
      </c>
      <c r="M579" s="8">
        <v>3.7974683544303799E-2</v>
      </c>
      <c r="N579" s="8">
        <v>0.96202531645569622</v>
      </c>
      <c r="P579" s="2" t="s">
        <v>48</v>
      </c>
      <c r="Q579" s="8">
        <v>0</v>
      </c>
      <c r="R579" s="8">
        <v>5.0632911392405063E-2</v>
      </c>
      <c r="S579" s="8">
        <v>0.94936708860759489</v>
      </c>
      <c r="U579" s="2" t="s">
        <v>48</v>
      </c>
      <c r="V579" s="8">
        <v>0</v>
      </c>
      <c r="W579" s="8">
        <v>7.6923076923076927E-2</v>
      </c>
      <c r="X579" s="8">
        <v>0.92307692307692313</v>
      </c>
      <c r="Z579" s="2" t="s">
        <v>48</v>
      </c>
      <c r="AA579" s="8">
        <v>0</v>
      </c>
      <c r="AB579" s="8">
        <v>1.2658227848101266E-2</v>
      </c>
      <c r="AC579" s="8">
        <v>0.98734177215189878</v>
      </c>
    </row>
    <row r="580" spans="1:29" x14ac:dyDescent="0.45">
      <c r="A580" s="2" t="s">
        <v>49</v>
      </c>
      <c r="B580" s="8">
        <f t="shared" si="19"/>
        <v>0</v>
      </c>
      <c r="C580" s="8">
        <f t="shared" si="19"/>
        <v>3.5010409437890355E-2</v>
      </c>
      <c r="D580" s="8">
        <f t="shared" si="19"/>
        <v>0.96498959056210976</v>
      </c>
      <c r="E580" s="12"/>
      <c r="F580" s="2" t="s">
        <v>49</v>
      </c>
      <c r="G580" s="8">
        <v>0</v>
      </c>
      <c r="H580" s="8">
        <v>3.8167938931297711E-2</v>
      </c>
      <c r="I580" s="8">
        <v>0.96183206106870234</v>
      </c>
      <c r="K580" s="2" t="s">
        <v>49</v>
      </c>
      <c r="L580" s="8">
        <v>0</v>
      </c>
      <c r="M580" s="8">
        <v>5.3030303030303032E-2</v>
      </c>
      <c r="N580" s="8">
        <v>0.94696969696969702</v>
      </c>
      <c r="P580" s="2" t="s">
        <v>49</v>
      </c>
      <c r="Q580" s="8">
        <v>0</v>
      </c>
      <c r="R580" s="8">
        <v>1.5151515151515152E-2</v>
      </c>
      <c r="S580" s="8">
        <v>0.98484848484848486</v>
      </c>
      <c r="U580" s="2" t="s">
        <v>49</v>
      </c>
      <c r="V580" s="8">
        <v>0</v>
      </c>
      <c r="W580" s="8">
        <v>3.8167938931297711E-2</v>
      </c>
      <c r="X580" s="8">
        <v>0.96183206106870234</v>
      </c>
      <c r="Z580" s="2" t="s">
        <v>49</v>
      </c>
      <c r="AA580" s="8">
        <v>0</v>
      </c>
      <c r="AB580" s="8">
        <v>3.0534351145038167E-2</v>
      </c>
      <c r="AC580" s="8">
        <v>0.96946564885496178</v>
      </c>
    </row>
    <row r="581" spans="1:29" x14ac:dyDescent="0.45">
      <c r="A581" s="2" t="s">
        <v>50</v>
      </c>
      <c r="B581" s="8">
        <f t="shared" si="19"/>
        <v>2.5316455696202532E-3</v>
      </c>
      <c r="C581" s="8">
        <f t="shared" si="19"/>
        <v>4.5666991236611484E-2</v>
      </c>
      <c r="D581" s="8">
        <f t="shared" si="19"/>
        <v>0.9518013631937684</v>
      </c>
      <c r="E581" s="12"/>
      <c r="F581" s="2" t="s">
        <v>50</v>
      </c>
      <c r="G581" s="8">
        <v>0</v>
      </c>
      <c r="H581" s="8">
        <v>5.0632911392405063E-2</v>
      </c>
      <c r="I581" s="8">
        <v>0.94936708860759489</v>
      </c>
      <c r="K581" s="2" t="s">
        <v>50</v>
      </c>
      <c r="L581" s="8">
        <v>1.2658227848101266E-2</v>
      </c>
      <c r="M581" s="8">
        <v>1.2658227848101266E-2</v>
      </c>
      <c r="N581" s="8">
        <v>0.97468354430379744</v>
      </c>
      <c r="P581" s="2" t="s">
        <v>50</v>
      </c>
      <c r="Q581" s="8">
        <v>0</v>
      </c>
      <c r="R581" s="8">
        <v>5.0632911392405063E-2</v>
      </c>
      <c r="S581" s="8">
        <v>0.94936708860759489</v>
      </c>
      <c r="U581" s="2" t="s">
        <v>50</v>
      </c>
      <c r="V581" s="8">
        <v>0</v>
      </c>
      <c r="W581" s="8">
        <v>3.8461538461538464E-2</v>
      </c>
      <c r="X581" s="8">
        <v>0.96153846153846156</v>
      </c>
      <c r="Z581" s="2" t="s">
        <v>50</v>
      </c>
      <c r="AA581" s="8">
        <v>0</v>
      </c>
      <c r="AB581" s="8">
        <v>7.5949367088607597E-2</v>
      </c>
      <c r="AC581" s="8">
        <v>0.92405063291139244</v>
      </c>
    </row>
    <row r="582" spans="1:29" x14ac:dyDescent="0.45">
      <c r="A582" s="2" t="s">
        <v>51</v>
      </c>
      <c r="B582" s="8">
        <f t="shared" si="19"/>
        <v>0</v>
      </c>
      <c r="C582" s="8">
        <f t="shared" si="19"/>
        <v>3.2258064516129031E-2</v>
      </c>
      <c r="D582" s="8">
        <f t="shared" si="19"/>
        <v>0.967741935483871</v>
      </c>
      <c r="E582" s="12"/>
      <c r="F582" s="2" t="s">
        <v>51</v>
      </c>
      <c r="G582" s="8">
        <v>0</v>
      </c>
      <c r="H582" s="8">
        <v>0</v>
      </c>
      <c r="I582" s="8">
        <v>1</v>
      </c>
      <c r="K582" s="2" t="s">
        <v>51</v>
      </c>
      <c r="L582" s="8">
        <v>0</v>
      </c>
      <c r="M582" s="8">
        <v>3.2258064516129031E-2</v>
      </c>
      <c r="N582" s="8">
        <v>0.967741935483871</v>
      </c>
      <c r="P582" s="2" t="s">
        <v>51</v>
      </c>
      <c r="Q582" s="8">
        <v>0</v>
      </c>
      <c r="R582" s="8">
        <v>3.2258064516129031E-2</v>
      </c>
      <c r="S582" s="8">
        <v>0.967741935483871</v>
      </c>
      <c r="U582" s="2" t="s">
        <v>51</v>
      </c>
      <c r="V582" s="8">
        <v>0</v>
      </c>
      <c r="W582" s="8">
        <v>9.6774193548387094E-2</v>
      </c>
      <c r="X582" s="8">
        <v>0.90322580645161288</v>
      </c>
      <c r="Z582" s="2" t="s">
        <v>51</v>
      </c>
      <c r="AA582" s="8">
        <v>0</v>
      </c>
      <c r="AB582" s="8">
        <v>0</v>
      </c>
      <c r="AC582" s="8">
        <v>1</v>
      </c>
    </row>
    <row r="583" spans="1:29" x14ac:dyDescent="0.45">
      <c r="A583" s="2" t="s">
        <v>52</v>
      </c>
      <c r="B583" s="8">
        <f t="shared" si="19"/>
        <v>0</v>
      </c>
      <c r="C583" s="8">
        <f t="shared" si="19"/>
        <v>8.8888888888888878E-2</v>
      </c>
      <c r="D583" s="8">
        <f t="shared" si="19"/>
        <v>0.91111111111111109</v>
      </c>
      <c r="E583" s="12"/>
      <c r="F583" s="2" t="s">
        <v>52</v>
      </c>
      <c r="G583" s="8">
        <v>0</v>
      </c>
      <c r="H583" s="8">
        <v>3.7037037037037035E-2</v>
      </c>
      <c r="I583" s="8">
        <v>0.96296296296296291</v>
      </c>
      <c r="K583" s="2" t="s">
        <v>52</v>
      </c>
      <c r="L583" s="8">
        <v>0</v>
      </c>
      <c r="M583" s="8">
        <v>0.22222222222222221</v>
      </c>
      <c r="N583" s="8">
        <v>0.77777777777777779</v>
      </c>
      <c r="P583" s="2" t="s">
        <v>52</v>
      </c>
      <c r="Q583" s="8">
        <v>0</v>
      </c>
      <c r="R583" s="8">
        <v>0</v>
      </c>
      <c r="S583" s="8">
        <v>1</v>
      </c>
      <c r="U583" s="2" t="s">
        <v>52</v>
      </c>
      <c r="V583" s="8">
        <v>0</v>
      </c>
      <c r="W583" s="8">
        <v>7.407407407407407E-2</v>
      </c>
      <c r="X583" s="8">
        <v>0.92592592592592593</v>
      </c>
      <c r="Z583" s="2" t="s">
        <v>52</v>
      </c>
      <c r="AA583" s="8">
        <v>0</v>
      </c>
      <c r="AB583" s="8">
        <v>0.1111111111111111</v>
      </c>
      <c r="AC583" s="8">
        <v>0.88888888888888884</v>
      </c>
    </row>
  </sheetData>
  <mergeCells count="6">
    <mergeCell ref="A504:D504"/>
    <mergeCell ref="A89:J89"/>
    <mergeCell ref="A172:J172"/>
    <mergeCell ref="A254:J254"/>
    <mergeCell ref="A336:J336"/>
    <mergeCell ref="A418:J4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2FC7-3445-4937-9135-C57447C84D21}">
  <dimension ref="A1:AC584"/>
  <sheetViews>
    <sheetView topLeftCell="J557" workbookViewId="0">
      <selection activeCell="A505" sqref="A505:AC584"/>
    </sheetView>
  </sheetViews>
  <sheetFormatPr defaultRowHeight="14.25" x14ac:dyDescent="0.45"/>
  <sheetData>
    <row r="1" spans="1:12" x14ac:dyDescent="0.45">
      <c r="A1" s="4" t="s">
        <v>27</v>
      </c>
    </row>
    <row r="2" spans="1:12" x14ac:dyDescent="0.45">
      <c r="A2" s="1" t="s">
        <v>0</v>
      </c>
      <c r="B2" s="1" t="s">
        <v>1</v>
      </c>
      <c r="C2" s="1" t="s">
        <v>2</v>
      </c>
      <c r="D2" s="1" t="s">
        <v>18</v>
      </c>
      <c r="E2" s="1" t="s">
        <v>20</v>
      </c>
      <c r="F2" s="1" t="s">
        <v>19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x14ac:dyDescent="0.45">
      <c r="A3" s="2" t="s">
        <v>9</v>
      </c>
      <c r="B3" s="6">
        <f t="shared" ref="B3:L3" si="0">(B18+B32+B46+B60+B74)/5</f>
        <v>1.8471464019851116</v>
      </c>
      <c r="C3" s="5">
        <f t="shared" si="0"/>
        <v>0.43473945409429282</v>
      </c>
      <c r="D3" s="6">
        <f t="shared" si="0"/>
        <v>9.7132092111481823E-4</v>
      </c>
      <c r="E3" s="5">
        <f t="shared" si="0"/>
        <v>0.23970223325062037</v>
      </c>
      <c r="F3" s="6">
        <f t="shared" si="0"/>
        <v>1.4143920595533499</v>
      </c>
      <c r="G3" s="5">
        <f t="shared" si="0"/>
        <v>0.13647642679900746</v>
      </c>
      <c r="H3" s="5">
        <f t="shared" si="0"/>
        <v>0.44665012406947896</v>
      </c>
      <c r="I3" s="5">
        <f t="shared" si="0"/>
        <v>0.4168734491315137</v>
      </c>
      <c r="J3" s="5">
        <f t="shared" si="0"/>
        <v>1.1910669975186104E-2</v>
      </c>
      <c r="K3" s="5">
        <f t="shared" si="0"/>
        <v>0.68635235732009936</v>
      </c>
      <c r="L3" s="5">
        <f t="shared" si="0"/>
        <v>0.30173697270471467</v>
      </c>
    </row>
    <row r="4" spans="1:12" x14ac:dyDescent="0.45">
      <c r="A4" s="2" t="s">
        <v>10</v>
      </c>
      <c r="B4" s="6">
        <f t="shared" ref="B4:L4" si="1">(B19+B33+B47+B61+B75)/5</f>
        <v>1.8377171215880892</v>
      </c>
      <c r="C4" s="5">
        <f t="shared" si="1"/>
        <v>0.45856079404466499</v>
      </c>
      <c r="D4" s="6">
        <f t="shared" si="1"/>
        <v>3.3905286921252623E-2</v>
      </c>
      <c r="E4" s="5">
        <f t="shared" si="1"/>
        <v>0.14392059553349876</v>
      </c>
      <c r="F4" s="6">
        <f t="shared" si="1"/>
        <v>1.6401985111662534</v>
      </c>
      <c r="G4" s="5">
        <f t="shared" si="1"/>
        <v>0.11166253101736974</v>
      </c>
      <c r="H4" s="5">
        <f t="shared" si="1"/>
        <v>0.41191066997518611</v>
      </c>
      <c r="I4" s="5">
        <f t="shared" si="1"/>
        <v>0.47642679900744411</v>
      </c>
      <c r="J4" s="5">
        <f t="shared" si="1"/>
        <v>1.9851116625310174E-3</v>
      </c>
      <c r="K4" s="5">
        <f t="shared" si="1"/>
        <v>0.55037220843672463</v>
      </c>
      <c r="L4" s="5">
        <f t="shared" si="1"/>
        <v>0.44764267990074441</v>
      </c>
    </row>
    <row r="5" spans="1:12" x14ac:dyDescent="0.45">
      <c r="A5" s="2" t="s">
        <v>11</v>
      </c>
      <c r="B5" s="6">
        <f t="shared" ref="B5:L5" si="2">(B20+B34+B48+B62+B76)/5</f>
        <v>2.4456575682382131</v>
      </c>
      <c r="C5" s="5">
        <f t="shared" si="2"/>
        <v>0.3900744416873449</v>
      </c>
      <c r="D5" s="6">
        <f t="shared" si="2"/>
        <v>9.1640253241703964E-3</v>
      </c>
      <c r="E5" s="5">
        <f t="shared" si="2"/>
        <v>0.25756823821339947</v>
      </c>
      <c r="F5" s="6">
        <f t="shared" si="2"/>
        <v>1.9255583126550868</v>
      </c>
      <c r="G5" s="5">
        <f t="shared" si="2"/>
        <v>0.20595533498759305</v>
      </c>
      <c r="H5" s="5">
        <f t="shared" si="2"/>
        <v>0.43920595533498757</v>
      </c>
      <c r="I5" s="5">
        <f t="shared" si="2"/>
        <v>0.35483870967741937</v>
      </c>
      <c r="J5" s="5">
        <f t="shared" si="2"/>
        <v>1.0918114143920596E-2</v>
      </c>
      <c r="K5" s="5">
        <f t="shared" si="2"/>
        <v>0.3796526054590571</v>
      </c>
      <c r="L5" s="5">
        <f t="shared" si="2"/>
        <v>0.60942928039702227</v>
      </c>
    </row>
    <row r="6" spans="1:12" x14ac:dyDescent="0.45">
      <c r="A6" s="2" t="s">
        <v>12</v>
      </c>
      <c r="B6" s="6">
        <f t="shared" ref="B6:L6" si="3">(B21+B35+B49+B63+B77)/5</f>
        <v>1.6908188585607937</v>
      </c>
      <c r="C6" s="5">
        <f t="shared" si="3"/>
        <v>0.46423465797563052</v>
      </c>
      <c r="D6" s="6">
        <f t="shared" si="3"/>
        <v>-2.1171244749280487E-2</v>
      </c>
      <c r="E6" s="5">
        <f t="shared" si="3"/>
        <v>0.18943002111032919</v>
      </c>
      <c r="F6" s="6">
        <f t="shared" si="3"/>
        <v>0.75682382133995041</v>
      </c>
      <c r="G6" s="5">
        <f t="shared" si="3"/>
        <v>5.2109181141439212E-2</v>
      </c>
      <c r="H6" s="5">
        <f t="shared" si="3"/>
        <v>0.45905707196029777</v>
      </c>
      <c r="I6" s="5">
        <f t="shared" si="3"/>
        <v>0.48883374689826303</v>
      </c>
      <c r="J6" s="5">
        <f t="shared" si="3"/>
        <v>1.1418095626087922E-2</v>
      </c>
      <c r="K6" s="5">
        <f t="shared" si="3"/>
        <v>0.31031813636531985</v>
      </c>
      <c r="L6" s="5">
        <f t="shared" si="3"/>
        <v>0.67826376800859223</v>
      </c>
    </row>
    <row r="7" spans="1:12" x14ac:dyDescent="0.45">
      <c r="A7" s="2" t="s">
        <v>13</v>
      </c>
      <c r="B7" s="6">
        <f t="shared" ref="B7:L7" si="4">(B22+B36+B50+B64+B78)/5</f>
        <v>2.0099255583126547</v>
      </c>
      <c r="C7" s="5">
        <f t="shared" si="4"/>
        <v>0.45035739417058629</v>
      </c>
      <c r="D7" s="6">
        <f t="shared" si="4"/>
        <v>-1.875220175319665E-2</v>
      </c>
      <c r="E7" s="5">
        <f t="shared" si="4"/>
        <v>0.12108810784785748</v>
      </c>
      <c r="F7" s="6">
        <f t="shared" si="4"/>
        <v>0.88089330024813894</v>
      </c>
      <c r="G7" s="5">
        <f t="shared" si="4"/>
        <v>0.14143920595533499</v>
      </c>
      <c r="H7" s="5">
        <f t="shared" si="4"/>
        <v>0.54094292803970223</v>
      </c>
      <c r="I7" s="5">
        <f t="shared" si="4"/>
        <v>0.31761786600496278</v>
      </c>
      <c r="J7" s="5">
        <f t="shared" si="4"/>
        <v>2.3825043516906778E-2</v>
      </c>
      <c r="K7" s="5">
        <f t="shared" si="4"/>
        <v>0.65790032467933279</v>
      </c>
      <c r="L7" s="5">
        <f t="shared" si="4"/>
        <v>0.31827463180376031</v>
      </c>
    </row>
    <row r="8" spans="1:12" x14ac:dyDescent="0.45">
      <c r="A8" s="2" t="s">
        <v>14</v>
      </c>
      <c r="B8" s="6">
        <f t="shared" ref="B8:L8" si="5">(B23+B37+B51+B65+B79)/5</f>
        <v>2.0818858560794045</v>
      </c>
      <c r="C8" s="5">
        <f t="shared" si="5"/>
        <v>0.42800637013443954</v>
      </c>
      <c r="D8" s="6">
        <f t="shared" si="5"/>
        <v>1.6688063029550386E-2</v>
      </c>
      <c r="E8" s="5">
        <f t="shared" si="5"/>
        <v>0.22563732207449108</v>
      </c>
      <c r="F8" s="6">
        <f t="shared" si="5"/>
        <v>1.1017369727047146</v>
      </c>
      <c r="G8" s="5">
        <f t="shared" si="5"/>
        <v>0.17369727047146402</v>
      </c>
      <c r="H8" s="5">
        <f t="shared" si="5"/>
        <v>0.44168734491315143</v>
      </c>
      <c r="I8" s="5">
        <f t="shared" si="5"/>
        <v>0.38461538461538464</v>
      </c>
      <c r="J8" s="5">
        <f t="shared" si="5"/>
        <v>1.7374665135859165E-2</v>
      </c>
      <c r="K8" s="5">
        <f t="shared" si="5"/>
        <v>0.66732466698764248</v>
      </c>
      <c r="L8" s="5">
        <f t="shared" si="5"/>
        <v>0.31530066787649841</v>
      </c>
    </row>
    <row r="9" spans="1:12" x14ac:dyDescent="0.45">
      <c r="A9" s="2" t="s">
        <v>15</v>
      </c>
      <c r="B9" s="6">
        <f t="shared" ref="B9:L9" si="6">(B24+B38+B52+B66+B80)/5</f>
        <v>2.1756823821339952</v>
      </c>
      <c r="C9" s="5">
        <f t="shared" si="6"/>
        <v>0.47020973608224786</v>
      </c>
      <c r="D9" s="6">
        <f t="shared" si="6"/>
        <v>-2.8228238787250098E-2</v>
      </c>
      <c r="E9" s="5">
        <f t="shared" si="6"/>
        <v>0.25974420823612243</v>
      </c>
      <c r="F9" s="6">
        <f t="shared" si="6"/>
        <v>1.2382133995037221</v>
      </c>
      <c r="G9" s="5">
        <f t="shared" si="6"/>
        <v>0.17866004962779156</v>
      </c>
      <c r="H9" s="5">
        <f t="shared" si="6"/>
        <v>0.53846153846153844</v>
      </c>
      <c r="I9" s="5">
        <f t="shared" si="6"/>
        <v>0.28287841191066998</v>
      </c>
      <c r="J9" s="5">
        <f t="shared" si="6"/>
        <v>4.3736762558869553E-2</v>
      </c>
      <c r="K9" s="5">
        <f t="shared" si="6"/>
        <v>0.79820574669766087</v>
      </c>
      <c r="L9" s="5">
        <f t="shared" si="6"/>
        <v>0.15805749074346959</v>
      </c>
    </row>
    <row r="10" spans="1:12" x14ac:dyDescent="0.45">
      <c r="A10" s="2" t="s">
        <v>16</v>
      </c>
      <c r="B10" s="6">
        <f t="shared" ref="B10:L10" si="7">(B25+B39+B53+B67+B81)/5</f>
        <v>1.8764267990074441</v>
      </c>
      <c r="C10" s="5">
        <f t="shared" si="7"/>
        <v>0.54322689566344995</v>
      </c>
      <c r="D10" s="6">
        <f t="shared" si="7"/>
        <v>3.0646532279649492E-2</v>
      </c>
      <c r="E10" s="5">
        <f t="shared" si="7"/>
        <v>0.27372530736292738</v>
      </c>
      <c r="F10" s="6">
        <f t="shared" si="7"/>
        <v>0.794044665012407</v>
      </c>
      <c r="G10" s="5">
        <f t="shared" si="7"/>
        <v>0.11414392059553349</v>
      </c>
      <c r="H10" s="5">
        <f t="shared" si="7"/>
        <v>0.5831265508684863</v>
      </c>
      <c r="I10" s="5">
        <f t="shared" si="7"/>
        <v>0.30272952853598017</v>
      </c>
      <c r="J10" s="5">
        <f t="shared" si="7"/>
        <v>6.0641111688145045E-2</v>
      </c>
      <c r="K10" s="5">
        <f t="shared" si="7"/>
        <v>0.85685185823141374</v>
      </c>
      <c r="L10" s="5">
        <f t="shared" si="7"/>
        <v>8.2507030080441274E-2</v>
      </c>
    </row>
    <row r="11" spans="1:12" x14ac:dyDescent="0.45">
      <c r="A11" s="2" t="s">
        <v>17</v>
      </c>
      <c r="B11" s="6">
        <f t="shared" ref="B11:L11" si="8">(B26+B40+B54+B68+B82)/5</f>
        <v>1.898759305210918</v>
      </c>
      <c r="C11" s="5">
        <f t="shared" si="8"/>
        <v>0.45786017832387566</v>
      </c>
      <c r="D11" s="6">
        <f t="shared" si="8"/>
        <v>1.7808798718464095E-3</v>
      </c>
      <c r="E11" s="5">
        <f t="shared" si="8"/>
        <v>0.15515480690841113</v>
      </c>
      <c r="F11" s="6">
        <f t="shared" si="8"/>
        <v>0.66253101736972708</v>
      </c>
      <c r="G11" s="5">
        <f t="shared" si="8"/>
        <v>8.6848635235732011E-2</v>
      </c>
      <c r="H11" s="5">
        <f t="shared" si="8"/>
        <v>0.4813895781637717</v>
      </c>
      <c r="I11" s="5">
        <f t="shared" si="8"/>
        <v>0.4317617866004963</v>
      </c>
      <c r="J11" s="5">
        <f t="shared" si="8"/>
        <v>1.8966446198870831E-2</v>
      </c>
      <c r="K11" s="5">
        <f t="shared" si="8"/>
        <v>0.63654438507218281</v>
      </c>
      <c r="L11" s="5">
        <f t="shared" si="8"/>
        <v>0.3444891687289463</v>
      </c>
    </row>
    <row r="12" spans="1:12" x14ac:dyDescent="0.45">
      <c r="A12" s="2" t="s">
        <v>34</v>
      </c>
      <c r="B12" s="6">
        <f>(B27+B41+B55+B69+B83)/5</f>
        <v>0.68159636062861861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45">
      <c r="A13" s="2" t="s">
        <v>35</v>
      </c>
      <c r="B13" s="6">
        <f>(B28+B42+B56+B70+B84)/5</f>
        <v>0.66594982078852738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6" spans="1:12" x14ac:dyDescent="0.45">
      <c r="A16" s="4" t="s">
        <v>28</v>
      </c>
    </row>
    <row r="17" spans="1:12" x14ac:dyDescent="0.45">
      <c r="A17" s="3" t="s">
        <v>0</v>
      </c>
      <c r="B17" s="3" t="s">
        <v>1</v>
      </c>
      <c r="C17" s="3" t="s">
        <v>2</v>
      </c>
      <c r="D17" s="3" t="s">
        <v>18</v>
      </c>
      <c r="E17" s="3" t="s">
        <v>20</v>
      </c>
      <c r="F17" s="3" t="s">
        <v>19</v>
      </c>
      <c r="G17" s="3" t="s">
        <v>3</v>
      </c>
      <c r="H17" s="3" t="s">
        <v>4</v>
      </c>
      <c r="I17" s="3" t="s">
        <v>5</v>
      </c>
      <c r="J17" s="3" t="s">
        <v>6</v>
      </c>
      <c r="K17" s="3" t="s">
        <v>7</v>
      </c>
      <c r="L17" s="3" t="s">
        <v>8</v>
      </c>
    </row>
    <row r="18" spans="1:12" x14ac:dyDescent="0.45">
      <c r="A18" s="2" t="s">
        <v>9</v>
      </c>
      <c r="B18" s="6">
        <v>1.8039702233250621</v>
      </c>
      <c r="C18" s="5">
        <v>0.4813895781637717</v>
      </c>
      <c r="D18" s="7">
        <v>9.3010707753310592E-2</v>
      </c>
      <c r="E18" s="5">
        <v>0.22332506203473948</v>
      </c>
      <c r="F18" s="6">
        <v>1.4143920595533499</v>
      </c>
      <c r="G18" s="5">
        <v>0.13647642679900746</v>
      </c>
      <c r="H18" s="5">
        <v>0.4466501240694789</v>
      </c>
      <c r="I18" s="5">
        <v>0.41687344913151364</v>
      </c>
      <c r="J18" s="5">
        <v>1.488833746898263E-2</v>
      </c>
      <c r="K18" s="5">
        <v>0.66997518610421836</v>
      </c>
      <c r="L18" s="5">
        <v>0.31513647642679898</v>
      </c>
    </row>
    <row r="19" spans="1:12" x14ac:dyDescent="0.45">
      <c r="A19" s="2" t="s">
        <v>10</v>
      </c>
      <c r="B19" s="6">
        <v>1.7890818858560793</v>
      </c>
      <c r="C19" s="5">
        <v>0.4838709677419355</v>
      </c>
      <c r="D19" s="7">
        <v>8.4198309291790174E-2</v>
      </c>
      <c r="E19" s="5">
        <v>0.15136476426799006</v>
      </c>
      <c r="F19" s="6">
        <v>1.6401985111662531</v>
      </c>
      <c r="G19" s="5">
        <v>0.11166253101736973</v>
      </c>
      <c r="H19" s="5">
        <v>0.41191066997518611</v>
      </c>
      <c r="I19" s="5">
        <v>0.47642679900744417</v>
      </c>
      <c r="J19" s="5">
        <v>4.9627791563275434E-3</v>
      </c>
      <c r="K19" s="5">
        <v>0.56327543424317617</v>
      </c>
      <c r="L19" s="5">
        <v>0.4317617866004963</v>
      </c>
    </row>
    <row r="20" spans="1:12" x14ac:dyDescent="0.45">
      <c r="A20" s="2" t="s">
        <v>11</v>
      </c>
      <c r="B20" s="6">
        <v>2.3995037220843671</v>
      </c>
      <c r="C20" s="5">
        <v>0.40694789081885857</v>
      </c>
      <c r="D20" s="7">
        <v>4.0300135805705385E-2</v>
      </c>
      <c r="E20" s="5">
        <v>0.27543424317617859</v>
      </c>
      <c r="F20" s="6">
        <v>1.9255583126550868</v>
      </c>
      <c r="G20" s="5">
        <v>0.20595533498759305</v>
      </c>
      <c r="H20" s="5">
        <v>0.43920595533498757</v>
      </c>
      <c r="I20" s="5">
        <v>0.35483870967741937</v>
      </c>
      <c r="J20" s="5">
        <v>4.9627791563275434E-3</v>
      </c>
      <c r="K20" s="5">
        <v>0.36476426799007444</v>
      </c>
      <c r="L20" s="5">
        <v>0.63027295285359797</v>
      </c>
    </row>
    <row r="21" spans="1:12" x14ac:dyDescent="0.45">
      <c r="A21" s="2" t="s">
        <v>12</v>
      </c>
      <c r="B21" s="6">
        <v>1.7270471464019852</v>
      </c>
      <c r="C21" s="5">
        <v>0.45905707196029777</v>
      </c>
      <c r="D21" s="7">
        <v>-2.8759161974201523E-2</v>
      </c>
      <c r="E21" s="5">
        <v>0.19106699751861039</v>
      </c>
      <c r="F21" s="6">
        <v>0.75682382133995041</v>
      </c>
      <c r="G21" s="5">
        <v>5.2109181141439205E-2</v>
      </c>
      <c r="H21" s="5">
        <v>0.45905707196029777</v>
      </c>
      <c r="I21" s="5">
        <v>0.48883374689826303</v>
      </c>
      <c r="J21" s="5">
        <v>1.488833746898263E-2</v>
      </c>
      <c r="K21" s="5">
        <v>0.30521091811414391</v>
      </c>
      <c r="L21" s="5">
        <v>0.67990074441687343</v>
      </c>
    </row>
    <row r="22" spans="1:12" x14ac:dyDescent="0.45">
      <c r="A22" s="2" t="s">
        <v>13</v>
      </c>
      <c r="B22" s="6">
        <v>1.9379652605459057</v>
      </c>
      <c r="C22" s="5">
        <v>0.4665012406947891</v>
      </c>
      <c r="D22" s="7">
        <v>1.1589133719919483E-2</v>
      </c>
      <c r="E22" s="5">
        <v>0.12406947890818855</v>
      </c>
      <c r="F22" s="6">
        <v>0.88089330024813894</v>
      </c>
      <c r="G22" s="5">
        <v>0.14143920595533499</v>
      </c>
      <c r="H22" s="5">
        <v>0.54094292803970223</v>
      </c>
      <c r="I22" s="5">
        <v>0.31761786600496278</v>
      </c>
      <c r="J22" s="5">
        <v>3.2258064516129031E-2</v>
      </c>
      <c r="K22" s="5">
        <v>0.66501240694789077</v>
      </c>
      <c r="L22" s="5">
        <v>0.30272952853598017</v>
      </c>
    </row>
    <row r="23" spans="1:12" x14ac:dyDescent="0.45">
      <c r="A23" s="2" t="s">
        <v>14</v>
      </c>
      <c r="B23" s="6">
        <v>2.1116625310173696</v>
      </c>
      <c r="C23" s="5">
        <v>0.42431761786600497</v>
      </c>
      <c r="D23" s="7">
        <v>1.1552039036466398E-2</v>
      </c>
      <c r="E23" s="5">
        <v>0.22828784119106701</v>
      </c>
      <c r="F23" s="6">
        <v>1.1017369727047146</v>
      </c>
      <c r="G23" s="5">
        <v>0.17369727047146402</v>
      </c>
      <c r="H23" s="5">
        <v>0.44168734491315137</v>
      </c>
      <c r="I23" s="5">
        <v>0.38461538461538464</v>
      </c>
      <c r="J23" s="5">
        <v>2.2332506203473945E-2</v>
      </c>
      <c r="K23" s="5">
        <v>0.66997518610421836</v>
      </c>
      <c r="L23" s="5">
        <v>0.30769230769230771</v>
      </c>
    </row>
    <row r="24" spans="1:12" x14ac:dyDescent="0.45">
      <c r="A24" s="2" t="s">
        <v>15</v>
      </c>
      <c r="B24" s="6">
        <v>2.1339950372208438</v>
      </c>
      <c r="C24" s="5">
        <v>0.4665012406947891</v>
      </c>
      <c r="D24" s="7">
        <v>-2.1378733858990639E-2</v>
      </c>
      <c r="E24" s="5">
        <v>0.23821339950372211</v>
      </c>
      <c r="F24" s="6">
        <v>1.2382133995037221</v>
      </c>
      <c r="G24" s="5">
        <v>0.17866004962779156</v>
      </c>
      <c r="H24" s="5">
        <v>0.53846153846153844</v>
      </c>
      <c r="I24" s="5">
        <v>0.28287841191066998</v>
      </c>
      <c r="J24" s="5">
        <v>4.7146401985111663E-2</v>
      </c>
      <c r="K24" s="5">
        <v>0.77667493796526055</v>
      </c>
      <c r="L24" s="5">
        <v>0.17617866004962779</v>
      </c>
    </row>
    <row r="25" spans="1:12" x14ac:dyDescent="0.45">
      <c r="A25" s="2" t="s">
        <v>16</v>
      </c>
      <c r="B25" s="6">
        <v>1.8858560794044665</v>
      </c>
      <c r="C25" s="5">
        <v>0.55583126550868489</v>
      </c>
      <c r="D25" s="7">
        <v>6.9287350830782787E-2</v>
      </c>
      <c r="E25" s="5">
        <v>0.27295285359801491</v>
      </c>
      <c r="F25" s="6">
        <v>0.794044665012407</v>
      </c>
      <c r="G25" s="5">
        <v>0.11414392059553349</v>
      </c>
      <c r="H25" s="5">
        <v>0.5831265508684863</v>
      </c>
      <c r="I25" s="5">
        <v>0.30272952853598017</v>
      </c>
      <c r="J25" s="5">
        <v>6.9478908188585611E-2</v>
      </c>
      <c r="K25" s="5">
        <v>0.85607940446650121</v>
      </c>
      <c r="L25" s="5">
        <v>7.4441687344913146E-2</v>
      </c>
    </row>
    <row r="26" spans="1:12" x14ac:dyDescent="0.45">
      <c r="A26" s="2" t="s">
        <v>17</v>
      </c>
      <c r="B26" s="6">
        <v>1.8808933002481389</v>
      </c>
      <c r="C26" s="5">
        <v>0.44389027431421446</v>
      </c>
      <c r="D26" s="7">
        <v>-2.6324752504977733E-2</v>
      </c>
      <c r="E26" s="5">
        <v>0.13706428717288666</v>
      </c>
      <c r="F26" s="6">
        <v>0.66253101736972708</v>
      </c>
      <c r="G26" s="5">
        <v>8.6848635235732011E-2</v>
      </c>
      <c r="H26" s="5">
        <v>0.4813895781637717</v>
      </c>
      <c r="I26" s="5">
        <v>0.4317617866004963</v>
      </c>
      <c r="J26" s="5">
        <v>1.7456359102244388E-2</v>
      </c>
      <c r="K26" s="5">
        <v>0.61845386533665836</v>
      </c>
      <c r="L26" s="5">
        <v>0.36408977556109728</v>
      </c>
    </row>
    <row r="27" spans="1:12" x14ac:dyDescent="0.45">
      <c r="A27" s="2" t="s">
        <v>34</v>
      </c>
      <c r="B27" s="2">
        <v>0.68254296480102938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45">
      <c r="A28" s="2" t="s">
        <v>35</v>
      </c>
      <c r="B28" s="2">
        <v>0.67190515577612053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customHeight="1" x14ac:dyDescent="0.45"/>
    <row r="30" spans="1:12" x14ac:dyDescent="0.45">
      <c r="A30" s="4" t="s">
        <v>29</v>
      </c>
    </row>
    <row r="31" spans="1:12" x14ac:dyDescent="0.45">
      <c r="A31" s="3" t="s">
        <v>0</v>
      </c>
      <c r="B31" s="3" t="s">
        <v>1</v>
      </c>
      <c r="C31" s="3" t="s">
        <v>2</v>
      </c>
      <c r="D31" s="3" t="s">
        <v>18</v>
      </c>
      <c r="E31" s="3" t="s">
        <v>20</v>
      </c>
      <c r="F31" s="3" t="s">
        <v>19</v>
      </c>
      <c r="G31" s="3" t="s">
        <v>3</v>
      </c>
      <c r="H31" s="3" t="s">
        <v>4</v>
      </c>
      <c r="I31" s="3" t="s">
        <v>5</v>
      </c>
      <c r="J31" s="3" t="s">
        <v>6</v>
      </c>
      <c r="K31" s="3" t="s">
        <v>7</v>
      </c>
      <c r="L31" s="3" t="s">
        <v>8</v>
      </c>
    </row>
    <row r="32" spans="1:12" x14ac:dyDescent="0.45">
      <c r="A32" s="2" t="s">
        <v>9</v>
      </c>
      <c r="B32" s="6">
        <v>1.8610421836228288</v>
      </c>
      <c r="C32" s="5">
        <v>0.43424317617866004</v>
      </c>
      <c r="D32" s="7">
        <v>-1.3104162589620111E-3</v>
      </c>
      <c r="E32" s="5">
        <v>0.27543424317617871</v>
      </c>
      <c r="F32" s="6">
        <v>1.4143920595533499</v>
      </c>
      <c r="G32" s="5">
        <v>0.13647642679900746</v>
      </c>
      <c r="H32" s="5">
        <v>0.4466501240694789</v>
      </c>
      <c r="I32" s="5">
        <v>0.41687344913151364</v>
      </c>
      <c r="J32" s="5">
        <v>1.2406947890818859E-2</v>
      </c>
      <c r="K32" s="5">
        <v>0.72208436724565761</v>
      </c>
      <c r="L32" s="5">
        <v>0.26550868486352358</v>
      </c>
    </row>
    <row r="33" spans="1:12" x14ac:dyDescent="0.45">
      <c r="A33" s="2" t="s">
        <v>10</v>
      </c>
      <c r="B33" s="6">
        <v>1.8858560794044665</v>
      </c>
      <c r="C33" s="5">
        <v>0.42679900744416871</v>
      </c>
      <c r="D33" s="7">
        <v>-2.2961089058992346E-2</v>
      </c>
      <c r="E33" s="5">
        <v>0.16625310173697272</v>
      </c>
      <c r="F33" s="6">
        <v>1.6401985111662531</v>
      </c>
      <c r="G33" s="5">
        <v>0.11166253101736973</v>
      </c>
      <c r="H33" s="5">
        <v>0.41191066997518611</v>
      </c>
      <c r="I33" s="5">
        <v>0.47642679900744417</v>
      </c>
      <c r="J33" s="5">
        <v>0</v>
      </c>
      <c r="K33" s="5">
        <v>0.57816377171215882</v>
      </c>
      <c r="L33" s="5">
        <v>0.42183622828784118</v>
      </c>
    </row>
    <row r="34" spans="1:12" x14ac:dyDescent="0.45">
      <c r="A34" s="2" t="s">
        <v>11</v>
      </c>
      <c r="B34" s="6">
        <v>2.4789081885856081</v>
      </c>
      <c r="C34" s="5">
        <v>0.38709677419354838</v>
      </c>
      <c r="D34" s="7">
        <v>8.6161535300862142E-3</v>
      </c>
      <c r="E34" s="5">
        <v>0.27791563275434239</v>
      </c>
      <c r="F34" s="6">
        <v>1.9255583126550868</v>
      </c>
      <c r="G34" s="5">
        <v>0.20595533498759305</v>
      </c>
      <c r="H34" s="5">
        <v>0.43920595533498757</v>
      </c>
      <c r="I34" s="5">
        <v>0.35483870967741937</v>
      </c>
      <c r="J34" s="5">
        <v>1.488833746898263E-2</v>
      </c>
      <c r="K34" s="5">
        <v>0.35235732009925558</v>
      </c>
      <c r="L34" s="5">
        <v>0.63275434243176176</v>
      </c>
    </row>
    <row r="35" spans="1:12" x14ac:dyDescent="0.45">
      <c r="A35" s="2" t="s">
        <v>12</v>
      </c>
      <c r="B35" s="6">
        <v>1.6377171215880892</v>
      </c>
      <c r="C35" s="5">
        <v>0.49131513647642677</v>
      </c>
      <c r="D35" s="7">
        <v>3.1000700268864999E-2</v>
      </c>
      <c r="E35" s="5">
        <v>0.18114143920595532</v>
      </c>
      <c r="F35" s="6">
        <v>0.75682382133995041</v>
      </c>
      <c r="G35" s="5">
        <v>5.2109181141439205E-2</v>
      </c>
      <c r="H35" s="5">
        <v>0.45905707196029777</v>
      </c>
      <c r="I35" s="5">
        <v>0.48883374689826303</v>
      </c>
      <c r="J35" s="5">
        <v>7.4441687344913151E-3</v>
      </c>
      <c r="K35" s="5">
        <v>0.32258064516129031</v>
      </c>
      <c r="L35" s="5">
        <v>0.66997518610421836</v>
      </c>
    </row>
    <row r="36" spans="1:12" x14ac:dyDescent="0.45">
      <c r="A36" s="2" t="s">
        <v>13</v>
      </c>
      <c r="B36" s="6">
        <v>2.0471464019851116</v>
      </c>
      <c r="C36" s="5">
        <v>0.4143920595533499</v>
      </c>
      <c r="D36" s="7">
        <v>-8.403011699649994E-2</v>
      </c>
      <c r="E36" s="5">
        <v>0.11414392059553354</v>
      </c>
      <c r="F36" s="6">
        <v>0.88089330024813894</v>
      </c>
      <c r="G36" s="5">
        <v>0.14143920595533499</v>
      </c>
      <c r="H36" s="5">
        <v>0.54094292803970223</v>
      </c>
      <c r="I36" s="5">
        <v>0.31761786600496278</v>
      </c>
      <c r="J36" s="5">
        <v>2.729528535980149E-2</v>
      </c>
      <c r="K36" s="5">
        <v>0.65260545905707201</v>
      </c>
      <c r="L36" s="5">
        <v>0.32009925558312657</v>
      </c>
    </row>
    <row r="37" spans="1:12" x14ac:dyDescent="0.45">
      <c r="A37" s="2" t="s">
        <v>14</v>
      </c>
      <c r="B37" s="6">
        <v>2.0794044665012406</v>
      </c>
      <c r="C37" s="5">
        <v>0.41687344913151364</v>
      </c>
      <c r="D37" s="7">
        <v>-4.0706781577687992E-3</v>
      </c>
      <c r="E37" s="5">
        <v>0.22580645161290322</v>
      </c>
      <c r="F37" s="6">
        <v>1.1017369727047146</v>
      </c>
      <c r="G37" s="5">
        <v>0.17369727047146402</v>
      </c>
      <c r="H37" s="5">
        <v>0.44168734491315137</v>
      </c>
      <c r="I37" s="5">
        <v>0.38461538461538464</v>
      </c>
      <c r="J37" s="5">
        <v>1.7369727047146403E-2</v>
      </c>
      <c r="K37" s="5">
        <v>0.66749379652605456</v>
      </c>
      <c r="L37" s="5">
        <v>0.31513647642679898</v>
      </c>
    </row>
    <row r="38" spans="1:12" x14ac:dyDescent="0.45">
      <c r="A38" s="2" t="s">
        <v>15</v>
      </c>
      <c r="B38" s="6">
        <v>2.1836228287841193</v>
      </c>
      <c r="C38" s="5">
        <v>0.46153846153846156</v>
      </c>
      <c r="D38" s="7">
        <v>-5.6859949029383093E-2</v>
      </c>
      <c r="E38" s="5">
        <v>0.27543424317617871</v>
      </c>
      <c r="F38" s="6">
        <v>1.2382133995037221</v>
      </c>
      <c r="G38" s="5">
        <v>0.17866004962779156</v>
      </c>
      <c r="H38" s="5">
        <v>0.53846153846153844</v>
      </c>
      <c r="I38" s="5">
        <v>0.28287841191066998</v>
      </c>
      <c r="J38" s="5">
        <v>4.4665012406947889E-2</v>
      </c>
      <c r="K38" s="5">
        <v>0.81389578163771714</v>
      </c>
      <c r="L38" s="5">
        <v>0.14143920595533499</v>
      </c>
    </row>
    <row r="39" spans="1:12" x14ac:dyDescent="0.45">
      <c r="A39" s="2" t="s">
        <v>16</v>
      </c>
      <c r="B39" s="6">
        <v>1.8808933002481389</v>
      </c>
      <c r="C39" s="5">
        <v>0.54838709677419351</v>
      </c>
      <c r="D39" s="7">
        <v>3.4633166361958047E-2</v>
      </c>
      <c r="E39" s="5">
        <v>0.28287841191066998</v>
      </c>
      <c r="F39" s="6">
        <v>0.794044665012407</v>
      </c>
      <c r="G39" s="5">
        <v>0.11414392059553349</v>
      </c>
      <c r="H39" s="5">
        <v>0.5831265508684863</v>
      </c>
      <c r="I39" s="5">
        <v>0.30272952853598017</v>
      </c>
      <c r="J39" s="5">
        <v>5.2109181141439205E-2</v>
      </c>
      <c r="K39" s="5">
        <v>0.86600496277915628</v>
      </c>
      <c r="L39" s="5">
        <v>8.1885856079404462E-2</v>
      </c>
    </row>
    <row r="40" spans="1:12" x14ac:dyDescent="0.45">
      <c r="A40" s="2" t="s">
        <v>17</v>
      </c>
      <c r="B40" s="6">
        <v>1.9429280397022333</v>
      </c>
      <c r="C40" s="5">
        <v>0.43890274314214461</v>
      </c>
      <c r="D40" s="7">
        <v>-3.4221997197604055E-2</v>
      </c>
      <c r="E40" s="5">
        <v>0.17696453654944524</v>
      </c>
      <c r="F40" s="6">
        <v>0.66253101736972708</v>
      </c>
      <c r="G40" s="5">
        <v>8.6848635235732011E-2</v>
      </c>
      <c r="H40" s="5">
        <v>0.4813895781637717</v>
      </c>
      <c r="I40" s="5">
        <v>0.4317617866004963</v>
      </c>
      <c r="J40" s="5">
        <v>1.9950124688279301E-2</v>
      </c>
      <c r="K40" s="5">
        <v>0.65835411471321692</v>
      </c>
      <c r="L40" s="5">
        <v>0.32169576059850374</v>
      </c>
    </row>
    <row r="41" spans="1:12" x14ac:dyDescent="0.45">
      <c r="A41" s="2" t="s">
        <v>34</v>
      </c>
      <c r="B41" s="2">
        <v>0.67911956621634018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45">
      <c r="A42" s="2" t="s">
        <v>35</v>
      </c>
      <c r="B42" s="2">
        <v>0.66060104769781913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4" spans="1:12" x14ac:dyDescent="0.45">
      <c r="A44" s="4" t="s">
        <v>30</v>
      </c>
    </row>
    <row r="45" spans="1:12" x14ac:dyDescent="0.45">
      <c r="A45" s="3" t="s">
        <v>0</v>
      </c>
      <c r="B45" s="3" t="s">
        <v>1</v>
      </c>
      <c r="C45" s="3" t="s">
        <v>2</v>
      </c>
      <c r="D45" s="3" t="s">
        <v>18</v>
      </c>
      <c r="E45" s="3" t="s">
        <v>20</v>
      </c>
      <c r="F45" s="3" t="s">
        <v>19</v>
      </c>
      <c r="G45" s="3" t="s">
        <v>3</v>
      </c>
      <c r="H45" s="3" t="s">
        <v>4</v>
      </c>
      <c r="I45" s="3" t="s">
        <v>5</v>
      </c>
      <c r="J45" s="3" t="s">
        <v>6</v>
      </c>
      <c r="K45" s="3" t="s">
        <v>7</v>
      </c>
      <c r="L45" s="3" t="s">
        <v>8</v>
      </c>
    </row>
    <row r="46" spans="1:12" x14ac:dyDescent="0.45">
      <c r="A46" s="2" t="s">
        <v>9</v>
      </c>
      <c r="B46" s="6">
        <v>1.8436724565756824</v>
      </c>
      <c r="C46" s="5">
        <v>0.40694789081885857</v>
      </c>
      <c r="D46" s="7">
        <v>-5.4638101912182407E-2</v>
      </c>
      <c r="E46" s="5">
        <v>0.26302729528535984</v>
      </c>
      <c r="F46" s="6">
        <v>1.4143920595533499</v>
      </c>
      <c r="G46" s="5">
        <v>0.13647642679900746</v>
      </c>
      <c r="H46" s="5">
        <v>0.4466501240694789</v>
      </c>
      <c r="I46" s="5">
        <v>0.41687344913151364</v>
      </c>
      <c r="J46" s="5">
        <v>1.2406947890818859E-2</v>
      </c>
      <c r="K46" s="5">
        <v>0.70967741935483875</v>
      </c>
      <c r="L46" s="5">
        <v>0.27791563275434245</v>
      </c>
    </row>
    <row r="47" spans="1:12" x14ac:dyDescent="0.45">
      <c r="A47" s="2" t="s">
        <v>10</v>
      </c>
      <c r="B47" s="6">
        <v>1.8163771712158809</v>
      </c>
      <c r="C47" s="5">
        <v>0.4640198511166253</v>
      </c>
      <c r="D47" s="7">
        <v>4.5702751319845726E-2</v>
      </c>
      <c r="E47" s="5">
        <v>0.16129032258064516</v>
      </c>
      <c r="F47" s="6">
        <v>1.6401985111662531</v>
      </c>
      <c r="G47" s="5">
        <v>0.11166253101736973</v>
      </c>
      <c r="H47" s="5">
        <v>0.41191066997518611</v>
      </c>
      <c r="I47" s="5">
        <v>0.47642679900744417</v>
      </c>
      <c r="J47" s="5">
        <v>0</v>
      </c>
      <c r="K47" s="5">
        <v>0.57320099255583123</v>
      </c>
      <c r="L47" s="5">
        <v>0.42679900744416871</v>
      </c>
    </row>
    <row r="48" spans="1:12" x14ac:dyDescent="0.45">
      <c r="A48" s="2" t="s">
        <v>11</v>
      </c>
      <c r="B48" s="6">
        <v>2.4466501240694791</v>
      </c>
      <c r="C48" s="5">
        <v>0.41687344913151364</v>
      </c>
      <c r="D48" s="7">
        <v>5.9884078042129654E-2</v>
      </c>
      <c r="E48" s="5">
        <v>0.26302729528535973</v>
      </c>
      <c r="F48" s="6">
        <v>1.9255583126550868</v>
      </c>
      <c r="G48" s="5">
        <v>0.20595533498759305</v>
      </c>
      <c r="H48" s="5">
        <v>0.43920595533498757</v>
      </c>
      <c r="I48" s="5">
        <v>0.35483870967741937</v>
      </c>
      <c r="J48" s="5">
        <v>1.488833746898263E-2</v>
      </c>
      <c r="K48" s="5">
        <v>0.36724565756823824</v>
      </c>
      <c r="L48" s="5">
        <v>0.6178660049627791</v>
      </c>
    </row>
    <row r="49" spans="1:12" x14ac:dyDescent="0.45">
      <c r="A49" s="2" t="s">
        <v>12</v>
      </c>
      <c r="B49" s="6">
        <v>1.6823821339950371</v>
      </c>
      <c r="C49" s="5">
        <v>0.45161290322580644</v>
      </c>
      <c r="D49" s="7">
        <v>-4.828735007522391E-2</v>
      </c>
      <c r="E49" s="5">
        <v>0.17121588089330025</v>
      </c>
      <c r="F49" s="6">
        <v>0.75682382133995041</v>
      </c>
      <c r="G49" s="5">
        <v>5.2109181141439205E-2</v>
      </c>
      <c r="H49" s="5">
        <v>0.45905707196029777</v>
      </c>
      <c r="I49" s="5">
        <v>0.48883374689826303</v>
      </c>
      <c r="J49" s="5">
        <v>7.4441687344913151E-3</v>
      </c>
      <c r="K49" s="5">
        <v>0.33250620347394538</v>
      </c>
      <c r="L49" s="5">
        <v>0.66004962779156329</v>
      </c>
    </row>
    <row r="50" spans="1:12" x14ac:dyDescent="0.45">
      <c r="A50" s="2" t="s">
        <v>13</v>
      </c>
      <c r="B50" s="6">
        <v>2.032258064516129</v>
      </c>
      <c r="C50" s="5">
        <v>0.4466501240694789</v>
      </c>
      <c r="D50" s="7">
        <v>-2.2196799421883139E-2</v>
      </c>
      <c r="E50" s="5">
        <v>0.11910669975186106</v>
      </c>
      <c r="F50" s="6">
        <v>0.88089330024813894</v>
      </c>
      <c r="G50" s="5">
        <v>0.14143920595533499</v>
      </c>
      <c r="H50" s="5">
        <v>0.54094292803970223</v>
      </c>
      <c r="I50" s="5">
        <v>0.31761786600496278</v>
      </c>
      <c r="J50" s="5">
        <v>2.2332506203473945E-2</v>
      </c>
      <c r="K50" s="5">
        <v>0.64764267990074442</v>
      </c>
      <c r="L50" s="5">
        <v>0.33002481389578164</v>
      </c>
    </row>
    <row r="51" spans="1:12" x14ac:dyDescent="0.45">
      <c r="A51" s="2" t="s">
        <v>14</v>
      </c>
      <c r="B51" s="6">
        <v>2.0942928039702231</v>
      </c>
      <c r="C51" s="5">
        <v>0.42431761786600497</v>
      </c>
      <c r="D51" s="7">
        <v>9.1293406659646806E-3</v>
      </c>
      <c r="E51" s="5">
        <v>0.23325062034739455</v>
      </c>
      <c r="F51" s="6">
        <v>1.1017369727047146</v>
      </c>
      <c r="G51" s="5">
        <v>0.17369727047146402</v>
      </c>
      <c r="H51" s="5">
        <v>0.44168734491315137</v>
      </c>
      <c r="I51" s="5">
        <v>0.38461538461538464</v>
      </c>
      <c r="J51" s="5">
        <v>1.7369727047146403E-2</v>
      </c>
      <c r="K51" s="5">
        <v>0.67493796526054595</v>
      </c>
      <c r="L51" s="5">
        <v>0.30769230769230771</v>
      </c>
    </row>
    <row r="52" spans="1:12" x14ac:dyDescent="0.45">
      <c r="A52" s="2" t="s">
        <v>15</v>
      </c>
      <c r="B52" s="6">
        <v>2.2481389578163773</v>
      </c>
      <c r="C52" s="5">
        <v>0.4466501240694789</v>
      </c>
      <c r="D52" s="7">
        <v>-9.375463424694902E-2</v>
      </c>
      <c r="E52" s="5">
        <v>0.27791563275434245</v>
      </c>
      <c r="F52" s="6">
        <v>1.2382133995037221</v>
      </c>
      <c r="G52" s="5">
        <v>0.17866004962779156</v>
      </c>
      <c r="H52" s="5">
        <v>0.53846153846153844</v>
      </c>
      <c r="I52" s="5">
        <v>0.28287841191066998</v>
      </c>
      <c r="J52" s="5">
        <v>4.2183622828784122E-2</v>
      </c>
      <c r="K52" s="5">
        <v>0.81637717121588094</v>
      </c>
      <c r="L52" s="5">
        <v>0.14143920595533499</v>
      </c>
    </row>
    <row r="53" spans="1:12" x14ac:dyDescent="0.45">
      <c r="A53" s="2" t="s">
        <v>16</v>
      </c>
      <c r="B53" s="6">
        <v>1.8635235732009925</v>
      </c>
      <c r="C53" s="5">
        <v>0.5508684863523573</v>
      </c>
      <c r="D53" s="7">
        <v>4.3274818695362476E-2</v>
      </c>
      <c r="E53" s="5">
        <v>0.2779156327543425</v>
      </c>
      <c r="F53" s="6">
        <v>0.794044665012407</v>
      </c>
      <c r="G53" s="5">
        <v>0.11414392059553349</v>
      </c>
      <c r="H53" s="5">
        <v>0.5831265508684863</v>
      </c>
      <c r="I53" s="5">
        <v>0.30272952853598017</v>
      </c>
      <c r="J53" s="5">
        <v>4.9627791563275438E-2</v>
      </c>
      <c r="K53" s="5">
        <v>0.86104218362282881</v>
      </c>
      <c r="L53" s="5">
        <v>8.9330024813895778E-2</v>
      </c>
    </row>
    <row r="54" spans="1:12" x14ac:dyDescent="0.45">
      <c r="A54" s="2" t="s">
        <v>17</v>
      </c>
      <c r="B54" s="6">
        <v>1.9255583126550868</v>
      </c>
      <c r="C54" s="5">
        <v>0.44278606965174128</v>
      </c>
      <c r="D54" s="7">
        <v>-2.4279586975624275E-2</v>
      </c>
      <c r="E54" s="5">
        <v>0.16288902880140244</v>
      </c>
      <c r="F54" s="6">
        <v>0.66253101736972708</v>
      </c>
      <c r="G54" s="5">
        <v>8.6848635235732011E-2</v>
      </c>
      <c r="H54" s="5">
        <v>0.4813895781637717</v>
      </c>
      <c r="I54" s="5">
        <v>0.4317617866004963</v>
      </c>
      <c r="J54" s="5">
        <v>2.4875621890547265E-2</v>
      </c>
      <c r="K54" s="5">
        <v>0.64427860696517414</v>
      </c>
      <c r="L54" s="5">
        <v>0.3308457711442786</v>
      </c>
    </row>
    <row r="55" spans="1:12" x14ac:dyDescent="0.45">
      <c r="A55" s="2" t="s">
        <v>34</v>
      </c>
      <c r="B55" s="2">
        <v>0.67900468706920225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45">
      <c r="A56" s="2" t="s">
        <v>35</v>
      </c>
      <c r="B56" s="2">
        <v>0.66418527708849984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8" spans="1:12" x14ac:dyDescent="0.45">
      <c r="A58" s="4" t="s">
        <v>31</v>
      </c>
    </row>
    <row r="59" spans="1:12" x14ac:dyDescent="0.45">
      <c r="A59" s="3" t="s">
        <v>0</v>
      </c>
      <c r="B59" s="3" t="s">
        <v>1</v>
      </c>
      <c r="C59" s="3" t="s">
        <v>2</v>
      </c>
      <c r="D59" s="3" t="s">
        <v>18</v>
      </c>
      <c r="E59" s="3" t="s">
        <v>20</v>
      </c>
      <c r="F59" s="3" t="s">
        <v>19</v>
      </c>
      <c r="G59" s="3" t="s">
        <v>3</v>
      </c>
      <c r="H59" s="3" t="s">
        <v>4</v>
      </c>
      <c r="I59" s="3" t="s">
        <v>5</v>
      </c>
      <c r="J59" s="3" t="s">
        <v>6</v>
      </c>
      <c r="K59" s="3" t="s">
        <v>7</v>
      </c>
      <c r="L59" s="3" t="s">
        <v>8</v>
      </c>
    </row>
    <row r="60" spans="1:12" x14ac:dyDescent="0.45">
      <c r="A60" s="2" t="s">
        <v>9</v>
      </c>
      <c r="B60" s="6">
        <v>1.8436724565756824</v>
      </c>
      <c r="C60" s="5">
        <v>0.43920595533498757</v>
      </c>
      <c r="D60" s="7">
        <v>1.1800469723406008E-2</v>
      </c>
      <c r="E60" s="5">
        <v>0.21091811414392059</v>
      </c>
      <c r="F60" s="6">
        <v>1.4143920595533499</v>
      </c>
      <c r="G60" s="5">
        <v>0.13647642679900746</v>
      </c>
      <c r="H60" s="5">
        <v>0.4466501240694789</v>
      </c>
      <c r="I60" s="5">
        <v>0.41687344913151364</v>
      </c>
      <c r="J60" s="5">
        <v>1.2406947890818859E-2</v>
      </c>
      <c r="K60" s="5">
        <v>0.65756823821339949</v>
      </c>
      <c r="L60" s="5">
        <v>0.33002481389578164</v>
      </c>
    </row>
    <row r="61" spans="1:12" x14ac:dyDescent="0.45">
      <c r="A61" s="2" t="s">
        <v>10</v>
      </c>
      <c r="B61" s="6">
        <v>1.8312655086848635</v>
      </c>
      <c r="C61" s="5">
        <v>0.46898263027295284</v>
      </c>
      <c r="D61" s="7">
        <v>5.2551424677276616E-2</v>
      </c>
      <c r="E61" s="5">
        <v>0.13151364764267992</v>
      </c>
      <c r="F61" s="6">
        <v>1.6401985111662531</v>
      </c>
      <c r="G61" s="5">
        <v>0.11166253101736973</v>
      </c>
      <c r="H61" s="5">
        <v>0.41191066997518611</v>
      </c>
      <c r="I61" s="5">
        <v>0.47642679900744417</v>
      </c>
      <c r="J61" s="5">
        <v>2.4813895781637717E-3</v>
      </c>
      <c r="K61" s="5">
        <v>0.54342431761786603</v>
      </c>
      <c r="L61" s="5">
        <v>0.45409429280397023</v>
      </c>
    </row>
    <row r="62" spans="1:12" x14ac:dyDescent="0.45">
      <c r="A62" s="2" t="s">
        <v>11</v>
      </c>
      <c r="B62" s="6">
        <v>2.4565756823821339</v>
      </c>
      <c r="C62" s="5">
        <v>0.38461538461538464</v>
      </c>
      <c r="D62" s="7">
        <v>9.6631033032984611E-4</v>
      </c>
      <c r="E62" s="5">
        <v>0.27791563275434239</v>
      </c>
      <c r="F62" s="6">
        <v>1.9255583126550868</v>
      </c>
      <c r="G62" s="5">
        <v>0.20595533498759305</v>
      </c>
      <c r="H62" s="5">
        <v>0.43920595533498757</v>
      </c>
      <c r="I62" s="5">
        <v>0.35483870967741937</v>
      </c>
      <c r="J62" s="5">
        <v>7.4441687344913151E-3</v>
      </c>
      <c r="K62" s="5">
        <v>0.35980148883374691</v>
      </c>
      <c r="L62" s="5">
        <v>0.63275434243176176</v>
      </c>
    </row>
    <row r="63" spans="1:12" x14ac:dyDescent="0.45">
      <c r="A63" s="2" t="s">
        <v>12</v>
      </c>
      <c r="B63" s="6">
        <v>1.6873449131513647</v>
      </c>
      <c r="C63" s="5">
        <v>0.48635235732009924</v>
      </c>
      <c r="D63" s="7">
        <v>3.0571672671560024E-2</v>
      </c>
      <c r="E63" s="5">
        <v>0.19106699751861039</v>
      </c>
      <c r="F63" s="6">
        <v>0.75682382133995041</v>
      </c>
      <c r="G63" s="5">
        <v>5.2109181141439205E-2</v>
      </c>
      <c r="H63" s="5">
        <v>0.45905707196029777</v>
      </c>
      <c r="I63" s="5">
        <v>0.48883374689826303</v>
      </c>
      <c r="J63" s="5">
        <v>1.9851116625310174E-2</v>
      </c>
      <c r="K63" s="5">
        <v>0.30024813895781638</v>
      </c>
      <c r="L63" s="5">
        <v>0.67990074441687343</v>
      </c>
    </row>
    <row r="64" spans="1:12" x14ac:dyDescent="0.45">
      <c r="A64" s="2" t="s">
        <v>13</v>
      </c>
      <c r="B64" s="6">
        <v>2.0372208436724564</v>
      </c>
      <c r="C64" s="5">
        <v>0.45409429280397023</v>
      </c>
      <c r="D64" s="7">
        <v>-8.7074586933972645E-3</v>
      </c>
      <c r="E64" s="5">
        <v>0.11414392059553349</v>
      </c>
      <c r="F64" s="6">
        <v>0.88089330024813894</v>
      </c>
      <c r="G64" s="5">
        <v>0.14143920595533499</v>
      </c>
      <c r="H64" s="5">
        <v>0.54094292803970223</v>
      </c>
      <c r="I64" s="5">
        <v>0.31761786600496278</v>
      </c>
      <c r="J64" s="5">
        <v>2.9776674937965261E-2</v>
      </c>
      <c r="K64" s="5">
        <v>0.6550868486352357</v>
      </c>
      <c r="L64" s="5">
        <v>0.31513647642679898</v>
      </c>
    </row>
    <row r="65" spans="1:12" x14ac:dyDescent="0.45">
      <c r="A65" s="2" t="s">
        <v>14</v>
      </c>
      <c r="B65" s="6">
        <v>2.0372208436724564</v>
      </c>
      <c r="C65" s="5">
        <v>0.44168734491315137</v>
      </c>
      <c r="D65" s="7">
        <v>4.3493952664574537E-2</v>
      </c>
      <c r="E65" s="5">
        <v>0.22332506203473945</v>
      </c>
      <c r="F65" s="6">
        <v>1.1017369727047146</v>
      </c>
      <c r="G65" s="5">
        <v>0.17369727047146402</v>
      </c>
      <c r="H65" s="5">
        <v>0.44168734491315137</v>
      </c>
      <c r="I65" s="5">
        <v>0.38461538461538464</v>
      </c>
      <c r="J65" s="5">
        <v>1.9851116625310174E-2</v>
      </c>
      <c r="K65" s="5">
        <v>0.66501240694789077</v>
      </c>
      <c r="L65" s="5">
        <v>0.31513647642679898</v>
      </c>
    </row>
    <row r="66" spans="1:12" x14ac:dyDescent="0.45">
      <c r="A66" s="2" t="s">
        <v>15</v>
      </c>
      <c r="B66" s="6">
        <v>2.2034739454094292</v>
      </c>
      <c r="C66" s="5">
        <v>0.48009950248756217</v>
      </c>
      <c r="D66" s="7">
        <v>7.5428472033476311E-4</v>
      </c>
      <c r="E66" s="5">
        <v>0.24512055109070036</v>
      </c>
      <c r="F66" s="6">
        <v>1.2382133995037221</v>
      </c>
      <c r="G66" s="5">
        <v>0.17866004962779156</v>
      </c>
      <c r="H66" s="5">
        <v>0.53846153846153844</v>
      </c>
      <c r="I66" s="5">
        <v>0.28287841191066998</v>
      </c>
      <c r="J66" s="5">
        <v>3.9800995024875621E-2</v>
      </c>
      <c r="K66" s="5">
        <v>0.78358208955223885</v>
      </c>
      <c r="L66" s="5">
        <v>0.17661691542288557</v>
      </c>
    </row>
    <row r="67" spans="1:12" x14ac:dyDescent="0.45">
      <c r="A67" s="2" t="s">
        <v>16</v>
      </c>
      <c r="B67" s="6">
        <v>1.9330024813895781</v>
      </c>
      <c r="C67" s="5">
        <v>0.51990049751243783</v>
      </c>
      <c r="D67" s="7">
        <v>-1.9236575063188887E-2</v>
      </c>
      <c r="E67" s="5">
        <v>0.2626445934101207</v>
      </c>
      <c r="F67" s="6">
        <v>0.794044665012407</v>
      </c>
      <c r="G67" s="5">
        <v>0.11414392059553349</v>
      </c>
      <c r="H67" s="5">
        <v>0.5831265508684863</v>
      </c>
      <c r="I67" s="5">
        <v>0.30272952853598017</v>
      </c>
      <c r="J67" s="5">
        <v>7.2139303482587069E-2</v>
      </c>
      <c r="K67" s="5">
        <v>0.845771144278607</v>
      </c>
      <c r="L67" s="5">
        <v>8.2089552238805971E-2</v>
      </c>
    </row>
    <row r="68" spans="1:12" x14ac:dyDescent="0.45">
      <c r="A68" s="2" t="s">
        <v>17</v>
      </c>
      <c r="B68" s="6">
        <v>1.8883374689826302</v>
      </c>
      <c r="C68" s="5">
        <v>0.47499999999999998</v>
      </c>
      <c r="D68" s="7">
        <v>3.3957288772044597E-2</v>
      </c>
      <c r="E68" s="5">
        <v>0.12611042183622834</v>
      </c>
      <c r="F68" s="6">
        <v>0.66253101736972708</v>
      </c>
      <c r="G68" s="5">
        <v>8.6848635235732011E-2</v>
      </c>
      <c r="H68" s="5">
        <v>0.4813895781637717</v>
      </c>
      <c r="I68" s="5">
        <v>0.4317617866004963</v>
      </c>
      <c r="J68" s="5">
        <v>1.2500000000000001E-2</v>
      </c>
      <c r="K68" s="5">
        <v>0.60750000000000004</v>
      </c>
      <c r="L68" s="5">
        <v>0.38</v>
      </c>
    </row>
    <row r="69" spans="1:12" x14ac:dyDescent="0.45">
      <c r="A69" s="2" t="s">
        <v>34</v>
      </c>
      <c r="B69" s="2">
        <v>0.68463376527892672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45">
      <c r="A70" s="2" t="s">
        <v>35</v>
      </c>
      <c r="B70" s="2">
        <v>0.67493796526054284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2" spans="1:12" x14ac:dyDescent="0.45">
      <c r="A72" s="4" t="s">
        <v>32</v>
      </c>
    </row>
    <row r="73" spans="1:12" ht="13.9" customHeight="1" x14ac:dyDescent="0.45">
      <c r="A73" s="3" t="s">
        <v>0</v>
      </c>
      <c r="B73" s="3" t="s">
        <v>1</v>
      </c>
      <c r="C73" s="3" t="s">
        <v>2</v>
      </c>
      <c r="D73" s="3" t="s">
        <v>18</v>
      </c>
      <c r="E73" s="3" t="s">
        <v>20</v>
      </c>
      <c r="F73" s="3" t="s">
        <v>19</v>
      </c>
      <c r="G73" s="3" t="s">
        <v>3</v>
      </c>
      <c r="H73" s="3" t="s">
        <v>4</v>
      </c>
      <c r="I73" s="3" t="s">
        <v>5</v>
      </c>
      <c r="J73" s="3" t="s">
        <v>6</v>
      </c>
      <c r="K73" s="3" t="s">
        <v>7</v>
      </c>
      <c r="L73" s="3" t="s">
        <v>8</v>
      </c>
    </row>
    <row r="74" spans="1:12" x14ac:dyDescent="0.45">
      <c r="A74" s="2" t="s">
        <v>9</v>
      </c>
      <c r="B74" s="6">
        <v>1.8833746898263026</v>
      </c>
      <c r="C74" s="5">
        <v>0.41191066997518611</v>
      </c>
      <c r="D74" s="7">
        <v>-4.400605469999809E-2</v>
      </c>
      <c r="E74" s="5">
        <v>0.22580645161290322</v>
      </c>
      <c r="F74" s="6">
        <v>1.4143920595533499</v>
      </c>
      <c r="G74" s="5">
        <v>0.13647642679900746</v>
      </c>
      <c r="H74" s="5">
        <v>0.4466501240694789</v>
      </c>
      <c r="I74" s="5">
        <v>0.41687344913151364</v>
      </c>
      <c r="J74" s="5">
        <v>7.4441687344913151E-3</v>
      </c>
      <c r="K74" s="5">
        <v>0.67245657568238215</v>
      </c>
      <c r="L74" s="5">
        <v>0.32009925558312657</v>
      </c>
    </row>
    <row r="75" spans="1:12" x14ac:dyDescent="0.45">
      <c r="A75" s="2" t="s">
        <v>10</v>
      </c>
      <c r="B75" s="6">
        <v>1.8660049627791564</v>
      </c>
      <c r="C75" s="5">
        <v>0.4491315136476427</v>
      </c>
      <c r="D75" s="7">
        <v>1.0035038376342927E-2</v>
      </c>
      <c r="E75" s="5">
        <v>0.10918114143920594</v>
      </c>
      <c r="F75" s="6">
        <v>1.6401985111662531</v>
      </c>
      <c r="G75" s="5">
        <v>0.11166253101736973</v>
      </c>
      <c r="H75" s="5">
        <v>0.41191066997518611</v>
      </c>
      <c r="I75" s="5">
        <v>0.47642679900744417</v>
      </c>
      <c r="J75" s="5">
        <v>2.4813895781637717E-3</v>
      </c>
      <c r="K75" s="5">
        <v>0.49379652605459057</v>
      </c>
      <c r="L75" s="5">
        <v>0.50372208436724564</v>
      </c>
    </row>
    <row r="76" spans="1:12" x14ac:dyDescent="0.45">
      <c r="A76" s="2" t="s">
        <v>11</v>
      </c>
      <c r="B76" s="6">
        <v>2.4466501240694791</v>
      </c>
      <c r="C76" s="5">
        <v>0.35483870967741937</v>
      </c>
      <c r="D76" s="7">
        <v>-6.394655108739912E-2</v>
      </c>
      <c r="E76" s="5">
        <v>0.19354838709677422</v>
      </c>
      <c r="F76" s="6">
        <v>1.9255583126550868</v>
      </c>
      <c r="G76" s="5">
        <v>0.20595533498759305</v>
      </c>
      <c r="H76" s="5">
        <v>0.43920595533498757</v>
      </c>
      <c r="I76" s="5">
        <v>0.35483870967741937</v>
      </c>
      <c r="J76" s="5">
        <v>1.2406947890818859E-2</v>
      </c>
      <c r="K76" s="5">
        <v>0.45409429280397023</v>
      </c>
      <c r="L76" s="5">
        <v>0.53349875930521096</v>
      </c>
    </row>
    <row r="77" spans="1:12" x14ac:dyDescent="0.45">
      <c r="A77" s="2" t="s">
        <v>12</v>
      </c>
      <c r="B77" s="6">
        <v>1.7196029776674937</v>
      </c>
      <c r="C77" s="5">
        <v>0.43283582089552236</v>
      </c>
      <c r="D77" s="7">
        <v>-9.0382084637402021E-2</v>
      </c>
      <c r="E77" s="5">
        <v>0.21265879041516983</v>
      </c>
      <c r="F77" s="6">
        <v>0.75682382133995041</v>
      </c>
      <c r="G77" s="5">
        <v>5.2109181141439205E-2</v>
      </c>
      <c r="H77" s="5">
        <v>0.45905707196029777</v>
      </c>
      <c r="I77" s="5">
        <v>0.48883374689826303</v>
      </c>
      <c r="J77" s="5">
        <v>7.462686567164179E-3</v>
      </c>
      <c r="K77" s="5">
        <v>0.29104477611940299</v>
      </c>
      <c r="L77" s="5">
        <v>0.70149253731343286</v>
      </c>
    </row>
    <row r="78" spans="1:12" x14ac:dyDescent="0.45">
      <c r="A78" s="2" t="s">
        <v>13</v>
      </c>
      <c r="B78" s="6">
        <v>1.9950372208436724</v>
      </c>
      <c r="C78" s="5">
        <v>0.47014925373134331</v>
      </c>
      <c r="D78" s="7">
        <v>9.5842326258775978E-3</v>
      </c>
      <c r="E78" s="5">
        <v>0.13397651938817082</v>
      </c>
      <c r="F78" s="6">
        <v>0.88089330024813894</v>
      </c>
      <c r="G78" s="5">
        <v>0.14143920595533499</v>
      </c>
      <c r="H78" s="5">
        <v>0.54094292803970223</v>
      </c>
      <c r="I78" s="5">
        <v>0.31761786600496278</v>
      </c>
      <c r="J78" s="5">
        <v>7.462686567164179E-3</v>
      </c>
      <c r="K78" s="5">
        <v>0.6691542288557214</v>
      </c>
      <c r="L78" s="5">
        <v>0.32338308457711445</v>
      </c>
    </row>
    <row r="79" spans="1:12" x14ac:dyDescent="0.45">
      <c r="A79" s="2" t="s">
        <v>14</v>
      </c>
      <c r="B79" s="6">
        <v>2.0868486352357318</v>
      </c>
      <c r="C79" s="5">
        <v>0.43283582089552236</v>
      </c>
      <c r="D79" s="7">
        <v>2.3335660938515124E-2</v>
      </c>
      <c r="E79" s="5">
        <v>0.21751663518635114</v>
      </c>
      <c r="F79" s="6">
        <v>1.1017369727047146</v>
      </c>
      <c r="G79" s="5">
        <v>0.17369727047146402</v>
      </c>
      <c r="H79" s="5">
        <v>0.44168734491315137</v>
      </c>
      <c r="I79" s="5">
        <v>0.38461538461538464</v>
      </c>
      <c r="J79" s="5">
        <v>9.9502487562189053E-3</v>
      </c>
      <c r="K79" s="5">
        <v>0.65920398009950254</v>
      </c>
      <c r="L79" s="5">
        <v>0.3308457711442786</v>
      </c>
    </row>
    <row r="80" spans="1:12" x14ac:dyDescent="0.45">
      <c r="A80" s="2" t="s">
        <v>15</v>
      </c>
      <c r="B80" s="6">
        <v>2.1091811414392061</v>
      </c>
      <c r="C80" s="5">
        <v>0.49625935162094764</v>
      </c>
      <c r="D80" s="7">
        <v>3.0097838478737506E-2</v>
      </c>
      <c r="E80" s="5">
        <v>0.26203721465566854</v>
      </c>
      <c r="F80" s="6">
        <v>1.2382133995037221</v>
      </c>
      <c r="G80" s="5">
        <v>0.17866004962779156</v>
      </c>
      <c r="H80" s="5">
        <v>0.53846153846153844</v>
      </c>
      <c r="I80" s="5">
        <v>0.28287841191066998</v>
      </c>
      <c r="J80" s="5">
        <v>4.488778054862843E-2</v>
      </c>
      <c r="K80" s="5">
        <v>0.80049875311720697</v>
      </c>
      <c r="L80" s="5">
        <v>0.15461346633416459</v>
      </c>
    </row>
    <row r="81" spans="1:12" x14ac:dyDescent="0.45">
      <c r="A81" s="2" t="s">
        <v>16</v>
      </c>
      <c r="B81" s="6">
        <v>1.8188585607940446</v>
      </c>
      <c r="C81" s="5">
        <v>0.54114713216957611</v>
      </c>
      <c r="D81" s="7">
        <v>2.5273900573333015E-2</v>
      </c>
      <c r="E81" s="5">
        <v>0.27223504514148877</v>
      </c>
      <c r="F81" s="6">
        <v>0.794044665012407</v>
      </c>
      <c r="G81" s="5">
        <v>0.11414392059553349</v>
      </c>
      <c r="H81" s="5">
        <v>0.5831265508684863</v>
      </c>
      <c r="I81" s="5">
        <v>0.30272952853598017</v>
      </c>
      <c r="J81" s="5">
        <v>5.9850374064837904E-2</v>
      </c>
      <c r="K81" s="5">
        <v>0.85536159600997508</v>
      </c>
      <c r="L81" s="5">
        <v>8.4788029925187039E-2</v>
      </c>
    </row>
    <row r="82" spans="1:12" x14ac:dyDescent="0.45">
      <c r="A82" s="2" t="s">
        <v>17</v>
      </c>
      <c r="B82" s="6">
        <v>1.8560794044665012</v>
      </c>
      <c r="C82" s="5">
        <v>0.48872180451127817</v>
      </c>
      <c r="D82" s="7">
        <v>5.9773447265393513E-2</v>
      </c>
      <c r="E82" s="5">
        <v>0.17274576018209298</v>
      </c>
      <c r="F82" s="6">
        <v>0.66253101736972708</v>
      </c>
      <c r="G82" s="5">
        <v>8.6848635235732011E-2</v>
      </c>
      <c r="H82" s="5">
        <v>0.4813895781637717</v>
      </c>
      <c r="I82" s="5">
        <v>0.4317617866004963</v>
      </c>
      <c r="J82" s="5">
        <v>2.0050125313283207E-2</v>
      </c>
      <c r="K82" s="5">
        <v>0.65413533834586468</v>
      </c>
      <c r="L82" s="5">
        <v>0.32581453634085211</v>
      </c>
    </row>
    <row r="83" spans="1:12" x14ac:dyDescent="0.45">
      <c r="A83" s="2" t="s">
        <v>34</v>
      </c>
      <c r="B83" s="2">
        <v>0.68268081977759398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45">
      <c r="A84" s="2" t="s">
        <v>35</v>
      </c>
      <c r="B84" s="2">
        <v>0.65811965811965456</v>
      </c>
      <c r="C84" s="2"/>
      <c r="D84" s="2"/>
      <c r="E84" s="2"/>
      <c r="F84" s="2"/>
      <c r="G84" s="2"/>
      <c r="H84" s="2"/>
      <c r="I84" s="2"/>
      <c r="J84" s="2"/>
      <c r="K84" s="2"/>
      <c r="L84" s="2"/>
    </row>
    <row r="90" spans="1:12" x14ac:dyDescent="0.45">
      <c r="A90" s="4" t="s">
        <v>41</v>
      </c>
    </row>
    <row r="91" spans="1:12" x14ac:dyDescent="0.45">
      <c r="A91" s="19" t="s">
        <v>28</v>
      </c>
      <c r="B91" s="19"/>
      <c r="C91" s="19"/>
      <c r="D91" s="19"/>
      <c r="E91" s="19"/>
      <c r="F91" s="19"/>
      <c r="G91" s="19"/>
      <c r="H91" s="19"/>
      <c r="I91" s="19"/>
      <c r="J91" s="19"/>
    </row>
    <row r="92" spans="1:12" x14ac:dyDescent="0.45">
      <c r="A92" s="14" t="s">
        <v>9</v>
      </c>
      <c r="B92" s="14" t="s">
        <v>42</v>
      </c>
      <c r="C92" s="14" t="s">
        <v>43</v>
      </c>
      <c r="D92" s="14" t="s">
        <v>44</v>
      </c>
      <c r="E92" s="14">
        <v>403</v>
      </c>
      <c r="G92" s="14" t="s">
        <v>9</v>
      </c>
      <c r="H92" s="14" t="s">
        <v>42</v>
      </c>
      <c r="I92" s="14" t="s">
        <v>43</v>
      </c>
      <c r="J92" s="14" t="s">
        <v>44</v>
      </c>
    </row>
    <row r="93" spans="1:12" x14ac:dyDescent="0.45">
      <c r="A93" s="2" t="s">
        <v>45</v>
      </c>
      <c r="B93" s="2">
        <v>5</v>
      </c>
      <c r="C93" s="2">
        <v>251</v>
      </c>
      <c r="D93" s="2">
        <v>121</v>
      </c>
      <c r="E93" s="2">
        <v>377</v>
      </c>
      <c r="G93" s="2" t="s">
        <v>45</v>
      </c>
      <c r="H93" s="13">
        <v>1.3262599469496022E-2</v>
      </c>
      <c r="I93" s="13">
        <v>0.66578249336870021</v>
      </c>
      <c r="J93" s="13">
        <v>0.32095490716180369</v>
      </c>
    </row>
    <row r="94" spans="1:12" x14ac:dyDescent="0.45">
      <c r="A94" s="2" t="s">
        <v>46</v>
      </c>
      <c r="B94" s="2">
        <v>1</v>
      </c>
      <c r="C94" s="2">
        <v>19</v>
      </c>
      <c r="D94" s="2">
        <v>6</v>
      </c>
      <c r="E94" s="2">
        <v>26</v>
      </c>
      <c r="G94" s="2" t="s">
        <v>46</v>
      </c>
      <c r="H94" s="13">
        <v>3.8461538461538464E-2</v>
      </c>
      <c r="I94" s="13">
        <v>0.73076923076923073</v>
      </c>
      <c r="J94" s="13">
        <v>0.23076923076923078</v>
      </c>
    </row>
    <row r="96" spans="1:12" x14ac:dyDescent="0.45">
      <c r="A96" s="14" t="s">
        <v>10</v>
      </c>
      <c r="B96" s="14" t="s">
        <v>42</v>
      </c>
      <c r="C96" s="14" t="s">
        <v>43</v>
      </c>
      <c r="D96" s="14" t="s">
        <v>44</v>
      </c>
      <c r="E96" s="14">
        <v>403</v>
      </c>
      <c r="G96" s="14" t="s">
        <v>10</v>
      </c>
      <c r="H96" s="14" t="s">
        <v>42</v>
      </c>
      <c r="I96" s="14" t="s">
        <v>43</v>
      </c>
      <c r="J96" s="14" t="s">
        <v>44</v>
      </c>
    </row>
    <row r="97" spans="1:10" x14ac:dyDescent="0.45">
      <c r="A97" s="2" t="s">
        <v>45</v>
      </c>
      <c r="B97" s="2">
        <v>2</v>
      </c>
      <c r="C97" s="2">
        <v>216</v>
      </c>
      <c r="D97" s="2">
        <v>159</v>
      </c>
      <c r="E97" s="2">
        <v>377</v>
      </c>
      <c r="G97" s="2" t="s">
        <v>45</v>
      </c>
      <c r="H97" s="13">
        <v>5.3050397877984082E-3</v>
      </c>
      <c r="I97" s="13">
        <v>0.57294429708222816</v>
      </c>
      <c r="J97" s="13">
        <v>0.4217506631299735</v>
      </c>
    </row>
    <row r="98" spans="1:10" x14ac:dyDescent="0.45">
      <c r="A98" s="2" t="s">
        <v>46</v>
      </c>
      <c r="B98" s="2">
        <v>0</v>
      </c>
      <c r="C98" s="2">
        <v>11</v>
      </c>
      <c r="D98" s="2">
        <v>15</v>
      </c>
      <c r="E98" s="2">
        <v>26</v>
      </c>
      <c r="G98" s="2" t="s">
        <v>46</v>
      </c>
      <c r="H98" s="13">
        <v>0</v>
      </c>
      <c r="I98" s="13">
        <v>0.42307692307692307</v>
      </c>
      <c r="J98" s="13">
        <v>0.57692307692307687</v>
      </c>
    </row>
    <row r="100" spans="1:10" x14ac:dyDescent="0.45">
      <c r="A100" s="14" t="s">
        <v>11</v>
      </c>
      <c r="B100" s="14" t="s">
        <v>42</v>
      </c>
      <c r="C100" s="14" t="s">
        <v>43</v>
      </c>
      <c r="D100" s="14" t="s">
        <v>44</v>
      </c>
      <c r="E100" s="14">
        <v>403</v>
      </c>
      <c r="G100" s="14" t="s">
        <v>11</v>
      </c>
      <c r="H100" s="14" t="s">
        <v>42</v>
      </c>
      <c r="I100" s="14" t="s">
        <v>43</v>
      </c>
      <c r="J100" s="14" t="s">
        <v>44</v>
      </c>
    </row>
    <row r="101" spans="1:10" x14ac:dyDescent="0.45">
      <c r="A101" s="2" t="s">
        <v>45</v>
      </c>
      <c r="B101" s="2">
        <v>2</v>
      </c>
      <c r="C101" s="2">
        <v>144</v>
      </c>
      <c r="D101" s="2">
        <v>231</v>
      </c>
      <c r="E101" s="2">
        <v>377</v>
      </c>
      <c r="G101" s="2" t="s">
        <v>45</v>
      </c>
      <c r="H101" s="13">
        <v>5.3050397877984082E-3</v>
      </c>
      <c r="I101" s="13">
        <v>0.38196286472148538</v>
      </c>
      <c r="J101" s="13">
        <v>0.61273209549071617</v>
      </c>
    </row>
    <row r="102" spans="1:10" x14ac:dyDescent="0.45">
      <c r="A102" s="2" t="s">
        <v>46</v>
      </c>
      <c r="B102" s="2">
        <v>0</v>
      </c>
      <c r="C102" s="2">
        <v>3</v>
      </c>
      <c r="D102" s="2">
        <v>23</v>
      </c>
      <c r="E102" s="2">
        <v>26</v>
      </c>
      <c r="G102" s="2" t="s">
        <v>46</v>
      </c>
      <c r="H102" s="13">
        <v>0</v>
      </c>
      <c r="I102" s="13">
        <v>0.11538461538461539</v>
      </c>
      <c r="J102" s="13">
        <v>0.88461538461538458</v>
      </c>
    </row>
    <row r="104" spans="1:10" x14ac:dyDescent="0.45">
      <c r="A104" s="14" t="s">
        <v>12</v>
      </c>
      <c r="B104" s="14" t="s">
        <v>42</v>
      </c>
      <c r="C104" s="14" t="s">
        <v>43</v>
      </c>
      <c r="D104" s="14" t="s">
        <v>44</v>
      </c>
      <c r="E104" s="14">
        <v>403</v>
      </c>
      <c r="G104" s="14" t="s">
        <v>12</v>
      </c>
      <c r="H104" s="14" t="s">
        <v>42</v>
      </c>
      <c r="I104" s="14" t="s">
        <v>43</v>
      </c>
      <c r="J104" s="14" t="s">
        <v>44</v>
      </c>
    </row>
    <row r="105" spans="1:10" x14ac:dyDescent="0.45">
      <c r="A105" s="2" t="s">
        <v>47</v>
      </c>
      <c r="B105" s="2">
        <v>0</v>
      </c>
      <c r="C105" s="2">
        <v>25</v>
      </c>
      <c r="D105" s="2">
        <v>30</v>
      </c>
      <c r="E105" s="2">
        <v>55</v>
      </c>
      <c r="G105" s="2" t="s">
        <v>47</v>
      </c>
      <c r="H105" s="8">
        <v>0</v>
      </c>
      <c r="I105" s="8">
        <v>0.45454545454545453</v>
      </c>
      <c r="J105" s="8">
        <v>0.54545454545454541</v>
      </c>
    </row>
    <row r="106" spans="1:10" x14ac:dyDescent="0.45">
      <c r="A106" s="2" t="s">
        <v>48</v>
      </c>
      <c r="B106" s="2">
        <v>0</v>
      </c>
      <c r="C106" s="2">
        <v>17</v>
      </c>
      <c r="D106" s="2">
        <v>62</v>
      </c>
      <c r="E106" s="2">
        <v>79</v>
      </c>
      <c r="G106" s="2" t="s">
        <v>48</v>
      </c>
      <c r="H106" s="8">
        <v>0</v>
      </c>
      <c r="I106" s="8">
        <v>0.21518987341772153</v>
      </c>
      <c r="J106" s="8">
        <v>0.78481012658227844</v>
      </c>
    </row>
    <row r="107" spans="1:10" x14ac:dyDescent="0.45">
      <c r="A107" s="2" t="s">
        <v>49</v>
      </c>
      <c r="B107" s="2">
        <v>1</v>
      </c>
      <c r="C107" s="2">
        <v>42</v>
      </c>
      <c r="D107" s="2">
        <v>89</v>
      </c>
      <c r="E107" s="2">
        <v>132</v>
      </c>
      <c r="G107" s="2" t="s">
        <v>49</v>
      </c>
      <c r="H107" s="8">
        <v>7.575757575757576E-3</v>
      </c>
      <c r="I107" s="8">
        <v>0.31818181818181818</v>
      </c>
      <c r="J107" s="8">
        <v>0.6742424242424242</v>
      </c>
    </row>
    <row r="108" spans="1:10" x14ac:dyDescent="0.45">
      <c r="A108" s="2" t="s">
        <v>50</v>
      </c>
      <c r="B108" s="2">
        <v>2</v>
      </c>
      <c r="C108" s="2">
        <v>21</v>
      </c>
      <c r="D108" s="2">
        <v>56</v>
      </c>
      <c r="E108" s="2">
        <v>79</v>
      </c>
      <c r="G108" s="2" t="s">
        <v>50</v>
      </c>
      <c r="H108" s="8">
        <v>2.5316455696202531E-2</v>
      </c>
      <c r="I108" s="8">
        <v>0.26582278481012656</v>
      </c>
      <c r="J108" s="8">
        <v>0.70886075949367089</v>
      </c>
    </row>
    <row r="109" spans="1:10" x14ac:dyDescent="0.45">
      <c r="A109" s="2" t="s">
        <v>51</v>
      </c>
      <c r="B109" s="2">
        <v>3</v>
      </c>
      <c r="C109" s="2">
        <v>11</v>
      </c>
      <c r="D109" s="2">
        <v>17</v>
      </c>
      <c r="E109" s="2">
        <v>31</v>
      </c>
      <c r="G109" s="2" t="s">
        <v>51</v>
      </c>
      <c r="H109" s="8">
        <v>9.6774193548387094E-2</v>
      </c>
      <c r="I109" s="8">
        <v>0.35483870967741937</v>
      </c>
      <c r="J109" s="8">
        <v>0.54838709677419351</v>
      </c>
    </row>
    <row r="110" spans="1:10" x14ac:dyDescent="0.45">
      <c r="A110" s="2" t="s">
        <v>52</v>
      </c>
      <c r="B110" s="2">
        <v>0</v>
      </c>
      <c r="C110" s="2">
        <v>7</v>
      </c>
      <c r="D110" s="2">
        <v>20</v>
      </c>
      <c r="E110" s="2">
        <v>27</v>
      </c>
      <c r="G110" s="2" t="s">
        <v>52</v>
      </c>
      <c r="H110" s="8">
        <v>0</v>
      </c>
      <c r="I110" s="8">
        <v>0.25925925925925924</v>
      </c>
      <c r="J110" s="8">
        <v>0.7407407407407407</v>
      </c>
    </row>
    <row r="112" spans="1:10" x14ac:dyDescent="0.45">
      <c r="A112" s="14" t="s">
        <v>13</v>
      </c>
      <c r="B112" s="14" t="s">
        <v>42</v>
      </c>
      <c r="C112" s="14" t="s">
        <v>43</v>
      </c>
      <c r="D112" s="14" t="s">
        <v>44</v>
      </c>
      <c r="E112" s="14">
        <v>403</v>
      </c>
      <c r="G112" s="14" t="s">
        <v>13</v>
      </c>
      <c r="H112" s="14" t="s">
        <v>42</v>
      </c>
      <c r="I112" s="14" t="s">
        <v>43</v>
      </c>
      <c r="J112" s="14" t="s">
        <v>44</v>
      </c>
    </row>
    <row r="113" spans="1:10" x14ac:dyDescent="0.45">
      <c r="A113" s="2" t="s">
        <v>47</v>
      </c>
      <c r="B113" s="2">
        <v>3</v>
      </c>
      <c r="C113" s="2">
        <v>39</v>
      </c>
      <c r="D113" s="2">
        <v>13</v>
      </c>
      <c r="E113" s="2">
        <v>55</v>
      </c>
      <c r="G113" s="2" t="s">
        <v>47</v>
      </c>
      <c r="H113" s="8">
        <v>5.4545454545454543E-2</v>
      </c>
      <c r="I113" s="8">
        <v>0.70909090909090911</v>
      </c>
      <c r="J113" s="8">
        <v>0.23636363636363636</v>
      </c>
    </row>
    <row r="114" spans="1:10" x14ac:dyDescent="0.45">
      <c r="A114" s="2" t="s">
        <v>48</v>
      </c>
      <c r="B114" s="2">
        <v>2</v>
      </c>
      <c r="C114" s="2">
        <v>53</v>
      </c>
      <c r="D114" s="2">
        <v>24</v>
      </c>
      <c r="E114" s="2">
        <v>79</v>
      </c>
      <c r="G114" s="2" t="s">
        <v>48</v>
      </c>
      <c r="H114" s="8">
        <v>2.5316455696202531E-2</v>
      </c>
      <c r="I114" s="8">
        <v>0.67088607594936711</v>
      </c>
      <c r="J114" s="8">
        <v>0.30379746835443039</v>
      </c>
    </row>
    <row r="115" spans="1:10" x14ac:dyDescent="0.45">
      <c r="A115" s="2" t="s">
        <v>49</v>
      </c>
      <c r="B115" s="2">
        <v>6</v>
      </c>
      <c r="C115" s="2">
        <v>87</v>
      </c>
      <c r="D115" s="2">
        <v>39</v>
      </c>
      <c r="E115" s="2">
        <v>132</v>
      </c>
      <c r="G115" s="2" t="s">
        <v>49</v>
      </c>
      <c r="H115" s="8">
        <v>4.5454545454545456E-2</v>
      </c>
      <c r="I115" s="8">
        <v>0.65909090909090906</v>
      </c>
      <c r="J115" s="8">
        <v>0.29545454545454547</v>
      </c>
    </row>
    <row r="116" spans="1:10" x14ac:dyDescent="0.45">
      <c r="A116" s="2" t="s">
        <v>50</v>
      </c>
      <c r="B116" s="2">
        <v>1</v>
      </c>
      <c r="C116" s="2">
        <v>55</v>
      </c>
      <c r="D116" s="2">
        <v>23</v>
      </c>
      <c r="E116" s="2">
        <v>79</v>
      </c>
      <c r="G116" s="2" t="s">
        <v>50</v>
      </c>
      <c r="H116" s="8">
        <v>1.2658227848101266E-2</v>
      </c>
      <c r="I116" s="8">
        <v>0.69620253164556967</v>
      </c>
      <c r="J116" s="8">
        <v>0.29113924050632911</v>
      </c>
    </row>
    <row r="117" spans="1:10" x14ac:dyDescent="0.45">
      <c r="A117" s="2" t="s">
        <v>51</v>
      </c>
      <c r="B117" s="2">
        <v>1</v>
      </c>
      <c r="C117" s="2">
        <v>17</v>
      </c>
      <c r="D117" s="2">
        <v>13</v>
      </c>
      <c r="E117" s="2">
        <v>31</v>
      </c>
      <c r="G117" s="2" t="s">
        <v>51</v>
      </c>
      <c r="H117" s="8">
        <v>3.2258064516129031E-2</v>
      </c>
      <c r="I117" s="8">
        <v>0.54838709677419351</v>
      </c>
      <c r="J117" s="8">
        <v>0.41935483870967744</v>
      </c>
    </row>
    <row r="118" spans="1:10" x14ac:dyDescent="0.45">
      <c r="A118" s="2" t="s">
        <v>52</v>
      </c>
      <c r="B118" s="2">
        <v>0</v>
      </c>
      <c r="C118" s="2">
        <v>17</v>
      </c>
      <c r="D118" s="2">
        <v>10</v>
      </c>
      <c r="E118" s="2">
        <v>27</v>
      </c>
      <c r="G118" s="2" t="s">
        <v>52</v>
      </c>
      <c r="H118" s="8">
        <v>0</v>
      </c>
      <c r="I118" s="8">
        <v>0.62962962962962965</v>
      </c>
      <c r="J118" s="8">
        <v>0.37037037037037035</v>
      </c>
    </row>
    <row r="120" spans="1:10" x14ac:dyDescent="0.45">
      <c r="A120" s="14" t="s">
        <v>14</v>
      </c>
      <c r="B120" s="14" t="s">
        <v>42</v>
      </c>
      <c r="C120" s="14" t="s">
        <v>43</v>
      </c>
      <c r="D120" s="14" t="s">
        <v>44</v>
      </c>
      <c r="E120" s="14">
        <v>403</v>
      </c>
      <c r="G120" s="14" t="s">
        <v>14</v>
      </c>
      <c r="H120" s="14" t="s">
        <v>42</v>
      </c>
      <c r="I120" s="14" t="s">
        <v>43</v>
      </c>
      <c r="J120" s="14" t="s">
        <v>44</v>
      </c>
    </row>
    <row r="121" spans="1:10" x14ac:dyDescent="0.45">
      <c r="A121" s="2" t="s">
        <v>47</v>
      </c>
      <c r="B121" s="2">
        <v>2</v>
      </c>
      <c r="C121" s="2">
        <v>39</v>
      </c>
      <c r="D121" s="2">
        <v>14</v>
      </c>
      <c r="E121" s="2">
        <v>55</v>
      </c>
      <c r="G121" s="2" t="s">
        <v>47</v>
      </c>
      <c r="H121" s="8">
        <v>3.6363636363636362E-2</v>
      </c>
      <c r="I121" s="8">
        <v>0.70909090909090911</v>
      </c>
      <c r="J121" s="8">
        <v>0.25454545454545452</v>
      </c>
    </row>
    <row r="122" spans="1:10" x14ac:dyDescent="0.45">
      <c r="A122" s="2" t="s">
        <v>48</v>
      </c>
      <c r="B122" s="2">
        <v>1</v>
      </c>
      <c r="C122" s="2">
        <v>53</v>
      </c>
      <c r="D122" s="2">
        <v>25</v>
      </c>
      <c r="E122" s="2">
        <v>79</v>
      </c>
      <c r="G122" s="2" t="s">
        <v>48</v>
      </c>
      <c r="H122" s="8">
        <v>1.2658227848101266E-2</v>
      </c>
      <c r="I122" s="8">
        <v>0.67088607594936711</v>
      </c>
      <c r="J122" s="8">
        <v>0.31645569620253167</v>
      </c>
    </row>
    <row r="123" spans="1:10" x14ac:dyDescent="0.45">
      <c r="A123" s="2" t="s">
        <v>49</v>
      </c>
      <c r="B123" s="2">
        <v>2</v>
      </c>
      <c r="C123" s="2">
        <v>89</v>
      </c>
      <c r="D123" s="2">
        <v>41</v>
      </c>
      <c r="E123" s="2">
        <v>132</v>
      </c>
      <c r="G123" s="2" t="s">
        <v>49</v>
      </c>
      <c r="H123" s="8">
        <v>1.5151515151515152E-2</v>
      </c>
      <c r="I123" s="8">
        <v>0.6742424242424242</v>
      </c>
      <c r="J123" s="8">
        <v>0.31060606060606061</v>
      </c>
    </row>
    <row r="124" spans="1:10" x14ac:dyDescent="0.45">
      <c r="A124" s="2" t="s">
        <v>50</v>
      </c>
      <c r="B124" s="2">
        <v>2</v>
      </c>
      <c r="C124" s="2">
        <v>46</v>
      </c>
      <c r="D124" s="2">
        <v>31</v>
      </c>
      <c r="E124" s="2">
        <v>79</v>
      </c>
      <c r="G124" s="2" t="s">
        <v>50</v>
      </c>
      <c r="H124" s="8">
        <v>2.5316455696202531E-2</v>
      </c>
      <c r="I124" s="8">
        <v>0.58227848101265822</v>
      </c>
      <c r="J124" s="8">
        <v>0.39240506329113922</v>
      </c>
    </row>
    <row r="125" spans="1:10" x14ac:dyDescent="0.45">
      <c r="A125" s="2" t="s">
        <v>51</v>
      </c>
      <c r="B125" s="2">
        <v>2</v>
      </c>
      <c r="C125" s="2">
        <v>24</v>
      </c>
      <c r="D125" s="2">
        <v>5</v>
      </c>
      <c r="E125" s="2">
        <v>31</v>
      </c>
      <c r="G125" s="2" t="s">
        <v>51</v>
      </c>
      <c r="H125" s="8">
        <v>6.4516129032258063E-2</v>
      </c>
      <c r="I125" s="8">
        <v>0.77419354838709675</v>
      </c>
      <c r="J125" s="8">
        <v>0.16129032258064516</v>
      </c>
    </row>
    <row r="126" spans="1:10" x14ac:dyDescent="0.45">
      <c r="A126" s="2" t="s">
        <v>52</v>
      </c>
      <c r="B126" s="2">
        <v>0</v>
      </c>
      <c r="C126" s="2">
        <v>19</v>
      </c>
      <c r="D126" s="2">
        <v>8</v>
      </c>
      <c r="E126" s="2">
        <v>27</v>
      </c>
      <c r="G126" s="2" t="s">
        <v>52</v>
      </c>
      <c r="H126" s="8">
        <v>0</v>
      </c>
      <c r="I126" s="8">
        <v>0.70370370370370372</v>
      </c>
      <c r="J126" s="8">
        <v>0.29629629629629628</v>
      </c>
    </row>
    <row r="128" spans="1:10" x14ac:dyDescent="0.45">
      <c r="A128" s="14" t="s">
        <v>15</v>
      </c>
      <c r="B128" s="14" t="s">
        <v>42</v>
      </c>
      <c r="C128" s="14" t="s">
        <v>43</v>
      </c>
      <c r="D128" s="14" t="s">
        <v>44</v>
      </c>
      <c r="E128" s="14">
        <v>403</v>
      </c>
      <c r="G128" s="14" t="s">
        <v>15</v>
      </c>
      <c r="H128" s="14" t="s">
        <v>42</v>
      </c>
      <c r="I128" s="14" t="s">
        <v>43</v>
      </c>
      <c r="J128" s="14" t="s">
        <v>44</v>
      </c>
    </row>
    <row r="129" spans="1:10" x14ac:dyDescent="0.45">
      <c r="A129" s="2" t="s">
        <v>47</v>
      </c>
      <c r="B129" s="2">
        <v>7</v>
      </c>
      <c r="C129" s="2">
        <v>44</v>
      </c>
      <c r="D129" s="2">
        <v>4</v>
      </c>
      <c r="E129" s="2">
        <v>55</v>
      </c>
      <c r="G129" s="2" t="s">
        <v>47</v>
      </c>
      <c r="H129" s="8">
        <v>0.12727272727272726</v>
      </c>
      <c r="I129" s="8">
        <v>0.8</v>
      </c>
      <c r="J129" s="8">
        <v>7.2727272727272724E-2</v>
      </c>
    </row>
    <row r="130" spans="1:10" x14ac:dyDescent="0.45">
      <c r="A130" s="2" t="s">
        <v>48</v>
      </c>
      <c r="B130" s="2">
        <v>2</v>
      </c>
      <c r="C130" s="2">
        <v>63</v>
      </c>
      <c r="D130" s="2">
        <v>14</v>
      </c>
      <c r="E130" s="2">
        <v>79</v>
      </c>
      <c r="G130" s="2" t="s">
        <v>48</v>
      </c>
      <c r="H130" s="8">
        <v>2.5316455696202531E-2</v>
      </c>
      <c r="I130" s="8">
        <v>0.79746835443037978</v>
      </c>
      <c r="J130" s="8">
        <v>0.17721518987341772</v>
      </c>
    </row>
    <row r="131" spans="1:10" x14ac:dyDescent="0.45">
      <c r="A131" s="2" t="s">
        <v>49</v>
      </c>
      <c r="B131" s="2">
        <v>5</v>
      </c>
      <c r="C131" s="2">
        <v>104</v>
      </c>
      <c r="D131" s="2">
        <v>23</v>
      </c>
      <c r="E131" s="2">
        <v>132</v>
      </c>
      <c r="G131" s="2" t="s">
        <v>49</v>
      </c>
      <c r="H131" s="8">
        <v>3.787878787878788E-2</v>
      </c>
      <c r="I131" s="8">
        <v>0.78787878787878785</v>
      </c>
      <c r="J131" s="8">
        <v>0.17424242424242425</v>
      </c>
    </row>
    <row r="132" spans="1:10" x14ac:dyDescent="0.45">
      <c r="A132" s="2" t="s">
        <v>50</v>
      </c>
      <c r="B132" s="2">
        <v>2</v>
      </c>
      <c r="C132" s="2">
        <v>60</v>
      </c>
      <c r="D132" s="2">
        <v>17</v>
      </c>
      <c r="E132" s="2">
        <v>79</v>
      </c>
      <c r="G132" s="2" t="s">
        <v>50</v>
      </c>
      <c r="H132" s="8">
        <v>2.5316455696202531E-2</v>
      </c>
      <c r="I132" s="8">
        <v>0.759493670886076</v>
      </c>
      <c r="J132" s="8">
        <v>0.21518987341772153</v>
      </c>
    </row>
    <row r="133" spans="1:10" x14ac:dyDescent="0.45">
      <c r="A133" s="2" t="s">
        <v>51</v>
      </c>
      <c r="B133" s="2">
        <v>2</v>
      </c>
      <c r="C133" s="2">
        <v>22</v>
      </c>
      <c r="D133" s="2">
        <v>7</v>
      </c>
      <c r="E133" s="2">
        <v>31</v>
      </c>
      <c r="G133" s="2" t="s">
        <v>51</v>
      </c>
      <c r="H133" s="8">
        <v>6.4516129032258063E-2</v>
      </c>
      <c r="I133" s="8">
        <v>0.70967741935483875</v>
      </c>
      <c r="J133" s="8">
        <v>0.22580645161290322</v>
      </c>
    </row>
    <row r="134" spans="1:10" x14ac:dyDescent="0.45">
      <c r="A134" s="2" t="s">
        <v>52</v>
      </c>
      <c r="B134" s="2">
        <v>1</v>
      </c>
      <c r="C134" s="2">
        <v>20</v>
      </c>
      <c r="D134" s="2">
        <v>6</v>
      </c>
      <c r="E134" s="2">
        <v>27</v>
      </c>
      <c r="G134" s="2" t="s">
        <v>52</v>
      </c>
      <c r="H134" s="8">
        <v>3.7037037037037035E-2</v>
      </c>
      <c r="I134" s="8">
        <v>0.7407407407407407</v>
      </c>
      <c r="J134" s="8">
        <v>0.22222222222222221</v>
      </c>
    </row>
    <row r="136" spans="1:10" x14ac:dyDescent="0.45">
      <c r="A136" s="14" t="s">
        <v>16</v>
      </c>
      <c r="B136" s="14" t="s">
        <v>42</v>
      </c>
      <c r="C136" s="14" t="s">
        <v>43</v>
      </c>
      <c r="D136" s="14" t="s">
        <v>44</v>
      </c>
      <c r="E136" s="14">
        <v>403</v>
      </c>
      <c r="G136" s="14" t="s">
        <v>16</v>
      </c>
      <c r="H136" s="14" t="s">
        <v>42</v>
      </c>
      <c r="I136" s="14" t="s">
        <v>43</v>
      </c>
      <c r="J136" s="14" t="s">
        <v>44</v>
      </c>
    </row>
    <row r="137" spans="1:10" x14ac:dyDescent="0.45">
      <c r="A137" s="2" t="s">
        <v>47</v>
      </c>
      <c r="B137" s="2">
        <v>4</v>
      </c>
      <c r="C137" s="2">
        <v>48</v>
      </c>
      <c r="D137" s="2">
        <v>3</v>
      </c>
      <c r="E137" s="2">
        <v>55</v>
      </c>
      <c r="G137" s="2" t="s">
        <v>47</v>
      </c>
      <c r="H137" s="8">
        <v>7.2727272727272724E-2</v>
      </c>
      <c r="I137" s="8">
        <v>0.87272727272727268</v>
      </c>
      <c r="J137" s="8">
        <v>5.4545454545454543E-2</v>
      </c>
    </row>
    <row r="138" spans="1:10" x14ac:dyDescent="0.45">
      <c r="A138" s="2" t="s">
        <v>48</v>
      </c>
      <c r="B138" s="2">
        <v>6</v>
      </c>
      <c r="C138" s="2">
        <v>68</v>
      </c>
      <c r="D138" s="2">
        <v>5</v>
      </c>
      <c r="E138" s="2">
        <v>79</v>
      </c>
      <c r="G138" s="2" t="s">
        <v>48</v>
      </c>
      <c r="H138" s="8">
        <v>7.5949367088607597E-2</v>
      </c>
      <c r="I138" s="8">
        <v>0.86075949367088611</v>
      </c>
      <c r="J138" s="8">
        <v>6.3291139240506333E-2</v>
      </c>
    </row>
    <row r="139" spans="1:10" x14ac:dyDescent="0.45">
      <c r="A139" s="2" t="s">
        <v>49</v>
      </c>
      <c r="B139" s="2">
        <v>6</v>
      </c>
      <c r="C139" s="2">
        <v>116</v>
      </c>
      <c r="D139" s="2">
        <v>10</v>
      </c>
      <c r="E139" s="2">
        <v>132</v>
      </c>
      <c r="G139" s="2" t="s">
        <v>49</v>
      </c>
      <c r="H139" s="8">
        <v>4.5454545454545456E-2</v>
      </c>
      <c r="I139" s="8">
        <v>0.87878787878787878</v>
      </c>
      <c r="J139" s="8">
        <v>7.575757575757576E-2</v>
      </c>
    </row>
    <row r="140" spans="1:10" x14ac:dyDescent="0.45">
      <c r="A140" s="2" t="s">
        <v>50</v>
      </c>
      <c r="B140" s="2">
        <v>6</v>
      </c>
      <c r="C140" s="2">
        <v>67</v>
      </c>
      <c r="D140" s="2">
        <v>6</v>
      </c>
      <c r="E140" s="2">
        <v>79</v>
      </c>
      <c r="G140" s="2" t="s">
        <v>50</v>
      </c>
      <c r="H140" s="8">
        <v>7.5949367088607597E-2</v>
      </c>
      <c r="I140" s="8">
        <v>0.84810126582278478</v>
      </c>
      <c r="J140" s="8">
        <v>7.5949367088607597E-2</v>
      </c>
    </row>
    <row r="141" spans="1:10" x14ac:dyDescent="0.45">
      <c r="A141" s="2" t="s">
        <v>51</v>
      </c>
      <c r="B141" s="2">
        <v>5</v>
      </c>
      <c r="C141" s="2">
        <v>23</v>
      </c>
      <c r="D141" s="2">
        <v>3</v>
      </c>
      <c r="E141" s="2">
        <v>31</v>
      </c>
      <c r="G141" s="2" t="s">
        <v>51</v>
      </c>
      <c r="H141" s="8">
        <v>0.16129032258064516</v>
      </c>
      <c r="I141" s="8">
        <v>0.74193548387096775</v>
      </c>
      <c r="J141" s="8">
        <v>9.6774193548387094E-2</v>
      </c>
    </row>
    <row r="142" spans="1:10" x14ac:dyDescent="0.45">
      <c r="A142" s="2" t="s">
        <v>52</v>
      </c>
      <c r="B142" s="2">
        <v>1</v>
      </c>
      <c r="C142" s="2">
        <v>23</v>
      </c>
      <c r="D142" s="2">
        <v>3</v>
      </c>
      <c r="E142" s="2">
        <v>27</v>
      </c>
      <c r="G142" s="2" t="s">
        <v>52</v>
      </c>
      <c r="H142" s="8">
        <v>3.7037037037037035E-2</v>
      </c>
      <c r="I142" s="8">
        <v>0.85185185185185186</v>
      </c>
      <c r="J142" s="8">
        <v>0.1111111111111111</v>
      </c>
    </row>
    <row r="144" spans="1:10" x14ac:dyDescent="0.45">
      <c r="A144" s="14" t="s">
        <v>14</v>
      </c>
      <c r="B144" s="14" t="s">
        <v>42</v>
      </c>
      <c r="C144" s="14" t="s">
        <v>43</v>
      </c>
      <c r="D144" s="14" t="s">
        <v>44</v>
      </c>
      <c r="E144" s="14">
        <v>403</v>
      </c>
      <c r="G144" s="14" t="s">
        <v>14</v>
      </c>
      <c r="H144" s="14" t="s">
        <v>42</v>
      </c>
      <c r="I144" s="14" t="s">
        <v>43</v>
      </c>
      <c r="J144" s="14" t="s">
        <v>44</v>
      </c>
    </row>
    <row r="145" spans="1:10" x14ac:dyDescent="0.45">
      <c r="A145" s="2" t="s">
        <v>53</v>
      </c>
      <c r="B145" s="2">
        <v>0</v>
      </c>
      <c r="C145" s="2">
        <v>30</v>
      </c>
      <c r="D145" s="2">
        <v>11</v>
      </c>
      <c r="E145" s="2">
        <v>41</v>
      </c>
      <c r="G145" s="2" t="s">
        <v>53</v>
      </c>
      <c r="H145" s="8">
        <v>0</v>
      </c>
      <c r="I145" s="8">
        <v>0.73170731707317072</v>
      </c>
      <c r="J145" s="8">
        <v>0.26829268292682928</v>
      </c>
    </row>
    <row r="146" spans="1:10" x14ac:dyDescent="0.45">
      <c r="A146" s="2" t="s">
        <v>54</v>
      </c>
      <c r="B146" s="2">
        <v>4</v>
      </c>
      <c r="C146" s="2">
        <v>47</v>
      </c>
      <c r="D146" s="2">
        <v>28</v>
      </c>
      <c r="E146" s="2">
        <v>79</v>
      </c>
      <c r="G146" s="2" t="s">
        <v>54</v>
      </c>
      <c r="H146" s="8">
        <v>5.0632911392405063E-2</v>
      </c>
      <c r="I146" s="8">
        <v>0.59493670886075944</v>
      </c>
      <c r="J146" s="8">
        <v>0.35443037974683544</v>
      </c>
    </row>
    <row r="147" spans="1:10" x14ac:dyDescent="0.45">
      <c r="A147" s="2" t="s">
        <v>55</v>
      </c>
      <c r="B147" s="2">
        <v>0</v>
      </c>
      <c r="C147" s="2">
        <v>36</v>
      </c>
      <c r="D147" s="2">
        <v>5</v>
      </c>
      <c r="E147" s="2">
        <v>41</v>
      </c>
      <c r="G147" s="2" t="s">
        <v>55</v>
      </c>
      <c r="H147" s="8">
        <v>0</v>
      </c>
      <c r="I147" s="8">
        <v>0.87804878048780488</v>
      </c>
      <c r="J147" s="8">
        <v>0.12195121951219512</v>
      </c>
    </row>
    <row r="148" spans="1:10" x14ac:dyDescent="0.45">
      <c r="A148" s="2" t="s">
        <v>56</v>
      </c>
      <c r="B148" s="2">
        <v>0</v>
      </c>
      <c r="C148" s="2">
        <v>31</v>
      </c>
      <c r="D148" s="2">
        <v>22</v>
      </c>
      <c r="E148" s="2">
        <v>53</v>
      </c>
      <c r="G148" s="2" t="s">
        <v>56</v>
      </c>
      <c r="H148" s="8">
        <v>0</v>
      </c>
      <c r="I148" s="8">
        <v>0.58490566037735847</v>
      </c>
      <c r="J148" s="8">
        <v>0.41509433962264153</v>
      </c>
    </row>
    <row r="149" spans="1:10" x14ac:dyDescent="0.45">
      <c r="A149" s="2" t="s">
        <v>57</v>
      </c>
      <c r="B149" s="2">
        <v>1</v>
      </c>
      <c r="C149" s="2">
        <v>39</v>
      </c>
      <c r="D149" s="2">
        <v>13</v>
      </c>
      <c r="E149" s="2">
        <v>53</v>
      </c>
      <c r="G149" s="2" t="s">
        <v>57</v>
      </c>
      <c r="H149" s="8">
        <v>1.8867924528301886E-2</v>
      </c>
      <c r="I149" s="8">
        <v>0.73584905660377353</v>
      </c>
      <c r="J149" s="8">
        <v>0.24528301886792453</v>
      </c>
    </row>
    <row r="150" spans="1:10" x14ac:dyDescent="0.45">
      <c r="A150" s="2" t="s">
        <v>58</v>
      </c>
      <c r="B150" s="2">
        <v>3</v>
      </c>
      <c r="C150" s="2">
        <v>37</v>
      </c>
      <c r="D150" s="2">
        <v>22</v>
      </c>
      <c r="E150" s="2">
        <v>62</v>
      </c>
      <c r="G150" s="2" t="s">
        <v>58</v>
      </c>
      <c r="H150" s="8">
        <v>4.8387096774193547E-2</v>
      </c>
      <c r="I150" s="8">
        <v>0.59677419354838712</v>
      </c>
      <c r="J150" s="8">
        <v>0.35483870967741937</v>
      </c>
    </row>
    <row r="151" spans="1:10" x14ac:dyDescent="0.45">
      <c r="A151" s="2" t="s">
        <v>59</v>
      </c>
      <c r="B151" s="2">
        <v>1</v>
      </c>
      <c r="C151" s="2">
        <v>22</v>
      </c>
      <c r="D151" s="2">
        <v>16</v>
      </c>
      <c r="E151" s="2">
        <v>39</v>
      </c>
      <c r="G151" s="2" t="s">
        <v>59</v>
      </c>
      <c r="H151" s="8">
        <v>2.564102564102564E-2</v>
      </c>
      <c r="I151" s="8">
        <v>0.5641025641025641</v>
      </c>
      <c r="J151" s="8">
        <v>0.41025641025641024</v>
      </c>
    </row>
    <row r="152" spans="1:10" x14ac:dyDescent="0.45">
      <c r="A152" s="2" t="s">
        <v>60</v>
      </c>
      <c r="B152" s="2">
        <v>0</v>
      </c>
      <c r="C152" s="2">
        <v>28</v>
      </c>
      <c r="D152" s="2">
        <v>7</v>
      </c>
      <c r="E152" s="2">
        <v>35</v>
      </c>
      <c r="G152" s="2" t="s">
        <v>60</v>
      </c>
      <c r="H152" s="8">
        <v>0</v>
      </c>
      <c r="I152" s="8">
        <v>0.8</v>
      </c>
      <c r="J152" s="8">
        <v>0.2</v>
      </c>
    </row>
    <row r="154" spans="1:10" x14ac:dyDescent="0.45">
      <c r="A154" s="14" t="s">
        <v>15</v>
      </c>
      <c r="B154" s="14" t="s">
        <v>42</v>
      </c>
      <c r="C154" s="14" t="s">
        <v>43</v>
      </c>
      <c r="D154" s="14" t="s">
        <v>44</v>
      </c>
      <c r="E154" s="14">
        <v>403</v>
      </c>
      <c r="G154" s="14" t="s">
        <v>15</v>
      </c>
      <c r="H154" s="14" t="s">
        <v>42</v>
      </c>
      <c r="I154" s="14" t="s">
        <v>43</v>
      </c>
      <c r="J154" s="14" t="s">
        <v>44</v>
      </c>
    </row>
    <row r="155" spans="1:10" x14ac:dyDescent="0.45">
      <c r="A155" s="2" t="s">
        <v>53</v>
      </c>
      <c r="B155" s="2">
        <v>2</v>
      </c>
      <c r="C155" s="2">
        <v>33</v>
      </c>
      <c r="D155" s="2">
        <v>6</v>
      </c>
      <c r="E155" s="2">
        <v>41</v>
      </c>
      <c r="G155" s="2" t="s">
        <v>53</v>
      </c>
      <c r="H155" s="8">
        <v>4.878048780487805E-2</v>
      </c>
      <c r="I155" s="8">
        <v>0.80487804878048785</v>
      </c>
      <c r="J155" s="8">
        <v>0.14634146341463414</v>
      </c>
    </row>
    <row r="156" spans="1:10" x14ac:dyDescent="0.45">
      <c r="A156" s="2" t="s">
        <v>54</v>
      </c>
      <c r="B156" s="2">
        <v>6</v>
      </c>
      <c r="C156" s="2">
        <v>63</v>
      </c>
      <c r="D156" s="2">
        <v>10</v>
      </c>
      <c r="E156" s="2">
        <v>79</v>
      </c>
      <c r="G156" s="2" t="s">
        <v>54</v>
      </c>
      <c r="H156" s="8">
        <v>7.5949367088607597E-2</v>
      </c>
      <c r="I156" s="8">
        <v>0.79746835443037978</v>
      </c>
      <c r="J156" s="8">
        <v>0.12658227848101267</v>
      </c>
    </row>
    <row r="157" spans="1:10" x14ac:dyDescent="0.45">
      <c r="A157" s="2" t="s">
        <v>55</v>
      </c>
      <c r="B157" s="2">
        <v>3</v>
      </c>
      <c r="C157" s="2">
        <v>29</v>
      </c>
      <c r="D157" s="2">
        <v>9</v>
      </c>
      <c r="E157" s="2">
        <v>41</v>
      </c>
      <c r="G157" s="2" t="s">
        <v>55</v>
      </c>
      <c r="H157" s="8">
        <v>7.3170731707317069E-2</v>
      </c>
      <c r="I157" s="8">
        <v>0.70731707317073167</v>
      </c>
      <c r="J157" s="8">
        <v>0.21951219512195122</v>
      </c>
    </row>
    <row r="158" spans="1:10" x14ac:dyDescent="0.45">
      <c r="A158" s="2" t="s">
        <v>56</v>
      </c>
      <c r="B158" s="2">
        <v>2</v>
      </c>
      <c r="C158" s="2">
        <v>42</v>
      </c>
      <c r="D158" s="2">
        <v>9</v>
      </c>
      <c r="E158" s="2">
        <v>53</v>
      </c>
      <c r="G158" s="2" t="s">
        <v>56</v>
      </c>
      <c r="H158" s="8">
        <v>3.7735849056603772E-2</v>
      </c>
      <c r="I158" s="8">
        <v>0.79245283018867929</v>
      </c>
      <c r="J158" s="8">
        <v>0.16981132075471697</v>
      </c>
    </row>
    <row r="159" spans="1:10" x14ac:dyDescent="0.45">
      <c r="A159" s="2" t="s">
        <v>57</v>
      </c>
      <c r="B159" s="2">
        <v>1</v>
      </c>
      <c r="C159" s="2">
        <v>40</v>
      </c>
      <c r="D159" s="2">
        <v>12</v>
      </c>
      <c r="E159" s="2">
        <v>53</v>
      </c>
      <c r="G159" s="2" t="s">
        <v>57</v>
      </c>
      <c r="H159" s="8">
        <v>1.8867924528301886E-2</v>
      </c>
      <c r="I159" s="8">
        <v>0.75471698113207553</v>
      </c>
      <c r="J159" s="8">
        <v>0.22641509433962265</v>
      </c>
    </row>
    <row r="160" spans="1:10" x14ac:dyDescent="0.45">
      <c r="A160" s="2" t="s">
        <v>58</v>
      </c>
      <c r="B160" s="2">
        <v>3</v>
      </c>
      <c r="C160" s="2">
        <v>48</v>
      </c>
      <c r="D160" s="2">
        <v>11</v>
      </c>
      <c r="E160" s="2">
        <v>62</v>
      </c>
      <c r="G160" s="2" t="s">
        <v>58</v>
      </c>
      <c r="H160" s="8">
        <v>4.8387096774193547E-2</v>
      </c>
      <c r="I160" s="8">
        <v>0.77419354838709675</v>
      </c>
      <c r="J160" s="8">
        <v>0.17741935483870969</v>
      </c>
    </row>
    <row r="161" spans="1:10" x14ac:dyDescent="0.45">
      <c r="A161" s="2" t="s">
        <v>59</v>
      </c>
      <c r="B161" s="2">
        <v>2</v>
      </c>
      <c r="C161" s="2">
        <v>28</v>
      </c>
      <c r="D161" s="2">
        <v>9</v>
      </c>
      <c r="E161" s="2">
        <v>39</v>
      </c>
      <c r="G161" s="2" t="s">
        <v>59</v>
      </c>
      <c r="H161" s="8">
        <v>5.128205128205128E-2</v>
      </c>
      <c r="I161" s="8">
        <v>0.71794871794871795</v>
      </c>
      <c r="J161" s="8">
        <v>0.23076923076923078</v>
      </c>
    </row>
    <row r="162" spans="1:10" x14ac:dyDescent="0.45">
      <c r="A162" s="2" t="s">
        <v>60</v>
      </c>
      <c r="B162" s="2">
        <v>0</v>
      </c>
      <c r="C162" s="2">
        <v>30</v>
      </c>
      <c r="D162" s="2">
        <v>5</v>
      </c>
      <c r="E162" s="2">
        <v>35</v>
      </c>
      <c r="G162" s="2" t="s">
        <v>60</v>
      </c>
      <c r="H162" s="8">
        <v>0</v>
      </c>
      <c r="I162" s="8">
        <v>0.8571428571428571</v>
      </c>
      <c r="J162" s="8">
        <v>0.14285714285714285</v>
      </c>
    </row>
    <row r="164" spans="1:10" x14ac:dyDescent="0.45">
      <c r="A164" s="14" t="s">
        <v>61</v>
      </c>
      <c r="B164" s="14" t="s">
        <v>42</v>
      </c>
      <c r="C164" s="14" t="s">
        <v>43</v>
      </c>
      <c r="D164" s="14" t="s">
        <v>44</v>
      </c>
      <c r="E164" s="14">
        <v>401</v>
      </c>
      <c r="G164" s="14" t="s">
        <v>61</v>
      </c>
      <c r="H164" s="14" t="s">
        <v>42</v>
      </c>
      <c r="I164" s="14" t="s">
        <v>43</v>
      </c>
      <c r="J164" s="14" t="s">
        <v>44</v>
      </c>
    </row>
    <row r="165" spans="1:10" x14ac:dyDescent="0.45">
      <c r="A165" s="2" t="s">
        <v>47</v>
      </c>
      <c r="B165" s="2">
        <v>1</v>
      </c>
      <c r="C165" s="2">
        <v>33</v>
      </c>
      <c r="D165" s="2">
        <v>21</v>
      </c>
      <c r="E165" s="2">
        <v>55</v>
      </c>
      <c r="G165" s="2" t="s">
        <v>47</v>
      </c>
      <c r="H165" s="8">
        <v>1.8181818181818181E-2</v>
      </c>
      <c r="I165" s="8">
        <v>0.6</v>
      </c>
      <c r="J165" s="8">
        <v>0.38181818181818183</v>
      </c>
    </row>
    <row r="166" spans="1:10" x14ac:dyDescent="0.45">
      <c r="A166" s="2" t="s">
        <v>48</v>
      </c>
      <c r="B166" s="2">
        <v>2</v>
      </c>
      <c r="C166" s="2">
        <v>54</v>
      </c>
      <c r="D166" s="2">
        <v>23</v>
      </c>
      <c r="E166" s="2">
        <v>79</v>
      </c>
      <c r="G166" s="2" t="s">
        <v>48</v>
      </c>
      <c r="H166" s="8">
        <v>2.5316455696202531E-2</v>
      </c>
      <c r="I166" s="8">
        <v>0.68354430379746833</v>
      </c>
      <c r="J166" s="8">
        <v>0.29113924050632911</v>
      </c>
    </row>
    <row r="167" spans="1:10" x14ac:dyDescent="0.45">
      <c r="A167" s="2" t="s">
        <v>49</v>
      </c>
      <c r="B167" s="2">
        <v>4</v>
      </c>
      <c r="C167" s="2">
        <v>78</v>
      </c>
      <c r="D167" s="2">
        <v>49</v>
      </c>
      <c r="E167" s="2">
        <v>131</v>
      </c>
      <c r="G167" s="2" t="s">
        <v>49</v>
      </c>
      <c r="H167" s="8">
        <v>3.0534351145038167E-2</v>
      </c>
      <c r="I167" s="8">
        <v>0.59541984732824427</v>
      </c>
      <c r="J167" s="8">
        <v>0.37404580152671757</v>
      </c>
    </row>
    <row r="168" spans="1:10" x14ac:dyDescent="0.45">
      <c r="A168" s="2" t="s">
        <v>50</v>
      </c>
      <c r="B168" s="2">
        <v>0</v>
      </c>
      <c r="C168" s="2">
        <v>49</v>
      </c>
      <c r="D168" s="2">
        <v>29</v>
      </c>
      <c r="E168" s="2">
        <v>78</v>
      </c>
      <c r="G168" s="2" t="s">
        <v>50</v>
      </c>
      <c r="H168" s="8">
        <v>0</v>
      </c>
      <c r="I168" s="8">
        <v>0.62820512820512819</v>
      </c>
      <c r="J168" s="8">
        <v>0.37179487179487181</v>
      </c>
    </row>
    <row r="169" spans="1:10" x14ac:dyDescent="0.45">
      <c r="A169" s="2" t="s">
        <v>51</v>
      </c>
      <c r="B169" s="2">
        <v>0</v>
      </c>
      <c r="C169" s="2">
        <v>25</v>
      </c>
      <c r="D169" s="2">
        <v>6</v>
      </c>
      <c r="E169" s="2">
        <v>31</v>
      </c>
      <c r="G169" s="2" t="s">
        <v>51</v>
      </c>
      <c r="H169" s="8">
        <v>0</v>
      </c>
      <c r="I169" s="8">
        <v>0.80645161290322576</v>
      </c>
      <c r="J169" s="8">
        <v>0.19354838709677419</v>
      </c>
    </row>
    <row r="170" spans="1:10" x14ac:dyDescent="0.45">
      <c r="A170" s="2" t="s">
        <v>52</v>
      </c>
      <c r="B170" s="2">
        <v>0</v>
      </c>
      <c r="C170" s="2">
        <v>9</v>
      </c>
      <c r="D170" s="2">
        <v>18</v>
      </c>
      <c r="E170" s="2">
        <v>27</v>
      </c>
      <c r="G170" s="2" t="s">
        <v>52</v>
      </c>
      <c r="H170" s="8">
        <v>0</v>
      </c>
      <c r="I170" s="8">
        <v>0.33333333333333331</v>
      </c>
      <c r="J170" s="8">
        <v>0.66666666666666663</v>
      </c>
    </row>
    <row r="174" spans="1:10" x14ac:dyDescent="0.45">
      <c r="A174" s="19" t="s">
        <v>29</v>
      </c>
      <c r="B174" s="19"/>
      <c r="C174" s="19"/>
      <c r="D174" s="19"/>
      <c r="E174" s="19"/>
      <c r="F174" s="19"/>
      <c r="G174" s="19"/>
      <c r="H174" s="19"/>
      <c r="I174" s="19"/>
      <c r="J174" s="19"/>
    </row>
    <row r="175" spans="1:10" x14ac:dyDescent="0.45">
      <c r="A175" s="14" t="s">
        <v>9</v>
      </c>
      <c r="B175" s="14" t="s">
        <v>42</v>
      </c>
      <c r="C175" s="14" t="s">
        <v>43</v>
      </c>
      <c r="D175" s="14" t="s">
        <v>44</v>
      </c>
      <c r="E175" s="14">
        <v>403</v>
      </c>
      <c r="G175" s="14" t="s">
        <v>9</v>
      </c>
      <c r="H175" s="14" t="s">
        <v>42</v>
      </c>
      <c r="I175" s="14" t="s">
        <v>43</v>
      </c>
      <c r="J175" s="14" t="s">
        <v>44</v>
      </c>
    </row>
    <row r="176" spans="1:10" x14ac:dyDescent="0.45">
      <c r="A176" s="2" t="s">
        <v>45</v>
      </c>
      <c r="B176" s="2">
        <v>5</v>
      </c>
      <c r="C176" s="2">
        <v>271</v>
      </c>
      <c r="D176" s="2">
        <v>101</v>
      </c>
      <c r="E176" s="2">
        <v>377</v>
      </c>
      <c r="G176" s="2" t="s">
        <v>45</v>
      </c>
      <c r="H176" s="13">
        <v>1.3262599469496022E-2</v>
      </c>
      <c r="I176" s="13">
        <v>0.71883289124668437</v>
      </c>
      <c r="J176" s="13">
        <v>0.26790450928381965</v>
      </c>
    </row>
    <row r="177" spans="1:10" x14ac:dyDescent="0.45">
      <c r="A177" s="2" t="s">
        <v>46</v>
      </c>
      <c r="B177" s="2">
        <v>0</v>
      </c>
      <c r="C177" s="2">
        <v>20</v>
      </c>
      <c r="D177" s="2">
        <v>6</v>
      </c>
      <c r="E177" s="2">
        <v>26</v>
      </c>
      <c r="G177" s="2" t="s">
        <v>46</v>
      </c>
      <c r="H177" s="13">
        <v>0</v>
      </c>
      <c r="I177" s="13">
        <v>0.76923076923076927</v>
      </c>
      <c r="J177" s="13">
        <v>0.23076923076923078</v>
      </c>
    </row>
    <row r="179" spans="1:10" x14ac:dyDescent="0.45">
      <c r="A179" s="14" t="s">
        <v>10</v>
      </c>
      <c r="B179" s="14" t="s">
        <v>42</v>
      </c>
      <c r="C179" s="14" t="s">
        <v>43</v>
      </c>
      <c r="D179" s="14" t="s">
        <v>44</v>
      </c>
      <c r="E179" s="14">
        <v>403</v>
      </c>
      <c r="G179" s="14" t="s">
        <v>10</v>
      </c>
      <c r="H179" s="14" t="s">
        <v>42</v>
      </c>
      <c r="I179" s="14" t="s">
        <v>43</v>
      </c>
      <c r="J179" s="14" t="s">
        <v>44</v>
      </c>
    </row>
    <row r="180" spans="1:10" x14ac:dyDescent="0.45">
      <c r="A180" s="2" t="s">
        <v>45</v>
      </c>
      <c r="B180" s="2">
        <v>0</v>
      </c>
      <c r="C180" s="2">
        <v>216</v>
      </c>
      <c r="D180" s="2">
        <v>161</v>
      </c>
      <c r="E180" s="2">
        <v>377</v>
      </c>
      <c r="G180" s="2" t="s">
        <v>45</v>
      </c>
      <c r="H180" s="13">
        <v>0</v>
      </c>
      <c r="I180" s="13">
        <v>0.57294429708222816</v>
      </c>
      <c r="J180" s="13">
        <v>0.4270557029177719</v>
      </c>
    </row>
    <row r="181" spans="1:10" x14ac:dyDescent="0.45">
      <c r="A181" s="2" t="s">
        <v>46</v>
      </c>
      <c r="B181" s="2">
        <v>0</v>
      </c>
      <c r="C181" s="2">
        <v>17</v>
      </c>
      <c r="D181" s="2">
        <v>9</v>
      </c>
      <c r="E181" s="2">
        <v>26</v>
      </c>
      <c r="G181" s="2" t="s">
        <v>46</v>
      </c>
      <c r="H181" s="13">
        <v>0</v>
      </c>
      <c r="I181" s="13">
        <v>0.65384615384615385</v>
      </c>
      <c r="J181" s="13">
        <v>0.34615384615384615</v>
      </c>
    </row>
    <row r="183" spans="1:10" x14ac:dyDescent="0.45">
      <c r="A183" s="14" t="s">
        <v>11</v>
      </c>
      <c r="B183" s="14" t="s">
        <v>42</v>
      </c>
      <c r="C183" s="14" t="s">
        <v>43</v>
      </c>
      <c r="D183" s="14" t="s">
        <v>44</v>
      </c>
      <c r="E183" s="14">
        <v>403</v>
      </c>
      <c r="G183" s="14" t="s">
        <v>11</v>
      </c>
      <c r="H183" s="14" t="s">
        <v>42</v>
      </c>
      <c r="I183" s="14" t="s">
        <v>43</v>
      </c>
      <c r="J183" s="14" t="s">
        <v>44</v>
      </c>
    </row>
    <row r="184" spans="1:10" x14ac:dyDescent="0.45">
      <c r="A184" s="2" t="s">
        <v>45</v>
      </c>
      <c r="B184" s="2">
        <v>5</v>
      </c>
      <c r="C184" s="2">
        <v>135</v>
      </c>
      <c r="D184" s="2">
        <v>237</v>
      </c>
      <c r="E184" s="2">
        <v>377</v>
      </c>
      <c r="G184" s="2" t="s">
        <v>45</v>
      </c>
      <c r="H184" s="13">
        <v>1.3262599469496022E-2</v>
      </c>
      <c r="I184" s="13">
        <v>0.35809018567639256</v>
      </c>
      <c r="J184" s="13">
        <v>0.62864721485411146</v>
      </c>
    </row>
    <row r="185" spans="1:10" x14ac:dyDescent="0.45">
      <c r="A185" s="2" t="s">
        <v>46</v>
      </c>
      <c r="B185" s="2">
        <v>1</v>
      </c>
      <c r="C185" s="2">
        <v>7</v>
      </c>
      <c r="D185" s="2">
        <v>18</v>
      </c>
      <c r="E185" s="2">
        <v>26</v>
      </c>
      <c r="G185" s="2" t="s">
        <v>46</v>
      </c>
      <c r="H185" s="13">
        <v>3.8461538461538464E-2</v>
      </c>
      <c r="I185" s="13">
        <v>0.26923076923076922</v>
      </c>
      <c r="J185" s="13">
        <v>0.69230769230769229</v>
      </c>
    </row>
    <row r="187" spans="1:10" x14ac:dyDescent="0.45">
      <c r="A187" s="14" t="s">
        <v>12</v>
      </c>
      <c r="B187" s="14" t="s">
        <v>42</v>
      </c>
      <c r="C187" s="14" t="s">
        <v>43</v>
      </c>
      <c r="D187" s="14" t="s">
        <v>44</v>
      </c>
      <c r="E187" s="14">
        <v>403</v>
      </c>
      <c r="G187" s="14" t="s">
        <v>12</v>
      </c>
      <c r="H187" s="14" t="s">
        <v>42</v>
      </c>
      <c r="I187" s="14" t="s">
        <v>43</v>
      </c>
      <c r="J187" s="14" t="s">
        <v>44</v>
      </c>
    </row>
    <row r="188" spans="1:10" x14ac:dyDescent="0.45">
      <c r="A188" s="2" t="s">
        <v>47</v>
      </c>
      <c r="B188" s="2">
        <v>0</v>
      </c>
      <c r="C188" s="2">
        <v>13</v>
      </c>
      <c r="D188" s="2">
        <v>42</v>
      </c>
      <c r="E188" s="2">
        <v>55</v>
      </c>
      <c r="G188" s="2" t="s">
        <v>47</v>
      </c>
      <c r="H188" s="8">
        <v>0</v>
      </c>
      <c r="I188" s="8">
        <v>0.23636363636363636</v>
      </c>
      <c r="J188" s="8">
        <v>0.76363636363636367</v>
      </c>
    </row>
    <row r="189" spans="1:10" x14ac:dyDescent="0.45">
      <c r="A189" s="2" t="s">
        <v>48</v>
      </c>
      <c r="B189" s="2">
        <v>1</v>
      </c>
      <c r="C189" s="2">
        <v>29</v>
      </c>
      <c r="D189" s="2">
        <v>49</v>
      </c>
      <c r="E189" s="2">
        <v>79</v>
      </c>
      <c r="G189" s="2" t="s">
        <v>48</v>
      </c>
      <c r="H189" s="8">
        <v>1.2658227848101266E-2</v>
      </c>
      <c r="I189" s="8">
        <v>0.36708860759493672</v>
      </c>
      <c r="J189" s="8">
        <v>0.620253164556962</v>
      </c>
    </row>
    <row r="190" spans="1:10" x14ac:dyDescent="0.45">
      <c r="A190" s="2" t="s">
        <v>49</v>
      </c>
      <c r="B190" s="2">
        <v>0</v>
      </c>
      <c r="C190" s="2">
        <v>40</v>
      </c>
      <c r="D190" s="2">
        <v>92</v>
      </c>
      <c r="E190" s="2">
        <v>132</v>
      </c>
      <c r="G190" s="2" t="s">
        <v>49</v>
      </c>
      <c r="H190" s="8">
        <v>0</v>
      </c>
      <c r="I190" s="8">
        <v>0.30303030303030304</v>
      </c>
      <c r="J190" s="8">
        <v>0.69696969696969702</v>
      </c>
    </row>
    <row r="191" spans="1:10" x14ac:dyDescent="0.45">
      <c r="A191" s="2" t="s">
        <v>50</v>
      </c>
      <c r="B191" s="2">
        <v>0</v>
      </c>
      <c r="C191" s="2">
        <v>32</v>
      </c>
      <c r="D191" s="2">
        <v>47</v>
      </c>
      <c r="E191" s="2">
        <v>79</v>
      </c>
      <c r="G191" s="2" t="s">
        <v>50</v>
      </c>
      <c r="H191" s="8">
        <v>0</v>
      </c>
      <c r="I191" s="8">
        <v>0.4050632911392405</v>
      </c>
      <c r="J191" s="8">
        <v>0.59493670886075944</v>
      </c>
    </row>
    <row r="192" spans="1:10" x14ac:dyDescent="0.45">
      <c r="A192" s="2" t="s">
        <v>51</v>
      </c>
      <c r="B192" s="2">
        <v>1</v>
      </c>
      <c r="C192" s="2">
        <v>10</v>
      </c>
      <c r="D192" s="2">
        <v>20</v>
      </c>
      <c r="E192" s="2">
        <v>31</v>
      </c>
      <c r="G192" s="2" t="s">
        <v>51</v>
      </c>
      <c r="H192" s="8">
        <v>3.2258064516129031E-2</v>
      </c>
      <c r="I192" s="8">
        <v>0.32258064516129031</v>
      </c>
      <c r="J192" s="8">
        <v>0.64516129032258063</v>
      </c>
    </row>
    <row r="193" spans="1:10" x14ac:dyDescent="0.45">
      <c r="A193" s="2" t="s">
        <v>52</v>
      </c>
      <c r="B193" s="2">
        <v>1</v>
      </c>
      <c r="C193" s="2">
        <v>6</v>
      </c>
      <c r="D193" s="2">
        <v>20</v>
      </c>
      <c r="E193" s="2">
        <v>27</v>
      </c>
      <c r="G193" s="2" t="s">
        <v>52</v>
      </c>
      <c r="H193" s="8">
        <v>3.7037037037037035E-2</v>
      </c>
      <c r="I193" s="8">
        <v>0.22222222222222221</v>
      </c>
      <c r="J193" s="8">
        <v>0.7407407407407407</v>
      </c>
    </row>
    <row r="195" spans="1:10" x14ac:dyDescent="0.45">
      <c r="A195" s="14" t="s">
        <v>13</v>
      </c>
      <c r="B195" s="14" t="s">
        <v>42</v>
      </c>
      <c r="C195" s="14" t="s">
        <v>43</v>
      </c>
      <c r="D195" s="14" t="s">
        <v>44</v>
      </c>
      <c r="E195" s="14">
        <v>403</v>
      </c>
      <c r="G195" s="14" t="s">
        <v>13</v>
      </c>
      <c r="H195" s="14" t="s">
        <v>42</v>
      </c>
      <c r="I195" s="14" t="s">
        <v>43</v>
      </c>
      <c r="J195" s="14" t="s">
        <v>44</v>
      </c>
    </row>
    <row r="196" spans="1:10" x14ac:dyDescent="0.45">
      <c r="A196" s="2" t="s">
        <v>47</v>
      </c>
      <c r="B196" s="2">
        <v>1</v>
      </c>
      <c r="C196" s="2">
        <v>39</v>
      </c>
      <c r="D196" s="2">
        <v>15</v>
      </c>
      <c r="E196" s="2">
        <v>55</v>
      </c>
      <c r="G196" s="2" t="s">
        <v>47</v>
      </c>
      <c r="H196" s="8">
        <v>1.8181818181818181E-2</v>
      </c>
      <c r="I196" s="8">
        <v>0.70909090909090911</v>
      </c>
      <c r="J196" s="8">
        <v>0.27272727272727271</v>
      </c>
    </row>
    <row r="197" spans="1:10" x14ac:dyDescent="0.45">
      <c r="A197" s="2" t="s">
        <v>48</v>
      </c>
      <c r="B197" s="2">
        <v>4</v>
      </c>
      <c r="C197" s="2">
        <v>48</v>
      </c>
      <c r="D197" s="2">
        <v>27</v>
      </c>
      <c r="E197" s="2">
        <v>79</v>
      </c>
      <c r="G197" s="2" t="s">
        <v>48</v>
      </c>
      <c r="H197" s="8">
        <v>5.0632911392405063E-2</v>
      </c>
      <c r="I197" s="8">
        <v>0.60759493670886078</v>
      </c>
      <c r="J197" s="8">
        <v>0.34177215189873417</v>
      </c>
    </row>
    <row r="198" spans="1:10" x14ac:dyDescent="0.45">
      <c r="A198" s="2" t="s">
        <v>49</v>
      </c>
      <c r="B198" s="2">
        <v>2</v>
      </c>
      <c r="C198" s="2">
        <v>89</v>
      </c>
      <c r="D198" s="2">
        <v>41</v>
      </c>
      <c r="E198" s="2">
        <v>132</v>
      </c>
      <c r="G198" s="2" t="s">
        <v>49</v>
      </c>
      <c r="H198" s="8">
        <v>1.5151515151515152E-2</v>
      </c>
      <c r="I198" s="8">
        <v>0.6742424242424242</v>
      </c>
      <c r="J198" s="8">
        <v>0.31060606060606061</v>
      </c>
    </row>
    <row r="199" spans="1:10" x14ac:dyDescent="0.45">
      <c r="A199" s="2" t="s">
        <v>50</v>
      </c>
      <c r="B199" s="2">
        <v>3</v>
      </c>
      <c r="C199" s="2">
        <v>53</v>
      </c>
      <c r="D199" s="2">
        <v>23</v>
      </c>
      <c r="E199" s="2">
        <v>79</v>
      </c>
      <c r="G199" s="2" t="s">
        <v>50</v>
      </c>
      <c r="H199" s="8">
        <v>3.7974683544303799E-2</v>
      </c>
      <c r="I199" s="8">
        <v>0.67088607594936711</v>
      </c>
      <c r="J199" s="8">
        <v>0.29113924050632911</v>
      </c>
    </row>
    <row r="200" spans="1:10" x14ac:dyDescent="0.45">
      <c r="A200" s="2" t="s">
        <v>51</v>
      </c>
      <c r="B200" s="2">
        <v>0</v>
      </c>
      <c r="C200" s="2">
        <v>18</v>
      </c>
      <c r="D200" s="2">
        <v>13</v>
      </c>
      <c r="E200" s="2">
        <v>31</v>
      </c>
      <c r="G200" s="2" t="s">
        <v>51</v>
      </c>
      <c r="H200" s="8">
        <v>0</v>
      </c>
      <c r="I200" s="8">
        <v>0.58064516129032262</v>
      </c>
      <c r="J200" s="8">
        <v>0.41935483870967744</v>
      </c>
    </row>
    <row r="201" spans="1:10" x14ac:dyDescent="0.45">
      <c r="A201" s="2" t="s">
        <v>52</v>
      </c>
      <c r="B201" s="2">
        <v>1</v>
      </c>
      <c r="C201" s="2">
        <v>16</v>
      </c>
      <c r="D201" s="2">
        <v>10</v>
      </c>
      <c r="E201" s="2">
        <v>27</v>
      </c>
      <c r="G201" s="2" t="s">
        <v>52</v>
      </c>
      <c r="H201" s="8">
        <v>3.7037037037037035E-2</v>
      </c>
      <c r="I201" s="8">
        <v>0.59259259259259256</v>
      </c>
      <c r="J201" s="8">
        <v>0.37037037037037035</v>
      </c>
    </row>
    <row r="203" spans="1:10" x14ac:dyDescent="0.45">
      <c r="A203" s="14" t="s">
        <v>14</v>
      </c>
      <c r="B203" s="14" t="s">
        <v>42</v>
      </c>
      <c r="C203" s="14" t="s">
        <v>43</v>
      </c>
      <c r="D203" s="14" t="s">
        <v>44</v>
      </c>
      <c r="E203" s="14">
        <v>403</v>
      </c>
      <c r="G203" s="14" t="s">
        <v>14</v>
      </c>
      <c r="H203" s="14" t="s">
        <v>42</v>
      </c>
      <c r="I203" s="14" t="s">
        <v>43</v>
      </c>
      <c r="J203" s="14" t="s">
        <v>44</v>
      </c>
    </row>
    <row r="204" spans="1:10" x14ac:dyDescent="0.45">
      <c r="A204" s="2" t="s">
        <v>47</v>
      </c>
      <c r="B204" s="2">
        <v>0</v>
      </c>
      <c r="C204" s="2">
        <v>40</v>
      </c>
      <c r="D204" s="2">
        <v>15</v>
      </c>
      <c r="E204" s="2">
        <v>55</v>
      </c>
      <c r="G204" s="2" t="s">
        <v>47</v>
      </c>
      <c r="H204" s="8">
        <v>0</v>
      </c>
      <c r="I204" s="8">
        <v>0.72727272727272729</v>
      </c>
      <c r="J204" s="8">
        <v>0.27272727272727271</v>
      </c>
    </row>
    <row r="205" spans="1:10" x14ac:dyDescent="0.45">
      <c r="A205" s="2" t="s">
        <v>48</v>
      </c>
      <c r="B205" s="2">
        <v>1</v>
      </c>
      <c r="C205" s="2">
        <v>56</v>
      </c>
      <c r="D205" s="2">
        <v>22</v>
      </c>
      <c r="E205" s="2">
        <v>79</v>
      </c>
      <c r="G205" s="2" t="s">
        <v>48</v>
      </c>
      <c r="H205" s="8">
        <v>1.2658227848101266E-2</v>
      </c>
      <c r="I205" s="8">
        <v>0.70886075949367089</v>
      </c>
      <c r="J205" s="8">
        <v>0.27848101265822783</v>
      </c>
    </row>
    <row r="206" spans="1:10" x14ac:dyDescent="0.45">
      <c r="A206" s="2" t="s">
        <v>49</v>
      </c>
      <c r="B206" s="2">
        <v>3</v>
      </c>
      <c r="C206" s="2">
        <v>84</v>
      </c>
      <c r="D206" s="2">
        <v>45</v>
      </c>
      <c r="E206" s="2">
        <v>132</v>
      </c>
      <c r="G206" s="2" t="s">
        <v>49</v>
      </c>
      <c r="H206" s="8">
        <v>2.2727272727272728E-2</v>
      </c>
      <c r="I206" s="8">
        <v>0.63636363636363635</v>
      </c>
      <c r="J206" s="8">
        <v>0.34090909090909088</v>
      </c>
    </row>
    <row r="207" spans="1:10" x14ac:dyDescent="0.45">
      <c r="A207" s="2" t="s">
        <v>50</v>
      </c>
      <c r="B207" s="2">
        <v>2</v>
      </c>
      <c r="C207" s="2">
        <v>52</v>
      </c>
      <c r="D207" s="2">
        <v>25</v>
      </c>
      <c r="E207" s="2">
        <v>79</v>
      </c>
      <c r="G207" s="2" t="s">
        <v>50</v>
      </c>
      <c r="H207" s="8">
        <v>2.5316455696202531E-2</v>
      </c>
      <c r="I207" s="8">
        <v>0.65822784810126578</v>
      </c>
      <c r="J207" s="8">
        <v>0.31645569620253167</v>
      </c>
    </row>
    <row r="208" spans="1:10" x14ac:dyDescent="0.45">
      <c r="A208" s="2" t="s">
        <v>51</v>
      </c>
      <c r="B208" s="2">
        <v>1</v>
      </c>
      <c r="C208" s="2">
        <v>19</v>
      </c>
      <c r="D208" s="2">
        <v>11</v>
      </c>
      <c r="E208" s="2">
        <v>31</v>
      </c>
      <c r="G208" s="2" t="s">
        <v>51</v>
      </c>
      <c r="H208" s="8">
        <v>3.2258064516129031E-2</v>
      </c>
      <c r="I208" s="8">
        <v>0.61290322580645162</v>
      </c>
      <c r="J208" s="8">
        <v>0.35483870967741937</v>
      </c>
    </row>
    <row r="209" spans="1:10" x14ac:dyDescent="0.45">
      <c r="A209" s="2" t="s">
        <v>52</v>
      </c>
      <c r="B209" s="2">
        <v>0</v>
      </c>
      <c r="C209" s="2">
        <v>18</v>
      </c>
      <c r="D209" s="2">
        <v>9</v>
      </c>
      <c r="E209" s="2">
        <v>27</v>
      </c>
      <c r="G209" s="2" t="s">
        <v>52</v>
      </c>
      <c r="H209" s="8">
        <v>0</v>
      </c>
      <c r="I209" s="8">
        <v>0.66666666666666663</v>
      </c>
      <c r="J209" s="8">
        <v>0.33333333333333331</v>
      </c>
    </row>
    <row r="211" spans="1:10" x14ac:dyDescent="0.45">
      <c r="A211" s="14" t="s">
        <v>15</v>
      </c>
      <c r="B211" s="14" t="s">
        <v>42</v>
      </c>
      <c r="C211" s="14" t="s">
        <v>43</v>
      </c>
      <c r="D211" s="14" t="s">
        <v>44</v>
      </c>
      <c r="E211" s="14">
        <v>403</v>
      </c>
      <c r="G211" s="14" t="s">
        <v>15</v>
      </c>
      <c r="H211" s="14" t="s">
        <v>42</v>
      </c>
      <c r="I211" s="14" t="s">
        <v>43</v>
      </c>
      <c r="J211" s="14" t="s">
        <v>44</v>
      </c>
    </row>
    <row r="212" spans="1:10" x14ac:dyDescent="0.45">
      <c r="A212" s="2" t="s">
        <v>47</v>
      </c>
      <c r="B212" s="2">
        <v>2</v>
      </c>
      <c r="C212" s="2">
        <v>46</v>
      </c>
      <c r="D212" s="2">
        <v>7</v>
      </c>
      <c r="E212" s="2">
        <v>55</v>
      </c>
      <c r="G212" s="2" t="s">
        <v>47</v>
      </c>
      <c r="H212" s="8">
        <v>3.6363636363636362E-2</v>
      </c>
      <c r="I212" s="8">
        <v>0.83636363636363631</v>
      </c>
      <c r="J212" s="8">
        <v>0.12727272727272726</v>
      </c>
    </row>
    <row r="213" spans="1:10" x14ac:dyDescent="0.45">
      <c r="A213" s="2" t="s">
        <v>48</v>
      </c>
      <c r="B213" s="2">
        <v>3</v>
      </c>
      <c r="C213" s="2">
        <v>63</v>
      </c>
      <c r="D213" s="2">
        <v>13</v>
      </c>
      <c r="E213" s="2">
        <v>79</v>
      </c>
      <c r="G213" s="2" t="s">
        <v>48</v>
      </c>
      <c r="H213" s="8">
        <v>3.7974683544303799E-2</v>
      </c>
      <c r="I213" s="8">
        <v>0.79746835443037978</v>
      </c>
      <c r="J213" s="8">
        <v>0.16455696202531644</v>
      </c>
    </row>
    <row r="214" spans="1:10" x14ac:dyDescent="0.45">
      <c r="A214" s="2" t="s">
        <v>49</v>
      </c>
      <c r="B214" s="2">
        <v>4</v>
      </c>
      <c r="C214" s="2">
        <v>113</v>
      </c>
      <c r="D214" s="2">
        <v>15</v>
      </c>
      <c r="E214" s="2">
        <v>132</v>
      </c>
      <c r="G214" s="2" t="s">
        <v>49</v>
      </c>
      <c r="H214" s="8">
        <v>3.0303030303030304E-2</v>
      </c>
      <c r="I214" s="8">
        <v>0.85606060606060608</v>
      </c>
      <c r="J214" s="8">
        <v>0.11363636363636363</v>
      </c>
    </row>
    <row r="215" spans="1:10" x14ac:dyDescent="0.45">
      <c r="A215" s="2" t="s">
        <v>50</v>
      </c>
      <c r="B215" s="2">
        <v>7</v>
      </c>
      <c r="C215" s="2">
        <v>60</v>
      </c>
      <c r="D215" s="2">
        <v>12</v>
      </c>
      <c r="E215" s="2">
        <v>79</v>
      </c>
      <c r="G215" s="2" t="s">
        <v>50</v>
      </c>
      <c r="H215" s="8">
        <v>8.8607594936708861E-2</v>
      </c>
      <c r="I215" s="8">
        <v>0.759493670886076</v>
      </c>
      <c r="J215" s="8">
        <v>0.15189873417721519</v>
      </c>
    </row>
    <row r="216" spans="1:10" x14ac:dyDescent="0.45">
      <c r="A216" s="2" t="s">
        <v>51</v>
      </c>
      <c r="B216" s="2">
        <v>0</v>
      </c>
      <c r="C216" s="2">
        <v>26</v>
      </c>
      <c r="D216" s="2">
        <v>5</v>
      </c>
      <c r="E216" s="2">
        <v>31</v>
      </c>
      <c r="G216" s="2" t="s">
        <v>51</v>
      </c>
      <c r="H216" s="8">
        <v>0</v>
      </c>
      <c r="I216" s="8">
        <v>0.83870967741935487</v>
      </c>
      <c r="J216" s="8">
        <v>0.16129032258064516</v>
      </c>
    </row>
    <row r="217" spans="1:10" x14ac:dyDescent="0.45">
      <c r="A217" s="2" t="s">
        <v>52</v>
      </c>
      <c r="B217" s="2">
        <v>2</v>
      </c>
      <c r="C217" s="2">
        <v>20</v>
      </c>
      <c r="D217" s="2">
        <v>5</v>
      </c>
      <c r="E217" s="2">
        <v>27</v>
      </c>
      <c r="G217" s="2" t="s">
        <v>52</v>
      </c>
      <c r="H217" s="8">
        <v>7.407407407407407E-2</v>
      </c>
      <c r="I217" s="8">
        <v>0.7407407407407407</v>
      </c>
      <c r="J217" s="8">
        <v>0.18518518518518517</v>
      </c>
    </row>
    <row r="219" spans="1:10" x14ac:dyDescent="0.45">
      <c r="A219" s="14" t="s">
        <v>16</v>
      </c>
      <c r="B219" s="14" t="s">
        <v>42</v>
      </c>
      <c r="C219" s="14" t="s">
        <v>43</v>
      </c>
      <c r="D219" s="14" t="s">
        <v>44</v>
      </c>
      <c r="E219" s="14">
        <v>403</v>
      </c>
      <c r="G219" s="14" t="s">
        <v>16</v>
      </c>
      <c r="H219" s="14" t="s">
        <v>42</v>
      </c>
      <c r="I219" s="14" t="s">
        <v>43</v>
      </c>
      <c r="J219" s="14" t="s">
        <v>44</v>
      </c>
    </row>
    <row r="220" spans="1:10" x14ac:dyDescent="0.45">
      <c r="A220" s="2" t="s">
        <v>47</v>
      </c>
      <c r="B220" s="2">
        <v>2</v>
      </c>
      <c r="C220" s="2">
        <v>49</v>
      </c>
      <c r="D220" s="2">
        <v>4</v>
      </c>
      <c r="E220" s="2">
        <v>55</v>
      </c>
      <c r="G220" s="2" t="s">
        <v>47</v>
      </c>
      <c r="H220" s="8">
        <v>3.6363636363636362E-2</v>
      </c>
      <c r="I220" s="8">
        <v>0.89090909090909087</v>
      </c>
      <c r="J220" s="8">
        <v>7.2727272727272724E-2</v>
      </c>
    </row>
    <row r="221" spans="1:10" x14ac:dyDescent="0.45">
      <c r="A221" s="2" t="s">
        <v>48</v>
      </c>
      <c r="B221" s="2">
        <v>5</v>
      </c>
      <c r="C221" s="2">
        <v>71</v>
      </c>
      <c r="D221" s="2">
        <v>3</v>
      </c>
      <c r="E221" s="2">
        <v>79</v>
      </c>
      <c r="G221" s="2" t="s">
        <v>48</v>
      </c>
      <c r="H221" s="8">
        <v>6.3291139240506333E-2</v>
      </c>
      <c r="I221" s="8">
        <v>0.89873417721518989</v>
      </c>
      <c r="J221" s="8">
        <v>3.7974683544303799E-2</v>
      </c>
    </row>
    <row r="222" spans="1:10" x14ac:dyDescent="0.45">
      <c r="A222" s="2" t="s">
        <v>49</v>
      </c>
      <c r="B222" s="2">
        <v>8</v>
      </c>
      <c r="C222" s="2">
        <v>112</v>
      </c>
      <c r="D222" s="2">
        <v>12</v>
      </c>
      <c r="E222" s="2">
        <v>132</v>
      </c>
      <c r="G222" s="2" t="s">
        <v>49</v>
      </c>
      <c r="H222" s="8">
        <v>6.0606060606060608E-2</v>
      </c>
      <c r="I222" s="8">
        <v>0.84848484848484851</v>
      </c>
      <c r="J222" s="8">
        <v>9.0909090909090912E-2</v>
      </c>
    </row>
    <row r="223" spans="1:10" x14ac:dyDescent="0.45">
      <c r="A223" s="2" t="s">
        <v>50</v>
      </c>
      <c r="B223" s="2">
        <v>3</v>
      </c>
      <c r="C223" s="2">
        <v>70</v>
      </c>
      <c r="D223" s="2">
        <v>6</v>
      </c>
      <c r="E223" s="2">
        <v>79</v>
      </c>
      <c r="G223" s="2" t="s">
        <v>50</v>
      </c>
      <c r="H223" s="8">
        <v>3.7974683544303799E-2</v>
      </c>
      <c r="I223" s="8">
        <v>0.88607594936708856</v>
      </c>
      <c r="J223" s="8">
        <v>7.5949367088607597E-2</v>
      </c>
    </row>
    <row r="224" spans="1:10" x14ac:dyDescent="0.45">
      <c r="A224" s="2" t="s">
        <v>51</v>
      </c>
      <c r="B224" s="2">
        <v>3</v>
      </c>
      <c r="C224" s="2">
        <v>24</v>
      </c>
      <c r="D224" s="2">
        <v>4</v>
      </c>
      <c r="E224" s="2">
        <v>31</v>
      </c>
      <c r="G224" s="2" t="s">
        <v>51</v>
      </c>
      <c r="H224" s="8">
        <v>9.6774193548387094E-2</v>
      </c>
      <c r="I224" s="8">
        <v>0.77419354838709675</v>
      </c>
      <c r="J224" s="8">
        <v>0.12903225806451613</v>
      </c>
    </row>
    <row r="225" spans="1:10" x14ac:dyDescent="0.45">
      <c r="A225" s="2" t="s">
        <v>52</v>
      </c>
      <c r="B225" s="2">
        <v>0</v>
      </c>
      <c r="C225" s="2">
        <v>23</v>
      </c>
      <c r="D225" s="2">
        <v>4</v>
      </c>
      <c r="E225" s="2">
        <v>27</v>
      </c>
      <c r="G225" s="2" t="s">
        <v>52</v>
      </c>
      <c r="H225" s="8">
        <v>0</v>
      </c>
      <c r="I225" s="8">
        <v>0.85185185185185186</v>
      </c>
      <c r="J225" s="8">
        <v>0.14814814814814814</v>
      </c>
    </row>
    <row r="227" spans="1:10" x14ac:dyDescent="0.45">
      <c r="A227" s="14" t="s">
        <v>14</v>
      </c>
      <c r="B227" s="14" t="s">
        <v>42</v>
      </c>
      <c r="C227" s="14" t="s">
        <v>43</v>
      </c>
      <c r="D227" s="14" t="s">
        <v>44</v>
      </c>
      <c r="E227" s="14">
        <v>403</v>
      </c>
      <c r="G227" s="14" t="s">
        <v>14</v>
      </c>
      <c r="H227" s="14" t="s">
        <v>42</v>
      </c>
      <c r="I227" s="14" t="s">
        <v>43</v>
      </c>
      <c r="J227" s="14" t="s">
        <v>44</v>
      </c>
    </row>
    <row r="228" spans="1:10" x14ac:dyDescent="0.45">
      <c r="A228" s="2" t="s">
        <v>53</v>
      </c>
      <c r="B228" s="2">
        <v>0</v>
      </c>
      <c r="C228" s="2">
        <v>28</v>
      </c>
      <c r="D228" s="2">
        <v>13</v>
      </c>
      <c r="E228" s="2">
        <v>41</v>
      </c>
      <c r="G228" s="2" t="s">
        <v>53</v>
      </c>
      <c r="H228" s="8">
        <v>0</v>
      </c>
      <c r="I228" s="8">
        <v>0.68292682926829273</v>
      </c>
      <c r="J228" s="8">
        <v>0.31707317073170732</v>
      </c>
    </row>
    <row r="229" spans="1:10" x14ac:dyDescent="0.45">
      <c r="A229" s="2" t="s">
        <v>54</v>
      </c>
      <c r="B229" s="2">
        <v>2</v>
      </c>
      <c r="C229" s="2">
        <v>53</v>
      </c>
      <c r="D229" s="2">
        <v>24</v>
      </c>
      <c r="E229" s="2">
        <v>79</v>
      </c>
      <c r="G229" s="2" t="s">
        <v>54</v>
      </c>
      <c r="H229" s="8">
        <v>2.5316455696202531E-2</v>
      </c>
      <c r="I229" s="8">
        <v>0.67088607594936711</v>
      </c>
      <c r="J229" s="8">
        <v>0.30379746835443039</v>
      </c>
    </row>
    <row r="230" spans="1:10" x14ac:dyDescent="0.45">
      <c r="A230" s="2" t="s">
        <v>55</v>
      </c>
      <c r="B230" s="2">
        <v>0</v>
      </c>
      <c r="C230" s="2">
        <v>33</v>
      </c>
      <c r="D230" s="2">
        <v>8</v>
      </c>
      <c r="E230" s="2">
        <v>41</v>
      </c>
      <c r="G230" s="2" t="s">
        <v>55</v>
      </c>
      <c r="H230" s="8">
        <v>0</v>
      </c>
      <c r="I230" s="8">
        <v>0.80487804878048785</v>
      </c>
      <c r="J230" s="8">
        <v>0.1951219512195122</v>
      </c>
    </row>
    <row r="231" spans="1:10" x14ac:dyDescent="0.45">
      <c r="A231" s="2" t="s">
        <v>56</v>
      </c>
      <c r="B231" s="2">
        <v>1</v>
      </c>
      <c r="C231" s="2">
        <v>37</v>
      </c>
      <c r="D231" s="2">
        <v>15</v>
      </c>
      <c r="E231" s="2">
        <v>53</v>
      </c>
      <c r="G231" s="2" t="s">
        <v>56</v>
      </c>
      <c r="H231" s="8">
        <v>1.8867924528301886E-2</v>
      </c>
      <c r="I231" s="8">
        <v>0.69811320754716977</v>
      </c>
      <c r="J231" s="8">
        <v>0.28301886792452829</v>
      </c>
    </row>
    <row r="232" spans="1:10" x14ac:dyDescent="0.45">
      <c r="A232" s="2" t="s">
        <v>57</v>
      </c>
      <c r="B232" s="2">
        <v>0</v>
      </c>
      <c r="C232" s="2">
        <v>36</v>
      </c>
      <c r="D232" s="2">
        <v>17</v>
      </c>
      <c r="E232" s="2">
        <v>53</v>
      </c>
      <c r="G232" s="2" t="s">
        <v>57</v>
      </c>
      <c r="H232" s="8">
        <v>0</v>
      </c>
      <c r="I232" s="8">
        <v>0.67924528301886788</v>
      </c>
      <c r="J232" s="8">
        <v>0.32075471698113206</v>
      </c>
    </row>
    <row r="233" spans="1:10" x14ac:dyDescent="0.45">
      <c r="A233" s="2" t="s">
        <v>58</v>
      </c>
      <c r="B233" s="2">
        <v>0</v>
      </c>
      <c r="C233" s="2">
        <v>39</v>
      </c>
      <c r="D233" s="2">
        <v>23</v>
      </c>
      <c r="E233" s="2">
        <v>62</v>
      </c>
      <c r="G233" s="2" t="s">
        <v>58</v>
      </c>
      <c r="H233" s="8">
        <v>0</v>
      </c>
      <c r="I233" s="8">
        <v>0.62903225806451613</v>
      </c>
      <c r="J233" s="8">
        <v>0.37096774193548387</v>
      </c>
    </row>
    <row r="234" spans="1:10" x14ac:dyDescent="0.45">
      <c r="A234" s="2" t="s">
        <v>59</v>
      </c>
      <c r="B234" s="2">
        <v>3</v>
      </c>
      <c r="C234" s="2">
        <v>24</v>
      </c>
      <c r="D234" s="2">
        <v>12</v>
      </c>
      <c r="E234" s="2">
        <v>39</v>
      </c>
      <c r="G234" s="2" t="s">
        <v>59</v>
      </c>
      <c r="H234" s="8">
        <v>7.6923076923076927E-2</v>
      </c>
      <c r="I234" s="8">
        <v>0.61538461538461542</v>
      </c>
      <c r="J234" s="8">
        <v>0.30769230769230771</v>
      </c>
    </row>
    <row r="235" spans="1:10" x14ac:dyDescent="0.45">
      <c r="A235" s="2" t="s">
        <v>60</v>
      </c>
      <c r="B235" s="2">
        <v>1</v>
      </c>
      <c r="C235" s="2">
        <v>19</v>
      </c>
      <c r="D235" s="2">
        <v>15</v>
      </c>
      <c r="E235" s="2">
        <v>35</v>
      </c>
      <c r="G235" s="2" t="s">
        <v>60</v>
      </c>
      <c r="H235" s="8">
        <v>2.8571428571428571E-2</v>
      </c>
      <c r="I235" s="8">
        <v>0.54285714285714282</v>
      </c>
      <c r="J235" s="8">
        <v>0.42857142857142855</v>
      </c>
    </row>
    <row r="237" spans="1:10" x14ac:dyDescent="0.45">
      <c r="A237" s="14" t="s">
        <v>15</v>
      </c>
      <c r="B237" s="14" t="s">
        <v>42</v>
      </c>
      <c r="C237" s="14" t="s">
        <v>43</v>
      </c>
      <c r="D237" s="14" t="s">
        <v>44</v>
      </c>
      <c r="E237" s="14">
        <v>403</v>
      </c>
      <c r="G237" s="14" t="s">
        <v>15</v>
      </c>
      <c r="H237" s="14" t="s">
        <v>42</v>
      </c>
      <c r="I237" s="14" t="s">
        <v>43</v>
      </c>
      <c r="J237" s="14" t="s">
        <v>44</v>
      </c>
    </row>
    <row r="238" spans="1:10" x14ac:dyDescent="0.45">
      <c r="A238" s="2" t="s">
        <v>53</v>
      </c>
      <c r="B238" s="2">
        <v>0</v>
      </c>
      <c r="C238" s="2">
        <v>37</v>
      </c>
      <c r="D238" s="2">
        <v>4</v>
      </c>
      <c r="E238" s="2">
        <v>41</v>
      </c>
      <c r="G238" s="2" t="s">
        <v>53</v>
      </c>
      <c r="H238" s="8">
        <v>0</v>
      </c>
      <c r="I238" s="8">
        <v>0.90243902439024393</v>
      </c>
      <c r="J238" s="8">
        <v>9.7560975609756101E-2</v>
      </c>
    </row>
    <row r="239" spans="1:10" x14ac:dyDescent="0.45">
      <c r="A239" s="2" t="s">
        <v>54</v>
      </c>
      <c r="B239" s="2">
        <v>4</v>
      </c>
      <c r="C239" s="2">
        <v>64</v>
      </c>
      <c r="D239" s="2">
        <v>11</v>
      </c>
      <c r="E239" s="2">
        <v>79</v>
      </c>
      <c r="G239" s="2" t="s">
        <v>54</v>
      </c>
      <c r="H239" s="8">
        <v>5.0632911392405063E-2</v>
      </c>
      <c r="I239" s="8">
        <v>0.810126582278481</v>
      </c>
      <c r="J239" s="8">
        <v>0.13924050632911392</v>
      </c>
    </row>
    <row r="240" spans="1:10" x14ac:dyDescent="0.45">
      <c r="A240" s="2" t="s">
        <v>55</v>
      </c>
      <c r="B240" s="2">
        <v>1</v>
      </c>
      <c r="C240" s="2">
        <v>35</v>
      </c>
      <c r="D240" s="2">
        <v>5</v>
      </c>
      <c r="E240" s="2">
        <v>41</v>
      </c>
      <c r="G240" s="2" t="s">
        <v>55</v>
      </c>
      <c r="H240" s="8">
        <v>2.4390243902439025E-2</v>
      </c>
      <c r="I240" s="8">
        <v>0.85365853658536583</v>
      </c>
      <c r="J240" s="8">
        <v>0.12195121951219512</v>
      </c>
    </row>
    <row r="241" spans="1:10" x14ac:dyDescent="0.45">
      <c r="A241" s="2" t="s">
        <v>56</v>
      </c>
      <c r="B241" s="2">
        <v>1</v>
      </c>
      <c r="C241" s="2">
        <v>45</v>
      </c>
      <c r="D241" s="2">
        <v>7</v>
      </c>
      <c r="E241" s="2">
        <v>53</v>
      </c>
      <c r="G241" s="2" t="s">
        <v>56</v>
      </c>
      <c r="H241" s="8">
        <v>1.8867924528301886E-2</v>
      </c>
      <c r="I241" s="8">
        <v>0.84905660377358494</v>
      </c>
      <c r="J241" s="8">
        <v>0.13207547169811321</v>
      </c>
    </row>
    <row r="242" spans="1:10" x14ac:dyDescent="0.45">
      <c r="A242" s="2" t="s">
        <v>57</v>
      </c>
      <c r="B242" s="2">
        <v>3</v>
      </c>
      <c r="C242" s="2">
        <v>44</v>
      </c>
      <c r="D242" s="2">
        <v>6</v>
      </c>
      <c r="E242" s="2">
        <v>53</v>
      </c>
      <c r="G242" s="2" t="s">
        <v>57</v>
      </c>
      <c r="H242" s="8">
        <v>5.6603773584905662E-2</v>
      </c>
      <c r="I242" s="8">
        <v>0.83018867924528306</v>
      </c>
      <c r="J242" s="8">
        <v>0.11320754716981132</v>
      </c>
    </row>
    <row r="243" spans="1:10" x14ac:dyDescent="0.45">
      <c r="A243" s="2" t="s">
        <v>58</v>
      </c>
      <c r="B243" s="2">
        <v>3</v>
      </c>
      <c r="C243" s="2">
        <v>48</v>
      </c>
      <c r="D243" s="2">
        <v>11</v>
      </c>
      <c r="E243" s="2">
        <v>62</v>
      </c>
      <c r="G243" s="2" t="s">
        <v>58</v>
      </c>
      <c r="H243" s="8">
        <v>4.8387096774193547E-2</v>
      </c>
      <c r="I243" s="8">
        <v>0.77419354838709675</v>
      </c>
      <c r="J243" s="8">
        <v>0.17741935483870969</v>
      </c>
    </row>
    <row r="244" spans="1:10" x14ac:dyDescent="0.45">
      <c r="A244" s="2" t="s">
        <v>59</v>
      </c>
      <c r="B244" s="2">
        <v>4</v>
      </c>
      <c r="C244" s="2">
        <v>27</v>
      </c>
      <c r="D244" s="2">
        <v>8</v>
      </c>
      <c r="E244" s="2">
        <v>39</v>
      </c>
      <c r="G244" s="2" t="s">
        <v>59</v>
      </c>
      <c r="H244" s="8">
        <v>0.10256410256410256</v>
      </c>
      <c r="I244" s="8">
        <v>0.69230769230769229</v>
      </c>
      <c r="J244" s="8">
        <v>0.20512820512820512</v>
      </c>
    </row>
    <row r="245" spans="1:10" x14ac:dyDescent="0.45">
      <c r="A245" s="2" t="s">
        <v>60</v>
      </c>
      <c r="B245" s="2">
        <v>2</v>
      </c>
      <c r="C245" s="2">
        <v>28</v>
      </c>
      <c r="D245" s="2">
        <v>5</v>
      </c>
      <c r="E245" s="2">
        <v>35</v>
      </c>
      <c r="G245" s="2" t="s">
        <v>60</v>
      </c>
      <c r="H245" s="8">
        <v>5.7142857142857141E-2</v>
      </c>
      <c r="I245" s="8">
        <v>0.8</v>
      </c>
      <c r="J245" s="8">
        <v>0.14285714285714285</v>
      </c>
    </row>
    <row r="247" spans="1:10" x14ac:dyDescent="0.45">
      <c r="A247" s="14" t="s">
        <v>61</v>
      </c>
      <c r="B247" s="14" t="s">
        <v>42</v>
      </c>
      <c r="C247" s="14" t="s">
        <v>43</v>
      </c>
      <c r="D247" s="14" t="s">
        <v>44</v>
      </c>
      <c r="E247" s="14">
        <v>401</v>
      </c>
      <c r="G247" s="14" t="s">
        <v>61</v>
      </c>
      <c r="H247" s="14" t="s">
        <v>42</v>
      </c>
      <c r="I247" s="14" t="s">
        <v>43</v>
      </c>
      <c r="J247" s="14" t="s">
        <v>44</v>
      </c>
    </row>
    <row r="248" spans="1:10" x14ac:dyDescent="0.45">
      <c r="A248" s="2" t="s">
        <v>47</v>
      </c>
      <c r="B248" s="2">
        <v>1</v>
      </c>
      <c r="C248" s="2">
        <v>38</v>
      </c>
      <c r="D248" s="2">
        <v>16</v>
      </c>
      <c r="E248" s="2">
        <v>55</v>
      </c>
      <c r="G248" s="2" t="s">
        <v>47</v>
      </c>
      <c r="H248" s="8">
        <v>1.8181818181818181E-2</v>
      </c>
      <c r="I248" s="8">
        <v>0.69090909090909092</v>
      </c>
      <c r="J248" s="8">
        <v>0.29090909090909089</v>
      </c>
    </row>
    <row r="249" spans="1:10" x14ac:dyDescent="0.45">
      <c r="A249" s="2" t="s">
        <v>48</v>
      </c>
      <c r="B249" s="2">
        <v>2</v>
      </c>
      <c r="C249" s="2">
        <v>48</v>
      </c>
      <c r="D249" s="2">
        <v>28</v>
      </c>
      <c r="E249" s="2">
        <v>78</v>
      </c>
      <c r="G249" s="2" t="s">
        <v>48</v>
      </c>
      <c r="H249" s="8">
        <v>2.564102564102564E-2</v>
      </c>
      <c r="I249" s="8">
        <v>0.61538461538461542</v>
      </c>
      <c r="J249" s="8">
        <v>0.35897435897435898</v>
      </c>
    </row>
    <row r="250" spans="1:10" x14ac:dyDescent="0.45">
      <c r="A250" s="2" t="s">
        <v>49</v>
      </c>
      <c r="B250" s="2">
        <v>4</v>
      </c>
      <c r="C250" s="2">
        <v>89</v>
      </c>
      <c r="D250" s="2">
        <v>38</v>
      </c>
      <c r="E250" s="2">
        <v>131</v>
      </c>
      <c r="G250" s="2" t="s">
        <v>49</v>
      </c>
      <c r="H250" s="8">
        <v>3.0534351145038167E-2</v>
      </c>
      <c r="I250" s="8">
        <v>0.67938931297709926</v>
      </c>
      <c r="J250" s="8">
        <v>0.29007633587786258</v>
      </c>
    </row>
    <row r="251" spans="1:10" x14ac:dyDescent="0.45">
      <c r="A251" s="2" t="s">
        <v>50</v>
      </c>
      <c r="B251" s="2">
        <v>0</v>
      </c>
      <c r="C251" s="2">
        <v>51</v>
      </c>
      <c r="D251" s="2">
        <v>28</v>
      </c>
      <c r="E251" s="2">
        <v>79</v>
      </c>
      <c r="G251" s="2" t="s">
        <v>50</v>
      </c>
      <c r="H251" s="8">
        <v>0</v>
      </c>
      <c r="I251" s="8">
        <v>0.64556962025316456</v>
      </c>
      <c r="J251" s="8">
        <v>0.35443037974683544</v>
      </c>
    </row>
    <row r="252" spans="1:10" x14ac:dyDescent="0.45">
      <c r="A252" s="2" t="s">
        <v>51</v>
      </c>
      <c r="B252" s="2">
        <v>0</v>
      </c>
      <c r="C252" s="2">
        <v>22</v>
      </c>
      <c r="D252" s="2">
        <v>9</v>
      </c>
      <c r="E252" s="2">
        <v>31</v>
      </c>
      <c r="G252" s="2" t="s">
        <v>51</v>
      </c>
      <c r="H252" s="8">
        <v>0</v>
      </c>
      <c r="I252" s="8">
        <v>0.70967741935483875</v>
      </c>
      <c r="J252" s="8">
        <v>0.29032258064516131</v>
      </c>
    </row>
    <row r="253" spans="1:10" x14ac:dyDescent="0.45">
      <c r="A253" s="2" t="s">
        <v>52</v>
      </c>
      <c r="B253" s="2">
        <v>1</v>
      </c>
      <c r="C253" s="2">
        <v>16</v>
      </c>
      <c r="D253" s="2">
        <v>10</v>
      </c>
      <c r="E253" s="2">
        <v>27</v>
      </c>
      <c r="G253" s="2" t="s">
        <v>52</v>
      </c>
      <c r="H253" s="8">
        <v>3.7037037037037035E-2</v>
      </c>
      <c r="I253" s="8">
        <v>0.59259259259259256</v>
      </c>
      <c r="J253" s="8">
        <v>0.37037037037037035</v>
      </c>
    </row>
    <row r="256" spans="1:10" x14ac:dyDescent="0.45">
      <c r="A256" s="19" t="s">
        <v>30</v>
      </c>
      <c r="B256" s="19"/>
      <c r="C256" s="19"/>
      <c r="D256" s="19"/>
      <c r="E256" s="19"/>
      <c r="F256" s="19"/>
      <c r="G256" s="19"/>
      <c r="H256" s="19"/>
      <c r="I256" s="19"/>
      <c r="J256" s="19"/>
    </row>
    <row r="257" spans="1:10" x14ac:dyDescent="0.45">
      <c r="A257" s="14" t="s">
        <v>9</v>
      </c>
      <c r="B257" s="14" t="s">
        <v>42</v>
      </c>
      <c r="C257" s="14" t="s">
        <v>43</v>
      </c>
      <c r="D257" s="14" t="s">
        <v>44</v>
      </c>
      <c r="E257" s="14">
        <v>403</v>
      </c>
      <c r="G257" s="14" t="s">
        <v>9</v>
      </c>
      <c r="H257" s="14" t="s">
        <v>42</v>
      </c>
      <c r="I257" s="14" t="s">
        <v>43</v>
      </c>
      <c r="J257" s="14" t="s">
        <v>44</v>
      </c>
    </row>
    <row r="258" spans="1:10" x14ac:dyDescent="0.45">
      <c r="A258" s="2" t="s">
        <v>45</v>
      </c>
      <c r="B258" s="2">
        <v>5</v>
      </c>
      <c r="C258" s="2">
        <v>265</v>
      </c>
      <c r="D258" s="2">
        <v>107</v>
      </c>
      <c r="E258" s="2">
        <v>377</v>
      </c>
      <c r="G258" s="2" t="s">
        <v>45</v>
      </c>
      <c r="H258" s="13">
        <v>1.3262599469496022E-2</v>
      </c>
      <c r="I258" s="13">
        <v>0.70291777188328908</v>
      </c>
      <c r="J258" s="13">
        <v>0.28381962864721483</v>
      </c>
    </row>
    <row r="259" spans="1:10" x14ac:dyDescent="0.45">
      <c r="A259" s="2" t="s">
        <v>46</v>
      </c>
      <c r="B259" s="2">
        <v>0</v>
      </c>
      <c r="C259" s="2">
        <v>21</v>
      </c>
      <c r="D259" s="2">
        <v>5</v>
      </c>
      <c r="E259" s="2">
        <v>26</v>
      </c>
      <c r="G259" s="2" t="s">
        <v>46</v>
      </c>
      <c r="H259" s="13">
        <v>0</v>
      </c>
      <c r="I259" s="13">
        <v>0.80769230769230771</v>
      </c>
      <c r="J259" s="13">
        <v>0.19230769230769232</v>
      </c>
    </row>
    <row r="261" spans="1:10" x14ac:dyDescent="0.45">
      <c r="A261" s="14" t="s">
        <v>10</v>
      </c>
      <c r="B261" s="14" t="s">
        <v>42</v>
      </c>
      <c r="C261" s="14" t="s">
        <v>43</v>
      </c>
      <c r="D261" s="14" t="s">
        <v>44</v>
      </c>
      <c r="E261" s="14">
        <v>403</v>
      </c>
      <c r="G261" s="14" t="s">
        <v>10</v>
      </c>
      <c r="H261" s="14" t="s">
        <v>42</v>
      </c>
      <c r="I261" s="14" t="s">
        <v>43</v>
      </c>
      <c r="J261" s="14" t="s">
        <v>44</v>
      </c>
    </row>
    <row r="262" spans="1:10" x14ac:dyDescent="0.45">
      <c r="A262" s="2" t="s">
        <v>45</v>
      </c>
      <c r="B262" s="2">
        <v>0</v>
      </c>
      <c r="C262" s="2">
        <v>214</v>
      </c>
      <c r="D262" s="2">
        <v>163</v>
      </c>
      <c r="E262" s="2">
        <v>377</v>
      </c>
      <c r="G262" s="2" t="s">
        <v>45</v>
      </c>
      <c r="H262" s="13">
        <v>0</v>
      </c>
      <c r="I262" s="13">
        <v>0.56763925729442966</v>
      </c>
      <c r="J262" s="13">
        <v>0.43236074270557029</v>
      </c>
    </row>
    <row r="263" spans="1:10" x14ac:dyDescent="0.45">
      <c r="A263" s="2" t="s">
        <v>46</v>
      </c>
      <c r="B263" s="2">
        <v>0</v>
      </c>
      <c r="C263" s="2">
        <v>17</v>
      </c>
      <c r="D263" s="2">
        <v>9</v>
      </c>
      <c r="E263" s="2">
        <v>26</v>
      </c>
      <c r="G263" s="2" t="s">
        <v>46</v>
      </c>
      <c r="H263" s="13">
        <v>0</v>
      </c>
      <c r="I263" s="13">
        <v>0.65384615384615385</v>
      </c>
      <c r="J263" s="13">
        <v>0.34615384615384615</v>
      </c>
    </row>
    <row r="265" spans="1:10" x14ac:dyDescent="0.45">
      <c r="A265" s="14" t="s">
        <v>11</v>
      </c>
      <c r="B265" s="14" t="s">
        <v>42</v>
      </c>
      <c r="C265" s="14" t="s">
        <v>43</v>
      </c>
      <c r="D265" s="14" t="s">
        <v>44</v>
      </c>
      <c r="E265" s="14">
        <v>403</v>
      </c>
      <c r="G265" s="14" t="s">
        <v>11</v>
      </c>
      <c r="H265" s="14" t="s">
        <v>42</v>
      </c>
      <c r="I265" s="14" t="s">
        <v>43</v>
      </c>
      <c r="J265" s="14" t="s">
        <v>44</v>
      </c>
    </row>
    <row r="266" spans="1:10" x14ac:dyDescent="0.45">
      <c r="A266" s="2" t="s">
        <v>45</v>
      </c>
      <c r="B266" s="2">
        <v>6</v>
      </c>
      <c r="C266" s="2">
        <v>135</v>
      </c>
      <c r="D266" s="2">
        <v>236</v>
      </c>
      <c r="E266" s="2">
        <v>377</v>
      </c>
      <c r="G266" s="2" t="s">
        <v>45</v>
      </c>
      <c r="H266" s="13">
        <v>1.5915119363395226E-2</v>
      </c>
      <c r="I266" s="13">
        <v>0.35809018567639256</v>
      </c>
      <c r="J266" s="13">
        <v>0.62599469496021221</v>
      </c>
    </row>
    <row r="267" spans="1:10" x14ac:dyDescent="0.45">
      <c r="A267" s="2" t="s">
        <v>46</v>
      </c>
      <c r="B267" s="2">
        <v>0</v>
      </c>
      <c r="C267" s="2">
        <v>13</v>
      </c>
      <c r="D267" s="2">
        <v>13</v>
      </c>
      <c r="E267" s="2">
        <v>26</v>
      </c>
      <c r="G267" s="2" t="s">
        <v>46</v>
      </c>
      <c r="H267" s="13">
        <v>0</v>
      </c>
      <c r="I267" s="13">
        <v>0.5</v>
      </c>
      <c r="J267" s="13">
        <v>0.5</v>
      </c>
    </row>
    <row r="269" spans="1:10" x14ac:dyDescent="0.45">
      <c r="A269" s="14" t="s">
        <v>12</v>
      </c>
      <c r="B269" s="14" t="s">
        <v>42</v>
      </c>
      <c r="C269" s="14" t="s">
        <v>43</v>
      </c>
      <c r="D269" s="14" t="s">
        <v>44</v>
      </c>
      <c r="E269" s="14">
        <v>403</v>
      </c>
      <c r="G269" s="14" t="s">
        <v>12</v>
      </c>
      <c r="H269" s="14" t="s">
        <v>42</v>
      </c>
      <c r="I269" s="14" t="s">
        <v>43</v>
      </c>
      <c r="J269" s="14" t="s">
        <v>44</v>
      </c>
    </row>
    <row r="270" spans="1:10" x14ac:dyDescent="0.45">
      <c r="A270" s="2" t="s">
        <v>47</v>
      </c>
      <c r="B270" s="2">
        <v>0</v>
      </c>
      <c r="C270" s="2">
        <v>16</v>
      </c>
      <c r="D270" s="2">
        <v>39</v>
      </c>
      <c r="E270" s="2">
        <v>55</v>
      </c>
      <c r="G270" s="2" t="s">
        <v>47</v>
      </c>
      <c r="H270" s="8">
        <v>0</v>
      </c>
      <c r="I270" s="8">
        <v>0.29090909090909089</v>
      </c>
      <c r="J270" s="8">
        <v>0.70909090909090911</v>
      </c>
    </row>
    <row r="271" spans="1:10" x14ac:dyDescent="0.45">
      <c r="A271" s="2" t="s">
        <v>48</v>
      </c>
      <c r="B271" s="2">
        <v>1</v>
      </c>
      <c r="C271" s="2">
        <v>24</v>
      </c>
      <c r="D271" s="2">
        <v>54</v>
      </c>
      <c r="E271" s="2">
        <v>79</v>
      </c>
      <c r="G271" s="2" t="s">
        <v>48</v>
      </c>
      <c r="H271" s="8">
        <v>1.2658227848101266E-2</v>
      </c>
      <c r="I271" s="8">
        <v>0.30379746835443039</v>
      </c>
      <c r="J271" s="8">
        <v>0.68354430379746833</v>
      </c>
    </row>
    <row r="272" spans="1:10" x14ac:dyDescent="0.45">
      <c r="A272" s="2" t="s">
        <v>49</v>
      </c>
      <c r="B272" s="2">
        <v>0</v>
      </c>
      <c r="C272" s="2">
        <v>47</v>
      </c>
      <c r="D272" s="2">
        <v>85</v>
      </c>
      <c r="E272" s="2">
        <v>132</v>
      </c>
      <c r="G272" s="2" t="s">
        <v>49</v>
      </c>
      <c r="H272" s="8">
        <v>0</v>
      </c>
      <c r="I272" s="8">
        <v>0.35606060606060608</v>
      </c>
      <c r="J272" s="8">
        <v>0.64393939393939392</v>
      </c>
    </row>
    <row r="273" spans="1:10" x14ac:dyDescent="0.45">
      <c r="A273" s="2" t="s">
        <v>50</v>
      </c>
      <c r="B273" s="2">
        <v>1</v>
      </c>
      <c r="C273" s="2">
        <v>25</v>
      </c>
      <c r="D273" s="2">
        <v>53</v>
      </c>
      <c r="E273" s="2">
        <v>79</v>
      </c>
      <c r="G273" s="2" t="s">
        <v>50</v>
      </c>
      <c r="H273" s="8">
        <v>1.2658227848101266E-2</v>
      </c>
      <c r="I273" s="8">
        <v>0.31645569620253167</v>
      </c>
      <c r="J273" s="8">
        <v>0.67088607594936711</v>
      </c>
    </row>
    <row r="274" spans="1:10" x14ac:dyDescent="0.45">
      <c r="A274" s="2" t="s">
        <v>51</v>
      </c>
      <c r="B274" s="2">
        <v>1</v>
      </c>
      <c r="C274" s="2">
        <v>11</v>
      </c>
      <c r="D274" s="2">
        <v>19</v>
      </c>
      <c r="E274" s="2">
        <v>31</v>
      </c>
      <c r="G274" s="2" t="s">
        <v>51</v>
      </c>
      <c r="H274" s="8">
        <v>3.2258064516129031E-2</v>
      </c>
      <c r="I274" s="8">
        <v>0.35483870967741937</v>
      </c>
      <c r="J274" s="8">
        <v>0.61290322580645162</v>
      </c>
    </row>
    <row r="275" spans="1:10" x14ac:dyDescent="0.45">
      <c r="A275" s="2" t="s">
        <v>52</v>
      </c>
      <c r="B275" s="2">
        <v>0</v>
      </c>
      <c r="C275" s="2">
        <v>11</v>
      </c>
      <c r="D275" s="2">
        <v>16</v>
      </c>
      <c r="E275" s="2">
        <v>27</v>
      </c>
      <c r="G275" s="2" t="s">
        <v>52</v>
      </c>
      <c r="H275" s="8">
        <v>0</v>
      </c>
      <c r="I275" s="8">
        <v>0.40740740740740738</v>
      </c>
      <c r="J275" s="8">
        <v>0.59259259259259256</v>
      </c>
    </row>
    <row r="277" spans="1:10" x14ac:dyDescent="0.45">
      <c r="A277" s="14" t="s">
        <v>13</v>
      </c>
      <c r="B277" s="14" t="s">
        <v>42</v>
      </c>
      <c r="C277" s="14" t="s">
        <v>43</v>
      </c>
      <c r="D277" s="14" t="s">
        <v>44</v>
      </c>
      <c r="E277" s="14">
        <v>403</v>
      </c>
      <c r="G277" s="14" t="s">
        <v>13</v>
      </c>
      <c r="H277" s="14" t="s">
        <v>42</v>
      </c>
      <c r="I277" s="14" t="s">
        <v>43</v>
      </c>
      <c r="J277" s="14" t="s">
        <v>44</v>
      </c>
    </row>
    <row r="278" spans="1:10" x14ac:dyDescent="0.45">
      <c r="A278" s="2" t="s">
        <v>47</v>
      </c>
      <c r="B278" s="2">
        <v>1</v>
      </c>
      <c r="C278" s="2">
        <v>32</v>
      </c>
      <c r="D278" s="2">
        <v>22</v>
      </c>
      <c r="E278" s="2">
        <v>55</v>
      </c>
      <c r="G278" s="2" t="s">
        <v>47</v>
      </c>
      <c r="H278" s="8">
        <v>1.8181818181818181E-2</v>
      </c>
      <c r="I278" s="8">
        <v>0.58181818181818179</v>
      </c>
      <c r="J278" s="8">
        <v>0.4</v>
      </c>
    </row>
    <row r="279" spans="1:10" x14ac:dyDescent="0.45">
      <c r="A279" s="2" t="s">
        <v>48</v>
      </c>
      <c r="B279" s="2">
        <v>1</v>
      </c>
      <c r="C279" s="2">
        <v>52</v>
      </c>
      <c r="D279" s="2">
        <v>26</v>
      </c>
      <c r="E279" s="2">
        <v>79</v>
      </c>
      <c r="G279" s="2" t="s">
        <v>48</v>
      </c>
      <c r="H279" s="8">
        <v>1.2658227848101266E-2</v>
      </c>
      <c r="I279" s="8">
        <v>0.65822784810126578</v>
      </c>
      <c r="J279" s="8">
        <v>0.32911392405063289</v>
      </c>
    </row>
    <row r="280" spans="1:10" x14ac:dyDescent="0.45">
      <c r="A280" s="2" t="s">
        <v>49</v>
      </c>
      <c r="B280" s="2">
        <v>3</v>
      </c>
      <c r="C280" s="2">
        <v>91</v>
      </c>
      <c r="D280" s="2">
        <v>38</v>
      </c>
      <c r="E280" s="2">
        <v>132</v>
      </c>
      <c r="G280" s="2" t="s">
        <v>49</v>
      </c>
      <c r="H280" s="8">
        <v>2.2727272727272728E-2</v>
      </c>
      <c r="I280" s="8">
        <v>0.68939393939393945</v>
      </c>
      <c r="J280" s="8">
        <v>0.2878787878787879</v>
      </c>
    </row>
    <row r="281" spans="1:10" x14ac:dyDescent="0.45">
      <c r="A281" s="2" t="s">
        <v>50</v>
      </c>
      <c r="B281" s="2">
        <v>3</v>
      </c>
      <c r="C281" s="2">
        <v>48</v>
      </c>
      <c r="D281" s="2">
        <v>28</v>
      </c>
      <c r="E281" s="2">
        <v>79</v>
      </c>
      <c r="G281" s="2" t="s">
        <v>50</v>
      </c>
      <c r="H281" s="8">
        <v>3.7974683544303799E-2</v>
      </c>
      <c r="I281" s="8">
        <v>0.60759493670886078</v>
      </c>
      <c r="J281" s="8">
        <v>0.35443037974683544</v>
      </c>
    </row>
    <row r="282" spans="1:10" x14ac:dyDescent="0.45">
      <c r="A282" s="2" t="s">
        <v>51</v>
      </c>
      <c r="B282" s="2">
        <v>0</v>
      </c>
      <c r="C282" s="2">
        <v>20</v>
      </c>
      <c r="D282" s="2">
        <v>11</v>
      </c>
      <c r="E282" s="2">
        <v>31</v>
      </c>
      <c r="G282" s="2" t="s">
        <v>51</v>
      </c>
      <c r="H282" s="8">
        <v>0</v>
      </c>
      <c r="I282" s="8">
        <v>0.64516129032258063</v>
      </c>
      <c r="J282" s="8">
        <v>0.35483870967741937</v>
      </c>
    </row>
    <row r="283" spans="1:10" x14ac:dyDescent="0.45">
      <c r="A283" s="2" t="s">
        <v>52</v>
      </c>
      <c r="B283" s="2">
        <v>1</v>
      </c>
      <c r="C283" s="2">
        <v>18</v>
      </c>
      <c r="D283" s="2">
        <v>8</v>
      </c>
      <c r="E283" s="2">
        <v>27</v>
      </c>
      <c r="G283" s="2" t="s">
        <v>52</v>
      </c>
      <c r="H283" s="8">
        <v>3.7037037037037035E-2</v>
      </c>
      <c r="I283" s="8">
        <v>0.66666666666666663</v>
      </c>
      <c r="J283" s="8">
        <v>0.29629629629629628</v>
      </c>
    </row>
    <row r="285" spans="1:10" x14ac:dyDescent="0.45">
      <c r="A285" s="14" t="s">
        <v>14</v>
      </c>
      <c r="B285" s="14" t="s">
        <v>42</v>
      </c>
      <c r="C285" s="14" t="s">
        <v>43</v>
      </c>
      <c r="D285" s="14" t="s">
        <v>44</v>
      </c>
      <c r="E285" s="14">
        <v>403</v>
      </c>
      <c r="G285" s="14" t="s">
        <v>14</v>
      </c>
      <c r="H285" s="14" t="s">
        <v>42</v>
      </c>
      <c r="I285" s="14" t="s">
        <v>43</v>
      </c>
      <c r="J285" s="14" t="s">
        <v>44</v>
      </c>
    </row>
    <row r="286" spans="1:10" x14ac:dyDescent="0.45">
      <c r="A286" s="2" t="s">
        <v>47</v>
      </c>
      <c r="B286" s="2">
        <v>1</v>
      </c>
      <c r="C286" s="2">
        <v>38</v>
      </c>
      <c r="D286" s="2">
        <v>16</v>
      </c>
      <c r="E286" s="2">
        <v>55</v>
      </c>
      <c r="G286" s="2" t="s">
        <v>47</v>
      </c>
      <c r="H286" s="8">
        <v>1.8181818181818181E-2</v>
      </c>
      <c r="I286" s="8">
        <v>0.69090909090909092</v>
      </c>
      <c r="J286" s="8">
        <v>0.29090909090909089</v>
      </c>
    </row>
    <row r="287" spans="1:10" x14ac:dyDescent="0.45">
      <c r="A287" s="2" t="s">
        <v>48</v>
      </c>
      <c r="B287" s="2">
        <v>1</v>
      </c>
      <c r="C287" s="2">
        <v>54</v>
      </c>
      <c r="D287" s="2">
        <v>24</v>
      </c>
      <c r="E287" s="2">
        <v>79</v>
      </c>
      <c r="G287" s="2" t="s">
        <v>48</v>
      </c>
      <c r="H287" s="8">
        <v>1.2658227848101266E-2</v>
      </c>
      <c r="I287" s="8">
        <v>0.68354430379746833</v>
      </c>
      <c r="J287" s="8">
        <v>0.30379746835443039</v>
      </c>
    </row>
    <row r="288" spans="1:10" x14ac:dyDescent="0.45">
      <c r="A288" s="2" t="s">
        <v>49</v>
      </c>
      <c r="B288" s="2">
        <v>1</v>
      </c>
      <c r="C288" s="2">
        <v>94</v>
      </c>
      <c r="D288" s="2">
        <v>37</v>
      </c>
      <c r="E288" s="2">
        <v>132</v>
      </c>
      <c r="G288" s="2" t="s">
        <v>49</v>
      </c>
      <c r="H288" s="8">
        <v>7.575757575757576E-3</v>
      </c>
      <c r="I288" s="8">
        <v>0.71212121212121215</v>
      </c>
      <c r="J288" s="8">
        <v>0.28030303030303028</v>
      </c>
    </row>
    <row r="289" spans="1:10" x14ac:dyDescent="0.45">
      <c r="A289" s="2" t="s">
        <v>50</v>
      </c>
      <c r="B289" s="2">
        <v>1</v>
      </c>
      <c r="C289" s="2">
        <v>52</v>
      </c>
      <c r="D289" s="2">
        <v>26</v>
      </c>
      <c r="E289" s="2">
        <v>79</v>
      </c>
      <c r="G289" s="2" t="s">
        <v>50</v>
      </c>
      <c r="H289" s="8">
        <v>1.2658227848101266E-2</v>
      </c>
      <c r="I289" s="8">
        <v>0.65822784810126578</v>
      </c>
      <c r="J289" s="8">
        <v>0.32911392405063289</v>
      </c>
    </row>
    <row r="290" spans="1:10" x14ac:dyDescent="0.45">
      <c r="A290" s="2" t="s">
        <v>51</v>
      </c>
      <c r="B290" s="2">
        <v>1</v>
      </c>
      <c r="C290" s="2">
        <v>20</v>
      </c>
      <c r="D290" s="2">
        <v>10</v>
      </c>
      <c r="E290" s="2">
        <v>31</v>
      </c>
      <c r="G290" s="2" t="s">
        <v>51</v>
      </c>
      <c r="H290" s="8">
        <v>3.2258064516129031E-2</v>
      </c>
      <c r="I290" s="8">
        <v>0.64516129032258063</v>
      </c>
      <c r="J290" s="8">
        <v>0.32258064516129031</v>
      </c>
    </row>
    <row r="291" spans="1:10" x14ac:dyDescent="0.45">
      <c r="A291" s="2" t="s">
        <v>52</v>
      </c>
      <c r="B291" s="2">
        <v>2</v>
      </c>
      <c r="C291" s="2">
        <v>14</v>
      </c>
      <c r="D291" s="2">
        <v>11</v>
      </c>
      <c r="E291" s="2">
        <v>27</v>
      </c>
      <c r="G291" s="2" t="s">
        <v>52</v>
      </c>
      <c r="H291" s="8">
        <v>7.407407407407407E-2</v>
      </c>
      <c r="I291" s="8">
        <v>0.51851851851851849</v>
      </c>
      <c r="J291" s="8">
        <v>0.40740740740740738</v>
      </c>
    </row>
    <row r="293" spans="1:10" x14ac:dyDescent="0.45">
      <c r="A293" s="14" t="s">
        <v>15</v>
      </c>
      <c r="B293" s="14" t="s">
        <v>42</v>
      </c>
      <c r="C293" s="14" t="s">
        <v>43</v>
      </c>
      <c r="D293" s="14" t="s">
        <v>44</v>
      </c>
      <c r="E293" s="14">
        <v>403</v>
      </c>
      <c r="G293" s="14" t="s">
        <v>15</v>
      </c>
      <c r="H293" s="14" t="s">
        <v>42</v>
      </c>
      <c r="I293" s="14" t="s">
        <v>43</v>
      </c>
      <c r="J293" s="14" t="s">
        <v>44</v>
      </c>
    </row>
    <row r="294" spans="1:10" x14ac:dyDescent="0.45">
      <c r="A294" s="2" t="s">
        <v>47</v>
      </c>
      <c r="B294" s="2">
        <v>1</v>
      </c>
      <c r="C294" s="2">
        <v>47</v>
      </c>
      <c r="D294" s="2">
        <v>7</v>
      </c>
      <c r="E294" s="2">
        <v>55</v>
      </c>
      <c r="G294" s="2" t="s">
        <v>47</v>
      </c>
      <c r="H294" s="8">
        <v>1.8181818181818181E-2</v>
      </c>
      <c r="I294" s="8">
        <v>0.8545454545454545</v>
      </c>
      <c r="J294" s="8">
        <v>0.12727272727272726</v>
      </c>
    </row>
    <row r="295" spans="1:10" x14ac:dyDescent="0.45">
      <c r="A295" s="2" t="s">
        <v>48</v>
      </c>
      <c r="B295" s="2">
        <v>4</v>
      </c>
      <c r="C295" s="2">
        <v>58</v>
      </c>
      <c r="D295" s="2">
        <v>17</v>
      </c>
      <c r="E295" s="2">
        <v>79</v>
      </c>
      <c r="G295" s="2" t="s">
        <v>48</v>
      </c>
      <c r="H295" s="8">
        <v>5.0632911392405063E-2</v>
      </c>
      <c r="I295" s="8">
        <v>0.73417721518987344</v>
      </c>
      <c r="J295" s="8">
        <v>0.21518987341772153</v>
      </c>
    </row>
    <row r="296" spans="1:10" x14ac:dyDescent="0.45">
      <c r="A296" s="2" t="s">
        <v>49</v>
      </c>
      <c r="B296" s="2">
        <v>7</v>
      </c>
      <c r="C296" s="2">
        <v>112</v>
      </c>
      <c r="D296" s="2">
        <v>13</v>
      </c>
      <c r="E296" s="2">
        <v>132</v>
      </c>
      <c r="G296" s="2" t="s">
        <v>49</v>
      </c>
      <c r="H296" s="8">
        <v>5.3030303030303032E-2</v>
      </c>
      <c r="I296" s="8">
        <v>0.84848484848484851</v>
      </c>
      <c r="J296" s="8">
        <v>9.8484848484848481E-2</v>
      </c>
    </row>
    <row r="297" spans="1:10" x14ac:dyDescent="0.45">
      <c r="A297" s="2" t="s">
        <v>50</v>
      </c>
      <c r="B297" s="2">
        <v>4</v>
      </c>
      <c r="C297" s="2">
        <v>64</v>
      </c>
      <c r="D297" s="2">
        <v>11</v>
      </c>
      <c r="E297" s="2">
        <v>79</v>
      </c>
      <c r="G297" s="2" t="s">
        <v>50</v>
      </c>
      <c r="H297" s="8">
        <v>5.0632911392405063E-2</v>
      </c>
      <c r="I297" s="8">
        <v>0.810126582278481</v>
      </c>
      <c r="J297" s="8">
        <v>0.13924050632911392</v>
      </c>
    </row>
    <row r="298" spans="1:10" x14ac:dyDescent="0.45">
      <c r="A298" s="2" t="s">
        <v>51</v>
      </c>
      <c r="B298" s="2">
        <v>1</v>
      </c>
      <c r="C298" s="2">
        <v>25</v>
      </c>
      <c r="D298" s="2">
        <v>5</v>
      </c>
      <c r="E298" s="2">
        <v>31</v>
      </c>
      <c r="G298" s="2" t="s">
        <v>51</v>
      </c>
      <c r="H298" s="8">
        <v>3.2258064516129031E-2</v>
      </c>
      <c r="I298" s="8">
        <v>0.80645161290322576</v>
      </c>
      <c r="J298" s="8">
        <v>0.16129032258064516</v>
      </c>
    </row>
    <row r="299" spans="1:10" x14ac:dyDescent="0.45">
      <c r="A299" s="2" t="s">
        <v>52</v>
      </c>
      <c r="B299" s="2">
        <v>0</v>
      </c>
      <c r="C299" s="2">
        <v>23</v>
      </c>
      <c r="D299" s="2">
        <v>4</v>
      </c>
      <c r="E299" s="2">
        <v>27</v>
      </c>
      <c r="G299" s="2" t="s">
        <v>52</v>
      </c>
      <c r="H299" s="8">
        <v>0</v>
      </c>
      <c r="I299" s="8">
        <v>0.85185185185185186</v>
      </c>
      <c r="J299" s="8">
        <v>0.14814814814814814</v>
      </c>
    </row>
    <row r="301" spans="1:10" x14ac:dyDescent="0.45">
      <c r="A301" s="14" t="s">
        <v>16</v>
      </c>
      <c r="B301" s="14" t="s">
        <v>42</v>
      </c>
      <c r="C301" s="14" t="s">
        <v>43</v>
      </c>
      <c r="D301" s="14" t="s">
        <v>44</v>
      </c>
      <c r="E301" s="14">
        <v>403</v>
      </c>
      <c r="G301" s="14" t="s">
        <v>16</v>
      </c>
      <c r="H301" s="14" t="s">
        <v>42</v>
      </c>
      <c r="I301" s="14" t="s">
        <v>43</v>
      </c>
      <c r="J301" s="14" t="s">
        <v>44</v>
      </c>
    </row>
    <row r="302" spans="1:10" x14ac:dyDescent="0.45">
      <c r="A302" s="2" t="s">
        <v>47</v>
      </c>
      <c r="B302" s="2">
        <v>5</v>
      </c>
      <c r="C302" s="2">
        <v>46</v>
      </c>
      <c r="D302" s="2">
        <v>4</v>
      </c>
      <c r="E302" s="2">
        <v>55</v>
      </c>
      <c r="G302" s="2" t="s">
        <v>47</v>
      </c>
      <c r="H302" s="8">
        <v>9.0909090909090912E-2</v>
      </c>
      <c r="I302" s="8">
        <v>0.83636363636363631</v>
      </c>
      <c r="J302" s="8">
        <v>7.2727272727272724E-2</v>
      </c>
    </row>
    <row r="303" spans="1:10" x14ac:dyDescent="0.45">
      <c r="A303" s="2" t="s">
        <v>48</v>
      </c>
      <c r="B303" s="2">
        <v>2</v>
      </c>
      <c r="C303" s="2">
        <v>67</v>
      </c>
      <c r="D303" s="2">
        <v>10</v>
      </c>
      <c r="E303" s="2">
        <v>79</v>
      </c>
      <c r="G303" s="2" t="s">
        <v>48</v>
      </c>
      <c r="H303" s="8">
        <v>2.5316455696202531E-2</v>
      </c>
      <c r="I303" s="8">
        <v>0.84810126582278478</v>
      </c>
      <c r="J303" s="8">
        <v>0.12658227848101267</v>
      </c>
    </row>
    <row r="304" spans="1:10" x14ac:dyDescent="0.45">
      <c r="A304" s="2" t="s">
        <v>49</v>
      </c>
      <c r="B304" s="2">
        <v>2</v>
      </c>
      <c r="C304" s="2">
        <v>122</v>
      </c>
      <c r="D304" s="2">
        <v>8</v>
      </c>
      <c r="E304" s="2">
        <v>132</v>
      </c>
      <c r="G304" s="2" t="s">
        <v>49</v>
      </c>
      <c r="H304" s="8">
        <v>1.5151515151515152E-2</v>
      </c>
      <c r="I304" s="8">
        <v>0.9242424242424242</v>
      </c>
      <c r="J304" s="8">
        <v>6.0606060606060608E-2</v>
      </c>
    </row>
    <row r="305" spans="1:10" x14ac:dyDescent="0.45">
      <c r="A305" s="2" t="s">
        <v>50</v>
      </c>
      <c r="B305" s="2">
        <v>5</v>
      </c>
      <c r="C305" s="2">
        <v>67</v>
      </c>
      <c r="D305" s="2">
        <v>7</v>
      </c>
      <c r="E305" s="2">
        <v>79</v>
      </c>
      <c r="G305" s="2" t="s">
        <v>50</v>
      </c>
      <c r="H305" s="8">
        <v>6.3291139240506333E-2</v>
      </c>
      <c r="I305" s="8">
        <v>0.84810126582278478</v>
      </c>
      <c r="J305" s="8">
        <v>8.8607594936708861E-2</v>
      </c>
    </row>
    <row r="306" spans="1:10" x14ac:dyDescent="0.45">
      <c r="A306" s="2" t="s">
        <v>51</v>
      </c>
      <c r="B306" s="2">
        <v>3</v>
      </c>
      <c r="C306" s="2">
        <v>25</v>
      </c>
      <c r="D306" s="2">
        <v>3</v>
      </c>
      <c r="E306" s="2">
        <v>31</v>
      </c>
      <c r="G306" s="2" t="s">
        <v>51</v>
      </c>
      <c r="H306" s="8">
        <v>9.6774193548387094E-2</v>
      </c>
      <c r="I306" s="8">
        <v>0.80645161290322576</v>
      </c>
      <c r="J306" s="8">
        <v>9.6774193548387094E-2</v>
      </c>
    </row>
    <row r="307" spans="1:10" x14ac:dyDescent="0.45">
      <c r="A307" s="2" t="s">
        <v>52</v>
      </c>
      <c r="B307" s="2">
        <v>3</v>
      </c>
      <c r="C307" s="2">
        <v>20</v>
      </c>
      <c r="D307" s="2">
        <v>4</v>
      </c>
      <c r="E307" s="2">
        <v>27</v>
      </c>
      <c r="G307" s="2" t="s">
        <v>52</v>
      </c>
      <c r="H307" s="8">
        <v>0.1111111111111111</v>
      </c>
      <c r="I307" s="8">
        <v>0.7407407407407407</v>
      </c>
      <c r="J307" s="8">
        <v>0.14814814814814814</v>
      </c>
    </row>
    <row r="309" spans="1:10" x14ac:dyDescent="0.45">
      <c r="A309" s="14" t="s">
        <v>14</v>
      </c>
      <c r="B309" s="14" t="s">
        <v>42</v>
      </c>
      <c r="C309" s="14" t="s">
        <v>43</v>
      </c>
      <c r="D309" s="14" t="s">
        <v>44</v>
      </c>
      <c r="E309" s="14">
        <v>403</v>
      </c>
      <c r="G309" s="14" t="s">
        <v>14</v>
      </c>
      <c r="H309" s="14" t="s">
        <v>42</v>
      </c>
      <c r="I309" s="14" t="s">
        <v>43</v>
      </c>
      <c r="J309" s="14" t="s">
        <v>44</v>
      </c>
    </row>
    <row r="310" spans="1:10" x14ac:dyDescent="0.45">
      <c r="A310" s="2" t="s">
        <v>53</v>
      </c>
      <c r="B310" s="2">
        <v>1</v>
      </c>
      <c r="C310" s="2">
        <v>27</v>
      </c>
      <c r="D310" s="2">
        <v>13</v>
      </c>
      <c r="E310" s="2">
        <v>41</v>
      </c>
      <c r="G310" s="2" t="s">
        <v>53</v>
      </c>
      <c r="H310" s="8">
        <v>2.4390243902439025E-2</v>
      </c>
      <c r="I310" s="8">
        <v>0.65853658536585369</v>
      </c>
      <c r="J310" s="8">
        <v>0.31707317073170732</v>
      </c>
    </row>
    <row r="311" spans="1:10" x14ac:dyDescent="0.45">
      <c r="A311" s="2" t="s">
        <v>54</v>
      </c>
      <c r="B311" s="2">
        <v>1</v>
      </c>
      <c r="C311" s="2">
        <v>52</v>
      </c>
      <c r="D311" s="2">
        <v>26</v>
      </c>
      <c r="E311" s="2">
        <v>79</v>
      </c>
      <c r="G311" s="2" t="s">
        <v>54</v>
      </c>
      <c r="H311" s="8">
        <v>1.2658227848101266E-2</v>
      </c>
      <c r="I311" s="8">
        <v>0.65822784810126578</v>
      </c>
      <c r="J311" s="8">
        <v>0.32911392405063289</v>
      </c>
    </row>
    <row r="312" spans="1:10" x14ac:dyDescent="0.45">
      <c r="A312" s="2" t="s">
        <v>55</v>
      </c>
      <c r="B312" s="2">
        <v>1</v>
      </c>
      <c r="C312" s="2">
        <v>31</v>
      </c>
      <c r="D312" s="2">
        <v>9</v>
      </c>
      <c r="E312" s="2">
        <v>41</v>
      </c>
      <c r="G312" s="2" t="s">
        <v>55</v>
      </c>
      <c r="H312" s="8">
        <v>2.4390243902439025E-2</v>
      </c>
      <c r="I312" s="8">
        <v>0.75609756097560976</v>
      </c>
      <c r="J312" s="8">
        <v>0.21951219512195122</v>
      </c>
    </row>
    <row r="313" spans="1:10" x14ac:dyDescent="0.45">
      <c r="A313" s="2" t="s">
        <v>56</v>
      </c>
      <c r="B313" s="2">
        <v>1</v>
      </c>
      <c r="C313" s="2">
        <v>36</v>
      </c>
      <c r="D313" s="2">
        <v>16</v>
      </c>
      <c r="E313" s="2">
        <v>53</v>
      </c>
      <c r="G313" s="2" t="s">
        <v>56</v>
      </c>
      <c r="H313" s="8">
        <v>1.8867924528301886E-2</v>
      </c>
      <c r="I313" s="8">
        <v>0.67924528301886788</v>
      </c>
      <c r="J313" s="8">
        <v>0.30188679245283018</v>
      </c>
    </row>
    <row r="314" spans="1:10" x14ac:dyDescent="0.45">
      <c r="A314" s="2" t="s">
        <v>57</v>
      </c>
      <c r="B314" s="2">
        <v>2</v>
      </c>
      <c r="C314" s="2">
        <v>41</v>
      </c>
      <c r="D314" s="2">
        <v>10</v>
      </c>
      <c r="E314" s="2">
        <v>53</v>
      </c>
      <c r="G314" s="2" t="s">
        <v>57</v>
      </c>
      <c r="H314" s="8">
        <v>3.7735849056603772E-2</v>
      </c>
      <c r="I314" s="8">
        <v>0.77358490566037741</v>
      </c>
      <c r="J314" s="8">
        <v>0.18867924528301888</v>
      </c>
    </row>
    <row r="315" spans="1:10" x14ac:dyDescent="0.45">
      <c r="A315" s="2" t="s">
        <v>58</v>
      </c>
      <c r="B315" s="2">
        <v>0</v>
      </c>
      <c r="C315" s="2">
        <v>35</v>
      </c>
      <c r="D315" s="2">
        <v>27</v>
      </c>
      <c r="E315" s="2">
        <v>62</v>
      </c>
      <c r="G315" s="2" t="s">
        <v>58</v>
      </c>
      <c r="H315" s="8">
        <v>0</v>
      </c>
      <c r="I315" s="8">
        <v>0.56451612903225812</v>
      </c>
      <c r="J315" s="8">
        <v>0.43548387096774194</v>
      </c>
    </row>
    <row r="316" spans="1:10" x14ac:dyDescent="0.45">
      <c r="A316" s="2" t="s">
        <v>59</v>
      </c>
      <c r="B316" s="2">
        <v>0</v>
      </c>
      <c r="C316" s="2">
        <v>30</v>
      </c>
      <c r="D316" s="2">
        <v>9</v>
      </c>
      <c r="E316" s="2">
        <v>39</v>
      </c>
      <c r="G316" s="2" t="s">
        <v>59</v>
      </c>
      <c r="H316" s="8">
        <v>0</v>
      </c>
      <c r="I316" s="8">
        <v>0.76923076923076927</v>
      </c>
      <c r="J316" s="8">
        <v>0.23076923076923078</v>
      </c>
    </row>
    <row r="317" spans="1:10" x14ac:dyDescent="0.45">
      <c r="A317" s="2" t="s">
        <v>60</v>
      </c>
      <c r="B317" s="2">
        <v>1</v>
      </c>
      <c r="C317" s="2">
        <v>20</v>
      </c>
      <c r="D317" s="2">
        <v>14</v>
      </c>
      <c r="E317" s="2">
        <v>35</v>
      </c>
      <c r="G317" s="2" t="s">
        <v>60</v>
      </c>
      <c r="H317" s="8">
        <v>2.8571428571428571E-2</v>
      </c>
      <c r="I317" s="8">
        <v>0.5714285714285714</v>
      </c>
      <c r="J317" s="8">
        <v>0.4</v>
      </c>
    </row>
    <row r="319" spans="1:10" x14ac:dyDescent="0.45">
      <c r="A319" s="14" t="s">
        <v>15</v>
      </c>
      <c r="B319" s="14" t="s">
        <v>42</v>
      </c>
      <c r="C319" s="14" t="s">
        <v>43</v>
      </c>
      <c r="D319" s="14" t="s">
        <v>44</v>
      </c>
      <c r="E319" s="14">
        <v>403</v>
      </c>
      <c r="G319" s="14" t="s">
        <v>15</v>
      </c>
      <c r="H319" s="14" t="s">
        <v>42</v>
      </c>
      <c r="I319" s="14" t="s">
        <v>43</v>
      </c>
      <c r="J319" s="14" t="s">
        <v>44</v>
      </c>
    </row>
    <row r="320" spans="1:10" x14ac:dyDescent="0.45">
      <c r="A320" s="2" t="s">
        <v>53</v>
      </c>
      <c r="B320" s="2">
        <v>1</v>
      </c>
      <c r="C320" s="2">
        <v>37</v>
      </c>
      <c r="D320" s="2">
        <v>3</v>
      </c>
      <c r="E320" s="2">
        <v>41</v>
      </c>
      <c r="G320" s="2" t="s">
        <v>53</v>
      </c>
      <c r="H320" s="8">
        <v>2.4390243902439025E-2</v>
      </c>
      <c r="I320" s="8">
        <v>0.90243902439024393</v>
      </c>
      <c r="J320" s="8">
        <v>7.3170731707317069E-2</v>
      </c>
    </row>
    <row r="321" spans="1:10" x14ac:dyDescent="0.45">
      <c r="A321" s="2" t="s">
        <v>54</v>
      </c>
      <c r="B321" s="2">
        <v>3</v>
      </c>
      <c r="C321" s="2">
        <v>67</v>
      </c>
      <c r="D321" s="2">
        <v>9</v>
      </c>
      <c r="E321" s="2">
        <v>79</v>
      </c>
      <c r="G321" s="2" t="s">
        <v>54</v>
      </c>
      <c r="H321" s="8">
        <v>3.7974683544303799E-2</v>
      </c>
      <c r="I321" s="8">
        <v>0.84810126582278478</v>
      </c>
      <c r="J321" s="8">
        <v>0.11392405063291139</v>
      </c>
    </row>
    <row r="322" spans="1:10" x14ac:dyDescent="0.45">
      <c r="A322" s="2" t="s">
        <v>55</v>
      </c>
      <c r="B322" s="2">
        <v>2</v>
      </c>
      <c r="C322" s="2">
        <v>31</v>
      </c>
      <c r="D322" s="2">
        <v>8</v>
      </c>
      <c r="E322" s="2">
        <v>41</v>
      </c>
      <c r="G322" s="2" t="s">
        <v>55</v>
      </c>
      <c r="H322" s="8">
        <v>4.878048780487805E-2</v>
      </c>
      <c r="I322" s="8">
        <v>0.75609756097560976</v>
      </c>
      <c r="J322" s="8">
        <v>0.1951219512195122</v>
      </c>
    </row>
    <row r="323" spans="1:10" x14ac:dyDescent="0.45">
      <c r="A323" s="2" t="s">
        <v>56</v>
      </c>
      <c r="B323" s="2">
        <v>3</v>
      </c>
      <c r="C323" s="2">
        <v>42</v>
      </c>
      <c r="D323" s="2">
        <v>8</v>
      </c>
      <c r="E323" s="2">
        <v>53</v>
      </c>
      <c r="G323" s="2" t="s">
        <v>56</v>
      </c>
      <c r="H323" s="8">
        <v>5.6603773584905662E-2</v>
      </c>
      <c r="I323" s="8">
        <v>0.79245283018867929</v>
      </c>
      <c r="J323" s="8">
        <v>0.15094339622641509</v>
      </c>
    </row>
    <row r="324" spans="1:10" x14ac:dyDescent="0.45">
      <c r="A324" s="2" t="s">
        <v>57</v>
      </c>
      <c r="B324" s="2">
        <v>5</v>
      </c>
      <c r="C324" s="2">
        <v>43</v>
      </c>
      <c r="D324" s="2">
        <v>5</v>
      </c>
      <c r="E324" s="2">
        <v>53</v>
      </c>
      <c r="G324" s="2" t="s">
        <v>57</v>
      </c>
      <c r="H324" s="8">
        <v>9.4339622641509441E-2</v>
      </c>
      <c r="I324" s="8">
        <v>0.81132075471698117</v>
      </c>
      <c r="J324" s="8">
        <v>9.4339622641509441E-2</v>
      </c>
    </row>
    <row r="325" spans="1:10" x14ac:dyDescent="0.45">
      <c r="A325" s="2" t="s">
        <v>58</v>
      </c>
      <c r="B325" s="2">
        <v>1</v>
      </c>
      <c r="C325" s="2">
        <v>50</v>
      </c>
      <c r="D325" s="2">
        <v>11</v>
      </c>
      <c r="E325" s="2">
        <v>62</v>
      </c>
      <c r="G325" s="2" t="s">
        <v>58</v>
      </c>
      <c r="H325" s="8">
        <v>1.6129032258064516E-2</v>
      </c>
      <c r="I325" s="8">
        <v>0.80645161290322576</v>
      </c>
      <c r="J325" s="8">
        <v>0.17741935483870969</v>
      </c>
    </row>
    <row r="326" spans="1:10" x14ac:dyDescent="0.45">
      <c r="A326" s="2" t="s">
        <v>59</v>
      </c>
      <c r="B326" s="2">
        <v>0</v>
      </c>
      <c r="C326" s="2">
        <v>34</v>
      </c>
      <c r="D326" s="2">
        <v>5</v>
      </c>
      <c r="E326" s="2">
        <v>39</v>
      </c>
      <c r="G326" s="2" t="s">
        <v>59</v>
      </c>
      <c r="H326" s="8">
        <v>0</v>
      </c>
      <c r="I326" s="8">
        <v>0.87179487179487181</v>
      </c>
      <c r="J326" s="8">
        <v>0.12820512820512819</v>
      </c>
    </row>
    <row r="327" spans="1:10" x14ac:dyDescent="0.45">
      <c r="A327" s="2" t="s">
        <v>60</v>
      </c>
      <c r="B327" s="2">
        <v>2</v>
      </c>
      <c r="C327" s="2">
        <v>25</v>
      </c>
      <c r="D327" s="2">
        <v>8</v>
      </c>
      <c r="E327" s="2">
        <v>35</v>
      </c>
      <c r="G327" s="2" t="s">
        <v>60</v>
      </c>
      <c r="H327" s="8">
        <v>5.7142857142857141E-2</v>
      </c>
      <c r="I327" s="8">
        <v>0.7142857142857143</v>
      </c>
      <c r="J327" s="8">
        <v>0.22857142857142856</v>
      </c>
    </row>
    <row r="329" spans="1:10" x14ac:dyDescent="0.45">
      <c r="A329" s="14" t="s">
        <v>61</v>
      </c>
      <c r="B329" s="14" t="s">
        <v>42</v>
      </c>
      <c r="C329" s="14" t="s">
        <v>43</v>
      </c>
      <c r="D329" s="14" t="s">
        <v>44</v>
      </c>
      <c r="E329" s="14">
        <v>402</v>
      </c>
      <c r="G329" s="14" t="s">
        <v>61</v>
      </c>
      <c r="H329" s="14" t="s">
        <v>42</v>
      </c>
      <c r="I329" s="14" t="s">
        <v>43</v>
      </c>
      <c r="J329" s="14" t="s">
        <v>44</v>
      </c>
    </row>
    <row r="330" spans="1:10" x14ac:dyDescent="0.45">
      <c r="A330" s="2" t="s">
        <v>47</v>
      </c>
      <c r="B330" s="2">
        <v>3</v>
      </c>
      <c r="C330" s="2">
        <v>32</v>
      </c>
      <c r="D330" s="2">
        <v>19</v>
      </c>
      <c r="E330" s="2">
        <v>54</v>
      </c>
      <c r="G330" s="2" t="s">
        <v>47</v>
      </c>
      <c r="H330" s="8">
        <v>5.5555555555555552E-2</v>
      </c>
      <c r="I330" s="8">
        <v>0.59259259259259256</v>
      </c>
      <c r="J330" s="8">
        <v>0.35185185185185186</v>
      </c>
    </row>
    <row r="331" spans="1:10" x14ac:dyDescent="0.45">
      <c r="A331" s="2" t="s">
        <v>48</v>
      </c>
      <c r="B331" s="2">
        <v>0</v>
      </c>
      <c r="C331" s="2">
        <v>46</v>
      </c>
      <c r="D331" s="2">
        <v>33</v>
      </c>
      <c r="E331" s="2">
        <v>79</v>
      </c>
      <c r="G331" s="2" t="s">
        <v>48</v>
      </c>
      <c r="H331" s="8">
        <v>0</v>
      </c>
      <c r="I331" s="8">
        <v>0.58227848101265822</v>
      </c>
      <c r="J331" s="8">
        <v>0.41772151898734178</v>
      </c>
    </row>
    <row r="332" spans="1:10" x14ac:dyDescent="0.45">
      <c r="A332" s="2" t="s">
        <v>49</v>
      </c>
      <c r="B332" s="2">
        <v>5</v>
      </c>
      <c r="C332" s="2">
        <v>90</v>
      </c>
      <c r="D332" s="2">
        <v>37</v>
      </c>
      <c r="E332" s="2">
        <v>132</v>
      </c>
      <c r="G332" s="2" t="s">
        <v>49</v>
      </c>
      <c r="H332" s="8">
        <v>3.787878787878788E-2</v>
      </c>
      <c r="I332" s="8">
        <v>0.68181818181818177</v>
      </c>
      <c r="J332" s="8">
        <v>0.28030303030303028</v>
      </c>
    </row>
    <row r="333" spans="1:10" x14ac:dyDescent="0.45">
      <c r="A333" s="2" t="s">
        <v>50</v>
      </c>
      <c r="B333" s="2">
        <v>1</v>
      </c>
      <c r="C333" s="2">
        <v>53</v>
      </c>
      <c r="D333" s="2">
        <v>25</v>
      </c>
      <c r="E333" s="2">
        <v>79</v>
      </c>
      <c r="G333" s="2" t="s">
        <v>50</v>
      </c>
      <c r="H333" s="8">
        <v>1.2658227848101266E-2</v>
      </c>
      <c r="I333" s="8">
        <v>0.67088607594936711</v>
      </c>
      <c r="J333" s="8">
        <v>0.31645569620253167</v>
      </c>
    </row>
    <row r="334" spans="1:10" x14ac:dyDescent="0.45">
      <c r="A334" s="2" t="s">
        <v>51</v>
      </c>
      <c r="B334" s="2">
        <v>1</v>
      </c>
      <c r="C334" s="2">
        <v>20</v>
      </c>
      <c r="D334" s="2">
        <v>10</v>
      </c>
      <c r="E334" s="2">
        <v>31</v>
      </c>
      <c r="G334" s="2" t="s">
        <v>51</v>
      </c>
      <c r="H334" s="8">
        <v>3.2258064516129031E-2</v>
      </c>
      <c r="I334" s="8">
        <v>0.64516129032258063</v>
      </c>
      <c r="J334" s="8">
        <v>0.32258064516129031</v>
      </c>
    </row>
    <row r="335" spans="1:10" x14ac:dyDescent="0.45">
      <c r="A335" s="2" t="s">
        <v>52</v>
      </c>
      <c r="B335" s="2">
        <v>0</v>
      </c>
      <c r="C335" s="2">
        <v>18</v>
      </c>
      <c r="D335" s="2">
        <v>9</v>
      </c>
      <c r="E335" s="2">
        <v>27</v>
      </c>
      <c r="G335" s="2" t="s">
        <v>52</v>
      </c>
      <c r="H335" s="8">
        <v>0</v>
      </c>
      <c r="I335" s="8">
        <v>0.66666666666666663</v>
      </c>
      <c r="J335" s="8">
        <v>0.33333333333333331</v>
      </c>
    </row>
    <row r="338" spans="1:10" x14ac:dyDescent="0.45">
      <c r="A338" s="19" t="s">
        <v>31</v>
      </c>
      <c r="B338" s="19"/>
      <c r="C338" s="19"/>
      <c r="D338" s="19"/>
      <c r="E338" s="19"/>
      <c r="F338" s="19"/>
      <c r="G338" s="19"/>
      <c r="H338" s="19"/>
      <c r="I338" s="19"/>
      <c r="J338" s="19"/>
    </row>
    <row r="339" spans="1:10" x14ac:dyDescent="0.45">
      <c r="A339" s="14" t="s">
        <v>9</v>
      </c>
      <c r="B339" s="14" t="s">
        <v>42</v>
      </c>
      <c r="C339" s="14" t="s">
        <v>43</v>
      </c>
      <c r="D339" s="14" t="s">
        <v>44</v>
      </c>
      <c r="E339" s="14">
        <v>403</v>
      </c>
      <c r="G339" s="14" t="s">
        <v>9</v>
      </c>
      <c r="H339" s="14" t="s">
        <v>42</v>
      </c>
      <c r="I339" s="14" t="s">
        <v>43</v>
      </c>
      <c r="J339" s="14" t="s">
        <v>44</v>
      </c>
    </row>
    <row r="340" spans="1:10" x14ac:dyDescent="0.45">
      <c r="A340" s="2" t="s">
        <v>45</v>
      </c>
      <c r="B340" s="2">
        <v>5</v>
      </c>
      <c r="C340" s="2">
        <v>248</v>
      </c>
      <c r="D340" s="2">
        <v>124</v>
      </c>
      <c r="E340" s="2">
        <v>377</v>
      </c>
      <c r="G340" s="2" t="s">
        <v>45</v>
      </c>
      <c r="H340" s="13">
        <v>1.3262599469496022E-2</v>
      </c>
      <c r="I340" s="13">
        <v>0.65782493368700268</v>
      </c>
      <c r="J340" s="13">
        <v>0.32891246684350134</v>
      </c>
    </row>
    <row r="341" spans="1:10" x14ac:dyDescent="0.45">
      <c r="A341" s="2" t="s">
        <v>46</v>
      </c>
      <c r="B341" s="2">
        <v>0</v>
      </c>
      <c r="C341" s="2">
        <v>17</v>
      </c>
      <c r="D341" s="2">
        <v>9</v>
      </c>
      <c r="E341" s="2">
        <v>26</v>
      </c>
      <c r="G341" s="2" t="s">
        <v>46</v>
      </c>
      <c r="H341" s="13">
        <v>0</v>
      </c>
      <c r="I341" s="13">
        <v>0.65384615384615385</v>
      </c>
      <c r="J341" s="13">
        <v>0.34615384615384615</v>
      </c>
    </row>
    <row r="343" spans="1:10" x14ac:dyDescent="0.45">
      <c r="A343" s="14" t="s">
        <v>10</v>
      </c>
      <c r="B343" s="14" t="s">
        <v>42</v>
      </c>
      <c r="C343" s="14" t="s">
        <v>43</v>
      </c>
      <c r="D343" s="14" t="s">
        <v>44</v>
      </c>
      <c r="E343" s="14">
        <v>403</v>
      </c>
      <c r="G343" s="14" t="s">
        <v>10</v>
      </c>
      <c r="H343" s="14" t="s">
        <v>42</v>
      </c>
      <c r="I343" s="14" t="s">
        <v>43</v>
      </c>
      <c r="J343" s="14" t="s">
        <v>44</v>
      </c>
    </row>
    <row r="344" spans="1:10" x14ac:dyDescent="0.45">
      <c r="A344" s="2" t="s">
        <v>45</v>
      </c>
      <c r="B344" s="2">
        <v>1</v>
      </c>
      <c r="C344" s="2">
        <v>205</v>
      </c>
      <c r="D344" s="2">
        <v>171</v>
      </c>
      <c r="E344" s="2">
        <v>377</v>
      </c>
      <c r="G344" s="2" t="s">
        <v>45</v>
      </c>
      <c r="H344" s="13">
        <v>2.6525198938992041E-3</v>
      </c>
      <c r="I344" s="13">
        <v>0.54376657824933683</v>
      </c>
      <c r="J344" s="13">
        <v>0.45358090185676392</v>
      </c>
    </row>
    <row r="345" spans="1:10" x14ac:dyDescent="0.45">
      <c r="A345" s="2" t="s">
        <v>46</v>
      </c>
      <c r="B345" s="2">
        <v>0</v>
      </c>
      <c r="C345" s="2">
        <v>14</v>
      </c>
      <c r="D345" s="2">
        <v>12</v>
      </c>
      <c r="E345" s="2">
        <v>26</v>
      </c>
      <c r="G345" s="2" t="s">
        <v>46</v>
      </c>
      <c r="H345" s="13">
        <v>0</v>
      </c>
      <c r="I345" s="13">
        <v>0.53846153846153844</v>
      </c>
      <c r="J345" s="13">
        <v>0.46153846153846156</v>
      </c>
    </row>
    <row r="347" spans="1:10" x14ac:dyDescent="0.45">
      <c r="A347" s="14" t="s">
        <v>11</v>
      </c>
      <c r="B347" s="14" t="s">
        <v>42</v>
      </c>
      <c r="C347" s="14" t="s">
        <v>43</v>
      </c>
      <c r="D347" s="14" t="s">
        <v>44</v>
      </c>
      <c r="E347" s="14">
        <v>403</v>
      </c>
      <c r="G347" s="14" t="s">
        <v>11</v>
      </c>
      <c r="H347" s="14" t="s">
        <v>42</v>
      </c>
      <c r="I347" s="14" t="s">
        <v>43</v>
      </c>
      <c r="J347" s="14" t="s">
        <v>44</v>
      </c>
    </row>
    <row r="348" spans="1:10" x14ac:dyDescent="0.45">
      <c r="A348" s="2" t="s">
        <v>45</v>
      </c>
      <c r="B348" s="2">
        <v>3</v>
      </c>
      <c r="C348" s="2">
        <v>137</v>
      </c>
      <c r="D348" s="2">
        <v>237</v>
      </c>
      <c r="E348" s="2">
        <v>377</v>
      </c>
      <c r="G348" s="2" t="s">
        <v>45</v>
      </c>
      <c r="H348" s="13">
        <v>7.9575596816976128E-3</v>
      </c>
      <c r="I348" s="13">
        <v>0.36339522546419101</v>
      </c>
      <c r="J348" s="13">
        <v>0.62864721485411146</v>
      </c>
    </row>
    <row r="349" spans="1:10" x14ac:dyDescent="0.45">
      <c r="A349" s="2" t="s">
        <v>46</v>
      </c>
      <c r="B349" s="2">
        <v>0</v>
      </c>
      <c r="C349" s="2">
        <v>8</v>
      </c>
      <c r="D349" s="2">
        <v>18</v>
      </c>
      <c r="E349" s="2">
        <v>26</v>
      </c>
      <c r="G349" s="2" t="s">
        <v>46</v>
      </c>
      <c r="H349" s="13">
        <v>0</v>
      </c>
      <c r="I349" s="13">
        <v>0.30769230769230771</v>
      </c>
      <c r="J349" s="13">
        <v>0.69230769230769229</v>
      </c>
    </row>
    <row r="351" spans="1:10" x14ac:dyDescent="0.45">
      <c r="A351" s="14" t="s">
        <v>12</v>
      </c>
      <c r="B351" s="14" t="s">
        <v>42</v>
      </c>
      <c r="C351" s="14" t="s">
        <v>43</v>
      </c>
      <c r="D351" s="14" t="s">
        <v>44</v>
      </c>
      <c r="E351" s="14">
        <v>403</v>
      </c>
      <c r="G351" s="14" t="s">
        <v>12</v>
      </c>
      <c r="H351" s="14" t="s">
        <v>42</v>
      </c>
      <c r="I351" s="14" t="s">
        <v>43</v>
      </c>
      <c r="J351" s="14" t="s">
        <v>44</v>
      </c>
    </row>
    <row r="352" spans="1:10" x14ac:dyDescent="0.45">
      <c r="A352" s="2" t="s">
        <v>47</v>
      </c>
      <c r="B352" s="2">
        <v>0</v>
      </c>
      <c r="C352" s="2">
        <v>15</v>
      </c>
      <c r="D352" s="2">
        <v>40</v>
      </c>
      <c r="E352" s="2">
        <v>55</v>
      </c>
      <c r="G352" s="2" t="s">
        <v>47</v>
      </c>
      <c r="H352" s="8">
        <v>0</v>
      </c>
      <c r="I352" s="8">
        <v>0.27272727272727271</v>
      </c>
      <c r="J352" s="8">
        <v>0.72727272727272729</v>
      </c>
    </row>
    <row r="353" spans="1:10" x14ac:dyDescent="0.45">
      <c r="A353" s="2" t="s">
        <v>48</v>
      </c>
      <c r="B353" s="2">
        <v>3</v>
      </c>
      <c r="C353" s="2">
        <v>23</v>
      </c>
      <c r="D353" s="2">
        <v>53</v>
      </c>
      <c r="E353" s="2">
        <v>79</v>
      </c>
      <c r="G353" s="2" t="s">
        <v>48</v>
      </c>
      <c r="H353" s="8">
        <v>3.7974683544303799E-2</v>
      </c>
      <c r="I353" s="8">
        <v>0.29113924050632911</v>
      </c>
      <c r="J353" s="8">
        <v>0.67088607594936711</v>
      </c>
    </row>
    <row r="354" spans="1:10" x14ac:dyDescent="0.45">
      <c r="A354" s="2" t="s">
        <v>49</v>
      </c>
      <c r="B354" s="2">
        <v>2</v>
      </c>
      <c r="C354" s="2">
        <v>42</v>
      </c>
      <c r="D354" s="2">
        <v>88</v>
      </c>
      <c r="E354" s="2">
        <v>132</v>
      </c>
      <c r="G354" s="2" t="s">
        <v>49</v>
      </c>
      <c r="H354" s="8">
        <v>1.5151515151515152E-2</v>
      </c>
      <c r="I354" s="8">
        <v>0.31818181818181818</v>
      </c>
      <c r="J354" s="8">
        <v>0.66666666666666663</v>
      </c>
    </row>
    <row r="355" spans="1:10" x14ac:dyDescent="0.45">
      <c r="A355" s="2" t="s">
        <v>50</v>
      </c>
      <c r="B355" s="2">
        <v>3</v>
      </c>
      <c r="C355" s="2">
        <v>23</v>
      </c>
      <c r="D355" s="2">
        <v>53</v>
      </c>
      <c r="E355" s="2">
        <v>79</v>
      </c>
      <c r="G355" s="2" t="s">
        <v>50</v>
      </c>
      <c r="H355" s="8">
        <v>3.7974683544303799E-2</v>
      </c>
      <c r="I355" s="8">
        <v>0.29113924050632911</v>
      </c>
      <c r="J355" s="8">
        <v>0.67088607594936711</v>
      </c>
    </row>
    <row r="356" spans="1:10" x14ac:dyDescent="0.45">
      <c r="A356" s="2" t="s">
        <v>51</v>
      </c>
      <c r="B356" s="2">
        <v>0</v>
      </c>
      <c r="C356" s="2">
        <v>6</v>
      </c>
      <c r="D356" s="2">
        <v>25</v>
      </c>
      <c r="E356" s="2">
        <v>31</v>
      </c>
      <c r="G356" s="2" t="s">
        <v>51</v>
      </c>
      <c r="H356" s="8">
        <v>0</v>
      </c>
      <c r="I356" s="8">
        <v>0.19354838709677419</v>
      </c>
      <c r="J356" s="8">
        <v>0.80645161290322576</v>
      </c>
    </row>
    <row r="357" spans="1:10" x14ac:dyDescent="0.45">
      <c r="A357" s="2" t="s">
        <v>52</v>
      </c>
      <c r="B357" s="2">
        <v>0</v>
      </c>
      <c r="C357" s="2">
        <v>12</v>
      </c>
      <c r="D357" s="2">
        <v>15</v>
      </c>
      <c r="E357" s="2">
        <v>27</v>
      </c>
      <c r="G357" s="2" t="s">
        <v>52</v>
      </c>
      <c r="H357" s="8">
        <v>0</v>
      </c>
      <c r="I357" s="8">
        <v>0.44444444444444442</v>
      </c>
      <c r="J357" s="8">
        <v>0.55555555555555558</v>
      </c>
    </row>
    <row r="359" spans="1:10" x14ac:dyDescent="0.45">
      <c r="A359" s="14" t="s">
        <v>13</v>
      </c>
      <c r="B359" s="14" t="s">
        <v>42</v>
      </c>
      <c r="C359" s="14" t="s">
        <v>43</v>
      </c>
      <c r="D359" s="14" t="s">
        <v>44</v>
      </c>
      <c r="E359" s="14">
        <v>403</v>
      </c>
      <c r="G359" s="14" t="s">
        <v>13</v>
      </c>
      <c r="H359" s="14" t="s">
        <v>42</v>
      </c>
      <c r="I359" s="14" t="s">
        <v>43</v>
      </c>
      <c r="J359" s="14" t="s">
        <v>44</v>
      </c>
    </row>
    <row r="360" spans="1:10" x14ac:dyDescent="0.45">
      <c r="A360" s="2" t="s">
        <v>47</v>
      </c>
      <c r="B360" s="2">
        <v>3</v>
      </c>
      <c r="C360" s="2">
        <v>40</v>
      </c>
      <c r="D360" s="2">
        <v>12</v>
      </c>
      <c r="E360" s="2">
        <v>55</v>
      </c>
      <c r="G360" s="2" t="s">
        <v>47</v>
      </c>
      <c r="H360" s="8">
        <v>5.4545454545454543E-2</v>
      </c>
      <c r="I360" s="8">
        <v>0.72727272727272729</v>
      </c>
      <c r="J360" s="8">
        <v>0.21818181818181817</v>
      </c>
    </row>
    <row r="361" spans="1:10" x14ac:dyDescent="0.45">
      <c r="A361" s="2" t="s">
        <v>48</v>
      </c>
      <c r="B361" s="2">
        <v>2</v>
      </c>
      <c r="C361" s="2">
        <v>48</v>
      </c>
      <c r="D361" s="2">
        <v>29</v>
      </c>
      <c r="E361" s="2">
        <v>79</v>
      </c>
      <c r="G361" s="2" t="s">
        <v>48</v>
      </c>
      <c r="H361" s="8">
        <v>2.5316455696202531E-2</v>
      </c>
      <c r="I361" s="8">
        <v>0.60759493670886078</v>
      </c>
      <c r="J361" s="8">
        <v>0.36708860759493672</v>
      </c>
    </row>
    <row r="362" spans="1:10" x14ac:dyDescent="0.45">
      <c r="A362" s="2" t="s">
        <v>49</v>
      </c>
      <c r="B362" s="2">
        <v>1</v>
      </c>
      <c r="C362" s="2">
        <v>91</v>
      </c>
      <c r="D362" s="2">
        <v>40</v>
      </c>
      <c r="E362" s="2">
        <v>132</v>
      </c>
      <c r="G362" s="2" t="s">
        <v>49</v>
      </c>
      <c r="H362" s="8">
        <v>7.575757575757576E-3</v>
      </c>
      <c r="I362" s="8">
        <v>0.68939393939393945</v>
      </c>
      <c r="J362" s="8">
        <v>0.30303030303030304</v>
      </c>
    </row>
    <row r="363" spans="1:10" x14ac:dyDescent="0.45">
      <c r="A363" s="2" t="s">
        <v>50</v>
      </c>
      <c r="B363" s="2">
        <v>4</v>
      </c>
      <c r="C363" s="2">
        <v>53</v>
      </c>
      <c r="D363" s="2">
        <v>22</v>
      </c>
      <c r="E363" s="2">
        <v>79</v>
      </c>
      <c r="G363" s="2" t="s">
        <v>50</v>
      </c>
      <c r="H363" s="8">
        <v>5.0632911392405063E-2</v>
      </c>
      <c r="I363" s="8">
        <v>0.67088607594936711</v>
      </c>
      <c r="J363" s="8">
        <v>0.27848101265822783</v>
      </c>
    </row>
    <row r="364" spans="1:10" x14ac:dyDescent="0.45">
      <c r="A364" s="2" t="s">
        <v>51</v>
      </c>
      <c r="B364" s="2">
        <v>2</v>
      </c>
      <c r="C364" s="2">
        <v>19</v>
      </c>
      <c r="D364" s="2">
        <v>10</v>
      </c>
      <c r="E364" s="2">
        <v>31</v>
      </c>
      <c r="G364" s="2" t="s">
        <v>51</v>
      </c>
      <c r="H364" s="8">
        <v>6.4516129032258063E-2</v>
      </c>
      <c r="I364" s="8">
        <v>0.61290322580645162</v>
      </c>
      <c r="J364" s="8">
        <v>0.32258064516129031</v>
      </c>
    </row>
    <row r="365" spans="1:10" x14ac:dyDescent="0.45">
      <c r="A365" s="2" t="s">
        <v>52</v>
      </c>
      <c r="B365" s="2">
        <v>0</v>
      </c>
      <c r="C365" s="2">
        <v>13</v>
      </c>
      <c r="D365" s="2">
        <v>14</v>
      </c>
      <c r="E365" s="2">
        <v>27</v>
      </c>
      <c r="G365" s="2" t="s">
        <v>52</v>
      </c>
      <c r="H365" s="8">
        <v>0</v>
      </c>
      <c r="I365" s="8">
        <v>0.48148148148148145</v>
      </c>
      <c r="J365" s="8">
        <v>0.51851851851851849</v>
      </c>
    </row>
    <row r="367" spans="1:10" x14ac:dyDescent="0.45">
      <c r="A367" s="14" t="s">
        <v>14</v>
      </c>
      <c r="B367" s="14" t="s">
        <v>42</v>
      </c>
      <c r="C367" s="14" t="s">
        <v>43</v>
      </c>
      <c r="D367" s="14" t="s">
        <v>44</v>
      </c>
      <c r="E367" s="14">
        <v>403</v>
      </c>
      <c r="G367" s="14" t="s">
        <v>14</v>
      </c>
      <c r="H367" s="14" t="s">
        <v>42</v>
      </c>
      <c r="I367" s="14" t="s">
        <v>43</v>
      </c>
      <c r="J367" s="14" t="s">
        <v>44</v>
      </c>
    </row>
    <row r="368" spans="1:10" x14ac:dyDescent="0.45">
      <c r="A368" s="2" t="s">
        <v>47</v>
      </c>
      <c r="B368" s="2">
        <v>2</v>
      </c>
      <c r="C368" s="2">
        <v>27</v>
      </c>
      <c r="D368" s="2">
        <v>26</v>
      </c>
      <c r="E368" s="2">
        <v>55</v>
      </c>
      <c r="G368" s="2" t="s">
        <v>47</v>
      </c>
      <c r="H368" s="8">
        <v>3.6363636363636362E-2</v>
      </c>
      <c r="I368" s="8">
        <v>0.49090909090909091</v>
      </c>
      <c r="J368" s="8">
        <v>0.47272727272727272</v>
      </c>
    </row>
    <row r="369" spans="1:10" x14ac:dyDescent="0.45">
      <c r="A369" s="2" t="s">
        <v>48</v>
      </c>
      <c r="B369" s="2">
        <v>2</v>
      </c>
      <c r="C369" s="2">
        <v>52</v>
      </c>
      <c r="D369" s="2">
        <v>25</v>
      </c>
      <c r="E369" s="2">
        <v>79</v>
      </c>
      <c r="G369" s="2" t="s">
        <v>48</v>
      </c>
      <c r="H369" s="8">
        <v>2.5316455696202531E-2</v>
      </c>
      <c r="I369" s="8">
        <v>0.65822784810126578</v>
      </c>
      <c r="J369" s="8">
        <v>0.31645569620253167</v>
      </c>
    </row>
    <row r="370" spans="1:10" x14ac:dyDescent="0.45">
      <c r="A370" s="2" t="s">
        <v>49</v>
      </c>
      <c r="B370" s="2">
        <v>2</v>
      </c>
      <c r="C370" s="2">
        <v>94</v>
      </c>
      <c r="D370" s="2">
        <v>36</v>
      </c>
      <c r="E370" s="2">
        <v>132</v>
      </c>
      <c r="G370" s="2" t="s">
        <v>49</v>
      </c>
      <c r="H370" s="8">
        <v>1.5151515151515152E-2</v>
      </c>
      <c r="I370" s="8">
        <v>0.71212121212121215</v>
      </c>
      <c r="J370" s="8">
        <v>0.27272727272727271</v>
      </c>
    </row>
    <row r="371" spans="1:10" x14ac:dyDescent="0.45">
      <c r="A371" s="2" t="s">
        <v>50</v>
      </c>
      <c r="B371" s="2">
        <v>1</v>
      </c>
      <c r="C371" s="2">
        <v>50</v>
      </c>
      <c r="D371" s="2">
        <v>28</v>
      </c>
      <c r="E371" s="2">
        <v>79</v>
      </c>
      <c r="G371" s="2" t="s">
        <v>50</v>
      </c>
      <c r="H371" s="8">
        <v>1.2658227848101266E-2</v>
      </c>
      <c r="I371" s="8">
        <v>0.63291139240506333</v>
      </c>
      <c r="J371" s="8">
        <v>0.35443037974683544</v>
      </c>
    </row>
    <row r="372" spans="1:10" x14ac:dyDescent="0.45">
      <c r="A372" s="2" t="s">
        <v>51</v>
      </c>
      <c r="B372" s="2">
        <v>0</v>
      </c>
      <c r="C372" s="2">
        <v>26</v>
      </c>
      <c r="D372" s="2">
        <v>5</v>
      </c>
      <c r="E372" s="2">
        <v>31</v>
      </c>
      <c r="G372" s="2" t="s">
        <v>51</v>
      </c>
      <c r="H372" s="8">
        <v>0</v>
      </c>
      <c r="I372" s="8">
        <v>0.83870967741935487</v>
      </c>
      <c r="J372" s="8">
        <v>0.16129032258064516</v>
      </c>
    </row>
    <row r="373" spans="1:10" x14ac:dyDescent="0.45">
      <c r="A373" s="2" t="s">
        <v>52</v>
      </c>
      <c r="B373" s="2">
        <v>1</v>
      </c>
      <c r="C373" s="2">
        <v>19</v>
      </c>
      <c r="D373" s="2">
        <v>7</v>
      </c>
      <c r="E373" s="2">
        <v>27</v>
      </c>
      <c r="G373" s="2" t="s">
        <v>52</v>
      </c>
      <c r="H373" s="8">
        <v>3.7037037037037035E-2</v>
      </c>
      <c r="I373" s="8">
        <v>0.70370370370370372</v>
      </c>
      <c r="J373" s="8">
        <v>0.25925925925925924</v>
      </c>
    </row>
    <row r="375" spans="1:10" x14ac:dyDescent="0.45">
      <c r="A375" s="14" t="s">
        <v>15</v>
      </c>
      <c r="B375" s="14" t="s">
        <v>42</v>
      </c>
      <c r="C375" s="14" t="s">
        <v>43</v>
      </c>
      <c r="D375" s="14" t="s">
        <v>44</v>
      </c>
      <c r="E375" s="14">
        <v>402</v>
      </c>
      <c r="G375" s="14" t="s">
        <v>15</v>
      </c>
      <c r="H375" s="14" t="s">
        <v>42</v>
      </c>
      <c r="I375" s="14" t="s">
        <v>43</v>
      </c>
      <c r="J375" s="14" t="s">
        <v>44</v>
      </c>
    </row>
    <row r="376" spans="1:10" x14ac:dyDescent="0.45">
      <c r="A376" s="2" t="s">
        <v>47</v>
      </c>
      <c r="B376" s="2">
        <v>3</v>
      </c>
      <c r="C376" s="2">
        <v>45</v>
      </c>
      <c r="D376" s="2">
        <v>7</v>
      </c>
      <c r="E376" s="2">
        <v>55</v>
      </c>
      <c r="G376" s="2" t="s">
        <v>47</v>
      </c>
      <c r="H376" s="8">
        <v>5.4545454545454543E-2</v>
      </c>
      <c r="I376" s="8">
        <v>0.81818181818181823</v>
      </c>
      <c r="J376" s="8">
        <v>0.12727272727272726</v>
      </c>
    </row>
    <row r="377" spans="1:10" x14ac:dyDescent="0.45">
      <c r="A377" s="2" t="s">
        <v>48</v>
      </c>
      <c r="B377" s="2">
        <v>4</v>
      </c>
      <c r="C377" s="2">
        <v>57</v>
      </c>
      <c r="D377" s="2">
        <v>17</v>
      </c>
      <c r="E377" s="2">
        <v>78</v>
      </c>
      <c r="G377" s="2" t="s">
        <v>48</v>
      </c>
      <c r="H377" s="8">
        <v>5.128205128205128E-2</v>
      </c>
      <c r="I377" s="8">
        <v>0.73076923076923073</v>
      </c>
      <c r="J377" s="8">
        <v>0.21794871794871795</v>
      </c>
    </row>
    <row r="378" spans="1:10" x14ac:dyDescent="0.45">
      <c r="A378" s="2" t="s">
        <v>49</v>
      </c>
      <c r="B378" s="2">
        <v>3</v>
      </c>
      <c r="C378" s="2">
        <v>104</v>
      </c>
      <c r="D378" s="2">
        <v>25</v>
      </c>
      <c r="E378" s="2">
        <v>132</v>
      </c>
      <c r="G378" s="2" t="s">
        <v>49</v>
      </c>
      <c r="H378" s="8">
        <v>2.2727272727272728E-2</v>
      </c>
      <c r="I378" s="8">
        <v>0.78787878787878785</v>
      </c>
      <c r="J378" s="8">
        <v>0.18939393939393939</v>
      </c>
    </row>
    <row r="379" spans="1:10" x14ac:dyDescent="0.45">
      <c r="A379" s="2" t="s">
        <v>50</v>
      </c>
      <c r="B379" s="2">
        <v>5</v>
      </c>
      <c r="C379" s="2">
        <v>60</v>
      </c>
      <c r="D379" s="2">
        <v>14</v>
      </c>
      <c r="E379" s="2">
        <v>79</v>
      </c>
      <c r="G379" s="2" t="s">
        <v>50</v>
      </c>
      <c r="H379" s="8">
        <v>6.3291139240506333E-2</v>
      </c>
      <c r="I379" s="8">
        <v>0.759493670886076</v>
      </c>
      <c r="J379" s="8">
        <v>0.17721518987341772</v>
      </c>
    </row>
    <row r="380" spans="1:10" x14ac:dyDescent="0.45">
      <c r="A380" s="2" t="s">
        <v>51</v>
      </c>
      <c r="B380" s="2">
        <v>0</v>
      </c>
      <c r="C380" s="2">
        <v>28</v>
      </c>
      <c r="D380" s="2">
        <v>3</v>
      </c>
      <c r="E380" s="2">
        <v>31</v>
      </c>
      <c r="G380" s="2" t="s">
        <v>51</v>
      </c>
      <c r="H380" s="8">
        <v>0</v>
      </c>
      <c r="I380" s="8">
        <v>0.90322580645161288</v>
      </c>
      <c r="J380" s="8">
        <v>9.6774193548387094E-2</v>
      </c>
    </row>
    <row r="381" spans="1:10" x14ac:dyDescent="0.45">
      <c r="A381" s="2" t="s">
        <v>52</v>
      </c>
      <c r="B381" s="2">
        <v>1</v>
      </c>
      <c r="C381" s="2">
        <v>21</v>
      </c>
      <c r="D381" s="2">
        <v>5</v>
      </c>
      <c r="E381" s="2">
        <v>27</v>
      </c>
      <c r="G381" s="2" t="s">
        <v>52</v>
      </c>
      <c r="H381" s="8">
        <v>3.7037037037037035E-2</v>
      </c>
      <c r="I381" s="8">
        <v>0.77777777777777779</v>
      </c>
      <c r="J381" s="8">
        <v>0.18518518518518517</v>
      </c>
    </row>
    <row r="383" spans="1:10" x14ac:dyDescent="0.45">
      <c r="A383" s="14" t="s">
        <v>16</v>
      </c>
      <c r="B383" s="14" t="s">
        <v>42</v>
      </c>
      <c r="C383" s="14" t="s">
        <v>43</v>
      </c>
      <c r="D383" s="14" t="s">
        <v>44</v>
      </c>
      <c r="E383" s="14">
        <v>402</v>
      </c>
      <c r="G383" s="14" t="s">
        <v>16</v>
      </c>
      <c r="H383" s="14" t="s">
        <v>42</v>
      </c>
      <c r="I383" s="14" t="s">
        <v>43</v>
      </c>
      <c r="J383" s="14" t="s">
        <v>44</v>
      </c>
    </row>
    <row r="384" spans="1:10" x14ac:dyDescent="0.45">
      <c r="A384" s="2" t="s">
        <v>47</v>
      </c>
      <c r="B384" s="2">
        <v>4</v>
      </c>
      <c r="C384" s="2">
        <v>48</v>
      </c>
      <c r="D384" s="2">
        <v>3</v>
      </c>
      <c r="E384" s="2">
        <v>55</v>
      </c>
      <c r="G384" s="2" t="s">
        <v>47</v>
      </c>
      <c r="H384" s="8">
        <v>7.2727272727272724E-2</v>
      </c>
      <c r="I384" s="8">
        <v>0.87272727272727268</v>
      </c>
      <c r="J384" s="8">
        <v>5.4545454545454543E-2</v>
      </c>
    </row>
    <row r="385" spans="1:10" x14ac:dyDescent="0.45">
      <c r="A385" s="2" t="s">
        <v>48</v>
      </c>
      <c r="B385" s="2">
        <v>3</v>
      </c>
      <c r="C385" s="2">
        <v>69</v>
      </c>
      <c r="D385" s="2">
        <v>6</v>
      </c>
      <c r="E385" s="2">
        <v>78</v>
      </c>
      <c r="G385" s="2" t="s">
        <v>48</v>
      </c>
      <c r="H385" s="8">
        <v>3.8461538461538464E-2</v>
      </c>
      <c r="I385" s="8">
        <v>0.88461538461538458</v>
      </c>
      <c r="J385" s="8">
        <v>7.6923076923076927E-2</v>
      </c>
    </row>
    <row r="386" spans="1:10" x14ac:dyDescent="0.45">
      <c r="A386" s="2" t="s">
        <v>49</v>
      </c>
      <c r="B386" s="2">
        <v>10</v>
      </c>
      <c r="C386" s="2">
        <v>110</v>
      </c>
      <c r="D386" s="2">
        <v>12</v>
      </c>
      <c r="E386" s="2">
        <v>132</v>
      </c>
      <c r="G386" s="2" t="s">
        <v>49</v>
      </c>
      <c r="H386" s="8">
        <v>7.575757575757576E-2</v>
      </c>
      <c r="I386" s="8">
        <v>0.83333333333333337</v>
      </c>
      <c r="J386" s="8">
        <v>9.0909090909090912E-2</v>
      </c>
    </row>
    <row r="387" spans="1:10" x14ac:dyDescent="0.45">
      <c r="A387" s="2" t="s">
        <v>50</v>
      </c>
      <c r="B387" s="2">
        <v>6</v>
      </c>
      <c r="C387" s="2">
        <v>68</v>
      </c>
      <c r="D387" s="2">
        <v>5</v>
      </c>
      <c r="E387" s="2">
        <v>79</v>
      </c>
      <c r="G387" s="2" t="s">
        <v>50</v>
      </c>
      <c r="H387" s="8">
        <v>7.5949367088607597E-2</v>
      </c>
      <c r="I387" s="8">
        <v>0.86075949367088611</v>
      </c>
      <c r="J387" s="8">
        <v>6.3291139240506333E-2</v>
      </c>
    </row>
    <row r="388" spans="1:10" x14ac:dyDescent="0.45">
      <c r="A388" s="2" t="s">
        <v>51</v>
      </c>
      <c r="B388" s="2">
        <v>3</v>
      </c>
      <c r="C388" s="2">
        <v>22</v>
      </c>
      <c r="D388" s="2">
        <v>6</v>
      </c>
      <c r="E388" s="2">
        <v>31</v>
      </c>
      <c r="G388" s="2" t="s">
        <v>51</v>
      </c>
      <c r="H388" s="8">
        <v>9.6774193548387094E-2</v>
      </c>
      <c r="I388" s="8">
        <v>0.70967741935483875</v>
      </c>
      <c r="J388" s="8">
        <v>0.19354838709677419</v>
      </c>
    </row>
    <row r="389" spans="1:10" x14ac:dyDescent="0.45">
      <c r="A389" s="2" t="s">
        <v>52</v>
      </c>
      <c r="B389" s="2">
        <v>3</v>
      </c>
      <c r="C389" s="2">
        <v>23</v>
      </c>
      <c r="D389" s="2">
        <v>1</v>
      </c>
      <c r="E389" s="2">
        <v>27</v>
      </c>
      <c r="G389" s="2" t="s">
        <v>52</v>
      </c>
      <c r="H389" s="8">
        <v>0.1111111111111111</v>
      </c>
      <c r="I389" s="8">
        <v>0.85185185185185186</v>
      </c>
      <c r="J389" s="8">
        <v>3.7037037037037035E-2</v>
      </c>
    </row>
    <row r="391" spans="1:10" x14ac:dyDescent="0.45">
      <c r="A391" s="14" t="s">
        <v>14</v>
      </c>
      <c r="B391" s="14" t="s">
        <v>42</v>
      </c>
      <c r="C391" s="14" t="s">
        <v>43</v>
      </c>
      <c r="D391" s="14" t="s">
        <v>44</v>
      </c>
      <c r="E391" s="14">
        <v>403</v>
      </c>
      <c r="G391" s="14" t="s">
        <v>14</v>
      </c>
      <c r="H391" s="14" t="s">
        <v>42</v>
      </c>
      <c r="I391" s="14" t="s">
        <v>43</v>
      </c>
      <c r="J391" s="14" t="s">
        <v>44</v>
      </c>
    </row>
    <row r="392" spans="1:10" x14ac:dyDescent="0.45">
      <c r="A392" s="2" t="s">
        <v>53</v>
      </c>
      <c r="B392" s="2">
        <v>1</v>
      </c>
      <c r="C392" s="2">
        <v>29</v>
      </c>
      <c r="D392" s="2">
        <v>11</v>
      </c>
      <c r="E392" s="2">
        <v>41</v>
      </c>
      <c r="G392" s="2" t="s">
        <v>53</v>
      </c>
      <c r="H392" s="8">
        <v>2.4390243902439025E-2</v>
      </c>
      <c r="I392" s="8">
        <v>0.70731707317073167</v>
      </c>
      <c r="J392" s="8">
        <v>0.26829268292682928</v>
      </c>
    </row>
    <row r="393" spans="1:10" x14ac:dyDescent="0.45">
      <c r="A393" s="2" t="s">
        <v>54</v>
      </c>
      <c r="B393" s="2">
        <v>2</v>
      </c>
      <c r="C393" s="2">
        <v>48</v>
      </c>
      <c r="D393" s="2">
        <v>29</v>
      </c>
      <c r="E393" s="2">
        <v>79</v>
      </c>
      <c r="G393" s="2" t="s">
        <v>54</v>
      </c>
      <c r="H393" s="8">
        <v>2.5316455696202531E-2</v>
      </c>
      <c r="I393" s="8">
        <v>0.60759493670886078</v>
      </c>
      <c r="J393" s="8">
        <v>0.36708860759493672</v>
      </c>
    </row>
    <row r="394" spans="1:10" x14ac:dyDescent="0.45">
      <c r="A394" s="2" t="s">
        <v>55</v>
      </c>
      <c r="B394" s="2">
        <v>1</v>
      </c>
      <c r="C394" s="2">
        <v>28</v>
      </c>
      <c r="D394" s="2">
        <v>12</v>
      </c>
      <c r="E394" s="2">
        <v>41</v>
      </c>
      <c r="G394" s="2" t="s">
        <v>55</v>
      </c>
      <c r="H394" s="8">
        <v>2.4390243902439025E-2</v>
      </c>
      <c r="I394" s="8">
        <v>0.68292682926829273</v>
      </c>
      <c r="J394" s="8">
        <v>0.29268292682926828</v>
      </c>
    </row>
    <row r="395" spans="1:10" x14ac:dyDescent="0.45">
      <c r="A395" s="2" t="s">
        <v>56</v>
      </c>
      <c r="B395" s="2">
        <v>2</v>
      </c>
      <c r="C395" s="2">
        <v>29</v>
      </c>
      <c r="D395" s="2">
        <v>22</v>
      </c>
      <c r="E395" s="2">
        <v>53</v>
      </c>
      <c r="G395" s="2" t="s">
        <v>56</v>
      </c>
      <c r="H395" s="8">
        <v>3.7735849056603772E-2</v>
      </c>
      <c r="I395" s="8">
        <v>0.54716981132075471</v>
      </c>
      <c r="J395" s="8">
        <v>0.41509433962264153</v>
      </c>
    </row>
    <row r="396" spans="1:10" x14ac:dyDescent="0.45">
      <c r="A396" s="2" t="s">
        <v>57</v>
      </c>
      <c r="B396" s="2">
        <v>2</v>
      </c>
      <c r="C396" s="2">
        <v>39</v>
      </c>
      <c r="D396" s="2">
        <v>12</v>
      </c>
      <c r="E396" s="2">
        <v>53</v>
      </c>
      <c r="G396" s="2" t="s">
        <v>57</v>
      </c>
      <c r="H396" s="8">
        <v>3.7735849056603772E-2</v>
      </c>
      <c r="I396" s="8">
        <v>0.73584905660377353</v>
      </c>
      <c r="J396" s="8">
        <v>0.22641509433962265</v>
      </c>
    </row>
    <row r="397" spans="1:10" x14ac:dyDescent="0.45">
      <c r="A397" s="2" t="s">
        <v>58</v>
      </c>
      <c r="B397" s="2">
        <v>0</v>
      </c>
      <c r="C397" s="2">
        <v>44</v>
      </c>
      <c r="D397" s="2">
        <v>18</v>
      </c>
      <c r="E397" s="2">
        <v>62</v>
      </c>
      <c r="G397" s="2" t="s">
        <v>58</v>
      </c>
      <c r="H397" s="8">
        <v>0</v>
      </c>
      <c r="I397" s="8">
        <v>0.70967741935483875</v>
      </c>
      <c r="J397" s="8">
        <v>0.29032258064516131</v>
      </c>
    </row>
    <row r="398" spans="1:10" x14ac:dyDescent="0.45">
      <c r="A398" s="2" t="s">
        <v>59</v>
      </c>
      <c r="B398" s="2">
        <v>0</v>
      </c>
      <c r="C398" s="2">
        <v>29</v>
      </c>
      <c r="D398" s="2">
        <v>10</v>
      </c>
      <c r="E398" s="2">
        <v>39</v>
      </c>
      <c r="G398" s="2" t="s">
        <v>59</v>
      </c>
      <c r="H398" s="8">
        <v>0</v>
      </c>
      <c r="I398" s="8">
        <v>0.74358974358974361</v>
      </c>
      <c r="J398" s="8">
        <v>0.25641025641025639</v>
      </c>
    </row>
    <row r="399" spans="1:10" x14ac:dyDescent="0.45">
      <c r="A399" s="2" t="s">
        <v>60</v>
      </c>
      <c r="B399" s="2">
        <v>0</v>
      </c>
      <c r="C399" s="2">
        <v>22</v>
      </c>
      <c r="D399" s="2">
        <v>13</v>
      </c>
      <c r="E399" s="2">
        <v>35</v>
      </c>
      <c r="G399" s="2" t="s">
        <v>60</v>
      </c>
      <c r="H399" s="8">
        <v>0</v>
      </c>
      <c r="I399" s="8">
        <v>0.62857142857142856</v>
      </c>
      <c r="J399" s="8">
        <v>0.37142857142857144</v>
      </c>
    </row>
    <row r="401" spans="1:10" x14ac:dyDescent="0.45">
      <c r="A401" s="14" t="s">
        <v>15</v>
      </c>
      <c r="B401" s="14" t="s">
        <v>42</v>
      </c>
      <c r="C401" s="14" t="s">
        <v>43</v>
      </c>
      <c r="D401" s="14" t="s">
        <v>44</v>
      </c>
      <c r="E401" s="14">
        <v>402</v>
      </c>
      <c r="G401" s="14" t="s">
        <v>15</v>
      </c>
      <c r="H401" s="14" t="s">
        <v>42</v>
      </c>
      <c r="I401" s="14" t="s">
        <v>43</v>
      </c>
      <c r="J401" s="14" t="s">
        <v>44</v>
      </c>
    </row>
    <row r="402" spans="1:10" x14ac:dyDescent="0.45">
      <c r="A402" s="2" t="s">
        <v>53</v>
      </c>
      <c r="B402" s="2">
        <v>1</v>
      </c>
      <c r="C402" s="2">
        <v>32</v>
      </c>
      <c r="D402" s="2">
        <v>8</v>
      </c>
      <c r="E402" s="2">
        <v>41</v>
      </c>
      <c r="G402" s="2" t="s">
        <v>53</v>
      </c>
      <c r="H402" s="8">
        <v>2.4390243902439025E-2</v>
      </c>
      <c r="I402" s="8">
        <v>0.78048780487804881</v>
      </c>
      <c r="J402" s="8">
        <v>0.1951219512195122</v>
      </c>
    </row>
    <row r="403" spans="1:10" x14ac:dyDescent="0.45">
      <c r="A403" s="2" t="s">
        <v>54</v>
      </c>
      <c r="B403" s="2">
        <v>3</v>
      </c>
      <c r="C403" s="2">
        <v>66</v>
      </c>
      <c r="D403" s="2">
        <v>9</v>
      </c>
      <c r="E403" s="2">
        <v>78</v>
      </c>
      <c r="G403" s="2" t="s">
        <v>54</v>
      </c>
      <c r="H403" s="8">
        <v>3.8461538461538464E-2</v>
      </c>
      <c r="I403" s="8">
        <v>0.84615384615384615</v>
      </c>
      <c r="J403" s="8">
        <v>0.11538461538461539</v>
      </c>
    </row>
    <row r="404" spans="1:10" x14ac:dyDescent="0.45">
      <c r="A404" s="2" t="s">
        <v>55</v>
      </c>
      <c r="B404" s="2">
        <v>3</v>
      </c>
      <c r="C404" s="2">
        <v>31</v>
      </c>
      <c r="D404" s="2">
        <v>7</v>
      </c>
      <c r="E404" s="2">
        <v>41</v>
      </c>
      <c r="G404" s="2" t="s">
        <v>55</v>
      </c>
      <c r="H404" s="8">
        <v>7.3170731707317069E-2</v>
      </c>
      <c r="I404" s="8">
        <v>0.75609756097560976</v>
      </c>
      <c r="J404" s="8">
        <v>0.17073170731707318</v>
      </c>
    </row>
    <row r="405" spans="1:10" x14ac:dyDescent="0.45">
      <c r="A405" s="2" t="s">
        <v>56</v>
      </c>
      <c r="B405" s="2">
        <v>3</v>
      </c>
      <c r="C405" s="2">
        <v>38</v>
      </c>
      <c r="D405" s="2">
        <v>12</v>
      </c>
      <c r="E405" s="2">
        <v>53</v>
      </c>
      <c r="G405" s="2" t="s">
        <v>56</v>
      </c>
      <c r="H405" s="8">
        <v>5.6603773584905662E-2</v>
      </c>
      <c r="I405" s="8">
        <v>0.71698113207547165</v>
      </c>
      <c r="J405" s="8">
        <v>0.22641509433962265</v>
      </c>
    </row>
    <row r="406" spans="1:10" x14ac:dyDescent="0.45">
      <c r="A406" s="2" t="s">
        <v>57</v>
      </c>
      <c r="B406" s="2">
        <v>1</v>
      </c>
      <c r="C406" s="2">
        <v>44</v>
      </c>
      <c r="D406" s="2">
        <v>8</v>
      </c>
      <c r="E406" s="2">
        <v>53</v>
      </c>
      <c r="G406" s="2" t="s">
        <v>57</v>
      </c>
      <c r="H406" s="8">
        <v>1.8867924528301886E-2</v>
      </c>
      <c r="I406" s="8">
        <v>0.83018867924528306</v>
      </c>
      <c r="J406" s="8">
        <v>0.15094339622641509</v>
      </c>
    </row>
    <row r="407" spans="1:10" x14ac:dyDescent="0.45">
      <c r="A407" s="2" t="s">
        <v>58</v>
      </c>
      <c r="B407" s="2">
        <v>2</v>
      </c>
      <c r="C407" s="2">
        <v>48</v>
      </c>
      <c r="D407" s="2">
        <v>12</v>
      </c>
      <c r="E407" s="2">
        <v>62</v>
      </c>
      <c r="G407" s="2" t="s">
        <v>58</v>
      </c>
      <c r="H407" s="8">
        <v>3.2258064516129031E-2</v>
      </c>
      <c r="I407" s="8">
        <v>0.77419354838709675</v>
      </c>
      <c r="J407" s="8">
        <v>0.19354838709677419</v>
      </c>
    </row>
    <row r="408" spans="1:10" x14ac:dyDescent="0.45">
      <c r="A408" s="2" t="s">
        <v>59</v>
      </c>
      <c r="B408" s="2">
        <v>2</v>
      </c>
      <c r="C408" s="2">
        <v>28</v>
      </c>
      <c r="D408" s="2">
        <v>9</v>
      </c>
      <c r="E408" s="2">
        <v>39</v>
      </c>
      <c r="G408" s="2" t="s">
        <v>59</v>
      </c>
      <c r="H408" s="8">
        <v>5.128205128205128E-2</v>
      </c>
      <c r="I408" s="8">
        <v>0.71794871794871795</v>
      </c>
      <c r="J408" s="8">
        <v>0.23076923076923078</v>
      </c>
    </row>
    <row r="409" spans="1:10" x14ac:dyDescent="0.45">
      <c r="A409" s="2" t="s">
        <v>60</v>
      </c>
      <c r="B409" s="2">
        <v>1</v>
      </c>
      <c r="C409" s="2">
        <v>28</v>
      </c>
      <c r="D409" s="2">
        <v>6</v>
      </c>
      <c r="E409" s="2">
        <v>35</v>
      </c>
      <c r="G409" s="2" t="s">
        <v>60</v>
      </c>
      <c r="H409" s="8">
        <v>2.8571428571428571E-2</v>
      </c>
      <c r="I409" s="8">
        <v>0.8</v>
      </c>
      <c r="J409" s="8">
        <v>0.17142857142857143</v>
      </c>
    </row>
    <row r="411" spans="1:10" x14ac:dyDescent="0.45">
      <c r="A411" s="14" t="s">
        <v>61</v>
      </c>
      <c r="B411" s="14" t="s">
        <v>42</v>
      </c>
      <c r="C411" s="14" t="s">
        <v>43</v>
      </c>
      <c r="D411" s="14" t="s">
        <v>44</v>
      </c>
      <c r="E411" s="14">
        <v>400</v>
      </c>
      <c r="G411" s="14" t="s">
        <v>61</v>
      </c>
      <c r="H411" s="14" t="s">
        <v>42</v>
      </c>
      <c r="I411" s="14" t="s">
        <v>43</v>
      </c>
      <c r="J411" s="14" t="s">
        <v>44</v>
      </c>
    </row>
    <row r="412" spans="1:10" x14ac:dyDescent="0.45">
      <c r="A412" s="2" t="s">
        <v>47</v>
      </c>
      <c r="B412" s="2">
        <v>1</v>
      </c>
      <c r="C412" s="2">
        <v>30</v>
      </c>
      <c r="D412" s="2">
        <v>24</v>
      </c>
      <c r="E412" s="2">
        <v>55</v>
      </c>
      <c r="G412" s="2" t="s">
        <v>47</v>
      </c>
      <c r="H412" s="8">
        <v>1.8181818181818181E-2</v>
      </c>
      <c r="I412" s="8">
        <v>0.54545454545454541</v>
      </c>
      <c r="J412" s="8">
        <v>0.43636363636363634</v>
      </c>
    </row>
    <row r="413" spans="1:10" x14ac:dyDescent="0.45">
      <c r="A413" s="2" t="s">
        <v>48</v>
      </c>
      <c r="B413" s="2">
        <v>0</v>
      </c>
      <c r="C413" s="2">
        <v>44</v>
      </c>
      <c r="D413" s="2">
        <v>33</v>
      </c>
      <c r="E413" s="2">
        <v>77</v>
      </c>
      <c r="G413" s="2" t="s">
        <v>48</v>
      </c>
      <c r="H413" s="8">
        <v>0</v>
      </c>
      <c r="I413" s="8">
        <v>0.5714285714285714</v>
      </c>
      <c r="J413" s="8">
        <v>0.42857142857142855</v>
      </c>
    </row>
    <row r="414" spans="1:10" x14ac:dyDescent="0.45">
      <c r="A414" s="2" t="s">
        <v>49</v>
      </c>
      <c r="B414" s="2">
        <v>2</v>
      </c>
      <c r="C414" s="2">
        <v>83</v>
      </c>
      <c r="D414" s="2">
        <v>46</v>
      </c>
      <c r="E414" s="2">
        <v>131</v>
      </c>
      <c r="G414" s="2" t="s">
        <v>49</v>
      </c>
      <c r="H414" s="8">
        <v>1.5267175572519083E-2</v>
      </c>
      <c r="I414" s="8">
        <v>0.63358778625954193</v>
      </c>
      <c r="J414" s="8">
        <v>0.35114503816793891</v>
      </c>
    </row>
    <row r="415" spans="1:10" x14ac:dyDescent="0.45">
      <c r="A415" s="2" t="s">
        <v>50</v>
      </c>
      <c r="B415" s="2">
        <v>1</v>
      </c>
      <c r="C415" s="2">
        <v>47</v>
      </c>
      <c r="D415" s="2">
        <v>31</v>
      </c>
      <c r="E415" s="2">
        <v>79</v>
      </c>
      <c r="G415" s="2" t="s">
        <v>50</v>
      </c>
      <c r="H415" s="8">
        <v>1.2658227848101266E-2</v>
      </c>
      <c r="I415" s="8">
        <v>0.59493670886075944</v>
      </c>
      <c r="J415" s="8">
        <v>0.39240506329113922</v>
      </c>
    </row>
    <row r="416" spans="1:10" x14ac:dyDescent="0.45">
      <c r="A416" s="2" t="s">
        <v>51</v>
      </c>
      <c r="B416" s="2">
        <v>0</v>
      </c>
      <c r="C416" s="2">
        <v>21</v>
      </c>
      <c r="D416" s="2">
        <v>10</v>
      </c>
      <c r="E416" s="2">
        <v>31</v>
      </c>
      <c r="G416" s="2" t="s">
        <v>51</v>
      </c>
      <c r="H416" s="8">
        <v>0</v>
      </c>
      <c r="I416" s="8">
        <v>0.67741935483870963</v>
      </c>
      <c r="J416" s="8">
        <v>0.32258064516129031</v>
      </c>
    </row>
    <row r="417" spans="1:10" x14ac:dyDescent="0.45">
      <c r="A417" s="2" t="s">
        <v>52</v>
      </c>
      <c r="B417" s="2">
        <v>1</v>
      </c>
      <c r="C417" s="2">
        <v>18</v>
      </c>
      <c r="D417" s="2">
        <v>8</v>
      </c>
      <c r="E417" s="2">
        <v>27</v>
      </c>
      <c r="G417" s="2" t="s">
        <v>52</v>
      </c>
      <c r="H417" s="8">
        <v>3.7037037037037035E-2</v>
      </c>
      <c r="I417" s="8">
        <v>0.66666666666666663</v>
      </c>
      <c r="J417" s="8">
        <v>0.29629629629629628</v>
      </c>
    </row>
    <row r="420" spans="1:10" x14ac:dyDescent="0.45">
      <c r="A420" s="19" t="s">
        <v>32</v>
      </c>
      <c r="B420" s="19"/>
      <c r="C420" s="19"/>
      <c r="D420" s="19"/>
      <c r="E420" s="19"/>
      <c r="F420" s="19"/>
      <c r="G420" s="19"/>
      <c r="H420" s="19"/>
      <c r="I420" s="19"/>
      <c r="J420" s="19"/>
    </row>
    <row r="421" spans="1:10" x14ac:dyDescent="0.45">
      <c r="A421" s="14" t="s">
        <v>9</v>
      </c>
      <c r="B421" s="14" t="s">
        <v>42</v>
      </c>
      <c r="C421" s="14" t="s">
        <v>43</v>
      </c>
      <c r="D421" s="14" t="s">
        <v>44</v>
      </c>
      <c r="E421" s="14">
        <v>403</v>
      </c>
      <c r="G421" s="14" t="s">
        <v>9</v>
      </c>
      <c r="H421" s="14" t="s">
        <v>42</v>
      </c>
      <c r="I421" s="14" t="s">
        <v>43</v>
      </c>
      <c r="J421" s="14" t="s">
        <v>44</v>
      </c>
    </row>
    <row r="422" spans="1:10" x14ac:dyDescent="0.45">
      <c r="A422" s="2" t="s">
        <v>45</v>
      </c>
      <c r="B422" s="2">
        <v>3</v>
      </c>
      <c r="C422" s="2">
        <v>259</v>
      </c>
      <c r="D422" s="2">
        <v>115</v>
      </c>
      <c r="E422" s="2">
        <v>377</v>
      </c>
      <c r="G422" s="2" t="s">
        <v>45</v>
      </c>
      <c r="H422" s="13">
        <v>7.9575596816976128E-3</v>
      </c>
      <c r="I422" s="13">
        <v>0.6870026525198939</v>
      </c>
      <c r="J422" s="13">
        <v>0.30503978779840851</v>
      </c>
    </row>
    <row r="423" spans="1:10" x14ac:dyDescent="0.45">
      <c r="A423" s="2" t="s">
        <v>46</v>
      </c>
      <c r="B423" s="2">
        <v>0</v>
      </c>
      <c r="C423" s="2">
        <v>12</v>
      </c>
      <c r="D423" s="2">
        <v>14</v>
      </c>
      <c r="E423" s="2">
        <v>26</v>
      </c>
      <c r="G423" s="2" t="s">
        <v>46</v>
      </c>
      <c r="H423" s="13">
        <v>0</v>
      </c>
      <c r="I423" s="13">
        <v>0.46153846153846156</v>
      </c>
      <c r="J423" s="13">
        <v>0.53846153846153844</v>
      </c>
    </row>
    <row r="425" spans="1:10" x14ac:dyDescent="0.45">
      <c r="A425" s="14" t="s">
        <v>10</v>
      </c>
      <c r="B425" s="14" t="s">
        <v>42</v>
      </c>
      <c r="C425" s="14" t="s">
        <v>43</v>
      </c>
      <c r="D425" s="14" t="s">
        <v>44</v>
      </c>
      <c r="E425" s="14">
        <v>403</v>
      </c>
      <c r="G425" s="14" t="s">
        <v>10</v>
      </c>
      <c r="H425" s="14" t="s">
        <v>42</v>
      </c>
      <c r="I425" s="14" t="s">
        <v>43</v>
      </c>
      <c r="J425" s="14" t="s">
        <v>44</v>
      </c>
    </row>
    <row r="426" spans="1:10" x14ac:dyDescent="0.45">
      <c r="A426" s="2" t="s">
        <v>45</v>
      </c>
      <c r="B426" s="2">
        <v>1</v>
      </c>
      <c r="C426" s="2">
        <v>183</v>
      </c>
      <c r="D426" s="2">
        <v>193</v>
      </c>
      <c r="E426" s="2">
        <v>377</v>
      </c>
      <c r="G426" s="2" t="s">
        <v>45</v>
      </c>
      <c r="H426" s="13">
        <v>2.6525198938992041E-3</v>
      </c>
      <c r="I426" s="13">
        <v>0.48541114058355439</v>
      </c>
      <c r="J426" s="13">
        <v>0.51193633952254647</v>
      </c>
    </row>
    <row r="427" spans="1:10" x14ac:dyDescent="0.45">
      <c r="A427" s="2" t="s">
        <v>46</v>
      </c>
      <c r="B427" s="2">
        <v>0</v>
      </c>
      <c r="C427" s="2">
        <v>16</v>
      </c>
      <c r="D427" s="2">
        <v>10</v>
      </c>
      <c r="E427" s="2">
        <v>26</v>
      </c>
      <c r="G427" s="2" t="s">
        <v>46</v>
      </c>
      <c r="H427" s="13">
        <v>0</v>
      </c>
      <c r="I427" s="13">
        <v>0.61538461538461542</v>
      </c>
      <c r="J427" s="13">
        <v>0.38461538461538464</v>
      </c>
    </row>
    <row r="429" spans="1:10" x14ac:dyDescent="0.45">
      <c r="A429" s="14" t="s">
        <v>11</v>
      </c>
      <c r="B429" s="14" t="s">
        <v>42</v>
      </c>
      <c r="C429" s="14" t="s">
        <v>43</v>
      </c>
      <c r="D429" s="14" t="s">
        <v>44</v>
      </c>
      <c r="E429" s="14">
        <v>403</v>
      </c>
      <c r="G429" s="14" t="s">
        <v>11</v>
      </c>
      <c r="H429" s="14" t="s">
        <v>42</v>
      </c>
      <c r="I429" s="14" t="s">
        <v>43</v>
      </c>
      <c r="J429" s="14" t="s">
        <v>44</v>
      </c>
    </row>
    <row r="430" spans="1:10" x14ac:dyDescent="0.45">
      <c r="A430" s="2" t="s">
        <v>45</v>
      </c>
      <c r="B430" s="2">
        <v>5</v>
      </c>
      <c r="C430" s="2">
        <v>171</v>
      </c>
      <c r="D430" s="2">
        <v>201</v>
      </c>
      <c r="E430" s="2">
        <v>377</v>
      </c>
      <c r="G430" s="2" t="s">
        <v>45</v>
      </c>
      <c r="H430" s="13">
        <v>1.3262599469496022E-2</v>
      </c>
      <c r="I430" s="13">
        <v>0.45358090185676392</v>
      </c>
      <c r="J430" s="13">
        <v>0.53315649867374004</v>
      </c>
    </row>
    <row r="431" spans="1:10" x14ac:dyDescent="0.45">
      <c r="A431" s="2" t="s">
        <v>46</v>
      </c>
      <c r="B431" s="2">
        <v>0</v>
      </c>
      <c r="C431" s="2">
        <v>12</v>
      </c>
      <c r="D431" s="2">
        <v>14</v>
      </c>
      <c r="E431" s="2">
        <v>26</v>
      </c>
      <c r="G431" s="2" t="s">
        <v>46</v>
      </c>
      <c r="H431" s="13">
        <v>0</v>
      </c>
      <c r="I431" s="13">
        <v>0.46153846153846156</v>
      </c>
      <c r="J431" s="13">
        <v>0.53846153846153844</v>
      </c>
    </row>
    <row r="433" spans="1:10" x14ac:dyDescent="0.45">
      <c r="A433" s="14" t="s">
        <v>12</v>
      </c>
      <c r="B433" s="14" t="s">
        <v>42</v>
      </c>
      <c r="C433" s="14" t="s">
        <v>43</v>
      </c>
      <c r="D433" s="14" t="s">
        <v>44</v>
      </c>
      <c r="E433" s="14">
        <v>402</v>
      </c>
      <c r="G433" s="14" t="s">
        <v>12</v>
      </c>
      <c r="H433" s="14" t="s">
        <v>42</v>
      </c>
      <c r="I433" s="14" t="s">
        <v>43</v>
      </c>
      <c r="J433" s="14" t="s">
        <v>44</v>
      </c>
    </row>
    <row r="434" spans="1:10" x14ac:dyDescent="0.45">
      <c r="A434" s="2" t="s">
        <v>47</v>
      </c>
      <c r="B434" s="2">
        <v>0</v>
      </c>
      <c r="C434" s="2">
        <v>15</v>
      </c>
      <c r="D434" s="2">
        <v>40</v>
      </c>
      <c r="E434" s="2">
        <v>55</v>
      </c>
      <c r="G434" s="2" t="s">
        <v>47</v>
      </c>
      <c r="H434" s="8">
        <v>0</v>
      </c>
      <c r="I434" s="8">
        <v>0.27272727272727271</v>
      </c>
      <c r="J434" s="8">
        <v>0.72727272727272729</v>
      </c>
    </row>
    <row r="435" spans="1:10" x14ac:dyDescent="0.45">
      <c r="A435" s="2" t="s">
        <v>48</v>
      </c>
      <c r="B435" s="2">
        <v>1</v>
      </c>
      <c r="C435" s="2">
        <v>27</v>
      </c>
      <c r="D435" s="2">
        <v>50</v>
      </c>
      <c r="E435" s="2">
        <v>78</v>
      </c>
      <c r="G435" s="2" t="s">
        <v>48</v>
      </c>
      <c r="H435" s="8">
        <v>1.282051282051282E-2</v>
      </c>
      <c r="I435" s="8">
        <v>0.34615384615384615</v>
      </c>
      <c r="J435" s="8">
        <v>0.64102564102564108</v>
      </c>
    </row>
    <row r="436" spans="1:10" x14ac:dyDescent="0.45">
      <c r="A436" s="2" t="s">
        <v>49</v>
      </c>
      <c r="B436" s="2">
        <v>1</v>
      </c>
      <c r="C436" s="2">
        <v>37</v>
      </c>
      <c r="D436" s="2">
        <v>94</v>
      </c>
      <c r="E436" s="2">
        <v>132</v>
      </c>
      <c r="G436" s="2" t="s">
        <v>49</v>
      </c>
      <c r="H436" s="8">
        <v>7.575757575757576E-3</v>
      </c>
      <c r="I436" s="8">
        <v>0.28030303030303028</v>
      </c>
      <c r="J436" s="8">
        <v>0.71212121212121215</v>
      </c>
    </row>
    <row r="437" spans="1:10" x14ac:dyDescent="0.45">
      <c r="A437" s="2" t="s">
        <v>50</v>
      </c>
      <c r="B437" s="2">
        <v>0</v>
      </c>
      <c r="C437" s="2">
        <v>27</v>
      </c>
      <c r="D437" s="2">
        <v>52</v>
      </c>
      <c r="E437" s="2">
        <v>79</v>
      </c>
      <c r="G437" s="2" t="s">
        <v>50</v>
      </c>
      <c r="H437" s="8">
        <v>0</v>
      </c>
      <c r="I437" s="8">
        <v>0.34177215189873417</v>
      </c>
      <c r="J437" s="8">
        <v>0.65822784810126578</v>
      </c>
    </row>
    <row r="438" spans="1:10" x14ac:dyDescent="0.45">
      <c r="A438" s="2" t="s">
        <v>51</v>
      </c>
      <c r="B438" s="2">
        <v>1</v>
      </c>
      <c r="C438" s="2">
        <v>5</v>
      </c>
      <c r="D438" s="2">
        <v>25</v>
      </c>
      <c r="E438" s="2">
        <v>31</v>
      </c>
      <c r="G438" s="2" t="s">
        <v>51</v>
      </c>
      <c r="H438" s="8">
        <v>3.2258064516129031E-2</v>
      </c>
      <c r="I438" s="8">
        <v>0.16129032258064516</v>
      </c>
      <c r="J438" s="8">
        <v>0.80645161290322576</v>
      </c>
    </row>
    <row r="439" spans="1:10" x14ac:dyDescent="0.45">
      <c r="A439" s="2" t="s">
        <v>52</v>
      </c>
      <c r="B439" s="2">
        <v>0</v>
      </c>
      <c r="C439" s="2">
        <v>6</v>
      </c>
      <c r="D439" s="2">
        <v>21</v>
      </c>
      <c r="E439" s="2">
        <v>27</v>
      </c>
      <c r="G439" s="2" t="s">
        <v>52</v>
      </c>
      <c r="H439" s="8">
        <v>0</v>
      </c>
      <c r="I439" s="8">
        <v>0.22222222222222221</v>
      </c>
      <c r="J439" s="8">
        <v>0.77777777777777779</v>
      </c>
    </row>
    <row r="441" spans="1:10" x14ac:dyDescent="0.45">
      <c r="A441" s="14" t="s">
        <v>13</v>
      </c>
      <c r="B441" s="14" t="s">
        <v>42</v>
      </c>
      <c r="C441" s="14" t="s">
        <v>43</v>
      </c>
      <c r="D441" s="14" t="s">
        <v>44</v>
      </c>
      <c r="E441" s="14">
        <v>402</v>
      </c>
      <c r="G441" s="14" t="s">
        <v>13</v>
      </c>
      <c r="H441" s="14" t="s">
        <v>42</v>
      </c>
      <c r="I441" s="14" t="s">
        <v>43</v>
      </c>
      <c r="J441" s="14" t="s">
        <v>44</v>
      </c>
    </row>
    <row r="442" spans="1:10" x14ac:dyDescent="0.45">
      <c r="A442" s="2" t="s">
        <v>47</v>
      </c>
      <c r="B442" s="2">
        <v>0</v>
      </c>
      <c r="C442" s="2">
        <v>37</v>
      </c>
      <c r="D442" s="2">
        <v>18</v>
      </c>
      <c r="E442" s="2">
        <v>55</v>
      </c>
      <c r="G442" s="2" t="s">
        <v>47</v>
      </c>
      <c r="H442" s="8">
        <v>0</v>
      </c>
      <c r="I442" s="8">
        <v>0.67272727272727273</v>
      </c>
      <c r="J442" s="8">
        <v>0.32727272727272727</v>
      </c>
    </row>
    <row r="443" spans="1:10" x14ac:dyDescent="0.45">
      <c r="A443" s="2" t="s">
        <v>48</v>
      </c>
      <c r="B443" s="2">
        <v>0</v>
      </c>
      <c r="C443" s="2">
        <v>48</v>
      </c>
      <c r="D443" s="2">
        <v>30</v>
      </c>
      <c r="E443" s="2">
        <v>78</v>
      </c>
      <c r="G443" s="2" t="s">
        <v>48</v>
      </c>
      <c r="H443" s="8">
        <v>0</v>
      </c>
      <c r="I443" s="8">
        <v>0.61538461538461542</v>
      </c>
      <c r="J443" s="8">
        <v>0.38461538461538464</v>
      </c>
    </row>
    <row r="444" spans="1:10" x14ac:dyDescent="0.45">
      <c r="A444" s="2" t="s">
        <v>49</v>
      </c>
      <c r="B444" s="2">
        <v>2</v>
      </c>
      <c r="C444" s="2">
        <v>86</v>
      </c>
      <c r="D444" s="2">
        <v>44</v>
      </c>
      <c r="E444" s="2">
        <v>132</v>
      </c>
      <c r="G444" s="2" t="s">
        <v>49</v>
      </c>
      <c r="H444" s="8">
        <v>1.5151515151515152E-2</v>
      </c>
      <c r="I444" s="8">
        <v>0.65151515151515149</v>
      </c>
      <c r="J444" s="8">
        <v>0.33333333333333331</v>
      </c>
    </row>
    <row r="445" spans="1:10" x14ac:dyDescent="0.45">
      <c r="A445" s="2" t="s">
        <v>50</v>
      </c>
      <c r="B445" s="2">
        <v>0</v>
      </c>
      <c r="C445" s="2">
        <v>55</v>
      </c>
      <c r="D445" s="2">
        <v>24</v>
      </c>
      <c r="E445" s="2">
        <v>79</v>
      </c>
      <c r="G445" s="2" t="s">
        <v>50</v>
      </c>
      <c r="H445" s="8">
        <v>0</v>
      </c>
      <c r="I445" s="8">
        <v>0.69620253164556967</v>
      </c>
      <c r="J445" s="8">
        <v>0.30379746835443039</v>
      </c>
    </row>
    <row r="446" spans="1:10" x14ac:dyDescent="0.45">
      <c r="A446" s="2" t="s">
        <v>51</v>
      </c>
      <c r="B446" s="2">
        <v>0</v>
      </c>
      <c r="C446" s="2">
        <v>26</v>
      </c>
      <c r="D446" s="2">
        <v>5</v>
      </c>
      <c r="E446" s="2">
        <v>31</v>
      </c>
      <c r="G446" s="2" t="s">
        <v>51</v>
      </c>
      <c r="H446" s="8">
        <v>0</v>
      </c>
      <c r="I446" s="8">
        <v>0.83870967741935487</v>
      </c>
      <c r="J446" s="8">
        <v>0.16129032258064516</v>
      </c>
    </row>
    <row r="447" spans="1:10" x14ac:dyDescent="0.45">
      <c r="A447" s="2" t="s">
        <v>52</v>
      </c>
      <c r="B447" s="2">
        <v>1</v>
      </c>
      <c r="C447" s="2">
        <v>17</v>
      </c>
      <c r="D447" s="2">
        <v>9</v>
      </c>
      <c r="E447" s="2">
        <v>27</v>
      </c>
      <c r="G447" s="2" t="s">
        <v>52</v>
      </c>
      <c r="H447" s="8">
        <v>3.7037037037037035E-2</v>
      </c>
      <c r="I447" s="8">
        <v>0.62962962962962965</v>
      </c>
      <c r="J447" s="8">
        <v>0.33333333333333331</v>
      </c>
    </row>
    <row r="449" spans="1:10" x14ac:dyDescent="0.45">
      <c r="A449" s="14" t="s">
        <v>14</v>
      </c>
      <c r="B449" s="14" t="s">
        <v>42</v>
      </c>
      <c r="C449" s="14" t="s">
        <v>43</v>
      </c>
      <c r="D449" s="14" t="s">
        <v>44</v>
      </c>
      <c r="E449" s="14">
        <v>402</v>
      </c>
      <c r="G449" s="14" t="s">
        <v>14</v>
      </c>
      <c r="H449" s="14" t="s">
        <v>42</v>
      </c>
      <c r="I449" s="14" t="s">
        <v>43</v>
      </c>
      <c r="J449" s="14" t="s">
        <v>44</v>
      </c>
    </row>
    <row r="450" spans="1:10" x14ac:dyDescent="0.45">
      <c r="A450" s="2" t="s">
        <v>47</v>
      </c>
      <c r="B450" s="2">
        <v>0</v>
      </c>
      <c r="C450" s="2">
        <v>35</v>
      </c>
      <c r="D450" s="2">
        <v>20</v>
      </c>
      <c r="E450" s="2">
        <v>55</v>
      </c>
      <c r="G450" s="2" t="s">
        <v>47</v>
      </c>
      <c r="H450" s="8">
        <v>0</v>
      </c>
      <c r="I450" s="8">
        <v>0.63636363636363635</v>
      </c>
      <c r="J450" s="8">
        <v>0.36363636363636365</v>
      </c>
    </row>
    <row r="451" spans="1:10" x14ac:dyDescent="0.45">
      <c r="A451" s="2" t="s">
        <v>48</v>
      </c>
      <c r="B451" s="2">
        <v>2</v>
      </c>
      <c r="C451" s="2">
        <v>50</v>
      </c>
      <c r="D451" s="2">
        <v>26</v>
      </c>
      <c r="E451" s="2">
        <v>78</v>
      </c>
      <c r="G451" s="2" t="s">
        <v>48</v>
      </c>
      <c r="H451" s="8">
        <v>2.564102564102564E-2</v>
      </c>
      <c r="I451" s="8">
        <v>0.64102564102564108</v>
      </c>
      <c r="J451" s="8">
        <v>0.33333333333333331</v>
      </c>
    </row>
    <row r="452" spans="1:10" x14ac:dyDescent="0.45">
      <c r="A452" s="2" t="s">
        <v>49</v>
      </c>
      <c r="B452" s="2">
        <v>1</v>
      </c>
      <c r="C452" s="2">
        <v>88</v>
      </c>
      <c r="D452" s="2">
        <v>43</v>
      </c>
      <c r="E452" s="2">
        <v>132</v>
      </c>
      <c r="G452" s="2" t="s">
        <v>49</v>
      </c>
      <c r="H452" s="8">
        <v>7.575757575757576E-3</v>
      </c>
      <c r="I452" s="8">
        <v>0.66666666666666663</v>
      </c>
      <c r="J452" s="8">
        <v>0.32575757575757575</v>
      </c>
    </row>
    <row r="453" spans="1:10" x14ac:dyDescent="0.45">
      <c r="A453" s="2" t="s">
        <v>50</v>
      </c>
      <c r="B453" s="2">
        <v>1</v>
      </c>
      <c r="C453" s="2">
        <v>57</v>
      </c>
      <c r="D453" s="2">
        <v>21</v>
      </c>
      <c r="E453" s="2">
        <v>79</v>
      </c>
      <c r="G453" s="2" t="s">
        <v>50</v>
      </c>
      <c r="H453" s="8">
        <v>1.2658227848101266E-2</v>
      </c>
      <c r="I453" s="8">
        <v>0.72151898734177211</v>
      </c>
      <c r="J453" s="8">
        <v>0.26582278481012656</v>
      </c>
    </row>
    <row r="454" spans="1:10" x14ac:dyDescent="0.45">
      <c r="A454" s="2" t="s">
        <v>51</v>
      </c>
      <c r="B454" s="2">
        <v>0</v>
      </c>
      <c r="C454" s="2">
        <v>17</v>
      </c>
      <c r="D454" s="2">
        <v>14</v>
      </c>
      <c r="E454" s="2">
        <v>31</v>
      </c>
      <c r="G454" s="2" t="s">
        <v>51</v>
      </c>
      <c r="H454" s="8">
        <v>0</v>
      </c>
      <c r="I454" s="8">
        <v>0.54838709677419351</v>
      </c>
      <c r="J454" s="8">
        <v>0.45161290322580644</v>
      </c>
    </row>
    <row r="455" spans="1:10" x14ac:dyDescent="0.45">
      <c r="A455" s="2" t="s">
        <v>52</v>
      </c>
      <c r="B455" s="2">
        <v>0</v>
      </c>
      <c r="C455" s="2">
        <v>18</v>
      </c>
      <c r="D455" s="2">
        <v>9</v>
      </c>
      <c r="E455" s="2">
        <v>27</v>
      </c>
      <c r="G455" s="2" t="s">
        <v>52</v>
      </c>
      <c r="H455" s="8">
        <v>0</v>
      </c>
      <c r="I455" s="8">
        <v>0.66666666666666663</v>
      </c>
      <c r="J455" s="8">
        <v>0.33333333333333331</v>
      </c>
    </row>
    <row r="457" spans="1:10" x14ac:dyDescent="0.45">
      <c r="A457" s="14" t="s">
        <v>15</v>
      </c>
      <c r="B457" s="14" t="s">
        <v>42</v>
      </c>
      <c r="C457" s="14" t="s">
        <v>43</v>
      </c>
      <c r="D457" s="14" t="s">
        <v>44</v>
      </c>
      <c r="E457" s="14">
        <v>401</v>
      </c>
      <c r="G457" s="14" t="s">
        <v>15</v>
      </c>
      <c r="H457" s="14" t="s">
        <v>42</v>
      </c>
      <c r="I457" s="14" t="s">
        <v>43</v>
      </c>
      <c r="J457" s="14" t="s">
        <v>44</v>
      </c>
    </row>
    <row r="458" spans="1:10" x14ac:dyDescent="0.45">
      <c r="A458" s="2" t="s">
        <v>47</v>
      </c>
      <c r="B458" s="2">
        <v>3</v>
      </c>
      <c r="C458" s="2">
        <v>38</v>
      </c>
      <c r="D458" s="2">
        <v>13</v>
      </c>
      <c r="E458" s="2">
        <v>54</v>
      </c>
      <c r="G458" s="2" t="s">
        <v>47</v>
      </c>
      <c r="H458" s="8">
        <v>5.5555555555555552E-2</v>
      </c>
      <c r="I458" s="8">
        <v>0.70370370370370372</v>
      </c>
      <c r="J458" s="8">
        <v>0.24074074074074073</v>
      </c>
    </row>
    <row r="459" spans="1:10" x14ac:dyDescent="0.45">
      <c r="A459" s="2" t="s">
        <v>48</v>
      </c>
      <c r="B459" s="2">
        <v>2</v>
      </c>
      <c r="C459" s="2">
        <v>67</v>
      </c>
      <c r="D459" s="2">
        <v>9</v>
      </c>
      <c r="E459" s="2">
        <v>78</v>
      </c>
      <c r="G459" s="2" t="s">
        <v>48</v>
      </c>
      <c r="H459" s="8">
        <v>2.564102564102564E-2</v>
      </c>
      <c r="I459" s="8">
        <v>0.85897435897435892</v>
      </c>
      <c r="J459" s="8">
        <v>0.11538461538461539</v>
      </c>
    </row>
    <row r="460" spans="1:10" x14ac:dyDescent="0.45">
      <c r="A460" s="2" t="s">
        <v>49</v>
      </c>
      <c r="B460" s="2">
        <v>6</v>
      </c>
      <c r="C460" s="2">
        <v>106</v>
      </c>
      <c r="D460" s="2">
        <v>20</v>
      </c>
      <c r="E460" s="2">
        <v>132</v>
      </c>
      <c r="G460" s="2" t="s">
        <v>49</v>
      </c>
      <c r="H460" s="8">
        <v>4.5454545454545456E-2</v>
      </c>
      <c r="I460" s="8">
        <v>0.80303030303030298</v>
      </c>
      <c r="J460" s="8">
        <v>0.15151515151515152</v>
      </c>
    </row>
    <row r="461" spans="1:10" x14ac:dyDescent="0.45">
      <c r="A461" s="2" t="s">
        <v>50</v>
      </c>
      <c r="B461" s="2">
        <v>6</v>
      </c>
      <c r="C461" s="2">
        <v>60</v>
      </c>
      <c r="D461" s="2">
        <v>13</v>
      </c>
      <c r="E461" s="2">
        <v>79</v>
      </c>
      <c r="G461" s="2" t="s">
        <v>50</v>
      </c>
      <c r="H461" s="8">
        <v>7.5949367088607597E-2</v>
      </c>
      <c r="I461" s="8">
        <v>0.759493670886076</v>
      </c>
      <c r="J461" s="8">
        <v>0.16455696202531644</v>
      </c>
    </row>
    <row r="462" spans="1:10" x14ac:dyDescent="0.45">
      <c r="A462" s="2" t="s">
        <v>51</v>
      </c>
      <c r="B462" s="2">
        <v>0</v>
      </c>
      <c r="C462" s="2">
        <v>28</v>
      </c>
      <c r="D462" s="2">
        <v>3</v>
      </c>
      <c r="E462" s="2">
        <v>31</v>
      </c>
      <c r="G462" s="2" t="s">
        <v>51</v>
      </c>
      <c r="H462" s="8">
        <v>0</v>
      </c>
      <c r="I462" s="8">
        <v>0.90322580645161288</v>
      </c>
      <c r="J462" s="8">
        <v>9.6774193548387094E-2</v>
      </c>
    </row>
    <row r="463" spans="1:10" x14ac:dyDescent="0.45">
      <c r="A463" s="2" t="s">
        <v>52</v>
      </c>
      <c r="B463" s="2">
        <v>1</v>
      </c>
      <c r="C463" s="2">
        <v>22</v>
      </c>
      <c r="D463" s="2">
        <v>4</v>
      </c>
      <c r="E463" s="2">
        <v>27</v>
      </c>
      <c r="G463" s="2" t="s">
        <v>52</v>
      </c>
      <c r="H463" s="8">
        <v>3.7037037037037035E-2</v>
      </c>
      <c r="I463" s="8">
        <v>0.81481481481481477</v>
      </c>
      <c r="J463" s="8">
        <v>0.14814814814814814</v>
      </c>
    </row>
    <row r="465" spans="1:10" x14ac:dyDescent="0.45">
      <c r="A465" s="14" t="s">
        <v>16</v>
      </c>
      <c r="B465" s="14" t="s">
        <v>42</v>
      </c>
      <c r="C465" s="14" t="s">
        <v>43</v>
      </c>
      <c r="D465" s="14" t="s">
        <v>44</v>
      </c>
      <c r="E465" s="14">
        <v>401</v>
      </c>
      <c r="G465" s="14" t="s">
        <v>16</v>
      </c>
      <c r="H465" s="14" t="s">
        <v>42</v>
      </c>
      <c r="I465" s="14" t="s">
        <v>43</v>
      </c>
      <c r="J465" s="14" t="s">
        <v>44</v>
      </c>
    </row>
    <row r="466" spans="1:10" x14ac:dyDescent="0.45">
      <c r="A466" s="2" t="s">
        <v>47</v>
      </c>
      <c r="B466" s="2">
        <v>5</v>
      </c>
      <c r="C466" s="2">
        <v>47</v>
      </c>
      <c r="D466" s="2">
        <v>2</v>
      </c>
      <c r="E466" s="2">
        <v>54</v>
      </c>
      <c r="G466" s="2" t="s">
        <v>47</v>
      </c>
      <c r="H466" s="8">
        <v>9.2592592592592587E-2</v>
      </c>
      <c r="I466" s="8">
        <v>0.87037037037037035</v>
      </c>
      <c r="J466" s="8">
        <v>3.7037037037037035E-2</v>
      </c>
    </row>
    <row r="467" spans="1:10" x14ac:dyDescent="0.45">
      <c r="A467" s="2" t="s">
        <v>48</v>
      </c>
      <c r="B467" s="2">
        <v>3</v>
      </c>
      <c r="C467" s="2">
        <v>65</v>
      </c>
      <c r="D467" s="2">
        <v>10</v>
      </c>
      <c r="E467" s="2">
        <v>78</v>
      </c>
      <c r="G467" s="2" t="s">
        <v>48</v>
      </c>
      <c r="H467" s="8">
        <v>3.8461538461538464E-2</v>
      </c>
      <c r="I467" s="8">
        <v>0.83333333333333337</v>
      </c>
      <c r="J467" s="8">
        <v>0.12820512820512819</v>
      </c>
    </row>
    <row r="468" spans="1:10" x14ac:dyDescent="0.45">
      <c r="A468" s="2" t="s">
        <v>49</v>
      </c>
      <c r="B468" s="2">
        <v>7</v>
      </c>
      <c r="C468" s="2">
        <v>115</v>
      </c>
      <c r="D468" s="2">
        <v>10</v>
      </c>
      <c r="E468" s="2">
        <v>132</v>
      </c>
      <c r="G468" s="2" t="s">
        <v>49</v>
      </c>
      <c r="H468" s="8">
        <v>5.3030303030303032E-2</v>
      </c>
      <c r="I468" s="8">
        <v>0.87121212121212122</v>
      </c>
      <c r="J468" s="8">
        <v>7.575757575757576E-2</v>
      </c>
    </row>
    <row r="469" spans="1:10" x14ac:dyDescent="0.45">
      <c r="A469" s="2" t="s">
        <v>50</v>
      </c>
      <c r="B469" s="2">
        <v>4</v>
      </c>
      <c r="C469" s="2">
        <v>68</v>
      </c>
      <c r="D469" s="2">
        <v>7</v>
      </c>
      <c r="E469" s="2">
        <v>79</v>
      </c>
      <c r="G469" s="2" t="s">
        <v>50</v>
      </c>
      <c r="H469" s="8">
        <v>5.0632911392405063E-2</v>
      </c>
      <c r="I469" s="8">
        <v>0.86075949367088611</v>
      </c>
      <c r="J469" s="8">
        <v>8.8607594936708861E-2</v>
      </c>
    </row>
    <row r="470" spans="1:10" x14ac:dyDescent="0.45">
      <c r="A470" s="2" t="s">
        <v>51</v>
      </c>
      <c r="B470" s="2">
        <v>3</v>
      </c>
      <c r="C470" s="2">
        <v>26</v>
      </c>
      <c r="D470" s="2">
        <v>2</v>
      </c>
      <c r="E470" s="2">
        <v>31</v>
      </c>
      <c r="G470" s="2" t="s">
        <v>51</v>
      </c>
      <c r="H470" s="8">
        <v>9.6774193548387094E-2</v>
      </c>
      <c r="I470" s="8">
        <v>0.83870967741935487</v>
      </c>
      <c r="J470" s="8">
        <v>6.4516129032258063E-2</v>
      </c>
    </row>
    <row r="471" spans="1:10" x14ac:dyDescent="0.45">
      <c r="A471" s="2" t="s">
        <v>52</v>
      </c>
      <c r="B471" s="2">
        <v>2</v>
      </c>
      <c r="C471" s="2">
        <v>22</v>
      </c>
      <c r="D471" s="2">
        <v>3</v>
      </c>
      <c r="E471" s="2">
        <v>27</v>
      </c>
      <c r="G471" s="2" t="s">
        <v>52</v>
      </c>
      <c r="H471" s="8">
        <v>7.407407407407407E-2</v>
      </c>
      <c r="I471" s="8">
        <v>0.81481481481481477</v>
      </c>
      <c r="J471" s="8">
        <v>0.1111111111111111</v>
      </c>
    </row>
    <row r="473" spans="1:10" x14ac:dyDescent="0.45">
      <c r="A473" s="14" t="s">
        <v>14</v>
      </c>
      <c r="B473" s="14" t="s">
        <v>42</v>
      </c>
      <c r="C473" s="14" t="s">
        <v>43</v>
      </c>
      <c r="D473" s="14" t="s">
        <v>44</v>
      </c>
      <c r="E473" s="14">
        <v>402</v>
      </c>
      <c r="G473" s="14" t="s">
        <v>14</v>
      </c>
      <c r="H473" s="14" t="s">
        <v>42</v>
      </c>
      <c r="I473" s="14" t="s">
        <v>43</v>
      </c>
      <c r="J473" s="14" t="s">
        <v>44</v>
      </c>
    </row>
    <row r="474" spans="1:10" x14ac:dyDescent="0.45">
      <c r="A474" s="2" t="s">
        <v>53</v>
      </c>
      <c r="B474" s="2">
        <v>0</v>
      </c>
      <c r="C474" s="2">
        <v>29</v>
      </c>
      <c r="D474" s="2">
        <v>12</v>
      </c>
      <c r="E474" s="2">
        <v>41</v>
      </c>
      <c r="G474" s="2" t="s">
        <v>53</v>
      </c>
      <c r="H474" s="8">
        <v>0</v>
      </c>
      <c r="I474" s="8">
        <v>0.70731707317073167</v>
      </c>
      <c r="J474" s="8">
        <v>0.29268292682926828</v>
      </c>
    </row>
    <row r="475" spans="1:10" x14ac:dyDescent="0.45">
      <c r="A475" s="2" t="s">
        <v>54</v>
      </c>
      <c r="B475" s="2">
        <v>1</v>
      </c>
      <c r="C475" s="2">
        <v>47</v>
      </c>
      <c r="D475" s="2">
        <v>31</v>
      </c>
      <c r="E475" s="2">
        <v>79</v>
      </c>
      <c r="G475" s="2" t="s">
        <v>54</v>
      </c>
      <c r="H475" s="8">
        <v>1.2658227848101266E-2</v>
      </c>
      <c r="I475" s="8">
        <v>0.59493670886075944</v>
      </c>
      <c r="J475" s="8">
        <v>0.39240506329113922</v>
      </c>
    </row>
    <row r="476" spans="1:10" x14ac:dyDescent="0.45">
      <c r="A476" s="2" t="s">
        <v>55</v>
      </c>
      <c r="B476" s="2">
        <v>0</v>
      </c>
      <c r="C476" s="2">
        <v>30</v>
      </c>
      <c r="D476" s="2">
        <v>11</v>
      </c>
      <c r="E476" s="2">
        <v>41</v>
      </c>
      <c r="G476" s="2" t="s">
        <v>55</v>
      </c>
      <c r="H476" s="8">
        <v>0</v>
      </c>
      <c r="I476" s="8">
        <v>0.73170731707317072</v>
      </c>
      <c r="J476" s="8">
        <v>0.26829268292682928</v>
      </c>
    </row>
    <row r="477" spans="1:10" x14ac:dyDescent="0.45">
      <c r="A477" s="2" t="s">
        <v>56</v>
      </c>
      <c r="B477" s="2">
        <v>1</v>
      </c>
      <c r="C477" s="2">
        <v>34</v>
      </c>
      <c r="D477" s="2">
        <v>17</v>
      </c>
      <c r="E477" s="2">
        <v>52</v>
      </c>
      <c r="G477" s="2" t="s">
        <v>56</v>
      </c>
      <c r="H477" s="8">
        <v>1.9230769230769232E-2</v>
      </c>
      <c r="I477" s="8">
        <v>0.65384615384615385</v>
      </c>
      <c r="J477" s="8">
        <v>0.32692307692307693</v>
      </c>
    </row>
    <row r="478" spans="1:10" x14ac:dyDescent="0.45">
      <c r="A478" s="2" t="s">
        <v>57</v>
      </c>
      <c r="B478" s="2">
        <v>1</v>
      </c>
      <c r="C478" s="2">
        <v>35</v>
      </c>
      <c r="D478" s="2">
        <v>17</v>
      </c>
      <c r="E478" s="2">
        <v>53</v>
      </c>
      <c r="G478" s="2" t="s">
        <v>57</v>
      </c>
      <c r="H478" s="8">
        <v>1.8867924528301886E-2</v>
      </c>
      <c r="I478" s="8">
        <v>0.660377358490566</v>
      </c>
      <c r="J478" s="8">
        <v>0.32075471698113206</v>
      </c>
    </row>
    <row r="479" spans="1:10" x14ac:dyDescent="0.45">
      <c r="A479" s="2" t="s">
        <v>58</v>
      </c>
      <c r="B479" s="2">
        <v>1</v>
      </c>
      <c r="C479" s="2">
        <v>44</v>
      </c>
      <c r="D479" s="2">
        <v>17</v>
      </c>
      <c r="E479" s="2">
        <v>62</v>
      </c>
      <c r="G479" s="2" t="s">
        <v>58</v>
      </c>
      <c r="H479" s="8">
        <v>1.6129032258064516E-2</v>
      </c>
      <c r="I479" s="8">
        <v>0.70967741935483875</v>
      </c>
      <c r="J479" s="8">
        <v>0.27419354838709675</v>
      </c>
    </row>
    <row r="480" spans="1:10" x14ac:dyDescent="0.45">
      <c r="A480" s="2" t="s">
        <v>59</v>
      </c>
      <c r="B480" s="2">
        <v>0</v>
      </c>
      <c r="C480" s="2">
        <v>26</v>
      </c>
      <c r="D480" s="2">
        <v>13</v>
      </c>
      <c r="E480" s="2">
        <v>39</v>
      </c>
      <c r="G480" s="2" t="s">
        <v>59</v>
      </c>
      <c r="H480" s="8">
        <v>0</v>
      </c>
      <c r="I480" s="8">
        <v>0.66666666666666663</v>
      </c>
      <c r="J480" s="8">
        <v>0.33333333333333331</v>
      </c>
    </row>
    <row r="481" spans="1:10" x14ac:dyDescent="0.45">
      <c r="A481" s="2" t="s">
        <v>60</v>
      </c>
      <c r="B481" s="2">
        <v>0</v>
      </c>
      <c r="C481" s="2">
        <v>20</v>
      </c>
      <c r="D481" s="2">
        <v>15</v>
      </c>
      <c r="E481" s="2">
        <v>35</v>
      </c>
      <c r="G481" s="2" t="s">
        <v>60</v>
      </c>
      <c r="H481" s="8">
        <v>0</v>
      </c>
      <c r="I481" s="8">
        <v>0.5714285714285714</v>
      </c>
      <c r="J481" s="8">
        <v>0.42857142857142855</v>
      </c>
    </row>
    <row r="483" spans="1:10" x14ac:dyDescent="0.45">
      <c r="A483" s="14" t="s">
        <v>15</v>
      </c>
      <c r="B483" s="14" t="s">
        <v>42</v>
      </c>
      <c r="C483" s="14" t="s">
        <v>43</v>
      </c>
      <c r="D483" s="14" t="s">
        <v>44</v>
      </c>
      <c r="E483" s="14">
        <v>401</v>
      </c>
      <c r="G483" s="14" t="s">
        <v>15</v>
      </c>
      <c r="H483" s="14" t="s">
        <v>42</v>
      </c>
      <c r="I483" s="14" t="s">
        <v>43</v>
      </c>
      <c r="J483" s="14" t="s">
        <v>44</v>
      </c>
    </row>
    <row r="484" spans="1:10" x14ac:dyDescent="0.45">
      <c r="A484" s="2" t="s">
        <v>53</v>
      </c>
      <c r="B484" s="2">
        <v>4</v>
      </c>
      <c r="C484" s="2">
        <v>33</v>
      </c>
      <c r="D484" s="2">
        <v>4</v>
      </c>
      <c r="E484" s="2">
        <v>41</v>
      </c>
      <c r="G484" s="2" t="s">
        <v>53</v>
      </c>
      <c r="H484" s="8">
        <v>9.7560975609756101E-2</v>
      </c>
      <c r="I484" s="8">
        <v>0.80487804878048785</v>
      </c>
      <c r="J484" s="8">
        <v>9.7560975609756101E-2</v>
      </c>
    </row>
    <row r="485" spans="1:10" x14ac:dyDescent="0.45">
      <c r="A485" s="2" t="s">
        <v>54</v>
      </c>
      <c r="B485" s="2">
        <v>2</v>
      </c>
      <c r="C485" s="2">
        <v>65</v>
      </c>
      <c r="D485" s="2">
        <v>11</v>
      </c>
      <c r="E485" s="2">
        <v>78</v>
      </c>
      <c r="G485" s="2" t="s">
        <v>54</v>
      </c>
      <c r="H485" s="8">
        <v>2.564102564102564E-2</v>
      </c>
      <c r="I485" s="8">
        <v>0.83333333333333337</v>
      </c>
      <c r="J485" s="8">
        <v>0.14102564102564102</v>
      </c>
    </row>
    <row r="486" spans="1:10" x14ac:dyDescent="0.45">
      <c r="A486" s="2" t="s">
        <v>55</v>
      </c>
      <c r="B486" s="2">
        <v>0</v>
      </c>
      <c r="C486" s="2">
        <v>33</v>
      </c>
      <c r="D486" s="2">
        <v>8</v>
      </c>
      <c r="E486" s="2">
        <v>41</v>
      </c>
      <c r="G486" s="2" t="s">
        <v>55</v>
      </c>
      <c r="H486" s="8">
        <v>0</v>
      </c>
      <c r="I486" s="8">
        <v>0.80487804878048785</v>
      </c>
      <c r="J486" s="8">
        <v>0.1951219512195122</v>
      </c>
    </row>
    <row r="487" spans="1:10" x14ac:dyDescent="0.45">
      <c r="A487" s="2" t="s">
        <v>56</v>
      </c>
      <c r="B487" s="2">
        <v>2</v>
      </c>
      <c r="C487" s="2">
        <v>45</v>
      </c>
      <c r="D487" s="2">
        <v>5</v>
      </c>
      <c r="E487" s="2">
        <v>52</v>
      </c>
      <c r="G487" s="2" t="s">
        <v>56</v>
      </c>
      <c r="H487" s="8">
        <v>3.8461538461538464E-2</v>
      </c>
      <c r="I487" s="8">
        <v>0.86538461538461542</v>
      </c>
      <c r="J487" s="8">
        <v>9.6153846153846159E-2</v>
      </c>
    </row>
    <row r="488" spans="1:10" x14ac:dyDescent="0.45">
      <c r="A488" s="2" t="s">
        <v>57</v>
      </c>
      <c r="B488" s="2">
        <v>2</v>
      </c>
      <c r="C488" s="2">
        <v>38</v>
      </c>
      <c r="D488" s="2">
        <v>13</v>
      </c>
      <c r="E488" s="2">
        <v>53</v>
      </c>
      <c r="G488" s="2" t="s">
        <v>57</v>
      </c>
      <c r="H488" s="8">
        <v>3.7735849056603772E-2</v>
      </c>
      <c r="I488" s="8">
        <v>0.71698113207547165</v>
      </c>
      <c r="J488" s="8">
        <v>0.24528301886792453</v>
      </c>
    </row>
    <row r="489" spans="1:10" x14ac:dyDescent="0.45">
      <c r="A489" s="2" t="s">
        <v>58</v>
      </c>
      <c r="B489" s="2">
        <v>3</v>
      </c>
      <c r="C489" s="2">
        <v>49</v>
      </c>
      <c r="D489" s="2">
        <v>10</v>
      </c>
      <c r="E489" s="2">
        <v>62</v>
      </c>
      <c r="G489" s="2" t="s">
        <v>58</v>
      </c>
      <c r="H489" s="8">
        <v>4.8387096774193547E-2</v>
      </c>
      <c r="I489" s="8">
        <v>0.79032258064516125</v>
      </c>
      <c r="J489" s="8">
        <v>0.16129032258064516</v>
      </c>
    </row>
    <row r="490" spans="1:10" x14ac:dyDescent="0.45">
      <c r="A490" s="2" t="s">
        <v>59</v>
      </c>
      <c r="B490" s="2">
        <v>3</v>
      </c>
      <c r="C490" s="2">
        <v>28</v>
      </c>
      <c r="D490" s="2">
        <v>8</v>
      </c>
      <c r="E490" s="2">
        <v>39</v>
      </c>
      <c r="G490" s="2" t="s">
        <v>59</v>
      </c>
      <c r="H490" s="8">
        <v>7.6923076923076927E-2</v>
      </c>
      <c r="I490" s="8">
        <v>0.71794871794871795</v>
      </c>
      <c r="J490" s="8">
        <v>0.20512820512820512</v>
      </c>
    </row>
    <row r="491" spans="1:10" x14ac:dyDescent="0.45">
      <c r="A491" s="2" t="s">
        <v>60</v>
      </c>
      <c r="B491" s="2">
        <v>2</v>
      </c>
      <c r="C491" s="2">
        <v>30</v>
      </c>
      <c r="D491" s="2">
        <v>3</v>
      </c>
      <c r="E491" s="2">
        <v>35</v>
      </c>
      <c r="G491" s="2" t="s">
        <v>60</v>
      </c>
      <c r="H491" s="8">
        <v>5.7142857142857141E-2</v>
      </c>
      <c r="I491" s="8">
        <v>0.8571428571428571</v>
      </c>
      <c r="J491" s="8">
        <v>8.5714285714285715E-2</v>
      </c>
    </row>
    <row r="493" spans="1:10" x14ac:dyDescent="0.45">
      <c r="A493" s="14" t="s">
        <v>61</v>
      </c>
      <c r="B493" s="14" t="s">
        <v>42</v>
      </c>
      <c r="C493" s="14" t="s">
        <v>43</v>
      </c>
      <c r="D493" s="14" t="s">
        <v>44</v>
      </c>
      <c r="E493" s="14">
        <v>399</v>
      </c>
      <c r="G493" s="14" t="s">
        <v>61</v>
      </c>
      <c r="H493" s="14" t="s">
        <v>42</v>
      </c>
      <c r="I493" s="14" t="s">
        <v>43</v>
      </c>
      <c r="J493" s="14" t="s">
        <v>44</v>
      </c>
    </row>
    <row r="494" spans="1:10" x14ac:dyDescent="0.45">
      <c r="A494" s="2" t="s">
        <v>47</v>
      </c>
      <c r="B494" s="2">
        <v>1</v>
      </c>
      <c r="C494" s="2">
        <v>34</v>
      </c>
      <c r="D494" s="2">
        <v>19</v>
      </c>
      <c r="E494" s="2">
        <v>54</v>
      </c>
      <c r="G494" s="2" t="s">
        <v>47</v>
      </c>
      <c r="H494" s="8">
        <v>1.8518518518518517E-2</v>
      </c>
      <c r="I494" s="8">
        <v>0.62962962962962965</v>
      </c>
      <c r="J494" s="8">
        <v>0.35185185185185186</v>
      </c>
    </row>
    <row r="495" spans="1:10" x14ac:dyDescent="0.45">
      <c r="A495" s="2" t="s">
        <v>48</v>
      </c>
      <c r="B495" s="2">
        <v>1</v>
      </c>
      <c r="C495" s="2">
        <v>49</v>
      </c>
      <c r="D495" s="2">
        <v>27</v>
      </c>
      <c r="E495" s="2">
        <v>77</v>
      </c>
      <c r="G495" s="2" t="s">
        <v>48</v>
      </c>
      <c r="H495" s="8">
        <v>1.2987012987012988E-2</v>
      </c>
      <c r="I495" s="8">
        <v>0.63636363636363635</v>
      </c>
      <c r="J495" s="8">
        <v>0.35064935064935066</v>
      </c>
    </row>
    <row r="496" spans="1:10" x14ac:dyDescent="0.45">
      <c r="A496" s="2" t="s">
        <v>49</v>
      </c>
      <c r="B496" s="2">
        <v>1</v>
      </c>
      <c r="C496" s="2">
        <v>83</v>
      </c>
      <c r="D496" s="2">
        <v>48</v>
      </c>
      <c r="E496" s="2">
        <v>132</v>
      </c>
      <c r="G496" s="2" t="s">
        <v>49</v>
      </c>
      <c r="H496" s="8">
        <v>7.575757575757576E-3</v>
      </c>
      <c r="I496" s="8">
        <v>0.62878787878787878</v>
      </c>
      <c r="J496" s="8">
        <v>0.36363636363636365</v>
      </c>
    </row>
    <row r="497" spans="1:29" x14ac:dyDescent="0.45">
      <c r="A497" s="2" t="s">
        <v>50</v>
      </c>
      <c r="B497" s="2">
        <v>5</v>
      </c>
      <c r="C497" s="2">
        <v>50</v>
      </c>
      <c r="D497" s="2">
        <v>23</v>
      </c>
      <c r="E497" s="2">
        <v>78</v>
      </c>
      <c r="G497" s="2" t="s">
        <v>50</v>
      </c>
      <c r="H497" s="8">
        <v>6.4102564102564097E-2</v>
      </c>
      <c r="I497" s="8">
        <v>0.64102564102564108</v>
      </c>
      <c r="J497" s="8">
        <v>0.29487179487179488</v>
      </c>
    </row>
    <row r="498" spans="1:29" x14ac:dyDescent="0.45">
      <c r="A498" s="2" t="s">
        <v>51</v>
      </c>
      <c r="B498" s="2">
        <v>0</v>
      </c>
      <c r="C498" s="2">
        <v>25</v>
      </c>
      <c r="D498" s="2">
        <v>6</v>
      </c>
      <c r="E498" s="2">
        <v>31</v>
      </c>
      <c r="G498" s="2" t="s">
        <v>51</v>
      </c>
      <c r="H498" s="8">
        <v>0</v>
      </c>
      <c r="I498" s="8">
        <v>0.80645161290322576</v>
      </c>
      <c r="J498" s="8">
        <v>0.19354838709677419</v>
      </c>
    </row>
    <row r="499" spans="1:29" x14ac:dyDescent="0.45">
      <c r="A499" s="2" t="s">
        <v>52</v>
      </c>
      <c r="B499" s="2">
        <v>0</v>
      </c>
      <c r="C499" s="2">
        <v>20</v>
      </c>
      <c r="D499" s="2">
        <v>7</v>
      </c>
      <c r="E499" s="2">
        <v>27</v>
      </c>
      <c r="G499" s="2" t="s">
        <v>52</v>
      </c>
      <c r="H499" s="8">
        <v>0</v>
      </c>
      <c r="I499" s="8">
        <v>0.7407407407407407</v>
      </c>
      <c r="J499" s="8">
        <v>0.25925925925925924</v>
      </c>
    </row>
    <row r="505" spans="1:29" x14ac:dyDescent="0.45">
      <c r="A505" s="18" t="s">
        <v>38</v>
      </c>
      <c r="B505" s="18"/>
      <c r="C505" s="18"/>
      <c r="D505" s="18"/>
    </row>
    <row r="506" spans="1:29" x14ac:dyDescent="0.45">
      <c r="A506" s="14" t="s">
        <v>9</v>
      </c>
      <c r="B506" s="14" t="s">
        <v>42</v>
      </c>
      <c r="C506" s="14" t="s">
        <v>43</v>
      </c>
      <c r="D506" s="14" t="s">
        <v>44</v>
      </c>
      <c r="F506" s="14" t="s">
        <v>9</v>
      </c>
      <c r="G506" s="14" t="s">
        <v>42</v>
      </c>
      <c r="H506" s="14" t="s">
        <v>43</v>
      </c>
      <c r="I506" s="14" t="s">
        <v>44</v>
      </c>
      <c r="K506" s="14" t="s">
        <v>9</v>
      </c>
      <c r="L506" s="14" t="s">
        <v>42</v>
      </c>
      <c r="M506" s="14" t="s">
        <v>43</v>
      </c>
      <c r="N506" s="14" t="s">
        <v>44</v>
      </c>
      <c r="P506" s="14" t="s">
        <v>9</v>
      </c>
      <c r="Q506" s="14" t="s">
        <v>42</v>
      </c>
      <c r="R506" s="14" t="s">
        <v>43</v>
      </c>
      <c r="S506" s="14" t="s">
        <v>44</v>
      </c>
      <c r="U506" s="14" t="s">
        <v>9</v>
      </c>
      <c r="V506" s="14" t="s">
        <v>42</v>
      </c>
      <c r="W506" s="14" t="s">
        <v>43</v>
      </c>
      <c r="X506" s="14" t="s">
        <v>44</v>
      </c>
      <c r="Z506" s="14" t="s">
        <v>9</v>
      </c>
      <c r="AA506" s="14" t="s">
        <v>42</v>
      </c>
      <c r="AB506" s="14" t="s">
        <v>43</v>
      </c>
      <c r="AC506" s="14" t="s">
        <v>44</v>
      </c>
    </row>
    <row r="507" spans="1:29" x14ac:dyDescent="0.45">
      <c r="A507" s="2" t="s">
        <v>45</v>
      </c>
      <c r="B507" s="8">
        <f t="shared" ref="B507:D508" si="9">(G507+L507+Q507+V507+AA507)/5</f>
        <v>1.220159151193634E-2</v>
      </c>
      <c r="C507" s="8">
        <f t="shared" si="9"/>
        <v>0.68647214854111405</v>
      </c>
      <c r="D507" s="8">
        <f t="shared" si="9"/>
        <v>0.30132625994694962</v>
      </c>
      <c r="E507" s="12"/>
      <c r="F507" s="2" t="s">
        <v>45</v>
      </c>
      <c r="G507" s="13">
        <v>1.3262599469496022E-2</v>
      </c>
      <c r="H507" s="13">
        <v>0.66578249336870021</v>
      </c>
      <c r="I507" s="13">
        <v>0.32095490716180369</v>
      </c>
      <c r="K507" s="2" t="s">
        <v>45</v>
      </c>
      <c r="L507" s="13">
        <v>1.3262599469496022E-2</v>
      </c>
      <c r="M507" s="13">
        <v>0.71883289124668437</v>
      </c>
      <c r="N507" s="13">
        <v>0.26790450928381965</v>
      </c>
      <c r="P507" s="2" t="s">
        <v>45</v>
      </c>
      <c r="Q507" s="13">
        <v>1.3262599469496022E-2</v>
      </c>
      <c r="R507" s="13">
        <v>0.70291777188328908</v>
      </c>
      <c r="S507" s="13">
        <v>0.28381962864721483</v>
      </c>
      <c r="U507" s="2" t="s">
        <v>45</v>
      </c>
      <c r="V507" s="13">
        <v>1.3262599469496022E-2</v>
      </c>
      <c r="W507" s="13">
        <v>0.65782493368700268</v>
      </c>
      <c r="X507" s="13">
        <v>0.32891246684350134</v>
      </c>
      <c r="Z507" s="2" t="s">
        <v>45</v>
      </c>
      <c r="AA507" s="13">
        <v>7.9575596816976128E-3</v>
      </c>
      <c r="AB507" s="13">
        <v>0.6870026525198939</v>
      </c>
      <c r="AC507" s="13">
        <v>0.30503978779840851</v>
      </c>
    </row>
    <row r="508" spans="1:29" x14ac:dyDescent="0.45">
      <c r="A508" s="2" t="s">
        <v>46</v>
      </c>
      <c r="B508" s="8">
        <f t="shared" si="9"/>
        <v>7.6923076923076927E-3</v>
      </c>
      <c r="C508" s="8">
        <f t="shared" si="9"/>
        <v>0.68461538461538463</v>
      </c>
      <c r="D508" s="8">
        <f t="shared" si="9"/>
        <v>0.30769230769230765</v>
      </c>
      <c r="E508" s="12"/>
      <c r="F508" s="2" t="s">
        <v>46</v>
      </c>
      <c r="G508" s="13">
        <v>3.8461538461538464E-2</v>
      </c>
      <c r="H508" s="13">
        <v>0.73076923076923073</v>
      </c>
      <c r="I508" s="13">
        <v>0.23076923076923078</v>
      </c>
      <c r="K508" s="2" t="s">
        <v>46</v>
      </c>
      <c r="L508" s="13">
        <v>0</v>
      </c>
      <c r="M508" s="13">
        <v>0.76923076923076927</v>
      </c>
      <c r="N508" s="13">
        <v>0.23076923076923078</v>
      </c>
      <c r="P508" s="2" t="s">
        <v>46</v>
      </c>
      <c r="Q508" s="13">
        <v>0</v>
      </c>
      <c r="R508" s="13">
        <v>0.80769230769230771</v>
      </c>
      <c r="S508" s="13">
        <v>0.19230769230769232</v>
      </c>
      <c r="U508" s="2" t="s">
        <v>46</v>
      </c>
      <c r="V508" s="13">
        <v>0</v>
      </c>
      <c r="W508" s="13">
        <v>0.65384615384615385</v>
      </c>
      <c r="X508" s="13">
        <v>0.34615384615384615</v>
      </c>
      <c r="Z508" s="2" t="s">
        <v>46</v>
      </c>
      <c r="AA508" s="13">
        <v>0</v>
      </c>
      <c r="AB508" s="13">
        <v>0.46153846153846156</v>
      </c>
      <c r="AC508" s="13">
        <v>0.53846153846153844</v>
      </c>
    </row>
    <row r="510" spans="1:29" x14ac:dyDescent="0.45">
      <c r="A510" s="14" t="s">
        <v>10</v>
      </c>
      <c r="B510" s="14" t="s">
        <v>42</v>
      </c>
      <c r="C510" s="14" t="s">
        <v>43</v>
      </c>
      <c r="D510" s="14" t="s">
        <v>44</v>
      </c>
      <c r="F510" s="14" t="s">
        <v>10</v>
      </c>
      <c r="G510" s="14" t="s">
        <v>42</v>
      </c>
      <c r="H510" s="14" t="s">
        <v>43</v>
      </c>
      <c r="I510" s="14" t="s">
        <v>44</v>
      </c>
      <c r="K510" s="14" t="s">
        <v>10</v>
      </c>
      <c r="L510" s="14" t="s">
        <v>42</v>
      </c>
      <c r="M510" s="14" t="s">
        <v>43</v>
      </c>
      <c r="N510" s="14" t="s">
        <v>44</v>
      </c>
      <c r="P510" s="14" t="s">
        <v>10</v>
      </c>
      <c r="Q510" s="14" t="s">
        <v>42</v>
      </c>
      <c r="R510" s="14" t="s">
        <v>43</v>
      </c>
      <c r="S510" s="14" t="s">
        <v>44</v>
      </c>
      <c r="U510" s="14" t="s">
        <v>10</v>
      </c>
      <c r="V510" s="14" t="s">
        <v>42</v>
      </c>
      <c r="W510" s="14" t="s">
        <v>43</v>
      </c>
      <c r="X510" s="14" t="s">
        <v>44</v>
      </c>
      <c r="Z510" s="14" t="s">
        <v>10</v>
      </c>
      <c r="AA510" s="14" t="s">
        <v>42</v>
      </c>
      <c r="AB510" s="14" t="s">
        <v>43</v>
      </c>
      <c r="AC510" s="14" t="s">
        <v>44</v>
      </c>
    </row>
    <row r="511" spans="1:29" x14ac:dyDescent="0.45">
      <c r="A511" s="2" t="s">
        <v>45</v>
      </c>
      <c r="B511" s="8">
        <f t="shared" ref="B511:D512" si="10">(G511+L511+Q511+V511+AA511)/5</f>
        <v>2.1220159151193632E-3</v>
      </c>
      <c r="C511" s="8">
        <f t="shared" si="10"/>
        <v>0.54854111405835548</v>
      </c>
      <c r="D511" s="8">
        <f t="shared" si="10"/>
        <v>0.44933687002652523</v>
      </c>
      <c r="E511" s="12"/>
      <c r="F511" s="2" t="s">
        <v>45</v>
      </c>
      <c r="G511" s="13">
        <v>5.3050397877984082E-3</v>
      </c>
      <c r="H511" s="13">
        <v>0.57294429708222816</v>
      </c>
      <c r="I511" s="13">
        <v>0.4217506631299735</v>
      </c>
      <c r="K511" s="2" t="s">
        <v>45</v>
      </c>
      <c r="L511" s="13">
        <v>0</v>
      </c>
      <c r="M511" s="13">
        <v>0.57294429708222816</v>
      </c>
      <c r="N511" s="13">
        <v>0.4270557029177719</v>
      </c>
      <c r="P511" s="2" t="s">
        <v>45</v>
      </c>
      <c r="Q511" s="13">
        <v>0</v>
      </c>
      <c r="R511" s="13">
        <v>0.56763925729442966</v>
      </c>
      <c r="S511" s="13">
        <v>0.43236074270557029</v>
      </c>
      <c r="U511" s="2" t="s">
        <v>45</v>
      </c>
      <c r="V511" s="13">
        <v>2.6525198938992041E-3</v>
      </c>
      <c r="W511" s="13">
        <v>0.54376657824933683</v>
      </c>
      <c r="X511" s="13">
        <v>0.45358090185676392</v>
      </c>
      <c r="Z511" s="2" t="s">
        <v>45</v>
      </c>
      <c r="AA511" s="13">
        <v>2.6525198938992041E-3</v>
      </c>
      <c r="AB511" s="13">
        <v>0.48541114058355439</v>
      </c>
      <c r="AC511" s="13">
        <v>0.51193633952254647</v>
      </c>
    </row>
    <row r="512" spans="1:29" x14ac:dyDescent="0.45">
      <c r="A512" s="2" t="s">
        <v>46</v>
      </c>
      <c r="B512" s="8">
        <f t="shared" si="10"/>
        <v>0</v>
      </c>
      <c r="C512" s="8">
        <f t="shared" si="10"/>
        <v>0.57692307692307687</v>
      </c>
      <c r="D512" s="8">
        <f t="shared" si="10"/>
        <v>0.42307692307692307</v>
      </c>
      <c r="E512" s="12"/>
      <c r="F512" s="2" t="s">
        <v>46</v>
      </c>
      <c r="G512" s="13">
        <v>0</v>
      </c>
      <c r="H512" s="13">
        <v>0.42307692307692307</v>
      </c>
      <c r="I512" s="13">
        <v>0.57692307692307687</v>
      </c>
      <c r="K512" s="2" t="s">
        <v>46</v>
      </c>
      <c r="L512" s="13">
        <v>0</v>
      </c>
      <c r="M512" s="13">
        <v>0.65384615384615385</v>
      </c>
      <c r="N512" s="13">
        <v>0.34615384615384615</v>
      </c>
      <c r="P512" s="2" t="s">
        <v>46</v>
      </c>
      <c r="Q512" s="13">
        <v>0</v>
      </c>
      <c r="R512" s="13">
        <v>0.65384615384615385</v>
      </c>
      <c r="S512" s="13">
        <v>0.34615384615384615</v>
      </c>
      <c r="U512" s="2" t="s">
        <v>46</v>
      </c>
      <c r="V512" s="13">
        <v>0</v>
      </c>
      <c r="W512" s="13">
        <v>0.53846153846153844</v>
      </c>
      <c r="X512" s="13">
        <v>0.46153846153846156</v>
      </c>
      <c r="Z512" s="2" t="s">
        <v>46</v>
      </c>
      <c r="AA512" s="13">
        <v>0</v>
      </c>
      <c r="AB512" s="13">
        <v>0.61538461538461542</v>
      </c>
      <c r="AC512" s="13">
        <v>0.38461538461538464</v>
      </c>
    </row>
    <row r="514" spans="1:29" x14ac:dyDescent="0.45">
      <c r="A514" s="14" t="s">
        <v>11</v>
      </c>
      <c r="B514" s="14" t="s">
        <v>42</v>
      </c>
      <c r="C514" s="14" t="s">
        <v>43</v>
      </c>
      <c r="D514" s="14" t="s">
        <v>44</v>
      </c>
      <c r="F514" s="14" t="s">
        <v>11</v>
      </c>
      <c r="G514" s="14" t="s">
        <v>42</v>
      </c>
      <c r="H514" s="14" t="s">
        <v>43</v>
      </c>
      <c r="I514" s="14" t="s">
        <v>44</v>
      </c>
      <c r="K514" s="14" t="s">
        <v>11</v>
      </c>
      <c r="L514" s="14" t="s">
        <v>42</v>
      </c>
      <c r="M514" s="14" t="s">
        <v>43</v>
      </c>
      <c r="N514" s="14" t="s">
        <v>44</v>
      </c>
      <c r="P514" s="14" t="s">
        <v>11</v>
      </c>
      <c r="Q514" s="14" t="s">
        <v>42</v>
      </c>
      <c r="R514" s="14" t="s">
        <v>43</v>
      </c>
      <c r="S514" s="14" t="s">
        <v>44</v>
      </c>
      <c r="U514" s="14" t="s">
        <v>11</v>
      </c>
      <c r="V514" s="14" t="s">
        <v>42</v>
      </c>
      <c r="W514" s="14" t="s">
        <v>43</v>
      </c>
      <c r="X514" s="14" t="s">
        <v>44</v>
      </c>
      <c r="Z514" s="14" t="s">
        <v>11</v>
      </c>
      <c r="AA514" s="14" t="s">
        <v>42</v>
      </c>
      <c r="AB514" s="14" t="s">
        <v>43</v>
      </c>
      <c r="AC514" s="14" t="s">
        <v>44</v>
      </c>
    </row>
    <row r="515" spans="1:29" x14ac:dyDescent="0.45">
      <c r="A515" s="2" t="s">
        <v>45</v>
      </c>
      <c r="B515" s="8">
        <f t="shared" ref="B515:D516" si="11">(G515+L515+Q515+V515+AA515)/5</f>
        <v>1.1140583554376656E-2</v>
      </c>
      <c r="C515" s="8">
        <f t="shared" si="11"/>
        <v>0.38302387267904503</v>
      </c>
      <c r="D515" s="8">
        <f t="shared" si="11"/>
        <v>0.60583554376657822</v>
      </c>
      <c r="E515" s="12"/>
      <c r="F515" s="2" t="s">
        <v>45</v>
      </c>
      <c r="G515" s="13">
        <v>5.3050397877984082E-3</v>
      </c>
      <c r="H515" s="13">
        <v>0.38196286472148538</v>
      </c>
      <c r="I515" s="13">
        <v>0.61273209549071617</v>
      </c>
      <c r="K515" s="2" t="s">
        <v>45</v>
      </c>
      <c r="L515" s="13">
        <v>1.3262599469496022E-2</v>
      </c>
      <c r="M515" s="13">
        <v>0.35809018567639256</v>
      </c>
      <c r="N515" s="13">
        <v>0.62864721485411146</v>
      </c>
      <c r="P515" s="2" t="s">
        <v>45</v>
      </c>
      <c r="Q515" s="13">
        <v>1.5915119363395226E-2</v>
      </c>
      <c r="R515" s="13">
        <v>0.35809018567639256</v>
      </c>
      <c r="S515" s="13">
        <v>0.62599469496021221</v>
      </c>
      <c r="U515" s="2" t="s">
        <v>45</v>
      </c>
      <c r="V515" s="13">
        <v>7.9575596816976128E-3</v>
      </c>
      <c r="W515" s="13">
        <v>0.36339522546419101</v>
      </c>
      <c r="X515" s="13">
        <v>0.62864721485411146</v>
      </c>
      <c r="Z515" s="2" t="s">
        <v>45</v>
      </c>
      <c r="AA515" s="13">
        <v>1.3262599469496022E-2</v>
      </c>
      <c r="AB515" s="13">
        <v>0.45358090185676392</v>
      </c>
      <c r="AC515" s="13">
        <v>0.53315649867374004</v>
      </c>
    </row>
    <row r="516" spans="1:29" x14ac:dyDescent="0.45">
      <c r="A516" s="2" t="s">
        <v>46</v>
      </c>
      <c r="B516" s="8">
        <f t="shared" si="11"/>
        <v>7.6923076923076927E-3</v>
      </c>
      <c r="C516" s="8">
        <f t="shared" si="11"/>
        <v>0.33076923076923076</v>
      </c>
      <c r="D516" s="8">
        <f t="shared" si="11"/>
        <v>0.66153846153846152</v>
      </c>
      <c r="E516" s="12"/>
      <c r="F516" s="2" t="s">
        <v>46</v>
      </c>
      <c r="G516" s="13">
        <v>0</v>
      </c>
      <c r="H516" s="13">
        <v>0.11538461538461539</v>
      </c>
      <c r="I516" s="13">
        <v>0.88461538461538458</v>
      </c>
      <c r="K516" s="2" t="s">
        <v>46</v>
      </c>
      <c r="L516" s="13">
        <v>3.8461538461538464E-2</v>
      </c>
      <c r="M516" s="13">
        <v>0.26923076923076922</v>
      </c>
      <c r="N516" s="13">
        <v>0.69230769230769229</v>
      </c>
      <c r="P516" s="2" t="s">
        <v>46</v>
      </c>
      <c r="Q516" s="13">
        <v>0</v>
      </c>
      <c r="R516" s="13">
        <v>0.5</v>
      </c>
      <c r="S516" s="13">
        <v>0.5</v>
      </c>
      <c r="U516" s="2" t="s">
        <v>46</v>
      </c>
      <c r="V516" s="13">
        <v>0</v>
      </c>
      <c r="W516" s="13">
        <v>0.30769230769230771</v>
      </c>
      <c r="X516" s="13">
        <v>0.69230769230769229</v>
      </c>
      <c r="Z516" s="2" t="s">
        <v>46</v>
      </c>
      <c r="AA516" s="13">
        <v>0</v>
      </c>
      <c r="AB516" s="13">
        <v>0.46153846153846156</v>
      </c>
      <c r="AC516" s="13">
        <v>0.53846153846153844</v>
      </c>
    </row>
    <row r="518" spans="1:29" x14ac:dyDescent="0.45">
      <c r="A518" s="14" t="s">
        <v>12</v>
      </c>
      <c r="B518" s="14" t="s">
        <v>42</v>
      </c>
      <c r="C518" s="14" t="s">
        <v>43</v>
      </c>
      <c r="D518" s="14" t="s">
        <v>44</v>
      </c>
      <c r="F518" s="14" t="s">
        <v>12</v>
      </c>
      <c r="G518" s="14" t="s">
        <v>42</v>
      </c>
      <c r="H518" s="14" t="s">
        <v>43</v>
      </c>
      <c r="I518" s="14" t="s">
        <v>44</v>
      </c>
      <c r="K518" s="14" t="s">
        <v>12</v>
      </c>
      <c r="L518" s="14" t="s">
        <v>42</v>
      </c>
      <c r="M518" s="14" t="s">
        <v>43</v>
      </c>
      <c r="N518" s="14" t="s">
        <v>44</v>
      </c>
      <c r="P518" s="14" t="s">
        <v>12</v>
      </c>
      <c r="Q518" s="14" t="s">
        <v>42</v>
      </c>
      <c r="R518" s="14" t="s">
        <v>43</v>
      </c>
      <c r="S518" s="14" t="s">
        <v>44</v>
      </c>
      <c r="U518" s="14" t="s">
        <v>12</v>
      </c>
      <c r="V518" s="14" t="s">
        <v>42</v>
      </c>
      <c r="W518" s="14" t="s">
        <v>43</v>
      </c>
      <c r="X518" s="14" t="s">
        <v>44</v>
      </c>
      <c r="Z518" s="14" t="s">
        <v>12</v>
      </c>
      <c r="AA518" s="14" t="s">
        <v>42</v>
      </c>
      <c r="AB518" s="14" t="s">
        <v>43</v>
      </c>
      <c r="AC518" s="14" t="s">
        <v>44</v>
      </c>
    </row>
    <row r="519" spans="1:29" x14ac:dyDescent="0.45">
      <c r="A519" s="2" t="s">
        <v>47</v>
      </c>
      <c r="B519" s="8">
        <f t="shared" ref="B519:D524" si="12">(G519+L519+Q519+V519+AA519)/5</f>
        <v>0</v>
      </c>
      <c r="C519" s="8">
        <f t="shared" si="12"/>
        <v>0.30545454545454542</v>
      </c>
      <c r="D519" s="8">
        <f t="shared" si="12"/>
        <v>0.69454545454545458</v>
      </c>
      <c r="E519" s="12"/>
      <c r="F519" s="2" t="s">
        <v>47</v>
      </c>
      <c r="G519" s="8">
        <v>0</v>
      </c>
      <c r="H519" s="8">
        <v>0.45454545454545453</v>
      </c>
      <c r="I519" s="8">
        <v>0.54545454545454541</v>
      </c>
      <c r="K519" s="2" t="s">
        <v>47</v>
      </c>
      <c r="L519" s="8">
        <v>0</v>
      </c>
      <c r="M519" s="8">
        <v>0.23636363636363636</v>
      </c>
      <c r="N519" s="8">
        <v>0.76363636363636367</v>
      </c>
      <c r="P519" s="2" t="s">
        <v>47</v>
      </c>
      <c r="Q519" s="8">
        <v>0</v>
      </c>
      <c r="R519" s="8">
        <v>0.29090909090909089</v>
      </c>
      <c r="S519" s="8">
        <v>0.70909090909090911</v>
      </c>
      <c r="U519" s="2" t="s">
        <v>47</v>
      </c>
      <c r="V519" s="8">
        <v>0</v>
      </c>
      <c r="W519" s="8">
        <v>0.27272727272727271</v>
      </c>
      <c r="X519" s="8">
        <v>0.72727272727272729</v>
      </c>
      <c r="Z519" s="2" t="s">
        <v>47</v>
      </c>
      <c r="AA519" s="8">
        <v>0</v>
      </c>
      <c r="AB519" s="8">
        <v>0.27272727272727271</v>
      </c>
      <c r="AC519" s="8">
        <v>0.72727272727272729</v>
      </c>
    </row>
    <row r="520" spans="1:29" x14ac:dyDescent="0.45">
      <c r="A520" s="2" t="s">
        <v>48</v>
      </c>
      <c r="B520" s="8">
        <f t="shared" si="12"/>
        <v>1.5222330412203829E-2</v>
      </c>
      <c r="C520" s="8">
        <f t="shared" si="12"/>
        <v>0.30467380720545278</v>
      </c>
      <c r="D520" s="8">
        <f t="shared" si="12"/>
        <v>0.68010386238234344</v>
      </c>
      <c r="E520" s="12"/>
      <c r="F520" s="2" t="s">
        <v>48</v>
      </c>
      <c r="G520" s="8">
        <v>0</v>
      </c>
      <c r="H520" s="8">
        <v>0.21518987341772153</v>
      </c>
      <c r="I520" s="8">
        <v>0.78481012658227844</v>
      </c>
      <c r="K520" s="2" t="s">
        <v>48</v>
      </c>
      <c r="L520" s="8">
        <v>1.2658227848101266E-2</v>
      </c>
      <c r="M520" s="8">
        <v>0.36708860759493672</v>
      </c>
      <c r="N520" s="8">
        <v>0.620253164556962</v>
      </c>
      <c r="P520" s="2" t="s">
        <v>48</v>
      </c>
      <c r="Q520" s="8">
        <v>1.2658227848101266E-2</v>
      </c>
      <c r="R520" s="8">
        <v>0.30379746835443039</v>
      </c>
      <c r="S520" s="8">
        <v>0.68354430379746833</v>
      </c>
      <c r="U520" s="2" t="s">
        <v>48</v>
      </c>
      <c r="V520" s="8">
        <v>3.7974683544303799E-2</v>
      </c>
      <c r="W520" s="8">
        <v>0.29113924050632911</v>
      </c>
      <c r="X520" s="8">
        <v>0.67088607594936711</v>
      </c>
      <c r="Z520" s="2" t="s">
        <v>48</v>
      </c>
      <c r="AA520" s="8">
        <v>1.282051282051282E-2</v>
      </c>
      <c r="AB520" s="8">
        <v>0.34615384615384615</v>
      </c>
      <c r="AC520" s="8">
        <v>0.64102564102564108</v>
      </c>
    </row>
    <row r="521" spans="1:29" x14ac:dyDescent="0.45">
      <c r="A521" s="2" t="s">
        <v>49</v>
      </c>
      <c r="B521" s="8">
        <f t="shared" si="12"/>
        <v>6.0606060606060606E-3</v>
      </c>
      <c r="C521" s="8">
        <f t="shared" si="12"/>
        <v>0.31515151515151513</v>
      </c>
      <c r="D521" s="8">
        <f t="shared" si="12"/>
        <v>0.67878787878787872</v>
      </c>
      <c r="E521" s="12"/>
      <c r="F521" s="2" t="s">
        <v>49</v>
      </c>
      <c r="G521" s="8">
        <v>7.575757575757576E-3</v>
      </c>
      <c r="H521" s="8">
        <v>0.31818181818181818</v>
      </c>
      <c r="I521" s="8">
        <v>0.6742424242424242</v>
      </c>
      <c r="K521" s="2" t="s">
        <v>49</v>
      </c>
      <c r="L521" s="8">
        <v>0</v>
      </c>
      <c r="M521" s="8">
        <v>0.30303030303030304</v>
      </c>
      <c r="N521" s="8">
        <v>0.69696969696969702</v>
      </c>
      <c r="P521" s="2" t="s">
        <v>49</v>
      </c>
      <c r="Q521" s="8">
        <v>0</v>
      </c>
      <c r="R521" s="8">
        <v>0.35606060606060608</v>
      </c>
      <c r="S521" s="8">
        <v>0.64393939393939392</v>
      </c>
      <c r="U521" s="2" t="s">
        <v>49</v>
      </c>
      <c r="V521" s="8">
        <v>1.5151515151515152E-2</v>
      </c>
      <c r="W521" s="8">
        <v>0.31818181818181818</v>
      </c>
      <c r="X521" s="8">
        <v>0.66666666666666663</v>
      </c>
      <c r="Z521" s="2" t="s">
        <v>49</v>
      </c>
      <c r="AA521" s="8">
        <v>7.575757575757576E-3</v>
      </c>
      <c r="AB521" s="8">
        <v>0.28030303030303028</v>
      </c>
      <c r="AC521" s="8">
        <v>0.71212121212121215</v>
      </c>
    </row>
    <row r="522" spans="1:29" x14ac:dyDescent="0.45">
      <c r="A522" s="2" t="s">
        <v>50</v>
      </c>
      <c r="B522" s="8">
        <f t="shared" si="12"/>
        <v>1.518987341772152E-2</v>
      </c>
      <c r="C522" s="8">
        <f t="shared" si="12"/>
        <v>0.32405063291139247</v>
      </c>
      <c r="D522" s="8">
        <f t="shared" si="12"/>
        <v>0.66075949367088604</v>
      </c>
      <c r="E522" s="12"/>
      <c r="F522" s="2" t="s">
        <v>50</v>
      </c>
      <c r="G522" s="8">
        <v>2.5316455696202531E-2</v>
      </c>
      <c r="H522" s="8">
        <v>0.26582278481012656</v>
      </c>
      <c r="I522" s="8">
        <v>0.70886075949367089</v>
      </c>
      <c r="K522" s="2" t="s">
        <v>50</v>
      </c>
      <c r="L522" s="8">
        <v>0</v>
      </c>
      <c r="M522" s="8">
        <v>0.4050632911392405</v>
      </c>
      <c r="N522" s="8">
        <v>0.59493670886075944</v>
      </c>
      <c r="P522" s="2" t="s">
        <v>50</v>
      </c>
      <c r="Q522" s="8">
        <v>1.2658227848101266E-2</v>
      </c>
      <c r="R522" s="8">
        <v>0.31645569620253167</v>
      </c>
      <c r="S522" s="8">
        <v>0.67088607594936711</v>
      </c>
      <c r="U522" s="2" t="s">
        <v>50</v>
      </c>
      <c r="V522" s="8">
        <v>3.7974683544303799E-2</v>
      </c>
      <c r="W522" s="8">
        <v>0.29113924050632911</v>
      </c>
      <c r="X522" s="8">
        <v>0.67088607594936711</v>
      </c>
      <c r="Z522" s="2" t="s">
        <v>50</v>
      </c>
      <c r="AA522" s="8">
        <v>0</v>
      </c>
      <c r="AB522" s="8">
        <v>0.34177215189873417</v>
      </c>
      <c r="AC522" s="8">
        <v>0.65822784810126578</v>
      </c>
    </row>
    <row r="523" spans="1:29" x14ac:dyDescent="0.45">
      <c r="A523" s="2" t="s">
        <v>51</v>
      </c>
      <c r="B523" s="8">
        <f t="shared" si="12"/>
        <v>3.870967741935484E-2</v>
      </c>
      <c r="C523" s="8">
        <f t="shared" si="12"/>
        <v>0.27741935483870972</v>
      </c>
      <c r="D523" s="8">
        <f t="shared" si="12"/>
        <v>0.68387096774193545</v>
      </c>
      <c r="E523" s="12"/>
      <c r="F523" s="2" t="s">
        <v>51</v>
      </c>
      <c r="G523" s="8">
        <v>9.6774193548387094E-2</v>
      </c>
      <c r="H523" s="8">
        <v>0.35483870967741937</v>
      </c>
      <c r="I523" s="8">
        <v>0.54838709677419351</v>
      </c>
      <c r="K523" s="2" t="s">
        <v>51</v>
      </c>
      <c r="L523" s="8">
        <v>3.2258064516129031E-2</v>
      </c>
      <c r="M523" s="8">
        <v>0.32258064516129031</v>
      </c>
      <c r="N523" s="8">
        <v>0.64516129032258063</v>
      </c>
      <c r="P523" s="2" t="s">
        <v>51</v>
      </c>
      <c r="Q523" s="8">
        <v>3.2258064516129031E-2</v>
      </c>
      <c r="R523" s="8">
        <v>0.35483870967741937</v>
      </c>
      <c r="S523" s="8">
        <v>0.61290322580645162</v>
      </c>
      <c r="U523" s="2" t="s">
        <v>51</v>
      </c>
      <c r="V523" s="8">
        <v>0</v>
      </c>
      <c r="W523" s="8">
        <v>0.19354838709677419</v>
      </c>
      <c r="X523" s="8">
        <v>0.80645161290322576</v>
      </c>
      <c r="Z523" s="2" t="s">
        <v>51</v>
      </c>
      <c r="AA523" s="8">
        <v>3.2258064516129031E-2</v>
      </c>
      <c r="AB523" s="8">
        <v>0.16129032258064516</v>
      </c>
      <c r="AC523" s="8">
        <v>0.80645161290322576</v>
      </c>
    </row>
    <row r="524" spans="1:29" x14ac:dyDescent="0.45">
      <c r="A524" s="2" t="s">
        <v>52</v>
      </c>
      <c r="B524" s="8">
        <f t="shared" si="12"/>
        <v>7.4074074074074068E-3</v>
      </c>
      <c r="C524" s="8">
        <f t="shared" si="12"/>
        <v>0.31111111111111106</v>
      </c>
      <c r="D524" s="8">
        <f t="shared" si="12"/>
        <v>0.68148148148148147</v>
      </c>
      <c r="E524" s="12"/>
      <c r="F524" s="2" t="s">
        <v>52</v>
      </c>
      <c r="G524" s="8">
        <v>0</v>
      </c>
      <c r="H524" s="8">
        <v>0.25925925925925924</v>
      </c>
      <c r="I524" s="8">
        <v>0.7407407407407407</v>
      </c>
      <c r="K524" s="2" t="s">
        <v>52</v>
      </c>
      <c r="L524" s="8">
        <v>3.7037037037037035E-2</v>
      </c>
      <c r="M524" s="8">
        <v>0.22222222222222221</v>
      </c>
      <c r="N524" s="8">
        <v>0.7407407407407407</v>
      </c>
      <c r="P524" s="2" t="s">
        <v>52</v>
      </c>
      <c r="Q524" s="8">
        <v>0</v>
      </c>
      <c r="R524" s="8">
        <v>0.40740740740740738</v>
      </c>
      <c r="S524" s="8">
        <v>0.59259259259259256</v>
      </c>
      <c r="U524" s="2" t="s">
        <v>52</v>
      </c>
      <c r="V524" s="8">
        <v>0</v>
      </c>
      <c r="W524" s="8">
        <v>0.44444444444444442</v>
      </c>
      <c r="X524" s="8">
        <v>0.55555555555555558</v>
      </c>
      <c r="Z524" s="2" t="s">
        <v>52</v>
      </c>
      <c r="AA524" s="8">
        <v>0</v>
      </c>
      <c r="AB524" s="8">
        <v>0.22222222222222221</v>
      </c>
      <c r="AC524" s="8">
        <v>0.77777777777777779</v>
      </c>
    </row>
    <row r="526" spans="1:29" x14ac:dyDescent="0.45">
      <c r="A526" s="14" t="s">
        <v>13</v>
      </c>
      <c r="B526" s="14" t="s">
        <v>42</v>
      </c>
      <c r="C526" s="14" t="s">
        <v>43</v>
      </c>
      <c r="D526" s="14" t="s">
        <v>44</v>
      </c>
      <c r="F526" s="14" t="s">
        <v>13</v>
      </c>
      <c r="G526" s="14" t="s">
        <v>42</v>
      </c>
      <c r="H526" s="14" t="s">
        <v>43</v>
      </c>
      <c r="I526" s="14" t="s">
        <v>44</v>
      </c>
      <c r="K526" s="14" t="s">
        <v>13</v>
      </c>
      <c r="L526" s="14" t="s">
        <v>42</v>
      </c>
      <c r="M526" s="14" t="s">
        <v>43</v>
      </c>
      <c r="N526" s="14" t="s">
        <v>44</v>
      </c>
      <c r="P526" s="14" t="s">
        <v>13</v>
      </c>
      <c r="Q526" s="14" t="s">
        <v>42</v>
      </c>
      <c r="R526" s="14" t="s">
        <v>43</v>
      </c>
      <c r="S526" s="14" t="s">
        <v>44</v>
      </c>
      <c r="U526" s="14" t="s">
        <v>13</v>
      </c>
      <c r="V526" s="14" t="s">
        <v>42</v>
      </c>
      <c r="W526" s="14" t="s">
        <v>43</v>
      </c>
      <c r="X526" s="14" t="s">
        <v>44</v>
      </c>
      <c r="Z526" s="14" t="s">
        <v>13</v>
      </c>
      <c r="AA526" s="14" t="s">
        <v>42</v>
      </c>
      <c r="AB526" s="14" t="s">
        <v>43</v>
      </c>
      <c r="AC526" s="14" t="s">
        <v>44</v>
      </c>
    </row>
    <row r="527" spans="1:29" x14ac:dyDescent="0.45">
      <c r="A527" s="2" t="s">
        <v>47</v>
      </c>
      <c r="B527" s="8">
        <f t="shared" ref="B527:D532" si="13">(G527+L527+Q527+V527+AA527)/5</f>
        <v>2.9090909090909091E-2</v>
      </c>
      <c r="C527" s="8">
        <f t="shared" si="13"/>
        <v>0.68</v>
      </c>
      <c r="D527" s="8">
        <f t="shared" si="13"/>
        <v>0.29090909090909089</v>
      </c>
      <c r="E527" s="12"/>
      <c r="F527" s="2" t="s">
        <v>47</v>
      </c>
      <c r="G527" s="8">
        <v>5.4545454545454543E-2</v>
      </c>
      <c r="H527" s="8">
        <v>0.70909090909090911</v>
      </c>
      <c r="I527" s="8">
        <v>0.23636363636363636</v>
      </c>
      <c r="K527" s="2" t="s">
        <v>47</v>
      </c>
      <c r="L527" s="8">
        <v>1.8181818181818181E-2</v>
      </c>
      <c r="M527" s="8">
        <v>0.70909090909090911</v>
      </c>
      <c r="N527" s="8">
        <v>0.27272727272727271</v>
      </c>
      <c r="P527" s="2" t="s">
        <v>47</v>
      </c>
      <c r="Q527" s="8">
        <v>1.8181818181818181E-2</v>
      </c>
      <c r="R527" s="8">
        <v>0.58181818181818179</v>
      </c>
      <c r="S527" s="8">
        <v>0.4</v>
      </c>
      <c r="U527" s="2" t="s">
        <v>47</v>
      </c>
      <c r="V527" s="8">
        <v>5.4545454545454543E-2</v>
      </c>
      <c r="W527" s="8">
        <v>0.72727272727272729</v>
      </c>
      <c r="X527" s="8">
        <v>0.21818181818181817</v>
      </c>
      <c r="Z527" s="2" t="s">
        <v>47</v>
      </c>
      <c r="AA527" s="8">
        <v>0</v>
      </c>
      <c r="AB527" s="8">
        <v>0.67272727272727273</v>
      </c>
      <c r="AC527" s="8">
        <v>0.32727272727272727</v>
      </c>
    </row>
    <row r="528" spans="1:29" x14ac:dyDescent="0.45">
      <c r="A528" s="2" t="s">
        <v>48</v>
      </c>
      <c r="B528" s="8">
        <f t="shared" si="13"/>
        <v>2.2784810126582278E-2</v>
      </c>
      <c r="C528" s="8">
        <f t="shared" si="13"/>
        <v>0.63193768257059402</v>
      </c>
      <c r="D528" s="8">
        <f t="shared" si="13"/>
        <v>0.34527750730282375</v>
      </c>
      <c r="E528" s="12"/>
      <c r="F528" s="2" t="s">
        <v>48</v>
      </c>
      <c r="G528" s="8">
        <v>2.5316455696202531E-2</v>
      </c>
      <c r="H528" s="8">
        <v>0.67088607594936711</v>
      </c>
      <c r="I528" s="8">
        <v>0.30379746835443039</v>
      </c>
      <c r="K528" s="2" t="s">
        <v>48</v>
      </c>
      <c r="L528" s="8">
        <v>5.0632911392405063E-2</v>
      </c>
      <c r="M528" s="8">
        <v>0.60759493670886078</v>
      </c>
      <c r="N528" s="8">
        <v>0.34177215189873417</v>
      </c>
      <c r="P528" s="2" t="s">
        <v>48</v>
      </c>
      <c r="Q528" s="8">
        <v>1.2658227848101266E-2</v>
      </c>
      <c r="R528" s="8">
        <v>0.65822784810126578</v>
      </c>
      <c r="S528" s="8">
        <v>0.32911392405063289</v>
      </c>
      <c r="U528" s="2" t="s">
        <v>48</v>
      </c>
      <c r="V528" s="8">
        <v>2.5316455696202531E-2</v>
      </c>
      <c r="W528" s="8">
        <v>0.60759493670886078</v>
      </c>
      <c r="X528" s="8">
        <v>0.36708860759493672</v>
      </c>
      <c r="Z528" s="2" t="s">
        <v>48</v>
      </c>
      <c r="AA528" s="8">
        <v>0</v>
      </c>
      <c r="AB528" s="8">
        <v>0.61538461538461542</v>
      </c>
      <c r="AC528" s="8">
        <v>0.38461538461538464</v>
      </c>
    </row>
    <row r="529" spans="1:29" x14ac:dyDescent="0.45">
      <c r="A529" s="2" t="s">
        <v>49</v>
      </c>
      <c r="B529" s="8">
        <f t="shared" si="13"/>
        <v>2.1212121212121213E-2</v>
      </c>
      <c r="C529" s="8">
        <f t="shared" si="13"/>
        <v>0.67272727272727262</v>
      </c>
      <c r="D529" s="8">
        <f t="shared" si="13"/>
        <v>0.30606060606060603</v>
      </c>
      <c r="E529" s="12"/>
      <c r="F529" s="2" t="s">
        <v>49</v>
      </c>
      <c r="G529" s="8">
        <v>4.5454545454545456E-2</v>
      </c>
      <c r="H529" s="8">
        <v>0.65909090909090906</v>
      </c>
      <c r="I529" s="8">
        <v>0.29545454545454547</v>
      </c>
      <c r="K529" s="2" t="s">
        <v>49</v>
      </c>
      <c r="L529" s="8">
        <v>1.5151515151515152E-2</v>
      </c>
      <c r="M529" s="8">
        <v>0.6742424242424242</v>
      </c>
      <c r="N529" s="8">
        <v>0.31060606060606061</v>
      </c>
      <c r="P529" s="2" t="s">
        <v>49</v>
      </c>
      <c r="Q529" s="8">
        <v>2.2727272727272728E-2</v>
      </c>
      <c r="R529" s="8">
        <v>0.68939393939393945</v>
      </c>
      <c r="S529" s="8">
        <v>0.2878787878787879</v>
      </c>
      <c r="U529" s="2" t="s">
        <v>49</v>
      </c>
      <c r="V529" s="8">
        <v>7.575757575757576E-3</v>
      </c>
      <c r="W529" s="8">
        <v>0.68939393939393945</v>
      </c>
      <c r="X529" s="8">
        <v>0.30303030303030304</v>
      </c>
      <c r="Z529" s="2" t="s">
        <v>49</v>
      </c>
      <c r="AA529" s="8">
        <v>1.5151515151515152E-2</v>
      </c>
      <c r="AB529" s="8">
        <v>0.65151515151515149</v>
      </c>
      <c r="AC529" s="8">
        <v>0.33333333333333331</v>
      </c>
    </row>
    <row r="530" spans="1:29" x14ac:dyDescent="0.45">
      <c r="A530" s="2" t="s">
        <v>50</v>
      </c>
      <c r="B530" s="8">
        <f t="shared" si="13"/>
        <v>2.7848101265822784E-2</v>
      </c>
      <c r="C530" s="8">
        <f t="shared" si="13"/>
        <v>0.66835443037974696</v>
      </c>
      <c r="D530" s="8">
        <f t="shared" si="13"/>
        <v>0.30379746835443039</v>
      </c>
      <c r="E530" s="12"/>
      <c r="F530" s="2" t="s">
        <v>50</v>
      </c>
      <c r="G530" s="8">
        <v>1.2658227848101266E-2</v>
      </c>
      <c r="H530" s="8">
        <v>0.69620253164556967</v>
      </c>
      <c r="I530" s="8">
        <v>0.29113924050632911</v>
      </c>
      <c r="K530" s="2" t="s">
        <v>50</v>
      </c>
      <c r="L530" s="8">
        <v>3.7974683544303799E-2</v>
      </c>
      <c r="M530" s="8">
        <v>0.67088607594936711</v>
      </c>
      <c r="N530" s="8">
        <v>0.29113924050632911</v>
      </c>
      <c r="P530" s="2" t="s">
        <v>50</v>
      </c>
      <c r="Q530" s="8">
        <v>3.7974683544303799E-2</v>
      </c>
      <c r="R530" s="8">
        <v>0.60759493670886078</v>
      </c>
      <c r="S530" s="8">
        <v>0.35443037974683544</v>
      </c>
      <c r="U530" s="2" t="s">
        <v>50</v>
      </c>
      <c r="V530" s="8">
        <v>5.0632911392405063E-2</v>
      </c>
      <c r="W530" s="8">
        <v>0.67088607594936711</v>
      </c>
      <c r="X530" s="8">
        <v>0.27848101265822783</v>
      </c>
      <c r="Z530" s="2" t="s">
        <v>50</v>
      </c>
      <c r="AA530" s="8">
        <v>0</v>
      </c>
      <c r="AB530" s="8">
        <v>0.69620253164556967</v>
      </c>
      <c r="AC530" s="8">
        <v>0.30379746835443039</v>
      </c>
    </row>
    <row r="531" spans="1:29" x14ac:dyDescent="0.45">
      <c r="A531" s="2" t="s">
        <v>51</v>
      </c>
      <c r="B531" s="8">
        <f t="shared" si="13"/>
        <v>1.935483870967742E-2</v>
      </c>
      <c r="C531" s="8">
        <f t="shared" si="13"/>
        <v>0.64516129032258063</v>
      </c>
      <c r="D531" s="8">
        <f t="shared" si="13"/>
        <v>0.33548387096774196</v>
      </c>
      <c r="E531" s="12"/>
      <c r="F531" s="2" t="s">
        <v>51</v>
      </c>
      <c r="G531" s="8">
        <v>3.2258064516129031E-2</v>
      </c>
      <c r="H531" s="8">
        <v>0.54838709677419351</v>
      </c>
      <c r="I531" s="8">
        <v>0.41935483870967744</v>
      </c>
      <c r="K531" s="2" t="s">
        <v>51</v>
      </c>
      <c r="L531" s="8">
        <v>0</v>
      </c>
      <c r="M531" s="8">
        <v>0.58064516129032262</v>
      </c>
      <c r="N531" s="8">
        <v>0.41935483870967744</v>
      </c>
      <c r="P531" s="2" t="s">
        <v>51</v>
      </c>
      <c r="Q531" s="8">
        <v>0</v>
      </c>
      <c r="R531" s="8">
        <v>0.64516129032258063</v>
      </c>
      <c r="S531" s="8">
        <v>0.35483870967741937</v>
      </c>
      <c r="U531" s="2" t="s">
        <v>51</v>
      </c>
      <c r="V531" s="8">
        <v>6.4516129032258063E-2</v>
      </c>
      <c r="W531" s="8">
        <v>0.61290322580645162</v>
      </c>
      <c r="X531" s="8">
        <v>0.32258064516129031</v>
      </c>
      <c r="Z531" s="2" t="s">
        <v>51</v>
      </c>
      <c r="AA531" s="8">
        <v>0</v>
      </c>
      <c r="AB531" s="8">
        <v>0.83870967741935487</v>
      </c>
      <c r="AC531" s="8">
        <v>0.16129032258064516</v>
      </c>
    </row>
    <row r="532" spans="1:29" x14ac:dyDescent="0.45">
      <c r="A532" s="2" t="s">
        <v>52</v>
      </c>
      <c r="B532" s="8">
        <f t="shared" si="13"/>
        <v>2.222222222222222E-2</v>
      </c>
      <c r="C532" s="8">
        <f t="shared" si="13"/>
        <v>0.6</v>
      </c>
      <c r="D532" s="8">
        <f t="shared" si="13"/>
        <v>0.37777777777777771</v>
      </c>
      <c r="E532" s="12"/>
      <c r="F532" s="2" t="s">
        <v>52</v>
      </c>
      <c r="G532" s="8">
        <v>0</v>
      </c>
      <c r="H532" s="8">
        <v>0.62962962962962965</v>
      </c>
      <c r="I532" s="8">
        <v>0.37037037037037035</v>
      </c>
      <c r="K532" s="2" t="s">
        <v>52</v>
      </c>
      <c r="L532" s="8">
        <v>3.7037037037037035E-2</v>
      </c>
      <c r="M532" s="8">
        <v>0.59259259259259256</v>
      </c>
      <c r="N532" s="8">
        <v>0.37037037037037035</v>
      </c>
      <c r="P532" s="2" t="s">
        <v>52</v>
      </c>
      <c r="Q532" s="8">
        <v>3.7037037037037035E-2</v>
      </c>
      <c r="R532" s="8">
        <v>0.66666666666666663</v>
      </c>
      <c r="S532" s="8">
        <v>0.29629629629629628</v>
      </c>
      <c r="U532" s="2" t="s">
        <v>52</v>
      </c>
      <c r="V532" s="8">
        <v>0</v>
      </c>
      <c r="W532" s="8">
        <v>0.48148148148148145</v>
      </c>
      <c r="X532" s="8">
        <v>0.51851851851851849</v>
      </c>
      <c r="Z532" s="2" t="s">
        <v>52</v>
      </c>
      <c r="AA532" s="8">
        <v>3.7037037037037035E-2</v>
      </c>
      <c r="AB532" s="8">
        <v>0.62962962962962965</v>
      </c>
      <c r="AC532" s="8">
        <v>0.33333333333333331</v>
      </c>
    </row>
    <row r="534" spans="1:29" x14ac:dyDescent="0.45">
      <c r="A534" s="14" t="s">
        <v>14</v>
      </c>
      <c r="B534" s="14" t="s">
        <v>42</v>
      </c>
      <c r="C534" s="14" t="s">
        <v>43</v>
      </c>
      <c r="D534" s="14" t="s">
        <v>44</v>
      </c>
      <c r="F534" s="14" t="s">
        <v>14</v>
      </c>
      <c r="G534" s="14" t="s">
        <v>42</v>
      </c>
      <c r="H534" s="14" t="s">
        <v>43</v>
      </c>
      <c r="I534" s="14" t="s">
        <v>44</v>
      </c>
      <c r="K534" s="14" t="s">
        <v>14</v>
      </c>
      <c r="L534" s="14" t="s">
        <v>42</v>
      </c>
      <c r="M534" s="14" t="s">
        <v>43</v>
      </c>
      <c r="N534" s="14" t="s">
        <v>44</v>
      </c>
      <c r="P534" s="14" t="s">
        <v>14</v>
      </c>
      <c r="Q534" s="14" t="s">
        <v>42</v>
      </c>
      <c r="R534" s="14" t="s">
        <v>43</v>
      </c>
      <c r="S534" s="14" t="s">
        <v>44</v>
      </c>
      <c r="U534" s="14" t="s">
        <v>14</v>
      </c>
      <c r="V534" s="14" t="s">
        <v>42</v>
      </c>
      <c r="W534" s="14" t="s">
        <v>43</v>
      </c>
      <c r="X534" s="14" t="s">
        <v>44</v>
      </c>
      <c r="Z534" s="14" t="s">
        <v>14</v>
      </c>
      <c r="AA534" s="14" t="s">
        <v>42</v>
      </c>
      <c r="AB534" s="14" t="s">
        <v>43</v>
      </c>
      <c r="AC534" s="14" t="s">
        <v>44</v>
      </c>
    </row>
    <row r="535" spans="1:29" x14ac:dyDescent="0.45">
      <c r="A535" s="2" t="s">
        <v>47</v>
      </c>
      <c r="B535" s="8">
        <f t="shared" ref="B535:D540" si="14">(G535+L535+Q535+V535+AA535)/5</f>
        <v>1.8181818181818181E-2</v>
      </c>
      <c r="C535" s="8">
        <f t="shared" si="14"/>
        <v>0.65090909090909088</v>
      </c>
      <c r="D535" s="8">
        <f t="shared" si="14"/>
        <v>0.33090909090909087</v>
      </c>
      <c r="E535" s="12"/>
      <c r="F535" s="2" t="s">
        <v>47</v>
      </c>
      <c r="G535" s="8">
        <v>3.6363636363636362E-2</v>
      </c>
      <c r="H535" s="8">
        <v>0.70909090909090911</v>
      </c>
      <c r="I535" s="8">
        <v>0.25454545454545452</v>
      </c>
      <c r="K535" s="2" t="s">
        <v>47</v>
      </c>
      <c r="L535" s="8">
        <v>0</v>
      </c>
      <c r="M535" s="8">
        <v>0.72727272727272729</v>
      </c>
      <c r="N535" s="8">
        <v>0.27272727272727271</v>
      </c>
      <c r="P535" s="2" t="s">
        <v>47</v>
      </c>
      <c r="Q535" s="8">
        <v>1.8181818181818181E-2</v>
      </c>
      <c r="R535" s="8">
        <v>0.69090909090909092</v>
      </c>
      <c r="S535" s="8">
        <v>0.29090909090909089</v>
      </c>
      <c r="U535" s="2" t="s">
        <v>47</v>
      </c>
      <c r="V535" s="8">
        <v>3.6363636363636362E-2</v>
      </c>
      <c r="W535" s="8">
        <v>0.49090909090909091</v>
      </c>
      <c r="X535" s="8">
        <v>0.47272727272727272</v>
      </c>
      <c r="Z535" s="2" t="s">
        <v>47</v>
      </c>
      <c r="AA535" s="8">
        <v>0</v>
      </c>
      <c r="AB535" s="8">
        <v>0.63636363636363635</v>
      </c>
      <c r="AC535" s="8">
        <v>0.36363636363636365</v>
      </c>
    </row>
    <row r="536" spans="1:29" x14ac:dyDescent="0.45">
      <c r="A536" s="2" t="s">
        <v>48</v>
      </c>
      <c r="B536" s="8">
        <f t="shared" si="14"/>
        <v>1.7786432976306395E-2</v>
      </c>
      <c r="C536" s="8">
        <f t="shared" si="14"/>
        <v>0.67250892567348264</v>
      </c>
      <c r="D536" s="8">
        <f t="shared" si="14"/>
        <v>0.30970464135021103</v>
      </c>
      <c r="E536" s="12"/>
      <c r="F536" s="2" t="s">
        <v>48</v>
      </c>
      <c r="G536" s="8">
        <v>1.2658227848101266E-2</v>
      </c>
      <c r="H536" s="8">
        <v>0.67088607594936711</v>
      </c>
      <c r="I536" s="8">
        <v>0.31645569620253167</v>
      </c>
      <c r="K536" s="2" t="s">
        <v>48</v>
      </c>
      <c r="L536" s="8">
        <v>1.2658227848101266E-2</v>
      </c>
      <c r="M536" s="8">
        <v>0.70886075949367089</v>
      </c>
      <c r="N536" s="8">
        <v>0.27848101265822783</v>
      </c>
      <c r="P536" s="2" t="s">
        <v>48</v>
      </c>
      <c r="Q536" s="8">
        <v>1.2658227848101266E-2</v>
      </c>
      <c r="R536" s="8">
        <v>0.68354430379746833</v>
      </c>
      <c r="S536" s="8">
        <v>0.30379746835443039</v>
      </c>
      <c r="U536" s="2" t="s">
        <v>48</v>
      </c>
      <c r="V536" s="8">
        <v>2.5316455696202531E-2</v>
      </c>
      <c r="W536" s="8">
        <v>0.65822784810126578</v>
      </c>
      <c r="X536" s="8">
        <v>0.31645569620253167</v>
      </c>
      <c r="Z536" s="2" t="s">
        <v>48</v>
      </c>
      <c r="AA536" s="8">
        <v>2.564102564102564E-2</v>
      </c>
      <c r="AB536" s="8">
        <v>0.64102564102564108</v>
      </c>
      <c r="AC536" s="8">
        <v>0.33333333333333331</v>
      </c>
    </row>
    <row r="537" spans="1:29" x14ac:dyDescent="0.45">
      <c r="A537" s="2" t="s">
        <v>49</v>
      </c>
      <c r="B537" s="8">
        <f t="shared" si="14"/>
        <v>1.3636363636363636E-2</v>
      </c>
      <c r="C537" s="8">
        <f t="shared" si="14"/>
        <v>0.68030303030303019</v>
      </c>
      <c r="D537" s="8">
        <f t="shared" si="14"/>
        <v>0.30606060606060603</v>
      </c>
      <c r="E537" s="12"/>
      <c r="F537" s="2" t="s">
        <v>49</v>
      </c>
      <c r="G537" s="8">
        <v>1.5151515151515152E-2</v>
      </c>
      <c r="H537" s="8">
        <v>0.6742424242424242</v>
      </c>
      <c r="I537" s="8">
        <v>0.31060606060606061</v>
      </c>
      <c r="K537" s="2" t="s">
        <v>49</v>
      </c>
      <c r="L537" s="8">
        <v>2.2727272727272728E-2</v>
      </c>
      <c r="M537" s="8">
        <v>0.63636363636363635</v>
      </c>
      <c r="N537" s="8">
        <v>0.34090909090909088</v>
      </c>
      <c r="P537" s="2" t="s">
        <v>49</v>
      </c>
      <c r="Q537" s="8">
        <v>7.575757575757576E-3</v>
      </c>
      <c r="R537" s="8">
        <v>0.71212121212121215</v>
      </c>
      <c r="S537" s="8">
        <v>0.28030303030303028</v>
      </c>
      <c r="U537" s="2" t="s">
        <v>49</v>
      </c>
      <c r="V537" s="8">
        <v>1.5151515151515152E-2</v>
      </c>
      <c r="W537" s="8">
        <v>0.71212121212121215</v>
      </c>
      <c r="X537" s="8">
        <v>0.27272727272727271</v>
      </c>
      <c r="Z537" s="2" t="s">
        <v>49</v>
      </c>
      <c r="AA537" s="8">
        <v>7.575757575757576E-3</v>
      </c>
      <c r="AB537" s="8">
        <v>0.66666666666666663</v>
      </c>
      <c r="AC537" s="8">
        <v>0.32575757575757575</v>
      </c>
    </row>
    <row r="538" spans="1:29" x14ac:dyDescent="0.45">
      <c r="A538" s="2" t="s">
        <v>50</v>
      </c>
      <c r="B538" s="8">
        <f t="shared" si="14"/>
        <v>1.7721518987341773E-2</v>
      </c>
      <c r="C538" s="8">
        <f t="shared" si="14"/>
        <v>0.65063291139240509</v>
      </c>
      <c r="D538" s="8">
        <f t="shared" si="14"/>
        <v>0.33164556962025316</v>
      </c>
      <c r="E538" s="12"/>
      <c r="F538" s="2" t="s">
        <v>50</v>
      </c>
      <c r="G538" s="8">
        <v>2.5316455696202531E-2</v>
      </c>
      <c r="H538" s="8">
        <v>0.58227848101265822</v>
      </c>
      <c r="I538" s="8">
        <v>0.39240506329113922</v>
      </c>
      <c r="K538" s="2" t="s">
        <v>50</v>
      </c>
      <c r="L538" s="8">
        <v>2.5316455696202531E-2</v>
      </c>
      <c r="M538" s="8">
        <v>0.65822784810126578</v>
      </c>
      <c r="N538" s="8">
        <v>0.31645569620253167</v>
      </c>
      <c r="P538" s="2" t="s">
        <v>50</v>
      </c>
      <c r="Q538" s="8">
        <v>1.2658227848101266E-2</v>
      </c>
      <c r="R538" s="8">
        <v>0.65822784810126578</v>
      </c>
      <c r="S538" s="8">
        <v>0.32911392405063289</v>
      </c>
      <c r="U538" s="2" t="s">
        <v>50</v>
      </c>
      <c r="V538" s="8">
        <v>1.2658227848101266E-2</v>
      </c>
      <c r="W538" s="8">
        <v>0.63291139240506333</v>
      </c>
      <c r="X538" s="8">
        <v>0.35443037974683544</v>
      </c>
      <c r="Z538" s="2" t="s">
        <v>50</v>
      </c>
      <c r="AA538" s="8">
        <v>1.2658227848101266E-2</v>
      </c>
      <c r="AB538" s="8">
        <v>0.72151898734177211</v>
      </c>
      <c r="AC538" s="8">
        <v>0.26582278481012656</v>
      </c>
    </row>
    <row r="539" spans="1:29" x14ac:dyDescent="0.45">
      <c r="A539" s="2" t="s">
        <v>51</v>
      </c>
      <c r="B539" s="8">
        <f t="shared" si="14"/>
        <v>2.5806451612903226E-2</v>
      </c>
      <c r="C539" s="8">
        <f t="shared" si="14"/>
        <v>0.68387096774193545</v>
      </c>
      <c r="D539" s="8">
        <f t="shared" si="14"/>
        <v>0.29032258064516125</v>
      </c>
      <c r="E539" s="12"/>
      <c r="F539" s="2" t="s">
        <v>51</v>
      </c>
      <c r="G539" s="8">
        <v>6.4516129032258063E-2</v>
      </c>
      <c r="H539" s="8">
        <v>0.77419354838709675</v>
      </c>
      <c r="I539" s="8">
        <v>0.16129032258064516</v>
      </c>
      <c r="K539" s="2" t="s">
        <v>51</v>
      </c>
      <c r="L539" s="8">
        <v>3.2258064516129031E-2</v>
      </c>
      <c r="M539" s="8">
        <v>0.61290322580645162</v>
      </c>
      <c r="N539" s="8">
        <v>0.35483870967741937</v>
      </c>
      <c r="P539" s="2" t="s">
        <v>51</v>
      </c>
      <c r="Q539" s="8">
        <v>3.2258064516129031E-2</v>
      </c>
      <c r="R539" s="8">
        <v>0.64516129032258063</v>
      </c>
      <c r="S539" s="8">
        <v>0.32258064516129031</v>
      </c>
      <c r="U539" s="2" t="s">
        <v>51</v>
      </c>
      <c r="V539" s="8">
        <v>0</v>
      </c>
      <c r="W539" s="8">
        <v>0.83870967741935487</v>
      </c>
      <c r="X539" s="8">
        <v>0.16129032258064516</v>
      </c>
      <c r="Z539" s="2" t="s">
        <v>51</v>
      </c>
      <c r="AA539" s="8">
        <v>0</v>
      </c>
      <c r="AB539" s="8">
        <v>0.54838709677419351</v>
      </c>
      <c r="AC539" s="8">
        <v>0.45161290322580644</v>
      </c>
    </row>
    <row r="540" spans="1:29" x14ac:dyDescent="0.45">
      <c r="A540" s="2" t="s">
        <v>52</v>
      </c>
      <c r="B540" s="8">
        <f t="shared" si="14"/>
        <v>2.222222222222222E-2</v>
      </c>
      <c r="C540" s="8">
        <f t="shared" si="14"/>
        <v>0.65185185185185179</v>
      </c>
      <c r="D540" s="8">
        <f t="shared" si="14"/>
        <v>0.3259259259259259</v>
      </c>
      <c r="E540" s="12"/>
      <c r="F540" s="2" t="s">
        <v>52</v>
      </c>
      <c r="G540" s="8">
        <v>0</v>
      </c>
      <c r="H540" s="8">
        <v>0.70370370370370372</v>
      </c>
      <c r="I540" s="8">
        <v>0.29629629629629628</v>
      </c>
      <c r="K540" s="2" t="s">
        <v>52</v>
      </c>
      <c r="L540" s="8">
        <v>0</v>
      </c>
      <c r="M540" s="8">
        <v>0.66666666666666663</v>
      </c>
      <c r="N540" s="8">
        <v>0.33333333333333331</v>
      </c>
      <c r="P540" s="2" t="s">
        <v>52</v>
      </c>
      <c r="Q540" s="8">
        <v>7.407407407407407E-2</v>
      </c>
      <c r="R540" s="8">
        <v>0.51851851851851849</v>
      </c>
      <c r="S540" s="8">
        <v>0.40740740740740738</v>
      </c>
      <c r="U540" s="2" t="s">
        <v>52</v>
      </c>
      <c r="V540" s="8">
        <v>3.7037037037037035E-2</v>
      </c>
      <c r="W540" s="8">
        <v>0.70370370370370372</v>
      </c>
      <c r="X540" s="8">
        <v>0.25925925925925924</v>
      </c>
      <c r="Z540" s="2" t="s">
        <v>52</v>
      </c>
      <c r="AA540" s="8">
        <v>0</v>
      </c>
      <c r="AB540" s="8">
        <v>0.66666666666666663</v>
      </c>
      <c r="AC540" s="8">
        <v>0.33333333333333331</v>
      </c>
    </row>
    <row r="542" spans="1:29" x14ac:dyDescent="0.45">
      <c r="A542" s="14" t="s">
        <v>15</v>
      </c>
      <c r="B542" s="14" t="s">
        <v>42</v>
      </c>
      <c r="C542" s="14" t="s">
        <v>43</v>
      </c>
      <c r="D542" s="14" t="s">
        <v>44</v>
      </c>
      <c r="F542" s="14" t="s">
        <v>15</v>
      </c>
      <c r="G542" s="14" t="s">
        <v>42</v>
      </c>
      <c r="H542" s="14" t="s">
        <v>43</v>
      </c>
      <c r="I542" s="14" t="s">
        <v>44</v>
      </c>
      <c r="K542" s="14" t="s">
        <v>15</v>
      </c>
      <c r="L542" s="14" t="s">
        <v>42</v>
      </c>
      <c r="M542" s="14" t="s">
        <v>43</v>
      </c>
      <c r="N542" s="14" t="s">
        <v>44</v>
      </c>
      <c r="P542" s="14" t="s">
        <v>15</v>
      </c>
      <c r="Q542" s="14" t="s">
        <v>42</v>
      </c>
      <c r="R542" s="14" t="s">
        <v>43</v>
      </c>
      <c r="S542" s="14" t="s">
        <v>44</v>
      </c>
      <c r="U542" s="14" t="s">
        <v>15</v>
      </c>
      <c r="V542" s="14" t="s">
        <v>42</v>
      </c>
      <c r="W542" s="14" t="s">
        <v>43</v>
      </c>
      <c r="X542" s="14" t="s">
        <v>44</v>
      </c>
      <c r="Z542" s="14" t="s">
        <v>15</v>
      </c>
      <c r="AA542" s="14" t="s">
        <v>42</v>
      </c>
      <c r="AB542" s="14" t="s">
        <v>43</v>
      </c>
      <c r="AC542" s="14" t="s">
        <v>44</v>
      </c>
    </row>
    <row r="543" spans="1:29" x14ac:dyDescent="0.45">
      <c r="A543" s="2" t="s">
        <v>47</v>
      </c>
      <c r="B543" s="8">
        <f t="shared" ref="B543:D548" si="15">(G543+L543+Q543+V543+AA543)/5</f>
        <v>5.8383838383838385E-2</v>
      </c>
      <c r="C543" s="8">
        <f t="shared" si="15"/>
        <v>0.80255892255892258</v>
      </c>
      <c r="D543" s="8">
        <f t="shared" si="15"/>
        <v>0.13905723905723905</v>
      </c>
      <c r="E543" s="12"/>
      <c r="F543" s="2" t="s">
        <v>47</v>
      </c>
      <c r="G543" s="8">
        <v>0.12727272727272726</v>
      </c>
      <c r="H543" s="8">
        <v>0.8</v>
      </c>
      <c r="I543" s="8">
        <v>7.2727272727272724E-2</v>
      </c>
      <c r="K543" s="2" t="s">
        <v>47</v>
      </c>
      <c r="L543" s="8">
        <v>3.6363636363636362E-2</v>
      </c>
      <c r="M543" s="8">
        <v>0.83636363636363631</v>
      </c>
      <c r="N543" s="8">
        <v>0.12727272727272726</v>
      </c>
      <c r="P543" s="2" t="s">
        <v>47</v>
      </c>
      <c r="Q543" s="8">
        <v>1.8181818181818181E-2</v>
      </c>
      <c r="R543" s="8">
        <v>0.8545454545454545</v>
      </c>
      <c r="S543" s="8">
        <v>0.12727272727272726</v>
      </c>
      <c r="U543" s="2" t="s">
        <v>47</v>
      </c>
      <c r="V543" s="8">
        <v>5.4545454545454543E-2</v>
      </c>
      <c r="W543" s="8">
        <v>0.81818181818181823</v>
      </c>
      <c r="X543" s="8">
        <v>0.12727272727272726</v>
      </c>
      <c r="Z543" s="2" t="s">
        <v>47</v>
      </c>
      <c r="AA543" s="8">
        <v>5.5555555555555552E-2</v>
      </c>
      <c r="AB543" s="8">
        <v>0.70370370370370372</v>
      </c>
      <c r="AC543" s="8">
        <v>0.24074074074074073</v>
      </c>
    </row>
    <row r="544" spans="1:29" x14ac:dyDescent="0.45">
      <c r="A544" s="2" t="s">
        <v>48</v>
      </c>
      <c r="B544" s="8">
        <f t="shared" si="15"/>
        <v>3.816942551119766E-2</v>
      </c>
      <c r="C544" s="8">
        <f t="shared" si="15"/>
        <v>0.78377150275884455</v>
      </c>
      <c r="D544" s="8">
        <f t="shared" si="15"/>
        <v>0.1780590717299578</v>
      </c>
      <c r="E544" s="12"/>
      <c r="F544" s="2" t="s">
        <v>48</v>
      </c>
      <c r="G544" s="8">
        <v>2.5316455696202531E-2</v>
      </c>
      <c r="H544" s="8">
        <v>0.79746835443037978</v>
      </c>
      <c r="I544" s="8">
        <v>0.17721518987341772</v>
      </c>
      <c r="K544" s="2" t="s">
        <v>48</v>
      </c>
      <c r="L544" s="8">
        <v>3.7974683544303799E-2</v>
      </c>
      <c r="M544" s="8">
        <v>0.79746835443037978</v>
      </c>
      <c r="N544" s="8">
        <v>0.16455696202531644</v>
      </c>
      <c r="P544" s="2" t="s">
        <v>48</v>
      </c>
      <c r="Q544" s="8">
        <v>5.0632911392405063E-2</v>
      </c>
      <c r="R544" s="8">
        <v>0.73417721518987344</v>
      </c>
      <c r="S544" s="8">
        <v>0.21518987341772153</v>
      </c>
      <c r="U544" s="2" t="s">
        <v>48</v>
      </c>
      <c r="V544" s="8">
        <v>5.128205128205128E-2</v>
      </c>
      <c r="W544" s="8">
        <v>0.73076923076923073</v>
      </c>
      <c r="X544" s="8">
        <v>0.21794871794871795</v>
      </c>
      <c r="Z544" s="2" t="s">
        <v>48</v>
      </c>
      <c r="AA544" s="8">
        <v>2.564102564102564E-2</v>
      </c>
      <c r="AB544" s="8">
        <v>0.85897435897435892</v>
      </c>
      <c r="AC544" s="8">
        <v>0.11538461538461539</v>
      </c>
    </row>
    <row r="545" spans="1:29" x14ac:dyDescent="0.45">
      <c r="A545" s="2" t="s">
        <v>49</v>
      </c>
      <c r="B545" s="8">
        <f t="shared" si="15"/>
        <v>3.787878787878788E-2</v>
      </c>
      <c r="C545" s="8">
        <f t="shared" si="15"/>
        <v>0.81666666666666665</v>
      </c>
      <c r="D545" s="8">
        <f t="shared" si="15"/>
        <v>0.14545454545454545</v>
      </c>
      <c r="E545" s="12"/>
      <c r="F545" s="2" t="s">
        <v>49</v>
      </c>
      <c r="G545" s="8">
        <v>3.787878787878788E-2</v>
      </c>
      <c r="H545" s="8">
        <v>0.78787878787878785</v>
      </c>
      <c r="I545" s="8">
        <v>0.17424242424242425</v>
      </c>
      <c r="K545" s="2" t="s">
        <v>49</v>
      </c>
      <c r="L545" s="8">
        <v>3.0303030303030304E-2</v>
      </c>
      <c r="M545" s="8">
        <v>0.85606060606060608</v>
      </c>
      <c r="N545" s="8">
        <v>0.11363636363636363</v>
      </c>
      <c r="P545" s="2" t="s">
        <v>49</v>
      </c>
      <c r="Q545" s="8">
        <v>5.3030303030303032E-2</v>
      </c>
      <c r="R545" s="8">
        <v>0.84848484848484851</v>
      </c>
      <c r="S545" s="8">
        <v>9.8484848484848481E-2</v>
      </c>
      <c r="U545" s="2" t="s">
        <v>49</v>
      </c>
      <c r="V545" s="8">
        <v>2.2727272727272728E-2</v>
      </c>
      <c r="W545" s="8">
        <v>0.78787878787878785</v>
      </c>
      <c r="X545" s="8">
        <v>0.18939393939393939</v>
      </c>
      <c r="Z545" s="2" t="s">
        <v>49</v>
      </c>
      <c r="AA545" s="8">
        <v>4.5454545454545456E-2</v>
      </c>
      <c r="AB545" s="8">
        <v>0.80303030303030298</v>
      </c>
      <c r="AC545" s="8">
        <v>0.15151515151515152</v>
      </c>
    </row>
    <row r="546" spans="1:29" x14ac:dyDescent="0.45">
      <c r="A546" s="2" t="s">
        <v>50</v>
      </c>
      <c r="B546" s="8">
        <f t="shared" si="15"/>
        <v>6.0759493670886081E-2</v>
      </c>
      <c r="C546" s="8">
        <f t="shared" si="15"/>
        <v>0.76962025316455696</v>
      </c>
      <c r="D546" s="8">
        <f t="shared" si="15"/>
        <v>0.16962025316455698</v>
      </c>
      <c r="E546" s="12"/>
      <c r="F546" s="2" t="s">
        <v>50</v>
      </c>
      <c r="G546" s="8">
        <v>2.5316455696202531E-2</v>
      </c>
      <c r="H546" s="8">
        <v>0.759493670886076</v>
      </c>
      <c r="I546" s="8">
        <v>0.21518987341772153</v>
      </c>
      <c r="K546" s="2" t="s">
        <v>50</v>
      </c>
      <c r="L546" s="8">
        <v>8.8607594936708861E-2</v>
      </c>
      <c r="M546" s="8">
        <v>0.759493670886076</v>
      </c>
      <c r="N546" s="8">
        <v>0.15189873417721519</v>
      </c>
      <c r="P546" s="2" t="s">
        <v>50</v>
      </c>
      <c r="Q546" s="8">
        <v>5.0632911392405063E-2</v>
      </c>
      <c r="R546" s="8">
        <v>0.810126582278481</v>
      </c>
      <c r="S546" s="8">
        <v>0.13924050632911392</v>
      </c>
      <c r="U546" s="2" t="s">
        <v>50</v>
      </c>
      <c r="V546" s="8">
        <v>6.3291139240506333E-2</v>
      </c>
      <c r="W546" s="8">
        <v>0.759493670886076</v>
      </c>
      <c r="X546" s="8">
        <v>0.17721518987341772</v>
      </c>
      <c r="Z546" s="2" t="s">
        <v>50</v>
      </c>
      <c r="AA546" s="8">
        <v>7.5949367088607597E-2</v>
      </c>
      <c r="AB546" s="8">
        <v>0.759493670886076</v>
      </c>
      <c r="AC546" s="8">
        <v>0.16455696202531644</v>
      </c>
    </row>
    <row r="547" spans="1:29" x14ac:dyDescent="0.45">
      <c r="A547" s="2" t="s">
        <v>51</v>
      </c>
      <c r="B547" s="8">
        <f t="shared" si="15"/>
        <v>1.935483870967742E-2</v>
      </c>
      <c r="C547" s="8">
        <f t="shared" si="15"/>
        <v>0.83225806451612905</v>
      </c>
      <c r="D547" s="8">
        <f t="shared" si="15"/>
        <v>0.14838709677419354</v>
      </c>
      <c r="E547" s="12"/>
      <c r="F547" s="2" t="s">
        <v>51</v>
      </c>
      <c r="G547" s="8">
        <v>6.4516129032258063E-2</v>
      </c>
      <c r="H547" s="8">
        <v>0.70967741935483875</v>
      </c>
      <c r="I547" s="8">
        <v>0.22580645161290322</v>
      </c>
      <c r="K547" s="2" t="s">
        <v>51</v>
      </c>
      <c r="L547" s="8">
        <v>0</v>
      </c>
      <c r="M547" s="8">
        <v>0.83870967741935487</v>
      </c>
      <c r="N547" s="8">
        <v>0.16129032258064516</v>
      </c>
      <c r="P547" s="2" t="s">
        <v>51</v>
      </c>
      <c r="Q547" s="8">
        <v>3.2258064516129031E-2</v>
      </c>
      <c r="R547" s="8">
        <v>0.80645161290322576</v>
      </c>
      <c r="S547" s="8">
        <v>0.16129032258064516</v>
      </c>
      <c r="U547" s="2" t="s">
        <v>51</v>
      </c>
      <c r="V547" s="8">
        <v>0</v>
      </c>
      <c r="W547" s="8">
        <v>0.90322580645161288</v>
      </c>
      <c r="X547" s="8">
        <v>9.6774193548387094E-2</v>
      </c>
      <c r="Z547" s="2" t="s">
        <v>51</v>
      </c>
      <c r="AA547" s="8">
        <v>0</v>
      </c>
      <c r="AB547" s="8">
        <v>0.90322580645161288</v>
      </c>
      <c r="AC547" s="8">
        <v>9.6774193548387094E-2</v>
      </c>
    </row>
    <row r="548" spans="1:29" x14ac:dyDescent="0.45">
      <c r="A548" s="2" t="s">
        <v>52</v>
      </c>
      <c r="B548" s="8">
        <f t="shared" si="15"/>
        <v>3.7037037037037035E-2</v>
      </c>
      <c r="C548" s="8">
        <f t="shared" si="15"/>
        <v>0.7851851851851851</v>
      </c>
      <c r="D548" s="8">
        <f t="shared" si="15"/>
        <v>0.17777777777777776</v>
      </c>
      <c r="E548" s="12"/>
      <c r="F548" s="2" t="s">
        <v>52</v>
      </c>
      <c r="G548" s="8">
        <v>3.7037037037037035E-2</v>
      </c>
      <c r="H548" s="8">
        <v>0.7407407407407407</v>
      </c>
      <c r="I548" s="8">
        <v>0.22222222222222221</v>
      </c>
      <c r="K548" s="2" t="s">
        <v>52</v>
      </c>
      <c r="L548" s="8">
        <v>7.407407407407407E-2</v>
      </c>
      <c r="M548" s="8">
        <v>0.7407407407407407</v>
      </c>
      <c r="N548" s="8">
        <v>0.18518518518518517</v>
      </c>
      <c r="P548" s="2" t="s">
        <v>52</v>
      </c>
      <c r="Q548" s="8">
        <v>0</v>
      </c>
      <c r="R548" s="8">
        <v>0.85185185185185186</v>
      </c>
      <c r="S548" s="8">
        <v>0.14814814814814814</v>
      </c>
      <c r="U548" s="2" t="s">
        <v>52</v>
      </c>
      <c r="V548" s="8">
        <v>3.7037037037037035E-2</v>
      </c>
      <c r="W548" s="8">
        <v>0.77777777777777779</v>
      </c>
      <c r="X548" s="8">
        <v>0.18518518518518517</v>
      </c>
      <c r="Z548" s="2" t="s">
        <v>52</v>
      </c>
      <c r="AA548" s="8">
        <v>3.7037037037037035E-2</v>
      </c>
      <c r="AB548" s="8">
        <v>0.81481481481481477</v>
      </c>
      <c r="AC548" s="8">
        <v>0.14814814814814814</v>
      </c>
    </row>
    <row r="550" spans="1:29" x14ac:dyDescent="0.45">
      <c r="A550" s="14" t="s">
        <v>16</v>
      </c>
      <c r="B550" s="14" t="s">
        <v>42</v>
      </c>
      <c r="C550" s="14" t="s">
        <v>43</v>
      </c>
      <c r="D550" s="14" t="s">
        <v>44</v>
      </c>
      <c r="F550" s="14" t="s">
        <v>16</v>
      </c>
      <c r="G550" s="14" t="s">
        <v>42</v>
      </c>
      <c r="H550" s="14" t="s">
        <v>43</v>
      </c>
      <c r="I550" s="14" t="s">
        <v>44</v>
      </c>
      <c r="K550" s="14" t="s">
        <v>16</v>
      </c>
      <c r="L550" s="14" t="s">
        <v>42</v>
      </c>
      <c r="M550" s="14" t="s">
        <v>43</v>
      </c>
      <c r="N550" s="14" t="s">
        <v>44</v>
      </c>
      <c r="P550" s="14" t="s">
        <v>16</v>
      </c>
      <c r="Q550" s="14" t="s">
        <v>42</v>
      </c>
      <c r="R550" s="14" t="s">
        <v>43</v>
      </c>
      <c r="S550" s="14" t="s">
        <v>44</v>
      </c>
      <c r="U550" s="14" t="s">
        <v>16</v>
      </c>
      <c r="V550" s="14" t="s">
        <v>42</v>
      </c>
      <c r="W550" s="14" t="s">
        <v>43</v>
      </c>
      <c r="X550" s="14" t="s">
        <v>44</v>
      </c>
      <c r="Z550" s="14" t="s">
        <v>16</v>
      </c>
      <c r="AA550" s="14" t="s">
        <v>42</v>
      </c>
      <c r="AB550" s="14" t="s">
        <v>43</v>
      </c>
      <c r="AC550" s="14" t="s">
        <v>44</v>
      </c>
    </row>
    <row r="551" spans="1:29" x14ac:dyDescent="0.45">
      <c r="A551" s="2" t="s">
        <v>47</v>
      </c>
      <c r="B551" s="8">
        <f t="shared" ref="B551:D556" si="16">(G551+L551+Q551+V551+AA551)/5</f>
        <v>7.3063973063973053E-2</v>
      </c>
      <c r="C551" s="8">
        <f t="shared" si="16"/>
        <v>0.86861952861952862</v>
      </c>
      <c r="D551" s="8">
        <f t="shared" si="16"/>
        <v>5.8316498316498308E-2</v>
      </c>
      <c r="E551" s="12"/>
      <c r="F551" s="2" t="s">
        <v>47</v>
      </c>
      <c r="G551" s="8">
        <v>7.2727272727272724E-2</v>
      </c>
      <c r="H551" s="8">
        <v>0.87272727272727268</v>
      </c>
      <c r="I551" s="8">
        <v>5.4545454545454543E-2</v>
      </c>
      <c r="K551" s="2" t="s">
        <v>47</v>
      </c>
      <c r="L551" s="8">
        <v>3.6363636363636362E-2</v>
      </c>
      <c r="M551" s="8">
        <v>0.89090909090909087</v>
      </c>
      <c r="N551" s="8">
        <v>7.2727272727272724E-2</v>
      </c>
      <c r="P551" s="2" t="s">
        <v>47</v>
      </c>
      <c r="Q551" s="8">
        <v>9.0909090909090912E-2</v>
      </c>
      <c r="R551" s="8">
        <v>0.83636363636363631</v>
      </c>
      <c r="S551" s="8">
        <v>7.2727272727272724E-2</v>
      </c>
      <c r="U551" s="2" t="s">
        <v>47</v>
      </c>
      <c r="V551" s="8">
        <v>7.2727272727272724E-2</v>
      </c>
      <c r="W551" s="8">
        <v>0.87272727272727268</v>
      </c>
      <c r="X551" s="8">
        <v>5.4545454545454543E-2</v>
      </c>
      <c r="Z551" s="2" t="s">
        <v>47</v>
      </c>
      <c r="AA551" s="8">
        <v>9.2592592592592587E-2</v>
      </c>
      <c r="AB551" s="8">
        <v>0.87037037037037035</v>
      </c>
      <c r="AC551" s="8">
        <v>3.7037037037037035E-2</v>
      </c>
    </row>
    <row r="552" spans="1:29" x14ac:dyDescent="0.45">
      <c r="A552" s="2" t="s">
        <v>48</v>
      </c>
      <c r="B552" s="8">
        <f t="shared" si="16"/>
        <v>4.8296007789678679E-2</v>
      </c>
      <c r="C552" s="8">
        <f t="shared" si="16"/>
        <v>0.86510873093151575</v>
      </c>
      <c r="D552" s="8">
        <f t="shared" si="16"/>
        <v>8.6595261278805596E-2</v>
      </c>
      <c r="E552" s="12"/>
      <c r="F552" s="2" t="s">
        <v>48</v>
      </c>
      <c r="G552" s="8">
        <v>7.5949367088607597E-2</v>
      </c>
      <c r="H552" s="8">
        <v>0.86075949367088611</v>
      </c>
      <c r="I552" s="8">
        <v>6.3291139240506333E-2</v>
      </c>
      <c r="K552" s="2" t="s">
        <v>48</v>
      </c>
      <c r="L552" s="8">
        <v>6.3291139240506333E-2</v>
      </c>
      <c r="M552" s="8">
        <v>0.89873417721518989</v>
      </c>
      <c r="N552" s="8">
        <v>3.7974683544303799E-2</v>
      </c>
      <c r="P552" s="2" t="s">
        <v>48</v>
      </c>
      <c r="Q552" s="8">
        <v>2.5316455696202531E-2</v>
      </c>
      <c r="R552" s="8">
        <v>0.84810126582278478</v>
      </c>
      <c r="S552" s="8">
        <v>0.12658227848101267</v>
      </c>
      <c r="U552" s="2" t="s">
        <v>48</v>
      </c>
      <c r="V552" s="8">
        <v>3.8461538461538464E-2</v>
      </c>
      <c r="W552" s="8">
        <v>0.88461538461538458</v>
      </c>
      <c r="X552" s="8">
        <v>7.6923076923076927E-2</v>
      </c>
      <c r="Z552" s="2" t="s">
        <v>48</v>
      </c>
      <c r="AA552" s="8">
        <v>3.8461538461538464E-2</v>
      </c>
      <c r="AB552" s="8">
        <v>0.83333333333333337</v>
      </c>
      <c r="AC552" s="8">
        <v>0.12820512820512819</v>
      </c>
    </row>
    <row r="553" spans="1:29" x14ac:dyDescent="0.45">
      <c r="A553" s="2" t="s">
        <v>49</v>
      </c>
      <c r="B553" s="8">
        <f t="shared" si="16"/>
        <v>0.05</v>
      </c>
      <c r="C553" s="8">
        <f t="shared" si="16"/>
        <v>0.87121212121212133</v>
      </c>
      <c r="D553" s="8">
        <f t="shared" si="16"/>
        <v>7.8787878787878796E-2</v>
      </c>
      <c r="E553" s="12"/>
      <c r="F553" s="2" t="s">
        <v>49</v>
      </c>
      <c r="G553" s="8">
        <v>4.5454545454545456E-2</v>
      </c>
      <c r="H553" s="8">
        <v>0.87878787878787878</v>
      </c>
      <c r="I553" s="8">
        <v>7.575757575757576E-2</v>
      </c>
      <c r="K553" s="2" t="s">
        <v>49</v>
      </c>
      <c r="L553" s="8">
        <v>6.0606060606060608E-2</v>
      </c>
      <c r="M553" s="8">
        <v>0.84848484848484851</v>
      </c>
      <c r="N553" s="8">
        <v>9.0909090909090912E-2</v>
      </c>
      <c r="P553" s="2" t="s">
        <v>49</v>
      </c>
      <c r="Q553" s="8">
        <v>1.5151515151515152E-2</v>
      </c>
      <c r="R553" s="8">
        <v>0.9242424242424242</v>
      </c>
      <c r="S553" s="8">
        <v>6.0606060606060608E-2</v>
      </c>
      <c r="U553" s="2" t="s">
        <v>49</v>
      </c>
      <c r="V553" s="8">
        <v>7.575757575757576E-2</v>
      </c>
      <c r="W553" s="8">
        <v>0.83333333333333337</v>
      </c>
      <c r="X553" s="8">
        <v>9.0909090909090912E-2</v>
      </c>
      <c r="Z553" s="2" t="s">
        <v>49</v>
      </c>
      <c r="AA553" s="8">
        <v>5.3030303030303032E-2</v>
      </c>
      <c r="AB553" s="8">
        <v>0.87121212121212122</v>
      </c>
      <c r="AC553" s="8">
        <v>7.575757575757576E-2</v>
      </c>
    </row>
    <row r="554" spans="1:29" x14ac:dyDescent="0.45">
      <c r="A554" s="2" t="s">
        <v>50</v>
      </c>
      <c r="B554" s="8">
        <f t="shared" si="16"/>
        <v>6.0759493670886081E-2</v>
      </c>
      <c r="C554" s="8">
        <f t="shared" si="16"/>
        <v>0.860759493670886</v>
      </c>
      <c r="D554" s="8">
        <f t="shared" si="16"/>
        <v>7.848101265822785E-2</v>
      </c>
      <c r="E554" s="12"/>
      <c r="F554" s="2" t="s">
        <v>50</v>
      </c>
      <c r="G554" s="8">
        <v>7.5949367088607597E-2</v>
      </c>
      <c r="H554" s="8">
        <v>0.84810126582278478</v>
      </c>
      <c r="I554" s="8">
        <v>7.5949367088607597E-2</v>
      </c>
      <c r="K554" s="2" t="s">
        <v>50</v>
      </c>
      <c r="L554" s="8">
        <v>3.7974683544303799E-2</v>
      </c>
      <c r="M554" s="8">
        <v>0.88607594936708856</v>
      </c>
      <c r="N554" s="8">
        <v>7.5949367088607597E-2</v>
      </c>
      <c r="P554" s="2" t="s">
        <v>50</v>
      </c>
      <c r="Q554" s="8">
        <v>6.3291139240506333E-2</v>
      </c>
      <c r="R554" s="8">
        <v>0.84810126582278478</v>
      </c>
      <c r="S554" s="8">
        <v>8.8607594936708861E-2</v>
      </c>
      <c r="U554" s="2" t="s">
        <v>50</v>
      </c>
      <c r="V554" s="8">
        <v>7.5949367088607597E-2</v>
      </c>
      <c r="W554" s="8">
        <v>0.86075949367088611</v>
      </c>
      <c r="X554" s="8">
        <v>6.3291139240506333E-2</v>
      </c>
      <c r="Z554" s="2" t="s">
        <v>50</v>
      </c>
      <c r="AA554" s="8">
        <v>5.0632911392405063E-2</v>
      </c>
      <c r="AB554" s="8">
        <v>0.86075949367088611</v>
      </c>
      <c r="AC554" s="8">
        <v>8.8607594936708861E-2</v>
      </c>
    </row>
    <row r="555" spans="1:29" x14ac:dyDescent="0.45">
      <c r="A555" s="2" t="s">
        <v>51</v>
      </c>
      <c r="B555" s="8">
        <f t="shared" si="16"/>
        <v>0.10967741935483873</v>
      </c>
      <c r="C555" s="8">
        <f t="shared" si="16"/>
        <v>0.77419354838709675</v>
      </c>
      <c r="D555" s="8">
        <f t="shared" si="16"/>
        <v>0.11612903225806451</v>
      </c>
      <c r="E555" s="12"/>
      <c r="F555" s="2" t="s">
        <v>51</v>
      </c>
      <c r="G555" s="8">
        <v>0.16129032258064516</v>
      </c>
      <c r="H555" s="8">
        <v>0.74193548387096775</v>
      </c>
      <c r="I555" s="8">
        <v>9.6774193548387094E-2</v>
      </c>
      <c r="K555" s="2" t="s">
        <v>51</v>
      </c>
      <c r="L555" s="8">
        <v>9.6774193548387094E-2</v>
      </c>
      <c r="M555" s="8">
        <v>0.77419354838709675</v>
      </c>
      <c r="N555" s="8">
        <v>0.12903225806451613</v>
      </c>
      <c r="P555" s="2" t="s">
        <v>51</v>
      </c>
      <c r="Q555" s="8">
        <v>9.6774193548387094E-2</v>
      </c>
      <c r="R555" s="8">
        <v>0.80645161290322576</v>
      </c>
      <c r="S555" s="8">
        <v>9.6774193548387094E-2</v>
      </c>
      <c r="U555" s="2" t="s">
        <v>51</v>
      </c>
      <c r="V555" s="8">
        <v>9.6774193548387094E-2</v>
      </c>
      <c r="W555" s="8">
        <v>0.70967741935483875</v>
      </c>
      <c r="X555" s="8">
        <v>0.19354838709677419</v>
      </c>
      <c r="Z555" s="2" t="s">
        <v>51</v>
      </c>
      <c r="AA555" s="8">
        <v>9.6774193548387094E-2</v>
      </c>
      <c r="AB555" s="8">
        <v>0.83870967741935487</v>
      </c>
      <c r="AC555" s="8">
        <v>6.4516129032258063E-2</v>
      </c>
    </row>
    <row r="556" spans="1:29" x14ac:dyDescent="0.45">
      <c r="A556" s="2" t="s">
        <v>52</v>
      </c>
      <c r="B556" s="8">
        <f t="shared" si="16"/>
        <v>6.6666666666666666E-2</v>
      </c>
      <c r="C556" s="8">
        <f t="shared" si="16"/>
        <v>0.8222222222222223</v>
      </c>
      <c r="D556" s="8">
        <f t="shared" si="16"/>
        <v>0.11111111111111112</v>
      </c>
      <c r="E556" s="12"/>
      <c r="F556" s="2" t="s">
        <v>52</v>
      </c>
      <c r="G556" s="8">
        <v>3.7037037037037035E-2</v>
      </c>
      <c r="H556" s="8">
        <v>0.85185185185185186</v>
      </c>
      <c r="I556" s="8">
        <v>0.1111111111111111</v>
      </c>
      <c r="K556" s="2" t="s">
        <v>52</v>
      </c>
      <c r="L556" s="8">
        <v>0</v>
      </c>
      <c r="M556" s="8">
        <v>0.85185185185185186</v>
      </c>
      <c r="N556" s="8">
        <v>0.14814814814814814</v>
      </c>
      <c r="P556" s="2" t="s">
        <v>52</v>
      </c>
      <c r="Q556" s="8">
        <v>0.1111111111111111</v>
      </c>
      <c r="R556" s="8">
        <v>0.7407407407407407</v>
      </c>
      <c r="S556" s="8">
        <v>0.14814814814814814</v>
      </c>
      <c r="U556" s="2" t="s">
        <v>52</v>
      </c>
      <c r="V556" s="8">
        <v>0.1111111111111111</v>
      </c>
      <c r="W556" s="8">
        <v>0.85185185185185186</v>
      </c>
      <c r="X556" s="8">
        <v>3.7037037037037035E-2</v>
      </c>
      <c r="Z556" s="2" t="s">
        <v>52</v>
      </c>
      <c r="AA556" s="8">
        <v>7.407407407407407E-2</v>
      </c>
      <c r="AB556" s="8">
        <v>0.81481481481481477</v>
      </c>
      <c r="AC556" s="8">
        <v>0.1111111111111111</v>
      </c>
    </row>
    <row r="558" spans="1:29" x14ac:dyDescent="0.45">
      <c r="A558" s="14" t="s">
        <v>14</v>
      </c>
      <c r="B558" s="14" t="s">
        <v>42</v>
      </c>
      <c r="C558" s="14" t="s">
        <v>43</v>
      </c>
      <c r="D558" s="14" t="s">
        <v>44</v>
      </c>
      <c r="F558" s="14" t="s">
        <v>14</v>
      </c>
      <c r="G558" s="14" t="s">
        <v>42</v>
      </c>
      <c r="H558" s="14" t="s">
        <v>43</v>
      </c>
      <c r="I558" s="14" t="s">
        <v>44</v>
      </c>
      <c r="K558" s="14" t="s">
        <v>14</v>
      </c>
      <c r="L558" s="14" t="s">
        <v>42</v>
      </c>
      <c r="M558" s="14" t="s">
        <v>43</v>
      </c>
      <c r="N558" s="14" t="s">
        <v>44</v>
      </c>
      <c r="P558" s="14" t="s">
        <v>14</v>
      </c>
      <c r="Q558" s="14" t="s">
        <v>42</v>
      </c>
      <c r="R558" s="14" t="s">
        <v>43</v>
      </c>
      <c r="S558" s="14" t="s">
        <v>44</v>
      </c>
      <c r="U558" s="14" t="s">
        <v>14</v>
      </c>
      <c r="V558" s="14" t="s">
        <v>42</v>
      </c>
      <c r="W558" s="14" t="s">
        <v>43</v>
      </c>
      <c r="X558" s="14" t="s">
        <v>44</v>
      </c>
      <c r="Z558" s="14" t="s">
        <v>14</v>
      </c>
      <c r="AA558" s="14" t="s">
        <v>42</v>
      </c>
      <c r="AB558" s="14" t="s">
        <v>43</v>
      </c>
      <c r="AC558" s="14" t="s">
        <v>44</v>
      </c>
    </row>
    <row r="559" spans="1:29" x14ac:dyDescent="0.45">
      <c r="A559" s="2" t="s">
        <v>53</v>
      </c>
      <c r="B559" s="8">
        <f t="shared" ref="B559:D566" si="17">(G559+L559+Q559+V559+AA559)/5</f>
        <v>9.7560975609756097E-3</v>
      </c>
      <c r="C559" s="8">
        <f t="shared" si="17"/>
        <v>0.69756097560975605</v>
      </c>
      <c r="D559" s="8">
        <f t="shared" si="17"/>
        <v>0.29268292682926833</v>
      </c>
      <c r="E559" s="12"/>
      <c r="F559" s="2" t="s">
        <v>53</v>
      </c>
      <c r="G559" s="8">
        <v>0</v>
      </c>
      <c r="H559" s="8">
        <v>0.73170731707317072</v>
      </c>
      <c r="I559" s="8">
        <v>0.26829268292682928</v>
      </c>
      <c r="K559" s="2" t="s">
        <v>53</v>
      </c>
      <c r="L559" s="8">
        <v>0</v>
      </c>
      <c r="M559" s="8">
        <v>0.68292682926829273</v>
      </c>
      <c r="N559" s="8">
        <v>0.31707317073170732</v>
      </c>
      <c r="P559" s="2" t="s">
        <v>53</v>
      </c>
      <c r="Q559" s="8">
        <v>2.4390243902439025E-2</v>
      </c>
      <c r="R559" s="8">
        <v>0.65853658536585369</v>
      </c>
      <c r="S559" s="8">
        <v>0.31707317073170732</v>
      </c>
      <c r="U559" s="2" t="s">
        <v>53</v>
      </c>
      <c r="V559" s="8">
        <v>2.4390243902439025E-2</v>
      </c>
      <c r="W559" s="8">
        <v>0.70731707317073167</v>
      </c>
      <c r="X559" s="8">
        <v>0.26829268292682928</v>
      </c>
      <c r="Z559" s="2" t="s">
        <v>53</v>
      </c>
      <c r="AA559" s="8">
        <v>0</v>
      </c>
      <c r="AB559" s="8">
        <v>0.70731707317073167</v>
      </c>
      <c r="AC559" s="8">
        <v>0.29268292682926828</v>
      </c>
    </row>
    <row r="560" spans="1:29" x14ac:dyDescent="0.45">
      <c r="A560" s="2" t="s">
        <v>54</v>
      </c>
      <c r="B560" s="8">
        <f t="shared" si="17"/>
        <v>2.5316455696202535E-2</v>
      </c>
      <c r="C560" s="8">
        <f t="shared" si="17"/>
        <v>0.62531645569620253</v>
      </c>
      <c r="D560" s="8">
        <f t="shared" si="17"/>
        <v>0.34936708860759491</v>
      </c>
      <c r="E560" s="12"/>
      <c r="F560" s="2" t="s">
        <v>54</v>
      </c>
      <c r="G560" s="8">
        <v>5.0632911392405063E-2</v>
      </c>
      <c r="H560" s="8">
        <v>0.59493670886075944</v>
      </c>
      <c r="I560" s="8">
        <v>0.35443037974683544</v>
      </c>
      <c r="K560" s="2" t="s">
        <v>54</v>
      </c>
      <c r="L560" s="8">
        <v>2.5316455696202531E-2</v>
      </c>
      <c r="M560" s="8">
        <v>0.67088607594936711</v>
      </c>
      <c r="N560" s="8">
        <v>0.30379746835443039</v>
      </c>
      <c r="P560" s="2" t="s">
        <v>54</v>
      </c>
      <c r="Q560" s="8">
        <v>1.2658227848101266E-2</v>
      </c>
      <c r="R560" s="8">
        <v>0.65822784810126578</v>
      </c>
      <c r="S560" s="8">
        <v>0.32911392405063289</v>
      </c>
      <c r="U560" s="2" t="s">
        <v>54</v>
      </c>
      <c r="V560" s="8">
        <v>2.5316455696202531E-2</v>
      </c>
      <c r="W560" s="8">
        <v>0.60759493670886078</v>
      </c>
      <c r="X560" s="8">
        <v>0.36708860759493672</v>
      </c>
      <c r="Z560" s="2" t="s">
        <v>54</v>
      </c>
      <c r="AA560" s="8">
        <v>1.2658227848101266E-2</v>
      </c>
      <c r="AB560" s="8">
        <v>0.59493670886075944</v>
      </c>
      <c r="AC560" s="8">
        <v>0.39240506329113922</v>
      </c>
    </row>
    <row r="561" spans="1:29" x14ac:dyDescent="0.45">
      <c r="A561" s="2" t="s">
        <v>55</v>
      </c>
      <c r="B561" s="8">
        <f t="shared" si="17"/>
        <v>9.7560975609756097E-3</v>
      </c>
      <c r="C561" s="8">
        <f t="shared" si="17"/>
        <v>0.7707317073170733</v>
      </c>
      <c r="D561" s="8">
        <f t="shared" si="17"/>
        <v>0.21951219512195125</v>
      </c>
      <c r="E561" s="12"/>
      <c r="F561" s="2" t="s">
        <v>55</v>
      </c>
      <c r="G561" s="8">
        <v>0</v>
      </c>
      <c r="H561" s="8">
        <v>0.87804878048780488</v>
      </c>
      <c r="I561" s="8">
        <v>0.12195121951219512</v>
      </c>
      <c r="K561" s="2" t="s">
        <v>55</v>
      </c>
      <c r="L561" s="8">
        <v>0</v>
      </c>
      <c r="M561" s="8">
        <v>0.80487804878048785</v>
      </c>
      <c r="N561" s="8">
        <v>0.1951219512195122</v>
      </c>
      <c r="P561" s="2" t="s">
        <v>55</v>
      </c>
      <c r="Q561" s="8">
        <v>2.4390243902439025E-2</v>
      </c>
      <c r="R561" s="8">
        <v>0.75609756097560976</v>
      </c>
      <c r="S561" s="8">
        <v>0.21951219512195122</v>
      </c>
      <c r="U561" s="2" t="s">
        <v>55</v>
      </c>
      <c r="V561" s="8">
        <v>2.4390243902439025E-2</v>
      </c>
      <c r="W561" s="8">
        <v>0.68292682926829273</v>
      </c>
      <c r="X561" s="8">
        <v>0.29268292682926828</v>
      </c>
      <c r="Z561" s="2" t="s">
        <v>55</v>
      </c>
      <c r="AA561" s="8">
        <v>0</v>
      </c>
      <c r="AB561" s="8">
        <v>0.73170731707317072</v>
      </c>
      <c r="AC561" s="8">
        <v>0.26829268292682928</v>
      </c>
    </row>
    <row r="562" spans="1:29" x14ac:dyDescent="0.45">
      <c r="A562" s="2" t="s">
        <v>56</v>
      </c>
      <c r="B562" s="8">
        <f t="shared" si="17"/>
        <v>1.8940493468795356E-2</v>
      </c>
      <c r="C562" s="8">
        <f t="shared" si="17"/>
        <v>0.63265602322206094</v>
      </c>
      <c r="D562" s="8">
        <f t="shared" si="17"/>
        <v>0.34840348330914367</v>
      </c>
      <c r="E562" s="12"/>
      <c r="F562" s="2" t="s">
        <v>56</v>
      </c>
      <c r="G562" s="8">
        <v>0</v>
      </c>
      <c r="H562" s="8">
        <v>0.58490566037735847</v>
      </c>
      <c r="I562" s="8">
        <v>0.41509433962264153</v>
      </c>
      <c r="K562" s="2" t="s">
        <v>56</v>
      </c>
      <c r="L562" s="8">
        <v>1.8867924528301886E-2</v>
      </c>
      <c r="M562" s="8">
        <v>0.69811320754716977</v>
      </c>
      <c r="N562" s="8">
        <v>0.28301886792452829</v>
      </c>
      <c r="P562" s="2" t="s">
        <v>56</v>
      </c>
      <c r="Q562" s="8">
        <v>1.8867924528301886E-2</v>
      </c>
      <c r="R562" s="8">
        <v>0.67924528301886788</v>
      </c>
      <c r="S562" s="8">
        <v>0.30188679245283018</v>
      </c>
      <c r="U562" s="2" t="s">
        <v>56</v>
      </c>
      <c r="V562" s="8">
        <v>3.7735849056603772E-2</v>
      </c>
      <c r="W562" s="8">
        <v>0.54716981132075471</v>
      </c>
      <c r="X562" s="8">
        <v>0.41509433962264153</v>
      </c>
      <c r="Z562" s="2" t="s">
        <v>56</v>
      </c>
      <c r="AA562" s="8">
        <v>1.9230769230769232E-2</v>
      </c>
      <c r="AB562" s="8">
        <v>0.65384615384615385</v>
      </c>
      <c r="AC562" s="8">
        <v>0.32692307692307693</v>
      </c>
    </row>
    <row r="563" spans="1:29" x14ac:dyDescent="0.45">
      <c r="A563" s="2" t="s">
        <v>57</v>
      </c>
      <c r="B563" s="8">
        <f t="shared" si="17"/>
        <v>2.2641509433962266E-2</v>
      </c>
      <c r="C563" s="8">
        <f t="shared" si="17"/>
        <v>0.71698113207547176</v>
      </c>
      <c r="D563" s="8">
        <f t="shared" si="17"/>
        <v>0.26037735849056604</v>
      </c>
      <c r="E563" s="12"/>
      <c r="F563" s="2" t="s">
        <v>57</v>
      </c>
      <c r="G563" s="8">
        <v>1.8867924528301886E-2</v>
      </c>
      <c r="H563" s="8">
        <v>0.73584905660377353</v>
      </c>
      <c r="I563" s="8">
        <v>0.24528301886792453</v>
      </c>
      <c r="K563" s="2" t="s">
        <v>57</v>
      </c>
      <c r="L563" s="8">
        <v>0</v>
      </c>
      <c r="M563" s="8">
        <v>0.67924528301886788</v>
      </c>
      <c r="N563" s="8">
        <v>0.32075471698113206</v>
      </c>
      <c r="P563" s="2" t="s">
        <v>57</v>
      </c>
      <c r="Q563" s="8">
        <v>3.7735849056603772E-2</v>
      </c>
      <c r="R563" s="8">
        <v>0.77358490566037741</v>
      </c>
      <c r="S563" s="8">
        <v>0.18867924528301888</v>
      </c>
      <c r="U563" s="2" t="s">
        <v>57</v>
      </c>
      <c r="V563" s="8">
        <v>3.7735849056603772E-2</v>
      </c>
      <c r="W563" s="8">
        <v>0.73584905660377353</v>
      </c>
      <c r="X563" s="8">
        <v>0.22641509433962265</v>
      </c>
      <c r="Z563" s="2" t="s">
        <v>57</v>
      </c>
      <c r="AA563" s="8">
        <v>1.8867924528301886E-2</v>
      </c>
      <c r="AB563" s="8">
        <v>0.660377358490566</v>
      </c>
      <c r="AC563" s="8">
        <v>0.32075471698113206</v>
      </c>
    </row>
    <row r="564" spans="1:29" x14ac:dyDescent="0.45">
      <c r="A564" s="2" t="s">
        <v>58</v>
      </c>
      <c r="B564" s="8">
        <f t="shared" si="17"/>
        <v>1.2903225806451613E-2</v>
      </c>
      <c r="C564" s="8">
        <f t="shared" si="17"/>
        <v>0.64193548387096777</v>
      </c>
      <c r="D564" s="8">
        <f t="shared" si="17"/>
        <v>0.34516129032258064</v>
      </c>
      <c r="E564" s="12"/>
      <c r="F564" s="2" t="s">
        <v>58</v>
      </c>
      <c r="G564" s="8">
        <v>4.8387096774193547E-2</v>
      </c>
      <c r="H564" s="8">
        <v>0.59677419354838712</v>
      </c>
      <c r="I564" s="8">
        <v>0.35483870967741937</v>
      </c>
      <c r="K564" s="2" t="s">
        <v>58</v>
      </c>
      <c r="L564" s="8">
        <v>0</v>
      </c>
      <c r="M564" s="8">
        <v>0.62903225806451613</v>
      </c>
      <c r="N564" s="8">
        <v>0.37096774193548387</v>
      </c>
      <c r="P564" s="2" t="s">
        <v>58</v>
      </c>
      <c r="Q564" s="8">
        <v>0</v>
      </c>
      <c r="R564" s="8">
        <v>0.56451612903225812</v>
      </c>
      <c r="S564" s="8">
        <v>0.43548387096774194</v>
      </c>
      <c r="U564" s="2" t="s">
        <v>58</v>
      </c>
      <c r="V564" s="8">
        <v>0</v>
      </c>
      <c r="W564" s="8">
        <v>0.70967741935483875</v>
      </c>
      <c r="X564" s="8">
        <v>0.29032258064516131</v>
      </c>
      <c r="Z564" s="2" t="s">
        <v>58</v>
      </c>
      <c r="AA564" s="8">
        <v>1.6129032258064516E-2</v>
      </c>
      <c r="AB564" s="8">
        <v>0.70967741935483875</v>
      </c>
      <c r="AC564" s="8">
        <v>0.27419354838709675</v>
      </c>
    </row>
    <row r="565" spans="1:29" x14ac:dyDescent="0.45">
      <c r="A565" s="2" t="s">
        <v>59</v>
      </c>
      <c r="B565" s="8">
        <f t="shared" si="17"/>
        <v>2.0512820512820513E-2</v>
      </c>
      <c r="C565" s="8">
        <f t="shared" si="17"/>
        <v>0.67179487179487185</v>
      </c>
      <c r="D565" s="8">
        <f t="shared" si="17"/>
        <v>0.30769230769230765</v>
      </c>
      <c r="E565" s="12"/>
      <c r="F565" s="2" t="s">
        <v>59</v>
      </c>
      <c r="G565" s="8">
        <v>2.564102564102564E-2</v>
      </c>
      <c r="H565" s="8">
        <v>0.5641025641025641</v>
      </c>
      <c r="I565" s="8">
        <v>0.41025641025641024</v>
      </c>
      <c r="K565" s="2" t="s">
        <v>59</v>
      </c>
      <c r="L565" s="8">
        <v>7.6923076923076927E-2</v>
      </c>
      <c r="M565" s="8">
        <v>0.61538461538461542</v>
      </c>
      <c r="N565" s="8">
        <v>0.30769230769230771</v>
      </c>
      <c r="P565" s="2" t="s">
        <v>59</v>
      </c>
      <c r="Q565" s="8">
        <v>0</v>
      </c>
      <c r="R565" s="8">
        <v>0.76923076923076927</v>
      </c>
      <c r="S565" s="8">
        <v>0.23076923076923078</v>
      </c>
      <c r="U565" s="2" t="s">
        <v>59</v>
      </c>
      <c r="V565" s="8">
        <v>0</v>
      </c>
      <c r="W565" s="8">
        <v>0.74358974358974361</v>
      </c>
      <c r="X565" s="8">
        <v>0.25641025641025639</v>
      </c>
      <c r="Z565" s="2" t="s">
        <v>59</v>
      </c>
      <c r="AA565" s="8">
        <v>0</v>
      </c>
      <c r="AB565" s="8">
        <v>0.66666666666666663</v>
      </c>
      <c r="AC565" s="8">
        <v>0.33333333333333331</v>
      </c>
    </row>
    <row r="566" spans="1:29" x14ac:dyDescent="0.45">
      <c r="A566" s="2" t="s">
        <v>60</v>
      </c>
      <c r="B566" s="8">
        <f t="shared" si="17"/>
        <v>1.1428571428571429E-2</v>
      </c>
      <c r="C566" s="8">
        <f t="shared" si="17"/>
        <v>0.62285714285714278</v>
      </c>
      <c r="D566" s="8">
        <f t="shared" si="17"/>
        <v>0.36571428571428571</v>
      </c>
      <c r="E566" s="12"/>
      <c r="F566" s="2" t="s">
        <v>60</v>
      </c>
      <c r="G566" s="8">
        <v>0</v>
      </c>
      <c r="H566" s="8">
        <v>0.8</v>
      </c>
      <c r="I566" s="8">
        <v>0.2</v>
      </c>
      <c r="K566" s="2" t="s">
        <v>60</v>
      </c>
      <c r="L566" s="8">
        <v>2.8571428571428571E-2</v>
      </c>
      <c r="M566" s="8">
        <v>0.54285714285714282</v>
      </c>
      <c r="N566" s="8">
        <v>0.42857142857142855</v>
      </c>
      <c r="P566" s="2" t="s">
        <v>60</v>
      </c>
      <c r="Q566" s="8">
        <v>2.8571428571428571E-2</v>
      </c>
      <c r="R566" s="8">
        <v>0.5714285714285714</v>
      </c>
      <c r="S566" s="8">
        <v>0.4</v>
      </c>
      <c r="U566" s="2" t="s">
        <v>60</v>
      </c>
      <c r="V566" s="8">
        <v>0</v>
      </c>
      <c r="W566" s="8">
        <v>0.62857142857142856</v>
      </c>
      <c r="X566" s="8">
        <v>0.37142857142857144</v>
      </c>
      <c r="Z566" s="2" t="s">
        <v>60</v>
      </c>
      <c r="AA566" s="8">
        <v>0</v>
      </c>
      <c r="AB566" s="8">
        <v>0.5714285714285714</v>
      </c>
      <c r="AC566" s="8">
        <v>0.42857142857142855</v>
      </c>
    </row>
    <row r="568" spans="1:29" x14ac:dyDescent="0.45">
      <c r="A568" s="14" t="s">
        <v>15</v>
      </c>
      <c r="B568" s="14" t="s">
        <v>42</v>
      </c>
      <c r="C568" s="14" t="s">
        <v>43</v>
      </c>
      <c r="D568" s="14" t="s">
        <v>44</v>
      </c>
      <c r="F568" s="14" t="s">
        <v>15</v>
      </c>
      <c r="G568" s="14" t="s">
        <v>42</v>
      </c>
      <c r="H568" s="14" t="s">
        <v>43</v>
      </c>
      <c r="I568" s="14" t="s">
        <v>44</v>
      </c>
      <c r="K568" s="14" t="s">
        <v>15</v>
      </c>
      <c r="L568" s="14" t="s">
        <v>42</v>
      </c>
      <c r="M568" s="14" t="s">
        <v>43</v>
      </c>
      <c r="N568" s="14" t="s">
        <v>44</v>
      </c>
      <c r="P568" s="14" t="s">
        <v>15</v>
      </c>
      <c r="Q568" s="14" t="s">
        <v>42</v>
      </c>
      <c r="R568" s="14" t="s">
        <v>43</v>
      </c>
      <c r="S568" s="14" t="s">
        <v>44</v>
      </c>
      <c r="U568" s="14" t="s">
        <v>15</v>
      </c>
      <c r="V568" s="14" t="s">
        <v>42</v>
      </c>
      <c r="W568" s="14" t="s">
        <v>43</v>
      </c>
      <c r="X568" s="14" t="s">
        <v>44</v>
      </c>
      <c r="Z568" s="14" t="s">
        <v>15</v>
      </c>
      <c r="AA568" s="14" t="s">
        <v>42</v>
      </c>
      <c r="AB568" s="14" t="s">
        <v>43</v>
      </c>
      <c r="AC568" s="14" t="s">
        <v>44</v>
      </c>
    </row>
    <row r="569" spans="1:29" x14ac:dyDescent="0.45">
      <c r="A569" s="2" t="s">
        <v>53</v>
      </c>
      <c r="B569" s="8">
        <f t="shared" ref="B569:D576" si="18">(G569+L569+Q569+V569+AA569)/5</f>
        <v>3.9024390243902439E-2</v>
      </c>
      <c r="C569" s="8">
        <f t="shared" si="18"/>
        <v>0.83902439024390252</v>
      </c>
      <c r="D569" s="8">
        <f t="shared" si="18"/>
        <v>0.12195121951219512</v>
      </c>
      <c r="E569" s="12"/>
      <c r="F569" s="2" t="s">
        <v>53</v>
      </c>
      <c r="G569" s="8">
        <v>4.878048780487805E-2</v>
      </c>
      <c r="H569" s="8">
        <v>0.80487804878048785</v>
      </c>
      <c r="I569" s="8">
        <v>0.14634146341463414</v>
      </c>
      <c r="K569" s="2" t="s">
        <v>53</v>
      </c>
      <c r="L569" s="8">
        <v>0</v>
      </c>
      <c r="M569" s="8">
        <v>0.90243902439024393</v>
      </c>
      <c r="N569" s="8">
        <v>9.7560975609756101E-2</v>
      </c>
      <c r="P569" s="2" t="s">
        <v>53</v>
      </c>
      <c r="Q569" s="8">
        <v>2.4390243902439025E-2</v>
      </c>
      <c r="R569" s="8">
        <v>0.90243902439024393</v>
      </c>
      <c r="S569" s="8">
        <v>7.3170731707317069E-2</v>
      </c>
      <c r="U569" s="2" t="s">
        <v>53</v>
      </c>
      <c r="V569" s="8">
        <v>2.4390243902439025E-2</v>
      </c>
      <c r="W569" s="8">
        <v>0.78048780487804881</v>
      </c>
      <c r="X569" s="8">
        <v>0.1951219512195122</v>
      </c>
      <c r="Z569" s="2" t="s">
        <v>53</v>
      </c>
      <c r="AA569" s="8">
        <v>9.7560975609756101E-2</v>
      </c>
      <c r="AB569" s="8">
        <v>0.80487804878048785</v>
      </c>
      <c r="AC569" s="8">
        <v>9.7560975609756101E-2</v>
      </c>
    </row>
    <row r="570" spans="1:29" x14ac:dyDescent="0.45">
      <c r="A570" s="2" t="s">
        <v>54</v>
      </c>
      <c r="B570" s="8">
        <f t="shared" si="18"/>
        <v>4.5731905225576117E-2</v>
      </c>
      <c r="C570" s="8">
        <f t="shared" si="18"/>
        <v>0.82703667640376499</v>
      </c>
      <c r="D570" s="8">
        <f t="shared" si="18"/>
        <v>0.12723141837065888</v>
      </c>
      <c r="E570" s="12"/>
      <c r="F570" s="2" t="s">
        <v>54</v>
      </c>
      <c r="G570" s="8">
        <v>7.5949367088607597E-2</v>
      </c>
      <c r="H570" s="8">
        <v>0.79746835443037978</v>
      </c>
      <c r="I570" s="8">
        <v>0.12658227848101267</v>
      </c>
      <c r="K570" s="2" t="s">
        <v>54</v>
      </c>
      <c r="L570" s="8">
        <v>5.0632911392405063E-2</v>
      </c>
      <c r="M570" s="8">
        <v>0.810126582278481</v>
      </c>
      <c r="N570" s="8">
        <v>0.13924050632911392</v>
      </c>
      <c r="P570" s="2" t="s">
        <v>54</v>
      </c>
      <c r="Q570" s="8">
        <v>3.7974683544303799E-2</v>
      </c>
      <c r="R570" s="8">
        <v>0.84810126582278478</v>
      </c>
      <c r="S570" s="8">
        <v>0.11392405063291139</v>
      </c>
      <c r="U570" s="2" t="s">
        <v>54</v>
      </c>
      <c r="V570" s="8">
        <v>3.8461538461538464E-2</v>
      </c>
      <c r="W570" s="8">
        <v>0.84615384615384615</v>
      </c>
      <c r="X570" s="8">
        <v>0.11538461538461539</v>
      </c>
      <c r="Z570" s="2" t="s">
        <v>54</v>
      </c>
      <c r="AA570" s="8">
        <v>2.564102564102564E-2</v>
      </c>
      <c r="AB570" s="8">
        <v>0.83333333333333337</v>
      </c>
      <c r="AC570" s="8">
        <v>0.14102564102564102</v>
      </c>
    </row>
    <row r="571" spans="1:29" x14ac:dyDescent="0.45">
      <c r="A571" s="2" t="s">
        <v>55</v>
      </c>
      <c r="B571" s="8">
        <f t="shared" si="18"/>
        <v>4.3902439024390248E-2</v>
      </c>
      <c r="C571" s="8">
        <f t="shared" si="18"/>
        <v>0.775609756097561</v>
      </c>
      <c r="D571" s="8">
        <f t="shared" si="18"/>
        <v>0.1804878048780488</v>
      </c>
      <c r="E571" s="12"/>
      <c r="F571" s="2" t="s">
        <v>55</v>
      </c>
      <c r="G571" s="8">
        <v>7.3170731707317069E-2</v>
      </c>
      <c r="H571" s="8">
        <v>0.70731707317073167</v>
      </c>
      <c r="I571" s="8">
        <v>0.21951219512195122</v>
      </c>
      <c r="K571" s="2" t="s">
        <v>55</v>
      </c>
      <c r="L571" s="8">
        <v>2.4390243902439025E-2</v>
      </c>
      <c r="M571" s="8">
        <v>0.85365853658536583</v>
      </c>
      <c r="N571" s="8">
        <v>0.12195121951219512</v>
      </c>
      <c r="P571" s="2" t="s">
        <v>55</v>
      </c>
      <c r="Q571" s="8">
        <v>4.878048780487805E-2</v>
      </c>
      <c r="R571" s="8">
        <v>0.75609756097560976</v>
      </c>
      <c r="S571" s="8">
        <v>0.1951219512195122</v>
      </c>
      <c r="U571" s="2" t="s">
        <v>55</v>
      </c>
      <c r="V571" s="8">
        <v>7.3170731707317069E-2</v>
      </c>
      <c r="W571" s="8">
        <v>0.75609756097560976</v>
      </c>
      <c r="X571" s="8">
        <v>0.17073170731707318</v>
      </c>
      <c r="Z571" s="2" t="s">
        <v>55</v>
      </c>
      <c r="AA571" s="8">
        <v>0</v>
      </c>
      <c r="AB571" s="8">
        <v>0.80487804878048785</v>
      </c>
      <c r="AC571" s="8">
        <v>0.1951219512195122</v>
      </c>
    </row>
    <row r="572" spans="1:29" x14ac:dyDescent="0.45">
      <c r="A572" s="2" t="s">
        <v>56</v>
      </c>
      <c r="B572" s="8">
        <f t="shared" si="18"/>
        <v>4.1654571843251095E-2</v>
      </c>
      <c r="C572" s="8">
        <f t="shared" si="18"/>
        <v>0.80326560232220601</v>
      </c>
      <c r="D572" s="8">
        <f t="shared" si="18"/>
        <v>0.15507982583454283</v>
      </c>
      <c r="E572" s="12"/>
      <c r="F572" s="2" t="s">
        <v>56</v>
      </c>
      <c r="G572" s="8">
        <v>3.7735849056603772E-2</v>
      </c>
      <c r="H572" s="8">
        <v>0.79245283018867929</v>
      </c>
      <c r="I572" s="8">
        <v>0.16981132075471697</v>
      </c>
      <c r="K572" s="2" t="s">
        <v>56</v>
      </c>
      <c r="L572" s="8">
        <v>1.8867924528301886E-2</v>
      </c>
      <c r="M572" s="8">
        <v>0.84905660377358494</v>
      </c>
      <c r="N572" s="8">
        <v>0.13207547169811321</v>
      </c>
      <c r="P572" s="2" t="s">
        <v>56</v>
      </c>
      <c r="Q572" s="8">
        <v>5.6603773584905662E-2</v>
      </c>
      <c r="R572" s="8">
        <v>0.79245283018867929</v>
      </c>
      <c r="S572" s="8">
        <v>0.15094339622641509</v>
      </c>
      <c r="U572" s="2" t="s">
        <v>56</v>
      </c>
      <c r="V572" s="8">
        <v>5.6603773584905662E-2</v>
      </c>
      <c r="W572" s="8">
        <v>0.71698113207547165</v>
      </c>
      <c r="X572" s="8">
        <v>0.22641509433962265</v>
      </c>
      <c r="Z572" s="2" t="s">
        <v>56</v>
      </c>
      <c r="AA572" s="8">
        <v>3.8461538461538464E-2</v>
      </c>
      <c r="AB572" s="8">
        <v>0.86538461538461542</v>
      </c>
      <c r="AC572" s="8">
        <v>9.6153846153846159E-2</v>
      </c>
    </row>
    <row r="573" spans="1:29" x14ac:dyDescent="0.45">
      <c r="A573" s="2" t="s">
        <v>57</v>
      </c>
      <c r="B573" s="8">
        <f t="shared" si="18"/>
        <v>4.5283018867924532E-2</v>
      </c>
      <c r="C573" s="8">
        <f t="shared" si="18"/>
        <v>0.7886792452830188</v>
      </c>
      <c r="D573" s="8">
        <f t="shared" si="18"/>
        <v>0.16603773584905662</v>
      </c>
      <c r="E573" s="12"/>
      <c r="F573" s="2" t="s">
        <v>57</v>
      </c>
      <c r="G573" s="8">
        <v>1.8867924528301886E-2</v>
      </c>
      <c r="H573" s="8">
        <v>0.75471698113207553</v>
      </c>
      <c r="I573" s="8">
        <v>0.22641509433962265</v>
      </c>
      <c r="K573" s="2" t="s">
        <v>57</v>
      </c>
      <c r="L573" s="8">
        <v>5.6603773584905662E-2</v>
      </c>
      <c r="M573" s="8">
        <v>0.83018867924528306</v>
      </c>
      <c r="N573" s="8">
        <v>0.11320754716981132</v>
      </c>
      <c r="P573" s="2" t="s">
        <v>57</v>
      </c>
      <c r="Q573" s="8">
        <v>9.4339622641509441E-2</v>
      </c>
      <c r="R573" s="8">
        <v>0.81132075471698117</v>
      </c>
      <c r="S573" s="8">
        <v>9.4339622641509441E-2</v>
      </c>
      <c r="U573" s="2" t="s">
        <v>57</v>
      </c>
      <c r="V573" s="8">
        <v>1.8867924528301886E-2</v>
      </c>
      <c r="W573" s="8">
        <v>0.83018867924528306</v>
      </c>
      <c r="X573" s="8">
        <v>0.15094339622641509</v>
      </c>
      <c r="Z573" s="2" t="s">
        <v>57</v>
      </c>
      <c r="AA573" s="8">
        <v>3.7735849056603772E-2</v>
      </c>
      <c r="AB573" s="8">
        <v>0.71698113207547165</v>
      </c>
      <c r="AC573" s="8">
        <v>0.24528301886792453</v>
      </c>
    </row>
    <row r="574" spans="1:29" x14ac:dyDescent="0.45">
      <c r="A574" s="2" t="s">
        <v>58</v>
      </c>
      <c r="B574" s="8">
        <f t="shared" si="18"/>
        <v>3.870967741935484E-2</v>
      </c>
      <c r="C574" s="8">
        <f t="shared" si="18"/>
        <v>0.78387096774193543</v>
      </c>
      <c r="D574" s="8">
        <f t="shared" si="18"/>
        <v>0.17741935483870969</v>
      </c>
      <c r="E574" s="12"/>
      <c r="F574" s="2" t="s">
        <v>58</v>
      </c>
      <c r="G574" s="8">
        <v>4.8387096774193547E-2</v>
      </c>
      <c r="H574" s="8">
        <v>0.77419354838709675</v>
      </c>
      <c r="I574" s="8">
        <v>0.17741935483870969</v>
      </c>
      <c r="K574" s="2" t="s">
        <v>58</v>
      </c>
      <c r="L574" s="8">
        <v>4.8387096774193547E-2</v>
      </c>
      <c r="M574" s="8">
        <v>0.77419354838709675</v>
      </c>
      <c r="N574" s="8">
        <v>0.17741935483870969</v>
      </c>
      <c r="P574" s="2" t="s">
        <v>58</v>
      </c>
      <c r="Q574" s="8">
        <v>1.6129032258064516E-2</v>
      </c>
      <c r="R574" s="8">
        <v>0.80645161290322576</v>
      </c>
      <c r="S574" s="8">
        <v>0.17741935483870969</v>
      </c>
      <c r="U574" s="2" t="s">
        <v>58</v>
      </c>
      <c r="V574" s="8">
        <v>3.2258064516129031E-2</v>
      </c>
      <c r="W574" s="8">
        <v>0.77419354838709675</v>
      </c>
      <c r="X574" s="8">
        <v>0.19354838709677419</v>
      </c>
      <c r="Z574" s="2" t="s">
        <v>58</v>
      </c>
      <c r="AA574" s="8">
        <v>4.8387096774193547E-2</v>
      </c>
      <c r="AB574" s="8">
        <v>0.79032258064516125</v>
      </c>
      <c r="AC574" s="8">
        <v>0.16129032258064516</v>
      </c>
    </row>
    <row r="575" spans="1:29" x14ac:dyDescent="0.45">
      <c r="A575" s="2" t="s">
        <v>59</v>
      </c>
      <c r="B575" s="8">
        <f t="shared" si="18"/>
        <v>5.6410256410256411E-2</v>
      </c>
      <c r="C575" s="8">
        <f t="shared" si="18"/>
        <v>0.74358974358974361</v>
      </c>
      <c r="D575" s="8">
        <f t="shared" si="18"/>
        <v>0.2</v>
      </c>
      <c r="E575" s="12"/>
      <c r="F575" s="2" t="s">
        <v>59</v>
      </c>
      <c r="G575" s="8">
        <v>5.128205128205128E-2</v>
      </c>
      <c r="H575" s="8">
        <v>0.71794871794871795</v>
      </c>
      <c r="I575" s="8">
        <v>0.23076923076923078</v>
      </c>
      <c r="K575" s="2" t="s">
        <v>59</v>
      </c>
      <c r="L575" s="8">
        <v>0.10256410256410256</v>
      </c>
      <c r="M575" s="8">
        <v>0.69230769230769229</v>
      </c>
      <c r="N575" s="8">
        <v>0.20512820512820512</v>
      </c>
      <c r="P575" s="2" t="s">
        <v>59</v>
      </c>
      <c r="Q575" s="8">
        <v>0</v>
      </c>
      <c r="R575" s="8">
        <v>0.87179487179487181</v>
      </c>
      <c r="S575" s="8">
        <v>0.12820512820512819</v>
      </c>
      <c r="U575" s="2" t="s">
        <v>59</v>
      </c>
      <c r="V575" s="8">
        <v>5.128205128205128E-2</v>
      </c>
      <c r="W575" s="8">
        <v>0.71794871794871795</v>
      </c>
      <c r="X575" s="8">
        <v>0.23076923076923078</v>
      </c>
      <c r="Z575" s="2" t="s">
        <v>59</v>
      </c>
      <c r="AA575" s="8">
        <v>7.6923076923076927E-2</v>
      </c>
      <c r="AB575" s="8">
        <v>0.71794871794871795</v>
      </c>
      <c r="AC575" s="8">
        <v>0.20512820512820512</v>
      </c>
    </row>
    <row r="576" spans="1:29" x14ac:dyDescent="0.45">
      <c r="A576" s="2" t="s">
        <v>60</v>
      </c>
      <c r="B576" s="8">
        <f t="shared" si="18"/>
        <v>3.9999999999999994E-2</v>
      </c>
      <c r="C576" s="8">
        <f t="shared" si="18"/>
        <v>0.80571428571428572</v>
      </c>
      <c r="D576" s="8">
        <f t="shared" si="18"/>
        <v>0.1542857142857143</v>
      </c>
      <c r="E576" s="12"/>
      <c r="F576" s="2" t="s">
        <v>60</v>
      </c>
      <c r="G576" s="8">
        <v>0</v>
      </c>
      <c r="H576" s="8">
        <v>0.8571428571428571</v>
      </c>
      <c r="I576" s="8">
        <v>0.14285714285714285</v>
      </c>
      <c r="K576" s="2" t="s">
        <v>60</v>
      </c>
      <c r="L576" s="8">
        <v>5.7142857142857141E-2</v>
      </c>
      <c r="M576" s="8">
        <v>0.8</v>
      </c>
      <c r="N576" s="8">
        <v>0.14285714285714285</v>
      </c>
      <c r="P576" s="2" t="s">
        <v>60</v>
      </c>
      <c r="Q576" s="8">
        <v>5.7142857142857141E-2</v>
      </c>
      <c r="R576" s="8">
        <v>0.7142857142857143</v>
      </c>
      <c r="S576" s="8">
        <v>0.22857142857142856</v>
      </c>
      <c r="U576" s="2" t="s">
        <v>60</v>
      </c>
      <c r="V576" s="8">
        <v>2.8571428571428571E-2</v>
      </c>
      <c r="W576" s="8">
        <v>0.8</v>
      </c>
      <c r="X576" s="8">
        <v>0.17142857142857143</v>
      </c>
      <c r="Z576" s="2" t="s">
        <v>60</v>
      </c>
      <c r="AA576" s="8">
        <v>5.7142857142857141E-2</v>
      </c>
      <c r="AB576" s="8">
        <v>0.8571428571428571</v>
      </c>
      <c r="AC576" s="8">
        <v>8.5714285714285715E-2</v>
      </c>
    </row>
    <row r="578" spans="1:29" x14ac:dyDescent="0.45">
      <c r="A578" s="14" t="s">
        <v>61</v>
      </c>
      <c r="B578" s="14" t="s">
        <v>42</v>
      </c>
      <c r="C578" s="14" t="s">
        <v>43</v>
      </c>
      <c r="D578" s="14" t="s">
        <v>44</v>
      </c>
      <c r="F578" s="14" t="s">
        <v>61</v>
      </c>
      <c r="G578" s="14" t="s">
        <v>42</v>
      </c>
      <c r="H578" s="14" t="s">
        <v>43</v>
      </c>
      <c r="I578" s="14" t="s">
        <v>44</v>
      </c>
      <c r="K578" s="14" t="s">
        <v>61</v>
      </c>
      <c r="L578" s="14" t="s">
        <v>42</v>
      </c>
      <c r="M578" s="14" t="s">
        <v>43</v>
      </c>
      <c r="N578" s="14" t="s">
        <v>44</v>
      </c>
      <c r="P578" s="14" t="s">
        <v>61</v>
      </c>
      <c r="Q578" s="14" t="s">
        <v>42</v>
      </c>
      <c r="R578" s="14" t="s">
        <v>43</v>
      </c>
      <c r="S578" s="14" t="s">
        <v>44</v>
      </c>
      <c r="U578" s="14" t="s">
        <v>61</v>
      </c>
      <c r="V578" s="14" t="s">
        <v>42</v>
      </c>
      <c r="W578" s="14" t="s">
        <v>43</v>
      </c>
      <c r="X578" s="14" t="s">
        <v>44</v>
      </c>
      <c r="Z578" s="14" t="s">
        <v>61</v>
      </c>
      <c r="AA578" s="14" t="s">
        <v>42</v>
      </c>
      <c r="AB578" s="14" t="s">
        <v>43</v>
      </c>
      <c r="AC578" s="14" t="s">
        <v>44</v>
      </c>
    </row>
    <row r="579" spans="1:29" x14ac:dyDescent="0.45">
      <c r="A579" s="2" t="s">
        <v>47</v>
      </c>
      <c r="B579" s="8">
        <f t="shared" ref="B579:D584" si="19">(G579+L579+Q579+V579+AA579)/5</f>
        <v>2.5723905723905722E-2</v>
      </c>
      <c r="C579" s="8">
        <f t="shared" si="19"/>
        <v>0.61171717171717177</v>
      </c>
      <c r="D579" s="8">
        <f t="shared" si="19"/>
        <v>0.36255892255892253</v>
      </c>
      <c r="E579" s="12"/>
      <c r="F579" s="2" t="s">
        <v>47</v>
      </c>
      <c r="G579" s="8">
        <v>1.8181818181818181E-2</v>
      </c>
      <c r="H579" s="8">
        <v>0.6</v>
      </c>
      <c r="I579" s="8">
        <v>0.38181818181818183</v>
      </c>
      <c r="K579" s="2" t="s">
        <v>47</v>
      </c>
      <c r="L579" s="8">
        <v>1.8181818181818181E-2</v>
      </c>
      <c r="M579" s="8">
        <v>0.69090909090909092</v>
      </c>
      <c r="N579" s="8">
        <v>0.29090909090909089</v>
      </c>
      <c r="P579" s="2" t="s">
        <v>47</v>
      </c>
      <c r="Q579" s="8">
        <v>5.5555555555555552E-2</v>
      </c>
      <c r="R579" s="8">
        <v>0.59259259259259256</v>
      </c>
      <c r="S579" s="8">
        <v>0.35185185185185186</v>
      </c>
      <c r="U579" s="2" t="s">
        <v>47</v>
      </c>
      <c r="V579" s="8">
        <v>1.8181818181818181E-2</v>
      </c>
      <c r="W579" s="8">
        <v>0.54545454545454541</v>
      </c>
      <c r="X579" s="8">
        <v>0.43636363636363634</v>
      </c>
      <c r="Z579" s="2" t="s">
        <v>47</v>
      </c>
      <c r="AA579" s="8">
        <v>1.8518518518518517E-2</v>
      </c>
      <c r="AB579" s="8">
        <v>0.62962962962962965</v>
      </c>
      <c r="AC579" s="8">
        <v>0.35185185185185186</v>
      </c>
    </row>
    <row r="580" spans="1:29" x14ac:dyDescent="0.45">
      <c r="A580" s="2" t="s">
        <v>48</v>
      </c>
      <c r="B580" s="8">
        <f t="shared" si="19"/>
        <v>1.2788898864848233E-2</v>
      </c>
      <c r="C580" s="8">
        <f t="shared" si="19"/>
        <v>0.61779992159738994</v>
      </c>
      <c r="D580" s="8">
        <f t="shared" si="19"/>
        <v>0.36941117953776181</v>
      </c>
      <c r="E580" s="12"/>
      <c r="F580" s="2" t="s">
        <v>48</v>
      </c>
      <c r="G580" s="8">
        <v>2.5316455696202531E-2</v>
      </c>
      <c r="H580" s="8">
        <v>0.68354430379746833</v>
      </c>
      <c r="I580" s="8">
        <v>0.29113924050632911</v>
      </c>
      <c r="K580" s="2" t="s">
        <v>48</v>
      </c>
      <c r="L580" s="8">
        <v>2.564102564102564E-2</v>
      </c>
      <c r="M580" s="8">
        <v>0.61538461538461542</v>
      </c>
      <c r="N580" s="8">
        <v>0.35897435897435898</v>
      </c>
      <c r="P580" s="2" t="s">
        <v>48</v>
      </c>
      <c r="Q580" s="8">
        <v>0</v>
      </c>
      <c r="R580" s="8">
        <v>0.58227848101265822</v>
      </c>
      <c r="S580" s="8">
        <v>0.41772151898734178</v>
      </c>
      <c r="U580" s="2" t="s">
        <v>48</v>
      </c>
      <c r="V580" s="8">
        <v>0</v>
      </c>
      <c r="W580" s="8">
        <v>0.5714285714285714</v>
      </c>
      <c r="X580" s="8">
        <v>0.42857142857142855</v>
      </c>
      <c r="Z580" s="2" t="s">
        <v>48</v>
      </c>
      <c r="AA580" s="8">
        <v>1.2987012987012988E-2</v>
      </c>
      <c r="AB580" s="8">
        <v>0.63636363636363635</v>
      </c>
      <c r="AC580" s="8">
        <v>0.35064935064935066</v>
      </c>
    </row>
    <row r="581" spans="1:29" x14ac:dyDescent="0.45">
      <c r="A581" s="2" t="s">
        <v>49</v>
      </c>
      <c r="B581" s="8">
        <f t="shared" si="19"/>
        <v>2.4358084663428176E-2</v>
      </c>
      <c r="C581" s="8">
        <f t="shared" si="19"/>
        <v>0.64380060143418916</v>
      </c>
      <c r="D581" s="8">
        <f t="shared" si="19"/>
        <v>0.33184131390238258</v>
      </c>
      <c r="E581" s="12"/>
      <c r="F581" s="2" t="s">
        <v>49</v>
      </c>
      <c r="G581" s="8">
        <v>3.0534351145038167E-2</v>
      </c>
      <c r="H581" s="8">
        <v>0.59541984732824427</v>
      </c>
      <c r="I581" s="8">
        <v>0.37404580152671757</v>
      </c>
      <c r="K581" s="2" t="s">
        <v>49</v>
      </c>
      <c r="L581" s="8">
        <v>3.0534351145038167E-2</v>
      </c>
      <c r="M581" s="8">
        <v>0.67938931297709926</v>
      </c>
      <c r="N581" s="8">
        <v>0.29007633587786258</v>
      </c>
      <c r="P581" s="2" t="s">
        <v>49</v>
      </c>
      <c r="Q581" s="8">
        <v>3.787878787878788E-2</v>
      </c>
      <c r="R581" s="8">
        <v>0.68181818181818177</v>
      </c>
      <c r="S581" s="8">
        <v>0.28030303030303028</v>
      </c>
      <c r="U581" s="2" t="s">
        <v>49</v>
      </c>
      <c r="V581" s="8">
        <v>1.5267175572519083E-2</v>
      </c>
      <c r="W581" s="8">
        <v>0.63358778625954193</v>
      </c>
      <c r="X581" s="8">
        <v>0.35114503816793891</v>
      </c>
      <c r="Z581" s="2" t="s">
        <v>49</v>
      </c>
      <c r="AA581" s="8">
        <v>7.575757575757576E-3</v>
      </c>
      <c r="AB581" s="8">
        <v>0.62878787878787878</v>
      </c>
      <c r="AC581" s="8">
        <v>0.36363636363636365</v>
      </c>
    </row>
    <row r="582" spans="1:29" x14ac:dyDescent="0.45">
      <c r="A582" s="2" t="s">
        <v>50</v>
      </c>
      <c r="B582" s="8">
        <f t="shared" si="19"/>
        <v>1.7883803959753326E-2</v>
      </c>
      <c r="C582" s="8">
        <f t="shared" si="19"/>
        <v>0.6361246348588121</v>
      </c>
      <c r="D582" s="8">
        <f t="shared" si="19"/>
        <v>0.34599156118143459</v>
      </c>
      <c r="E582" s="12"/>
      <c r="F582" s="2" t="s">
        <v>50</v>
      </c>
      <c r="G582" s="8">
        <v>0</v>
      </c>
      <c r="H582" s="8">
        <v>0.62820512820512819</v>
      </c>
      <c r="I582" s="8">
        <v>0.37179487179487181</v>
      </c>
      <c r="K582" s="2" t="s">
        <v>50</v>
      </c>
      <c r="L582" s="8">
        <v>0</v>
      </c>
      <c r="M582" s="8">
        <v>0.64556962025316456</v>
      </c>
      <c r="N582" s="8">
        <v>0.35443037974683544</v>
      </c>
      <c r="P582" s="2" t="s">
        <v>50</v>
      </c>
      <c r="Q582" s="8">
        <v>1.2658227848101266E-2</v>
      </c>
      <c r="R582" s="8">
        <v>0.67088607594936711</v>
      </c>
      <c r="S582" s="8">
        <v>0.31645569620253167</v>
      </c>
      <c r="U582" s="2" t="s">
        <v>50</v>
      </c>
      <c r="V582" s="8">
        <v>1.2658227848101266E-2</v>
      </c>
      <c r="W582" s="8">
        <v>0.59493670886075944</v>
      </c>
      <c r="X582" s="8">
        <v>0.39240506329113922</v>
      </c>
      <c r="Z582" s="2" t="s">
        <v>50</v>
      </c>
      <c r="AA582" s="8">
        <v>6.4102564102564097E-2</v>
      </c>
      <c r="AB582" s="8">
        <v>0.64102564102564108</v>
      </c>
      <c r="AC582" s="8">
        <v>0.29487179487179488</v>
      </c>
    </row>
    <row r="583" spans="1:29" x14ac:dyDescent="0.45">
      <c r="A583" s="2" t="s">
        <v>51</v>
      </c>
      <c r="B583" s="8">
        <f t="shared" si="19"/>
        <v>6.4516129032258064E-3</v>
      </c>
      <c r="C583" s="8">
        <f t="shared" si="19"/>
        <v>0.72903225806451599</v>
      </c>
      <c r="D583" s="8">
        <f t="shared" si="19"/>
        <v>0.26451612903225807</v>
      </c>
      <c r="E583" s="12"/>
      <c r="F583" s="2" t="s">
        <v>51</v>
      </c>
      <c r="G583" s="8">
        <v>0</v>
      </c>
      <c r="H583" s="8">
        <v>0.80645161290322576</v>
      </c>
      <c r="I583" s="8">
        <v>0.19354838709677419</v>
      </c>
      <c r="K583" s="2" t="s">
        <v>51</v>
      </c>
      <c r="L583" s="8">
        <v>0</v>
      </c>
      <c r="M583" s="8">
        <v>0.70967741935483875</v>
      </c>
      <c r="N583" s="8">
        <v>0.29032258064516131</v>
      </c>
      <c r="P583" s="2" t="s">
        <v>51</v>
      </c>
      <c r="Q583" s="8">
        <v>3.2258064516129031E-2</v>
      </c>
      <c r="R583" s="8">
        <v>0.64516129032258063</v>
      </c>
      <c r="S583" s="8">
        <v>0.32258064516129031</v>
      </c>
      <c r="U583" s="2" t="s">
        <v>51</v>
      </c>
      <c r="V583" s="8">
        <v>0</v>
      </c>
      <c r="W583" s="8">
        <v>0.67741935483870963</v>
      </c>
      <c r="X583" s="8">
        <v>0.32258064516129031</v>
      </c>
      <c r="Z583" s="2" t="s">
        <v>51</v>
      </c>
      <c r="AA583" s="8">
        <v>0</v>
      </c>
      <c r="AB583" s="8">
        <v>0.80645161290322576</v>
      </c>
      <c r="AC583" s="8">
        <v>0.19354838709677419</v>
      </c>
    </row>
    <row r="584" spans="1:29" x14ac:dyDescent="0.45">
      <c r="A584" s="2" t="s">
        <v>52</v>
      </c>
      <c r="B584" s="8">
        <f t="shared" si="19"/>
        <v>1.4814814814814814E-2</v>
      </c>
      <c r="C584" s="8">
        <f t="shared" si="19"/>
        <v>0.6</v>
      </c>
      <c r="D584" s="8">
        <f t="shared" si="19"/>
        <v>0.38518518518518519</v>
      </c>
      <c r="E584" s="12"/>
      <c r="F584" s="2" t="s">
        <v>52</v>
      </c>
      <c r="G584" s="8">
        <v>0</v>
      </c>
      <c r="H584" s="8">
        <v>0.33333333333333331</v>
      </c>
      <c r="I584" s="8">
        <v>0.66666666666666663</v>
      </c>
      <c r="K584" s="2" t="s">
        <v>52</v>
      </c>
      <c r="L584" s="8">
        <v>3.7037037037037035E-2</v>
      </c>
      <c r="M584" s="8">
        <v>0.59259259259259256</v>
      </c>
      <c r="N584" s="8">
        <v>0.37037037037037035</v>
      </c>
      <c r="P584" s="2" t="s">
        <v>52</v>
      </c>
      <c r="Q584" s="8">
        <v>0</v>
      </c>
      <c r="R584" s="8">
        <v>0.66666666666666663</v>
      </c>
      <c r="S584" s="8">
        <v>0.33333333333333331</v>
      </c>
      <c r="U584" s="2" t="s">
        <v>52</v>
      </c>
      <c r="V584" s="8">
        <v>3.7037037037037035E-2</v>
      </c>
      <c r="W584" s="8">
        <v>0.66666666666666663</v>
      </c>
      <c r="X584" s="8">
        <v>0.29629629629629628</v>
      </c>
      <c r="Z584" s="2" t="s">
        <v>52</v>
      </c>
      <c r="AA584" s="8">
        <v>0</v>
      </c>
      <c r="AB584" s="8">
        <v>0.7407407407407407</v>
      </c>
      <c r="AC584" s="8">
        <v>0.25925925925925924</v>
      </c>
    </row>
  </sheetData>
  <mergeCells count="6">
    <mergeCell ref="A505:D505"/>
    <mergeCell ref="A91:J91"/>
    <mergeCell ref="A174:J174"/>
    <mergeCell ref="A256:J256"/>
    <mergeCell ref="A338:J338"/>
    <mergeCell ref="A420:J4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81ACCC-8CB7-4DA7-B1DC-559BBAE466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Human - Insights</vt:lpstr>
      <vt:lpstr>Validation - Summary</vt:lpstr>
      <vt:lpstr>Calibration -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MPP26-170LM Pham Binh Phuong Duy</cp:lastModifiedBy>
  <dcterms:created xsi:type="dcterms:W3CDTF">2026-01-02T17:02:25Z</dcterms:created>
  <dcterms:modified xsi:type="dcterms:W3CDTF">2026-02-19T15:01:22Z</dcterms:modified>
</cp:coreProperties>
</file>